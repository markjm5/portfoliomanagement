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S 10y - 2y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"/>
    <numFmt numFmtId="165" formatCode="dd\-mm\-yyyy"/>
    <numFmt numFmtId="166" formatCode="dd-mm-YYYY"/>
    <numFmt numFmtId="167" formatCode="yyyy-mm-dd h:mm:ss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9C0006"/>
      <sz val="12"/>
      <scheme val="minor"/>
    </font>
    <font>
      <name val="Calibri"/>
      <family val="2"/>
      <color rgb="FF9C5700"/>
      <sz val="12"/>
      <scheme val="minor"/>
    </font>
  </fonts>
  <fills count="6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/>
    <xf numFmtId="0" fontId="6" fillId="5" borderId="0"/>
  </cellStyleXfs>
  <cellXfs count="28">
    <xf numFmtId="0" fontId="0" fillId="0" borderId="0" pivotButton="0" quotePrefix="0" xfId="0"/>
    <xf numFmtId="0" fontId="2" fillId="0" borderId="0" pivotButton="0" quotePrefix="0" xfId="1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 vertical="center" wrapText="1"/>
    </xf>
    <xf numFmtId="14" fontId="0" fillId="0" borderId="0" pivotButton="0" quotePrefix="0" xfId="0"/>
    <xf numFmtId="0" fontId="0" fillId="0" borderId="0" pivotButton="0" quotePrefix="0" xfId="0"/>
    <xf numFmtId="164" fontId="0" fillId="2" borderId="0" applyAlignment="1" pivotButton="0" quotePrefix="0" xfId="0">
      <alignment horizontal="left" vertical="center" wrapText="1"/>
    </xf>
    <xf numFmtId="0" fontId="0" fillId="2" borderId="0" pivotButton="0" quotePrefix="0" xfId="0"/>
    <xf numFmtId="14" fontId="5" fillId="4" borderId="0" pivotButton="0" quotePrefix="0" xfId="4"/>
    <xf numFmtId="0" fontId="5" fillId="4" borderId="0" pivotButton="0" quotePrefix="0" xfId="4"/>
    <xf numFmtId="14" fontId="6" fillId="5" borderId="0" pivotButton="0" quotePrefix="0" xfId="5"/>
    <xf numFmtId="0" fontId="6" fillId="5" borderId="0" pivotButton="0" quotePrefix="0" xfId="5"/>
    <xf numFmtId="165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2" fillId="0" borderId="0" applyAlignment="1" pivotButton="0" quotePrefix="0" xfId="1">
      <alignment wrapText="1"/>
    </xf>
    <xf numFmtId="164" fontId="0" fillId="2" borderId="0" applyAlignment="1" pivotButton="0" quotePrefix="0" xfId="0">
      <alignment horizontal="left" vertical="center" wrapText="1"/>
    </xf>
    <xf numFmtId="0" fontId="2" fillId="2" borderId="0" applyAlignment="1" pivotButton="0" quotePrefix="0" xfId="1">
      <alignment wrapText="1"/>
    </xf>
    <xf numFmtId="164" fontId="4" fillId="2" borderId="0" applyAlignment="1" pivotButton="0" quotePrefix="0" xfId="0">
      <alignment horizontal="left" vertical="center" wrapText="1"/>
    </xf>
    <xf numFmtId="0" fontId="1" fillId="3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1" fillId="2" borderId="2" applyAlignment="1" pivotButton="0" quotePrefix="0" xfId="0">
      <alignment horizontal="center" vertical="center"/>
    </xf>
    <xf numFmtId="0" fontId="0" fillId="0" borderId="2" pivotButton="0" quotePrefix="0" xfId="0"/>
    <xf numFmtId="166" fontId="0" fillId="0" borderId="0" pivotButton="0" quotePrefix="0" xfId="0"/>
    <xf numFmtId="166" fontId="0" fillId="0" borderId="0" pivotButton="0" quotePrefix="0" xfId="0"/>
  </cellXfs>
  <cellStyles count="6">
    <cellStyle name="Normal" xfId="0" builtinId="0"/>
    <cellStyle name="Hyperlink" xfId="1" builtinId="8"/>
    <cellStyle name="Normal 2" xfId="2"/>
    <cellStyle name="blp_datetime" xfId="3"/>
    <cellStyle name="Bad" xfId="4" builtinId="27"/>
    <cellStyle name="Neutral" xfId="5" builtinId="28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9" formatCode="d/m/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harts/chart1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- 2y'!$A$3:$A$3667</f>
              <numCache>
                <formatCode>m/d/yy</formatCode>
                <ptCount val="3665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</numCache>
            </numRef>
          </cat>
          <val>
            <numRef>
              <f>'US 10y - 2y'!$D$3:$D$3667</f>
              <numCache>
                <formatCode>General</formatCode>
                <ptCount val="3665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- 2y'!$A$3:$A$3696</f>
              <numCache>
                <formatCode>m/d/yy</formatCode>
                <ptCount val="3694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  <pt idx="3671">
                  <v>44620</v>
                </pt>
                <pt idx="3672">
                  <v>44621</v>
                </pt>
                <pt idx="3673">
                  <v>44622</v>
                </pt>
                <pt idx="3674">
                  <v>44623</v>
                </pt>
                <pt idx="3675">
                  <v>44624</v>
                </pt>
                <pt idx="3676">
                  <v>44627</v>
                </pt>
                <pt idx="3677">
                  <v>44628</v>
                </pt>
                <pt idx="3678">
                  <v>44629</v>
                </pt>
                <pt idx="3679">
                  <v>44630</v>
                </pt>
                <pt idx="3680">
                  <v>44631</v>
                </pt>
                <pt idx="3681">
                  <v>44634</v>
                </pt>
                <pt idx="3682">
                  <v>44635</v>
                </pt>
                <pt idx="3683">
                  <v>44636</v>
                </pt>
                <pt idx="3684">
                  <v>44637</v>
                </pt>
                <pt idx="3685">
                  <v>44638</v>
                </pt>
                <pt idx="3686">
                  <v>44641</v>
                </pt>
                <pt idx="3687">
                  <v>44642</v>
                </pt>
                <pt idx="3688">
                  <v>44643</v>
                </pt>
                <pt idx="3689">
                  <v>44644</v>
                </pt>
                <pt idx="3690">
                  <v>44645</v>
                </pt>
                <pt idx="3691">
                  <v>44648</v>
                </pt>
                <pt idx="3692">
                  <v>44649</v>
                </pt>
                <pt idx="3693">
                  <v>44652</v>
                </pt>
              </numCache>
            </numRef>
          </cat>
          <val>
            <numRef>
              <f>'US 10y - 2y'!$D$3:$D$3696</f>
              <numCache>
                <formatCode>General</formatCode>
                <ptCount val="3694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  <pt idx="3665">
                  <v>0.48</v>
                </pt>
                <pt idx="3666">
                  <v>0.45</v>
                </pt>
                <pt idx="3667">
                  <v>0.3799999999999999</v>
                </pt>
                <pt idx="3668">
                  <v>0.4099999999999999</v>
                </pt>
                <pt idx="3669">
                  <v>0.4199999999999999</v>
                </pt>
                <pt idx="3670">
                  <v>0.4199999999999999</v>
                </pt>
                <pt idx="3671">
                  <v>0.3900000000000001</v>
                </pt>
                <pt idx="3672">
                  <v>0.4099999999999999</v>
                </pt>
                <pt idx="3673">
                  <v>0.3600000000000001</v>
                </pt>
                <pt idx="3674">
                  <v>0.3300000000000001</v>
                </pt>
                <pt idx="3675">
                  <v>0.24</v>
                </pt>
                <pt idx="3676">
                  <v>0.23</v>
                </pt>
                <pt idx="3677">
                  <v>0.2300000000000002</v>
                </pt>
                <pt idx="3678">
                  <v>0.26</v>
                </pt>
                <pt idx="3679">
                  <v>0.26</v>
                </pt>
                <pt idx="3680">
                  <v>0.25</v>
                </pt>
                <pt idx="3681">
                  <v>0.27</v>
                </pt>
                <pt idx="3682">
                  <v>0.2999999999999998</v>
                </pt>
                <pt idx="3683">
                  <v>0.24</v>
                </pt>
                <pt idx="3684">
                  <v>0.2600000000000002</v>
                </pt>
                <pt idx="3685">
                  <v>0.1700000000000002</v>
                </pt>
                <pt idx="3686">
                  <v>0.1799999999999997</v>
                </pt>
                <pt idx="3687">
                  <v>0.1999999999999997</v>
                </pt>
                <pt idx="3688">
                  <v>0.1899999999999999</v>
                </pt>
                <pt idx="3689">
                  <v>0.21</v>
                </pt>
                <pt idx="3690">
                  <v>0.1800000000000002</v>
                </pt>
                <pt idx="3691">
                  <v>0.1099999999999999</v>
                </pt>
                <pt idx="3692">
                  <v>0.06000000000000005</v>
                </pt>
                <pt idx="3693">
                  <v>-0.06000000000000005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  <max val="44649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drawing1.xml><?xml version="1.0" encoding="utf-8"?>
<wsDr xmlns="http://schemas.openxmlformats.org/drawingml/2006/spreadsheetDrawing">
  <twoCellAnchor>
    <from>
      <col>8</col>
      <colOff>134471</colOff>
      <row>0</row>
      <rowOff>171824</rowOff>
    </from>
    <to>
      <col>14</col>
      <colOff>97118</colOff>
      <row>14</row>
      <rowOff>67235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384261</colOff>
      <row>3668</row>
      <rowOff>24768</rowOff>
    </from>
    <to>
      <col>14</col>
      <colOff>343647</colOff>
      <row>3695</row>
      <rowOff>119529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73" displayName="Table73" ref="A2:D3696" headerRowCount="1" totalsRowShown="0">
  <autoFilter ref="A2:D3696"/>
  <tableColumns count="4">
    <tableColumn id="1" name="Date" dataDxfId="3">
      <calculatedColumnFormula>Database!A2</calculatedColumnFormula>
    </tableColumn>
    <tableColumn id="2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terest/long-term-interest-rates.htm" TargetMode="External" Id="rId1"/><Relationship Type="http://schemas.openxmlformats.org/officeDocument/2006/relationships/drawing" Target="/xl/drawings/drawing1.xml" Id="rId2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H27"/>
  <sheetViews>
    <sheetView zoomScale="170" zoomScaleNormal="170" workbookViewId="0">
      <selection activeCell="B20" sqref="B20:D20"/>
    </sheetView>
  </sheetViews>
  <sheetFormatPr baseColWidth="10" defaultColWidth="9.1640625" defaultRowHeight="15"/>
  <cols>
    <col width="9.1640625" customWidth="1" style="16" min="1" max="1"/>
    <col width="12.83203125" customWidth="1" style="16" min="2" max="8"/>
    <col width="9.1640625" customWidth="1" style="16" min="9" max="40"/>
    <col width="9.1640625" customWidth="1" style="16" min="41" max="16384"/>
  </cols>
  <sheetData>
    <row r="1" ht="16" customHeight="1" s="7" thickBot="1">
      <c r="B1" s="24" t="n"/>
      <c r="C1" s="25" t="n"/>
      <c r="D1" s="25" t="n"/>
      <c r="E1" s="25" t="n"/>
      <c r="F1" s="25" t="n"/>
      <c r="G1" s="25" t="n"/>
      <c r="H1" s="25" t="n"/>
    </row>
    <row r="2">
      <c r="B2" s="4" t="n"/>
      <c r="C2" s="4" t="n"/>
      <c r="D2" s="4" t="n"/>
    </row>
    <row r="3">
      <c r="B3" s="21" t="inlineStr">
        <is>
          <t>Process / TO DO LIST</t>
        </is>
      </c>
      <c r="C3" s="22" t="n"/>
      <c r="D3" s="22" t="n"/>
      <c r="E3" s="22" t="n"/>
      <c r="F3" s="22" t="n"/>
      <c r="G3" s="22" t="n"/>
      <c r="H3" s="23" t="n"/>
    </row>
    <row r="5">
      <c r="B5" s="21" t="inlineStr">
        <is>
          <t>TO DO LIST</t>
        </is>
      </c>
      <c r="C5" s="22" t="n"/>
      <c r="D5" s="23" t="n"/>
      <c r="E5" s="21" t="inlineStr">
        <is>
          <t>Comments</t>
        </is>
      </c>
      <c r="F5" s="22" t="n"/>
      <c r="G5" s="22" t="n"/>
      <c r="H5" s="23" t="n"/>
    </row>
    <row r="7">
      <c r="B7" s="2" t="inlineStr">
        <is>
          <t>LT interest rates</t>
        </is>
      </c>
      <c r="E7" s="16" t="n"/>
    </row>
    <row r="8" ht="33" customHeight="1" s="7">
      <c r="B8" s="17" t="inlineStr">
        <is>
          <t>https://home.treasury.gov/resource-center/data-chart-center/interest-rates/TextView?type=daily_treasury_yield_curve&amp;field_tdr_date_value_month=202202</t>
        </is>
      </c>
      <c r="E8" s="16" t="inlineStr">
        <is>
          <t>Interest Rates from U.S. Treasury</t>
        </is>
      </c>
    </row>
    <row r="9" ht="15.75" customHeight="1" s="7">
      <c r="E9" s="18" t="n"/>
    </row>
    <row r="10" ht="15.75" customHeight="1" s="7">
      <c r="E10" s="18" t="n"/>
    </row>
    <row r="11" ht="15.75" customHeight="1" s="7">
      <c r="E11" s="20" t="n"/>
    </row>
    <row r="12" ht="15.75" customHeight="1" s="7">
      <c r="E12" s="18" t="n"/>
    </row>
    <row r="13" ht="15.75" customHeight="1" s="7">
      <c r="B13" s="2" t="n"/>
      <c r="E13" s="18" t="n"/>
    </row>
    <row r="14" ht="32.25" customHeight="1" s="7">
      <c r="B14" s="17" t="n"/>
      <c r="E14" s="18" t="n"/>
    </row>
    <row r="15" ht="15.75" customHeight="1" s="7">
      <c r="E15" s="18" t="n"/>
    </row>
    <row r="16" ht="15.75" customHeight="1" s="7">
      <c r="E16" s="18" t="n"/>
    </row>
    <row r="17" ht="15.75" customHeight="1" s="7">
      <c r="E17" s="18" t="n"/>
    </row>
    <row r="18" ht="15.75" customHeight="1" s="7">
      <c r="B18" s="1" t="n"/>
      <c r="E18" s="18" t="n"/>
    </row>
    <row r="19" ht="15.75" customHeight="1" s="7">
      <c r="B19" s="2" t="n"/>
      <c r="E19" s="18" t="n"/>
    </row>
    <row r="20" ht="39.75" customHeight="1" s="7">
      <c r="B20" s="19" t="n"/>
      <c r="E20" s="18" t="n"/>
    </row>
    <row r="21" ht="15.75" customHeight="1" s="7">
      <c r="E21" s="18" t="n"/>
      <c r="F21" s="5" t="n"/>
      <c r="G21" s="5" t="n"/>
      <c r="H21" s="5" t="n"/>
    </row>
    <row r="23" ht="34.5" customHeight="1" s="7">
      <c r="B23" s="17" t="n"/>
      <c r="E23" s="18" t="n"/>
    </row>
    <row r="24">
      <c r="B24" s="1" t="n"/>
    </row>
    <row r="25">
      <c r="B25" s="2" t="n"/>
    </row>
    <row r="26" ht="33.75" customHeight="1" s="7">
      <c r="B26" s="15" t="n"/>
    </row>
    <row r="27">
      <c r="B27" s="3" t="n"/>
    </row>
  </sheetData>
  <mergeCells count="24">
    <mergeCell ref="E10:H10"/>
    <mergeCell ref="B3:H3"/>
    <mergeCell ref="B1:H1"/>
    <mergeCell ref="B5:D5"/>
    <mergeCell ref="E5:H5"/>
    <mergeCell ref="E7:H7"/>
    <mergeCell ref="E8:H8"/>
    <mergeCell ref="E9:H9"/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</mergeCells>
  <hyperlinks>
    <hyperlink xmlns:r="http://schemas.openxmlformats.org/officeDocument/2006/relationships" ref="B8" location="indicator-chart" display="https://data.oecd.org/interest/long-term-interest-rates.htm - indicator-chart" r:id="rId1"/>
  </hyperlinks>
  <pageMargins left="0.7" right="0.7" top="0.75" bottom="0.75" header="0.3" footer="0.3"/>
  <drawing xmlns:r="http://schemas.openxmlformats.org/officeDocument/2006/relationships" r:id="rId2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E3724"/>
  <sheetViews>
    <sheetView zoomScale="220" zoomScaleNormal="220" workbookViewId="0">
      <pane ySplit="1" topLeftCell="A3684" activePane="bottomLeft" state="frozen"/>
      <selection activeCell="E3697" sqref="E3697"/>
      <selection pane="bottomLeft" activeCell="E3697" sqref="E3697"/>
    </sheetView>
  </sheetViews>
  <sheetFormatPr baseColWidth="10" defaultRowHeight="15"/>
  <cols>
    <col width="17.1640625" customWidth="1" style="7" min="1" max="1"/>
  </cols>
  <sheetData>
    <row r="1">
      <c r="A1" t="inlineStr">
        <is>
          <t>DATE</t>
        </is>
      </c>
      <c r="B1" t="inlineStr">
        <is>
          <t>3M</t>
        </is>
      </c>
      <c r="C1" t="inlineStr">
        <is>
          <t>2Y</t>
        </is>
      </c>
      <c r="D1" t="inlineStr">
        <is>
          <t>10Y</t>
        </is>
      </c>
      <c r="E1" t="inlineStr">
        <is>
          <t>30Y</t>
        </is>
      </c>
    </row>
    <row r="2">
      <c r="A2" s="27" t="n">
        <v>40182</v>
      </c>
      <c r="B2" t="n">
        <v/>
      </c>
      <c r="C2" t="n">
        <v>1.076</v>
      </c>
      <c r="D2" t="n">
        <v>3.823</v>
      </c>
      <c r="E2" t="n">
        <v/>
      </c>
    </row>
    <row r="3">
      <c r="A3" s="27" t="n">
        <v>40183</v>
      </c>
      <c r="B3" t="n">
        <v/>
      </c>
      <c r="C3" t="n">
        <v>1.016</v>
      </c>
      <c r="D3" t="n">
        <v>3.763</v>
      </c>
      <c r="E3" t="n">
        <v/>
      </c>
    </row>
    <row r="4">
      <c r="A4" s="27" t="n">
        <v>40184</v>
      </c>
      <c r="B4" t="n">
        <v/>
      </c>
      <c r="C4" t="n">
        <v>1</v>
      </c>
      <c r="D4" t="n">
        <v>3.829</v>
      </c>
      <c r="E4" t="n">
        <v/>
      </c>
    </row>
    <row r="5">
      <c r="A5" s="27" t="n">
        <v>40185</v>
      </c>
      <c r="B5" t="n">
        <v/>
      </c>
      <c r="C5" t="n">
        <v>1.028</v>
      </c>
      <c r="D5" t="n">
        <v>3.827</v>
      </c>
      <c r="E5" t="n">
        <v/>
      </c>
    </row>
    <row r="6">
      <c r="A6" s="27" t="n">
        <v>40186</v>
      </c>
      <c r="B6" t="n">
        <v/>
      </c>
      <c r="C6" t="n">
        <v>0.976</v>
      </c>
      <c r="D6" t="n">
        <v>3.836</v>
      </c>
      <c r="E6" t="n">
        <v/>
      </c>
    </row>
    <row r="7">
      <c r="A7" s="27" t="n">
        <v>40189</v>
      </c>
      <c r="B7" t="n">
        <v/>
      </c>
      <c r="C7" t="n">
        <v>0.9399999999999999</v>
      </c>
      <c r="D7" t="n">
        <v>3.824</v>
      </c>
      <c r="E7" t="n">
        <v/>
      </c>
    </row>
    <row r="8">
      <c r="A8" s="27" t="n">
        <v>40190</v>
      </c>
      <c r="B8" t="n">
        <v/>
      </c>
      <c r="C8" t="n">
        <v>0.907</v>
      </c>
      <c r="D8" t="n">
        <v>3.717</v>
      </c>
      <c r="E8" t="n">
        <v/>
      </c>
    </row>
    <row r="9">
      <c r="A9" s="27" t="n">
        <v>40191</v>
      </c>
      <c r="B9" t="n">
        <v/>
      </c>
      <c r="C9" t="n">
        <v>0.964</v>
      </c>
      <c r="D9" t="n">
        <v>3.793</v>
      </c>
      <c r="E9" t="n">
        <v/>
      </c>
    </row>
    <row r="10">
      <c r="A10" s="27" t="n">
        <v>40192</v>
      </c>
      <c r="B10" t="n">
        <v/>
      </c>
      <c r="C10" t="n">
        <v>0.923</v>
      </c>
      <c r="D10" t="n">
        <v>3.742</v>
      </c>
      <c r="E10" t="n">
        <v/>
      </c>
    </row>
    <row r="11">
      <c r="A11" s="27" t="n">
        <v>40193</v>
      </c>
      <c r="B11" t="n">
        <v/>
      </c>
      <c r="C11" t="n">
        <v>0.87</v>
      </c>
      <c r="D11" t="n">
        <v>3.676</v>
      </c>
      <c r="E11" t="n">
        <v/>
      </c>
    </row>
    <row r="12">
      <c r="A12" s="27" t="n">
        <v>40197</v>
      </c>
      <c r="B12" t="n">
        <v/>
      </c>
      <c r="C12" t="n">
        <v>0.886</v>
      </c>
      <c r="D12" t="n">
        <v>3.698</v>
      </c>
      <c r="E12" t="n">
        <v/>
      </c>
    </row>
    <row r="13">
      <c r="A13" s="27" t="n">
        <v>40198</v>
      </c>
      <c r="B13" t="n">
        <v/>
      </c>
      <c r="C13" t="n">
        <v>0.882</v>
      </c>
      <c r="D13" t="n">
        <v>3.653</v>
      </c>
      <c r="E13" t="n">
        <v/>
      </c>
    </row>
    <row r="14">
      <c r="A14" s="27" t="n">
        <v>40199</v>
      </c>
      <c r="B14" t="n">
        <v/>
      </c>
      <c r="C14" t="n">
        <v>0.833</v>
      </c>
      <c r="D14" t="n">
        <v>3.595</v>
      </c>
      <c r="E14" t="n">
        <v/>
      </c>
    </row>
    <row r="15">
      <c r="A15" s="27" t="n">
        <v>40200</v>
      </c>
      <c r="B15" t="n">
        <v/>
      </c>
      <c r="C15" t="n">
        <v>0.792</v>
      </c>
      <c r="D15" t="n">
        <v>3.601</v>
      </c>
      <c r="E15" t="n">
        <v/>
      </c>
    </row>
    <row r="16">
      <c r="A16" s="27" t="n">
        <v>40203</v>
      </c>
      <c r="B16" t="n">
        <v/>
      </c>
      <c r="C16" t="n">
        <v>0.8159999999999999</v>
      </c>
      <c r="D16" t="n">
        <v>3.63</v>
      </c>
      <c r="E16" t="n">
        <v/>
      </c>
    </row>
    <row r="17">
      <c r="A17" s="27" t="n">
        <v>40204</v>
      </c>
      <c r="B17" t="n">
        <v/>
      </c>
      <c r="C17" t="n">
        <v>0.8110000000000001</v>
      </c>
      <c r="D17" t="n">
        <v>3.621</v>
      </c>
      <c r="E17" t="n">
        <v/>
      </c>
    </row>
    <row r="18">
      <c r="A18" s="27" t="n">
        <v>40205</v>
      </c>
      <c r="B18" t="n">
        <v/>
      </c>
      <c r="C18" t="n">
        <v>0.915</v>
      </c>
      <c r="D18" t="n">
        <v>3.65</v>
      </c>
      <c r="E18" t="n">
        <v/>
      </c>
    </row>
    <row r="19">
      <c r="A19" s="27" t="n">
        <v>40206</v>
      </c>
      <c r="B19" t="n">
        <v/>
      </c>
      <c r="C19" t="n">
        <v>0.863</v>
      </c>
      <c r="D19" t="n">
        <v>3.642</v>
      </c>
      <c r="E19" t="n">
        <v/>
      </c>
    </row>
    <row r="20">
      <c r="A20" s="27" t="n">
        <v>40207</v>
      </c>
      <c r="B20" t="n">
        <v/>
      </c>
      <c r="C20" t="n">
        <v>0.8159999999999999</v>
      </c>
      <c r="D20" t="n">
        <v>3.588</v>
      </c>
      <c r="E20" t="n">
        <v/>
      </c>
    </row>
    <row r="21">
      <c r="A21" s="27" t="n">
        <v>40210</v>
      </c>
      <c r="B21" t="n">
        <v/>
      </c>
      <c r="C21" t="n">
        <v>0.855</v>
      </c>
      <c r="D21" t="n">
        <v>3.656</v>
      </c>
      <c r="E21" t="n">
        <v/>
      </c>
    </row>
    <row r="22">
      <c r="A22" s="27" t="n">
        <v>40211</v>
      </c>
      <c r="B22" t="n">
        <v/>
      </c>
      <c r="C22" t="n">
        <v>0.855</v>
      </c>
      <c r="D22" t="n">
        <v>3.64</v>
      </c>
      <c r="E22" t="n">
        <v/>
      </c>
    </row>
    <row r="23">
      <c r="A23" s="27" t="n">
        <v>40212</v>
      </c>
      <c r="B23" t="n">
        <v/>
      </c>
      <c r="C23" t="n">
        <v>0.883</v>
      </c>
      <c r="D23" t="n">
        <v>3.707</v>
      </c>
      <c r="E23" t="n">
        <v/>
      </c>
    </row>
    <row r="24">
      <c r="A24" s="27" t="n">
        <v>40213</v>
      </c>
      <c r="B24" t="n">
        <v/>
      </c>
      <c r="C24" t="n">
        <v>0.8070000000000001</v>
      </c>
      <c r="D24" t="n">
        <v>3.61</v>
      </c>
      <c r="E24" t="n">
        <v/>
      </c>
    </row>
    <row r="25">
      <c r="A25" s="27" t="n">
        <v>40214</v>
      </c>
      <c r="B25" t="n">
        <v/>
      </c>
      <c r="C25" t="n">
        <v>0.771</v>
      </c>
      <c r="D25" t="n">
        <v>3.571</v>
      </c>
      <c r="E25" t="n">
        <v/>
      </c>
    </row>
    <row r="26">
      <c r="A26" s="27" t="n">
        <v>40217</v>
      </c>
      <c r="B26" t="n">
        <v/>
      </c>
      <c r="C26" t="n">
        <v>0.763</v>
      </c>
      <c r="D26" t="n">
        <v>3.562</v>
      </c>
      <c r="E26" t="n">
        <v/>
      </c>
    </row>
    <row r="27">
      <c r="A27" s="27" t="n">
        <v>40218</v>
      </c>
      <c r="B27" t="n">
        <v/>
      </c>
      <c r="C27" t="n">
        <v>0.827</v>
      </c>
      <c r="D27" t="n">
        <v>3.647</v>
      </c>
      <c r="E27" t="n">
        <v/>
      </c>
    </row>
    <row r="28">
      <c r="A28" s="27" t="n">
        <v>40219</v>
      </c>
      <c r="B28" t="n">
        <v/>
      </c>
      <c r="C28" t="n">
        <v>0.879</v>
      </c>
      <c r="D28" t="n">
        <v>3.69</v>
      </c>
      <c r="E28" t="n">
        <v/>
      </c>
    </row>
    <row r="29">
      <c r="A29" s="27" t="n">
        <v>40220</v>
      </c>
      <c r="B29" t="n">
        <v/>
      </c>
      <c r="C29" t="n">
        <v>0.871</v>
      </c>
      <c r="D29" t="n">
        <v>3.721</v>
      </c>
      <c r="E29" t="n">
        <v/>
      </c>
    </row>
    <row r="30">
      <c r="A30" s="27" t="n">
        <v>40221</v>
      </c>
      <c r="B30" t="n">
        <v/>
      </c>
      <c r="C30" t="n">
        <v>0.831</v>
      </c>
      <c r="D30" t="n">
        <v>3.695</v>
      </c>
      <c r="E30" t="n">
        <v/>
      </c>
    </row>
    <row r="31">
      <c r="A31" s="27" t="n">
        <v>40225</v>
      </c>
      <c r="B31" t="n">
        <v/>
      </c>
      <c r="C31" t="n">
        <v>0.806</v>
      </c>
      <c r="D31" t="n">
        <v>3.663</v>
      </c>
      <c r="E31" t="n">
        <v/>
      </c>
    </row>
    <row r="32">
      <c r="A32" s="27" t="n">
        <v>40226</v>
      </c>
      <c r="B32" t="n">
        <v/>
      </c>
      <c r="C32" t="n">
        <v>0.855</v>
      </c>
      <c r="D32" t="n">
        <v>3.735</v>
      </c>
      <c r="E32" t="n">
        <v/>
      </c>
    </row>
    <row r="33">
      <c r="A33" s="27" t="n">
        <v>40227</v>
      </c>
      <c r="B33" t="n">
        <v/>
      </c>
      <c r="C33" t="n">
        <v>0.928</v>
      </c>
      <c r="D33" t="n">
        <v>3.807</v>
      </c>
      <c r="E33" t="n">
        <v/>
      </c>
    </row>
    <row r="34">
      <c r="A34" s="27" t="n">
        <v>40228</v>
      </c>
      <c r="B34" t="n">
        <v/>
      </c>
      <c r="C34" t="n">
        <v>0.92</v>
      </c>
      <c r="D34" t="n">
        <v>3.776</v>
      </c>
      <c r="E34" t="n">
        <v/>
      </c>
    </row>
    <row r="35">
      <c r="A35" s="27" t="n">
        <v>40231</v>
      </c>
      <c r="B35" t="n">
        <v/>
      </c>
      <c r="C35" t="n">
        <v>0.887</v>
      </c>
      <c r="D35" t="n">
        <v>3.797</v>
      </c>
      <c r="E35" t="n">
        <v/>
      </c>
    </row>
    <row r="36">
      <c r="A36" s="27" t="n">
        <v>40232</v>
      </c>
      <c r="B36" t="n">
        <v/>
      </c>
      <c r="C36" t="n">
        <v>0.838</v>
      </c>
      <c r="D36" t="n">
        <v>3.689</v>
      </c>
      <c r="E36" t="n">
        <v/>
      </c>
    </row>
    <row r="37">
      <c r="A37" s="27" t="n">
        <v>40233</v>
      </c>
      <c r="B37" t="n">
        <v/>
      </c>
      <c r="C37" t="n">
        <v>0.867</v>
      </c>
      <c r="D37" t="n">
        <v>3.695</v>
      </c>
      <c r="E37" t="n">
        <v/>
      </c>
    </row>
    <row r="38">
      <c r="A38" s="27" t="n">
        <v>40234</v>
      </c>
      <c r="B38" t="n">
        <v/>
      </c>
      <c r="C38" t="n">
        <v>0.828</v>
      </c>
      <c r="D38" t="n">
        <v>3.632</v>
      </c>
      <c r="E38" t="n">
        <v/>
      </c>
    </row>
    <row r="39">
      <c r="A39" s="27" t="n">
        <v>40235</v>
      </c>
      <c r="B39" t="n">
        <v/>
      </c>
      <c r="C39" t="n">
        <v>0.8159999999999999</v>
      </c>
      <c r="D39" t="n">
        <v>3.619</v>
      </c>
      <c r="E39" t="n">
        <v/>
      </c>
    </row>
    <row r="40">
      <c r="A40" s="27" t="n">
        <v>40238</v>
      </c>
      <c r="B40" t="n">
        <v/>
      </c>
      <c r="C40" t="n">
        <v>0.804</v>
      </c>
      <c r="D40" t="n">
        <v>3.608</v>
      </c>
      <c r="E40" t="n">
        <v/>
      </c>
    </row>
    <row r="41">
      <c r="A41" s="27" t="n">
        <v>40239</v>
      </c>
      <c r="B41" t="n">
        <v/>
      </c>
      <c r="C41" t="n">
        <v>0.792</v>
      </c>
      <c r="D41" t="n">
        <v>3.608</v>
      </c>
      <c r="E41" t="n">
        <v/>
      </c>
    </row>
    <row r="42">
      <c r="A42" s="27" t="n">
        <v>40240</v>
      </c>
      <c r="B42" t="n">
        <v/>
      </c>
      <c r="C42" t="n">
        <v>0.8120000000000001</v>
      </c>
      <c r="D42" t="n">
        <v>3.621</v>
      </c>
      <c r="E42" t="n">
        <v/>
      </c>
    </row>
    <row r="43">
      <c r="A43" s="27" t="n">
        <v>40241</v>
      </c>
      <c r="B43" t="n">
        <v/>
      </c>
      <c r="C43" t="n">
        <v>0.859</v>
      </c>
      <c r="D43" t="n">
        <v>3.606</v>
      </c>
      <c r="E43" t="n">
        <v/>
      </c>
    </row>
    <row r="44">
      <c r="A44" s="27" t="n">
        <v>40242</v>
      </c>
      <c r="B44" t="n">
        <v/>
      </c>
      <c r="C44" t="n">
        <v>0.899</v>
      </c>
      <c r="D44" t="n">
        <v>3.682</v>
      </c>
      <c r="E44" t="n">
        <v/>
      </c>
    </row>
    <row r="45">
      <c r="A45" s="27" t="n">
        <v>40245</v>
      </c>
      <c r="B45" t="n">
        <v/>
      </c>
      <c r="C45" t="n">
        <v>0.895</v>
      </c>
      <c r="D45" t="n">
        <v>3.721</v>
      </c>
      <c r="E45" t="n">
        <v/>
      </c>
    </row>
    <row r="46">
      <c r="A46" s="27" t="n">
        <v>40246</v>
      </c>
      <c r="B46" t="n">
        <v/>
      </c>
      <c r="C46" t="n">
        <v>0.871</v>
      </c>
      <c r="D46" t="n">
        <v>3.7</v>
      </c>
      <c r="E46" t="n">
        <v/>
      </c>
    </row>
    <row r="47">
      <c r="A47" s="27" t="n">
        <v>40247</v>
      </c>
      <c r="B47" t="n">
        <v/>
      </c>
      <c r="C47" t="n">
        <v>0.907</v>
      </c>
      <c r="D47" t="n">
        <v>3.721</v>
      </c>
      <c r="E47" t="n">
        <v/>
      </c>
    </row>
    <row r="48">
      <c r="A48" s="27" t="n">
        <v>40248</v>
      </c>
      <c r="B48" t="n">
        <v/>
      </c>
      <c r="C48" t="n">
        <v>0.951</v>
      </c>
      <c r="D48" t="n">
        <v>3.729</v>
      </c>
      <c r="E48" t="n">
        <v/>
      </c>
    </row>
    <row r="49">
      <c r="A49" s="27" t="n">
        <v>40249</v>
      </c>
      <c r="B49" t="n">
        <v/>
      </c>
      <c r="C49" t="n">
        <v>0.96</v>
      </c>
      <c r="D49" t="n">
        <v>3.703</v>
      </c>
      <c r="E49" t="n">
        <v/>
      </c>
    </row>
    <row r="50">
      <c r="A50" s="27" t="n">
        <v>40252</v>
      </c>
      <c r="B50" t="n">
        <v/>
      </c>
      <c r="C50" t="n">
        <v>0.944</v>
      </c>
      <c r="D50" t="n">
        <v>3.697</v>
      </c>
      <c r="E50" t="n">
        <v/>
      </c>
    </row>
    <row r="51">
      <c r="A51" s="27" t="n">
        <v>40253</v>
      </c>
      <c r="B51" t="n">
        <v/>
      </c>
      <c r="C51" t="n">
        <v>0.911</v>
      </c>
      <c r="D51" t="n">
        <v>3.653</v>
      </c>
      <c r="E51" t="n">
        <v/>
      </c>
    </row>
    <row r="52">
      <c r="A52" s="27" t="n">
        <v>40254</v>
      </c>
      <c r="B52" t="n">
        <v/>
      </c>
      <c r="C52" t="n">
        <v>0.919</v>
      </c>
      <c r="D52" t="n">
        <v>3.642</v>
      </c>
      <c r="E52" t="n">
        <v/>
      </c>
    </row>
    <row r="53">
      <c r="A53" s="27" t="n">
        <v>40255</v>
      </c>
      <c r="B53" t="n">
        <v/>
      </c>
      <c r="C53" t="n">
        <v>0.956</v>
      </c>
      <c r="D53" t="n">
        <v>3.682</v>
      </c>
      <c r="E53" t="n">
        <v/>
      </c>
    </row>
    <row r="54">
      <c r="A54" s="27" t="n">
        <v>40256</v>
      </c>
      <c r="B54" t="n">
        <v/>
      </c>
      <c r="C54" t="n">
        <v>0.997</v>
      </c>
      <c r="D54" t="n">
        <v>3.693</v>
      </c>
      <c r="E54" t="n">
        <v/>
      </c>
    </row>
    <row r="55">
      <c r="A55" s="27" t="n">
        <v>40259</v>
      </c>
      <c r="B55" t="n">
        <v/>
      </c>
      <c r="C55" t="n">
        <v>0.973</v>
      </c>
      <c r="D55" t="n">
        <v>3.661</v>
      </c>
      <c r="E55" t="n">
        <v/>
      </c>
    </row>
    <row r="56">
      <c r="A56" s="27" t="n">
        <v>40260</v>
      </c>
      <c r="B56" t="n">
        <v/>
      </c>
      <c r="C56" t="n">
        <v>0.981</v>
      </c>
      <c r="D56" t="n">
        <v>3.687</v>
      </c>
      <c r="E56" t="n">
        <v/>
      </c>
    </row>
    <row r="57">
      <c r="A57" s="27" t="n">
        <v>40261</v>
      </c>
      <c r="B57" t="n">
        <v/>
      </c>
      <c r="C57" t="n">
        <v>1.099</v>
      </c>
      <c r="D57" t="n">
        <v>3.854</v>
      </c>
      <c r="E57" t="n">
        <v/>
      </c>
    </row>
    <row r="58">
      <c r="A58" s="27" t="n">
        <v>40262</v>
      </c>
      <c r="B58" t="n">
        <v/>
      </c>
      <c r="C58" t="n">
        <v>1.087</v>
      </c>
      <c r="D58" t="n">
        <v>3.881</v>
      </c>
      <c r="E58" t="n">
        <v/>
      </c>
    </row>
    <row r="59">
      <c r="A59" s="27" t="n">
        <v>40263</v>
      </c>
      <c r="B59" t="n">
        <v/>
      </c>
      <c r="C59" t="n">
        <v>1.048</v>
      </c>
      <c r="D59" t="n">
        <v>3.851</v>
      </c>
      <c r="E59" t="n">
        <v/>
      </c>
    </row>
    <row r="60">
      <c r="A60" s="27" t="n">
        <v>40266</v>
      </c>
      <c r="B60" t="n">
        <v/>
      </c>
      <c r="C60" t="n">
        <v>1.04</v>
      </c>
      <c r="D60" t="n">
        <v>3.866</v>
      </c>
      <c r="E60" t="n">
        <v/>
      </c>
    </row>
    <row r="61">
      <c r="A61" s="27" t="n">
        <v>40267</v>
      </c>
      <c r="B61" t="n">
        <v/>
      </c>
      <c r="C61" t="n">
        <v>1.063</v>
      </c>
      <c r="D61" t="n">
        <v>3.858</v>
      </c>
      <c r="E61" t="n">
        <v/>
      </c>
    </row>
    <row r="62">
      <c r="A62" s="27" t="n">
        <v>40268</v>
      </c>
      <c r="B62" t="n">
        <v/>
      </c>
      <c r="C62" t="n">
        <v>1.02</v>
      </c>
      <c r="D62" t="n">
        <v>3.833</v>
      </c>
      <c r="E62" t="n">
        <v/>
      </c>
    </row>
    <row r="63">
      <c r="A63" s="27" t="n">
        <v>40269</v>
      </c>
      <c r="B63" t="n">
        <v/>
      </c>
      <c r="C63" t="n">
        <v>1.06</v>
      </c>
      <c r="D63" t="n">
        <v>3.87</v>
      </c>
      <c r="E63" t="n">
        <v/>
      </c>
    </row>
    <row r="64">
      <c r="A64" s="27" t="n">
        <v>40270</v>
      </c>
      <c r="B64" t="n">
        <v/>
      </c>
      <c r="C64" t="n">
        <v>1.104</v>
      </c>
      <c r="D64" t="n">
        <v>3.943</v>
      </c>
      <c r="E64" t="n">
        <v/>
      </c>
    </row>
    <row r="65">
      <c r="A65" s="27" t="n">
        <v>40273</v>
      </c>
      <c r="B65" t="n">
        <v/>
      </c>
      <c r="C65" t="n">
        <v>1.176</v>
      </c>
      <c r="D65" t="n">
        <v>3.99</v>
      </c>
      <c r="E65" t="n">
        <v/>
      </c>
    </row>
    <row r="66">
      <c r="A66" s="27" t="n">
        <v>40274</v>
      </c>
      <c r="B66" t="n">
        <v/>
      </c>
      <c r="C66" t="n">
        <v>1.14</v>
      </c>
      <c r="D66" t="n">
        <v>3.956</v>
      </c>
      <c r="E66" t="n">
        <v/>
      </c>
    </row>
    <row r="67">
      <c r="A67" s="27" t="n">
        <v>40275</v>
      </c>
      <c r="B67" t="n">
        <v/>
      </c>
      <c r="C67" t="n">
        <v>1.056</v>
      </c>
      <c r="D67" t="n">
        <v>3.863</v>
      </c>
      <c r="E67" t="n">
        <v/>
      </c>
    </row>
    <row r="68">
      <c r="A68" s="27" t="n">
        <v>40276</v>
      </c>
      <c r="B68" t="n">
        <v/>
      </c>
      <c r="C68" t="n">
        <v>1.068</v>
      </c>
      <c r="D68" t="n">
        <v>3.89</v>
      </c>
      <c r="E68" t="n">
        <v/>
      </c>
    </row>
    <row r="69">
      <c r="A69" s="27" t="n">
        <v>40277</v>
      </c>
      <c r="B69" t="n">
        <v/>
      </c>
      <c r="C69" t="n">
        <v>1.064</v>
      </c>
      <c r="D69" t="n">
        <v>3.881</v>
      </c>
      <c r="E69" t="n">
        <v/>
      </c>
    </row>
    <row r="70">
      <c r="A70" s="27" t="n">
        <v>40280</v>
      </c>
      <c r="B70" t="n">
        <v/>
      </c>
      <c r="C70" t="n">
        <v>1.036</v>
      </c>
      <c r="D70" t="n">
        <v>3.838</v>
      </c>
      <c r="E70" t="n">
        <v/>
      </c>
    </row>
    <row r="71">
      <c r="A71" s="27" t="n">
        <v>40281</v>
      </c>
      <c r="B71" t="n">
        <v/>
      </c>
      <c r="C71" t="n">
        <v>1.052</v>
      </c>
      <c r="D71" t="n">
        <v>3.82</v>
      </c>
      <c r="E71" t="n">
        <v/>
      </c>
    </row>
    <row r="72">
      <c r="A72" s="27" t="n">
        <v>40282</v>
      </c>
      <c r="B72" t="n">
        <v/>
      </c>
      <c r="C72" t="n">
        <v>1.056</v>
      </c>
      <c r="D72" t="n">
        <v>3.865</v>
      </c>
      <c r="E72" t="n">
        <v/>
      </c>
    </row>
    <row r="73">
      <c r="A73" s="27" t="n">
        <v>40283</v>
      </c>
      <c r="B73" t="n">
        <v/>
      </c>
      <c r="C73" t="n">
        <v>1.016</v>
      </c>
      <c r="D73" t="n">
        <v>3.836</v>
      </c>
      <c r="E73" t="n">
        <v/>
      </c>
    </row>
    <row r="74">
      <c r="A74" s="27" t="n">
        <v>40284</v>
      </c>
      <c r="B74" t="n">
        <v/>
      </c>
      <c r="C74" t="n">
        <v>0.959</v>
      </c>
      <c r="D74" t="n">
        <v>3.77</v>
      </c>
      <c r="E74" t="n">
        <v/>
      </c>
    </row>
    <row r="75">
      <c r="A75" s="27" t="n">
        <v>40287</v>
      </c>
      <c r="B75" t="n">
        <v/>
      </c>
      <c r="C75" t="n">
        <v>0.988</v>
      </c>
      <c r="D75" t="n">
        <v>3.803</v>
      </c>
      <c r="E75" t="n">
        <v/>
      </c>
    </row>
    <row r="76">
      <c r="A76" s="27" t="n">
        <v>40288</v>
      </c>
      <c r="B76" t="n">
        <v/>
      </c>
      <c r="C76" t="n">
        <v>1.012</v>
      </c>
      <c r="D76" t="n">
        <v>3.797</v>
      </c>
      <c r="E76" t="n">
        <v/>
      </c>
    </row>
    <row r="77">
      <c r="A77" s="27" t="n">
        <v>40289</v>
      </c>
      <c r="B77" t="n">
        <v/>
      </c>
      <c r="C77" t="n">
        <v>1</v>
      </c>
      <c r="D77" t="n">
        <v>3.738</v>
      </c>
      <c r="E77" t="n">
        <v/>
      </c>
    </row>
    <row r="78">
      <c r="A78" s="27" t="n">
        <v>40290</v>
      </c>
      <c r="B78" t="n">
        <v/>
      </c>
      <c r="C78" t="n">
        <v>1.033</v>
      </c>
      <c r="D78" t="n">
        <v>3.77</v>
      </c>
      <c r="E78" t="n">
        <v/>
      </c>
    </row>
    <row r="79">
      <c r="A79" s="27" t="n">
        <v>40291</v>
      </c>
      <c r="B79" t="n">
        <v/>
      </c>
      <c r="C79" t="n">
        <v>1.07</v>
      </c>
      <c r="D79" t="n">
        <v>3.817</v>
      </c>
      <c r="E79" t="n">
        <v/>
      </c>
    </row>
    <row r="80">
      <c r="A80" s="27" t="n">
        <v>40294</v>
      </c>
      <c r="B80" t="n">
        <v/>
      </c>
      <c r="C80" t="n">
        <v>1.057</v>
      </c>
      <c r="D80" t="n">
        <v>3.809</v>
      </c>
      <c r="E80" t="n">
        <v/>
      </c>
    </row>
    <row r="81">
      <c r="A81" s="27" t="n">
        <v>40295</v>
      </c>
      <c r="B81" t="n">
        <v/>
      </c>
      <c r="C81" t="n">
        <v>0.963</v>
      </c>
      <c r="D81" t="n">
        <v>3.693</v>
      </c>
      <c r="E81" t="n">
        <v/>
      </c>
    </row>
    <row r="82">
      <c r="A82" s="27" t="n">
        <v>40296</v>
      </c>
      <c r="B82" t="n">
        <v/>
      </c>
      <c r="C82" t="n">
        <v>1.032</v>
      </c>
      <c r="D82" t="n">
        <v>3.767</v>
      </c>
      <c r="E82" t="n">
        <v/>
      </c>
    </row>
    <row r="83">
      <c r="A83" s="27" t="n">
        <v>40297</v>
      </c>
      <c r="B83" t="n">
        <v/>
      </c>
      <c r="C83" t="n">
        <v>1.004</v>
      </c>
      <c r="D83" t="n">
        <v>3.73</v>
      </c>
      <c r="E83" t="n">
        <v/>
      </c>
    </row>
    <row r="84">
      <c r="A84" s="27" t="n">
        <v>40298</v>
      </c>
      <c r="B84" t="n">
        <v/>
      </c>
      <c r="C84" t="n">
        <v>0.964</v>
      </c>
      <c r="D84" t="n">
        <v>3.659</v>
      </c>
      <c r="E84" t="n">
        <v/>
      </c>
    </row>
    <row r="85">
      <c r="A85" s="27" t="n">
        <v>40301</v>
      </c>
      <c r="B85" t="n">
        <v/>
      </c>
      <c r="C85" t="n">
        <v>1</v>
      </c>
      <c r="D85" t="n">
        <v>3.692</v>
      </c>
      <c r="E85" t="n">
        <v/>
      </c>
    </row>
    <row r="86">
      <c r="A86" s="27" t="n">
        <v>40302</v>
      </c>
      <c r="B86" t="n">
        <v/>
      </c>
      <c r="C86" t="n">
        <v>0.952</v>
      </c>
      <c r="D86" t="n">
        <v>3.598</v>
      </c>
      <c r="E86" t="n">
        <v/>
      </c>
    </row>
    <row r="87">
      <c r="A87" s="27" t="n">
        <v>40303</v>
      </c>
      <c r="B87" t="n">
        <v/>
      </c>
      <c r="C87" t="n">
        <v>0.873</v>
      </c>
      <c r="D87" t="n">
        <v>3.546</v>
      </c>
      <c r="E87" t="n">
        <v/>
      </c>
    </row>
    <row r="88">
      <c r="A88" s="27" t="n">
        <v>40304</v>
      </c>
      <c r="B88" t="n">
        <v/>
      </c>
      <c r="C88" t="n">
        <v>0.793</v>
      </c>
      <c r="D88" t="n">
        <v>3.405</v>
      </c>
      <c r="E88" t="n">
        <v/>
      </c>
    </row>
    <row r="89">
      <c r="A89" s="27" t="n">
        <v>40305</v>
      </c>
      <c r="B89" t="n">
        <v/>
      </c>
      <c r="C89" t="n">
        <v>0.82</v>
      </c>
      <c r="D89" t="n">
        <v>3.42</v>
      </c>
      <c r="E89" t="n">
        <v/>
      </c>
    </row>
    <row r="90">
      <c r="A90" s="27" t="n">
        <v>40308</v>
      </c>
      <c r="B90" t="n">
        <v/>
      </c>
      <c r="C90" t="n">
        <v>0.868</v>
      </c>
      <c r="D90" t="n">
        <v>3.544</v>
      </c>
      <c r="E90" t="n">
        <v/>
      </c>
    </row>
    <row r="91">
      <c r="A91" s="27" t="n">
        <v>40309</v>
      </c>
      <c r="B91" t="n">
        <v/>
      </c>
      <c r="C91" t="n">
        <v>0.84</v>
      </c>
      <c r="D91" t="n">
        <v>3.527</v>
      </c>
      <c r="E91" t="n">
        <v/>
      </c>
    </row>
    <row r="92">
      <c r="A92" s="27" t="n">
        <v>40310</v>
      </c>
      <c r="B92" t="n">
        <v/>
      </c>
      <c r="C92" t="n">
        <v>0.867</v>
      </c>
      <c r="D92" t="n">
        <v>3.571</v>
      </c>
      <c r="E92" t="n">
        <v/>
      </c>
    </row>
    <row r="93">
      <c r="A93" s="27" t="n">
        <v>40311</v>
      </c>
      <c r="B93" t="n">
        <v/>
      </c>
      <c r="C93" t="n">
        <v>0.835</v>
      </c>
      <c r="D93" t="n">
        <v>3.537</v>
      </c>
      <c r="E93" t="n">
        <v/>
      </c>
    </row>
    <row r="94">
      <c r="A94" s="27" t="n">
        <v>40312</v>
      </c>
      <c r="B94" t="n">
        <v/>
      </c>
      <c r="C94" t="n">
        <v>0.79</v>
      </c>
      <c r="D94" t="n">
        <v>3.455</v>
      </c>
      <c r="E94" t="n">
        <v/>
      </c>
    </row>
    <row r="95">
      <c r="A95" s="27" t="n">
        <v>40315</v>
      </c>
      <c r="B95" t="n">
        <v/>
      </c>
      <c r="C95" t="n">
        <v>0.806</v>
      </c>
      <c r="D95" t="n">
        <v>3.491</v>
      </c>
      <c r="E95" t="n">
        <v/>
      </c>
    </row>
    <row r="96">
      <c r="A96" s="27" t="n">
        <v>40316</v>
      </c>
      <c r="B96" t="n">
        <v/>
      </c>
      <c r="C96" t="n">
        <v>0.733</v>
      </c>
      <c r="D96" t="n">
        <v>3.353</v>
      </c>
      <c r="E96" t="n">
        <v/>
      </c>
    </row>
    <row r="97">
      <c r="A97" s="27" t="n">
        <v>40317</v>
      </c>
      <c r="B97" t="n">
        <v/>
      </c>
      <c r="C97" t="n">
        <v>0.777</v>
      </c>
      <c r="D97" t="n">
        <v>3.37</v>
      </c>
      <c r="E97" t="n">
        <v/>
      </c>
    </row>
    <row r="98">
      <c r="A98" s="27" t="n">
        <v>40318</v>
      </c>
      <c r="B98" t="n">
        <v/>
      </c>
      <c r="C98" t="n">
        <v>0.716</v>
      </c>
      <c r="D98" t="n">
        <v>3.216</v>
      </c>
      <c r="E98" t="n">
        <v/>
      </c>
    </row>
    <row r="99">
      <c r="A99" s="27" t="n">
        <v>40319</v>
      </c>
      <c r="B99" t="n">
        <v/>
      </c>
      <c r="C99" t="n">
        <v>0.764</v>
      </c>
      <c r="D99" t="n">
        <v>3.236</v>
      </c>
      <c r="E99" t="n">
        <v/>
      </c>
    </row>
    <row r="100">
      <c r="A100" s="27" t="n">
        <v>40322</v>
      </c>
      <c r="B100" t="n">
        <v/>
      </c>
      <c r="C100" t="n">
        <v>0.735</v>
      </c>
      <c r="D100" t="n">
        <v>3.198</v>
      </c>
      <c r="E100" t="n">
        <v/>
      </c>
    </row>
    <row r="101">
      <c r="A101" s="27" t="n">
        <v>40323</v>
      </c>
      <c r="B101" t="n">
        <v/>
      </c>
      <c r="C101" t="n">
        <v>0.759</v>
      </c>
      <c r="D101" t="n">
        <v>3.16</v>
      </c>
      <c r="E101" t="n">
        <v/>
      </c>
    </row>
    <row r="102">
      <c r="A102" s="27" t="n">
        <v>40324</v>
      </c>
      <c r="B102" t="n">
        <v/>
      </c>
      <c r="C102" t="n">
        <v>0.8169999999999999</v>
      </c>
      <c r="D102" t="n">
        <v>3.192</v>
      </c>
      <c r="E102" t="n">
        <v/>
      </c>
    </row>
    <row r="103">
      <c r="A103" s="27" t="n">
        <v>40325</v>
      </c>
      <c r="B103" t="n">
        <v/>
      </c>
      <c r="C103" t="n">
        <v>0.881</v>
      </c>
      <c r="D103" t="n">
        <v>3.357</v>
      </c>
      <c r="E103" t="n">
        <v/>
      </c>
    </row>
    <row r="104">
      <c r="A104" s="27" t="n">
        <v>40326</v>
      </c>
      <c r="B104" t="n">
        <v/>
      </c>
      <c r="C104" t="n">
        <v>0.774</v>
      </c>
      <c r="D104" t="n">
        <v>3.303</v>
      </c>
      <c r="E104" t="n">
        <v/>
      </c>
    </row>
    <row r="105">
      <c r="A105" s="27" t="n">
        <v>40329</v>
      </c>
      <c r="B105" t="n">
        <v/>
      </c>
      <c r="C105" t="n">
        <v/>
      </c>
      <c r="D105" t="n">
        <v>3.3</v>
      </c>
      <c r="E105" t="n">
        <v/>
      </c>
    </row>
    <row r="106">
      <c r="A106" s="27" t="n">
        <v>40330</v>
      </c>
      <c r="B106" t="n">
        <v/>
      </c>
      <c r="C106" t="n">
        <v>0.77</v>
      </c>
      <c r="D106" t="n">
        <v>3.263</v>
      </c>
      <c r="E106" t="n">
        <v/>
      </c>
    </row>
    <row r="107">
      <c r="A107" s="27" t="n">
        <v>40331</v>
      </c>
      <c r="B107" t="n">
        <v/>
      </c>
      <c r="C107" t="n">
        <v>0.8169999999999999</v>
      </c>
      <c r="D107" t="n">
        <v>3.347</v>
      </c>
      <c r="E107" t="n">
        <v/>
      </c>
    </row>
    <row r="108">
      <c r="A108" s="27" t="n">
        <v>40332</v>
      </c>
      <c r="B108" t="n">
        <v/>
      </c>
      <c r="C108" t="n">
        <v>0.821</v>
      </c>
      <c r="D108" t="n">
        <v>3.369</v>
      </c>
      <c r="E108" t="n">
        <v/>
      </c>
    </row>
    <row r="109">
      <c r="A109" s="27" t="n">
        <v>40333</v>
      </c>
      <c r="B109" t="n">
        <v/>
      </c>
      <c r="C109" t="n">
        <v>0.73</v>
      </c>
      <c r="D109" t="n">
        <v>3.208</v>
      </c>
      <c r="E109" t="n">
        <v/>
      </c>
    </row>
    <row r="110">
      <c r="A110" s="27" t="n">
        <v>40336</v>
      </c>
      <c r="B110" t="n">
        <v/>
      </c>
      <c r="C110" t="n">
        <v>0.718</v>
      </c>
      <c r="D110" t="n">
        <v>3.146</v>
      </c>
      <c r="E110" t="n">
        <v/>
      </c>
    </row>
    <row r="111">
      <c r="A111" s="27" t="n">
        <v>40337</v>
      </c>
      <c r="B111" t="n">
        <v/>
      </c>
      <c r="C111" t="n">
        <v>0.746</v>
      </c>
      <c r="D111" t="n">
        <v>3.189</v>
      </c>
      <c r="E111" t="n">
        <v/>
      </c>
    </row>
    <row r="112">
      <c r="A112" s="27" t="n">
        <v>40338</v>
      </c>
      <c r="B112" t="n">
        <v/>
      </c>
      <c r="C112" t="n">
        <v>0.726</v>
      </c>
      <c r="D112" t="n">
        <v>3.178</v>
      </c>
      <c r="E112" t="n">
        <v/>
      </c>
    </row>
    <row r="113">
      <c r="A113" s="27" t="n">
        <v>40339</v>
      </c>
      <c r="B113" t="n">
        <v/>
      </c>
      <c r="C113" t="n">
        <v>0.794</v>
      </c>
      <c r="D113" t="n">
        <v>3.325</v>
      </c>
      <c r="E113" t="n">
        <v/>
      </c>
    </row>
    <row r="114">
      <c r="A114" s="27" t="n">
        <v>40340</v>
      </c>
      <c r="B114" t="n">
        <v/>
      </c>
      <c r="C114" t="n">
        <v>0.734</v>
      </c>
      <c r="D114" t="n">
        <v>3.233</v>
      </c>
      <c r="E114" t="n">
        <v/>
      </c>
    </row>
    <row r="115">
      <c r="A115" s="27" t="n">
        <v>40343</v>
      </c>
      <c r="B115" t="n">
        <v/>
      </c>
      <c r="C115" t="n">
        <v>0.738</v>
      </c>
      <c r="D115" t="n">
        <v>3.262</v>
      </c>
      <c r="E115" t="n">
        <v/>
      </c>
    </row>
    <row r="116">
      <c r="A116" s="27" t="n">
        <v>40344</v>
      </c>
      <c r="B116" t="n">
        <v/>
      </c>
      <c r="C116" t="n">
        <v>0.758</v>
      </c>
      <c r="D116" t="n">
        <v>3.306</v>
      </c>
      <c r="E116" t="n">
        <v/>
      </c>
    </row>
    <row r="117">
      <c r="A117" s="27" t="n">
        <v>40345</v>
      </c>
      <c r="B117" t="n">
        <v/>
      </c>
      <c r="C117" t="n">
        <v>0.734</v>
      </c>
      <c r="D117" t="n">
        <v>3.264</v>
      </c>
      <c r="E117" t="n">
        <v/>
      </c>
    </row>
    <row r="118">
      <c r="A118" s="27" t="n">
        <v>40346</v>
      </c>
      <c r="B118" t="n">
        <v/>
      </c>
      <c r="C118" t="n">
        <v>0.706</v>
      </c>
      <c r="D118" t="n">
        <v>3.194</v>
      </c>
      <c r="E118" t="n">
        <v/>
      </c>
    </row>
    <row r="119">
      <c r="A119" s="27" t="n">
        <v>40347</v>
      </c>
      <c r="B119" t="n">
        <v/>
      </c>
      <c r="C119" t="n">
        <v>0.714</v>
      </c>
      <c r="D119" t="n">
        <v>3.225</v>
      </c>
      <c r="E119" t="n">
        <v/>
      </c>
    </row>
    <row r="120">
      <c r="A120" s="27" t="n">
        <v>40350</v>
      </c>
      <c r="B120" t="n">
        <v/>
      </c>
      <c r="C120" t="n">
        <v>0.717</v>
      </c>
      <c r="D120" t="n">
        <v>3.243</v>
      </c>
      <c r="E120" t="n">
        <v/>
      </c>
    </row>
    <row r="121">
      <c r="A121" s="27" t="n">
        <v>40351</v>
      </c>
      <c r="B121" t="n">
        <v/>
      </c>
      <c r="C121" t="n">
        <v>0.6850000000000001</v>
      </c>
      <c r="D121" t="n">
        <v>3.165</v>
      </c>
      <c r="E121" t="n">
        <v/>
      </c>
    </row>
    <row r="122">
      <c r="A122" s="27" t="n">
        <v>40352</v>
      </c>
      <c r="B122" t="n">
        <v/>
      </c>
      <c r="C122" t="n">
        <v>0.68</v>
      </c>
      <c r="D122" t="n">
        <v>3.124</v>
      </c>
      <c r="E122" t="n">
        <v/>
      </c>
    </row>
    <row r="123">
      <c r="A123" s="27" t="n">
        <v>40353</v>
      </c>
      <c r="B123" t="n">
        <v/>
      </c>
      <c r="C123" t="n">
        <v>0.68</v>
      </c>
      <c r="D123" t="n">
        <v>3.143</v>
      </c>
      <c r="E123" t="n">
        <v/>
      </c>
    </row>
    <row r="124">
      <c r="A124" s="27" t="n">
        <v>40354</v>
      </c>
      <c r="B124" t="n">
        <v/>
      </c>
      <c r="C124" t="n">
        <v>0.653</v>
      </c>
      <c r="D124" t="n">
        <v>3.11</v>
      </c>
      <c r="E124" t="n">
        <v/>
      </c>
    </row>
    <row r="125">
      <c r="A125" s="27" t="n">
        <v>40357</v>
      </c>
      <c r="B125" t="n">
        <v/>
      </c>
      <c r="C125" t="n">
        <v>0.629</v>
      </c>
      <c r="D125" t="n">
        <v>3.023</v>
      </c>
      <c r="E125" t="n">
        <v/>
      </c>
    </row>
    <row r="126">
      <c r="A126" s="27" t="n">
        <v>40358</v>
      </c>
      <c r="B126" t="n">
        <v/>
      </c>
      <c r="C126" t="n">
        <v>0.601</v>
      </c>
      <c r="D126" t="n">
        <v>2.953</v>
      </c>
      <c r="E126" t="n">
        <v/>
      </c>
    </row>
    <row r="127">
      <c r="A127" s="27" t="n">
        <v>40359</v>
      </c>
      <c r="B127" t="n">
        <v/>
      </c>
      <c r="C127" t="n">
        <v>0.605</v>
      </c>
      <c r="D127" t="n">
        <v>2.935</v>
      </c>
      <c r="E127" t="n">
        <v/>
      </c>
    </row>
    <row r="128">
      <c r="A128" s="27" t="n">
        <v>40360</v>
      </c>
      <c r="B128" t="n">
        <v/>
      </c>
      <c r="C128" t="n">
        <v>0.637</v>
      </c>
      <c r="D128" t="n">
        <v>2.954</v>
      </c>
      <c r="E128" t="n">
        <v/>
      </c>
    </row>
    <row r="129">
      <c r="A129" s="27" t="n">
        <v>40361</v>
      </c>
      <c r="B129" t="n">
        <v/>
      </c>
      <c r="C129" t="n">
        <v>0.629</v>
      </c>
      <c r="D129" t="n">
        <v>2.984</v>
      </c>
      <c r="E129" t="n">
        <v/>
      </c>
    </row>
    <row r="130">
      <c r="A130" s="27" t="n">
        <v>40364</v>
      </c>
      <c r="B130" t="n">
        <v/>
      </c>
      <c r="C130" t="n">
        <v/>
      </c>
      <c r="D130" t="n">
        <v>2.98</v>
      </c>
      <c r="E130" t="n">
        <v/>
      </c>
    </row>
    <row r="131">
      <c r="A131" s="27" t="n">
        <v>40365</v>
      </c>
      <c r="B131" t="n">
        <v/>
      </c>
      <c r="C131" t="n">
        <v>0.621</v>
      </c>
      <c r="D131" t="n">
        <v>2.936</v>
      </c>
      <c r="E131" t="n">
        <v/>
      </c>
    </row>
    <row r="132">
      <c r="A132" s="27" t="n">
        <v>40366</v>
      </c>
      <c r="B132" t="n">
        <v/>
      </c>
      <c r="C132" t="n">
        <v>0.629</v>
      </c>
      <c r="D132" t="n">
        <v>2.986</v>
      </c>
      <c r="E132" t="n">
        <v/>
      </c>
    </row>
    <row r="133">
      <c r="A133" s="27" t="n">
        <v>40367</v>
      </c>
      <c r="B133" t="n">
        <v/>
      </c>
      <c r="C133" t="n">
        <v>0.621</v>
      </c>
      <c r="D133" t="n">
        <v>3.034</v>
      </c>
      <c r="E133" t="n">
        <v/>
      </c>
    </row>
    <row r="134">
      <c r="A134" s="27" t="n">
        <v>40368</v>
      </c>
      <c r="B134" t="n">
        <v/>
      </c>
      <c r="C134" t="n">
        <v>0.633</v>
      </c>
      <c r="D134" t="n">
        <v>3.056</v>
      </c>
      <c r="E134" t="n">
        <v/>
      </c>
    </row>
    <row r="135">
      <c r="A135" s="27" t="n">
        <v>40371</v>
      </c>
      <c r="B135" t="n">
        <v/>
      </c>
      <c r="C135" t="n">
        <v>0.653</v>
      </c>
      <c r="D135" t="n">
        <v>3.066</v>
      </c>
      <c r="E135" t="n">
        <v/>
      </c>
    </row>
    <row r="136">
      <c r="A136" s="27" t="n">
        <v>40372</v>
      </c>
      <c r="B136" t="n">
        <v/>
      </c>
      <c r="C136" t="n">
        <v>0.669</v>
      </c>
      <c r="D136" t="n">
        <v>3.124</v>
      </c>
      <c r="E136" t="n">
        <v/>
      </c>
    </row>
    <row r="137">
      <c r="A137" s="27" t="n">
        <v>40373</v>
      </c>
      <c r="B137" t="n">
        <v/>
      </c>
      <c r="C137" t="n">
        <v>0.609</v>
      </c>
      <c r="D137" t="n">
        <v>3.05</v>
      </c>
      <c r="E137" t="n">
        <v/>
      </c>
    </row>
    <row r="138">
      <c r="A138" s="27" t="n">
        <v>40374</v>
      </c>
      <c r="B138" t="n">
        <v/>
      </c>
      <c r="C138" t="n">
        <v>0.609</v>
      </c>
      <c r="D138" t="n">
        <v>2.997</v>
      </c>
      <c r="E138" t="n">
        <v/>
      </c>
    </row>
    <row r="139">
      <c r="A139" s="27" t="n">
        <v>40375</v>
      </c>
      <c r="B139" t="n">
        <v/>
      </c>
      <c r="C139" t="n">
        <v>0.589</v>
      </c>
      <c r="D139" t="n">
        <v>2.925</v>
      </c>
      <c r="E139" t="n">
        <v/>
      </c>
    </row>
    <row r="140">
      <c r="A140" s="27" t="n">
        <v>40378</v>
      </c>
      <c r="B140" t="n">
        <v/>
      </c>
      <c r="C140" t="n">
        <v>0.593</v>
      </c>
      <c r="D140" t="n">
        <v>2.961</v>
      </c>
      <c r="E140" t="n">
        <v/>
      </c>
    </row>
    <row r="141">
      <c r="A141" s="27" t="n">
        <v>40379</v>
      </c>
      <c r="B141" t="n">
        <v/>
      </c>
      <c r="C141" t="n">
        <v>0.585</v>
      </c>
      <c r="D141" t="n">
        <v>2.954</v>
      </c>
      <c r="E141" t="n">
        <v/>
      </c>
    </row>
    <row r="142">
      <c r="A142" s="27" t="n">
        <v>40380</v>
      </c>
      <c r="B142" t="n">
        <v/>
      </c>
      <c r="C142" t="n">
        <v>0.5600000000000001</v>
      </c>
      <c r="D142" t="n">
        <v>2.882</v>
      </c>
      <c r="E142" t="n">
        <v/>
      </c>
    </row>
    <row r="143">
      <c r="A143" s="27" t="n">
        <v>40381</v>
      </c>
      <c r="B143" t="n">
        <v/>
      </c>
      <c r="C143" t="n">
        <v>0.5639999999999999</v>
      </c>
      <c r="D143" t="n">
        <v>2.932</v>
      </c>
      <c r="E143" t="n">
        <v/>
      </c>
    </row>
    <row r="144">
      <c r="A144" s="27" t="n">
        <v>40382</v>
      </c>
      <c r="B144" t="n">
        <v/>
      </c>
      <c r="C144" t="n">
        <v>0.588</v>
      </c>
      <c r="D144" t="n">
        <v>3</v>
      </c>
      <c r="E144" t="n">
        <v/>
      </c>
    </row>
    <row r="145">
      <c r="A145" s="27" t="n">
        <v>40385</v>
      </c>
      <c r="B145" t="n">
        <v/>
      </c>
      <c r="C145" t="n">
        <v>0.596</v>
      </c>
      <c r="D145" t="n">
        <v>2.996</v>
      </c>
      <c r="E145" t="n">
        <v/>
      </c>
    </row>
    <row r="146">
      <c r="A146" s="27" t="n">
        <v>40386</v>
      </c>
      <c r="B146" t="n">
        <v/>
      </c>
      <c r="C146" t="n">
        <v>0.641</v>
      </c>
      <c r="D146" t="n">
        <v>3.049</v>
      </c>
      <c r="E146" t="n">
        <v/>
      </c>
    </row>
    <row r="147">
      <c r="A147" s="27" t="n">
        <v>40387</v>
      </c>
      <c r="B147" t="n">
        <v/>
      </c>
      <c r="C147" t="n">
        <v>0.613</v>
      </c>
      <c r="D147" t="n">
        <v>2.99</v>
      </c>
      <c r="E147" t="n">
        <v/>
      </c>
    </row>
    <row r="148">
      <c r="A148" s="27" t="n">
        <v>40388</v>
      </c>
      <c r="B148" t="n">
        <v/>
      </c>
      <c r="C148" t="n">
        <v>0.586</v>
      </c>
      <c r="D148" t="n">
        <v>2.988</v>
      </c>
      <c r="E148" t="n">
        <v/>
      </c>
    </row>
    <row r="149">
      <c r="A149" s="27" t="n">
        <v>40389</v>
      </c>
      <c r="B149" t="n">
        <v/>
      </c>
      <c r="C149" t="n">
        <v>0.554</v>
      </c>
      <c r="D149" t="n">
        <v>2.905</v>
      </c>
      <c r="E149" t="n">
        <v/>
      </c>
    </row>
    <row r="150">
      <c r="A150" s="27" t="n">
        <v>40392</v>
      </c>
      <c r="B150" t="n">
        <v/>
      </c>
      <c r="C150" t="n">
        <v>0.5659999999999999</v>
      </c>
      <c r="D150" t="n">
        <v>2.963</v>
      </c>
      <c r="E150" t="n">
        <v/>
      </c>
    </row>
    <row r="151">
      <c r="A151" s="27" t="n">
        <v>40393</v>
      </c>
      <c r="B151" t="n">
        <v/>
      </c>
      <c r="C151" t="n">
        <v>0.538</v>
      </c>
      <c r="D151" t="n">
        <v>2.909</v>
      </c>
      <c r="E151" t="n">
        <v/>
      </c>
    </row>
    <row r="152">
      <c r="A152" s="27" t="n">
        <v>40394</v>
      </c>
      <c r="B152" t="n">
        <v/>
      </c>
      <c r="C152" t="n">
        <v>0.57</v>
      </c>
      <c r="D152" t="n">
        <v>2.953</v>
      </c>
      <c r="E152" t="n">
        <v/>
      </c>
    </row>
    <row r="153">
      <c r="A153" s="27" t="n">
        <v>40395</v>
      </c>
      <c r="B153" t="n">
        <v/>
      </c>
      <c r="C153" t="n">
        <v>0.534</v>
      </c>
      <c r="D153" t="n">
        <v>2.906</v>
      </c>
      <c r="E153" t="n">
        <v/>
      </c>
    </row>
    <row r="154">
      <c r="A154" s="27" t="n">
        <v>40396</v>
      </c>
      <c r="B154" t="n">
        <v/>
      </c>
      <c r="C154" t="n">
        <v>0.506</v>
      </c>
      <c r="D154" t="n">
        <v>2.822</v>
      </c>
      <c r="E154" t="n">
        <v/>
      </c>
    </row>
    <row r="155">
      <c r="A155" s="27" t="n">
        <v>40399</v>
      </c>
      <c r="B155" t="n">
        <v/>
      </c>
      <c r="C155" t="n">
        <v>0.537</v>
      </c>
      <c r="D155" t="n">
        <v>2.829</v>
      </c>
      <c r="E155" t="n">
        <v/>
      </c>
    </row>
    <row r="156">
      <c r="A156" s="27" t="n">
        <v>40400</v>
      </c>
      <c r="B156" t="n">
        <v/>
      </c>
      <c r="C156" t="n">
        <v>0.525</v>
      </c>
      <c r="D156" t="n">
        <v>2.768</v>
      </c>
      <c r="E156" t="n">
        <v/>
      </c>
    </row>
    <row r="157">
      <c r="A157" s="27" t="n">
        <v>40401</v>
      </c>
      <c r="B157" t="n">
        <v/>
      </c>
      <c r="C157" t="n">
        <v>0.517</v>
      </c>
      <c r="D157" t="n">
        <v>2.687</v>
      </c>
      <c r="E157" t="n">
        <v/>
      </c>
    </row>
    <row r="158">
      <c r="A158" s="27" t="n">
        <v>40402</v>
      </c>
      <c r="B158" t="n">
        <v/>
      </c>
      <c r="C158" t="n">
        <v>0.549</v>
      </c>
      <c r="D158" t="n">
        <v>2.753</v>
      </c>
      <c r="E158" t="n">
        <v/>
      </c>
    </row>
    <row r="159">
      <c r="A159" s="27" t="n">
        <v>40403</v>
      </c>
      <c r="B159" t="n">
        <v/>
      </c>
      <c r="C159" t="n">
        <v>0.533</v>
      </c>
      <c r="D159" t="n">
        <v>2.679</v>
      </c>
      <c r="E159" t="n">
        <v/>
      </c>
    </row>
    <row r="160">
      <c r="A160" s="27" t="n">
        <v>40406</v>
      </c>
      <c r="B160" t="n">
        <v/>
      </c>
      <c r="C160" t="n">
        <v>0.496</v>
      </c>
      <c r="D160" t="n">
        <v>2.573</v>
      </c>
      <c r="E160" t="n">
        <v/>
      </c>
    </row>
    <row r="161">
      <c r="A161" s="27" t="n">
        <v>40407</v>
      </c>
      <c r="B161" t="n">
        <v/>
      </c>
      <c r="C161" t="n">
        <v>0.5</v>
      </c>
      <c r="D161" t="n">
        <v>2.641</v>
      </c>
      <c r="E161" t="n">
        <v/>
      </c>
    </row>
    <row r="162">
      <c r="A162" s="27" t="n">
        <v>40408</v>
      </c>
      <c r="B162" t="n">
        <v/>
      </c>
      <c r="C162" t="n">
        <v>0.496</v>
      </c>
      <c r="D162" t="n">
        <v>2.638</v>
      </c>
      <c r="E162" t="n">
        <v/>
      </c>
    </row>
    <row r="163">
      <c r="A163" s="27" t="n">
        <v>40409</v>
      </c>
      <c r="B163" t="n">
        <v/>
      </c>
      <c r="C163" t="n">
        <v>0.488</v>
      </c>
      <c r="D163" t="n">
        <v>2.575</v>
      </c>
      <c r="E163" t="n">
        <v/>
      </c>
    </row>
    <row r="164">
      <c r="A164" s="27" t="n">
        <v>40410</v>
      </c>
      <c r="B164" t="n">
        <v/>
      </c>
      <c r="C164" t="n">
        <v>0.495</v>
      </c>
      <c r="D164" t="n">
        <v>2.614</v>
      </c>
      <c r="E164" t="n">
        <v/>
      </c>
    </row>
    <row r="165">
      <c r="A165" s="27" t="n">
        <v>40413</v>
      </c>
      <c r="B165" t="n">
        <v/>
      </c>
      <c r="C165" t="n">
        <v>0.483</v>
      </c>
      <c r="D165" t="n">
        <v>2.602</v>
      </c>
      <c r="E165" t="n">
        <v/>
      </c>
    </row>
    <row r="166">
      <c r="A166" s="27" t="n">
        <v>40414</v>
      </c>
      <c r="B166" t="n">
        <v/>
      </c>
      <c r="C166" t="n">
        <v>0.47</v>
      </c>
      <c r="D166" t="n">
        <v>2.488</v>
      </c>
      <c r="E166" t="n">
        <v/>
      </c>
    </row>
    <row r="167">
      <c r="A167" s="27" t="n">
        <v>40415</v>
      </c>
      <c r="B167" t="n">
        <v/>
      </c>
      <c r="C167" t="n">
        <v>0.524</v>
      </c>
      <c r="D167" t="n">
        <v>2.539</v>
      </c>
      <c r="E167" t="n">
        <v/>
      </c>
    </row>
    <row r="168">
      <c r="A168" s="27" t="n">
        <v>40416</v>
      </c>
      <c r="B168" t="n">
        <v/>
      </c>
      <c r="C168" t="n">
        <v>0.521</v>
      </c>
      <c r="D168" t="n">
        <v>2.481</v>
      </c>
      <c r="E168" t="n">
        <v/>
      </c>
    </row>
    <row r="169">
      <c r="A169" s="27" t="n">
        <v>40417</v>
      </c>
      <c r="B169" t="n">
        <v/>
      </c>
      <c r="C169" t="n">
        <v>0.5600000000000001</v>
      </c>
      <c r="D169" t="n">
        <v>2.647</v>
      </c>
      <c r="E169" t="n">
        <v/>
      </c>
    </row>
    <row r="170">
      <c r="A170" s="27" t="n">
        <v>40420</v>
      </c>
      <c r="B170" t="n">
        <v/>
      </c>
      <c r="C170" t="n">
        <v>0.501</v>
      </c>
      <c r="D170" t="n">
        <v>2.53</v>
      </c>
      <c r="E170" t="n">
        <v/>
      </c>
    </row>
    <row r="171">
      <c r="A171" s="27" t="n">
        <v>40421</v>
      </c>
      <c r="B171" t="n">
        <v/>
      </c>
      <c r="C171" t="n">
        <v>0.477</v>
      </c>
      <c r="D171" t="n">
        <v>2.47</v>
      </c>
      <c r="E171" t="n">
        <v/>
      </c>
    </row>
    <row r="172">
      <c r="A172" s="27" t="n">
        <v>40422</v>
      </c>
      <c r="B172" t="n">
        <v/>
      </c>
      <c r="C172" t="n">
        <v>0.505</v>
      </c>
      <c r="D172" t="n">
        <v>2.58</v>
      </c>
      <c r="E172" t="n">
        <v/>
      </c>
    </row>
    <row r="173">
      <c r="A173" s="27" t="n">
        <v>40423</v>
      </c>
      <c r="B173" t="n">
        <v/>
      </c>
      <c r="C173" t="n">
        <v>0.497</v>
      </c>
      <c r="D173" t="n">
        <v>2.625</v>
      </c>
      <c r="E173" t="n">
        <v/>
      </c>
    </row>
    <row r="174">
      <c r="A174" s="27" t="n">
        <v>40424</v>
      </c>
      <c r="B174" t="n">
        <v/>
      </c>
      <c r="C174" t="n">
        <v>0.518</v>
      </c>
      <c r="D174" t="n">
        <v>2.702</v>
      </c>
      <c r="E174" t="n">
        <v/>
      </c>
    </row>
    <row r="175">
      <c r="A175" s="27" t="n">
        <v>40427</v>
      </c>
      <c r="B175" t="n">
        <v/>
      </c>
      <c r="C175" t="n">
        <v/>
      </c>
      <c r="D175" t="n">
        <v>2.714</v>
      </c>
      <c r="E175" t="n">
        <v/>
      </c>
    </row>
    <row r="176">
      <c r="A176" s="27" t="n">
        <v>40428</v>
      </c>
      <c r="B176" t="n">
        <v/>
      </c>
      <c r="C176" t="n">
        <v>0.49</v>
      </c>
      <c r="D176" t="n">
        <v>2.598</v>
      </c>
      <c r="E176" t="n">
        <v/>
      </c>
    </row>
    <row r="177">
      <c r="A177" s="27" t="n">
        <v>40429</v>
      </c>
      <c r="B177" t="n">
        <v/>
      </c>
      <c r="C177" t="n">
        <v>0.522</v>
      </c>
      <c r="D177" t="n">
        <v>2.654</v>
      </c>
      <c r="E177" t="n">
        <v/>
      </c>
    </row>
    <row r="178">
      <c r="A178" s="27" t="n">
        <v>40430</v>
      </c>
      <c r="B178" t="n">
        <v/>
      </c>
      <c r="C178" t="n">
        <v>0.5629999999999999</v>
      </c>
      <c r="D178" t="n">
        <v>2.762</v>
      </c>
      <c r="E178" t="n">
        <v/>
      </c>
    </row>
    <row r="179">
      <c r="A179" s="27" t="n">
        <v>40431</v>
      </c>
      <c r="B179" t="n">
        <v/>
      </c>
      <c r="C179" t="n">
        <v>0.571</v>
      </c>
      <c r="D179" t="n">
        <v>2.795</v>
      </c>
      <c r="E179" t="n">
        <v/>
      </c>
    </row>
    <row r="180">
      <c r="A180" s="27" t="n">
        <v>40434</v>
      </c>
      <c r="B180" t="n">
        <v/>
      </c>
      <c r="C180" t="n">
        <v>0.535</v>
      </c>
      <c r="D180" t="n">
        <v>2.746</v>
      </c>
      <c r="E180" t="n">
        <v/>
      </c>
    </row>
    <row r="181">
      <c r="A181" s="27" t="n">
        <v>40435</v>
      </c>
      <c r="B181" t="n">
        <v/>
      </c>
      <c r="C181" t="n">
        <v>0.499</v>
      </c>
      <c r="D181" t="n">
        <v>2.683</v>
      </c>
      <c r="E181" t="n">
        <v/>
      </c>
    </row>
    <row r="182">
      <c r="A182" s="27" t="n">
        <v>40436</v>
      </c>
      <c r="B182" t="n">
        <v/>
      </c>
      <c r="C182" t="n">
        <v>0.484</v>
      </c>
      <c r="D182" t="n">
        <v>2.723</v>
      </c>
      <c r="E182" t="n">
        <v/>
      </c>
    </row>
    <row r="183">
      <c r="A183" s="27" t="n">
        <v>40437</v>
      </c>
      <c r="B183" t="n">
        <v/>
      </c>
      <c r="C183" t="n">
        <v>0.48</v>
      </c>
      <c r="D183" t="n">
        <v>2.764</v>
      </c>
      <c r="E183" t="n">
        <v/>
      </c>
    </row>
    <row r="184">
      <c r="A184" s="27" t="n">
        <v>40438</v>
      </c>
      <c r="B184" t="n">
        <v/>
      </c>
      <c r="C184" t="n">
        <v>0.468</v>
      </c>
      <c r="D184" t="n">
        <v>2.739</v>
      </c>
      <c r="E184" t="n">
        <v/>
      </c>
    </row>
    <row r="185">
      <c r="A185" s="27" t="n">
        <v>40441</v>
      </c>
      <c r="B185" t="n">
        <v/>
      </c>
      <c r="C185" t="n">
        <v>0.464</v>
      </c>
      <c r="D185" t="n">
        <v>2.704</v>
      </c>
      <c r="E185" t="n">
        <v/>
      </c>
    </row>
    <row r="186">
      <c r="A186" s="27" t="n">
        <v>40442</v>
      </c>
      <c r="B186" t="n">
        <v/>
      </c>
      <c r="C186" t="n">
        <v>0.424</v>
      </c>
      <c r="D186" t="n">
        <v>2.576</v>
      </c>
      <c r="E186" t="n">
        <v/>
      </c>
    </row>
    <row r="187">
      <c r="A187" s="27" t="n">
        <v>40443</v>
      </c>
      <c r="B187" t="n">
        <v/>
      </c>
      <c r="C187" t="n">
        <v>0.432</v>
      </c>
      <c r="D187" t="n">
        <v>2.555</v>
      </c>
      <c r="E187" t="n">
        <v/>
      </c>
    </row>
    <row r="188">
      <c r="A188" s="27" t="n">
        <v>40444</v>
      </c>
      <c r="B188" t="n">
        <v/>
      </c>
      <c r="C188" t="n">
        <v>0.42</v>
      </c>
      <c r="D188" t="n">
        <v>2.553</v>
      </c>
      <c r="E188" t="n">
        <v/>
      </c>
    </row>
    <row r="189">
      <c r="A189" s="27" t="n">
        <v>40445</v>
      </c>
      <c r="B189" t="n">
        <v/>
      </c>
      <c r="C189" t="n">
        <v>0.444</v>
      </c>
      <c r="D189" t="n">
        <v>2.61</v>
      </c>
      <c r="E189" t="n">
        <v/>
      </c>
    </row>
    <row r="190">
      <c r="A190" s="27" t="n">
        <v>40448</v>
      </c>
      <c r="B190" t="n">
        <v/>
      </c>
      <c r="C190" t="n">
        <v>0.428</v>
      </c>
      <c r="D190" t="n">
        <v>2.531</v>
      </c>
      <c r="E190" t="n">
        <v/>
      </c>
    </row>
    <row r="191">
      <c r="A191" s="27" t="n">
        <v>40449</v>
      </c>
      <c r="B191" t="n">
        <v/>
      </c>
      <c r="C191" t="n">
        <v>0.434</v>
      </c>
      <c r="D191" t="n">
        <v>2.467</v>
      </c>
      <c r="E191" t="n">
        <v/>
      </c>
    </row>
    <row r="192">
      <c r="A192" s="27" t="n">
        <v>40450</v>
      </c>
      <c r="B192" t="n">
        <v/>
      </c>
      <c r="C192" t="n">
        <v>0.438</v>
      </c>
      <c r="D192" t="n">
        <v>2.505</v>
      </c>
      <c r="E192" t="n">
        <v/>
      </c>
    </row>
    <row r="193">
      <c r="A193" s="27" t="n">
        <v>40451</v>
      </c>
      <c r="B193" t="n">
        <v/>
      </c>
      <c r="C193" t="n">
        <v>0.426</v>
      </c>
      <c r="D193" t="n">
        <v>2.512</v>
      </c>
      <c r="E193" t="n">
        <v/>
      </c>
    </row>
    <row r="194">
      <c r="A194" s="27" t="n">
        <v>40452</v>
      </c>
      <c r="B194" t="n">
        <v/>
      </c>
      <c r="C194" t="n">
        <v>0.422</v>
      </c>
      <c r="D194" t="n">
        <v>2.513</v>
      </c>
      <c r="E194" t="n">
        <v/>
      </c>
    </row>
    <row r="195">
      <c r="A195" s="27" t="n">
        <v>40455</v>
      </c>
      <c r="B195" t="n">
        <v/>
      </c>
      <c r="C195" t="n">
        <v>0.411</v>
      </c>
      <c r="D195" t="n">
        <v>2.479</v>
      </c>
      <c r="E195" t="n">
        <v/>
      </c>
    </row>
    <row r="196">
      <c r="A196" s="27" t="n">
        <v>40456</v>
      </c>
      <c r="B196" t="n">
        <v/>
      </c>
      <c r="C196" t="n">
        <v>0.407</v>
      </c>
      <c r="D196" t="n">
        <v>2.474</v>
      </c>
      <c r="E196" t="n">
        <v/>
      </c>
    </row>
    <row r="197">
      <c r="A197" s="27" t="n">
        <v>40457</v>
      </c>
      <c r="B197" t="n">
        <v/>
      </c>
      <c r="C197" t="n">
        <v>0.383</v>
      </c>
      <c r="D197" t="n">
        <v>2.401</v>
      </c>
      <c r="E197" t="n">
        <v/>
      </c>
    </row>
    <row r="198">
      <c r="A198" s="27" t="n">
        <v>40458</v>
      </c>
      <c r="B198" t="n">
        <v/>
      </c>
      <c r="C198" t="n">
        <v>0.355</v>
      </c>
      <c r="D198" t="n">
        <v>2.385</v>
      </c>
      <c r="E198" t="n">
        <v/>
      </c>
    </row>
    <row r="199">
      <c r="A199" s="27" t="n">
        <v>40459</v>
      </c>
      <c r="B199" t="n">
        <v/>
      </c>
      <c r="C199" t="n">
        <v>0.347</v>
      </c>
      <c r="D199" t="n">
        <v>2.396</v>
      </c>
      <c r="E199" t="n">
        <v/>
      </c>
    </row>
    <row r="200">
      <c r="A200" s="27" t="n">
        <v>40462</v>
      </c>
      <c r="B200" t="n">
        <v/>
      </c>
      <c r="C200" t="n">
        <v/>
      </c>
      <c r="D200" t="n">
        <v>2.389</v>
      </c>
      <c r="E200" t="n">
        <v/>
      </c>
    </row>
    <row r="201">
      <c r="A201" s="27" t="n">
        <v>40463</v>
      </c>
      <c r="B201" t="n">
        <v/>
      </c>
      <c r="C201" t="n">
        <v>0.371</v>
      </c>
      <c r="D201" t="n">
        <v>2.433</v>
      </c>
      <c r="E201" t="n">
        <v/>
      </c>
    </row>
    <row r="202">
      <c r="A202" s="27" t="n">
        <v>40464</v>
      </c>
      <c r="B202" t="n">
        <v/>
      </c>
      <c r="C202" t="n">
        <v>0.367</v>
      </c>
      <c r="D202" t="n">
        <v>2.429</v>
      </c>
      <c r="E202" t="n">
        <v/>
      </c>
    </row>
    <row r="203">
      <c r="A203" s="27" t="n">
        <v>40465</v>
      </c>
      <c r="B203" t="n">
        <v/>
      </c>
      <c r="C203" t="n">
        <v>0.383</v>
      </c>
      <c r="D203" t="n">
        <v>2.509</v>
      </c>
      <c r="E203" t="n">
        <v/>
      </c>
    </row>
    <row r="204">
      <c r="A204" s="27" t="n">
        <v>40466</v>
      </c>
      <c r="B204" t="n">
        <v/>
      </c>
      <c r="C204" t="n">
        <v>0.367</v>
      </c>
      <c r="D204" t="n">
        <v>2.567</v>
      </c>
      <c r="E204" t="n">
        <v/>
      </c>
    </row>
    <row r="205">
      <c r="A205" s="27" t="n">
        <v>40469</v>
      </c>
      <c r="B205" t="n">
        <v/>
      </c>
      <c r="C205" t="n">
        <v>0.367</v>
      </c>
      <c r="D205" t="n">
        <v>2.515</v>
      </c>
      <c r="E205" t="n">
        <v/>
      </c>
    </row>
    <row r="206">
      <c r="A206" s="27" t="n">
        <v>40470</v>
      </c>
      <c r="B206" t="n">
        <v/>
      </c>
      <c r="C206" t="n">
        <v>0.363</v>
      </c>
      <c r="D206" t="n">
        <v>2.481</v>
      </c>
      <c r="E206" t="n">
        <v/>
      </c>
    </row>
    <row r="207">
      <c r="A207" s="27" t="n">
        <v>40471</v>
      </c>
      <c r="B207" t="n">
        <v/>
      </c>
      <c r="C207" t="n">
        <v>0.351</v>
      </c>
      <c r="D207" t="n">
        <v>2.481</v>
      </c>
      <c r="E207" t="n">
        <v/>
      </c>
    </row>
    <row r="208">
      <c r="A208" s="27" t="n">
        <v>40472</v>
      </c>
      <c r="B208" t="n">
        <v/>
      </c>
      <c r="C208" t="n">
        <v>0.355</v>
      </c>
      <c r="D208" t="n">
        <v>2.542</v>
      </c>
      <c r="E208" t="n">
        <v/>
      </c>
    </row>
    <row r="209">
      <c r="A209" s="27" t="n">
        <v>40473</v>
      </c>
      <c r="B209" t="n">
        <v/>
      </c>
      <c r="C209" t="n">
        <v>0.359</v>
      </c>
      <c r="D209" t="n">
        <v>2.561</v>
      </c>
      <c r="E209" t="n">
        <v/>
      </c>
    </row>
    <row r="210">
      <c r="A210" s="27" t="n">
        <v>40476</v>
      </c>
      <c r="B210" t="n">
        <v/>
      </c>
      <c r="C210" t="n">
        <v>0.363</v>
      </c>
      <c r="D210" t="n">
        <v>2.565</v>
      </c>
      <c r="E210" t="n">
        <v/>
      </c>
    </row>
    <row r="211">
      <c r="A211" s="27" t="n">
        <v>40477</v>
      </c>
      <c r="B211" t="n">
        <v/>
      </c>
      <c r="C211" t="n">
        <v>0.395</v>
      </c>
      <c r="D211" t="n">
        <v>2.645</v>
      </c>
      <c r="E211" t="n">
        <v/>
      </c>
    </row>
    <row r="212">
      <c r="A212" s="27" t="n">
        <v>40478</v>
      </c>
      <c r="B212" t="n">
        <v/>
      </c>
      <c r="C212" t="n">
        <v>0.418</v>
      </c>
      <c r="D212" t="n">
        <v>2.722</v>
      </c>
      <c r="E212" t="n">
        <v/>
      </c>
    </row>
    <row r="213">
      <c r="A213" s="27" t="n">
        <v>40479</v>
      </c>
      <c r="B213" t="n">
        <v/>
      </c>
      <c r="C213" t="n">
        <v>0.367</v>
      </c>
      <c r="D213" t="n">
        <v>2.659</v>
      </c>
      <c r="E213" t="n">
        <v/>
      </c>
    </row>
    <row r="214">
      <c r="A214" s="27" t="n">
        <v>40480</v>
      </c>
      <c r="B214" t="n">
        <v/>
      </c>
      <c r="C214" t="n">
        <v>0.34</v>
      </c>
      <c r="D214" t="n">
        <v>2.603</v>
      </c>
      <c r="E214" t="n">
        <v/>
      </c>
    </row>
    <row r="215">
      <c r="A215" s="27" t="n">
        <v>40483</v>
      </c>
      <c r="B215" t="n">
        <v/>
      </c>
      <c r="C215" t="n">
        <v>0.347</v>
      </c>
      <c r="D215" t="n">
        <v>2.625</v>
      </c>
      <c r="E215" t="n">
        <v/>
      </c>
    </row>
    <row r="216">
      <c r="A216" s="27" t="n">
        <v>40484</v>
      </c>
      <c r="B216" t="n">
        <v/>
      </c>
      <c r="C216" t="n">
        <v>0.351</v>
      </c>
      <c r="D216" t="n">
        <v>2.587</v>
      </c>
      <c r="E216" t="n">
        <v/>
      </c>
    </row>
    <row r="217">
      <c r="A217" s="27" t="n">
        <v>40485</v>
      </c>
      <c r="B217" t="n">
        <v/>
      </c>
      <c r="C217" t="n">
        <v>0.34</v>
      </c>
      <c r="D217" t="n">
        <v>2.579</v>
      </c>
      <c r="E217" t="n">
        <v/>
      </c>
    </row>
    <row r="218">
      <c r="A218" s="27" t="n">
        <v>40486</v>
      </c>
      <c r="B218" t="n">
        <v/>
      </c>
      <c r="C218" t="n">
        <v>0.332</v>
      </c>
      <c r="D218" t="n">
        <v>2.493</v>
      </c>
      <c r="E218" t="n">
        <v/>
      </c>
    </row>
    <row r="219">
      <c r="A219" s="27" t="n">
        <v>40487</v>
      </c>
      <c r="B219" t="n">
        <v/>
      </c>
      <c r="C219" t="n">
        <v>0.371</v>
      </c>
      <c r="D219" t="n">
        <v>2.539</v>
      </c>
      <c r="E219" t="n">
        <v/>
      </c>
    </row>
    <row r="220">
      <c r="A220" s="27" t="n">
        <v>40490</v>
      </c>
      <c r="B220" t="n">
        <v/>
      </c>
      <c r="C220" t="n">
        <v>0.403</v>
      </c>
      <c r="D220" t="n">
        <v>2.558</v>
      </c>
      <c r="E220" t="n">
        <v/>
      </c>
    </row>
    <row r="221">
      <c r="A221" s="27" t="n">
        <v>40491</v>
      </c>
      <c r="B221" t="n">
        <v/>
      </c>
      <c r="C221" t="n">
        <v>0.443</v>
      </c>
      <c r="D221" t="n">
        <v>2.663</v>
      </c>
      <c r="E221" t="n">
        <v/>
      </c>
    </row>
    <row r="222">
      <c r="A222" s="27" t="n">
        <v>40492</v>
      </c>
      <c r="B222" t="n">
        <v/>
      </c>
      <c r="C222" t="n">
        <v>0.431</v>
      </c>
      <c r="D222" t="n">
        <v>2.639</v>
      </c>
      <c r="E222" t="n">
        <v/>
      </c>
    </row>
    <row r="223">
      <c r="A223" s="27" t="n">
        <v>40493</v>
      </c>
      <c r="B223" t="n">
        <v/>
      </c>
      <c r="C223" t="n">
        <v/>
      </c>
      <c r="D223" t="n">
        <v>2.656</v>
      </c>
      <c r="E223" t="n">
        <v/>
      </c>
    </row>
    <row r="224">
      <c r="A224" s="27" t="n">
        <v>40494</v>
      </c>
      <c r="B224" t="n">
        <v/>
      </c>
      <c r="C224" t="n">
        <v>0.507</v>
      </c>
      <c r="D224" t="n">
        <v>2.789</v>
      </c>
      <c r="E224" t="n">
        <v/>
      </c>
    </row>
    <row r="225">
      <c r="A225" s="27" t="n">
        <v>40497</v>
      </c>
      <c r="B225" t="n">
        <v/>
      </c>
      <c r="C225" t="n">
        <v>0.54</v>
      </c>
      <c r="D225" t="n">
        <v>2.967</v>
      </c>
      <c r="E225" t="n">
        <v/>
      </c>
    </row>
    <row r="226">
      <c r="A226" s="27" t="n">
        <v>40498</v>
      </c>
      <c r="B226" t="n">
        <v/>
      </c>
      <c r="C226" t="n">
        <v>0.504</v>
      </c>
      <c r="D226" t="n">
        <v>2.845</v>
      </c>
      <c r="E226" t="n">
        <v/>
      </c>
    </row>
    <row r="227">
      <c r="A227" s="27" t="n">
        <v>40499</v>
      </c>
      <c r="B227" t="n">
        <v/>
      </c>
      <c r="C227" t="n">
        <v>0.488</v>
      </c>
      <c r="D227" t="n">
        <v>2.882</v>
      </c>
      <c r="E227" t="n">
        <v/>
      </c>
    </row>
    <row r="228">
      <c r="A228" s="27" t="n">
        <v>40500</v>
      </c>
      <c r="B228" t="n">
        <v/>
      </c>
      <c r="C228" t="n">
        <v>0.5</v>
      </c>
      <c r="D228" t="n">
        <v>2.901</v>
      </c>
      <c r="E228" t="n">
        <v/>
      </c>
    </row>
    <row r="229">
      <c r="A229" s="27" t="n">
        <v>40501</v>
      </c>
      <c r="B229" t="n">
        <v/>
      </c>
      <c r="C229" t="n">
        <v>0.513</v>
      </c>
      <c r="D229" t="n">
        <v>2.873</v>
      </c>
      <c r="E229" t="n">
        <v/>
      </c>
    </row>
    <row r="230">
      <c r="A230" s="27" t="n">
        <v>40504</v>
      </c>
      <c r="B230" t="n">
        <v/>
      </c>
      <c r="C230" t="n">
        <v>0.468</v>
      </c>
      <c r="D230" t="n">
        <v>2.806</v>
      </c>
      <c r="E230" t="n">
        <v/>
      </c>
    </row>
    <row r="231">
      <c r="A231" s="27" t="n">
        <v>40505</v>
      </c>
      <c r="B231" t="n">
        <v/>
      </c>
      <c r="C231" t="n">
        <v>0.457</v>
      </c>
      <c r="D231" t="n">
        <v>2.782</v>
      </c>
      <c r="E231" t="n">
        <v/>
      </c>
    </row>
    <row r="232">
      <c r="A232" s="27" t="n">
        <v>40506</v>
      </c>
      <c r="B232" t="n">
        <v/>
      </c>
      <c r="C232" t="n">
        <v>0.539</v>
      </c>
      <c r="D232" t="n">
        <v>2.912</v>
      </c>
      <c r="E232" t="n">
        <v/>
      </c>
    </row>
    <row r="233">
      <c r="A233" s="27" t="n">
        <v>40507</v>
      </c>
      <c r="B233" t="n">
        <v/>
      </c>
      <c r="C233" t="n">
        <v/>
      </c>
      <c r="D233" t="n">
        <v>2.911</v>
      </c>
      <c r="E233" t="n">
        <v/>
      </c>
    </row>
    <row r="234">
      <c r="A234" s="27" t="n">
        <v>40508</v>
      </c>
      <c r="B234" t="n">
        <v/>
      </c>
      <c r="C234" t="n">
        <v>0.516</v>
      </c>
      <c r="D234" t="n">
        <v>2.87</v>
      </c>
      <c r="E234" t="n">
        <v/>
      </c>
    </row>
    <row r="235">
      <c r="A235" s="27" t="n">
        <v>40511</v>
      </c>
      <c r="B235" t="n">
        <v/>
      </c>
      <c r="C235" t="n">
        <v>0.512</v>
      </c>
      <c r="D235" t="n">
        <v>2.826</v>
      </c>
      <c r="E235" t="n">
        <v/>
      </c>
    </row>
    <row r="236">
      <c r="A236" s="27" t="n">
        <v>40512</v>
      </c>
      <c r="B236" t="n">
        <v/>
      </c>
      <c r="C236" t="n">
        <v>0.461</v>
      </c>
      <c r="D236" t="n">
        <v>2.797</v>
      </c>
      <c r="E236" t="n">
        <v/>
      </c>
    </row>
    <row r="237">
      <c r="A237" s="27" t="n">
        <v>40513</v>
      </c>
      <c r="B237" t="n">
        <v/>
      </c>
      <c r="C237" t="n">
        <v>0.539</v>
      </c>
      <c r="D237" t="n">
        <v>2.966</v>
      </c>
      <c r="E237" t="n">
        <v/>
      </c>
    </row>
    <row r="238">
      <c r="A238" s="27" t="n">
        <v>40514</v>
      </c>
      <c r="B238" t="n">
        <v/>
      </c>
      <c r="C238" t="n">
        <v>0.543</v>
      </c>
      <c r="D238" t="n">
        <v>2.996</v>
      </c>
      <c r="E238" t="n">
        <v/>
      </c>
    </row>
    <row r="239">
      <c r="A239" s="27" t="n">
        <v>40515</v>
      </c>
      <c r="B239" t="n">
        <v/>
      </c>
      <c r="C239" t="n">
        <v>0.476</v>
      </c>
      <c r="D239" t="n">
        <v>3.007</v>
      </c>
      <c r="E239" t="n">
        <v/>
      </c>
    </row>
    <row r="240">
      <c r="A240" s="27" t="n">
        <v>40518</v>
      </c>
      <c r="B240" t="n">
        <v/>
      </c>
      <c r="C240" t="n">
        <v>0.429</v>
      </c>
      <c r="D240" t="n">
        <v>2.929</v>
      </c>
      <c r="E240" t="n">
        <v/>
      </c>
    </row>
    <row r="241">
      <c r="A241" s="27" t="n">
        <v>40519</v>
      </c>
      <c r="B241" t="n">
        <v/>
      </c>
      <c r="C241" t="n">
        <v>0.532</v>
      </c>
      <c r="D241" t="n">
        <v>3.135</v>
      </c>
      <c r="E241" t="n">
        <v/>
      </c>
    </row>
    <row r="242">
      <c r="A242" s="27" t="n">
        <v>40520</v>
      </c>
      <c r="B242" t="n">
        <v/>
      </c>
      <c r="C242" t="n">
        <v>0.627</v>
      </c>
      <c r="D242" t="n">
        <v>3.272</v>
      </c>
      <c r="E242" t="n">
        <v/>
      </c>
    </row>
    <row r="243">
      <c r="A243" s="27" t="n">
        <v>40521</v>
      </c>
      <c r="B243" t="n">
        <v/>
      </c>
      <c r="C243" t="n">
        <v>0.628</v>
      </c>
      <c r="D243" t="n">
        <v>3.213</v>
      </c>
      <c r="E243" t="n">
        <v/>
      </c>
    </row>
    <row r="244">
      <c r="A244" s="27" t="n">
        <v>40522</v>
      </c>
      <c r="B244" t="n">
        <v/>
      </c>
      <c r="C244" t="n">
        <v>0.644</v>
      </c>
      <c r="D244" t="n">
        <v>3.323</v>
      </c>
      <c r="E244" t="n">
        <v/>
      </c>
    </row>
    <row r="245">
      <c r="A245" s="27" t="n">
        <v>40525</v>
      </c>
      <c r="B245" t="n">
        <v/>
      </c>
      <c r="C245" t="n">
        <v>0.592</v>
      </c>
      <c r="D245" t="n">
        <v>3.277</v>
      </c>
      <c r="E245" t="n">
        <v/>
      </c>
    </row>
    <row r="246">
      <c r="A246" s="27" t="n">
        <v>40526</v>
      </c>
      <c r="B246" t="n">
        <v/>
      </c>
      <c r="C246" t="n">
        <v>0.649</v>
      </c>
      <c r="D246" t="n">
        <v>3.473</v>
      </c>
      <c r="E246" t="n">
        <v/>
      </c>
    </row>
    <row r="247">
      <c r="A247" s="27" t="n">
        <v>40527</v>
      </c>
      <c r="B247" t="n">
        <v/>
      </c>
      <c r="C247" t="n">
        <v>0.677</v>
      </c>
      <c r="D247" t="n">
        <v>3.538</v>
      </c>
      <c r="E247" t="n">
        <v/>
      </c>
    </row>
    <row r="248">
      <c r="A248" s="27" t="n">
        <v>40528</v>
      </c>
      <c r="B248" t="n">
        <v/>
      </c>
      <c r="C248" t="n">
        <v>0.649</v>
      </c>
      <c r="D248" t="n">
        <v>3.434</v>
      </c>
      <c r="E248" t="n">
        <v/>
      </c>
    </row>
    <row r="249">
      <c r="A249" s="27" t="n">
        <v>40529</v>
      </c>
      <c r="B249" t="n">
        <v/>
      </c>
      <c r="C249" t="n">
        <v>0.609</v>
      </c>
      <c r="D249" t="n">
        <v>3.332</v>
      </c>
      <c r="E249" t="n">
        <v/>
      </c>
    </row>
    <row r="250">
      <c r="A250" s="27" t="n">
        <v>40532</v>
      </c>
      <c r="B250" t="n">
        <v/>
      </c>
      <c r="C250" t="n">
        <v>0.605</v>
      </c>
      <c r="D250" t="n">
        <v>3.34</v>
      </c>
      <c r="E250" t="n">
        <v/>
      </c>
    </row>
    <row r="251">
      <c r="A251" s="27" t="n">
        <v>40533</v>
      </c>
      <c r="B251" t="n">
        <v/>
      </c>
      <c r="C251" t="n">
        <v>0.614</v>
      </c>
      <c r="D251" t="n">
        <v>3.303</v>
      </c>
      <c r="E251" t="n">
        <v/>
      </c>
    </row>
    <row r="252">
      <c r="A252" s="27" t="n">
        <v>40534</v>
      </c>
      <c r="B252" t="n">
        <v/>
      </c>
      <c r="C252" t="n">
        <v>0.634</v>
      </c>
      <c r="D252" t="n">
        <v>3.348</v>
      </c>
      <c r="E252" t="n">
        <v/>
      </c>
    </row>
    <row r="253">
      <c r="A253" s="27" t="n">
        <v>40535</v>
      </c>
      <c r="B253" t="n">
        <v/>
      </c>
      <c r="C253" t="n">
        <v>0.655</v>
      </c>
      <c r="D253" t="n">
        <v>3.397</v>
      </c>
      <c r="E253" t="n">
        <v/>
      </c>
    </row>
    <row r="254">
      <c r="A254" s="27" t="n">
        <v>40536</v>
      </c>
      <c r="B254" t="n">
        <v/>
      </c>
      <c r="C254" t="n">
        <v/>
      </c>
      <c r="D254" t="n">
        <v>3.414</v>
      </c>
      <c r="E254" t="n">
        <v/>
      </c>
    </row>
    <row r="255">
      <c r="A255" s="27" t="n">
        <v>40539</v>
      </c>
      <c r="B255" t="n">
        <v/>
      </c>
      <c r="C255" t="n">
        <v>0.647</v>
      </c>
      <c r="D255" t="n">
        <v>3.327</v>
      </c>
      <c r="E255" t="n">
        <v/>
      </c>
    </row>
    <row r="256">
      <c r="A256" s="27" t="n">
        <v>40540</v>
      </c>
      <c r="B256" t="n">
        <v/>
      </c>
      <c r="C256" t="n">
        <v>0.751</v>
      </c>
      <c r="D256" t="n">
        <v>3.482</v>
      </c>
      <c r="E256" t="n">
        <v/>
      </c>
    </row>
    <row r="257">
      <c r="A257" s="27" t="n">
        <v>40541</v>
      </c>
      <c r="B257" t="n">
        <v/>
      </c>
      <c r="C257" t="n">
        <v>0.641</v>
      </c>
      <c r="D257" t="n">
        <v>3.355</v>
      </c>
      <c r="E257" t="n">
        <v/>
      </c>
    </row>
    <row r="258">
      <c r="A258" s="27" t="n">
        <v>40542</v>
      </c>
      <c r="B258" t="n">
        <v/>
      </c>
      <c r="C258" t="n">
        <v>0.645</v>
      </c>
      <c r="D258" t="n">
        <v>3.367</v>
      </c>
      <c r="E258" t="n">
        <v/>
      </c>
    </row>
    <row r="259">
      <c r="A259" s="27" t="n">
        <v>40543</v>
      </c>
      <c r="B259" t="n">
        <v/>
      </c>
      <c r="C259" t="n">
        <v>0.605</v>
      </c>
      <c r="D259" t="n">
        <v>3.288</v>
      </c>
      <c r="E259" t="n">
        <v/>
      </c>
    </row>
    <row r="260">
      <c r="A260" s="27" t="n">
        <v>40546</v>
      </c>
      <c r="B260" t="n">
        <v/>
      </c>
      <c r="C260" t="n">
        <v>0.601</v>
      </c>
      <c r="D260" t="n">
        <v>3.334</v>
      </c>
      <c r="E260" t="n">
        <v/>
      </c>
    </row>
    <row r="261">
      <c r="A261" s="27" t="n">
        <v>40547</v>
      </c>
      <c r="B261" t="n">
        <v/>
      </c>
      <c r="C261" t="n">
        <v>0.621</v>
      </c>
      <c r="D261" t="n">
        <v>3.338</v>
      </c>
      <c r="E261" t="n">
        <v/>
      </c>
    </row>
    <row r="262">
      <c r="A262" s="27" t="n">
        <v>40548</v>
      </c>
      <c r="B262" t="n">
        <v/>
      </c>
      <c r="C262" t="n">
        <v>0.708</v>
      </c>
      <c r="D262" t="n">
        <v>3.463</v>
      </c>
      <c r="E262" t="n">
        <v/>
      </c>
    </row>
    <row r="263">
      <c r="A263" s="27" t="n">
        <v>40549</v>
      </c>
      <c r="B263" t="n">
        <v/>
      </c>
      <c r="C263" t="n">
        <v>0.677</v>
      </c>
      <c r="D263" t="n">
        <v>3.399</v>
      </c>
      <c r="E263" t="n">
        <v/>
      </c>
    </row>
    <row r="264">
      <c r="A264" s="27" t="n">
        <v>40550</v>
      </c>
      <c r="B264" t="n">
        <v/>
      </c>
      <c r="C264" t="n">
        <v>0.597</v>
      </c>
      <c r="D264" t="n">
        <v>3.328</v>
      </c>
      <c r="E264" t="n">
        <v/>
      </c>
    </row>
    <row r="265">
      <c r="A265" s="27" t="n">
        <v>40553</v>
      </c>
      <c r="B265" t="n">
        <v/>
      </c>
      <c r="C265" t="n">
        <v>0.573</v>
      </c>
      <c r="D265" t="n">
        <v>3.287</v>
      </c>
      <c r="E265" t="n">
        <v/>
      </c>
    </row>
    <row r="266">
      <c r="A266" s="27" t="n">
        <v>40554</v>
      </c>
      <c r="B266" t="n">
        <v/>
      </c>
      <c r="C266" t="n">
        <v>0.589</v>
      </c>
      <c r="D266" t="n">
        <v>3.34</v>
      </c>
      <c r="E266" t="n">
        <v/>
      </c>
    </row>
    <row r="267">
      <c r="A267" s="27" t="n">
        <v>40555</v>
      </c>
      <c r="B267" t="n">
        <v/>
      </c>
      <c r="C267" t="n">
        <v>0.605</v>
      </c>
      <c r="D267" t="n">
        <v>3.367</v>
      </c>
      <c r="E267" t="n">
        <v/>
      </c>
    </row>
    <row r="268">
      <c r="A268" s="27" t="n">
        <v>40556</v>
      </c>
      <c r="B268" t="n">
        <v/>
      </c>
      <c r="C268" t="n">
        <v>0.585</v>
      </c>
      <c r="D268" t="n">
        <v>3.299</v>
      </c>
      <c r="E268" t="n">
        <v/>
      </c>
    </row>
    <row r="269">
      <c r="A269" s="27" t="n">
        <v>40557</v>
      </c>
      <c r="B269" t="n">
        <v/>
      </c>
      <c r="C269" t="n">
        <v>0.581</v>
      </c>
      <c r="D269" t="n">
        <v>3.331</v>
      </c>
      <c r="E269" t="n">
        <v/>
      </c>
    </row>
    <row r="270">
      <c r="A270" s="27" t="n">
        <v>40560</v>
      </c>
      <c r="B270" t="n">
        <v/>
      </c>
      <c r="C270" t="n">
        <v/>
      </c>
      <c r="D270" t="n">
        <v>3.315</v>
      </c>
      <c r="E270" t="n">
        <v/>
      </c>
    </row>
    <row r="271">
      <c r="A271" s="27" t="n">
        <v>40561</v>
      </c>
      <c r="B271" t="n">
        <v/>
      </c>
      <c r="C271" t="n">
        <v>0.589</v>
      </c>
      <c r="D271" t="n">
        <v>3.37</v>
      </c>
      <c r="E271" t="n">
        <v/>
      </c>
    </row>
    <row r="272">
      <c r="A272" s="27" t="n">
        <v>40562</v>
      </c>
      <c r="B272" t="n">
        <v/>
      </c>
      <c r="C272" t="n">
        <v>0.5679999999999999</v>
      </c>
      <c r="D272" t="n">
        <v>3.337</v>
      </c>
      <c r="E272" t="n">
        <v/>
      </c>
    </row>
    <row r="273">
      <c r="A273" s="27" t="n">
        <v>40563</v>
      </c>
      <c r="B273" t="n">
        <v/>
      </c>
      <c r="C273" t="n">
        <v>0.633</v>
      </c>
      <c r="D273" t="n">
        <v>3.451</v>
      </c>
      <c r="E273" t="n">
        <v/>
      </c>
    </row>
    <row r="274">
      <c r="A274" s="27" t="n">
        <v>40564</v>
      </c>
      <c r="B274" t="n">
        <v/>
      </c>
      <c r="C274" t="n">
        <v>0.617</v>
      </c>
      <c r="D274" t="n">
        <v>3.408</v>
      </c>
      <c r="E274" t="n">
        <v/>
      </c>
    </row>
    <row r="275">
      <c r="A275" s="27" t="n">
        <v>40567</v>
      </c>
      <c r="B275" t="n">
        <v/>
      </c>
      <c r="C275" t="n">
        <v>0.621</v>
      </c>
      <c r="D275" t="n">
        <v>3.406</v>
      </c>
      <c r="E275" t="n">
        <v/>
      </c>
    </row>
    <row r="276">
      <c r="A276" s="27" t="n">
        <v>40568</v>
      </c>
      <c r="B276" t="n">
        <v/>
      </c>
      <c r="C276" t="n">
        <v>0.58</v>
      </c>
      <c r="D276" t="n">
        <v>3.33</v>
      </c>
      <c r="E276" t="n">
        <v/>
      </c>
    </row>
    <row r="277">
      <c r="A277" s="27" t="n">
        <v>40569</v>
      </c>
      <c r="B277" t="n">
        <v/>
      </c>
      <c r="C277" t="n">
        <v>0.629</v>
      </c>
      <c r="D277" t="n">
        <v>3.421</v>
      </c>
      <c r="E277" t="n">
        <v/>
      </c>
    </row>
    <row r="278">
      <c r="A278" s="27" t="n">
        <v>40570</v>
      </c>
      <c r="B278" t="n">
        <v/>
      </c>
      <c r="C278" t="n">
        <v>0.586</v>
      </c>
      <c r="D278" t="n">
        <v>3.389</v>
      </c>
      <c r="E278" t="n">
        <v/>
      </c>
    </row>
    <row r="279">
      <c r="A279" s="27" t="n">
        <v>40571</v>
      </c>
      <c r="B279" t="n">
        <v/>
      </c>
      <c r="C279" t="n">
        <v>0.546</v>
      </c>
      <c r="D279" t="n">
        <v>3.329</v>
      </c>
      <c r="E279" t="n">
        <v/>
      </c>
    </row>
    <row r="280">
      <c r="A280" s="27" t="n">
        <v>40574</v>
      </c>
      <c r="B280" t="n">
        <v/>
      </c>
      <c r="C280" t="n">
        <v>0.57</v>
      </c>
      <c r="D280" t="n">
        <v>3.374</v>
      </c>
      <c r="E280" t="n">
        <v/>
      </c>
    </row>
    <row r="281">
      <c r="A281" s="27" t="n">
        <v>40575</v>
      </c>
      <c r="B281" t="n">
        <v/>
      </c>
      <c r="C281" t="n">
        <v>0.605</v>
      </c>
      <c r="D281" t="n">
        <v>3.435</v>
      </c>
      <c r="E281" t="n">
        <v/>
      </c>
    </row>
    <row r="282">
      <c r="A282" s="27" t="n">
        <v>40576</v>
      </c>
      <c r="B282" t="n">
        <v/>
      </c>
      <c r="C282" t="n">
        <v>0.664</v>
      </c>
      <c r="D282" t="n">
        <v>3.479</v>
      </c>
      <c r="E282" t="n">
        <v/>
      </c>
    </row>
    <row r="283">
      <c r="A283" s="27" t="n">
        <v>40577</v>
      </c>
      <c r="B283" t="n">
        <v/>
      </c>
      <c r="C283" t="n">
        <v>0.712</v>
      </c>
      <c r="D283" t="n">
        <v>3.547</v>
      </c>
      <c r="E283" t="n">
        <v/>
      </c>
    </row>
    <row r="284">
      <c r="A284" s="27" t="n">
        <v>40578</v>
      </c>
      <c r="B284" t="n">
        <v/>
      </c>
      <c r="C284" t="n">
        <v>0.752</v>
      </c>
      <c r="D284" t="n">
        <v>3.638</v>
      </c>
      <c r="E284" t="n">
        <v/>
      </c>
    </row>
    <row r="285">
      <c r="A285" s="27" t="n">
        <v>40581</v>
      </c>
      <c r="B285" t="n">
        <v/>
      </c>
      <c r="C285" t="n">
        <v>0.765</v>
      </c>
      <c r="D285" t="n">
        <v>3.64</v>
      </c>
      <c r="E285" t="n">
        <v/>
      </c>
    </row>
    <row r="286">
      <c r="A286" s="27" t="n">
        <v>40582</v>
      </c>
      <c r="B286" t="n">
        <v/>
      </c>
      <c r="C286" t="n">
        <v>0.853</v>
      </c>
      <c r="D286" t="n">
        <v>3.737</v>
      </c>
      <c r="E286" t="n">
        <v/>
      </c>
    </row>
    <row r="287">
      <c r="A287" s="27" t="n">
        <v>40583</v>
      </c>
      <c r="B287" t="n">
        <v/>
      </c>
      <c r="C287" t="n">
        <v>0.805</v>
      </c>
      <c r="D287" t="n">
        <v>3.652</v>
      </c>
      <c r="E287" t="n">
        <v/>
      </c>
    </row>
    <row r="288">
      <c r="A288" s="27" t="n">
        <v>40584</v>
      </c>
      <c r="B288" t="n">
        <v/>
      </c>
      <c r="C288" t="n">
        <v>0.837</v>
      </c>
      <c r="D288" t="n">
        <v>3.702</v>
      </c>
      <c r="E288" t="n">
        <v/>
      </c>
    </row>
    <row r="289">
      <c r="A289" s="27" t="n">
        <v>40585</v>
      </c>
      <c r="B289" t="n">
        <v/>
      </c>
      <c r="C289" t="n">
        <v>0.838</v>
      </c>
      <c r="D289" t="n">
        <v>3.638</v>
      </c>
      <c r="E289" t="n">
        <v/>
      </c>
    </row>
    <row r="290">
      <c r="A290" s="27" t="n">
        <v>40588</v>
      </c>
      <c r="B290" t="n">
        <v/>
      </c>
      <c r="C290" t="n">
        <v>0.847</v>
      </c>
      <c r="D290" t="n">
        <v>3.625</v>
      </c>
      <c r="E290" t="n">
        <v/>
      </c>
    </row>
    <row r="291">
      <c r="A291" s="27" t="n">
        <v>40589</v>
      </c>
      <c r="B291" t="n">
        <v/>
      </c>
      <c r="C291" t="n">
        <v>0.823</v>
      </c>
      <c r="D291" t="n">
        <v>3.604</v>
      </c>
      <c r="E291" t="n">
        <v/>
      </c>
    </row>
    <row r="292">
      <c r="A292" s="27" t="n">
        <v>40590</v>
      </c>
      <c r="B292" t="n">
        <v/>
      </c>
      <c r="C292" t="n">
        <v>0.835</v>
      </c>
      <c r="D292" t="n">
        <v>3.623</v>
      </c>
      <c r="E292" t="n">
        <v/>
      </c>
    </row>
    <row r="293">
      <c r="A293" s="27" t="n">
        <v>40591</v>
      </c>
      <c r="B293" t="n">
        <v/>
      </c>
      <c r="C293" t="n">
        <v>0.766</v>
      </c>
      <c r="D293" t="n">
        <v>3.576</v>
      </c>
      <c r="E293" t="n">
        <v/>
      </c>
    </row>
    <row r="294">
      <c r="A294" s="27" t="n">
        <v>40592</v>
      </c>
      <c r="B294" t="n">
        <v/>
      </c>
      <c r="C294" t="n">
        <v>0.755</v>
      </c>
      <c r="D294" t="n">
        <v>3.582</v>
      </c>
      <c r="E294" t="n">
        <v/>
      </c>
    </row>
    <row r="295">
      <c r="A295" s="27" t="n">
        <v>40595</v>
      </c>
      <c r="B295" t="n">
        <v/>
      </c>
      <c r="C295" t="n">
        <v/>
      </c>
      <c r="D295" t="n">
        <v>3.576</v>
      </c>
      <c r="E295" t="n">
        <v/>
      </c>
    </row>
    <row r="296">
      <c r="A296" s="27" t="n">
        <v>40596</v>
      </c>
      <c r="B296" t="n">
        <v/>
      </c>
      <c r="C296" t="n">
        <v>0.698</v>
      </c>
      <c r="D296" t="n">
        <v>3.459</v>
      </c>
      <c r="E296" t="n">
        <v/>
      </c>
    </row>
    <row r="297">
      <c r="A297" s="27" t="n">
        <v>40597</v>
      </c>
      <c r="B297" t="n">
        <v/>
      </c>
      <c r="C297" t="n">
        <v>0.751</v>
      </c>
      <c r="D297" t="n">
        <v>3.483</v>
      </c>
      <c r="E297" t="n">
        <v/>
      </c>
    </row>
    <row r="298">
      <c r="A298" s="27" t="n">
        <v>40598</v>
      </c>
      <c r="B298" t="n">
        <v/>
      </c>
      <c r="C298" t="n">
        <v>0.739</v>
      </c>
      <c r="D298" t="n">
        <v>3.45</v>
      </c>
      <c r="E298" t="n">
        <v/>
      </c>
    </row>
    <row r="299">
      <c r="A299" s="27" t="n">
        <v>40599</v>
      </c>
      <c r="B299" t="n">
        <v/>
      </c>
      <c r="C299" t="n">
        <v>0.72</v>
      </c>
      <c r="D299" t="n">
        <v>3.416</v>
      </c>
      <c r="E299" t="n">
        <v/>
      </c>
    </row>
    <row r="300">
      <c r="A300" s="27" t="n">
        <v>40602</v>
      </c>
      <c r="B300" t="n">
        <v/>
      </c>
      <c r="C300" t="n">
        <v>0.6879999999999999</v>
      </c>
      <c r="D300" t="n">
        <v>3.422</v>
      </c>
      <c r="E300" t="n">
        <v/>
      </c>
    </row>
    <row r="301">
      <c r="A301" s="27" t="n">
        <v>40603</v>
      </c>
      <c r="B301" t="n">
        <v/>
      </c>
      <c r="C301" t="n">
        <v>0.657</v>
      </c>
      <c r="D301" t="n">
        <v>3.403</v>
      </c>
      <c r="E301" t="n">
        <v/>
      </c>
    </row>
    <row r="302">
      <c r="A302" s="27" t="n">
        <v>40604</v>
      </c>
      <c r="B302" t="n">
        <v/>
      </c>
      <c r="C302" t="n">
        <v>0.696</v>
      </c>
      <c r="D302" t="n">
        <v>3.471</v>
      </c>
      <c r="E302" t="n">
        <v/>
      </c>
    </row>
    <row r="303">
      <c r="A303" s="27" t="n">
        <v>40605</v>
      </c>
      <c r="B303" t="n">
        <v/>
      </c>
      <c r="C303" t="n">
        <v>0.764</v>
      </c>
      <c r="D303" t="n">
        <v>3.559</v>
      </c>
      <c r="E303" t="n">
        <v/>
      </c>
    </row>
    <row r="304">
      <c r="A304" s="27" t="n">
        <v>40606</v>
      </c>
      <c r="B304" t="n">
        <v/>
      </c>
      <c r="C304" t="n">
        <v>0.6889999999999999</v>
      </c>
      <c r="D304" t="n">
        <v>3.492</v>
      </c>
      <c r="E304" t="n">
        <v/>
      </c>
    </row>
    <row r="305">
      <c r="A305" s="27" t="n">
        <v>40609</v>
      </c>
      <c r="B305" t="n">
        <v/>
      </c>
      <c r="C305" t="n">
        <v>0.705</v>
      </c>
      <c r="D305" t="n">
        <v>3.516</v>
      </c>
      <c r="E305" t="n">
        <v/>
      </c>
    </row>
    <row r="306">
      <c r="A306" s="27" t="n">
        <v>40610</v>
      </c>
      <c r="B306" t="n">
        <v/>
      </c>
      <c r="C306" t="n">
        <v>0.725</v>
      </c>
      <c r="D306" t="n">
        <v>3.551</v>
      </c>
      <c r="E306" t="n">
        <v/>
      </c>
    </row>
    <row r="307">
      <c r="A307" s="27" t="n">
        <v>40611</v>
      </c>
      <c r="B307" t="n">
        <v/>
      </c>
      <c r="C307" t="n">
        <v>0.697</v>
      </c>
      <c r="D307" t="n">
        <v>3.469</v>
      </c>
      <c r="E307" t="n">
        <v/>
      </c>
    </row>
    <row r="308">
      <c r="A308" s="27" t="n">
        <v>40612</v>
      </c>
      <c r="B308" t="n">
        <v/>
      </c>
      <c r="C308" t="n">
        <v>0.633</v>
      </c>
      <c r="D308" t="n">
        <v>3.362</v>
      </c>
      <c r="E308" t="n">
        <v/>
      </c>
    </row>
    <row r="309">
      <c r="A309" s="27" t="n">
        <v>40613</v>
      </c>
      <c r="B309" t="n">
        <v/>
      </c>
      <c r="C309" t="n">
        <v>0.645</v>
      </c>
      <c r="D309" t="n">
        <v>3.402</v>
      </c>
      <c r="E309" t="n">
        <v/>
      </c>
    </row>
    <row r="310">
      <c r="A310" s="27" t="n">
        <v>40616</v>
      </c>
      <c r="B310" t="n">
        <v/>
      </c>
      <c r="C310" t="n">
        <v>0.601</v>
      </c>
      <c r="D310" t="n">
        <v>3.365</v>
      </c>
      <c r="E310" t="n">
        <v/>
      </c>
    </row>
    <row r="311">
      <c r="A311" s="27" t="n">
        <v>40617</v>
      </c>
      <c r="B311" t="n">
        <v/>
      </c>
      <c r="C311" t="n">
        <v>0.609</v>
      </c>
      <c r="D311" t="n">
        <v>3.307</v>
      </c>
      <c r="E311" t="n">
        <v/>
      </c>
    </row>
    <row r="312">
      <c r="A312" s="27" t="n">
        <v>40618</v>
      </c>
      <c r="B312" t="n">
        <v/>
      </c>
      <c r="C312" t="n">
        <v>0.5610000000000001</v>
      </c>
      <c r="D312" t="n">
        <v>3.192</v>
      </c>
      <c r="E312" t="n">
        <v/>
      </c>
    </row>
    <row r="313">
      <c r="A313" s="27" t="n">
        <v>40619</v>
      </c>
      <c r="B313" t="n">
        <v/>
      </c>
      <c r="C313" t="n">
        <v>0.589</v>
      </c>
      <c r="D313" t="n">
        <v>3.257</v>
      </c>
      <c r="E313" t="n">
        <v/>
      </c>
    </row>
    <row r="314">
      <c r="A314" s="27" t="n">
        <v>40620</v>
      </c>
      <c r="B314" t="n">
        <v/>
      </c>
      <c r="C314" t="n">
        <v>0.589</v>
      </c>
      <c r="D314" t="n">
        <v>3.268</v>
      </c>
      <c r="E314" t="n">
        <v/>
      </c>
    </row>
    <row r="315">
      <c r="A315" s="27" t="n">
        <v>40623</v>
      </c>
      <c r="B315" t="n">
        <v/>
      </c>
      <c r="C315" t="n">
        <v>0.637</v>
      </c>
      <c r="D315" t="n">
        <v>3.332</v>
      </c>
      <c r="E315" t="n">
        <v/>
      </c>
    </row>
    <row r="316">
      <c r="A316" s="27" t="n">
        <v>40624</v>
      </c>
      <c r="B316" t="n">
        <v/>
      </c>
      <c r="C316" t="n">
        <v>0.653</v>
      </c>
      <c r="D316" t="n">
        <v>3.328</v>
      </c>
      <c r="E316" t="n">
        <v/>
      </c>
    </row>
    <row r="317">
      <c r="A317" s="27" t="n">
        <v>40625</v>
      </c>
      <c r="B317" t="n">
        <v/>
      </c>
      <c r="C317" t="n">
        <v>0.654</v>
      </c>
      <c r="D317" t="n">
        <v>3.354</v>
      </c>
      <c r="E317" t="n">
        <v/>
      </c>
    </row>
    <row r="318">
      <c r="A318" s="27" t="n">
        <v>40626</v>
      </c>
      <c r="B318" t="n">
        <v/>
      </c>
      <c r="C318" t="n">
        <v>0.694</v>
      </c>
      <c r="D318" t="n">
        <v>3.407</v>
      </c>
      <c r="E318" t="n">
        <v/>
      </c>
    </row>
    <row r="319">
      <c r="A319" s="27" t="n">
        <v>40627</v>
      </c>
      <c r="B319" t="n">
        <v/>
      </c>
      <c r="C319" t="n">
        <v>0.736</v>
      </c>
      <c r="D319" t="n">
        <v>3.442</v>
      </c>
      <c r="E319" t="n">
        <v/>
      </c>
    </row>
    <row r="320">
      <c r="A320" s="27" t="n">
        <v>40630</v>
      </c>
      <c r="B320" t="n">
        <v/>
      </c>
      <c r="C320" t="n">
        <v>0.756</v>
      </c>
      <c r="D320" t="n">
        <v>3.441</v>
      </c>
      <c r="E320" t="n">
        <v/>
      </c>
    </row>
    <row r="321">
      <c r="A321" s="27" t="n">
        <v>40631</v>
      </c>
      <c r="B321" t="n">
        <v/>
      </c>
      <c r="C321" t="n">
        <v>0.825</v>
      </c>
      <c r="D321" t="n">
        <v>3.491</v>
      </c>
      <c r="E321" t="n">
        <v/>
      </c>
    </row>
    <row r="322">
      <c r="A322" s="27" t="n">
        <v>40632</v>
      </c>
      <c r="B322" t="n">
        <v/>
      </c>
      <c r="C322" t="n">
        <v>0.797</v>
      </c>
      <c r="D322" t="n">
        <v>3.444</v>
      </c>
      <c r="E322" t="n">
        <v/>
      </c>
    </row>
    <row r="323">
      <c r="A323" s="27" t="n">
        <v>40633</v>
      </c>
      <c r="B323" t="n">
        <v/>
      </c>
      <c r="C323" t="n">
        <v>0.833</v>
      </c>
      <c r="D323" t="n">
        <v>3.47</v>
      </c>
      <c r="E323" t="n">
        <v/>
      </c>
    </row>
    <row r="324">
      <c r="A324" s="27" t="n">
        <v>40634</v>
      </c>
      <c r="B324" t="n">
        <v/>
      </c>
      <c r="C324" t="n">
        <v>0.802</v>
      </c>
      <c r="D324" t="n">
        <v>3.45</v>
      </c>
      <c r="E324" t="n">
        <v/>
      </c>
    </row>
    <row r="325">
      <c r="A325" s="27" t="n">
        <v>40637</v>
      </c>
      <c r="B325" t="n">
        <v/>
      </c>
      <c r="C325" t="n">
        <v>0.766</v>
      </c>
      <c r="D325" t="n">
        <v>3.425</v>
      </c>
      <c r="E325" t="n">
        <v/>
      </c>
    </row>
    <row r="326">
      <c r="A326" s="27" t="n">
        <v>40638</v>
      </c>
      <c r="B326" t="n">
        <v/>
      </c>
      <c r="C326" t="n">
        <v>0.822</v>
      </c>
      <c r="D326" t="n">
        <v>3.487</v>
      </c>
      <c r="E326" t="n">
        <v/>
      </c>
    </row>
    <row r="327">
      <c r="A327" s="27" t="n">
        <v>40639</v>
      </c>
      <c r="B327" t="n">
        <v/>
      </c>
      <c r="C327" t="n">
        <v>0.842</v>
      </c>
      <c r="D327" t="n">
        <v>3.549</v>
      </c>
      <c r="E327" t="n">
        <v/>
      </c>
    </row>
    <row r="328">
      <c r="A328" s="27" t="n">
        <v>40640</v>
      </c>
      <c r="B328" t="n">
        <v/>
      </c>
      <c r="C328" t="n">
        <v>0.786</v>
      </c>
      <c r="D328" t="n">
        <v>3.549</v>
      </c>
      <c r="E328" t="n">
        <v/>
      </c>
    </row>
    <row r="329">
      <c r="A329" s="27" t="n">
        <v>40641</v>
      </c>
      <c r="B329" t="n">
        <v/>
      </c>
      <c r="C329" t="n">
        <v>0.8139999999999999</v>
      </c>
      <c r="D329" t="n">
        <v>3.583</v>
      </c>
      <c r="E329" t="n">
        <v/>
      </c>
    </row>
    <row r="330">
      <c r="A330" s="27" t="n">
        <v>40644</v>
      </c>
      <c r="B330" t="n">
        <v/>
      </c>
      <c r="C330" t="n">
        <v>0.83</v>
      </c>
      <c r="D330" t="n">
        <v>3.587</v>
      </c>
      <c r="E330" t="n">
        <v/>
      </c>
    </row>
    <row r="331">
      <c r="A331" s="27" t="n">
        <v>40645</v>
      </c>
      <c r="B331" t="n">
        <v/>
      </c>
      <c r="C331" t="n">
        <v>0.746</v>
      </c>
      <c r="D331" t="n">
        <v>3.492</v>
      </c>
      <c r="E331" t="n">
        <v/>
      </c>
    </row>
    <row r="332">
      <c r="A332" s="27" t="n">
        <v>40646</v>
      </c>
      <c r="B332" t="n">
        <v/>
      </c>
      <c r="C332" t="n">
        <v>0.73</v>
      </c>
      <c r="D332" t="n">
        <v>3.458</v>
      </c>
      <c r="E332" t="n">
        <v/>
      </c>
    </row>
    <row r="333">
      <c r="A333" s="27" t="n">
        <v>40647</v>
      </c>
      <c r="B333" t="n">
        <v/>
      </c>
      <c r="C333" t="n">
        <v>0.766</v>
      </c>
      <c r="D333" t="n">
        <v>3.496</v>
      </c>
      <c r="E333" t="n">
        <v/>
      </c>
    </row>
    <row r="334">
      <c r="A334" s="27" t="n">
        <v>40648</v>
      </c>
      <c r="B334" t="n">
        <v/>
      </c>
      <c r="C334" t="n">
        <v>0.697</v>
      </c>
      <c r="D334" t="n">
        <v>3.413</v>
      </c>
      <c r="E334" t="n">
        <v/>
      </c>
    </row>
    <row r="335">
      <c r="A335" s="27" t="n">
        <v>40651</v>
      </c>
      <c r="B335" t="n">
        <v/>
      </c>
      <c r="C335" t="n">
        <v>0.665</v>
      </c>
      <c r="D335" t="n">
        <v>3.38</v>
      </c>
      <c r="E335" t="n">
        <v/>
      </c>
    </row>
    <row r="336">
      <c r="A336" s="27" t="n">
        <v>40652</v>
      </c>
      <c r="B336" t="n">
        <v/>
      </c>
      <c r="C336" t="n">
        <v>0.653</v>
      </c>
      <c r="D336" t="n">
        <v>3.365</v>
      </c>
      <c r="E336" t="n">
        <v/>
      </c>
    </row>
    <row r="337">
      <c r="A337" s="27" t="n">
        <v>40653</v>
      </c>
      <c r="B337" t="n">
        <v/>
      </c>
      <c r="C337" t="n">
        <v>0.669</v>
      </c>
      <c r="D337" t="n">
        <v>3.408</v>
      </c>
      <c r="E337" t="n">
        <v/>
      </c>
    </row>
    <row r="338">
      <c r="A338" s="27" t="n">
        <v>40654</v>
      </c>
      <c r="B338" t="n">
        <v/>
      </c>
      <c r="C338" t="n">
        <v>0.66</v>
      </c>
      <c r="D338" t="n">
        <v>3.394</v>
      </c>
      <c r="E338" t="n">
        <v/>
      </c>
    </row>
    <row r="339">
      <c r="A339" s="27" t="n">
        <v>40655</v>
      </c>
      <c r="B339" t="n">
        <v/>
      </c>
      <c r="C339" t="n">
        <v/>
      </c>
      <c r="D339" t="n">
        <v>3.394</v>
      </c>
      <c r="E339" t="n">
        <v/>
      </c>
    </row>
    <row r="340">
      <c r="A340" s="27" t="n">
        <v>40658</v>
      </c>
      <c r="B340" t="n">
        <v/>
      </c>
      <c r="C340" t="n">
        <v>0.64</v>
      </c>
      <c r="D340" t="n">
        <v>3.366</v>
      </c>
      <c r="E340" t="n">
        <v/>
      </c>
    </row>
    <row r="341">
      <c r="A341" s="27" t="n">
        <v>40659</v>
      </c>
      <c r="B341" t="n">
        <v/>
      </c>
      <c r="C341" t="n">
        <v>0.607</v>
      </c>
      <c r="D341" t="n">
        <v>3.309</v>
      </c>
      <c r="E341" t="n">
        <v/>
      </c>
    </row>
    <row r="342">
      <c r="A342" s="27" t="n">
        <v>40660</v>
      </c>
      <c r="B342" t="n">
        <v/>
      </c>
      <c r="C342" t="n">
        <v>0.649</v>
      </c>
      <c r="D342" t="n">
        <v>3.357</v>
      </c>
      <c r="E342" t="n">
        <v/>
      </c>
    </row>
    <row r="343">
      <c r="A343" s="27" t="n">
        <v>40661</v>
      </c>
      <c r="B343" t="n">
        <v/>
      </c>
      <c r="C343" t="n">
        <v>0.625</v>
      </c>
      <c r="D343" t="n">
        <v>3.316</v>
      </c>
      <c r="E343" t="n">
        <v/>
      </c>
    </row>
    <row r="344">
      <c r="A344" s="27" t="n">
        <v>40662</v>
      </c>
      <c r="B344" t="n">
        <v/>
      </c>
      <c r="C344" t="n">
        <v>0.609</v>
      </c>
      <c r="D344" t="n">
        <v>3.29</v>
      </c>
      <c r="E344" t="n">
        <v/>
      </c>
    </row>
    <row r="345">
      <c r="A345" s="27" t="n">
        <v>40665</v>
      </c>
      <c r="B345" t="n">
        <v/>
      </c>
      <c r="C345" t="n">
        <v>0.605</v>
      </c>
      <c r="D345" t="n">
        <v>3.281</v>
      </c>
      <c r="E345" t="n">
        <v/>
      </c>
    </row>
    <row r="346">
      <c r="A346" s="27" t="n">
        <v>40666</v>
      </c>
      <c r="B346" t="n">
        <v/>
      </c>
      <c r="C346" t="n">
        <v>0.605</v>
      </c>
      <c r="D346" t="n">
        <v>3.251</v>
      </c>
      <c r="E346" t="n">
        <v/>
      </c>
    </row>
    <row r="347">
      <c r="A347" s="27" t="n">
        <v>40667</v>
      </c>
      <c r="B347" t="n">
        <v/>
      </c>
      <c r="C347" t="n">
        <v>0.589</v>
      </c>
      <c r="D347" t="n">
        <v>3.221</v>
      </c>
      <c r="E347" t="n">
        <v/>
      </c>
    </row>
    <row r="348">
      <c r="A348" s="27" t="n">
        <v>40668</v>
      </c>
      <c r="B348" t="n">
        <v/>
      </c>
      <c r="C348" t="n">
        <v>0.577</v>
      </c>
      <c r="D348" t="n">
        <v>3.152</v>
      </c>
      <c r="E348" t="n">
        <v/>
      </c>
    </row>
    <row r="349">
      <c r="A349" s="27" t="n">
        <v>40669</v>
      </c>
      <c r="B349" t="n">
        <v/>
      </c>
      <c r="C349" t="n">
        <v>0.553</v>
      </c>
      <c r="D349" t="n">
        <v>3.15</v>
      </c>
      <c r="E349" t="n">
        <v/>
      </c>
    </row>
    <row r="350">
      <c r="A350" s="27" t="n">
        <v>40672</v>
      </c>
      <c r="B350" t="n">
        <v/>
      </c>
      <c r="C350" t="n">
        <v>0.549</v>
      </c>
      <c r="D350" t="n">
        <v>3.157</v>
      </c>
      <c r="E350" t="n">
        <v/>
      </c>
    </row>
    <row r="351">
      <c r="A351" s="27" t="n">
        <v>40673</v>
      </c>
      <c r="B351" t="n">
        <v/>
      </c>
      <c r="C351" t="n">
        <v>0.589</v>
      </c>
      <c r="D351" t="n">
        <v>3.213</v>
      </c>
      <c r="E351" t="n">
        <v/>
      </c>
    </row>
    <row r="352">
      <c r="A352" s="27" t="n">
        <v>40674</v>
      </c>
      <c r="B352" t="n">
        <v/>
      </c>
      <c r="C352" t="n">
        <v>0.549</v>
      </c>
      <c r="D352" t="n">
        <v>3.156</v>
      </c>
      <c r="E352" t="n">
        <v/>
      </c>
    </row>
    <row r="353">
      <c r="A353" s="27" t="n">
        <v>40675</v>
      </c>
      <c r="B353" t="n">
        <v/>
      </c>
      <c r="C353" t="n">
        <v>0.5570000000000001</v>
      </c>
      <c r="D353" t="n">
        <v>3.226</v>
      </c>
      <c r="E353" t="n">
        <v/>
      </c>
    </row>
    <row r="354">
      <c r="A354" s="27" t="n">
        <v>40676</v>
      </c>
      <c r="B354" t="n">
        <v/>
      </c>
      <c r="C354" t="n">
        <v>0.537</v>
      </c>
      <c r="D354" t="n">
        <v>3.169</v>
      </c>
      <c r="E354" t="n">
        <v/>
      </c>
    </row>
    <row r="355">
      <c r="A355" s="27" t="n">
        <v>40679</v>
      </c>
      <c r="B355" t="n">
        <v/>
      </c>
      <c r="C355" t="n">
        <v>0.524</v>
      </c>
      <c r="D355" t="n">
        <v>3.147</v>
      </c>
      <c r="E355" t="n">
        <v/>
      </c>
    </row>
    <row r="356">
      <c r="A356" s="27" t="n">
        <v>40680</v>
      </c>
      <c r="B356" t="n">
        <v/>
      </c>
      <c r="C356" t="n">
        <v>0.52</v>
      </c>
      <c r="D356" t="n">
        <v>3.114</v>
      </c>
      <c r="E356" t="n">
        <v/>
      </c>
    </row>
    <row r="357">
      <c r="A357" s="27" t="n">
        <v>40681</v>
      </c>
      <c r="B357" t="n">
        <v/>
      </c>
      <c r="C357" t="n">
        <v>0.5600000000000001</v>
      </c>
      <c r="D357" t="n">
        <v>3.184</v>
      </c>
      <c r="E357" t="n">
        <v/>
      </c>
    </row>
    <row r="358">
      <c r="A358" s="27" t="n">
        <v>40682</v>
      </c>
      <c r="B358" t="n">
        <v/>
      </c>
      <c r="C358" t="n">
        <v>0.528</v>
      </c>
      <c r="D358" t="n">
        <v>3.173</v>
      </c>
      <c r="E358" t="n">
        <v/>
      </c>
    </row>
    <row r="359">
      <c r="A359" s="27" t="n">
        <v>40683</v>
      </c>
      <c r="B359" t="n">
        <v/>
      </c>
      <c r="C359" t="n">
        <v>0.515</v>
      </c>
      <c r="D359" t="n">
        <v>3.147</v>
      </c>
      <c r="E359" t="n">
        <v/>
      </c>
    </row>
    <row r="360">
      <c r="A360" s="27" t="n">
        <v>40686</v>
      </c>
      <c r="B360" t="n">
        <v/>
      </c>
      <c r="C360" t="n">
        <v>0.527</v>
      </c>
      <c r="D360" t="n">
        <v>3.129</v>
      </c>
      <c r="E360" t="n">
        <v/>
      </c>
    </row>
    <row r="361">
      <c r="A361" s="27" t="n">
        <v>40687</v>
      </c>
      <c r="B361" t="n">
        <v/>
      </c>
      <c r="C361" t="n">
        <v>0.507</v>
      </c>
      <c r="D361" t="n">
        <v>3.116</v>
      </c>
      <c r="E361" t="n">
        <v/>
      </c>
    </row>
    <row r="362">
      <c r="A362" s="27" t="n">
        <v>40688</v>
      </c>
      <c r="B362" t="n">
        <v/>
      </c>
      <c r="C362" t="n">
        <v>0.535</v>
      </c>
      <c r="D362" t="n">
        <v>3.132</v>
      </c>
      <c r="E362" t="n">
        <v/>
      </c>
    </row>
    <row r="363">
      <c r="A363" s="27" t="n">
        <v>40689</v>
      </c>
      <c r="B363" t="n">
        <v/>
      </c>
      <c r="C363" t="n">
        <v>0.488</v>
      </c>
      <c r="D363" t="n">
        <v>3.059</v>
      </c>
      <c r="E363" t="n">
        <v/>
      </c>
    </row>
    <row r="364">
      <c r="A364" s="27" t="n">
        <v>40690</v>
      </c>
      <c r="B364" t="n">
        <v/>
      </c>
      <c r="C364" t="n">
        <v>0.48</v>
      </c>
      <c r="D364" t="n">
        <v>3.072</v>
      </c>
      <c r="E364" t="n">
        <v/>
      </c>
    </row>
    <row r="365">
      <c r="A365" s="27" t="n">
        <v>40693</v>
      </c>
      <c r="B365" t="n">
        <v/>
      </c>
      <c r="C365" t="n">
        <v/>
      </c>
      <c r="D365" t="n">
        <v>3.062</v>
      </c>
      <c r="E365" t="n">
        <v/>
      </c>
    </row>
    <row r="366">
      <c r="A366" s="27" t="n">
        <v>40694</v>
      </c>
      <c r="B366" t="n">
        <v/>
      </c>
      <c r="C366" t="n">
        <v>0.468</v>
      </c>
      <c r="D366" t="n">
        <v>3.059</v>
      </c>
      <c r="E366" t="n">
        <v/>
      </c>
    </row>
    <row r="367">
      <c r="A367" s="27" t="n">
        <v>40695</v>
      </c>
      <c r="B367" t="n">
        <v/>
      </c>
      <c r="C367" t="n">
        <v>0.437</v>
      </c>
      <c r="D367" t="n">
        <v>2.944</v>
      </c>
      <c r="E367" t="n">
        <v/>
      </c>
    </row>
    <row r="368">
      <c r="A368" s="27" t="n">
        <v>40696</v>
      </c>
      <c r="B368" t="n">
        <v/>
      </c>
      <c r="C368" t="n">
        <v>0.461</v>
      </c>
      <c r="D368" t="n">
        <v>3.031</v>
      </c>
      <c r="E368" t="n">
        <v/>
      </c>
    </row>
    <row r="369">
      <c r="A369" s="27" t="n">
        <v>40697</v>
      </c>
      <c r="B369" t="n">
        <v/>
      </c>
      <c r="C369" t="n">
        <v>0.429</v>
      </c>
      <c r="D369" t="n">
        <v>2.991</v>
      </c>
      <c r="E369" t="n">
        <v/>
      </c>
    </row>
    <row r="370">
      <c r="A370" s="27" t="n">
        <v>40700</v>
      </c>
      <c r="B370" t="n">
        <v/>
      </c>
      <c r="C370" t="n">
        <v>0.425</v>
      </c>
      <c r="D370" t="n">
        <v>2.997</v>
      </c>
      <c r="E370" t="n">
        <v/>
      </c>
    </row>
    <row r="371">
      <c r="A371" s="27" t="n">
        <v>40701</v>
      </c>
      <c r="B371" t="n">
        <v/>
      </c>
      <c r="C371" t="n">
        <v>0.405</v>
      </c>
      <c r="D371" t="n">
        <v>3</v>
      </c>
      <c r="E371" t="n">
        <v/>
      </c>
    </row>
    <row r="372">
      <c r="A372" s="27" t="n">
        <v>40702</v>
      </c>
      <c r="B372" t="n">
        <v/>
      </c>
      <c r="C372" t="n">
        <v>0.385</v>
      </c>
      <c r="D372" t="n">
        <v>2.946</v>
      </c>
      <c r="E372" t="n">
        <v/>
      </c>
    </row>
    <row r="373">
      <c r="A373" s="27" t="n">
        <v>40703</v>
      </c>
      <c r="B373" t="n">
        <v/>
      </c>
      <c r="C373" t="n">
        <v>0.42</v>
      </c>
      <c r="D373" t="n">
        <v>2.997</v>
      </c>
      <c r="E373" t="n">
        <v/>
      </c>
    </row>
    <row r="374">
      <c r="A374" s="27" t="n">
        <v>40704</v>
      </c>
      <c r="B374" t="n">
        <v/>
      </c>
      <c r="C374" t="n">
        <v>0.404</v>
      </c>
      <c r="D374" t="n">
        <v>2.973</v>
      </c>
      <c r="E374" t="n">
        <v/>
      </c>
    </row>
    <row r="375">
      <c r="A375" s="27" t="n">
        <v>40707</v>
      </c>
      <c r="B375" t="n">
        <v/>
      </c>
      <c r="C375" t="n">
        <v>0.396</v>
      </c>
      <c r="D375" t="n">
        <v>2.984</v>
      </c>
      <c r="E375" t="n">
        <v/>
      </c>
    </row>
    <row r="376">
      <c r="A376" s="27" t="n">
        <v>40708</v>
      </c>
      <c r="B376" t="n">
        <v/>
      </c>
      <c r="C376" t="n">
        <v>0.444</v>
      </c>
      <c r="D376" t="n">
        <v>3.099</v>
      </c>
      <c r="E376" t="n">
        <v/>
      </c>
    </row>
    <row r="377">
      <c r="A377" s="27" t="n">
        <v>40709</v>
      </c>
      <c r="B377" t="n">
        <v/>
      </c>
      <c r="C377" t="n">
        <v>0.38</v>
      </c>
      <c r="D377" t="n">
        <v>2.967</v>
      </c>
      <c r="E377" t="n">
        <v/>
      </c>
    </row>
    <row r="378">
      <c r="A378" s="27" t="n">
        <v>40710</v>
      </c>
      <c r="B378" t="n">
        <v/>
      </c>
      <c r="C378" t="n">
        <v>0.384</v>
      </c>
      <c r="D378" t="n">
        <v>2.926</v>
      </c>
      <c r="E378" t="n">
        <v/>
      </c>
    </row>
    <row r="379">
      <c r="A379" s="27" t="n">
        <v>40711</v>
      </c>
      <c r="B379" t="n">
        <v/>
      </c>
      <c r="C379" t="n">
        <v>0.379</v>
      </c>
      <c r="D379" t="n">
        <v>2.944</v>
      </c>
      <c r="E379" t="n">
        <v/>
      </c>
    </row>
    <row r="380">
      <c r="A380" s="27" t="n">
        <v>40714</v>
      </c>
      <c r="B380" t="n">
        <v/>
      </c>
      <c r="C380" t="n">
        <v>0.375</v>
      </c>
      <c r="D380" t="n">
        <v>2.956</v>
      </c>
      <c r="E380" t="n">
        <v/>
      </c>
    </row>
    <row r="381">
      <c r="A381" s="27" t="n">
        <v>40715</v>
      </c>
      <c r="B381" t="n">
        <v/>
      </c>
      <c r="C381" t="n">
        <v>0.37</v>
      </c>
      <c r="D381" t="n">
        <v>2.98</v>
      </c>
      <c r="E381" t="n">
        <v/>
      </c>
    </row>
    <row r="382">
      <c r="A382" s="27" t="n">
        <v>40716</v>
      </c>
      <c r="B382" t="n">
        <v/>
      </c>
      <c r="C382" t="n">
        <v>0.374</v>
      </c>
      <c r="D382" t="n">
        <v>2.98</v>
      </c>
      <c r="E382" t="n">
        <v/>
      </c>
    </row>
    <row r="383">
      <c r="A383" s="27" t="n">
        <v>40717</v>
      </c>
      <c r="B383" t="n">
        <v/>
      </c>
      <c r="C383" t="n">
        <v>0.35</v>
      </c>
      <c r="D383" t="n">
        <v>2.914</v>
      </c>
      <c r="E383" t="n">
        <v/>
      </c>
    </row>
    <row r="384">
      <c r="A384" s="27" t="n">
        <v>40718</v>
      </c>
      <c r="B384" t="n">
        <v/>
      </c>
      <c r="C384" t="n">
        <v>0.337</v>
      </c>
      <c r="D384" t="n">
        <v>2.871</v>
      </c>
      <c r="E384" t="n">
        <v/>
      </c>
    </row>
    <row r="385">
      <c r="A385" s="27" t="n">
        <v>40721</v>
      </c>
      <c r="B385" t="n">
        <v/>
      </c>
      <c r="C385" t="n">
        <v>0.398</v>
      </c>
      <c r="D385" t="n">
        <v>2.932</v>
      </c>
      <c r="E385" t="n">
        <v/>
      </c>
    </row>
    <row r="386">
      <c r="A386" s="27" t="n">
        <v>40722</v>
      </c>
      <c r="B386" t="n">
        <v/>
      </c>
      <c r="C386" t="n">
        <v>0.481</v>
      </c>
      <c r="D386" t="n">
        <v>3.034</v>
      </c>
      <c r="E386" t="n">
        <v/>
      </c>
    </row>
    <row r="387">
      <c r="A387" s="27" t="n">
        <v>40723</v>
      </c>
      <c r="B387" t="n">
        <v/>
      </c>
      <c r="C387" t="n">
        <v>0.465</v>
      </c>
      <c r="D387" t="n">
        <v>3.121</v>
      </c>
      <c r="E387" t="n">
        <v/>
      </c>
    </row>
    <row r="388">
      <c r="A388" s="27" t="n">
        <v>40724</v>
      </c>
      <c r="B388" t="n">
        <v/>
      </c>
      <c r="C388" t="n">
        <v>0.465</v>
      </c>
      <c r="D388" t="n">
        <v>3.16</v>
      </c>
      <c r="E388" t="n">
        <v/>
      </c>
    </row>
    <row r="389">
      <c r="A389" s="27" t="n">
        <v>40725</v>
      </c>
      <c r="B389" t="n">
        <v/>
      </c>
      <c r="C389" t="n">
        <v>0.474</v>
      </c>
      <c r="D389" t="n">
        <v>3.182</v>
      </c>
      <c r="E389" t="n">
        <v/>
      </c>
    </row>
    <row r="390">
      <c r="A390" s="27" t="n">
        <v>40728</v>
      </c>
      <c r="B390" t="n">
        <v/>
      </c>
      <c r="C390" t="n">
        <v/>
      </c>
      <c r="D390" t="n">
        <v>3.2</v>
      </c>
      <c r="E390" t="n">
        <v/>
      </c>
    </row>
    <row r="391">
      <c r="A391" s="27" t="n">
        <v>40729</v>
      </c>
      <c r="B391" t="n">
        <v/>
      </c>
      <c r="C391" t="n">
        <v>0.434</v>
      </c>
      <c r="D391" t="n">
        <v>3.119</v>
      </c>
      <c r="E391" t="n">
        <v/>
      </c>
    </row>
    <row r="392">
      <c r="A392" s="27" t="n">
        <v>40730</v>
      </c>
      <c r="B392" t="n">
        <v/>
      </c>
      <c r="C392" t="n">
        <v>0.426</v>
      </c>
      <c r="D392" t="n">
        <v>3.11</v>
      </c>
      <c r="E392" t="n">
        <v/>
      </c>
    </row>
    <row r="393">
      <c r="A393" s="27" t="n">
        <v>40731</v>
      </c>
      <c r="B393" t="n">
        <v/>
      </c>
      <c r="C393" t="n">
        <v>0.47</v>
      </c>
      <c r="D393" t="n">
        <v>3.138</v>
      </c>
      <c r="E393" t="n">
        <v/>
      </c>
    </row>
    <row r="394">
      <c r="A394" s="27" t="n">
        <v>40732</v>
      </c>
      <c r="B394" t="n">
        <v/>
      </c>
      <c r="C394" t="n">
        <v>0.395</v>
      </c>
      <c r="D394" t="n">
        <v>3.03</v>
      </c>
      <c r="E394" t="n">
        <v/>
      </c>
    </row>
    <row r="395">
      <c r="A395" s="27" t="n">
        <v>40735</v>
      </c>
      <c r="B395" t="n">
        <v/>
      </c>
      <c r="C395" t="n">
        <v>0.359</v>
      </c>
      <c r="D395" t="n">
        <v>2.924</v>
      </c>
      <c r="E395" t="n">
        <v/>
      </c>
    </row>
    <row r="396">
      <c r="A396" s="27" t="n">
        <v>40736</v>
      </c>
      <c r="B396" t="n">
        <v/>
      </c>
      <c r="C396" t="n">
        <v>0.359</v>
      </c>
      <c r="D396" t="n">
        <v>2.877</v>
      </c>
      <c r="E396" t="n">
        <v/>
      </c>
    </row>
    <row r="397">
      <c r="A397" s="27" t="n">
        <v>40737</v>
      </c>
      <c r="B397" t="n">
        <v/>
      </c>
      <c r="C397" t="n">
        <v>0.355</v>
      </c>
      <c r="D397" t="n">
        <v>2.884</v>
      </c>
      <c r="E397" t="n">
        <v/>
      </c>
    </row>
    <row r="398">
      <c r="A398" s="27" t="n">
        <v>40738</v>
      </c>
      <c r="B398" t="n">
        <v/>
      </c>
      <c r="C398" t="n">
        <v>0.371</v>
      </c>
      <c r="D398" t="n">
        <v>2.953</v>
      </c>
      <c r="E398" t="n">
        <v/>
      </c>
    </row>
    <row r="399">
      <c r="A399" s="27" t="n">
        <v>40739</v>
      </c>
      <c r="B399" t="n">
        <v/>
      </c>
      <c r="C399" t="n">
        <v>0.359</v>
      </c>
      <c r="D399" t="n">
        <v>2.908</v>
      </c>
      <c r="E399" t="n">
        <v/>
      </c>
    </row>
    <row r="400">
      <c r="A400" s="27" t="n">
        <v>40742</v>
      </c>
      <c r="B400" t="n">
        <v/>
      </c>
      <c r="C400" t="n">
        <v>0.367</v>
      </c>
      <c r="D400" t="n">
        <v>2.92</v>
      </c>
      <c r="E400" t="n">
        <v/>
      </c>
    </row>
    <row r="401">
      <c r="A401" s="27" t="n">
        <v>40743</v>
      </c>
      <c r="B401" t="n">
        <v/>
      </c>
      <c r="C401" t="n">
        <v>0.371</v>
      </c>
      <c r="D401" t="n">
        <v>2.878</v>
      </c>
      <c r="E401" t="n">
        <v/>
      </c>
    </row>
    <row r="402">
      <c r="A402" s="27" t="n">
        <v>40744</v>
      </c>
      <c r="B402" t="n">
        <v/>
      </c>
      <c r="C402" t="n">
        <v>0.375</v>
      </c>
      <c r="D402" t="n">
        <v>2.931</v>
      </c>
      <c r="E402" t="n">
        <v/>
      </c>
    </row>
    <row r="403">
      <c r="A403" s="27" t="n">
        <v>40745</v>
      </c>
      <c r="B403" t="n">
        <v/>
      </c>
      <c r="C403" t="n">
        <v>0.399</v>
      </c>
      <c r="D403" t="n">
        <v>3.014</v>
      </c>
      <c r="E403" t="n">
        <v/>
      </c>
    </row>
    <row r="404">
      <c r="A404" s="27" t="n">
        <v>40746</v>
      </c>
      <c r="B404" t="n">
        <v/>
      </c>
      <c r="C404" t="n">
        <v>0.391</v>
      </c>
      <c r="D404" t="n">
        <v>2.964</v>
      </c>
      <c r="E404" t="n">
        <v/>
      </c>
    </row>
    <row r="405">
      <c r="A405" s="27" t="n">
        <v>40749</v>
      </c>
      <c r="B405" t="n">
        <v/>
      </c>
      <c r="C405" t="n">
        <v>0.416</v>
      </c>
      <c r="D405" t="n">
        <v>3.004</v>
      </c>
      <c r="E405" t="n">
        <v/>
      </c>
    </row>
    <row r="406">
      <c r="A406" s="27" t="n">
        <v>40750</v>
      </c>
      <c r="B406" t="n">
        <v/>
      </c>
      <c r="C406" t="n">
        <v>0.395</v>
      </c>
      <c r="D406" t="n">
        <v>2.955</v>
      </c>
      <c r="E406" t="n">
        <v/>
      </c>
    </row>
    <row r="407">
      <c r="A407" s="27" t="n">
        <v>40751</v>
      </c>
      <c r="B407" t="n">
        <v/>
      </c>
      <c r="C407" t="n">
        <v>0.446</v>
      </c>
      <c r="D407" t="n">
        <v>2.982</v>
      </c>
      <c r="E407" t="n">
        <v/>
      </c>
    </row>
    <row r="408">
      <c r="A408" s="27" t="n">
        <v>40752</v>
      </c>
      <c r="B408" t="n">
        <v/>
      </c>
      <c r="C408" t="n">
        <v>0.422</v>
      </c>
      <c r="D408" t="n">
        <v>2.955</v>
      </c>
      <c r="E408" t="n">
        <v/>
      </c>
    </row>
    <row r="409">
      <c r="A409" s="27" t="n">
        <v>40753</v>
      </c>
      <c r="B409" t="n">
        <v/>
      </c>
      <c r="C409" t="n">
        <v>0.359</v>
      </c>
      <c r="D409" t="n">
        <v>2.792</v>
      </c>
      <c r="E409" t="n">
        <v/>
      </c>
    </row>
    <row r="410">
      <c r="A410" s="27" t="n">
        <v>40756</v>
      </c>
      <c r="B410" t="n">
        <v/>
      </c>
      <c r="C410" t="n">
        <v>0.375</v>
      </c>
      <c r="D410" t="n">
        <v>2.753</v>
      </c>
      <c r="E410" t="n">
        <v/>
      </c>
    </row>
    <row r="411">
      <c r="A411" s="27" t="n">
        <v>40757</v>
      </c>
      <c r="B411" t="n">
        <v/>
      </c>
      <c r="C411" t="n">
        <v>0.32</v>
      </c>
      <c r="D411" t="n">
        <v>2.613</v>
      </c>
      <c r="E411" t="n">
        <v/>
      </c>
    </row>
    <row r="412">
      <c r="A412" s="27" t="n">
        <v>40758</v>
      </c>
      <c r="B412" t="n">
        <v/>
      </c>
      <c r="C412" t="n">
        <v>0.332</v>
      </c>
      <c r="D412" t="n">
        <v>2.615</v>
      </c>
      <c r="E412" t="n">
        <v/>
      </c>
    </row>
    <row r="413">
      <c r="A413" s="27" t="n">
        <v>40759</v>
      </c>
      <c r="B413" t="n">
        <v/>
      </c>
      <c r="C413" t="n">
        <v>0.261</v>
      </c>
      <c r="D413" t="n">
        <v>2.407</v>
      </c>
      <c r="E413" t="n">
        <v/>
      </c>
    </row>
    <row r="414">
      <c r="A414" s="27" t="n">
        <v>40760</v>
      </c>
      <c r="B414" t="n">
        <v/>
      </c>
      <c r="C414" t="n">
        <v>0.292</v>
      </c>
      <c r="D414" t="n">
        <v>2.563</v>
      </c>
      <c r="E414" t="n">
        <v/>
      </c>
    </row>
    <row r="415">
      <c r="A415" s="27" t="n">
        <v>40763</v>
      </c>
      <c r="B415" t="n">
        <v/>
      </c>
      <c r="C415" t="n">
        <v>0.264</v>
      </c>
      <c r="D415" t="n">
        <v>2.316</v>
      </c>
      <c r="E415" t="n">
        <v/>
      </c>
    </row>
    <row r="416">
      <c r="A416" s="27" t="n">
        <v>40764</v>
      </c>
      <c r="B416" t="n">
        <v/>
      </c>
      <c r="C416" t="n">
        <v>0.208</v>
      </c>
      <c r="D416" t="n">
        <v>2.275</v>
      </c>
      <c r="E416" t="n">
        <v/>
      </c>
    </row>
    <row r="417">
      <c r="A417" s="27" t="n">
        <v>40765</v>
      </c>
      <c r="B417" t="n">
        <v/>
      </c>
      <c r="C417" t="n">
        <v>0.18</v>
      </c>
      <c r="D417" t="n">
        <v>2.095</v>
      </c>
      <c r="E417" t="n">
        <v/>
      </c>
    </row>
    <row r="418">
      <c r="A418" s="27" t="n">
        <v>40766</v>
      </c>
      <c r="B418" t="n">
        <v/>
      </c>
      <c r="C418" t="n">
        <v>0.184</v>
      </c>
      <c r="D418" t="n">
        <v>2.333</v>
      </c>
      <c r="E418" t="n">
        <v/>
      </c>
    </row>
    <row r="419">
      <c r="A419" s="27" t="n">
        <v>40767</v>
      </c>
      <c r="B419" t="n">
        <v/>
      </c>
      <c r="C419" t="n">
        <v>0.195</v>
      </c>
      <c r="D419" t="n">
        <v>2.26</v>
      </c>
      <c r="E419" t="n">
        <v/>
      </c>
    </row>
    <row r="420">
      <c r="A420" s="27" t="n">
        <v>40770</v>
      </c>
      <c r="B420" t="n">
        <v/>
      </c>
      <c r="C420" t="n">
        <v>0.195</v>
      </c>
      <c r="D420" t="n">
        <v>2.308</v>
      </c>
      <c r="E420" t="n">
        <v/>
      </c>
    </row>
    <row r="421">
      <c r="A421" s="27" t="n">
        <v>40771</v>
      </c>
      <c r="B421" t="n">
        <v/>
      </c>
      <c r="C421" t="n">
        <v>0.187</v>
      </c>
      <c r="D421" t="n">
        <v>2.225</v>
      </c>
      <c r="E421" t="n">
        <v/>
      </c>
    </row>
    <row r="422">
      <c r="A422" s="27" t="n">
        <v>40772</v>
      </c>
      <c r="B422" t="n">
        <v/>
      </c>
      <c r="C422" t="n">
        <v>0.194</v>
      </c>
      <c r="D422" t="n">
        <v>2.167</v>
      </c>
      <c r="E422" t="n">
        <v/>
      </c>
    </row>
    <row r="423">
      <c r="A423" s="27" t="n">
        <v>40773</v>
      </c>
      <c r="B423" t="n">
        <v/>
      </c>
      <c r="C423" t="n">
        <v>0.194</v>
      </c>
      <c r="D423" t="n">
        <v>2.068</v>
      </c>
      <c r="E423" t="n">
        <v/>
      </c>
    </row>
    <row r="424">
      <c r="A424" s="27" t="n">
        <v>40774</v>
      </c>
      <c r="B424" t="n">
        <v/>
      </c>
      <c r="C424" t="n">
        <v>0.193</v>
      </c>
      <c r="D424" t="n">
        <v>2.067</v>
      </c>
      <c r="E424" t="n">
        <v/>
      </c>
    </row>
    <row r="425">
      <c r="A425" s="27" t="n">
        <v>40777</v>
      </c>
      <c r="B425" t="n">
        <v/>
      </c>
      <c r="C425" t="n">
        <v>0.205</v>
      </c>
      <c r="D425" t="n">
        <v>2.109</v>
      </c>
      <c r="E425" t="n">
        <v/>
      </c>
    </row>
    <row r="426">
      <c r="A426" s="27" t="n">
        <v>40778</v>
      </c>
      <c r="B426" t="n">
        <v/>
      </c>
      <c r="C426" t="n">
        <v>0.221</v>
      </c>
      <c r="D426" t="n">
        <v>2.158</v>
      </c>
      <c r="E426" t="n">
        <v/>
      </c>
    </row>
    <row r="427">
      <c r="A427" s="27" t="n">
        <v>40779</v>
      </c>
      <c r="B427" t="n">
        <v/>
      </c>
      <c r="C427" t="n">
        <v>0.231</v>
      </c>
      <c r="D427" t="n">
        <v>2.294</v>
      </c>
      <c r="E427" t="n">
        <v/>
      </c>
    </row>
    <row r="428">
      <c r="A428" s="27" t="n">
        <v>40780</v>
      </c>
      <c r="B428" t="n">
        <v/>
      </c>
      <c r="C428" t="n">
        <v>0.211</v>
      </c>
      <c r="D428" t="n">
        <v>2.234</v>
      </c>
      <c r="E428" t="n">
        <v/>
      </c>
    </row>
    <row r="429">
      <c r="A429" s="27" t="n">
        <v>40781</v>
      </c>
      <c r="B429" t="n">
        <v/>
      </c>
      <c r="C429" t="n">
        <v>0.196</v>
      </c>
      <c r="D429" t="n">
        <v>2.19</v>
      </c>
      <c r="E429" t="n">
        <v/>
      </c>
    </row>
    <row r="430">
      <c r="A430" s="27" t="n">
        <v>40784</v>
      </c>
      <c r="B430" t="n">
        <v/>
      </c>
      <c r="C430" t="n">
        <v>0.207</v>
      </c>
      <c r="D430" t="n">
        <v>2.264</v>
      </c>
      <c r="E430" t="n">
        <v/>
      </c>
    </row>
    <row r="431">
      <c r="A431" s="27" t="n">
        <v>40785</v>
      </c>
      <c r="B431" t="n">
        <v/>
      </c>
      <c r="C431" t="n">
        <v>0.196</v>
      </c>
      <c r="D431" t="n">
        <v>2.176</v>
      </c>
      <c r="E431" t="n">
        <v/>
      </c>
    </row>
    <row r="432">
      <c r="A432" s="27" t="n">
        <v>40786</v>
      </c>
      <c r="B432" t="n">
        <v/>
      </c>
      <c r="C432" t="n">
        <v>0.203</v>
      </c>
      <c r="D432" t="n">
        <v>2.234</v>
      </c>
      <c r="E432" t="n">
        <v/>
      </c>
    </row>
    <row r="433">
      <c r="A433" s="27" t="n">
        <v>40787</v>
      </c>
      <c r="B433" t="n">
        <v/>
      </c>
      <c r="C433" t="n">
        <v>0.184</v>
      </c>
      <c r="D433" t="n">
        <v>2.132</v>
      </c>
      <c r="E433" t="n">
        <v/>
      </c>
    </row>
    <row r="434">
      <c r="A434" s="27" t="n">
        <v>40788</v>
      </c>
      <c r="B434" t="n">
        <v/>
      </c>
      <c r="C434" t="n">
        <v>0.204</v>
      </c>
      <c r="D434" t="n">
        <v>1.994</v>
      </c>
      <c r="E434" t="n">
        <v/>
      </c>
    </row>
    <row r="435">
      <c r="A435" s="27" t="n">
        <v>40791</v>
      </c>
      <c r="B435" t="n">
        <v/>
      </c>
      <c r="C435" t="n">
        <v/>
      </c>
      <c r="D435" t="n">
        <v>1.988</v>
      </c>
      <c r="E435" t="n">
        <v/>
      </c>
    </row>
    <row r="436">
      <c r="A436" s="27" t="n">
        <v>40792</v>
      </c>
      <c r="B436" t="n">
        <v/>
      </c>
      <c r="C436" t="n">
        <v>0.2</v>
      </c>
      <c r="D436" t="n">
        <v>1.982</v>
      </c>
      <c r="E436" t="n">
        <v/>
      </c>
    </row>
    <row r="437">
      <c r="A437" s="27" t="n">
        <v>40793</v>
      </c>
      <c r="B437" t="n">
        <v/>
      </c>
      <c r="C437" t="n">
        <v>0.204</v>
      </c>
      <c r="D437" t="n">
        <v>2.041</v>
      </c>
      <c r="E437" t="n">
        <v/>
      </c>
    </row>
    <row r="438">
      <c r="A438" s="27" t="n">
        <v>40794</v>
      </c>
      <c r="B438" t="n">
        <v/>
      </c>
      <c r="C438" t="n">
        <v>0.192</v>
      </c>
      <c r="D438" t="n">
        <v>1.977</v>
      </c>
      <c r="E438" t="n">
        <v/>
      </c>
    </row>
    <row r="439">
      <c r="A439" s="27" t="n">
        <v>40795</v>
      </c>
      <c r="B439" t="n">
        <v/>
      </c>
      <c r="C439" t="n">
        <v>0.173</v>
      </c>
      <c r="D439" t="n">
        <v>1.915</v>
      </c>
      <c r="E439" t="n">
        <v/>
      </c>
    </row>
    <row r="440">
      <c r="A440" s="27" t="n">
        <v>40798</v>
      </c>
      <c r="B440" t="n">
        <v/>
      </c>
      <c r="C440" t="n">
        <v>0.209</v>
      </c>
      <c r="D440" t="n">
        <v>1.948</v>
      </c>
      <c r="E440" t="n">
        <v/>
      </c>
    </row>
    <row r="441">
      <c r="A441" s="27" t="n">
        <v>40799</v>
      </c>
      <c r="B441" t="n">
        <v/>
      </c>
      <c r="C441" t="n">
        <v>0.205</v>
      </c>
      <c r="D441" t="n">
        <v>1.992</v>
      </c>
      <c r="E441" t="n">
        <v/>
      </c>
    </row>
    <row r="442">
      <c r="A442" s="27" t="n">
        <v>40800</v>
      </c>
      <c r="B442" t="n">
        <v/>
      </c>
      <c r="C442" t="n">
        <v>0.189</v>
      </c>
      <c r="D442" t="n">
        <v>1.992</v>
      </c>
      <c r="E442" t="n">
        <v/>
      </c>
    </row>
    <row r="443">
      <c r="A443" s="27" t="n">
        <v>40801</v>
      </c>
      <c r="B443" t="n">
        <v/>
      </c>
      <c r="C443" t="n">
        <v>0.193</v>
      </c>
      <c r="D443" t="n">
        <v>2.083</v>
      </c>
      <c r="E443" t="n">
        <v/>
      </c>
    </row>
    <row r="444">
      <c r="A444" s="27" t="n">
        <v>40802</v>
      </c>
      <c r="B444" t="n">
        <v/>
      </c>
      <c r="C444" t="n">
        <v>0.173</v>
      </c>
      <c r="D444" t="n">
        <v>2.057</v>
      </c>
      <c r="E444" t="n">
        <v/>
      </c>
    </row>
    <row r="445">
      <c r="A445" s="27" t="n">
        <v>40805</v>
      </c>
      <c r="B445" t="n">
        <v/>
      </c>
      <c r="C445" t="n">
        <v>0.157</v>
      </c>
      <c r="D445" t="n">
        <v>1.956</v>
      </c>
      <c r="E445" t="n">
        <v/>
      </c>
    </row>
    <row r="446">
      <c r="A446" s="27" t="n">
        <v>40806</v>
      </c>
      <c r="B446" t="n">
        <v/>
      </c>
      <c r="C446" t="n">
        <v>0.161</v>
      </c>
      <c r="D446" t="n">
        <v>1.937</v>
      </c>
      <c r="E446" t="n">
        <v/>
      </c>
    </row>
    <row r="447">
      <c r="A447" s="27" t="n">
        <v>40807</v>
      </c>
      <c r="B447" t="n">
        <v/>
      </c>
      <c r="C447" t="n">
        <v>0.198</v>
      </c>
      <c r="D447" t="n">
        <v>1.856</v>
      </c>
      <c r="E447" t="n">
        <v/>
      </c>
    </row>
    <row r="448">
      <c r="A448" s="27" t="n">
        <v>40808</v>
      </c>
      <c r="B448" t="n">
        <v/>
      </c>
      <c r="C448" t="n">
        <v>0.202</v>
      </c>
      <c r="D448" t="n">
        <v>1.72</v>
      </c>
      <c r="E448" t="n">
        <v/>
      </c>
    </row>
    <row r="449">
      <c r="A449" s="27" t="n">
        <v>40809</v>
      </c>
      <c r="B449" t="n">
        <v/>
      </c>
      <c r="C449" t="n">
        <v>0.222</v>
      </c>
      <c r="D449" t="n">
        <v>1.83</v>
      </c>
      <c r="E449" t="n">
        <v/>
      </c>
    </row>
    <row r="450">
      <c r="A450" s="27" t="n">
        <v>40812</v>
      </c>
      <c r="B450" t="n">
        <v/>
      </c>
      <c r="C450" t="n">
        <v>0.231</v>
      </c>
      <c r="D450" t="n">
        <v>1.904</v>
      </c>
      <c r="E450" t="n">
        <v/>
      </c>
    </row>
    <row r="451">
      <c r="A451" s="27" t="n">
        <v>40813</v>
      </c>
      <c r="B451" t="n">
        <v/>
      </c>
      <c r="C451" t="n">
        <v>0.239</v>
      </c>
      <c r="D451" t="n">
        <v>1.98</v>
      </c>
      <c r="E451" t="n">
        <v/>
      </c>
    </row>
    <row r="452">
      <c r="A452" s="27" t="n">
        <v>40814</v>
      </c>
      <c r="B452" t="n">
        <v/>
      </c>
      <c r="C452" t="n">
        <v>0.25</v>
      </c>
      <c r="D452" t="n">
        <v>1.987</v>
      </c>
      <c r="E452" t="n">
        <v/>
      </c>
    </row>
    <row r="453">
      <c r="A453" s="27" t="n">
        <v>40815</v>
      </c>
      <c r="B453" t="n">
        <v/>
      </c>
      <c r="C453" t="n">
        <v>0.262</v>
      </c>
      <c r="D453" t="n">
        <v>2.002</v>
      </c>
      <c r="E453" t="n">
        <v/>
      </c>
    </row>
    <row r="454">
      <c r="A454" s="27" t="n">
        <v>40816</v>
      </c>
      <c r="B454" t="n">
        <v/>
      </c>
      <c r="C454" t="n">
        <v>0.247</v>
      </c>
      <c r="D454" t="n">
        <v>1.917</v>
      </c>
      <c r="E454" t="n">
        <v/>
      </c>
    </row>
    <row r="455">
      <c r="A455" s="27" t="n">
        <v>40819</v>
      </c>
      <c r="B455" t="n">
        <v/>
      </c>
      <c r="C455" t="n">
        <v>0.235</v>
      </c>
      <c r="D455" t="n">
        <v>1.749</v>
      </c>
      <c r="E455" t="n">
        <v/>
      </c>
    </row>
    <row r="456">
      <c r="A456" s="27" t="n">
        <v>40820</v>
      </c>
      <c r="B456" t="n">
        <v/>
      </c>
      <c r="C456" t="n">
        <v>0.255</v>
      </c>
      <c r="D456" t="n">
        <v>1.817</v>
      </c>
      <c r="E456" t="n">
        <v/>
      </c>
    </row>
    <row r="457">
      <c r="A457" s="27" t="n">
        <v>40821</v>
      </c>
      <c r="B457" t="n">
        <v/>
      </c>
      <c r="C457" t="n">
        <v>0.259</v>
      </c>
      <c r="D457" t="n">
        <v>1.891</v>
      </c>
      <c r="E457" t="n">
        <v/>
      </c>
    </row>
    <row r="458">
      <c r="A458" s="27" t="n">
        <v>40822</v>
      </c>
      <c r="B458" t="n">
        <v/>
      </c>
      <c r="C458" t="n">
        <v>0.268</v>
      </c>
      <c r="D458" t="n">
        <v>1.992</v>
      </c>
      <c r="E458" t="n">
        <v/>
      </c>
    </row>
    <row r="459">
      <c r="A459" s="27" t="n">
        <v>40823</v>
      </c>
      <c r="B459" t="n">
        <v/>
      </c>
      <c r="C459" t="n">
        <v>0.296</v>
      </c>
      <c r="D459" t="n">
        <v>2.075</v>
      </c>
      <c r="E459" t="n">
        <v/>
      </c>
    </row>
    <row r="460">
      <c r="A460" s="27" t="n">
        <v>40826</v>
      </c>
      <c r="B460" t="n">
        <v/>
      </c>
      <c r="C460" t="n">
        <v/>
      </c>
      <c r="D460" t="n">
        <v>2.07</v>
      </c>
      <c r="E460" t="n">
        <v/>
      </c>
    </row>
    <row r="461">
      <c r="A461" s="27" t="n">
        <v>40827</v>
      </c>
      <c r="B461" t="n">
        <v/>
      </c>
      <c r="C461" t="n">
        <v>0.304</v>
      </c>
      <c r="D461" t="n">
        <v>2.159</v>
      </c>
      <c r="E461" t="n">
        <v/>
      </c>
    </row>
    <row r="462">
      <c r="A462" s="27" t="n">
        <v>40828</v>
      </c>
      <c r="B462" t="n">
        <v/>
      </c>
      <c r="C462" t="n">
        <v>0.289</v>
      </c>
      <c r="D462" t="n">
        <v>2.212</v>
      </c>
      <c r="E462" t="n">
        <v/>
      </c>
    </row>
    <row r="463">
      <c r="A463" s="27" t="n">
        <v>40829</v>
      </c>
      <c r="B463" t="n">
        <v/>
      </c>
      <c r="C463" t="n">
        <v>0.281</v>
      </c>
      <c r="D463" t="n">
        <v>2.182</v>
      </c>
      <c r="E463" t="n">
        <v/>
      </c>
    </row>
    <row r="464">
      <c r="A464" s="27" t="n">
        <v>40830</v>
      </c>
      <c r="B464" t="n">
        <v/>
      </c>
      <c r="C464" t="n">
        <v>0.269</v>
      </c>
      <c r="D464" t="n">
        <v>2.251</v>
      </c>
      <c r="E464" t="n">
        <v/>
      </c>
    </row>
    <row r="465">
      <c r="A465" s="27" t="n">
        <v>40833</v>
      </c>
      <c r="B465" t="n">
        <v/>
      </c>
      <c r="C465" t="n">
        <v>0.27</v>
      </c>
      <c r="D465" t="n">
        <v>2.155</v>
      </c>
      <c r="E465" t="n">
        <v/>
      </c>
    </row>
    <row r="466">
      <c r="A466" s="27" t="n">
        <v>40834</v>
      </c>
      <c r="B466" t="n">
        <v/>
      </c>
      <c r="C466" t="n">
        <v>0.27</v>
      </c>
      <c r="D466" t="n">
        <v>2.175</v>
      </c>
      <c r="E466" t="n">
        <v/>
      </c>
    </row>
    <row r="467">
      <c r="A467" s="27" t="n">
        <v>40835</v>
      </c>
      <c r="B467" t="n">
        <v/>
      </c>
      <c r="C467" t="n">
        <v>0.27</v>
      </c>
      <c r="D467" t="n">
        <v>2.157</v>
      </c>
      <c r="E467" t="n">
        <v/>
      </c>
    </row>
    <row r="468">
      <c r="A468" s="27" t="n">
        <v>40836</v>
      </c>
      <c r="B468" t="n">
        <v/>
      </c>
      <c r="C468" t="n">
        <v>0.266</v>
      </c>
      <c r="D468" t="n">
        <v>2.187</v>
      </c>
      <c r="E468" t="n">
        <v/>
      </c>
    </row>
    <row r="469">
      <c r="A469" s="27" t="n">
        <v>40837</v>
      </c>
      <c r="B469" t="n">
        <v/>
      </c>
      <c r="C469" t="n">
        <v>0.271</v>
      </c>
      <c r="D469" t="n">
        <v>2.216</v>
      </c>
      <c r="E469" t="n">
        <v/>
      </c>
    </row>
    <row r="470">
      <c r="A470" s="27" t="n">
        <v>40840</v>
      </c>
      <c r="B470" t="n">
        <v/>
      </c>
      <c r="C470" t="n">
        <v>0.283</v>
      </c>
      <c r="D470" t="n">
        <v>2.234</v>
      </c>
      <c r="E470" t="n">
        <v/>
      </c>
    </row>
    <row r="471">
      <c r="A471" s="27" t="n">
        <v>40841</v>
      </c>
      <c r="B471" t="n">
        <v/>
      </c>
      <c r="C471" t="n">
        <v>0.251</v>
      </c>
      <c r="D471" t="n">
        <v>2.114</v>
      </c>
      <c r="E471" t="n">
        <v/>
      </c>
    </row>
    <row r="472">
      <c r="A472" s="27" t="n">
        <v>40842</v>
      </c>
      <c r="B472" t="n">
        <v/>
      </c>
      <c r="C472" t="n">
        <v>0.289</v>
      </c>
      <c r="D472" t="n">
        <v>2.207</v>
      </c>
      <c r="E472" t="n">
        <v/>
      </c>
    </row>
    <row r="473">
      <c r="A473" s="27" t="n">
        <v>40843</v>
      </c>
      <c r="B473" t="n">
        <v/>
      </c>
      <c r="C473" t="n">
        <v>0.313</v>
      </c>
      <c r="D473" t="n">
        <v>2.385</v>
      </c>
      <c r="E473" t="n">
        <v/>
      </c>
    </row>
    <row r="474">
      <c r="A474" s="27" t="n">
        <v>40844</v>
      </c>
      <c r="B474" t="n">
        <v/>
      </c>
      <c r="C474" t="n">
        <v>0.293</v>
      </c>
      <c r="D474" t="n">
        <v>2.324</v>
      </c>
      <c r="E474" t="n">
        <v/>
      </c>
    </row>
    <row r="475">
      <c r="A475" s="27" t="n">
        <v>40847</v>
      </c>
      <c r="B475" t="n">
        <v/>
      </c>
      <c r="C475" t="n">
        <v>0.25</v>
      </c>
      <c r="D475" t="n">
        <v>2.116</v>
      </c>
      <c r="E475" t="n">
        <v/>
      </c>
    </row>
    <row r="476">
      <c r="A476" s="27" t="n">
        <v>40848</v>
      </c>
      <c r="B476" t="n">
        <v/>
      </c>
      <c r="C476" t="n">
        <v>0.242</v>
      </c>
      <c r="D476" t="n">
        <v>1.991</v>
      </c>
      <c r="E476" t="n">
        <v/>
      </c>
    </row>
    <row r="477">
      <c r="A477" s="27" t="n">
        <v>40849</v>
      </c>
      <c r="B477" t="n">
        <v/>
      </c>
      <c r="C477" t="n">
        <v>0.23</v>
      </c>
      <c r="D477" t="n">
        <v>1.989</v>
      </c>
      <c r="E477" t="n">
        <v/>
      </c>
    </row>
    <row r="478">
      <c r="A478" s="27" t="n">
        <v>40850</v>
      </c>
      <c r="B478" t="n">
        <v/>
      </c>
      <c r="C478" t="n">
        <v>0.242</v>
      </c>
      <c r="D478" t="n">
        <v>2.073</v>
      </c>
      <c r="E478" t="n">
        <v/>
      </c>
    </row>
    <row r="479">
      <c r="A479" s="27" t="n">
        <v>40851</v>
      </c>
      <c r="B479" t="n">
        <v/>
      </c>
      <c r="C479" t="n">
        <v>0.222</v>
      </c>
      <c r="D479" t="n">
        <v>2.038</v>
      </c>
      <c r="E479" t="n">
        <v/>
      </c>
    </row>
    <row r="480">
      <c r="A480" s="27" t="n">
        <v>40854</v>
      </c>
      <c r="B480" t="n">
        <v/>
      </c>
      <c r="C480" t="n">
        <v>0.234</v>
      </c>
      <c r="D480" t="n">
        <v>2.02</v>
      </c>
      <c r="E480" t="n">
        <v/>
      </c>
    </row>
    <row r="481">
      <c r="A481" s="27" t="n">
        <v>40855</v>
      </c>
      <c r="B481" t="n">
        <v/>
      </c>
      <c r="C481" t="n">
        <v>0.242</v>
      </c>
      <c r="D481" t="n">
        <v>2.079</v>
      </c>
      <c r="E481" t="n">
        <v/>
      </c>
    </row>
    <row r="482">
      <c r="A482" s="27" t="n">
        <v>40856</v>
      </c>
      <c r="B482" t="n">
        <v/>
      </c>
      <c r="C482" t="n">
        <v>0.23</v>
      </c>
      <c r="D482" t="n">
        <v>1.966</v>
      </c>
      <c r="E482" t="n">
        <v/>
      </c>
    </row>
    <row r="483">
      <c r="A483" s="27" t="n">
        <v>40857</v>
      </c>
      <c r="B483" t="n">
        <v/>
      </c>
      <c r="C483" t="n">
        <v>0.234</v>
      </c>
      <c r="D483" t="n">
        <v>2.057</v>
      </c>
      <c r="E483" t="n">
        <v/>
      </c>
    </row>
    <row r="484">
      <c r="A484" s="27" t="n">
        <v>40858</v>
      </c>
      <c r="B484" t="n">
        <v/>
      </c>
      <c r="C484" t="n">
        <v>0.234</v>
      </c>
      <c r="D484" t="n">
        <v>2.057</v>
      </c>
      <c r="E484" t="n">
        <v/>
      </c>
    </row>
    <row r="485">
      <c r="A485" s="27" t="n">
        <v>40861</v>
      </c>
      <c r="B485" t="n">
        <v/>
      </c>
      <c r="C485" t="n">
        <v>0.234</v>
      </c>
      <c r="D485" t="n">
        <v>2.045</v>
      </c>
      <c r="E485" t="n">
        <v/>
      </c>
    </row>
    <row r="486">
      <c r="A486" s="27" t="n">
        <v>40862</v>
      </c>
      <c r="B486" t="n">
        <v/>
      </c>
      <c r="C486" t="n">
        <v>0.242</v>
      </c>
      <c r="D486" t="n">
        <v>2.049</v>
      </c>
      <c r="E486" t="n">
        <v/>
      </c>
    </row>
    <row r="487">
      <c r="A487" s="27" t="n">
        <v>40863</v>
      </c>
      <c r="B487" t="n">
        <v/>
      </c>
      <c r="C487" t="n">
        <v>0.25</v>
      </c>
      <c r="D487" t="n">
        <v>2</v>
      </c>
      <c r="E487" t="n">
        <v/>
      </c>
    </row>
    <row r="488">
      <c r="A488" s="27" t="n">
        <v>40864</v>
      </c>
      <c r="B488" t="n">
        <v/>
      </c>
      <c r="C488" t="n">
        <v>0.266</v>
      </c>
      <c r="D488" t="n">
        <v>1.965</v>
      </c>
      <c r="E488" t="n">
        <v/>
      </c>
    </row>
    <row r="489">
      <c r="A489" s="27" t="n">
        <v>40865</v>
      </c>
      <c r="B489" t="n">
        <v/>
      </c>
      <c r="C489" t="n">
        <v>0.282</v>
      </c>
      <c r="D489" t="n">
        <v>2.005</v>
      </c>
      <c r="E489" t="n">
        <v/>
      </c>
    </row>
    <row r="490">
      <c r="A490" s="27" t="n">
        <v>40868</v>
      </c>
      <c r="B490" t="n">
        <v/>
      </c>
      <c r="C490" t="n">
        <v>0.266</v>
      </c>
      <c r="D490" t="n">
        <v>1.965</v>
      </c>
      <c r="E490" t="n">
        <v/>
      </c>
    </row>
    <row r="491">
      <c r="A491" s="27" t="n">
        <v>40869</v>
      </c>
      <c r="B491" t="n">
        <v/>
      </c>
      <c r="C491" t="n">
        <v>0.262</v>
      </c>
      <c r="D491" t="n">
        <v>1.922</v>
      </c>
      <c r="E491" t="n">
        <v/>
      </c>
    </row>
    <row r="492">
      <c r="A492" s="27" t="n">
        <v>40870</v>
      </c>
      <c r="B492" t="n">
        <v/>
      </c>
      <c r="C492" t="n">
        <v>0.266</v>
      </c>
      <c r="D492" t="n">
        <v>1.888</v>
      </c>
      <c r="E492" t="n">
        <v/>
      </c>
    </row>
    <row r="493">
      <c r="A493" s="27" t="n">
        <v>40871</v>
      </c>
      <c r="B493" t="n">
        <v/>
      </c>
      <c r="C493" t="n">
        <v/>
      </c>
      <c r="D493" t="n">
        <v>1.894</v>
      </c>
      <c r="E493" t="n">
        <v/>
      </c>
    </row>
    <row r="494">
      <c r="A494" s="27" t="n">
        <v>40872</v>
      </c>
      <c r="B494" t="n">
        <v/>
      </c>
      <c r="C494" t="n">
        <v>0.277</v>
      </c>
      <c r="D494" t="n">
        <v>1.965</v>
      </c>
      <c r="E494" t="n">
        <v/>
      </c>
    </row>
    <row r="495">
      <c r="A495" s="27" t="n">
        <v>40875</v>
      </c>
      <c r="B495" t="n">
        <v/>
      </c>
      <c r="C495" t="n">
        <v>0.258</v>
      </c>
      <c r="D495" t="n">
        <v>1.97</v>
      </c>
      <c r="E495" t="n">
        <v/>
      </c>
    </row>
    <row r="496">
      <c r="A496" s="27" t="n">
        <v>40876</v>
      </c>
      <c r="B496" t="n">
        <v/>
      </c>
      <c r="C496" t="n">
        <v>0.258</v>
      </c>
      <c r="D496" t="n">
        <v>1.988</v>
      </c>
      <c r="E496" t="n">
        <v/>
      </c>
    </row>
    <row r="497">
      <c r="A497" s="27" t="n">
        <v>40877</v>
      </c>
      <c r="B497" t="n">
        <v/>
      </c>
      <c r="C497" t="n">
        <v>0.258</v>
      </c>
      <c r="D497" t="n">
        <v>2.071</v>
      </c>
      <c r="E497" t="n">
        <v/>
      </c>
    </row>
    <row r="498">
      <c r="A498" s="27" t="n">
        <v>40878</v>
      </c>
      <c r="B498" t="n">
        <v/>
      </c>
      <c r="C498" t="n">
        <v>0.258</v>
      </c>
      <c r="D498" t="n">
        <v>2.086</v>
      </c>
      <c r="E498" t="n">
        <v/>
      </c>
    </row>
    <row r="499">
      <c r="A499" s="27" t="n">
        <v>40879</v>
      </c>
      <c r="B499" t="n">
        <v/>
      </c>
      <c r="C499" t="n">
        <v>0.254</v>
      </c>
      <c r="D499" t="n">
        <v>2.033</v>
      </c>
      <c r="E499" t="n">
        <v/>
      </c>
    </row>
    <row r="500">
      <c r="A500" s="27" t="n">
        <v>40882</v>
      </c>
      <c r="B500" t="n">
        <v/>
      </c>
      <c r="C500" t="n">
        <v>0.262</v>
      </c>
      <c r="D500" t="n">
        <v>2.033</v>
      </c>
      <c r="E500" t="n">
        <v/>
      </c>
    </row>
    <row r="501">
      <c r="A501" s="27" t="n">
        <v>40883</v>
      </c>
      <c r="B501" t="n">
        <v/>
      </c>
      <c r="C501" t="n">
        <v>0.258</v>
      </c>
      <c r="D501" t="n">
        <v>2.086</v>
      </c>
      <c r="E501" t="n">
        <v/>
      </c>
    </row>
    <row r="502">
      <c r="A502" s="27" t="n">
        <v>40884</v>
      </c>
      <c r="B502" t="n">
        <v/>
      </c>
      <c r="C502" t="n">
        <v>0.238</v>
      </c>
      <c r="D502" t="n">
        <v>2.033</v>
      </c>
      <c r="E502" t="n">
        <v/>
      </c>
    </row>
    <row r="503">
      <c r="A503" s="27" t="n">
        <v>40885</v>
      </c>
      <c r="B503" t="n">
        <v/>
      </c>
      <c r="C503" t="n">
        <v>0.222</v>
      </c>
      <c r="D503" t="n">
        <v>1.97</v>
      </c>
      <c r="E503" t="n">
        <v/>
      </c>
    </row>
    <row r="504">
      <c r="A504" s="27" t="n">
        <v>40886</v>
      </c>
      <c r="B504" t="n">
        <v/>
      </c>
      <c r="C504" t="n">
        <v>0.226</v>
      </c>
      <c r="D504" t="n">
        <v>2.063</v>
      </c>
      <c r="E504" t="n">
        <v/>
      </c>
    </row>
    <row r="505">
      <c r="A505" s="27" t="n">
        <v>40889</v>
      </c>
      <c r="B505" t="n">
        <v/>
      </c>
      <c r="C505" t="n">
        <v>0.226</v>
      </c>
      <c r="D505" t="n">
        <v>2.017</v>
      </c>
      <c r="E505" t="n">
        <v/>
      </c>
    </row>
    <row r="506">
      <c r="A506" s="27" t="n">
        <v>40890</v>
      </c>
      <c r="B506" t="n">
        <v/>
      </c>
      <c r="C506" t="n">
        <v>0.234</v>
      </c>
      <c r="D506" t="n">
        <v>1.963</v>
      </c>
      <c r="E506" t="n">
        <v/>
      </c>
    </row>
    <row r="507">
      <c r="A507" s="27" t="n">
        <v>40891</v>
      </c>
      <c r="B507" t="n">
        <v/>
      </c>
      <c r="C507" t="n">
        <v>0.242</v>
      </c>
      <c r="D507" t="n">
        <v>1.904</v>
      </c>
      <c r="E507" t="n">
        <v/>
      </c>
    </row>
    <row r="508">
      <c r="A508" s="27" t="n">
        <v>40892</v>
      </c>
      <c r="B508" t="n">
        <v/>
      </c>
      <c r="C508" t="n">
        <v>0.242</v>
      </c>
      <c r="D508" t="n">
        <v>1.911</v>
      </c>
      <c r="E508" t="n">
        <v/>
      </c>
    </row>
    <row r="509">
      <c r="A509" s="27" t="n">
        <v>40893</v>
      </c>
      <c r="B509" t="n">
        <v/>
      </c>
      <c r="C509" t="n">
        <v>0.226</v>
      </c>
      <c r="D509" t="n">
        <v>1.851</v>
      </c>
      <c r="E509" t="n">
        <v/>
      </c>
    </row>
    <row r="510">
      <c r="A510" s="27" t="n">
        <v>40896</v>
      </c>
      <c r="B510" t="n">
        <v/>
      </c>
      <c r="C510" t="n">
        <v>0.238</v>
      </c>
      <c r="D510" t="n">
        <v>1.81</v>
      </c>
      <c r="E510" t="n">
        <v/>
      </c>
    </row>
    <row r="511">
      <c r="A511" s="27" t="n">
        <v>40897</v>
      </c>
      <c r="B511" t="n">
        <v/>
      </c>
      <c r="C511" t="n">
        <v>0.259</v>
      </c>
      <c r="D511" t="n">
        <v>1.927</v>
      </c>
      <c r="E511" t="n">
        <v/>
      </c>
    </row>
    <row r="512">
      <c r="A512" s="27" t="n">
        <v>40898</v>
      </c>
      <c r="B512" t="n">
        <v/>
      </c>
      <c r="C512" t="n">
        <v>0.275</v>
      </c>
      <c r="D512" t="n">
        <v>1.97</v>
      </c>
      <c r="E512" t="n">
        <v/>
      </c>
    </row>
    <row r="513">
      <c r="A513" s="27" t="n">
        <v>40899</v>
      </c>
      <c r="B513" t="n">
        <v/>
      </c>
      <c r="C513" t="n">
        <v>0.278</v>
      </c>
      <c r="D513" t="n">
        <v>1.953</v>
      </c>
      <c r="E513" t="n">
        <v/>
      </c>
    </row>
    <row r="514">
      <c r="A514" s="27" t="n">
        <v>40900</v>
      </c>
      <c r="B514" t="n">
        <v/>
      </c>
      <c r="C514" t="n">
        <v>0.29</v>
      </c>
      <c r="D514" t="n">
        <v>2.021</v>
      </c>
      <c r="E514" t="n">
        <v/>
      </c>
    </row>
    <row r="515">
      <c r="A515" s="27" t="n">
        <v>40903</v>
      </c>
      <c r="B515" t="n">
        <v/>
      </c>
      <c r="C515" t="n">
        <v/>
      </c>
      <c r="D515" t="n">
        <v>2.026</v>
      </c>
      <c r="E515" t="n">
        <v/>
      </c>
    </row>
    <row r="516">
      <c r="A516" s="27" t="n">
        <v>40904</v>
      </c>
      <c r="B516" t="n">
        <v/>
      </c>
      <c r="C516" t="n">
        <v>0.294</v>
      </c>
      <c r="D516" t="n">
        <v>2.002</v>
      </c>
      <c r="E516" t="n">
        <v/>
      </c>
    </row>
    <row r="517">
      <c r="A517" s="27" t="n">
        <v>40905</v>
      </c>
      <c r="B517" t="n">
        <v/>
      </c>
      <c r="C517" t="n">
        <v>0.271</v>
      </c>
      <c r="D517" t="n">
        <v>1.921</v>
      </c>
      <c r="E517" t="n">
        <v/>
      </c>
    </row>
    <row r="518">
      <c r="A518" s="27" t="n">
        <v>40906</v>
      </c>
      <c r="B518" t="n">
        <v/>
      </c>
      <c r="C518" t="n">
        <v>0.271</v>
      </c>
      <c r="D518" t="n">
        <v>1.899</v>
      </c>
      <c r="E518" t="n">
        <v/>
      </c>
    </row>
    <row r="519">
      <c r="A519" s="27" t="n">
        <v>40907</v>
      </c>
      <c r="B519" t="n">
        <v/>
      </c>
      <c r="C519" t="n">
        <v>0.247</v>
      </c>
      <c r="D519" t="n">
        <v>1.876</v>
      </c>
      <c r="E519" t="n">
        <v/>
      </c>
    </row>
    <row r="520">
      <c r="A520" s="27" t="n">
        <v>40910</v>
      </c>
      <c r="B520" t="n">
        <v/>
      </c>
      <c r="C520" t="n">
        <v/>
      </c>
      <c r="D520" t="n">
        <v>1.873</v>
      </c>
      <c r="E520" t="n">
        <v/>
      </c>
    </row>
    <row r="521">
      <c r="A521" s="27" t="n">
        <v>40911</v>
      </c>
      <c r="B521" t="n">
        <v/>
      </c>
      <c r="C521" t="n">
        <v>0.259</v>
      </c>
      <c r="D521" t="n">
        <v>1.956</v>
      </c>
      <c r="E521" t="n">
        <v/>
      </c>
    </row>
    <row r="522">
      <c r="A522" s="27" t="n">
        <v>40912</v>
      </c>
      <c r="B522" t="n">
        <v/>
      </c>
      <c r="C522" t="n">
        <v>0.263</v>
      </c>
      <c r="D522" t="n">
        <v>1.984</v>
      </c>
      <c r="E522" t="n">
        <v/>
      </c>
    </row>
    <row r="523">
      <c r="A523" s="27" t="n">
        <v>40913</v>
      </c>
      <c r="B523" t="n">
        <v/>
      </c>
      <c r="C523" t="n">
        <v>0.263</v>
      </c>
      <c r="D523" t="n">
        <v>1.996</v>
      </c>
      <c r="E523" t="n">
        <v/>
      </c>
    </row>
    <row r="524">
      <c r="A524" s="27" t="n">
        <v>40914</v>
      </c>
      <c r="B524" t="n">
        <v/>
      </c>
      <c r="C524" t="n">
        <v>0.26</v>
      </c>
      <c r="D524" t="n">
        <v>1.958</v>
      </c>
      <c r="E524" t="n">
        <v/>
      </c>
    </row>
    <row r="525">
      <c r="A525" s="27" t="n">
        <v>40917</v>
      </c>
      <c r="B525" t="n">
        <v/>
      </c>
      <c r="C525" t="n">
        <v>0.248</v>
      </c>
      <c r="D525" t="n">
        <v>1.956</v>
      </c>
      <c r="E525" t="n">
        <v/>
      </c>
    </row>
    <row r="526">
      <c r="A526" s="27" t="n">
        <v>40918</v>
      </c>
      <c r="B526" t="n">
        <v/>
      </c>
      <c r="C526" t="n">
        <v>0.244</v>
      </c>
      <c r="D526" t="n">
        <v>1.963</v>
      </c>
      <c r="E526" t="n">
        <v/>
      </c>
    </row>
    <row r="527">
      <c r="A527" s="27" t="n">
        <v>40919</v>
      </c>
      <c r="B527" t="n">
        <v/>
      </c>
      <c r="C527" t="n">
        <v>0.233</v>
      </c>
      <c r="D527" t="n">
        <v>1.905</v>
      </c>
      <c r="E527" t="n">
        <v/>
      </c>
    </row>
    <row r="528">
      <c r="A528" s="27" t="n">
        <v>40920</v>
      </c>
      <c r="B528" t="n">
        <v/>
      </c>
      <c r="C528" t="n">
        <v>0.233</v>
      </c>
      <c r="D528" t="n">
        <v>1.926</v>
      </c>
      <c r="E528" t="n">
        <v/>
      </c>
    </row>
    <row r="529">
      <c r="A529" s="27" t="n">
        <v>40921</v>
      </c>
      <c r="B529" t="n">
        <v/>
      </c>
      <c r="C529" t="n">
        <v>0.225</v>
      </c>
      <c r="D529" t="n">
        <v>1.871</v>
      </c>
      <c r="E529" t="n">
        <v/>
      </c>
    </row>
    <row r="530">
      <c r="A530" s="27" t="n">
        <v>40924</v>
      </c>
      <c r="B530" t="n">
        <v/>
      </c>
      <c r="C530" t="n">
        <v/>
      </c>
      <c r="D530" t="n">
        <v>1.86</v>
      </c>
      <c r="E530" t="n">
        <v/>
      </c>
    </row>
    <row r="531">
      <c r="A531" s="27" t="n">
        <v>40925</v>
      </c>
      <c r="B531" t="n">
        <v/>
      </c>
      <c r="C531" t="n">
        <v>0.221</v>
      </c>
      <c r="D531" t="n">
        <v>1.858</v>
      </c>
      <c r="E531" t="n">
        <v/>
      </c>
    </row>
    <row r="532">
      <c r="A532" s="27" t="n">
        <v>40926</v>
      </c>
      <c r="B532" t="n">
        <v/>
      </c>
      <c r="C532" t="n">
        <v>0.23</v>
      </c>
      <c r="D532" t="n">
        <v>1.898</v>
      </c>
      <c r="E532" t="n">
        <v/>
      </c>
    </row>
    <row r="533">
      <c r="A533" s="27" t="n">
        <v>40927</v>
      </c>
      <c r="B533" t="n">
        <v/>
      </c>
      <c r="C533" t="n">
        <v>0.238</v>
      </c>
      <c r="D533" t="n">
        <v>1.982</v>
      </c>
      <c r="E533" t="n">
        <v/>
      </c>
    </row>
    <row r="534">
      <c r="A534" s="27" t="n">
        <v>40928</v>
      </c>
      <c r="B534" t="n">
        <v/>
      </c>
      <c r="C534" t="n">
        <v>0.242</v>
      </c>
      <c r="D534" t="n">
        <v>2.025</v>
      </c>
      <c r="E534" t="n">
        <v/>
      </c>
    </row>
    <row r="535">
      <c r="A535" s="27" t="n">
        <v>40931</v>
      </c>
      <c r="B535" t="n">
        <v/>
      </c>
      <c r="C535" t="n">
        <v>0.243</v>
      </c>
      <c r="D535" t="n">
        <v>2.058</v>
      </c>
      <c r="E535" t="n">
        <v/>
      </c>
    </row>
    <row r="536">
      <c r="A536" s="27" t="n">
        <v>40932</v>
      </c>
      <c r="B536" t="n">
        <v/>
      </c>
      <c r="C536" t="n">
        <v>0.239</v>
      </c>
      <c r="D536" t="n">
        <v>2.063</v>
      </c>
      <c r="E536" t="n">
        <v/>
      </c>
    </row>
    <row r="537">
      <c r="A537" s="27" t="n">
        <v>40933</v>
      </c>
      <c r="B537" t="n">
        <v/>
      </c>
      <c r="C537" t="n">
        <v>0.227</v>
      </c>
      <c r="D537" t="n">
        <v>2.002</v>
      </c>
      <c r="E537" t="n">
        <v/>
      </c>
    </row>
    <row r="538">
      <c r="A538" s="27" t="n">
        <v>40934</v>
      </c>
      <c r="B538" t="n">
        <v/>
      </c>
      <c r="C538" t="n">
        <v>0.215</v>
      </c>
      <c r="D538" t="n">
        <v>1.94</v>
      </c>
      <c r="E538" t="n">
        <v/>
      </c>
    </row>
    <row r="539">
      <c r="A539" s="27" t="n">
        <v>40935</v>
      </c>
      <c r="B539" t="n">
        <v/>
      </c>
      <c r="C539" t="n">
        <v>0.215</v>
      </c>
      <c r="D539" t="n">
        <v>1.891</v>
      </c>
      <c r="E539" t="n">
        <v/>
      </c>
    </row>
    <row r="540">
      <c r="A540" s="27" t="n">
        <v>40938</v>
      </c>
      <c r="B540" t="n">
        <v/>
      </c>
      <c r="C540" t="n">
        <v>0.215</v>
      </c>
      <c r="D540" t="n">
        <v>1.846</v>
      </c>
      <c r="E540" t="n">
        <v/>
      </c>
    </row>
    <row r="541">
      <c r="A541" s="27" t="n">
        <v>40939</v>
      </c>
      <c r="B541" t="n">
        <v/>
      </c>
      <c r="C541" t="n">
        <v>0.219</v>
      </c>
      <c r="D541" t="n">
        <v>1.795</v>
      </c>
      <c r="E541" t="n">
        <v/>
      </c>
    </row>
    <row r="542">
      <c r="A542" s="27" t="n">
        <v>40940</v>
      </c>
      <c r="B542" t="n">
        <v/>
      </c>
      <c r="C542" t="n">
        <v>0.226</v>
      </c>
      <c r="D542" t="n">
        <v>1.83</v>
      </c>
      <c r="E542" t="n">
        <v/>
      </c>
    </row>
    <row r="543">
      <c r="A543" s="27" t="n">
        <v>40941</v>
      </c>
      <c r="B543" t="n">
        <v/>
      </c>
      <c r="C543" t="n">
        <v>0.226</v>
      </c>
      <c r="D543" t="n">
        <v>1.823</v>
      </c>
      <c r="E543" t="n">
        <v/>
      </c>
    </row>
    <row r="544">
      <c r="A544" s="27" t="n">
        <v>40942</v>
      </c>
      <c r="B544" t="n">
        <v/>
      </c>
      <c r="C544" t="n">
        <v>0.238</v>
      </c>
      <c r="D544" t="n">
        <v>1.924</v>
      </c>
      <c r="E544" t="n">
        <v/>
      </c>
    </row>
    <row r="545">
      <c r="A545" s="27" t="n">
        <v>40945</v>
      </c>
      <c r="B545" t="n">
        <v/>
      </c>
      <c r="C545" t="n">
        <v>0.234</v>
      </c>
      <c r="D545" t="n">
        <v>1.901</v>
      </c>
      <c r="E545" t="n">
        <v/>
      </c>
    </row>
    <row r="546">
      <c r="A546" s="27" t="n">
        <v>40946</v>
      </c>
      <c r="B546" t="n">
        <v/>
      </c>
      <c r="C546" t="n">
        <v>0.25</v>
      </c>
      <c r="D546" t="n">
        <v>1.977</v>
      </c>
      <c r="E546" t="n">
        <v/>
      </c>
    </row>
    <row r="547">
      <c r="A547" s="27" t="n">
        <v>40947</v>
      </c>
      <c r="B547" t="n">
        <v/>
      </c>
      <c r="C547" t="n">
        <v>0.258</v>
      </c>
      <c r="D547" t="n">
        <v>1.982</v>
      </c>
      <c r="E547" t="n">
        <v/>
      </c>
    </row>
    <row r="548">
      <c r="A548" s="27" t="n">
        <v>40948</v>
      </c>
      <c r="B548" t="n">
        <v/>
      </c>
      <c r="C548" t="n">
        <v>0.266</v>
      </c>
      <c r="D548" t="n">
        <v>2.036</v>
      </c>
      <c r="E548" t="n">
        <v/>
      </c>
    </row>
    <row r="549">
      <c r="A549" s="27" t="n">
        <v>40949</v>
      </c>
      <c r="B549" t="n">
        <v/>
      </c>
      <c r="C549" t="n">
        <v>0.278</v>
      </c>
      <c r="D549" t="n">
        <v>1.984</v>
      </c>
      <c r="E549" t="n">
        <v/>
      </c>
    </row>
    <row r="550">
      <c r="A550" s="27" t="n">
        <v>40952</v>
      </c>
      <c r="B550" t="n">
        <v/>
      </c>
      <c r="C550" t="n">
        <v>0.29</v>
      </c>
      <c r="D550" t="n">
        <v>1.978</v>
      </c>
      <c r="E550" t="n">
        <v/>
      </c>
    </row>
    <row r="551">
      <c r="A551" s="27" t="n">
        <v>40953</v>
      </c>
      <c r="B551" t="n">
        <v/>
      </c>
      <c r="C551" t="n">
        <v>0.29</v>
      </c>
      <c r="D551" t="n">
        <v>1.938</v>
      </c>
      <c r="E551" t="n">
        <v/>
      </c>
    </row>
    <row r="552">
      <c r="A552" s="27" t="n">
        <v>40954</v>
      </c>
      <c r="B552" t="n">
        <v/>
      </c>
      <c r="C552" t="n">
        <v>0.27</v>
      </c>
      <c r="D552" t="n">
        <v>1.933</v>
      </c>
      <c r="E552" t="n">
        <v/>
      </c>
    </row>
    <row r="553">
      <c r="A553" s="27" t="n">
        <v>40955</v>
      </c>
      <c r="B553" t="n">
        <v/>
      </c>
      <c r="C553" t="n">
        <v>0.294</v>
      </c>
      <c r="D553" t="n">
        <v>1.984</v>
      </c>
      <c r="E553" t="n">
        <v/>
      </c>
    </row>
    <row r="554">
      <c r="A554" s="27" t="n">
        <v>40956</v>
      </c>
      <c r="B554" t="n">
        <v/>
      </c>
      <c r="C554" t="n">
        <v>0.294</v>
      </c>
      <c r="D554" t="n">
        <v>2</v>
      </c>
      <c r="E554" t="n">
        <v/>
      </c>
    </row>
    <row r="555">
      <c r="A555" s="27" t="n">
        <v>40959</v>
      </c>
      <c r="B555" t="n">
        <v/>
      </c>
      <c r="C555" t="n">
        <v/>
      </c>
      <c r="D555" t="n">
        <v>2.038</v>
      </c>
      <c r="E555" t="n">
        <v/>
      </c>
    </row>
    <row r="556">
      <c r="A556" s="27" t="n">
        <v>40960</v>
      </c>
      <c r="B556" t="n">
        <v/>
      </c>
      <c r="C556" t="n">
        <v>0.303</v>
      </c>
      <c r="D556" t="n">
        <v>2.061</v>
      </c>
      <c r="E556" t="n">
        <v/>
      </c>
    </row>
    <row r="557">
      <c r="A557" s="27" t="n">
        <v>40961</v>
      </c>
      <c r="B557" t="n">
        <v/>
      </c>
      <c r="C557" t="n">
        <v>0.297</v>
      </c>
      <c r="D557" t="n">
        <v>2.002</v>
      </c>
      <c r="E557" t="n">
        <v/>
      </c>
    </row>
    <row r="558">
      <c r="A558" s="27" t="n">
        <v>40962</v>
      </c>
      <c r="B558" t="n">
        <v/>
      </c>
      <c r="C558" t="n">
        <v>0.305</v>
      </c>
      <c r="D558" t="n">
        <v>1.996</v>
      </c>
      <c r="E558" t="n">
        <v/>
      </c>
    </row>
    <row r="559">
      <c r="A559" s="27" t="n">
        <v>40963</v>
      </c>
      <c r="B559" t="n">
        <v/>
      </c>
      <c r="C559" t="n">
        <v>0.309</v>
      </c>
      <c r="D559" t="n">
        <v>1.977</v>
      </c>
      <c r="E559" t="n">
        <v/>
      </c>
    </row>
    <row r="560">
      <c r="A560" s="27" t="n">
        <v>40966</v>
      </c>
      <c r="B560" t="n">
        <v/>
      </c>
      <c r="C560" t="n">
        <v>0.289</v>
      </c>
      <c r="D560" t="n">
        <v>1.925</v>
      </c>
      <c r="E560" t="n">
        <v/>
      </c>
    </row>
    <row r="561">
      <c r="A561" s="27" t="n">
        <v>40967</v>
      </c>
      <c r="B561" t="n">
        <v/>
      </c>
      <c r="C561" t="n">
        <v>0.293</v>
      </c>
      <c r="D561" t="n">
        <v>1.941</v>
      </c>
      <c r="E561" t="n">
        <v/>
      </c>
    </row>
    <row r="562">
      <c r="A562" s="27" t="n">
        <v>40968</v>
      </c>
      <c r="B562" t="n">
        <v/>
      </c>
      <c r="C562" t="n">
        <v>0.297</v>
      </c>
      <c r="D562" t="n">
        <v>1.974</v>
      </c>
      <c r="E562" t="n">
        <v/>
      </c>
    </row>
    <row r="563">
      <c r="A563" s="27" t="n">
        <v>40969</v>
      </c>
      <c r="B563" t="n">
        <v/>
      </c>
      <c r="C563" t="n">
        <v>0.293</v>
      </c>
      <c r="D563" t="n">
        <v>2.03</v>
      </c>
      <c r="E563" t="n">
        <v/>
      </c>
    </row>
    <row r="564">
      <c r="A564" s="27" t="n">
        <v>40970</v>
      </c>
      <c r="B564" t="n">
        <v/>
      </c>
      <c r="C564" t="n">
        <v>0.278</v>
      </c>
      <c r="D564" t="n">
        <v>1.979</v>
      </c>
      <c r="E564" t="n">
        <v/>
      </c>
    </row>
    <row r="565">
      <c r="A565" s="27" t="n">
        <v>40973</v>
      </c>
      <c r="B565" t="n">
        <v/>
      </c>
      <c r="C565" t="n">
        <v>0.297</v>
      </c>
      <c r="D565" t="n">
        <v>2.007</v>
      </c>
      <c r="E565" t="n">
        <v/>
      </c>
    </row>
    <row r="566">
      <c r="A566" s="27" t="n">
        <v>40974</v>
      </c>
      <c r="B566" t="n">
        <v/>
      </c>
      <c r="C566" t="n">
        <v>0.282</v>
      </c>
      <c r="D566" t="n">
        <v>1.95</v>
      </c>
      <c r="E566" t="n">
        <v/>
      </c>
    </row>
    <row r="567">
      <c r="A567" s="27" t="n">
        <v>40975</v>
      </c>
      <c r="B567" t="n">
        <v/>
      </c>
      <c r="C567" t="n">
        <v>0.301</v>
      </c>
      <c r="D567" t="n">
        <v>1.972</v>
      </c>
      <c r="E567" t="n">
        <v/>
      </c>
    </row>
    <row r="568">
      <c r="A568" s="27" t="n">
        <v>40976</v>
      </c>
      <c r="B568" t="n">
        <v/>
      </c>
      <c r="C568" t="n">
        <v>0.31</v>
      </c>
      <c r="D568" t="n">
        <v>2.016</v>
      </c>
      <c r="E568" t="n">
        <v/>
      </c>
    </row>
    <row r="569">
      <c r="A569" s="27" t="n">
        <v>40977</v>
      </c>
      <c r="B569" t="n">
        <v/>
      </c>
      <c r="C569" t="n">
        <v>0.322</v>
      </c>
      <c r="D569" t="n">
        <v>2.03</v>
      </c>
      <c r="E569" t="n">
        <v/>
      </c>
    </row>
    <row r="570">
      <c r="A570" s="27" t="n">
        <v>40980</v>
      </c>
      <c r="B570" t="n">
        <v/>
      </c>
      <c r="C570" t="n">
        <v>0.326</v>
      </c>
      <c r="D570" t="n">
        <v>2.037</v>
      </c>
      <c r="E570" t="n">
        <v/>
      </c>
    </row>
    <row r="571">
      <c r="A571" s="27" t="n">
        <v>40981</v>
      </c>
      <c r="B571" t="n">
        <v/>
      </c>
      <c r="C571" t="n">
        <v>0.346</v>
      </c>
      <c r="D571" t="n">
        <v>2.126</v>
      </c>
      <c r="E571" t="n">
        <v/>
      </c>
    </row>
    <row r="572">
      <c r="A572" s="27" t="n">
        <v>40982</v>
      </c>
      <c r="B572" t="n">
        <v/>
      </c>
      <c r="C572" t="n">
        <v>0.394</v>
      </c>
      <c r="D572" t="n">
        <v>2.274</v>
      </c>
      <c r="E572" t="n">
        <v/>
      </c>
    </row>
    <row r="573">
      <c r="A573" s="27" t="n">
        <v>40983</v>
      </c>
      <c r="B573" t="n">
        <v/>
      </c>
      <c r="C573" t="n">
        <v>0.37</v>
      </c>
      <c r="D573" t="n">
        <v>2.279</v>
      </c>
      <c r="E573" t="n">
        <v/>
      </c>
    </row>
    <row r="574">
      <c r="A574" s="27" t="n">
        <v>40984</v>
      </c>
      <c r="B574" t="n">
        <v/>
      </c>
      <c r="C574" t="n">
        <v>0.367</v>
      </c>
      <c r="D574" t="n">
        <v>2.298</v>
      </c>
      <c r="E574" t="n">
        <v/>
      </c>
    </row>
    <row r="575">
      <c r="A575" s="27" t="n">
        <v>40987</v>
      </c>
      <c r="B575" t="n">
        <v/>
      </c>
      <c r="C575" t="n">
        <v>0.383</v>
      </c>
      <c r="D575" t="n">
        <v>2.375</v>
      </c>
      <c r="E575" t="n">
        <v/>
      </c>
    </row>
    <row r="576">
      <c r="A576" s="27" t="n">
        <v>40988</v>
      </c>
      <c r="B576" t="n">
        <v/>
      </c>
      <c r="C576" t="n">
        <v>0.4</v>
      </c>
      <c r="D576" t="n">
        <v>2.363</v>
      </c>
      <c r="E576" t="n">
        <v/>
      </c>
    </row>
    <row r="577">
      <c r="A577" s="27" t="n">
        <v>40989</v>
      </c>
      <c r="B577" t="n">
        <v/>
      </c>
      <c r="C577" t="n">
        <v>0.367</v>
      </c>
      <c r="D577" t="n">
        <v>2.296</v>
      </c>
      <c r="E577" t="n">
        <v/>
      </c>
    </row>
    <row r="578">
      <c r="A578" s="27" t="n">
        <v>40990</v>
      </c>
      <c r="B578" t="n">
        <v/>
      </c>
      <c r="C578" t="n">
        <v>0.368</v>
      </c>
      <c r="D578" t="n">
        <v>2.282</v>
      </c>
      <c r="E578" t="n">
        <v/>
      </c>
    </row>
    <row r="579">
      <c r="A579" s="27" t="n">
        <v>40991</v>
      </c>
      <c r="B579" t="n">
        <v/>
      </c>
      <c r="C579" t="n">
        <v>0.356</v>
      </c>
      <c r="D579" t="n">
        <v>2.233</v>
      </c>
      <c r="E579" t="n">
        <v/>
      </c>
    </row>
    <row r="580">
      <c r="A580" s="27" t="n">
        <v>40994</v>
      </c>
      <c r="B580" t="n">
        <v/>
      </c>
      <c r="C580" t="n">
        <v>0.348</v>
      </c>
      <c r="D580" t="n">
        <v>2.253</v>
      </c>
      <c r="E580" t="n">
        <v/>
      </c>
    </row>
    <row r="581">
      <c r="A581" s="27" t="n">
        <v>40995</v>
      </c>
      <c r="B581" t="n">
        <v/>
      </c>
      <c r="C581" t="n">
        <v>0.323</v>
      </c>
      <c r="D581" t="n">
        <v>2.187</v>
      </c>
      <c r="E581" t="n">
        <v/>
      </c>
    </row>
    <row r="582">
      <c r="A582" s="27" t="n">
        <v>40996</v>
      </c>
      <c r="B582" t="n">
        <v/>
      </c>
      <c r="C582" t="n">
        <v>0.344</v>
      </c>
      <c r="D582" t="n">
        <v>2.201</v>
      </c>
      <c r="E582" t="n">
        <v/>
      </c>
    </row>
    <row r="583">
      <c r="A583" s="27" t="n">
        <v>40997</v>
      </c>
      <c r="B583" t="n">
        <v/>
      </c>
      <c r="C583" t="n">
        <v>0.34</v>
      </c>
      <c r="D583" t="n">
        <v>2.159</v>
      </c>
      <c r="E583" t="n">
        <v/>
      </c>
    </row>
    <row r="584">
      <c r="A584" s="27" t="n">
        <v>40998</v>
      </c>
      <c r="B584" t="n">
        <v/>
      </c>
      <c r="C584" t="n">
        <v>0.336</v>
      </c>
      <c r="D584" t="n">
        <v>2.214</v>
      </c>
      <c r="E584" t="n">
        <v/>
      </c>
    </row>
    <row r="585">
      <c r="A585" s="27" t="n">
        <v>41001</v>
      </c>
      <c r="B585" t="n">
        <v/>
      </c>
      <c r="C585" t="n">
        <v>0.325</v>
      </c>
      <c r="D585" t="n">
        <v>2.18</v>
      </c>
      <c r="E585" t="n">
        <v/>
      </c>
    </row>
    <row r="586">
      <c r="A586" s="27" t="n">
        <v>41002</v>
      </c>
      <c r="B586" t="n">
        <v/>
      </c>
      <c r="C586" t="n">
        <v>0.368</v>
      </c>
      <c r="D586" t="n">
        <v>2.293</v>
      </c>
      <c r="E586" t="n">
        <v/>
      </c>
    </row>
    <row r="587">
      <c r="A587" s="27" t="n">
        <v>41003</v>
      </c>
      <c r="B587" t="n">
        <v/>
      </c>
      <c r="C587" t="n">
        <v>0.345</v>
      </c>
      <c r="D587" t="n">
        <v>2.223</v>
      </c>
      <c r="E587" t="n">
        <v/>
      </c>
    </row>
    <row r="588">
      <c r="A588" s="27" t="n">
        <v>41004</v>
      </c>
      <c r="B588" t="n">
        <v/>
      </c>
      <c r="C588" t="n">
        <v>0.341</v>
      </c>
      <c r="D588" t="n">
        <v>2.18</v>
      </c>
      <c r="E588" t="n">
        <v/>
      </c>
    </row>
    <row r="589">
      <c r="A589" s="27" t="n">
        <v>41005</v>
      </c>
      <c r="B589" t="n">
        <v/>
      </c>
      <c r="C589" t="n">
        <v>0.322</v>
      </c>
      <c r="D589" t="n">
        <v>2.047</v>
      </c>
      <c r="E589" t="n">
        <v/>
      </c>
    </row>
    <row r="590">
      <c r="A590" s="27" t="n">
        <v>41008</v>
      </c>
      <c r="B590" t="n">
        <v/>
      </c>
      <c r="C590" t="n">
        <v>0.318</v>
      </c>
      <c r="D590" t="n">
        <v>2.047</v>
      </c>
      <c r="E590" t="n">
        <v/>
      </c>
    </row>
    <row r="591">
      <c r="A591" s="27" t="n">
        <v>41009</v>
      </c>
      <c r="B591" t="n">
        <v/>
      </c>
      <c r="C591" t="n">
        <v>0.29</v>
      </c>
      <c r="D591" t="n">
        <v>1.986</v>
      </c>
      <c r="E591" t="n">
        <v/>
      </c>
    </row>
    <row r="592">
      <c r="A592" s="27" t="n">
        <v>41010</v>
      </c>
      <c r="B592" t="n">
        <v/>
      </c>
      <c r="C592" t="n">
        <v>0.298</v>
      </c>
      <c r="D592" t="n">
        <v>2.037</v>
      </c>
      <c r="E592" t="n">
        <v/>
      </c>
    </row>
    <row r="593">
      <c r="A593" s="27" t="n">
        <v>41011</v>
      </c>
      <c r="B593" t="n">
        <v/>
      </c>
      <c r="C593" t="n">
        <v>0.29</v>
      </c>
      <c r="D593" t="n">
        <v>2.056</v>
      </c>
      <c r="E593" t="n">
        <v/>
      </c>
    </row>
    <row r="594">
      <c r="A594" s="27" t="n">
        <v>41012</v>
      </c>
      <c r="B594" t="n">
        <v/>
      </c>
      <c r="C594" t="n">
        <v>0.27</v>
      </c>
      <c r="D594" t="n">
        <v>1.989</v>
      </c>
      <c r="E594" t="n">
        <v/>
      </c>
    </row>
    <row r="595">
      <c r="A595" s="27" t="n">
        <v>41015</v>
      </c>
      <c r="B595" t="n">
        <v/>
      </c>
      <c r="C595" t="n">
        <v>0.274</v>
      </c>
      <c r="D595" t="n">
        <v>1.982</v>
      </c>
      <c r="E595" t="n">
        <v/>
      </c>
    </row>
    <row r="596">
      <c r="A596" s="27" t="n">
        <v>41016</v>
      </c>
      <c r="B596" t="n">
        <v/>
      </c>
      <c r="C596" t="n">
        <v>0.274</v>
      </c>
      <c r="D596" t="n">
        <v>1.996</v>
      </c>
      <c r="E596" t="n">
        <v/>
      </c>
    </row>
    <row r="597">
      <c r="A597" s="27" t="n">
        <v>41017</v>
      </c>
      <c r="B597" t="n">
        <v/>
      </c>
      <c r="C597" t="n">
        <v>0.27</v>
      </c>
      <c r="D597" t="n">
        <v>1.975</v>
      </c>
      <c r="E597" t="n">
        <v/>
      </c>
    </row>
    <row r="598">
      <c r="A598" s="27" t="n">
        <v>41018</v>
      </c>
      <c r="B598" t="n">
        <v/>
      </c>
      <c r="C598" t="n">
        <v>0.27</v>
      </c>
      <c r="D598" t="n">
        <v>1.968</v>
      </c>
      <c r="E598" t="n">
        <v/>
      </c>
    </row>
    <row r="599">
      <c r="A599" s="27" t="n">
        <v>41019</v>
      </c>
      <c r="B599" t="n">
        <v/>
      </c>
      <c r="C599" t="n">
        <v>0.27</v>
      </c>
      <c r="D599" t="n">
        <v>1.959</v>
      </c>
      <c r="E599" t="n">
        <v/>
      </c>
    </row>
    <row r="600">
      <c r="A600" s="27" t="n">
        <v>41022</v>
      </c>
      <c r="B600" t="n">
        <v/>
      </c>
      <c r="C600" t="n">
        <v>0.262</v>
      </c>
      <c r="D600" t="n">
        <v>1.94</v>
      </c>
      <c r="E600" t="n">
        <v/>
      </c>
    </row>
    <row r="601">
      <c r="A601" s="27" t="n">
        <v>41023</v>
      </c>
      <c r="B601" t="n">
        <v/>
      </c>
      <c r="C601" t="n">
        <v>0.27</v>
      </c>
      <c r="D601" t="n">
        <v>1.974</v>
      </c>
      <c r="E601" t="n">
        <v/>
      </c>
    </row>
    <row r="602">
      <c r="A602" s="27" t="n">
        <v>41024</v>
      </c>
      <c r="B602" t="n">
        <v/>
      </c>
      <c r="C602" t="n">
        <v>0.27</v>
      </c>
      <c r="D602" t="n">
        <v>1.988</v>
      </c>
      <c r="E602" t="n">
        <v/>
      </c>
    </row>
    <row r="603">
      <c r="A603" s="27" t="n">
        <v>41025</v>
      </c>
      <c r="B603" t="n">
        <v/>
      </c>
      <c r="C603" t="n">
        <v>0.262</v>
      </c>
      <c r="D603" t="n">
        <v>1.947</v>
      </c>
      <c r="E603" t="n">
        <v/>
      </c>
    </row>
    <row r="604">
      <c r="A604" s="27" t="n">
        <v>41026</v>
      </c>
      <c r="B604" t="n">
        <v/>
      </c>
      <c r="C604" t="n">
        <v>0.262</v>
      </c>
      <c r="D604" t="n">
        <v>1.937</v>
      </c>
      <c r="E604" t="n">
        <v/>
      </c>
    </row>
    <row r="605">
      <c r="A605" s="27" t="n">
        <v>41029</v>
      </c>
      <c r="B605" t="n">
        <v/>
      </c>
      <c r="C605" t="n">
        <v>0.262</v>
      </c>
      <c r="D605" t="n">
        <v>1.919</v>
      </c>
      <c r="E605" t="n">
        <v/>
      </c>
    </row>
    <row r="606">
      <c r="A606" s="27" t="n">
        <v>41030</v>
      </c>
      <c r="B606" t="n">
        <v/>
      </c>
      <c r="C606" t="n">
        <v>0.27</v>
      </c>
      <c r="D606" t="n">
        <v>1.945</v>
      </c>
      <c r="E606" t="n">
        <v/>
      </c>
    </row>
    <row r="607">
      <c r="A607" s="27" t="n">
        <v>41031</v>
      </c>
      <c r="B607" t="n">
        <v/>
      </c>
      <c r="C607" t="n">
        <v>0.266</v>
      </c>
      <c r="D607" t="n">
        <v>1.928</v>
      </c>
      <c r="E607" t="n">
        <v/>
      </c>
    </row>
    <row r="608">
      <c r="A608" s="27" t="n">
        <v>41032</v>
      </c>
      <c r="B608" t="n">
        <v/>
      </c>
      <c r="C608" t="n">
        <v>0.262</v>
      </c>
      <c r="D608" t="n">
        <v>1.933</v>
      </c>
      <c r="E608" t="n">
        <v/>
      </c>
    </row>
    <row r="609">
      <c r="A609" s="27" t="n">
        <v>41033</v>
      </c>
      <c r="B609" t="n">
        <v/>
      </c>
      <c r="C609" t="n">
        <v>0.258</v>
      </c>
      <c r="D609" t="n">
        <v>1.879</v>
      </c>
      <c r="E609" t="n">
        <v/>
      </c>
    </row>
    <row r="610">
      <c r="A610" s="27" t="n">
        <v>41036</v>
      </c>
      <c r="B610" t="n">
        <v/>
      </c>
      <c r="C610" t="n">
        <v>0.258</v>
      </c>
      <c r="D610" t="n">
        <v>1.873</v>
      </c>
      <c r="E610" t="n">
        <v/>
      </c>
    </row>
    <row r="611">
      <c r="A611" s="27" t="n">
        <v>41037</v>
      </c>
      <c r="B611" t="n">
        <v/>
      </c>
      <c r="C611" t="n">
        <v>0.258</v>
      </c>
      <c r="D611" t="n">
        <v>1.842</v>
      </c>
      <c r="E611" t="n">
        <v/>
      </c>
    </row>
    <row r="612">
      <c r="A612" s="27" t="n">
        <v>41038</v>
      </c>
      <c r="B612" t="n">
        <v/>
      </c>
      <c r="C612" t="n">
        <v>0.262</v>
      </c>
      <c r="D612" t="n">
        <v>1.826</v>
      </c>
      <c r="E612" t="n">
        <v/>
      </c>
    </row>
    <row r="613">
      <c r="A613" s="27" t="n">
        <v>41039</v>
      </c>
      <c r="B613" t="n">
        <v/>
      </c>
      <c r="C613" t="n">
        <v>0.262</v>
      </c>
      <c r="D613" t="n">
        <v>1.874</v>
      </c>
      <c r="E613" t="n">
        <v/>
      </c>
    </row>
    <row r="614">
      <c r="A614" s="27" t="n">
        <v>41040</v>
      </c>
      <c r="B614" t="n">
        <v/>
      </c>
      <c r="C614" t="n">
        <v>0.262</v>
      </c>
      <c r="D614" t="n">
        <v>1.841</v>
      </c>
      <c r="E614" t="n">
        <v/>
      </c>
    </row>
    <row r="615">
      <c r="A615" s="27" t="n">
        <v>41043</v>
      </c>
      <c r="B615" t="n">
        <v/>
      </c>
      <c r="C615" t="n">
        <v>0.266</v>
      </c>
      <c r="D615" t="n">
        <v>1.769</v>
      </c>
      <c r="E615" t="n">
        <v/>
      </c>
    </row>
    <row r="616">
      <c r="A616" s="27" t="n">
        <v>41044</v>
      </c>
      <c r="B616" t="n">
        <v/>
      </c>
      <c r="C616" t="n">
        <v>0.278</v>
      </c>
      <c r="D616" t="n">
        <v>1.77</v>
      </c>
      <c r="E616" t="n">
        <v/>
      </c>
    </row>
    <row r="617">
      <c r="A617" s="27" t="n">
        <v>41045</v>
      </c>
      <c r="B617" t="n">
        <v/>
      </c>
      <c r="C617" t="n">
        <v>0.286</v>
      </c>
      <c r="D617" t="n">
        <v>1.759</v>
      </c>
      <c r="E617" t="n">
        <v/>
      </c>
    </row>
    <row r="618">
      <c r="A618" s="27" t="n">
        <v>41046</v>
      </c>
      <c r="B618" t="n">
        <v/>
      </c>
      <c r="C618" t="n">
        <v>0.298</v>
      </c>
      <c r="D618" t="n">
        <v>1.69</v>
      </c>
      <c r="E618" t="n">
        <v/>
      </c>
    </row>
    <row r="619">
      <c r="A619" s="27" t="n">
        <v>41047</v>
      </c>
      <c r="B619" t="n">
        <v/>
      </c>
      <c r="C619" t="n">
        <v>0.298</v>
      </c>
      <c r="D619" t="n">
        <v>1.723</v>
      </c>
      <c r="E619" t="n">
        <v/>
      </c>
    </row>
    <row r="620">
      <c r="A620" s="27" t="n">
        <v>41050</v>
      </c>
      <c r="B620" t="n">
        <v/>
      </c>
      <c r="C620" t="n">
        <v>0.29</v>
      </c>
      <c r="D620" t="n">
        <v>1.743</v>
      </c>
      <c r="E620" t="n">
        <v/>
      </c>
    </row>
    <row r="621">
      <c r="A621" s="27" t="n">
        <v>41051</v>
      </c>
      <c r="B621" t="n">
        <v/>
      </c>
      <c r="C621" t="n">
        <v>0.294</v>
      </c>
      <c r="D621" t="n">
        <v>1.777</v>
      </c>
      <c r="E621" t="n">
        <v/>
      </c>
    </row>
    <row r="622">
      <c r="A622" s="27" t="n">
        <v>41052</v>
      </c>
      <c r="B622" t="n">
        <v/>
      </c>
      <c r="C622" t="n">
        <v>0.293</v>
      </c>
      <c r="D622" t="n">
        <v>1.733</v>
      </c>
      <c r="E622" t="n">
        <v/>
      </c>
    </row>
    <row r="623">
      <c r="A623" s="27" t="n">
        <v>41053</v>
      </c>
      <c r="B623" t="n">
        <v/>
      </c>
      <c r="C623" t="n">
        <v>0.301</v>
      </c>
      <c r="D623" t="n">
        <v>1.783</v>
      </c>
      <c r="E623" t="n">
        <v/>
      </c>
    </row>
    <row r="624">
      <c r="A624" s="27" t="n">
        <v>41054</v>
      </c>
      <c r="B624" t="n">
        <v/>
      </c>
      <c r="C624" t="n">
        <v>0.293</v>
      </c>
      <c r="D624" t="n">
        <v>1.746</v>
      </c>
      <c r="E624" t="n">
        <v/>
      </c>
    </row>
    <row r="625">
      <c r="A625" s="27" t="n">
        <v>41057</v>
      </c>
      <c r="B625" t="n">
        <v/>
      </c>
      <c r="C625" t="n">
        <v>0.293</v>
      </c>
      <c r="D625" t="n">
        <v>1.745</v>
      </c>
      <c r="E625" t="n">
        <v/>
      </c>
    </row>
    <row r="626">
      <c r="A626" s="27" t="n">
        <v>41058</v>
      </c>
      <c r="B626" t="n">
        <v/>
      </c>
      <c r="C626" t="n">
        <v>0.289</v>
      </c>
      <c r="D626" t="n">
        <v>1.748</v>
      </c>
      <c r="E626" t="n">
        <v/>
      </c>
    </row>
    <row r="627">
      <c r="A627" s="27" t="n">
        <v>41059</v>
      </c>
      <c r="B627" t="n">
        <v/>
      </c>
      <c r="C627" t="n">
        <v>0.27</v>
      </c>
      <c r="D627" t="n">
        <v>1.619</v>
      </c>
      <c r="E627" t="n">
        <v/>
      </c>
    </row>
    <row r="628">
      <c r="A628" s="27" t="n">
        <v>41060</v>
      </c>
      <c r="B628" t="n">
        <v/>
      </c>
      <c r="C628" t="n">
        <v>0.266</v>
      </c>
      <c r="D628" t="n">
        <v>1.563</v>
      </c>
      <c r="E628" t="n">
        <v/>
      </c>
    </row>
    <row r="629">
      <c r="A629" s="27" t="n">
        <v>41061</v>
      </c>
      <c r="B629" t="n">
        <v/>
      </c>
      <c r="C629" t="n">
        <v>0.25</v>
      </c>
      <c r="D629" t="n">
        <v>1.459</v>
      </c>
      <c r="E629" t="n">
        <v/>
      </c>
    </row>
    <row r="630">
      <c r="A630" s="27" t="n">
        <v>41064</v>
      </c>
      <c r="B630" t="n">
        <v/>
      </c>
      <c r="C630" t="n">
        <v>0.254</v>
      </c>
      <c r="D630" t="n">
        <v>1.524</v>
      </c>
      <c r="E630" t="n">
        <v/>
      </c>
    </row>
    <row r="631">
      <c r="A631" s="27" t="n">
        <v>41065</v>
      </c>
      <c r="B631" t="n">
        <v/>
      </c>
      <c r="C631" t="n">
        <v>0.254</v>
      </c>
      <c r="D631" t="n">
        <v>1.573</v>
      </c>
      <c r="E631" t="n">
        <v/>
      </c>
    </row>
    <row r="632">
      <c r="A632" s="27" t="n">
        <v>41066</v>
      </c>
      <c r="B632" t="n">
        <v/>
      </c>
      <c r="C632" t="n">
        <v>0.266</v>
      </c>
      <c r="D632" t="n">
        <v>1.661</v>
      </c>
      <c r="E632" t="n">
        <v/>
      </c>
    </row>
    <row r="633">
      <c r="A633" s="27" t="n">
        <v>41067</v>
      </c>
      <c r="B633" t="n">
        <v/>
      </c>
      <c r="C633" t="n">
        <v>0.27</v>
      </c>
      <c r="D633" t="n">
        <v>1.644</v>
      </c>
      <c r="E633" t="n">
        <v/>
      </c>
    </row>
    <row r="634">
      <c r="A634" s="27" t="n">
        <v>41068</v>
      </c>
      <c r="B634" t="n">
        <v/>
      </c>
      <c r="C634" t="n">
        <v>0.27</v>
      </c>
      <c r="D634" t="n">
        <v>1.632</v>
      </c>
      <c r="E634" t="n">
        <v/>
      </c>
    </row>
    <row r="635">
      <c r="A635" s="27" t="n">
        <v>41071</v>
      </c>
      <c r="B635" t="n">
        <v/>
      </c>
      <c r="C635" t="n">
        <v>0.27</v>
      </c>
      <c r="D635" t="n">
        <v>1.586</v>
      </c>
      <c r="E635" t="n">
        <v/>
      </c>
    </row>
    <row r="636">
      <c r="A636" s="27" t="n">
        <v>41072</v>
      </c>
      <c r="B636" t="n">
        <v/>
      </c>
      <c r="C636" t="n">
        <v>0.294</v>
      </c>
      <c r="D636" t="n">
        <v>1.664</v>
      </c>
      <c r="E636" t="n">
        <v/>
      </c>
    </row>
    <row r="637">
      <c r="A637" s="27" t="n">
        <v>41073</v>
      </c>
      <c r="B637" t="n">
        <v/>
      </c>
      <c r="C637" t="n">
        <v>0.294</v>
      </c>
      <c r="D637" t="n">
        <v>1.599</v>
      </c>
      <c r="E637" t="n">
        <v/>
      </c>
    </row>
    <row r="638">
      <c r="A638" s="27" t="n">
        <v>41074</v>
      </c>
      <c r="B638" t="n">
        <v/>
      </c>
      <c r="C638" t="n">
        <v>0.298</v>
      </c>
      <c r="D638" t="n">
        <v>1.642</v>
      </c>
      <c r="E638" t="n">
        <v/>
      </c>
    </row>
    <row r="639">
      <c r="A639" s="27" t="n">
        <v>41075</v>
      </c>
      <c r="B639" t="n">
        <v/>
      </c>
      <c r="C639" t="n">
        <v>0.274</v>
      </c>
      <c r="D639" t="n">
        <v>1.586</v>
      </c>
      <c r="E639" t="n">
        <v/>
      </c>
    </row>
    <row r="640">
      <c r="A640" s="27" t="n">
        <v>41078</v>
      </c>
      <c r="B640" t="n">
        <v/>
      </c>
      <c r="C640" t="n">
        <v>0.286</v>
      </c>
      <c r="D640" t="n">
        <v>1.574</v>
      </c>
      <c r="E640" t="n">
        <v/>
      </c>
    </row>
    <row r="641">
      <c r="A641" s="27" t="n">
        <v>41079</v>
      </c>
      <c r="B641" t="n">
        <v/>
      </c>
      <c r="C641" t="n">
        <v>0.29</v>
      </c>
      <c r="D641" t="n">
        <v>1.62</v>
      </c>
      <c r="E641" t="n">
        <v/>
      </c>
    </row>
    <row r="642">
      <c r="A642" s="27" t="n">
        <v>41080</v>
      </c>
      <c r="B642" t="n">
        <v/>
      </c>
      <c r="C642" t="n">
        <v>0.315</v>
      </c>
      <c r="D642" t="n">
        <v>1.65</v>
      </c>
      <c r="E642" t="n">
        <v/>
      </c>
    </row>
    <row r="643">
      <c r="A643" s="27" t="n">
        <v>41081</v>
      </c>
      <c r="B643" t="n">
        <v/>
      </c>
      <c r="C643" t="n">
        <v>0.303</v>
      </c>
      <c r="D643" t="n">
        <v>1.62</v>
      </c>
      <c r="E643" t="n">
        <v/>
      </c>
    </row>
    <row r="644">
      <c r="A644" s="27" t="n">
        <v>41082</v>
      </c>
      <c r="B644" t="n">
        <v/>
      </c>
      <c r="C644" t="n">
        <v>0.303</v>
      </c>
      <c r="D644" t="n">
        <v>1.676</v>
      </c>
      <c r="E644" t="n">
        <v/>
      </c>
    </row>
    <row r="645">
      <c r="A645" s="27" t="n">
        <v>41085</v>
      </c>
      <c r="B645" t="n">
        <v/>
      </c>
      <c r="C645" t="n">
        <v>0.299</v>
      </c>
      <c r="D645" t="n">
        <v>1.604</v>
      </c>
      <c r="E645" t="n">
        <v/>
      </c>
    </row>
    <row r="646">
      <c r="A646" s="27" t="n">
        <v>41086</v>
      </c>
      <c r="B646" t="n">
        <v/>
      </c>
      <c r="C646" t="n">
        <v>0.311</v>
      </c>
      <c r="D646" t="n">
        <v>1.628</v>
      </c>
      <c r="E646" t="n">
        <v/>
      </c>
    </row>
    <row r="647">
      <c r="A647" s="27" t="n">
        <v>41087</v>
      </c>
      <c r="B647" t="n">
        <v/>
      </c>
      <c r="C647" t="n">
        <v>0.309</v>
      </c>
      <c r="D647" t="n">
        <v>1.621</v>
      </c>
      <c r="E647" t="n">
        <v/>
      </c>
    </row>
    <row r="648">
      <c r="A648" s="27" t="n">
        <v>41088</v>
      </c>
      <c r="B648" t="n">
        <v/>
      </c>
      <c r="C648" t="n">
        <v>0.309</v>
      </c>
      <c r="D648" t="n">
        <v>1.584</v>
      </c>
      <c r="E648" t="n">
        <v/>
      </c>
    </row>
    <row r="649">
      <c r="A649" s="27" t="n">
        <v>41089</v>
      </c>
      <c r="B649" t="n">
        <v/>
      </c>
      <c r="C649" t="n">
        <v>0.305</v>
      </c>
      <c r="D649" t="n">
        <v>1.643</v>
      </c>
      <c r="E649" t="n">
        <v/>
      </c>
    </row>
    <row r="650">
      <c r="A650" s="27" t="n">
        <v>41092</v>
      </c>
      <c r="B650" t="n">
        <v/>
      </c>
      <c r="C650" t="n">
        <v>0.297</v>
      </c>
      <c r="D650" t="n">
        <v>1.587</v>
      </c>
      <c r="E650" t="n">
        <v/>
      </c>
    </row>
    <row r="651">
      <c r="A651" s="27" t="n">
        <v>41093</v>
      </c>
      <c r="B651" t="n">
        <v/>
      </c>
      <c r="C651" t="n">
        <v>0.305</v>
      </c>
      <c r="D651" t="n">
        <v>1.628</v>
      </c>
      <c r="E651" t="n">
        <v/>
      </c>
    </row>
    <row r="652">
      <c r="A652" s="27" t="n">
        <v>41095</v>
      </c>
      <c r="B652" t="n">
        <v/>
      </c>
      <c r="C652" t="n">
        <v>0.289</v>
      </c>
      <c r="D652" t="n">
        <v>1.599</v>
      </c>
      <c r="E652" t="n">
        <v/>
      </c>
    </row>
    <row r="653">
      <c r="A653" s="27" t="n">
        <v>41096</v>
      </c>
      <c r="B653" t="n">
        <v/>
      </c>
      <c r="C653" t="n">
        <v>0.274</v>
      </c>
      <c r="D653" t="n">
        <v>1.549</v>
      </c>
      <c r="E653" t="n">
        <v/>
      </c>
    </row>
    <row r="654">
      <c r="A654" s="27" t="n">
        <v>41099</v>
      </c>
      <c r="B654" t="n">
        <v/>
      </c>
      <c r="C654" t="n">
        <v>0.266</v>
      </c>
      <c r="D654" t="n">
        <v>1.513</v>
      </c>
      <c r="E654" t="n">
        <v/>
      </c>
    </row>
    <row r="655">
      <c r="A655" s="27" t="n">
        <v>41100</v>
      </c>
      <c r="B655" t="n">
        <v/>
      </c>
      <c r="C655" t="n">
        <v>0.27</v>
      </c>
      <c r="D655" t="n">
        <v>1.502</v>
      </c>
      <c r="E655" t="n">
        <v/>
      </c>
    </row>
    <row r="656">
      <c r="A656" s="27" t="n">
        <v>41101</v>
      </c>
      <c r="B656" t="n">
        <v/>
      </c>
      <c r="C656" t="n">
        <v>0.266</v>
      </c>
      <c r="D656" t="n">
        <v>1.515</v>
      </c>
      <c r="E656" t="n">
        <v/>
      </c>
    </row>
    <row r="657">
      <c r="A657" s="27" t="n">
        <v>41102</v>
      </c>
      <c r="B657" t="n">
        <v/>
      </c>
      <c r="C657" t="n">
        <v>0.258</v>
      </c>
      <c r="D657" t="n">
        <v>1.478</v>
      </c>
      <c r="E657" t="n">
        <v/>
      </c>
    </row>
    <row r="658">
      <c r="A658" s="27" t="n">
        <v>41103</v>
      </c>
      <c r="B658" t="n">
        <v/>
      </c>
      <c r="C658" t="n">
        <v>0.242</v>
      </c>
      <c r="D658" t="n">
        <v>1.491</v>
      </c>
      <c r="E658" t="n">
        <v/>
      </c>
    </row>
    <row r="659">
      <c r="A659" s="27" t="n">
        <v>41106</v>
      </c>
      <c r="B659" t="n">
        <v/>
      </c>
      <c r="C659" t="n">
        <v>0.23</v>
      </c>
      <c r="D659" t="n">
        <v>1.471</v>
      </c>
      <c r="E659" t="n">
        <v/>
      </c>
    </row>
    <row r="660">
      <c r="A660" s="27" t="n">
        <v>41107</v>
      </c>
      <c r="B660" t="n">
        <v/>
      </c>
      <c r="C660" t="n">
        <v>0.242</v>
      </c>
      <c r="D660" t="n">
        <v>1.508</v>
      </c>
      <c r="E660" t="n">
        <v/>
      </c>
    </row>
    <row r="661">
      <c r="A661" s="27" t="n">
        <v>41108</v>
      </c>
      <c r="B661" t="n">
        <v/>
      </c>
      <c r="C661" t="n">
        <v>0.226</v>
      </c>
      <c r="D661" t="n">
        <v>1.494</v>
      </c>
      <c r="E661" t="n">
        <v/>
      </c>
    </row>
    <row r="662">
      <c r="A662" s="27" t="n">
        <v>41109</v>
      </c>
      <c r="B662" t="n">
        <v/>
      </c>
      <c r="C662" t="n">
        <v>0.218</v>
      </c>
      <c r="D662" t="n">
        <v>1.511</v>
      </c>
      <c r="E662" t="n">
        <v/>
      </c>
    </row>
    <row r="663">
      <c r="A663" s="27" t="n">
        <v>41110</v>
      </c>
      <c r="B663" t="n">
        <v/>
      </c>
      <c r="C663" t="n">
        <v>0.206</v>
      </c>
      <c r="D663" t="n">
        <v>1.458</v>
      </c>
      <c r="E663" t="n">
        <v/>
      </c>
    </row>
    <row r="664">
      <c r="A664" s="27" t="n">
        <v>41113</v>
      </c>
      <c r="B664" t="n">
        <v/>
      </c>
      <c r="C664" t="n">
        <v>0.214</v>
      </c>
      <c r="D664" t="n">
        <v>1.438</v>
      </c>
      <c r="E664" t="n">
        <v/>
      </c>
    </row>
    <row r="665">
      <c r="A665" s="27" t="n">
        <v>41114</v>
      </c>
      <c r="B665" t="n">
        <v/>
      </c>
      <c r="C665" t="n">
        <v>0.218</v>
      </c>
      <c r="D665" t="n">
        <v>1.391</v>
      </c>
      <c r="E665" t="n">
        <v/>
      </c>
    </row>
    <row r="666">
      <c r="A666" s="27" t="n">
        <v>41115</v>
      </c>
      <c r="B666" t="n">
        <v/>
      </c>
      <c r="C666" t="n">
        <v>0.219</v>
      </c>
      <c r="D666" t="n">
        <v>1.397</v>
      </c>
      <c r="E666" t="n">
        <v/>
      </c>
    </row>
    <row r="667">
      <c r="A667" s="27" t="n">
        <v>41116</v>
      </c>
      <c r="B667" t="n">
        <v/>
      </c>
      <c r="C667" t="n">
        <v>0.231</v>
      </c>
      <c r="D667" t="n">
        <v>1.438</v>
      </c>
      <c r="E667" t="n">
        <v/>
      </c>
    </row>
    <row r="668">
      <c r="A668" s="27" t="n">
        <v>41117</v>
      </c>
      <c r="B668" t="n">
        <v/>
      </c>
      <c r="C668" t="n">
        <v>0.243</v>
      </c>
      <c r="D668" t="n">
        <v>1.545</v>
      </c>
      <c r="E668" t="n">
        <v/>
      </c>
    </row>
    <row r="669">
      <c r="A669" s="27" t="n">
        <v>41120</v>
      </c>
      <c r="B669" t="n">
        <v/>
      </c>
      <c r="C669" t="n">
        <v>0.227</v>
      </c>
      <c r="D669" t="n">
        <v>1.5</v>
      </c>
      <c r="E669" t="n">
        <v/>
      </c>
    </row>
    <row r="670">
      <c r="A670" s="27" t="n">
        <v>41121</v>
      </c>
      <c r="B670" t="n">
        <v/>
      </c>
      <c r="C670" t="n">
        <v>0.215</v>
      </c>
      <c r="D670" t="n">
        <v>1.47</v>
      </c>
      <c r="E670" t="n">
        <v/>
      </c>
    </row>
    <row r="671">
      <c r="A671" s="27" t="n">
        <v>41122</v>
      </c>
      <c r="B671" t="n">
        <v/>
      </c>
      <c r="C671" t="n">
        <v>0.235</v>
      </c>
      <c r="D671" t="n">
        <v>1.524</v>
      </c>
      <c r="E671" t="n">
        <v/>
      </c>
    </row>
    <row r="672">
      <c r="A672" s="27" t="n">
        <v>41123</v>
      </c>
      <c r="B672" t="n">
        <v/>
      </c>
      <c r="C672" t="n">
        <v>0.227</v>
      </c>
      <c r="D672" t="n">
        <v>1.478</v>
      </c>
      <c r="E672" t="n">
        <v/>
      </c>
    </row>
    <row r="673">
      <c r="A673" s="27" t="n">
        <v>41124</v>
      </c>
      <c r="B673" t="n">
        <v/>
      </c>
      <c r="C673" t="n">
        <v>0.24</v>
      </c>
      <c r="D673" t="n">
        <v>1.568</v>
      </c>
      <c r="E673" t="n">
        <v/>
      </c>
    </row>
    <row r="674">
      <c r="A674" s="27" t="n">
        <v>41127</v>
      </c>
      <c r="B674" t="n">
        <v/>
      </c>
      <c r="C674" t="n">
        <v>0.24</v>
      </c>
      <c r="D674" t="n">
        <v>1.565</v>
      </c>
      <c r="E674" t="n">
        <v/>
      </c>
    </row>
    <row r="675">
      <c r="A675" s="27" t="n">
        <v>41128</v>
      </c>
      <c r="B675" t="n">
        <v/>
      </c>
      <c r="C675" t="n">
        <v>0.268</v>
      </c>
      <c r="D675" t="n">
        <v>1.628</v>
      </c>
      <c r="E675" t="n">
        <v/>
      </c>
    </row>
    <row r="676">
      <c r="A676" s="27" t="n">
        <v>41129</v>
      </c>
      <c r="B676" t="n">
        <v/>
      </c>
      <c r="C676" t="n">
        <v>0.276</v>
      </c>
      <c r="D676" t="n">
        <v>1.651</v>
      </c>
      <c r="E676" t="n">
        <v/>
      </c>
    </row>
    <row r="677">
      <c r="A677" s="27" t="n">
        <v>41130</v>
      </c>
      <c r="B677" t="n">
        <v/>
      </c>
      <c r="C677" t="n">
        <v>0.276</v>
      </c>
      <c r="D677" t="n">
        <v>1.695</v>
      </c>
      <c r="E677" t="n">
        <v/>
      </c>
    </row>
    <row r="678">
      <c r="A678" s="27" t="n">
        <v>41131</v>
      </c>
      <c r="B678" t="n">
        <v/>
      </c>
      <c r="C678" t="n">
        <v>0.265</v>
      </c>
      <c r="D678" t="n">
        <v>1.659</v>
      </c>
      <c r="E678" t="n">
        <v/>
      </c>
    </row>
    <row r="679">
      <c r="A679" s="27" t="n">
        <v>41134</v>
      </c>
      <c r="B679" t="n">
        <v/>
      </c>
      <c r="C679" t="n">
        <v>0.269</v>
      </c>
      <c r="D679" t="n">
        <v>1.666</v>
      </c>
      <c r="E679" t="n">
        <v/>
      </c>
    </row>
    <row r="680">
      <c r="A680" s="27" t="n">
        <v>41135</v>
      </c>
      <c r="B680" t="n">
        <v/>
      </c>
      <c r="C680" t="n">
        <v>0.277</v>
      </c>
      <c r="D680" t="n">
        <v>1.733</v>
      </c>
      <c r="E680" t="n">
        <v/>
      </c>
    </row>
    <row r="681">
      <c r="A681" s="27" t="n">
        <v>41136</v>
      </c>
      <c r="B681" t="n">
        <v/>
      </c>
      <c r="C681" t="n">
        <v>0.289</v>
      </c>
      <c r="D681" t="n">
        <v>1.817</v>
      </c>
      <c r="E681" t="n">
        <v/>
      </c>
    </row>
    <row r="682">
      <c r="A682" s="27" t="n">
        <v>41137</v>
      </c>
      <c r="B682" t="n">
        <v/>
      </c>
      <c r="C682" t="n">
        <v>0.294</v>
      </c>
      <c r="D682" t="n">
        <v>1.835</v>
      </c>
      <c r="E682" t="n">
        <v/>
      </c>
    </row>
    <row r="683">
      <c r="A683" s="27" t="n">
        <v>41138</v>
      </c>
      <c r="B683" t="n">
        <v/>
      </c>
      <c r="C683" t="n">
        <v>0.29</v>
      </c>
      <c r="D683" t="n">
        <v>1.814</v>
      </c>
      <c r="E683" t="n">
        <v/>
      </c>
    </row>
    <row r="684">
      <c r="A684" s="27" t="n">
        <v>41141</v>
      </c>
      <c r="B684" t="n">
        <v/>
      </c>
      <c r="C684" t="n">
        <v>0.286</v>
      </c>
      <c r="D684" t="n">
        <v>1.81</v>
      </c>
      <c r="E684" t="n">
        <v/>
      </c>
    </row>
    <row r="685">
      <c r="A685" s="27" t="n">
        <v>41142</v>
      </c>
      <c r="B685" t="n">
        <v/>
      </c>
      <c r="C685" t="n">
        <v>0.291</v>
      </c>
      <c r="D685" t="n">
        <v>1.802</v>
      </c>
      <c r="E685" t="n">
        <v/>
      </c>
    </row>
    <row r="686">
      <c r="A686" s="27" t="n">
        <v>41143</v>
      </c>
      <c r="B686" t="n">
        <v/>
      </c>
      <c r="C686" t="n">
        <v>0.262</v>
      </c>
      <c r="D686" t="n">
        <v>1.695</v>
      </c>
      <c r="E686" t="n">
        <v/>
      </c>
    </row>
    <row r="687">
      <c r="A687" s="27" t="n">
        <v>41144</v>
      </c>
      <c r="B687" t="n">
        <v/>
      </c>
      <c r="C687" t="n">
        <v>0.263</v>
      </c>
      <c r="D687" t="n">
        <v>1.675</v>
      </c>
      <c r="E687" t="n">
        <v/>
      </c>
    </row>
    <row r="688">
      <c r="A688" s="27" t="n">
        <v>41145</v>
      </c>
      <c r="B688" t="n">
        <v/>
      </c>
      <c r="C688" t="n">
        <v>0.271</v>
      </c>
      <c r="D688" t="n">
        <v>1.687</v>
      </c>
      <c r="E688" t="n">
        <v/>
      </c>
    </row>
    <row r="689">
      <c r="A689" s="27" t="n">
        <v>41148</v>
      </c>
      <c r="B689" t="n">
        <v/>
      </c>
      <c r="C689" t="n">
        <v>0.268</v>
      </c>
      <c r="D689" t="n">
        <v>1.652</v>
      </c>
      <c r="E689" t="n">
        <v/>
      </c>
    </row>
    <row r="690">
      <c r="A690" s="27" t="n">
        <v>41149</v>
      </c>
      <c r="B690" t="n">
        <v/>
      </c>
      <c r="C690" t="n">
        <v>0.268</v>
      </c>
      <c r="D690" t="n">
        <v>1.637</v>
      </c>
      <c r="E690" t="n">
        <v/>
      </c>
    </row>
    <row r="691">
      <c r="A691" s="27" t="n">
        <v>41150</v>
      </c>
      <c r="B691" t="n">
        <v/>
      </c>
      <c r="C691" t="n">
        <v>0.273</v>
      </c>
      <c r="D691" t="n">
        <v>1.652</v>
      </c>
      <c r="E691" t="n">
        <v/>
      </c>
    </row>
    <row r="692">
      <c r="A692" s="27" t="n">
        <v>41151</v>
      </c>
      <c r="B692" t="n">
        <v/>
      </c>
      <c r="C692" t="n">
        <v>0.258</v>
      </c>
      <c r="D692" t="n">
        <v>1.628</v>
      </c>
      <c r="E692" t="n">
        <v/>
      </c>
    </row>
    <row r="693">
      <c r="A693" s="27" t="n">
        <v>41152</v>
      </c>
      <c r="B693" t="n">
        <v/>
      </c>
      <c r="C693" t="n">
        <v>0.226</v>
      </c>
      <c r="D693" t="n">
        <v>1.548</v>
      </c>
      <c r="E693" t="n">
        <v/>
      </c>
    </row>
    <row r="694">
      <c r="A694" s="27" t="n">
        <v>41156</v>
      </c>
      <c r="B694" t="n">
        <v/>
      </c>
      <c r="C694" t="n">
        <v>0.234</v>
      </c>
      <c r="D694" t="n">
        <v>1.574</v>
      </c>
      <c r="E694" t="n">
        <v/>
      </c>
    </row>
    <row r="695">
      <c r="A695" s="27" t="n">
        <v>41157</v>
      </c>
      <c r="B695" t="n">
        <v/>
      </c>
      <c r="C695" t="n">
        <v>0.238</v>
      </c>
      <c r="D695" t="n">
        <v>1.596</v>
      </c>
      <c r="E695" t="n">
        <v/>
      </c>
    </row>
    <row r="696">
      <c r="A696" s="27" t="n">
        <v>41158</v>
      </c>
      <c r="B696" t="n">
        <v/>
      </c>
      <c r="C696" t="n">
        <v>0.262</v>
      </c>
      <c r="D696" t="n">
        <v>1.676</v>
      </c>
      <c r="E696" t="n">
        <v/>
      </c>
    </row>
    <row r="697">
      <c r="A697" s="27" t="n">
        <v>41159</v>
      </c>
      <c r="B697" t="n">
        <v/>
      </c>
      <c r="C697" t="n">
        <v>0.254</v>
      </c>
      <c r="D697" t="n">
        <v>1.668</v>
      </c>
      <c r="E697" t="n">
        <v/>
      </c>
    </row>
    <row r="698">
      <c r="A698" s="27" t="n">
        <v>41162</v>
      </c>
      <c r="B698" t="n">
        <v/>
      </c>
      <c r="C698" t="n">
        <v>0.25</v>
      </c>
      <c r="D698" t="n">
        <v>1.654</v>
      </c>
      <c r="E698" t="n">
        <v/>
      </c>
    </row>
    <row r="699">
      <c r="A699" s="27" t="n">
        <v>41163</v>
      </c>
      <c r="B699" t="n">
        <v/>
      </c>
      <c r="C699" t="n">
        <v>0.25</v>
      </c>
      <c r="D699" t="n">
        <v>1.7</v>
      </c>
      <c r="E699" t="n">
        <v/>
      </c>
    </row>
    <row r="700">
      <c r="A700" s="27" t="n">
        <v>41164</v>
      </c>
      <c r="B700" t="n">
        <v/>
      </c>
      <c r="C700" t="n">
        <v>0.246</v>
      </c>
      <c r="D700" t="n">
        <v>1.758</v>
      </c>
      <c r="E700" t="n">
        <v/>
      </c>
    </row>
    <row r="701">
      <c r="A701" s="27" t="n">
        <v>41165</v>
      </c>
      <c r="B701" t="n">
        <v/>
      </c>
      <c r="C701" t="n">
        <v>0.238</v>
      </c>
      <c r="D701" t="n">
        <v>1.721</v>
      </c>
      <c r="E701" t="n">
        <v/>
      </c>
    </row>
    <row r="702">
      <c r="A702" s="27" t="n">
        <v>41166</v>
      </c>
      <c r="B702" t="n">
        <v/>
      </c>
      <c r="C702" t="n">
        <v>0.254</v>
      </c>
      <c r="D702" t="n">
        <v>1.869</v>
      </c>
      <c r="E702" t="n">
        <v/>
      </c>
    </row>
    <row r="703">
      <c r="A703" s="27" t="n">
        <v>41169</v>
      </c>
      <c r="B703" t="n">
        <v/>
      </c>
      <c r="C703" t="n">
        <v>0.254</v>
      </c>
      <c r="D703" t="n">
        <v>1.843</v>
      </c>
      <c r="E703" t="n">
        <v/>
      </c>
    </row>
    <row r="704">
      <c r="A704" s="27" t="n">
        <v>41170</v>
      </c>
      <c r="B704" t="n">
        <v/>
      </c>
      <c r="C704" t="n">
        <v>0.258</v>
      </c>
      <c r="D704" t="n">
        <v>1.812</v>
      </c>
      <c r="E704" t="n">
        <v/>
      </c>
    </row>
    <row r="705">
      <c r="A705" s="27" t="n">
        <v>41171</v>
      </c>
      <c r="B705" t="n">
        <v/>
      </c>
      <c r="C705" t="n">
        <v>0.262</v>
      </c>
      <c r="D705" t="n">
        <v>1.774</v>
      </c>
      <c r="E705" t="n">
        <v/>
      </c>
    </row>
    <row r="706">
      <c r="A706" s="27" t="n">
        <v>41172</v>
      </c>
      <c r="B706" t="n">
        <v/>
      </c>
      <c r="C706" t="n">
        <v>0.262</v>
      </c>
      <c r="D706" t="n">
        <v>1.765</v>
      </c>
      <c r="E706" t="n">
        <v/>
      </c>
    </row>
    <row r="707">
      <c r="A707" s="27" t="n">
        <v>41173</v>
      </c>
      <c r="B707" t="n">
        <v/>
      </c>
      <c r="C707" t="n">
        <v>0.262</v>
      </c>
      <c r="D707" t="n">
        <v>1.754</v>
      </c>
      <c r="E707" t="n">
        <v/>
      </c>
    </row>
    <row r="708">
      <c r="A708" s="27" t="n">
        <v>41176</v>
      </c>
      <c r="B708" t="n">
        <v/>
      </c>
      <c r="C708" t="n">
        <v>0.266</v>
      </c>
      <c r="D708" t="n">
        <v>1.715</v>
      </c>
      <c r="E708" t="n">
        <v/>
      </c>
    </row>
    <row r="709">
      <c r="A709" s="27" t="n">
        <v>41177</v>
      </c>
      <c r="B709" t="n">
        <v/>
      </c>
      <c r="C709" t="n">
        <v>0.266</v>
      </c>
      <c r="D709" t="n">
        <v>1.671</v>
      </c>
      <c r="E709" t="n">
        <v/>
      </c>
    </row>
    <row r="710">
      <c r="A710" s="27" t="n">
        <v>41178</v>
      </c>
      <c r="B710" t="n">
        <v/>
      </c>
      <c r="C710" t="n">
        <v>0.262</v>
      </c>
      <c r="D710" t="n">
        <v>1.609</v>
      </c>
      <c r="E710" t="n">
        <v/>
      </c>
    </row>
    <row r="711">
      <c r="A711" s="27" t="n">
        <v>41179</v>
      </c>
      <c r="B711" t="n">
        <v/>
      </c>
      <c r="C711" t="n">
        <v>0.254</v>
      </c>
      <c r="D711" t="n">
        <v>1.656</v>
      </c>
      <c r="E711" t="n">
        <v/>
      </c>
    </row>
    <row r="712">
      <c r="A712" s="27" t="n">
        <v>41180</v>
      </c>
      <c r="B712" t="n">
        <v/>
      </c>
      <c r="C712" t="n">
        <v>0.234</v>
      </c>
      <c r="D712" t="n">
        <v>1.633</v>
      </c>
      <c r="E712" t="n">
        <v/>
      </c>
    </row>
    <row r="713">
      <c r="A713" s="27" t="n">
        <v>41183</v>
      </c>
      <c r="B713" t="n">
        <v/>
      </c>
      <c r="C713" t="n">
        <v>0.238</v>
      </c>
      <c r="D713" t="n">
        <v>1.618</v>
      </c>
      <c r="E713" t="n">
        <v/>
      </c>
    </row>
    <row r="714">
      <c r="A714" s="27" t="n">
        <v>41184</v>
      </c>
      <c r="B714" t="n">
        <v/>
      </c>
      <c r="C714" t="n">
        <v>0.238</v>
      </c>
      <c r="D714" t="n">
        <v>1.62</v>
      </c>
      <c r="E714" t="n">
        <v/>
      </c>
    </row>
    <row r="715">
      <c r="A715" s="27" t="n">
        <v>41185</v>
      </c>
      <c r="B715" t="n">
        <v/>
      </c>
      <c r="C715" t="n">
        <v>0.234</v>
      </c>
      <c r="D715" t="n">
        <v>1.616</v>
      </c>
      <c r="E715" t="n">
        <v/>
      </c>
    </row>
    <row r="716">
      <c r="A716" s="27" t="n">
        <v>41186</v>
      </c>
      <c r="B716" t="n">
        <v/>
      </c>
      <c r="C716" t="n">
        <v>0.246</v>
      </c>
      <c r="D716" t="n">
        <v>1.673</v>
      </c>
      <c r="E716" t="n">
        <v/>
      </c>
    </row>
    <row r="717">
      <c r="A717" s="27" t="n">
        <v>41187</v>
      </c>
      <c r="B717" t="n">
        <v/>
      </c>
      <c r="C717" t="n">
        <v>0.262</v>
      </c>
      <c r="D717" t="n">
        <v>1.732</v>
      </c>
      <c r="E717" t="n">
        <v/>
      </c>
    </row>
    <row r="718">
      <c r="A718" s="27" t="n">
        <v>41191</v>
      </c>
      <c r="B718" t="n">
        <v/>
      </c>
      <c r="C718" t="n">
        <v>0.262</v>
      </c>
      <c r="D718" t="n">
        <v>1.713</v>
      </c>
      <c r="E718" t="n">
        <v/>
      </c>
    </row>
    <row r="719">
      <c r="A719" s="27" t="n">
        <v>41192</v>
      </c>
      <c r="B719" t="n">
        <v/>
      </c>
      <c r="C719" t="n">
        <v>0.266</v>
      </c>
      <c r="D719" t="n">
        <v>1.68</v>
      </c>
      <c r="E719" t="n">
        <v/>
      </c>
    </row>
    <row r="720">
      <c r="A720" s="27" t="n">
        <v>41193</v>
      </c>
      <c r="B720" t="n">
        <v/>
      </c>
      <c r="C720" t="n">
        <v>0.266</v>
      </c>
      <c r="D720" t="n">
        <v>1.668</v>
      </c>
      <c r="E720" t="n">
        <v/>
      </c>
    </row>
    <row r="721">
      <c r="A721" s="27" t="n">
        <v>41194</v>
      </c>
      <c r="B721" t="n">
        <v/>
      </c>
      <c r="C721" t="n">
        <v>0.262</v>
      </c>
      <c r="D721" t="n">
        <v>1.656</v>
      </c>
      <c r="E721" t="n">
        <v/>
      </c>
    </row>
    <row r="722">
      <c r="A722" s="27" t="n">
        <v>41197</v>
      </c>
      <c r="B722" t="n">
        <v/>
      </c>
      <c r="C722" t="n">
        <v>0.262</v>
      </c>
      <c r="D722" t="n">
        <v>1.668</v>
      </c>
      <c r="E722" t="n">
        <v/>
      </c>
    </row>
    <row r="723">
      <c r="A723" s="27" t="n">
        <v>41198</v>
      </c>
      <c r="B723" t="n">
        <v/>
      </c>
      <c r="C723" t="n">
        <v>0.27</v>
      </c>
      <c r="D723" t="n">
        <v>1.722</v>
      </c>
      <c r="E723" t="n">
        <v/>
      </c>
    </row>
    <row r="724">
      <c r="A724" s="27" t="n">
        <v>41199</v>
      </c>
      <c r="B724" t="n">
        <v/>
      </c>
      <c r="C724" t="n">
        <v>0.298</v>
      </c>
      <c r="D724" t="n">
        <v>1.822</v>
      </c>
      <c r="E724" t="n">
        <v/>
      </c>
    </row>
    <row r="725">
      <c r="A725" s="27" t="n">
        <v>41200</v>
      </c>
      <c r="B725" t="n">
        <v/>
      </c>
      <c r="C725" t="n">
        <v>0.302</v>
      </c>
      <c r="D725" t="n">
        <v>1.831</v>
      </c>
      <c r="E725" t="n">
        <v/>
      </c>
    </row>
    <row r="726">
      <c r="A726" s="27" t="n">
        <v>41201</v>
      </c>
      <c r="B726" t="n">
        <v/>
      </c>
      <c r="C726" t="n">
        <v>0.299</v>
      </c>
      <c r="D726" t="n">
        <v>1.766</v>
      </c>
      <c r="E726" t="n">
        <v/>
      </c>
    </row>
    <row r="727">
      <c r="A727" s="27" t="n">
        <v>41204</v>
      </c>
      <c r="B727" t="n">
        <v/>
      </c>
      <c r="C727" t="n">
        <v>0.311</v>
      </c>
      <c r="D727" t="n">
        <v>1.815</v>
      </c>
      <c r="E727" t="n">
        <v/>
      </c>
    </row>
    <row r="728">
      <c r="A728" s="27" t="n">
        <v>41205</v>
      </c>
      <c r="B728" t="n">
        <v/>
      </c>
      <c r="C728" t="n">
        <v>0.29</v>
      </c>
      <c r="D728" t="n">
        <v>1.761</v>
      </c>
      <c r="E728" t="n">
        <v/>
      </c>
    </row>
    <row r="729">
      <c r="A729" s="27" t="n">
        <v>41206</v>
      </c>
      <c r="B729" t="n">
        <v/>
      </c>
      <c r="C729" t="n">
        <v>0.293</v>
      </c>
      <c r="D729" t="n">
        <v>1.794</v>
      </c>
      <c r="E729" t="n">
        <v/>
      </c>
    </row>
    <row r="730">
      <c r="A730" s="27" t="n">
        <v>41207</v>
      </c>
      <c r="B730" t="n">
        <v/>
      </c>
      <c r="C730" t="n">
        <v>0.313</v>
      </c>
      <c r="D730" t="n">
        <v>1.812</v>
      </c>
      <c r="E730" t="n">
        <v/>
      </c>
    </row>
    <row r="731">
      <c r="A731" s="27" t="n">
        <v>41208</v>
      </c>
      <c r="B731" t="n">
        <v/>
      </c>
      <c r="C731" t="n">
        <v>0.301</v>
      </c>
      <c r="D731" t="n">
        <v>1.749</v>
      </c>
      <c r="E731" t="n">
        <v/>
      </c>
    </row>
    <row r="732">
      <c r="A732" s="27" t="n">
        <v>41211</v>
      </c>
      <c r="B732" t="n">
        <v/>
      </c>
      <c r="C732" t="n">
        <v>0.293</v>
      </c>
      <c r="D732" t="n">
        <v>1.721</v>
      </c>
      <c r="E732" t="n">
        <v/>
      </c>
    </row>
    <row r="733">
      <c r="A733" s="27" t="n">
        <v>41213</v>
      </c>
      <c r="B733" t="n">
        <v/>
      </c>
      <c r="C733" t="n">
        <v>0.285</v>
      </c>
      <c r="D733" t="n">
        <v>1.694</v>
      </c>
      <c r="E733" t="n">
        <v/>
      </c>
    </row>
    <row r="734">
      <c r="A734" s="27" t="n">
        <v>41214</v>
      </c>
      <c r="B734" t="n">
        <v/>
      </c>
      <c r="C734" t="n">
        <v>0.285</v>
      </c>
      <c r="D734" t="n">
        <v>1.73</v>
      </c>
      <c r="E734" t="n">
        <v/>
      </c>
    </row>
    <row r="735">
      <c r="A735" s="27" t="n">
        <v>41215</v>
      </c>
      <c r="B735" t="n">
        <v/>
      </c>
      <c r="C735" t="n">
        <v>0.285</v>
      </c>
      <c r="D735" t="n">
        <v>1.717</v>
      </c>
      <c r="E735" t="n">
        <v/>
      </c>
    </row>
    <row r="736">
      <c r="A736" s="27" t="n">
        <v>41218</v>
      </c>
      <c r="B736" t="n">
        <v/>
      </c>
      <c r="C736" t="n">
        <v>0.278</v>
      </c>
      <c r="D736" t="n">
        <v>1.679</v>
      </c>
      <c r="E736" t="n">
        <v/>
      </c>
    </row>
    <row r="737">
      <c r="A737" s="27" t="n">
        <v>41219</v>
      </c>
      <c r="B737" t="n">
        <v/>
      </c>
      <c r="C737" t="n">
        <v>0.305</v>
      </c>
      <c r="D737" t="n">
        <v>1.751</v>
      </c>
      <c r="E737" t="n">
        <v/>
      </c>
    </row>
    <row r="738">
      <c r="A738" s="27" t="n">
        <v>41220</v>
      </c>
      <c r="B738" t="n">
        <v/>
      </c>
      <c r="C738" t="n">
        <v>0.274</v>
      </c>
      <c r="D738" t="n">
        <v>1.644</v>
      </c>
      <c r="E738" t="n">
        <v/>
      </c>
    </row>
    <row r="739">
      <c r="A739" s="27" t="n">
        <v>41221</v>
      </c>
      <c r="B739" t="n">
        <v/>
      </c>
      <c r="C739" t="n">
        <v>0.262</v>
      </c>
      <c r="D739" t="n">
        <v>1.618</v>
      </c>
      <c r="E739" t="n">
        <v/>
      </c>
    </row>
    <row r="740">
      <c r="A740" s="27" t="n">
        <v>41222</v>
      </c>
      <c r="B740" t="n">
        <v/>
      </c>
      <c r="C740" t="n">
        <v>0.262</v>
      </c>
      <c r="D740" t="n">
        <v>1.613</v>
      </c>
      <c r="E740" t="n">
        <v/>
      </c>
    </row>
    <row r="741">
      <c r="A741" s="27" t="n">
        <v>41226</v>
      </c>
      <c r="B741" t="n">
        <v/>
      </c>
      <c r="C741" t="n">
        <v>0.254</v>
      </c>
      <c r="D741" t="n">
        <v>1.595</v>
      </c>
      <c r="E741" t="n">
        <v/>
      </c>
    </row>
    <row r="742">
      <c r="A742" s="27" t="n">
        <v>41227</v>
      </c>
      <c r="B742" t="n">
        <v/>
      </c>
      <c r="C742" t="n">
        <v>0.25</v>
      </c>
      <c r="D742" t="n">
        <v>1.589</v>
      </c>
      <c r="E742" t="n">
        <v/>
      </c>
    </row>
    <row r="743">
      <c r="A743" s="27" t="n">
        <v>41228</v>
      </c>
      <c r="B743" t="n">
        <v/>
      </c>
      <c r="C743" t="n">
        <v>0.246</v>
      </c>
      <c r="D743" t="n">
        <v>1.595</v>
      </c>
      <c r="E743" t="n">
        <v/>
      </c>
    </row>
    <row r="744">
      <c r="A744" s="27" t="n">
        <v>41229</v>
      </c>
      <c r="B744" t="n">
        <v/>
      </c>
      <c r="C744" t="n">
        <v>0.242</v>
      </c>
      <c r="D744" t="n">
        <v>1.584</v>
      </c>
      <c r="E744" t="n">
        <v/>
      </c>
    </row>
    <row r="745">
      <c r="A745" s="27" t="n">
        <v>41232</v>
      </c>
      <c r="B745" t="n">
        <v/>
      </c>
      <c r="C745" t="n">
        <v>0.246</v>
      </c>
      <c r="D745" t="n">
        <v>1.613</v>
      </c>
      <c r="E745" t="n">
        <v/>
      </c>
    </row>
    <row r="746">
      <c r="A746" s="27" t="n">
        <v>41233</v>
      </c>
      <c r="B746" t="n">
        <v/>
      </c>
      <c r="C746" t="n">
        <v>0.258</v>
      </c>
      <c r="D746" t="n">
        <v>1.668</v>
      </c>
      <c r="E746" t="n">
        <v/>
      </c>
    </row>
    <row r="747">
      <c r="A747" s="27" t="n">
        <v>41234</v>
      </c>
      <c r="B747" t="n">
        <v/>
      </c>
      <c r="C747" t="n">
        <v>0.274</v>
      </c>
      <c r="D747" t="n">
        <v>1.68</v>
      </c>
      <c r="E747" t="n">
        <v/>
      </c>
    </row>
    <row r="748">
      <c r="A748" s="27" t="n">
        <v>41236</v>
      </c>
      <c r="B748" t="n">
        <v/>
      </c>
      <c r="C748" t="n">
        <v>0.274</v>
      </c>
      <c r="D748" t="n">
        <v>1.693</v>
      </c>
      <c r="E748" t="n">
        <v/>
      </c>
    </row>
    <row r="749">
      <c r="A749" s="27" t="n">
        <v>41239</v>
      </c>
      <c r="B749" t="n">
        <v/>
      </c>
      <c r="C749" t="n">
        <v>0.27</v>
      </c>
      <c r="D749" t="n">
        <v>1.666</v>
      </c>
      <c r="E749" t="n">
        <v/>
      </c>
    </row>
    <row r="750">
      <c r="A750" s="27" t="n">
        <v>41240</v>
      </c>
      <c r="B750" t="n">
        <v/>
      </c>
      <c r="C750" t="n">
        <v>0.266</v>
      </c>
      <c r="D750" t="n">
        <v>1.639</v>
      </c>
      <c r="E750" t="n">
        <v/>
      </c>
    </row>
    <row r="751">
      <c r="A751" s="27" t="n">
        <v>41241</v>
      </c>
      <c r="B751" t="n">
        <v/>
      </c>
      <c r="C751" t="n">
        <v>0.266</v>
      </c>
      <c r="D751" t="n">
        <v>1.633</v>
      </c>
      <c r="E751" t="n">
        <v/>
      </c>
    </row>
    <row r="752">
      <c r="A752" s="27" t="n">
        <v>41242</v>
      </c>
      <c r="B752" t="n">
        <v/>
      </c>
      <c r="C752" t="n">
        <v>0.258</v>
      </c>
      <c r="D752" t="n">
        <v>1.62</v>
      </c>
      <c r="E752" t="n">
        <v/>
      </c>
    </row>
    <row r="753">
      <c r="A753" s="27" t="n">
        <v>41243</v>
      </c>
      <c r="B753" t="n">
        <v/>
      </c>
      <c r="C753" t="n">
        <v>0.25</v>
      </c>
      <c r="D753" t="n">
        <v>1.616</v>
      </c>
      <c r="E753" t="n">
        <v/>
      </c>
    </row>
    <row r="754">
      <c r="A754" s="27" t="n">
        <v>41246</v>
      </c>
      <c r="B754" t="n">
        <v/>
      </c>
      <c r="C754" t="n">
        <v>0.254</v>
      </c>
      <c r="D754" t="n">
        <v>1.622</v>
      </c>
      <c r="E754" t="n">
        <v/>
      </c>
    </row>
    <row r="755">
      <c r="A755" s="27" t="n">
        <v>41247</v>
      </c>
      <c r="B755" t="n">
        <v/>
      </c>
      <c r="C755" t="n">
        <v>0.246</v>
      </c>
      <c r="D755" t="n">
        <v>1.605</v>
      </c>
      <c r="E755" t="n">
        <v/>
      </c>
    </row>
    <row r="756">
      <c r="A756" s="27" t="n">
        <v>41248</v>
      </c>
      <c r="B756" t="n">
        <v/>
      </c>
      <c r="C756" t="n">
        <v>0.242</v>
      </c>
      <c r="D756" t="n">
        <v>1.591</v>
      </c>
      <c r="E756" t="n">
        <v/>
      </c>
    </row>
    <row r="757">
      <c r="A757" s="27" t="n">
        <v>41249</v>
      </c>
      <c r="B757" t="n">
        <v/>
      </c>
      <c r="C757" t="n">
        <v>0.242</v>
      </c>
      <c r="D757" t="n">
        <v>1.586</v>
      </c>
      <c r="E757" t="n">
        <v/>
      </c>
    </row>
    <row r="758">
      <c r="A758" s="27" t="n">
        <v>41250</v>
      </c>
      <c r="B758" t="n">
        <v/>
      </c>
      <c r="C758" t="n">
        <v>0.242</v>
      </c>
      <c r="D758" t="n">
        <v>1.623</v>
      </c>
      <c r="E758" t="n">
        <v/>
      </c>
    </row>
    <row r="759">
      <c r="A759" s="27" t="n">
        <v>41253</v>
      </c>
      <c r="B759" t="n">
        <v/>
      </c>
      <c r="C759" t="n">
        <v>0.238</v>
      </c>
      <c r="D759" t="n">
        <v>1.618</v>
      </c>
      <c r="E759" t="n">
        <v/>
      </c>
    </row>
    <row r="760">
      <c r="A760" s="27" t="n">
        <v>41254</v>
      </c>
      <c r="B760" t="n">
        <v/>
      </c>
      <c r="C760" t="n">
        <v>0.242</v>
      </c>
      <c r="D760" t="n">
        <v>1.656</v>
      </c>
      <c r="E760" t="n">
        <v/>
      </c>
    </row>
    <row r="761">
      <c r="A761" s="27" t="n">
        <v>41255</v>
      </c>
      <c r="B761" t="n">
        <v/>
      </c>
      <c r="C761" t="n">
        <v>0.246</v>
      </c>
      <c r="D761" t="n">
        <v>1.702</v>
      </c>
      <c r="E761" t="n">
        <v/>
      </c>
    </row>
    <row r="762">
      <c r="A762" s="27" t="n">
        <v>41256</v>
      </c>
      <c r="B762" t="n">
        <v/>
      </c>
      <c r="C762" t="n">
        <v>0.25</v>
      </c>
      <c r="D762" t="n">
        <v>1.732</v>
      </c>
      <c r="E762" t="n">
        <v/>
      </c>
    </row>
    <row r="763">
      <c r="A763" s="27" t="n">
        <v>41257</v>
      </c>
      <c r="B763" t="n">
        <v/>
      </c>
      <c r="C763" t="n">
        <v>0.238</v>
      </c>
      <c r="D763" t="n">
        <v>1.704</v>
      </c>
      <c r="E763" t="n">
        <v/>
      </c>
    </row>
    <row r="764">
      <c r="A764" s="27" t="n">
        <v>41260</v>
      </c>
      <c r="B764" t="n">
        <v/>
      </c>
      <c r="C764" t="n">
        <v>0.254</v>
      </c>
      <c r="D764" t="n">
        <v>1.773</v>
      </c>
      <c r="E764" t="n">
        <v/>
      </c>
    </row>
    <row r="765">
      <c r="A765" s="27" t="n">
        <v>41261</v>
      </c>
      <c r="B765" t="n">
        <v/>
      </c>
      <c r="C765" t="n">
        <v>0.282</v>
      </c>
      <c r="D765" t="n">
        <v>1.821</v>
      </c>
      <c r="E765" t="n">
        <v/>
      </c>
    </row>
    <row r="766">
      <c r="A766" s="27" t="n">
        <v>41262</v>
      </c>
      <c r="B766" t="n">
        <v/>
      </c>
      <c r="C766" t="n">
        <v>0.278</v>
      </c>
      <c r="D766" t="n">
        <v>1.807</v>
      </c>
      <c r="E766" t="n">
        <v/>
      </c>
    </row>
    <row r="767">
      <c r="A767" s="27" t="n">
        <v>41263</v>
      </c>
      <c r="B767" t="n">
        <v/>
      </c>
      <c r="C767" t="n">
        <v>0.274</v>
      </c>
      <c r="D767" t="n">
        <v>1.8</v>
      </c>
      <c r="E767" t="n">
        <v/>
      </c>
    </row>
    <row r="768">
      <c r="A768" s="27" t="n">
        <v>41264</v>
      </c>
      <c r="B768" t="n">
        <v/>
      </c>
      <c r="C768" t="n">
        <v>0.27</v>
      </c>
      <c r="D768" t="n">
        <v>1.77</v>
      </c>
      <c r="E768" t="n">
        <v/>
      </c>
    </row>
    <row r="769">
      <c r="A769" s="27" t="n">
        <v>41267</v>
      </c>
      <c r="B769" t="n">
        <v/>
      </c>
      <c r="C769" t="n">
        <v>0.27</v>
      </c>
      <c r="D769" t="n">
        <v>1.776</v>
      </c>
      <c r="E769" t="n">
        <v/>
      </c>
    </row>
    <row r="770">
      <c r="A770" s="27" t="n">
        <v>41269</v>
      </c>
      <c r="B770" t="n">
        <v/>
      </c>
      <c r="C770" t="n">
        <v>0.27</v>
      </c>
      <c r="D770" t="n">
        <v>1.749</v>
      </c>
      <c r="E770" t="n">
        <v/>
      </c>
    </row>
    <row r="771">
      <c r="A771" s="27" t="n">
        <v>41270</v>
      </c>
      <c r="B771" t="n">
        <v/>
      </c>
      <c r="C771" t="n">
        <v>0.262</v>
      </c>
      <c r="D771" t="n">
        <v>1.734</v>
      </c>
      <c r="E771" t="n">
        <v/>
      </c>
    </row>
    <row r="772">
      <c r="A772" s="27" t="n">
        <v>41271</v>
      </c>
      <c r="B772" t="n">
        <v/>
      </c>
      <c r="C772" t="n">
        <v>0.25</v>
      </c>
      <c r="D772" t="n">
        <v>1.701</v>
      </c>
      <c r="E772" t="n">
        <v/>
      </c>
    </row>
    <row r="773">
      <c r="A773" s="27" t="n">
        <v>41274</v>
      </c>
      <c r="B773" t="n">
        <v/>
      </c>
      <c r="C773" t="n">
        <v>0.251</v>
      </c>
      <c r="D773" t="n">
        <v>1.756</v>
      </c>
      <c r="E773" t="n">
        <v/>
      </c>
    </row>
    <row r="774">
      <c r="A774" s="27" t="n">
        <v>41276</v>
      </c>
      <c r="B774" t="n">
        <v/>
      </c>
      <c r="C774" t="n">
        <v>0.259</v>
      </c>
      <c r="D774" t="n">
        <v>1.835</v>
      </c>
      <c r="E774" t="n">
        <v/>
      </c>
    </row>
    <row r="775">
      <c r="A775" s="27" t="n">
        <v>41277</v>
      </c>
      <c r="B775" t="n">
        <v/>
      </c>
      <c r="C775" t="n">
        <v>0.271</v>
      </c>
      <c r="D775" t="n">
        <v>1.911</v>
      </c>
      <c r="E775" t="n">
        <v/>
      </c>
    </row>
    <row r="776">
      <c r="A776" s="27" t="n">
        <v>41278</v>
      </c>
      <c r="B776" t="n">
        <v/>
      </c>
      <c r="C776" t="n">
        <v>0.268</v>
      </c>
      <c r="D776" t="n">
        <v>1.903</v>
      </c>
      <c r="E776" t="n">
        <v/>
      </c>
    </row>
    <row r="777">
      <c r="A777" s="27" t="n">
        <v>41281</v>
      </c>
      <c r="B777" t="n">
        <v/>
      </c>
      <c r="C777" t="n">
        <v>0.268</v>
      </c>
      <c r="D777" t="n">
        <v>1.901</v>
      </c>
      <c r="E777" t="n">
        <v/>
      </c>
    </row>
    <row r="778">
      <c r="A778" s="27" t="n">
        <v>41282</v>
      </c>
      <c r="B778" t="n">
        <v/>
      </c>
      <c r="C778" t="n">
        <v>0.256</v>
      </c>
      <c r="D778" t="n">
        <v>1.864</v>
      </c>
      <c r="E778" t="n">
        <v/>
      </c>
    </row>
    <row r="779">
      <c r="A779" s="27" t="n">
        <v>41283</v>
      </c>
      <c r="B779" t="n">
        <v/>
      </c>
      <c r="C779" t="n">
        <v>0.244</v>
      </c>
      <c r="D779" t="n">
        <v>1.86</v>
      </c>
      <c r="E779" t="n">
        <v/>
      </c>
    </row>
    <row r="780">
      <c r="A780" s="27" t="n">
        <v>41284</v>
      </c>
      <c r="B780" t="n">
        <v/>
      </c>
      <c r="C780" t="n">
        <v>0.252</v>
      </c>
      <c r="D780" t="n">
        <v>1.899</v>
      </c>
      <c r="E780" t="n">
        <v/>
      </c>
    </row>
    <row r="781">
      <c r="A781" s="27" t="n">
        <v>41285</v>
      </c>
      <c r="B781" t="n">
        <v/>
      </c>
      <c r="C781" t="n">
        <v>0.249</v>
      </c>
      <c r="D781" t="n">
        <v>1.866</v>
      </c>
      <c r="E781" t="n">
        <v/>
      </c>
    </row>
    <row r="782">
      <c r="A782" s="27" t="n">
        <v>41288</v>
      </c>
      <c r="B782" t="n">
        <v/>
      </c>
      <c r="C782" t="n">
        <v>0.249</v>
      </c>
      <c r="D782" t="n">
        <v>1.848</v>
      </c>
      <c r="E782" t="n">
        <v/>
      </c>
    </row>
    <row r="783">
      <c r="A783" s="27" t="n">
        <v>41289</v>
      </c>
      <c r="B783" t="n">
        <v/>
      </c>
      <c r="C783" t="n">
        <v>0.249</v>
      </c>
      <c r="D783" t="n">
        <v>1.836</v>
      </c>
      <c r="E783" t="n">
        <v/>
      </c>
    </row>
    <row r="784">
      <c r="A784" s="27" t="n">
        <v>41290</v>
      </c>
      <c r="B784" t="n">
        <v/>
      </c>
      <c r="C784" t="n">
        <v>0.249</v>
      </c>
      <c r="D784" t="n">
        <v>1.819</v>
      </c>
      <c r="E784" t="n">
        <v/>
      </c>
    </row>
    <row r="785">
      <c r="A785" s="27" t="n">
        <v>41291</v>
      </c>
      <c r="B785" t="n">
        <v/>
      </c>
      <c r="C785" t="n">
        <v>0.266</v>
      </c>
      <c r="D785" t="n">
        <v>1.884</v>
      </c>
      <c r="E785" t="n">
        <v/>
      </c>
    </row>
    <row r="786">
      <c r="A786" s="27" t="n">
        <v>41292</v>
      </c>
      <c r="B786" t="n">
        <v/>
      </c>
      <c r="C786" t="n">
        <v>0.254</v>
      </c>
      <c r="D786" t="n">
        <v>1.84</v>
      </c>
      <c r="E786" t="n">
        <v/>
      </c>
    </row>
    <row r="787">
      <c r="A787" s="27" t="n">
        <v>41296</v>
      </c>
      <c r="B787" t="n">
        <v/>
      </c>
      <c r="C787" t="n">
        <v>0.246</v>
      </c>
      <c r="D787" t="n">
        <v>1.843</v>
      </c>
      <c r="E787" t="n">
        <v/>
      </c>
    </row>
    <row r="788">
      <c r="A788" s="27" t="n">
        <v>41297</v>
      </c>
      <c r="B788" t="n">
        <v/>
      </c>
      <c r="C788" t="n">
        <v>0.238</v>
      </c>
      <c r="D788" t="n">
        <v>1.828</v>
      </c>
      <c r="E788" t="n">
        <v/>
      </c>
    </row>
    <row r="789">
      <c r="A789" s="27" t="n">
        <v>41298</v>
      </c>
      <c r="B789" t="n">
        <v/>
      </c>
      <c r="C789" t="n">
        <v>0.243</v>
      </c>
      <c r="D789" t="n">
        <v>1.852</v>
      </c>
      <c r="E789" t="n">
        <v/>
      </c>
    </row>
    <row r="790">
      <c r="A790" s="27" t="n">
        <v>41299</v>
      </c>
      <c r="B790" t="n">
        <v/>
      </c>
      <c r="C790" t="n">
        <v>0.276</v>
      </c>
      <c r="D790" t="n">
        <v>1.949</v>
      </c>
      <c r="E790" t="n">
        <v/>
      </c>
    </row>
    <row r="791">
      <c r="A791" s="27" t="n">
        <v>41302</v>
      </c>
      <c r="B791" t="n">
        <v/>
      </c>
      <c r="C791" t="n">
        <v>0.28</v>
      </c>
      <c r="D791" t="n">
        <v>1.965</v>
      </c>
      <c r="E791" t="n">
        <v/>
      </c>
    </row>
    <row r="792">
      <c r="A792" s="27" t="n">
        <v>41303</v>
      </c>
      <c r="B792" t="n">
        <v/>
      </c>
      <c r="C792" t="n">
        <v>0.281</v>
      </c>
      <c r="D792" t="n">
        <v>1.999</v>
      </c>
      <c r="E792" t="n">
        <v/>
      </c>
    </row>
    <row r="793">
      <c r="A793" s="27" t="n">
        <v>41304</v>
      </c>
      <c r="B793" t="n">
        <v/>
      </c>
      <c r="C793" t="n">
        <v>0.27</v>
      </c>
      <c r="D793" t="n">
        <v>1.992</v>
      </c>
      <c r="E793" t="n">
        <v/>
      </c>
    </row>
    <row r="794">
      <c r="A794" s="27" t="n">
        <v>41305</v>
      </c>
      <c r="B794" t="n">
        <v/>
      </c>
      <c r="C794" t="n">
        <v>0.266</v>
      </c>
      <c r="D794" t="n">
        <v>1.985</v>
      </c>
      <c r="E794" t="n">
        <v/>
      </c>
    </row>
    <row r="795">
      <c r="A795" s="27" t="n">
        <v>41306</v>
      </c>
      <c r="B795" t="n">
        <v/>
      </c>
      <c r="C795" t="n">
        <v>0.266</v>
      </c>
      <c r="D795" t="n">
        <v>2.025</v>
      </c>
      <c r="E795" t="n">
        <v/>
      </c>
    </row>
    <row r="796">
      <c r="A796" s="27" t="n">
        <v>41309</v>
      </c>
      <c r="B796" t="n">
        <v/>
      </c>
      <c r="C796" t="n">
        <v>0.254</v>
      </c>
      <c r="D796" t="n">
        <v>1.957</v>
      </c>
      <c r="E796" t="n">
        <v/>
      </c>
    </row>
    <row r="797">
      <c r="A797" s="27" t="n">
        <v>41310</v>
      </c>
      <c r="B797" t="n">
        <v/>
      </c>
      <c r="C797" t="n">
        <v>0.262</v>
      </c>
      <c r="D797" t="n">
        <v>2.005</v>
      </c>
      <c r="E797" t="n">
        <v/>
      </c>
    </row>
    <row r="798">
      <c r="A798" s="27" t="n">
        <v>41311</v>
      </c>
      <c r="B798" t="n">
        <v/>
      </c>
      <c r="C798" t="n">
        <v>0.25</v>
      </c>
      <c r="D798" t="n">
        <v>1.964</v>
      </c>
      <c r="E798" t="n">
        <v/>
      </c>
    </row>
    <row r="799">
      <c r="A799" s="27" t="n">
        <v>41312</v>
      </c>
      <c r="B799" t="n">
        <v/>
      </c>
      <c r="C799" t="n">
        <v>0.25</v>
      </c>
      <c r="D799" t="n">
        <v>1.959</v>
      </c>
      <c r="E799" t="n">
        <v/>
      </c>
    </row>
    <row r="800">
      <c r="A800" s="27" t="n">
        <v>41313</v>
      </c>
      <c r="B800" t="n">
        <v/>
      </c>
      <c r="C800" t="n">
        <v>0.25</v>
      </c>
      <c r="D800" t="n">
        <v>1.95</v>
      </c>
      <c r="E800" t="n">
        <v/>
      </c>
    </row>
    <row r="801">
      <c r="A801" s="27" t="n">
        <v>41316</v>
      </c>
      <c r="B801" t="n">
        <v/>
      </c>
      <c r="C801" t="n">
        <v>0.258</v>
      </c>
      <c r="D801" t="n">
        <v>1.964</v>
      </c>
      <c r="E801" t="n">
        <v/>
      </c>
    </row>
    <row r="802">
      <c r="A802" s="27" t="n">
        <v>41317</v>
      </c>
      <c r="B802" t="n">
        <v/>
      </c>
      <c r="C802" t="n">
        <v>0.27</v>
      </c>
      <c r="D802" t="n">
        <v>1.979</v>
      </c>
      <c r="E802" t="n">
        <v/>
      </c>
    </row>
    <row r="803">
      <c r="A803" s="27" t="n">
        <v>41318</v>
      </c>
      <c r="B803" t="n">
        <v/>
      </c>
      <c r="C803" t="n">
        <v>0.278</v>
      </c>
      <c r="D803" t="n">
        <v>2.028</v>
      </c>
      <c r="E803" t="n">
        <v/>
      </c>
    </row>
    <row r="804">
      <c r="A804" s="27" t="n">
        <v>41319</v>
      </c>
      <c r="B804" t="n">
        <v/>
      </c>
      <c r="C804" t="n">
        <v>0.266</v>
      </c>
      <c r="D804" t="n">
        <v>1.998</v>
      </c>
      <c r="E804" t="n">
        <v/>
      </c>
    </row>
    <row r="805">
      <c r="A805" s="27" t="n">
        <v>41320</v>
      </c>
      <c r="B805" t="n">
        <v/>
      </c>
      <c r="C805" t="n">
        <v>0.27</v>
      </c>
      <c r="D805" t="n">
        <v>2.005</v>
      </c>
      <c r="E805" t="n">
        <v/>
      </c>
    </row>
    <row r="806">
      <c r="A806" s="27" t="n">
        <v>41324</v>
      </c>
      <c r="B806" t="n">
        <v/>
      </c>
      <c r="C806" t="n">
        <v>0.274</v>
      </c>
      <c r="D806" t="n">
        <v>2.028</v>
      </c>
      <c r="E806" t="n">
        <v/>
      </c>
    </row>
    <row r="807">
      <c r="A807" s="27" t="n">
        <v>41325</v>
      </c>
      <c r="B807" t="n">
        <v/>
      </c>
      <c r="C807" t="n">
        <v>0.262</v>
      </c>
      <c r="D807" t="n">
        <v>2.01</v>
      </c>
      <c r="E807" t="n">
        <v/>
      </c>
    </row>
    <row r="808">
      <c r="A808" s="27" t="n">
        <v>41326</v>
      </c>
      <c r="B808" t="n">
        <v/>
      </c>
      <c r="C808" t="n">
        <v>0.254</v>
      </c>
      <c r="D808" t="n">
        <v>1.974</v>
      </c>
      <c r="E808" t="n">
        <v/>
      </c>
    </row>
    <row r="809">
      <c r="A809" s="27" t="n">
        <v>41327</v>
      </c>
      <c r="B809" t="n">
        <v/>
      </c>
      <c r="C809" t="n">
        <v>0.25</v>
      </c>
      <c r="D809" t="n">
        <v>1.962</v>
      </c>
      <c r="E809" t="n">
        <v/>
      </c>
    </row>
    <row r="810">
      <c r="A810" s="27" t="n">
        <v>41330</v>
      </c>
      <c r="B810" t="n">
        <v/>
      </c>
      <c r="C810" t="n">
        <v>0.242</v>
      </c>
      <c r="D810" t="n">
        <v>1.865</v>
      </c>
      <c r="E810" t="n">
        <v/>
      </c>
    </row>
    <row r="811">
      <c r="A811" s="27" t="n">
        <v>41331</v>
      </c>
      <c r="B811" t="n">
        <v/>
      </c>
      <c r="C811" t="n">
        <v>0.246</v>
      </c>
      <c r="D811" t="n">
        <v>1.886</v>
      </c>
      <c r="E811" t="n">
        <v/>
      </c>
    </row>
    <row r="812">
      <c r="A812" s="27" t="n">
        <v>41332</v>
      </c>
      <c r="B812" t="n">
        <v/>
      </c>
      <c r="C812" t="n">
        <v>0.246</v>
      </c>
      <c r="D812" t="n">
        <v>1.9</v>
      </c>
      <c r="E812" t="n">
        <v/>
      </c>
    </row>
    <row r="813">
      <c r="A813" s="27" t="n">
        <v>41333</v>
      </c>
      <c r="B813" t="n">
        <v/>
      </c>
      <c r="C813" t="n">
        <v>0.238</v>
      </c>
      <c r="D813" t="n">
        <v>1.881</v>
      </c>
      <c r="E813" t="n">
        <v/>
      </c>
    </row>
    <row r="814">
      <c r="A814" s="27" t="n">
        <v>41334</v>
      </c>
      <c r="B814" t="n">
        <v/>
      </c>
      <c r="C814" t="n">
        <v>0.238</v>
      </c>
      <c r="D814" t="n">
        <v>1.845</v>
      </c>
      <c r="E814" t="n">
        <v/>
      </c>
    </row>
    <row r="815">
      <c r="A815" s="27" t="n">
        <v>41337</v>
      </c>
      <c r="B815" t="n">
        <v/>
      </c>
      <c r="C815" t="n">
        <v>0.238</v>
      </c>
      <c r="D815" t="n">
        <v>1.879</v>
      </c>
      <c r="E815" t="n">
        <v/>
      </c>
    </row>
    <row r="816">
      <c r="A816" s="27" t="n">
        <v>41338</v>
      </c>
      <c r="B816" t="n">
        <v/>
      </c>
      <c r="C816" t="n">
        <v>0.242</v>
      </c>
      <c r="D816" t="n">
        <v>1.898</v>
      </c>
      <c r="E816" t="n">
        <v/>
      </c>
    </row>
    <row r="817">
      <c r="A817" s="27" t="n">
        <v>41339</v>
      </c>
      <c r="B817" t="n">
        <v/>
      </c>
      <c r="C817" t="n">
        <v>0.25</v>
      </c>
      <c r="D817" t="n">
        <v>1.939</v>
      </c>
      <c r="E817" t="n">
        <v/>
      </c>
    </row>
    <row r="818">
      <c r="A818" s="27" t="n">
        <v>41340</v>
      </c>
      <c r="B818" t="n">
        <v/>
      </c>
      <c r="C818" t="n">
        <v>0.254</v>
      </c>
      <c r="D818" t="n">
        <v>1.995</v>
      </c>
      <c r="E818" t="n">
        <v/>
      </c>
    </row>
    <row r="819">
      <c r="A819" s="27" t="n">
        <v>41341</v>
      </c>
      <c r="B819" t="n">
        <v/>
      </c>
      <c r="C819" t="n">
        <v>0.254</v>
      </c>
      <c r="D819" t="n">
        <v>2.049</v>
      </c>
      <c r="E819" t="n">
        <v/>
      </c>
    </row>
    <row r="820">
      <c r="A820" s="27" t="n">
        <v>41344</v>
      </c>
      <c r="B820" t="n">
        <v/>
      </c>
      <c r="C820" t="n">
        <v>0.258</v>
      </c>
      <c r="D820" t="n">
        <v>2.061</v>
      </c>
      <c r="E820" t="n">
        <v/>
      </c>
    </row>
    <row r="821">
      <c r="A821" s="27" t="n">
        <v>41345</v>
      </c>
      <c r="B821" t="n">
        <v/>
      </c>
      <c r="C821" t="n">
        <v>0.258</v>
      </c>
      <c r="D821" t="n">
        <v>2.019</v>
      </c>
      <c r="E821" t="n">
        <v/>
      </c>
    </row>
    <row r="822">
      <c r="A822" s="27" t="n">
        <v>41346</v>
      </c>
      <c r="B822" t="n">
        <v/>
      </c>
      <c r="C822" t="n">
        <v>0.262</v>
      </c>
      <c r="D822" t="n">
        <v>2.023</v>
      </c>
      <c r="E822" t="n">
        <v/>
      </c>
    </row>
    <row r="823">
      <c r="A823" s="27" t="n">
        <v>41347</v>
      </c>
      <c r="B823" t="n">
        <v/>
      </c>
      <c r="C823" t="n">
        <v>0.266</v>
      </c>
      <c r="D823" t="n">
        <v>2.037</v>
      </c>
      <c r="E823" t="n">
        <v/>
      </c>
    </row>
    <row r="824">
      <c r="A824" s="27" t="n">
        <v>41348</v>
      </c>
      <c r="B824" t="n">
        <v/>
      </c>
      <c r="C824" t="n">
        <v>0.254</v>
      </c>
      <c r="D824" t="n">
        <v>1.991</v>
      </c>
      <c r="E824" t="n">
        <v/>
      </c>
    </row>
    <row r="825">
      <c r="A825" s="27" t="n">
        <v>41351</v>
      </c>
      <c r="B825" t="n">
        <v/>
      </c>
      <c r="C825" t="n">
        <v>0.246</v>
      </c>
      <c r="D825" t="n">
        <v>1.955</v>
      </c>
      <c r="E825" t="n">
        <v/>
      </c>
    </row>
    <row r="826">
      <c r="A826" s="27" t="n">
        <v>41352</v>
      </c>
      <c r="B826" t="n">
        <v/>
      </c>
      <c r="C826" t="n">
        <v>0.242</v>
      </c>
      <c r="D826" t="n">
        <v>1.904</v>
      </c>
      <c r="E826" t="n">
        <v/>
      </c>
    </row>
    <row r="827">
      <c r="A827" s="27" t="n">
        <v>41353</v>
      </c>
      <c r="B827" t="n">
        <v/>
      </c>
      <c r="C827" t="n">
        <v>0.25</v>
      </c>
      <c r="D827" t="n">
        <v>1.958</v>
      </c>
      <c r="E827" t="n">
        <v/>
      </c>
    </row>
    <row r="828">
      <c r="A828" s="27" t="n">
        <v>41354</v>
      </c>
      <c r="B828" t="n">
        <v/>
      </c>
      <c r="C828" t="n">
        <v>0.25</v>
      </c>
      <c r="D828" t="n">
        <v>1.915</v>
      </c>
      <c r="E828" t="n">
        <v/>
      </c>
    </row>
    <row r="829">
      <c r="A829" s="27" t="n">
        <v>41355</v>
      </c>
      <c r="B829" t="n">
        <v/>
      </c>
      <c r="C829" t="n">
        <v>0.254</v>
      </c>
      <c r="D829" t="n">
        <v>1.927</v>
      </c>
      <c r="E829" t="n">
        <v/>
      </c>
    </row>
    <row r="830">
      <c r="A830" s="27" t="n">
        <v>41358</v>
      </c>
      <c r="B830" t="n">
        <v/>
      </c>
      <c r="C830" t="n">
        <v>0.246</v>
      </c>
      <c r="D830" t="n">
        <v>1.92</v>
      </c>
      <c r="E830" t="n">
        <v/>
      </c>
    </row>
    <row r="831">
      <c r="A831" s="27" t="n">
        <v>41359</v>
      </c>
      <c r="B831" t="n">
        <v/>
      </c>
      <c r="C831" t="n">
        <v>0.25</v>
      </c>
      <c r="D831" t="n">
        <v>1.911</v>
      </c>
      <c r="E831" t="n">
        <v/>
      </c>
    </row>
    <row r="832">
      <c r="A832" s="27" t="n">
        <v>41360</v>
      </c>
      <c r="B832" t="n">
        <v/>
      </c>
      <c r="C832" t="n">
        <v>0.246</v>
      </c>
      <c r="D832" t="n">
        <v>1.845</v>
      </c>
      <c r="E832" t="n">
        <v/>
      </c>
    </row>
    <row r="833">
      <c r="A833" s="27" t="n">
        <v>41361</v>
      </c>
      <c r="B833" t="n">
        <v/>
      </c>
      <c r="C833" t="n">
        <v>0.25</v>
      </c>
      <c r="D833" t="n">
        <v>1.852</v>
      </c>
      <c r="E833" t="n">
        <v/>
      </c>
    </row>
    <row r="834">
      <c r="A834" s="27" t="n">
        <v>41365</v>
      </c>
      <c r="B834" t="n">
        <v/>
      </c>
      <c r="C834" t="n">
        <v>0.242</v>
      </c>
      <c r="D834" t="n">
        <v>1.835</v>
      </c>
      <c r="E834" t="n">
        <v/>
      </c>
    </row>
    <row r="835">
      <c r="A835" s="27" t="n">
        <v>41366</v>
      </c>
      <c r="B835" t="n">
        <v/>
      </c>
      <c r="C835" t="n">
        <v>0.242</v>
      </c>
      <c r="D835" t="n">
        <v>1.862</v>
      </c>
      <c r="E835" t="n">
        <v/>
      </c>
    </row>
    <row r="836">
      <c r="A836" s="27" t="n">
        <v>41367</v>
      </c>
      <c r="B836" t="n">
        <v/>
      </c>
      <c r="C836" t="n">
        <v>0.23</v>
      </c>
      <c r="D836" t="n">
        <v>1.816</v>
      </c>
      <c r="E836" t="n">
        <v/>
      </c>
    </row>
    <row r="837">
      <c r="A837" s="27" t="n">
        <v>41368</v>
      </c>
      <c r="B837" t="n">
        <v/>
      </c>
      <c r="C837" t="n">
        <v>0.23</v>
      </c>
      <c r="D837" t="n">
        <v>1.766</v>
      </c>
      <c r="E837" t="n">
        <v/>
      </c>
    </row>
    <row r="838">
      <c r="A838" s="27" t="n">
        <v>41369</v>
      </c>
      <c r="B838" t="n">
        <v/>
      </c>
      <c r="C838" t="n">
        <v>0.23</v>
      </c>
      <c r="D838" t="n">
        <v>1.714</v>
      </c>
      <c r="E838" t="n">
        <v/>
      </c>
    </row>
    <row r="839">
      <c r="A839" s="27" t="n">
        <v>41372</v>
      </c>
      <c r="B839" t="n">
        <v/>
      </c>
      <c r="C839" t="n">
        <v>0.23</v>
      </c>
      <c r="D839" t="n">
        <v>1.745</v>
      </c>
      <c r="E839" t="n">
        <v/>
      </c>
    </row>
    <row r="840">
      <c r="A840" s="27" t="n">
        <v>41373</v>
      </c>
      <c r="B840" t="n">
        <v/>
      </c>
      <c r="C840" t="n">
        <v>0.234</v>
      </c>
      <c r="D840" t="n">
        <v>1.752</v>
      </c>
      <c r="E840" t="n">
        <v/>
      </c>
    </row>
    <row r="841">
      <c r="A841" s="27" t="n">
        <v>41374</v>
      </c>
      <c r="B841" t="n">
        <v/>
      </c>
      <c r="C841" t="n">
        <v>0.234</v>
      </c>
      <c r="D841" t="n">
        <v>1.805</v>
      </c>
      <c r="E841" t="n">
        <v/>
      </c>
    </row>
    <row r="842">
      <c r="A842" s="27" t="n">
        <v>41375</v>
      </c>
      <c r="B842" t="n">
        <v/>
      </c>
      <c r="C842" t="n">
        <v>0.234</v>
      </c>
      <c r="D842" t="n">
        <v>1.791</v>
      </c>
      <c r="E842" t="n">
        <v/>
      </c>
    </row>
    <row r="843">
      <c r="A843" s="27" t="n">
        <v>41376</v>
      </c>
      <c r="B843" t="n">
        <v/>
      </c>
      <c r="C843" t="n">
        <v>0.23</v>
      </c>
      <c r="D843" t="n">
        <v>1.721</v>
      </c>
      <c r="E843" t="n">
        <v/>
      </c>
    </row>
    <row r="844">
      <c r="A844" s="27" t="n">
        <v>41379</v>
      </c>
      <c r="B844" t="n">
        <v/>
      </c>
      <c r="C844" t="n">
        <v>0.222</v>
      </c>
      <c r="D844" t="n">
        <v>1.688</v>
      </c>
      <c r="E844" t="n">
        <v/>
      </c>
    </row>
    <row r="845">
      <c r="A845" s="27" t="n">
        <v>41380</v>
      </c>
      <c r="B845" t="n">
        <v/>
      </c>
      <c r="C845" t="n">
        <v>0.23</v>
      </c>
      <c r="D845" t="n">
        <v>1.722</v>
      </c>
      <c r="E845" t="n">
        <v/>
      </c>
    </row>
    <row r="846">
      <c r="A846" s="27" t="n">
        <v>41381</v>
      </c>
      <c r="B846" t="n">
        <v/>
      </c>
      <c r="C846" t="n">
        <v>0.23</v>
      </c>
      <c r="D846" t="n">
        <v>1.698</v>
      </c>
      <c r="E846" t="n">
        <v/>
      </c>
    </row>
    <row r="847">
      <c r="A847" s="27" t="n">
        <v>41382</v>
      </c>
      <c r="B847" t="n">
        <v/>
      </c>
      <c r="C847" t="n">
        <v>0.23</v>
      </c>
      <c r="D847" t="n">
        <v>1.686</v>
      </c>
      <c r="E847" t="n">
        <v/>
      </c>
    </row>
    <row r="848">
      <c r="A848" s="27" t="n">
        <v>41383</v>
      </c>
      <c r="B848" t="n">
        <v/>
      </c>
      <c r="C848" t="n">
        <v>0.234</v>
      </c>
      <c r="D848" t="n">
        <v>1.705</v>
      </c>
      <c r="E848" t="n">
        <v/>
      </c>
    </row>
    <row r="849">
      <c r="A849" s="27" t="n">
        <v>41386</v>
      </c>
      <c r="B849" t="n">
        <v/>
      </c>
      <c r="C849" t="n">
        <v>0.226</v>
      </c>
      <c r="D849" t="n">
        <v>1.695</v>
      </c>
      <c r="E849" t="n">
        <v/>
      </c>
    </row>
    <row r="850">
      <c r="A850" s="27" t="n">
        <v>41387</v>
      </c>
      <c r="B850" t="n">
        <v/>
      </c>
      <c r="C850" t="n">
        <v>0.23</v>
      </c>
      <c r="D850" t="n">
        <v>1.706</v>
      </c>
      <c r="E850" t="n">
        <v/>
      </c>
    </row>
    <row r="851">
      <c r="A851" s="27" t="n">
        <v>41388</v>
      </c>
      <c r="B851" t="n">
        <v/>
      </c>
      <c r="C851" t="n">
        <v>0.231</v>
      </c>
      <c r="D851" t="n">
        <v>1.703</v>
      </c>
      <c r="E851" t="n">
        <v/>
      </c>
    </row>
    <row r="852">
      <c r="A852" s="27" t="n">
        <v>41389</v>
      </c>
      <c r="B852" t="n">
        <v/>
      </c>
      <c r="C852" t="n">
        <v>0.231</v>
      </c>
      <c r="D852" t="n">
        <v>1.71</v>
      </c>
      <c r="E852" t="n">
        <v/>
      </c>
    </row>
    <row r="853">
      <c r="A853" s="27" t="n">
        <v>41390</v>
      </c>
      <c r="B853" t="n">
        <v/>
      </c>
      <c r="C853" t="n">
        <v>0.215</v>
      </c>
      <c r="D853" t="n">
        <v>1.665</v>
      </c>
      <c r="E853" t="n">
        <v/>
      </c>
    </row>
    <row r="854">
      <c r="A854" s="27" t="n">
        <v>41393</v>
      </c>
      <c r="B854" t="n">
        <v/>
      </c>
      <c r="C854" t="n">
        <v>0.211</v>
      </c>
      <c r="D854" t="n">
        <v>1.667</v>
      </c>
      <c r="E854" t="n">
        <v/>
      </c>
    </row>
    <row r="855">
      <c r="A855" s="27" t="n">
        <v>41394</v>
      </c>
      <c r="B855" t="n">
        <v/>
      </c>
      <c r="C855" t="n">
        <v>0.211</v>
      </c>
      <c r="D855" t="n">
        <v>1.673</v>
      </c>
      <c r="E855" t="n">
        <v/>
      </c>
    </row>
    <row r="856">
      <c r="A856" s="27" t="n">
        <v>41395</v>
      </c>
      <c r="B856" t="n">
        <v/>
      </c>
      <c r="C856" t="n">
        <v>0.203</v>
      </c>
      <c r="D856" t="n">
        <v>1.632</v>
      </c>
      <c r="E856" t="n">
        <v/>
      </c>
    </row>
    <row r="857">
      <c r="A857" s="27" t="n">
        <v>41396</v>
      </c>
      <c r="B857" t="n">
        <v/>
      </c>
      <c r="C857" t="n">
        <v>0.2</v>
      </c>
      <c r="D857" t="n">
        <v>1.624</v>
      </c>
      <c r="E857" t="n">
        <v/>
      </c>
    </row>
    <row r="858">
      <c r="A858" s="27" t="n">
        <v>41397</v>
      </c>
      <c r="B858" t="n">
        <v/>
      </c>
      <c r="C858" t="n">
        <v>0.22</v>
      </c>
      <c r="D858" t="n">
        <v>1.74</v>
      </c>
      <c r="E858" t="n">
        <v/>
      </c>
    </row>
    <row r="859">
      <c r="A859" s="27" t="n">
        <v>41400</v>
      </c>
      <c r="B859" t="n">
        <v/>
      </c>
      <c r="C859" t="n">
        <v>0.216</v>
      </c>
      <c r="D859" t="n">
        <v>1.764</v>
      </c>
      <c r="E859" t="n">
        <v/>
      </c>
    </row>
    <row r="860">
      <c r="A860" s="27" t="n">
        <v>41401</v>
      </c>
      <c r="B860" t="n">
        <v/>
      </c>
      <c r="C860" t="n">
        <v>0.224</v>
      </c>
      <c r="D860" t="n">
        <v>1.78</v>
      </c>
      <c r="E860" t="n">
        <v/>
      </c>
    </row>
    <row r="861">
      <c r="A861" s="27" t="n">
        <v>41402</v>
      </c>
      <c r="B861" t="n">
        <v/>
      </c>
      <c r="C861" t="n">
        <v>0.224</v>
      </c>
      <c r="D861" t="n">
        <v>1.767</v>
      </c>
      <c r="E861" t="n">
        <v/>
      </c>
    </row>
    <row r="862">
      <c r="A862" s="27" t="n">
        <v>41403</v>
      </c>
      <c r="B862" t="n">
        <v/>
      </c>
      <c r="C862" t="n">
        <v>0.224</v>
      </c>
      <c r="D862" t="n">
        <v>1.813</v>
      </c>
      <c r="E862" t="n">
        <v/>
      </c>
    </row>
    <row r="863">
      <c r="A863" s="27" t="n">
        <v>41404</v>
      </c>
      <c r="B863" t="n">
        <v/>
      </c>
      <c r="C863" t="n">
        <v>0.241</v>
      </c>
      <c r="D863" t="n">
        <v>1.9</v>
      </c>
      <c r="E863" t="n">
        <v/>
      </c>
    </row>
    <row r="864">
      <c r="A864" s="27" t="n">
        <v>41405</v>
      </c>
      <c r="B864" t="n">
        <v/>
      </c>
      <c r="C864" t="n">
        <v>0.241</v>
      </c>
      <c r="D864" t="n">
        <v>1.9</v>
      </c>
      <c r="E864" t="n">
        <v/>
      </c>
    </row>
    <row r="865">
      <c r="A865" s="27" t="n">
        <v>41407</v>
      </c>
      <c r="B865" t="n">
        <v/>
      </c>
      <c r="C865" t="n">
        <v>0.241</v>
      </c>
      <c r="D865" t="n">
        <v>1.917</v>
      </c>
      <c r="E865" t="n">
        <v/>
      </c>
    </row>
    <row r="866">
      <c r="A866" s="27" t="n">
        <v>41408</v>
      </c>
      <c r="B866" t="n">
        <v/>
      </c>
      <c r="C866" t="n">
        <v>0.249</v>
      </c>
      <c r="D866" t="n">
        <v>1.982</v>
      </c>
      <c r="E866" t="n">
        <v/>
      </c>
    </row>
    <row r="867">
      <c r="A867" s="27" t="n">
        <v>41409</v>
      </c>
      <c r="B867" t="n">
        <v/>
      </c>
      <c r="C867" t="n">
        <v>0.241</v>
      </c>
      <c r="D867" t="n">
        <v>1.94</v>
      </c>
      <c r="E867" t="n">
        <v/>
      </c>
    </row>
    <row r="868">
      <c r="A868" s="27" t="n">
        <v>41410</v>
      </c>
      <c r="B868" t="n">
        <v/>
      </c>
      <c r="C868" t="n">
        <v>0.233</v>
      </c>
      <c r="D868" t="n">
        <v>1.879</v>
      </c>
      <c r="E868" t="n">
        <v/>
      </c>
    </row>
    <row r="869">
      <c r="A869" s="27" t="n">
        <v>41411</v>
      </c>
      <c r="B869" t="n">
        <v/>
      </c>
      <c r="C869" t="n">
        <v>0.246</v>
      </c>
      <c r="D869" t="n">
        <v>1.954</v>
      </c>
      <c r="E869" t="n">
        <v/>
      </c>
    </row>
    <row r="870">
      <c r="A870" s="27" t="n">
        <v>41412</v>
      </c>
      <c r="B870" t="n">
        <v/>
      </c>
      <c r="C870" t="n">
        <v>0.246</v>
      </c>
      <c r="D870" t="n">
        <v>1.954</v>
      </c>
      <c r="E870" t="n">
        <v/>
      </c>
    </row>
    <row r="871">
      <c r="A871" s="27" t="n">
        <v>41414</v>
      </c>
      <c r="B871" t="n">
        <v/>
      </c>
      <c r="C871" t="n">
        <v>0.242</v>
      </c>
      <c r="D871" t="n">
        <v>1.965</v>
      </c>
      <c r="E871" t="n">
        <v/>
      </c>
    </row>
    <row r="872">
      <c r="A872" s="27" t="n">
        <v>41415</v>
      </c>
      <c r="B872" t="n">
        <v/>
      </c>
      <c r="C872" t="n">
        <v>0.238</v>
      </c>
      <c r="D872" t="n">
        <v>1.93</v>
      </c>
      <c r="E872" t="n">
        <v/>
      </c>
    </row>
    <row r="873">
      <c r="A873" s="27" t="n">
        <v>41416</v>
      </c>
      <c r="B873" t="n">
        <v/>
      </c>
      <c r="C873" t="n">
        <v>0.25</v>
      </c>
      <c r="D873" t="n">
        <v>2.037</v>
      </c>
      <c r="E873" t="n">
        <v/>
      </c>
    </row>
    <row r="874">
      <c r="A874" s="27" t="n">
        <v>41417</v>
      </c>
      <c r="B874" t="n">
        <v/>
      </c>
      <c r="C874" t="n">
        <v>0.251</v>
      </c>
      <c r="D874" t="n">
        <v>2.016</v>
      </c>
      <c r="E874" t="n">
        <v/>
      </c>
    </row>
    <row r="875">
      <c r="A875" s="27" t="n">
        <v>41418</v>
      </c>
      <c r="B875" t="n">
        <v/>
      </c>
      <c r="C875" t="n">
        <v>0.251</v>
      </c>
      <c r="D875" t="n">
        <v>2.011</v>
      </c>
      <c r="E875" t="n">
        <v/>
      </c>
    </row>
    <row r="876">
      <c r="A876" s="27" t="n">
        <v>41419</v>
      </c>
      <c r="B876" t="n">
        <v/>
      </c>
      <c r="C876" t="n">
        <v>0.251</v>
      </c>
      <c r="D876" t="n">
        <v>2.011</v>
      </c>
      <c r="E876" t="n">
        <v/>
      </c>
    </row>
    <row r="877">
      <c r="A877" s="27" t="n">
        <v>41422</v>
      </c>
      <c r="B877" t="n">
        <v/>
      </c>
      <c r="C877" t="n">
        <v>0.292</v>
      </c>
      <c r="D877" t="n">
        <v>2.167</v>
      </c>
      <c r="E877" t="n">
        <v/>
      </c>
    </row>
    <row r="878">
      <c r="A878" s="27" t="n">
        <v>41423</v>
      </c>
      <c r="B878" t="n">
        <v/>
      </c>
      <c r="C878" t="n">
        <v>0.297</v>
      </c>
      <c r="D878" t="n">
        <v>2.119</v>
      </c>
      <c r="E878" t="n">
        <v/>
      </c>
    </row>
    <row r="879">
      <c r="A879" s="27" t="n">
        <v>41424</v>
      </c>
      <c r="B879" t="n">
        <v/>
      </c>
      <c r="C879" t="n">
        <v>0.297</v>
      </c>
      <c r="D879" t="n">
        <v>2.119</v>
      </c>
      <c r="E879" t="n">
        <v/>
      </c>
    </row>
    <row r="880">
      <c r="A880" s="27" t="n">
        <v>41425</v>
      </c>
      <c r="B880" t="n">
        <v/>
      </c>
      <c r="C880" t="n">
        <v>0.297</v>
      </c>
      <c r="D880" t="n">
        <v>2.132</v>
      </c>
      <c r="E880" t="n">
        <v/>
      </c>
    </row>
    <row r="881">
      <c r="A881" s="27" t="n">
        <v>41426</v>
      </c>
      <c r="B881" t="n">
        <v/>
      </c>
      <c r="C881" t="n">
        <v>0.297</v>
      </c>
      <c r="D881" t="n">
        <v>2.132</v>
      </c>
      <c r="E881" t="n">
        <v/>
      </c>
    </row>
    <row r="882">
      <c r="A882" s="27" t="n">
        <v>41428</v>
      </c>
      <c r="B882" t="n">
        <v/>
      </c>
      <c r="C882" t="n">
        <v>0.293</v>
      </c>
      <c r="D882" t="n">
        <v>2.128</v>
      </c>
      <c r="E882" t="n">
        <v/>
      </c>
    </row>
    <row r="883">
      <c r="A883" s="27" t="n">
        <v>41429</v>
      </c>
      <c r="B883" t="n">
        <v/>
      </c>
      <c r="C883" t="n">
        <v>0.301</v>
      </c>
      <c r="D883" t="n">
        <v>2.15</v>
      </c>
      <c r="E883" t="n">
        <v/>
      </c>
    </row>
    <row r="884">
      <c r="A884" s="27" t="n">
        <v>41430</v>
      </c>
      <c r="B884" t="n">
        <v/>
      </c>
      <c r="C884" t="n">
        <v>0.289</v>
      </c>
      <c r="D884" t="n">
        <v>2.091</v>
      </c>
      <c r="E884" t="n">
        <v/>
      </c>
    </row>
    <row r="885">
      <c r="A885" s="27" t="n">
        <v>41431</v>
      </c>
      <c r="B885" t="n">
        <v/>
      </c>
      <c r="C885" t="n">
        <v>0.29</v>
      </c>
      <c r="D885" t="n">
        <v>2.079</v>
      </c>
      <c r="E885" t="n">
        <v/>
      </c>
    </row>
    <row r="886">
      <c r="A886" s="27" t="n">
        <v>41432</v>
      </c>
      <c r="B886" t="n">
        <v/>
      </c>
      <c r="C886" t="n">
        <v>0.306</v>
      </c>
      <c r="D886" t="n">
        <v>2.179</v>
      </c>
      <c r="E886" t="n">
        <v/>
      </c>
    </row>
    <row r="887">
      <c r="A887" s="27" t="n">
        <v>41433</v>
      </c>
      <c r="B887" t="n">
        <v/>
      </c>
      <c r="C887" t="n">
        <v>0.306</v>
      </c>
      <c r="D887" t="n">
        <v>2.179</v>
      </c>
      <c r="E887" t="n">
        <v/>
      </c>
    </row>
    <row r="888">
      <c r="A888" s="27" t="n">
        <v>41435</v>
      </c>
      <c r="B888" t="n">
        <v/>
      </c>
      <c r="C888" t="n">
        <v>0.314</v>
      </c>
      <c r="D888" t="n">
        <v>2.213</v>
      </c>
      <c r="E888" t="n">
        <v/>
      </c>
    </row>
    <row r="889">
      <c r="A889" s="27" t="n">
        <v>41436</v>
      </c>
      <c r="B889" t="n">
        <v/>
      </c>
      <c r="C889" t="n">
        <v>0.326</v>
      </c>
      <c r="D889" t="n">
        <v>2.19</v>
      </c>
      <c r="E889" t="n">
        <v/>
      </c>
    </row>
    <row r="890">
      <c r="A890" s="27" t="n">
        <v>41437</v>
      </c>
      <c r="B890" t="n">
        <v/>
      </c>
      <c r="C890" t="n">
        <v>0.326</v>
      </c>
      <c r="D890" t="n">
        <v>2.228</v>
      </c>
      <c r="E890" t="n">
        <v/>
      </c>
    </row>
    <row r="891">
      <c r="A891" s="27" t="n">
        <v>41438</v>
      </c>
      <c r="B891" t="n">
        <v/>
      </c>
      <c r="C891" t="n">
        <v>0.286</v>
      </c>
      <c r="D891" t="n">
        <v>2.149</v>
      </c>
      <c r="E891" t="n">
        <v/>
      </c>
    </row>
    <row r="892">
      <c r="A892" s="27" t="n">
        <v>41439</v>
      </c>
      <c r="B892" t="n">
        <v/>
      </c>
      <c r="C892" t="n">
        <v>0.274</v>
      </c>
      <c r="D892" t="n">
        <v>2.13</v>
      </c>
      <c r="E892" t="n">
        <v/>
      </c>
    </row>
    <row r="893">
      <c r="A893" s="27" t="n">
        <v>41440</v>
      </c>
      <c r="B893" t="n">
        <v/>
      </c>
      <c r="C893" t="n">
        <v>0.274</v>
      </c>
      <c r="D893" t="n">
        <v>2.129</v>
      </c>
      <c r="E893" t="n">
        <v/>
      </c>
    </row>
    <row r="894">
      <c r="A894" s="27" t="n">
        <v>41441</v>
      </c>
      <c r="B894" t="n">
        <v/>
      </c>
      <c r="C894" t="n">
        <v>0.274</v>
      </c>
      <c r="D894" t="n">
        <v>2.129</v>
      </c>
      <c r="E894" t="n">
        <v/>
      </c>
    </row>
    <row r="895">
      <c r="A895" s="27" t="n">
        <v>41442</v>
      </c>
      <c r="B895" t="n">
        <v/>
      </c>
      <c r="C895" t="n">
        <v>0.27</v>
      </c>
      <c r="D895" t="n">
        <v>2.178</v>
      </c>
      <c r="E895" t="n">
        <v/>
      </c>
    </row>
    <row r="896">
      <c r="A896" s="27" t="n">
        <v>41443</v>
      </c>
      <c r="B896" t="n">
        <v/>
      </c>
      <c r="C896" t="n">
        <v>0.266</v>
      </c>
      <c r="D896" t="n">
        <v>2.185</v>
      </c>
      <c r="E896" t="n">
        <v/>
      </c>
    </row>
    <row r="897">
      <c r="A897" s="27" t="n">
        <v>41444</v>
      </c>
      <c r="B897" t="n">
        <v/>
      </c>
      <c r="C897" t="n">
        <v>0.31</v>
      </c>
      <c r="D897" t="n">
        <v>2.354</v>
      </c>
      <c r="E897" t="n">
        <v/>
      </c>
    </row>
    <row r="898">
      <c r="A898" s="27" t="n">
        <v>41445</v>
      </c>
      <c r="B898" t="n">
        <v/>
      </c>
      <c r="C898" t="n">
        <v>0.331</v>
      </c>
      <c r="D898" t="n">
        <v>2.421</v>
      </c>
      <c r="E898" t="n">
        <v/>
      </c>
    </row>
    <row r="899">
      <c r="A899" s="27" t="n">
        <v>41446</v>
      </c>
      <c r="B899" t="n">
        <v/>
      </c>
      <c r="C899" t="n">
        <v>0.372</v>
      </c>
      <c r="D899" t="n">
        <v>2.542</v>
      </c>
      <c r="E899" t="n">
        <v/>
      </c>
    </row>
    <row r="900">
      <c r="A900" s="27" t="n">
        <v>41447</v>
      </c>
      <c r="B900" t="n">
        <v/>
      </c>
      <c r="C900" t="n">
        <v>0.372</v>
      </c>
      <c r="D900" t="n">
        <v>2.542</v>
      </c>
      <c r="E900" t="n">
        <v/>
      </c>
    </row>
    <row r="901">
      <c r="A901" s="27" t="n">
        <v>41448</v>
      </c>
      <c r="B901" t="n">
        <v/>
      </c>
      <c r="C901" t="n">
        <v>0.372</v>
      </c>
      <c r="D901" t="n">
        <v>2.542</v>
      </c>
      <c r="E901" t="n">
        <v/>
      </c>
    </row>
    <row r="902">
      <c r="A902" s="27" t="n">
        <v>41449</v>
      </c>
      <c r="B902" t="n">
        <v/>
      </c>
      <c r="C902" t="n">
        <v>0.396</v>
      </c>
      <c r="D902" t="n">
        <v>2.544</v>
      </c>
      <c r="E902" t="n">
        <v/>
      </c>
    </row>
    <row r="903">
      <c r="A903" s="27" t="n">
        <v>41450</v>
      </c>
      <c r="B903" t="n">
        <v/>
      </c>
      <c r="C903" t="n">
        <v>0.409</v>
      </c>
      <c r="D903" t="n">
        <v>2.612</v>
      </c>
      <c r="E903" t="n">
        <v/>
      </c>
    </row>
    <row r="904">
      <c r="A904" s="27" t="n">
        <v>41451</v>
      </c>
      <c r="B904" t="n">
        <v/>
      </c>
      <c r="C904" t="n">
        <v>0.383</v>
      </c>
      <c r="D904" t="n">
        <v>2.541</v>
      </c>
      <c r="E904" t="n">
        <v/>
      </c>
    </row>
    <row r="905">
      <c r="A905" s="27" t="n">
        <v>41452</v>
      </c>
      <c r="B905" t="n">
        <v/>
      </c>
      <c r="C905" t="n">
        <v>0.359</v>
      </c>
      <c r="D905" t="n">
        <v>2.474</v>
      </c>
      <c r="E905" t="n">
        <v/>
      </c>
    </row>
    <row r="906">
      <c r="A906" s="27" t="n">
        <v>41453</v>
      </c>
      <c r="B906" t="n">
        <v/>
      </c>
      <c r="C906" t="n">
        <v>0.359</v>
      </c>
      <c r="D906" t="n">
        <v>2.487</v>
      </c>
      <c r="E906" t="n">
        <v/>
      </c>
    </row>
    <row r="907">
      <c r="A907" s="27" t="n">
        <v>41454</v>
      </c>
      <c r="B907" t="n">
        <v/>
      </c>
      <c r="C907" t="n">
        <v>0.359</v>
      </c>
      <c r="D907" t="n">
        <v>2.487</v>
      </c>
      <c r="E907" t="n">
        <v/>
      </c>
    </row>
    <row r="908">
      <c r="A908" s="27" t="n">
        <v>41456</v>
      </c>
      <c r="B908" t="n">
        <v/>
      </c>
      <c r="C908" t="n">
        <v>0.355</v>
      </c>
      <c r="D908" t="n">
        <v>2.477</v>
      </c>
      <c r="E908" t="n">
        <v/>
      </c>
    </row>
    <row r="909">
      <c r="A909" s="27" t="n">
        <v>41457</v>
      </c>
      <c r="B909" t="n">
        <v/>
      </c>
      <c r="C909" t="n">
        <v>0.351</v>
      </c>
      <c r="D909" t="n">
        <v>2.471</v>
      </c>
      <c r="E909" t="n">
        <v/>
      </c>
    </row>
    <row r="910">
      <c r="A910" s="27" t="n">
        <v>41458</v>
      </c>
      <c r="B910" t="n">
        <v/>
      </c>
      <c r="C910" t="n">
        <v>0.363</v>
      </c>
      <c r="D910" t="n">
        <v>2.503</v>
      </c>
      <c r="E910" t="n">
        <v/>
      </c>
    </row>
    <row r="911">
      <c r="A911" s="27" t="n">
        <v>41459</v>
      </c>
      <c r="B911" t="n">
        <v/>
      </c>
      <c r="C911" t="n">
        <v>0.363</v>
      </c>
      <c r="D911" t="n">
        <v>2.503</v>
      </c>
      <c r="E911" t="n">
        <v/>
      </c>
    </row>
    <row r="912">
      <c r="A912" s="27" t="n">
        <v>41460</v>
      </c>
      <c r="B912" t="n">
        <v/>
      </c>
      <c r="C912" t="n">
        <v>0.399</v>
      </c>
      <c r="D912" t="n">
        <v>2.736</v>
      </c>
      <c r="E912" t="n">
        <v/>
      </c>
    </row>
    <row r="913">
      <c r="A913" s="27" t="n">
        <v>41461</v>
      </c>
      <c r="B913" t="n">
        <v/>
      </c>
      <c r="C913" t="n">
        <v>0.399</v>
      </c>
      <c r="D913" t="n">
        <v>2.736</v>
      </c>
      <c r="E913" t="n">
        <v/>
      </c>
    </row>
    <row r="914">
      <c r="A914" s="27" t="n">
        <v>41463</v>
      </c>
      <c r="B914" t="n">
        <v/>
      </c>
      <c r="C914" t="n">
        <v>0.363</v>
      </c>
      <c r="D914" t="n">
        <v>2.638</v>
      </c>
      <c r="E914" t="n">
        <v/>
      </c>
    </row>
    <row r="915">
      <c r="A915" s="27" t="n">
        <v>41464</v>
      </c>
      <c r="B915" t="n">
        <v/>
      </c>
      <c r="C915" t="n">
        <v>0.371</v>
      </c>
      <c r="D915" t="n">
        <v>2.64</v>
      </c>
      <c r="E915" t="n">
        <v/>
      </c>
    </row>
    <row r="916">
      <c r="A916" s="27" t="n">
        <v>41465</v>
      </c>
      <c r="B916" t="n">
        <v/>
      </c>
      <c r="C916" t="n">
        <v>0.371</v>
      </c>
      <c r="D916" t="n">
        <v>2.674</v>
      </c>
      <c r="E916" t="n">
        <v/>
      </c>
    </row>
    <row r="917">
      <c r="A917" s="27" t="n">
        <v>41466</v>
      </c>
      <c r="B917" t="n">
        <v/>
      </c>
      <c r="C917" t="n">
        <v>0.331</v>
      </c>
      <c r="D917" t="n">
        <v>2.572</v>
      </c>
      <c r="E917" t="n">
        <v/>
      </c>
    </row>
    <row r="918">
      <c r="A918" s="27" t="n">
        <v>41467</v>
      </c>
      <c r="B918" t="n">
        <v/>
      </c>
      <c r="C918" t="n">
        <v>0.347</v>
      </c>
      <c r="D918" t="n">
        <v>2.592</v>
      </c>
      <c r="E918" t="n">
        <v/>
      </c>
    </row>
    <row r="919">
      <c r="A919" s="27" t="n">
        <v>41468</v>
      </c>
      <c r="B919" t="n">
        <v/>
      </c>
      <c r="C919" t="n">
        <v>0.347</v>
      </c>
      <c r="D919" t="n">
        <v>2.592</v>
      </c>
      <c r="E919" t="n">
        <v/>
      </c>
    </row>
    <row r="920">
      <c r="A920" s="27" t="n">
        <v>41470</v>
      </c>
      <c r="B920" t="n">
        <v/>
      </c>
      <c r="C920" t="n">
        <v>0.331</v>
      </c>
      <c r="D920" t="n">
        <v>2.543</v>
      </c>
      <c r="E920" t="n">
        <v/>
      </c>
    </row>
    <row r="921">
      <c r="A921" s="27" t="n">
        <v>41471</v>
      </c>
      <c r="B921" t="n">
        <v/>
      </c>
      <c r="C921" t="n">
        <v>0.327</v>
      </c>
      <c r="D921" t="n">
        <v>2.532</v>
      </c>
      <c r="E921" t="n">
        <v/>
      </c>
    </row>
    <row r="922">
      <c r="A922" s="27" t="n">
        <v>41472</v>
      </c>
      <c r="B922" t="n">
        <v/>
      </c>
      <c r="C922" t="n">
        <v>0.303</v>
      </c>
      <c r="D922" t="n">
        <v>2.491</v>
      </c>
      <c r="E922" t="n">
        <v/>
      </c>
    </row>
    <row r="923">
      <c r="A923" s="27" t="n">
        <v>41473</v>
      </c>
      <c r="B923" t="n">
        <v/>
      </c>
      <c r="C923" t="n">
        <v>0.311</v>
      </c>
      <c r="D923" t="n">
        <v>2.534</v>
      </c>
      <c r="E923" t="n">
        <v/>
      </c>
    </row>
    <row r="924">
      <c r="A924" s="27" t="n">
        <v>41474</v>
      </c>
      <c r="B924" t="n">
        <v/>
      </c>
      <c r="C924" t="n">
        <v>0.302</v>
      </c>
      <c r="D924" t="n">
        <v>2.482</v>
      </c>
      <c r="E924" t="n">
        <v/>
      </c>
    </row>
    <row r="925">
      <c r="A925" s="27" t="n">
        <v>41475</v>
      </c>
      <c r="B925" t="n">
        <v/>
      </c>
      <c r="C925" t="n">
        <v>0.302</v>
      </c>
      <c r="D925" t="n">
        <v>2.482</v>
      </c>
      <c r="E925" t="n">
        <v/>
      </c>
    </row>
    <row r="926">
      <c r="A926" s="27" t="n">
        <v>41477</v>
      </c>
      <c r="B926" t="n">
        <v/>
      </c>
      <c r="C926" t="n">
        <v>0.306</v>
      </c>
      <c r="D926" t="n">
        <v>2.484</v>
      </c>
      <c r="E926" t="n">
        <v/>
      </c>
    </row>
    <row r="927">
      <c r="A927" s="27" t="n">
        <v>41478</v>
      </c>
      <c r="B927" t="n">
        <v/>
      </c>
      <c r="C927" t="n">
        <v>0.314</v>
      </c>
      <c r="D927" t="n">
        <v>2.507</v>
      </c>
      <c r="E927" t="n">
        <v/>
      </c>
    </row>
    <row r="928">
      <c r="A928" s="27" t="n">
        <v>41479</v>
      </c>
      <c r="B928" t="n">
        <v/>
      </c>
      <c r="C928" t="n">
        <v>0.352</v>
      </c>
      <c r="D928" t="n">
        <v>2.584</v>
      </c>
      <c r="E928" t="n">
        <v/>
      </c>
    </row>
    <row r="929">
      <c r="A929" s="27" t="n">
        <v>41480</v>
      </c>
      <c r="B929" t="n">
        <v/>
      </c>
      <c r="C929" t="n">
        <v>0.325</v>
      </c>
      <c r="D929" t="n">
        <v>2.577</v>
      </c>
      <c r="E929" t="n">
        <v/>
      </c>
    </row>
    <row r="930">
      <c r="A930" s="27" t="n">
        <v>41481</v>
      </c>
      <c r="B930" t="n">
        <v/>
      </c>
      <c r="C930" t="n">
        <v>0.317</v>
      </c>
      <c r="D930" t="n">
        <v>2.564</v>
      </c>
      <c r="E930" t="n">
        <v/>
      </c>
    </row>
    <row r="931">
      <c r="A931" s="27" t="n">
        <v>41482</v>
      </c>
      <c r="B931" t="n">
        <v/>
      </c>
      <c r="C931" t="n">
        <v>0.317</v>
      </c>
      <c r="D931" t="n">
        <v>2.564</v>
      </c>
      <c r="E931" t="n">
        <v/>
      </c>
    </row>
    <row r="932">
      <c r="A932" s="27" t="n">
        <v>41484</v>
      </c>
      <c r="B932" t="n">
        <v/>
      </c>
      <c r="C932" t="n">
        <v>0.317</v>
      </c>
      <c r="D932" t="n">
        <v>2.599</v>
      </c>
      <c r="E932" t="n">
        <v/>
      </c>
    </row>
    <row r="933">
      <c r="A933" s="27" t="n">
        <v>41485</v>
      </c>
      <c r="B933" t="n">
        <v/>
      </c>
      <c r="C933" t="n">
        <v>0.313</v>
      </c>
      <c r="D933" t="n">
        <v>2.606</v>
      </c>
      <c r="E933" t="n">
        <v/>
      </c>
    </row>
    <row r="934">
      <c r="A934" s="27" t="n">
        <v>41486</v>
      </c>
      <c r="B934" t="n">
        <v/>
      </c>
      <c r="C934" t="n">
        <v>0.313</v>
      </c>
      <c r="D934" t="n">
        <v>2.588</v>
      </c>
      <c r="E934" t="n">
        <v/>
      </c>
    </row>
    <row r="935">
      <c r="A935" s="27" t="n">
        <v>41487</v>
      </c>
      <c r="B935" t="n">
        <v/>
      </c>
      <c r="C935" t="n">
        <v>0.329</v>
      </c>
      <c r="D935" t="n">
        <v>2.708</v>
      </c>
      <c r="E935" t="n">
        <v/>
      </c>
    </row>
    <row r="936">
      <c r="A936" s="27" t="n">
        <v>41488</v>
      </c>
      <c r="B936" t="n">
        <v/>
      </c>
      <c r="C936" t="n">
        <v>0.301</v>
      </c>
      <c r="D936" t="n">
        <v>2.598</v>
      </c>
      <c r="E936" t="n">
        <v/>
      </c>
    </row>
    <row r="937">
      <c r="A937" s="27" t="n">
        <v>41489</v>
      </c>
      <c r="B937" t="n">
        <v/>
      </c>
      <c r="C937" t="n">
        <v>0.301</v>
      </c>
      <c r="D937" t="n">
        <v>2.598</v>
      </c>
      <c r="E937" t="n">
        <v/>
      </c>
    </row>
    <row r="938">
      <c r="A938" s="27" t="n">
        <v>41491</v>
      </c>
      <c r="B938" t="n">
        <v/>
      </c>
      <c r="C938" t="n">
        <v>0.305</v>
      </c>
      <c r="D938" t="n">
        <v>2.64</v>
      </c>
      <c r="E938" t="n">
        <v/>
      </c>
    </row>
    <row r="939">
      <c r="A939" s="27" t="n">
        <v>41492</v>
      </c>
      <c r="B939" t="n">
        <v/>
      </c>
      <c r="C939" t="n">
        <v>0.309</v>
      </c>
      <c r="D939" t="n">
        <v>2.642</v>
      </c>
      <c r="E939" t="n">
        <v/>
      </c>
    </row>
    <row r="940">
      <c r="A940" s="27" t="n">
        <v>41493</v>
      </c>
      <c r="B940" t="n">
        <v/>
      </c>
      <c r="C940" t="n">
        <v>0.305</v>
      </c>
      <c r="D940" t="n">
        <v>2.599</v>
      </c>
      <c r="E940" t="n">
        <v/>
      </c>
    </row>
    <row r="941">
      <c r="A941" s="27" t="n">
        <v>41494</v>
      </c>
      <c r="B941" t="n">
        <v/>
      </c>
      <c r="C941" t="n">
        <v>0.306</v>
      </c>
      <c r="D941" t="n">
        <v>2.587</v>
      </c>
      <c r="E941" t="n">
        <v/>
      </c>
    </row>
    <row r="942">
      <c r="A942" s="27" t="n">
        <v>41495</v>
      </c>
      <c r="B942" t="n">
        <v/>
      </c>
      <c r="C942" t="n">
        <v>0.306</v>
      </c>
      <c r="D942" t="n">
        <v>2.58</v>
      </c>
      <c r="E942" t="n">
        <v/>
      </c>
    </row>
    <row r="943">
      <c r="A943" s="27" t="n">
        <v>41496</v>
      </c>
      <c r="B943" t="n">
        <v/>
      </c>
      <c r="C943" t="n">
        <v>0.306</v>
      </c>
      <c r="D943" t="n">
        <v>2.58</v>
      </c>
      <c r="E943" t="n">
        <v/>
      </c>
    </row>
    <row r="944">
      <c r="A944" s="27" t="n">
        <v>41497</v>
      </c>
      <c r="B944" t="n">
        <v/>
      </c>
      <c r="C944" t="n">
        <v>0.31</v>
      </c>
      <c r="D944" t="n">
        <v>2.575</v>
      </c>
      <c r="E944" t="n">
        <v/>
      </c>
    </row>
    <row r="945">
      <c r="A945" s="27" t="n">
        <v>41498</v>
      </c>
      <c r="B945" t="n">
        <v/>
      </c>
      <c r="C945" t="n">
        <v>0.31</v>
      </c>
      <c r="D945" t="n">
        <v>2.622</v>
      </c>
      <c r="E945" t="n">
        <v/>
      </c>
    </row>
    <row r="946">
      <c r="A946" s="27" t="n">
        <v>41499</v>
      </c>
      <c r="B946" t="n">
        <v/>
      </c>
      <c r="C946" t="n">
        <v>0.334</v>
      </c>
      <c r="D946" t="n">
        <v>2.721</v>
      </c>
      <c r="E946" t="n">
        <v/>
      </c>
    </row>
    <row r="947">
      <c r="A947" s="27" t="n">
        <v>41500</v>
      </c>
      <c r="B947" t="n">
        <v/>
      </c>
      <c r="C947" t="n">
        <v>0.33</v>
      </c>
      <c r="D947" t="n">
        <v>2.712</v>
      </c>
      <c r="E947" t="n">
        <v/>
      </c>
    </row>
    <row r="948">
      <c r="A948" s="27" t="n">
        <v>41501</v>
      </c>
      <c r="B948" t="n">
        <v/>
      </c>
      <c r="C948" t="n">
        <v>0.346</v>
      </c>
      <c r="D948" t="n">
        <v>2.764</v>
      </c>
      <c r="E948" t="n">
        <v/>
      </c>
    </row>
    <row r="949">
      <c r="A949" s="27" t="n">
        <v>41502</v>
      </c>
      <c r="B949" t="n">
        <v/>
      </c>
      <c r="C949" t="n">
        <v>0.343</v>
      </c>
      <c r="D949" t="n">
        <v>2.825</v>
      </c>
      <c r="E949" t="n">
        <v/>
      </c>
    </row>
    <row r="950">
      <c r="A950" s="27" t="n">
        <v>41504</v>
      </c>
      <c r="B950" t="n">
        <v/>
      </c>
      <c r="C950" t="n">
        <v>0.347</v>
      </c>
      <c r="D950" t="n">
        <v>2.845</v>
      </c>
      <c r="E950" t="n">
        <v/>
      </c>
    </row>
    <row r="951">
      <c r="A951" s="27" t="n">
        <v>41505</v>
      </c>
      <c r="B951" t="n">
        <v/>
      </c>
      <c r="C951" t="n">
        <v>0.355</v>
      </c>
      <c r="D951" t="n">
        <v>2.882</v>
      </c>
      <c r="E951" t="n">
        <v/>
      </c>
    </row>
    <row r="952">
      <c r="A952" s="27" t="n">
        <v>41506</v>
      </c>
      <c r="B952" t="n">
        <v/>
      </c>
      <c r="C952" t="n">
        <v>0.343</v>
      </c>
      <c r="D952" t="n">
        <v>2.818</v>
      </c>
      <c r="E952" t="n">
        <v/>
      </c>
    </row>
    <row r="953">
      <c r="A953" s="27" t="n">
        <v>41507</v>
      </c>
      <c r="B953" t="n">
        <v/>
      </c>
      <c r="C953" t="n">
        <v>0.367</v>
      </c>
      <c r="D953" t="n">
        <v>2.892</v>
      </c>
      <c r="E953" t="n">
        <v/>
      </c>
    </row>
    <row r="954">
      <c r="A954" s="27" t="n">
        <v>41508</v>
      </c>
      <c r="B954" t="n">
        <v/>
      </c>
      <c r="C954" t="n">
        <v>0.392</v>
      </c>
      <c r="D954" t="n">
        <v>2.892</v>
      </c>
      <c r="E954" t="n">
        <v/>
      </c>
    </row>
    <row r="955">
      <c r="A955" s="27" t="n">
        <v>41509</v>
      </c>
      <c r="B955" t="n">
        <v/>
      </c>
      <c r="C955" t="n">
        <v>0.38</v>
      </c>
      <c r="D955" t="n">
        <v>2.818</v>
      </c>
      <c r="E955" t="n">
        <v/>
      </c>
    </row>
    <row r="956">
      <c r="A956" s="27" t="n">
        <v>41511</v>
      </c>
      <c r="B956" t="n">
        <v/>
      </c>
      <c r="C956" t="n">
        <v>0.38</v>
      </c>
      <c r="D956" t="n">
        <v>2.824</v>
      </c>
      <c r="E956" t="n">
        <v/>
      </c>
    </row>
    <row r="957">
      <c r="A957" s="27" t="n">
        <v>41512</v>
      </c>
      <c r="B957" t="n">
        <v/>
      </c>
      <c r="C957" t="n">
        <v>0.368</v>
      </c>
      <c r="D957" t="n">
        <v>2.787</v>
      </c>
      <c r="E957" t="n">
        <v/>
      </c>
    </row>
    <row r="958">
      <c r="A958" s="27" t="n">
        <v>41513</v>
      </c>
      <c r="B958" t="n">
        <v/>
      </c>
      <c r="C958" t="n">
        <v>0.356</v>
      </c>
      <c r="D958" t="n">
        <v>2.709</v>
      </c>
      <c r="E958" t="n">
        <v/>
      </c>
    </row>
    <row r="959">
      <c r="A959" s="27" t="n">
        <v>41514</v>
      </c>
      <c r="B959" t="n">
        <v/>
      </c>
      <c r="C959" t="n">
        <v>0.399</v>
      </c>
      <c r="D959" t="n">
        <v>2.765</v>
      </c>
      <c r="E959" t="n">
        <v/>
      </c>
    </row>
    <row r="960">
      <c r="A960" s="27" t="n">
        <v>41515</v>
      </c>
      <c r="B960" t="n">
        <v/>
      </c>
      <c r="C960" t="n">
        <v>0.399</v>
      </c>
      <c r="D960" t="n">
        <v>2.762</v>
      </c>
      <c r="E960" t="n">
        <v/>
      </c>
    </row>
    <row r="961">
      <c r="A961" s="27" t="n">
        <v>41516</v>
      </c>
      <c r="B961" t="n">
        <v/>
      </c>
      <c r="C961" t="n">
        <v>0.403</v>
      </c>
      <c r="D961" t="n">
        <v>2.789</v>
      </c>
      <c r="E961" t="n">
        <v/>
      </c>
    </row>
    <row r="962">
      <c r="A962" s="27" t="n">
        <v>41518</v>
      </c>
      <c r="B962" t="n">
        <v/>
      </c>
      <c r="C962" t="n">
        <v>0.403</v>
      </c>
      <c r="D962" t="n">
        <v>2.789</v>
      </c>
      <c r="E962" t="n">
        <v/>
      </c>
    </row>
    <row r="963">
      <c r="A963" s="27" t="n">
        <v>41519</v>
      </c>
      <c r="B963" t="n">
        <v/>
      </c>
      <c r="C963" t="n">
        <v>0.426</v>
      </c>
      <c r="D963" t="n">
        <v>2.835</v>
      </c>
      <c r="E963" t="n">
        <v/>
      </c>
    </row>
    <row r="964">
      <c r="A964" s="27" t="n">
        <v>41520</v>
      </c>
      <c r="B964" t="n">
        <v/>
      </c>
      <c r="C964" t="n">
        <v>0.418</v>
      </c>
      <c r="D964" t="n">
        <v>2.863</v>
      </c>
      <c r="E964" t="n">
        <v/>
      </c>
    </row>
    <row r="965">
      <c r="A965" s="27" t="n">
        <v>41521</v>
      </c>
      <c r="B965" t="n">
        <v/>
      </c>
      <c r="C965" t="n">
        <v>0.47</v>
      </c>
      <c r="D965" t="n">
        <v>2.897</v>
      </c>
      <c r="E965" t="n">
        <v/>
      </c>
    </row>
    <row r="966">
      <c r="A966" s="27" t="n">
        <v>41522</v>
      </c>
      <c r="B966" t="n">
        <v/>
      </c>
      <c r="C966" t="n">
        <v>0.518</v>
      </c>
      <c r="D966" t="n">
        <v>2.996</v>
      </c>
      <c r="E966" t="n">
        <v/>
      </c>
    </row>
    <row r="967">
      <c r="A967" s="27" t="n">
        <v>41523</v>
      </c>
      <c r="B967" t="n">
        <v/>
      </c>
      <c r="C967" t="n">
        <v>0.459</v>
      </c>
      <c r="D967" t="n">
        <v>2.934</v>
      </c>
      <c r="E967" t="n">
        <v/>
      </c>
    </row>
    <row r="968">
      <c r="A968" s="27" t="n">
        <v>41524</v>
      </c>
      <c r="B968" t="n">
        <v/>
      </c>
      <c r="C968" t="n">
        <v>0.458</v>
      </c>
      <c r="D968" t="n">
        <v>2.934</v>
      </c>
      <c r="E968" t="n">
        <v/>
      </c>
    </row>
    <row r="969">
      <c r="A969" s="27" t="n">
        <v>41525</v>
      </c>
      <c r="B969" t="n">
        <v/>
      </c>
      <c r="C969" t="n">
        <v>0.463</v>
      </c>
      <c r="D969" t="n">
        <v>2.942</v>
      </c>
      <c r="E969" t="n">
        <v/>
      </c>
    </row>
    <row r="970">
      <c r="A970" s="27" t="n">
        <v>41526</v>
      </c>
      <c r="B970" t="n">
        <v/>
      </c>
      <c r="C970" t="n">
        <v>0.447</v>
      </c>
      <c r="D970" t="n">
        <v>2.914</v>
      </c>
      <c r="E970" t="n">
        <v/>
      </c>
    </row>
    <row r="971">
      <c r="A971" s="27" t="n">
        <v>41527</v>
      </c>
      <c r="B971" t="n">
        <v/>
      </c>
      <c r="C971" t="n">
        <v>0.471</v>
      </c>
      <c r="D971" t="n">
        <v>2.966</v>
      </c>
      <c r="E971" t="n">
        <v/>
      </c>
    </row>
    <row r="972">
      <c r="A972" s="27" t="n">
        <v>41528</v>
      </c>
      <c r="B972" t="n">
        <v/>
      </c>
      <c r="C972" t="n">
        <v>0.447</v>
      </c>
      <c r="D972" t="n">
        <v>2.912</v>
      </c>
      <c r="E972" t="n">
        <v/>
      </c>
    </row>
    <row r="973">
      <c r="A973" s="27" t="n">
        <v>41529</v>
      </c>
      <c r="B973" t="n">
        <v/>
      </c>
      <c r="C973" t="n">
        <v>0.443</v>
      </c>
      <c r="D973" t="n">
        <v>2.905</v>
      </c>
      <c r="E973" t="n">
        <v/>
      </c>
    </row>
    <row r="974">
      <c r="A974" s="27" t="n">
        <v>41530</v>
      </c>
      <c r="B974" t="n">
        <v/>
      </c>
      <c r="C974" t="n">
        <v>0.435</v>
      </c>
      <c r="D974" t="n">
        <v>2.89</v>
      </c>
      <c r="E974" t="n">
        <v/>
      </c>
    </row>
    <row r="975">
      <c r="A975" s="27" t="n">
        <v>41532</v>
      </c>
      <c r="B975" t="n">
        <v/>
      </c>
      <c r="C975" t="n">
        <v>0.435</v>
      </c>
      <c r="D975" t="n">
        <v>2.89</v>
      </c>
      <c r="E975" t="n">
        <v/>
      </c>
    </row>
    <row r="976">
      <c r="A976" s="27" t="n">
        <v>41533</v>
      </c>
      <c r="B976" t="n">
        <v/>
      </c>
      <c r="C976" t="n">
        <v>0.395</v>
      </c>
      <c r="D976" t="n">
        <v>2.862</v>
      </c>
      <c r="E976" t="n">
        <v/>
      </c>
    </row>
    <row r="977">
      <c r="A977" s="27" t="n">
        <v>41534</v>
      </c>
      <c r="B977" t="n">
        <v/>
      </c>
      <c r="C977" t="n">
        <v>0.375</v>
      </c>
      <c r="D977" t="n">
        <v>2.849</v>
      </c>
      <c r="E977" t="n">
        <v/>
      </c>
    </row>
    <row r="978">
      <c r="A978" s="27" t="n">
        <v>41535</v>
      </c>
      <c r="B978" t="n">
        <v/>
      </c>
      <c r="C978" t="n">
        <v>0.327</v>
      </c>
      <c r="D978" t="n">
        <v>2.692</v>
      </c>
      <c r="E978" t="n">
        <v/>
      </c>
    </row>
    <row r="979">
      <c r="A979" s="27" t="n">
        <v>41536</v>
      </c>
      <c r="B979" t="n">
        <v/>
      </c>
      <c r="C979" t="n">
        <v>0.339</v>
      </c>
      <c r="D979" t="n">
        <v>2.752</v>
      </c>
      <c r="E979" t="n">
        <v/>
      </c>
    </row>
    <row r="980">
      <c r="A980" s="27" t="n">
        <v>41537</v>
      </c>
      <c r="B980" t="n">
        <v/>
      </c>
      <c r="C980" t="n">
        <v>0.335</v>
      </c>
      <c r="D980" t="n">
        <v>2.736</v>
      </c>
      <c r="E980" t="n">
        <v/>
      </c>
    </row>
    <row r="981">
      <c r="A981" s="27" t="n">
        <v>41539</v>
      </c>
      <c r="B981" t="n">
        <v/>
      </c>
      <c r="C981" t="n">
        <v>0.335</v>
      </c>
      <c r="D981" t="n">
        <v>2.736</v>
      </c>
      <c r="E981" t="n">
        <v/>
      </c>
    </row>
    <row r="982">
      <c r="A982" s="27" t="n">
        <v>41540</v>
      </c>
      <c r="B982" t="n">
        <v/>
      </c>
      <c r="C982" t="n">
        <v>0.334</v>
      </c>
      <c r="D982" t="n">
        <v>2.701</v>
      </c>
      <c r="E982" t="n">
        <v/>
      </c>
    </row>
    <row r="983">
      <c r="A983" s="27" t="n">
        <v>41541</v>
      </c>
      <c r="B983" t="n">
        <v/>
      </c>
      <c r="C983" t="n">
        <v>0.33</v>
      </c>
      <c r="D983" t="n">
        <v>2.655</v>
      </c>
      <c r="E983" t="n">
        <v/>
      </c>
    </row>
    <row r="984">
      <c r="A984" s="27" t="n">
        <v>41542</v>
      </c>
      <c r="B984" t="n">
        <v/>
      </c>
      <c r="C984" t="n">
        <v>0.34</v>
      </c>
      <c r="D984" t="n">
        <v>2.626</v>
      </c>
      <c r="E984" t="n">
        <v/>
      </c>
    </row>
    <row r="985">
      <c r="A985" s="27" t="n">
        <v>41543</v>
      </c>
      <c r="B985" t="n">
        <v/>
      </c>
      <c r="C985" t="n">
        <v>0.34</v>
      </c>
      <c r="D985" t="n">
        <v>2.648</v>
      </c>
      <c r="E985" t="n">
        <v/>
      </c>
    </row>
    <row r="986">
      <c r="A986" s="27" t="n">
        <v>41544</v>
      </c>
      <c r="B986" t="n">
        <v/>
      </c>
      <c r="C986" t="n">
        <v>0.336</v>
      </c>
      <c r="D986" t="n">
        <v>2.628</v>
      </c>
      <c r="E986" t="n">
        <v/>
      </c>
    </row>
    <row r="987">
      <c r="A987" s="27" t="n">
        <v>41546</v>
      </c>
      <c r="B987" t="n">
        <v/>
      </c>
      <c r="C987" t="n">
        <v>0.324</v>
      </c>
      <c r="D987" t="n">
        <v>2.595</v>
      </c>
      <c r="E987" t="n">
        <v/>
      </c>
    </row>
    <row r="988">
      <c r="A988" s="27" t="n">
        <v>41547</v>
      </c>
      <c r="B988" t="n">
        <v/>
      </c>
      <c r="C988" t="n">
        <v>0.321</v>
      </c>
      <c r="D988" t="n">
        <v>2.615</v>
      </c>
      <c r="E988" t="n">
        <v/>
      </c>
    </row>
    <row r="989">
      <c r="A989" s="27" t="n">
        <v>41548</v>
      </c>
      <c r="B989" t="n">
        <v/>
      </c>
      <c r="C989" t="n">
        <v>0.333</v>
      </c>
      <c r="D989" t="n">
        <v>2.65</v>
      </c>
      <c r="E989" t="n">
        <v/>
      </c>
    </row>
    <row r="990">
      <c r="A990" s="27" t="n">
        <v>41549</v>
      </c>
      <c r="B990" t="n">
        <v/>
      </c>
      <c r="C990" t="n">
        <v>0.321</v>
      </c>
      <c r="D990" t="n">
        <v>2.619</v>
      </c>
      <c r="E990" t="n">
        <v/>
      </c>
    </row>
    <row r="991">
      <c r="A991" s="27" t="n">
        <v>41550</v>
      </c>
      <c r="B991" t="n">
        <v/>
      </c>
      <c r="C991" t="n">
        <v>0.313</v>
      </c>
      <c r="D991" t="n">
        <v>2.605</v>
      </c>
      <c r="E991" t="n">
        <v/>
      </c>
    </row>
    <row r="992">
      <c r="A992" s="27" t="n">
        <v>41551</v>
      </c>
      <c r="B992" t="n">
        <v/>
      </c>
      <c r="C992" t="n">
        <v>0.333</v>
      </c>
      <c r="D992" t="n">
        <v>2.645</v>
      </c>
      <c r="E992" t="n">
        <v/>
      </c>
    </row>
    <row r="993">
      <c r="A993" s="27" t="n">
        <v>41553</v>
      </c>
      <c r="B993" t="n">
        <v/>
      </c>
      <c r="C993" t="n">
        <v>0.329</v>
      </c>
      <c r="D993" t="n">
        <v>2.636</v>
      </c>
      <c r="E993" t="n">
        <v/>
      </c>
    </row>
    <row r="994">
      <c r="A994" s="27" t="n">
        <v>41554</v>
      </c>
      <c r="B994" t="n">
        <v/>
      </c>
      <c r="C994" t="n">
        <v>0.345</v>
      </c>
      <c r="D994" t="n">
        <v>2.63</v>
      </c>
      <c r="E994" t="n">
        <v/>
      </c>
    </row>
    <row r="995">
      <c r="A995" s="27" t="n">
        <v>41555</v>
      </c>
      <c r="B995" t="n">
        <v/>
      </c>
      <c r="C995" t="n">
        <v>0.385</v>
      </c>
      <c r="D995" t="n">
        <v>2.638</v>
      </c>
      <c r="E995" t="n">
        <v/>
      </c>
    </row>
    <row r="996">
      <c r="A996" s="27" t="n">
        <v>41556</v>
      </c>
      <c r="B996" t="n">
        <v/>
      </c>
      <c r="C996" t="n">
        <v>0.361</v>
      </c>
      <c r="D996" t="n">
        <v>2.661</v>
      </c>
      <c r="E996" t="n">
        <v/>
      </c>
    </row>
    <row r="997">
      <c r="A997" s="27" t="n">
        <v>41557</v>
      </c>
      <c r="B997" t="n">
        <v/>
      </c>
      <c r="C997" t="n">
        <v>0.346</v>
      </c>
      <c r="D997" t="n">
        <v>2.683</v>
      </c>
      <c r="E997" t="n">
        <v/>
      </c>
    </row>
    <row r="998">
      <c r="A998" s="27" t="n">
        <v>41558</v>
      </c>
      <c r="B998" t="n">
        <v/>
      </c>
      <c r="C998" t="n">
        <v>0.35</v>
      </c>
      <c r="D998" t="n">
        <v>2.691</v>
      </c>
      <c r="E998" t="n">
        <v/>
      </c>
    </row>
    <row r="999">
      <c r="A999" s="27" t="n">
        <v>41561</v>
      </c>
      <c r="B999" t="n">
        <v/>
      </c>
      <c r="C999" t="n">
        <v>0.362</v>
      </c>
      <c r="D999" t="n">
        <v>2.74</v>
      </c>
      <c r="E999" t="n">
        <v/>
      </c>
    </row>
    <row r="1000">
      <c r="A1000" s="27" t="n">
        <v>41562</v>
      </c>
      <c r="B1000" t="n">
        <v/>
      </c>
      <c r="C1000" t="n">
        <v>0.354</v>
      </c>
      <c r="D1000" t="n">
        <v>2.728</v>
      </c>
      <c r="E1000" t="n">
        <v/>
      </c>
    </row>
    <row r="1001">
      <c r="A1001" s="27" t="n">
        <v>41563</v>
      </c>
      <c r="B1001" t="n">
        <v/>
      </c>
      <c r="C1001" t="n">
        <v>0.334</v>
      </c>
      <c r="D1001" t="n">
        <v>2.667</v>
      </c>
      <c r="E1001" t="n">
        <v/>
      </c>
    </row>
    <row r="1002">
      <c r="A1002" s="27" t="n">
        <v>41564</v>
      </c>
      <c r="B1002" t="n">
        <v/>
      </c>
      <c r="C1002" t="n">
        <v>0.314</v>
      </c>
      <c r="D1002" t="n">
        <v>2.592</v>
      </c>
      <c r="E1002" t="n">
        <v/>
      </c>
    </row>
    <row r="1003">
      <c r="A1003" s="27" t="n">
        <v>41565</v>
      </c>
      <c r="B1003" t="n">
        <v/>
      </c>
      <c r="C1003" t="n">
        <v>0.319</v>
      </c>
      <c r="D1003" t="n">
        <v>2.583</v>
      </c>
      <c r="E1003" t="n">
        <v/>
      </c>
    </row>
    <row r="1004">
      <c r="A1004" s="27" t="n">
        <v>41567</v>
      </c>
      <c r="B1004" t="n">
        <v/>
      </c>
      <c r="C1004" t="n">
        <v>0.319</v>
      </c>
      <c r="D1004" t="n">
        <v>2.589</v>
      </c>
      <c r="E1004" t="n">
        <v/>
      </c>
    </row>
    <row r="1005">
      <c r="A1005" s="27" t="n">
        <v>41568</v>
      </c>
      <c r="B1005" t="n">
        <v/>
      </c>
      <c r="C1005" t="n">
        <v>0.315</v>
      </c>
      <c r="D1005" t="n">
        <v>2.601</v>
      </c>
      <c r="E1005" t="n">
        <v/>
      </c>
    </row>
    <row r="1006">
      <c r="A1006" s="27" t="n">
        <v>41569</v>
      </c>
      <c r="B1006" t="n">
        <v/>
      </c>
      <c r="C1006" t="n">
        <v>0.294</v>
      </c>
      <c r="D1006" t="n">
        <v>2.511</v>
      </c>
      <c r="E1006" t="n">
        <v/>
      </c>
    </row>
    <row r="1007">
      <c r="A1007" s="27" t="n">
        <v>41570</v>
      </c>
      <c r="B1007" t="n">
        <v/>
      </c>
      <c r="C1007" t="n">
        <v>0.311</v>
      </c>
      <c r="D1007" t="n">
        <v>2.498</v>
      </c>
      <c r="E1007" t="n">
        <v/>
      </c>
    </row>
    <row r="1008">
      <c r="A1008" s="27" t="n">
        <v>41571</v>
      </c>
      <c r="B1008" t="n">
        <v/>
      </c>
      <c r="C1008" t="n">
        <v>0.307</v>
      </c>
      <c r="D1008" t="n">
        <v>2.52</v>
      </c>
      <c r="E1008" t="n">
        <v/>
      </c>
    </row>
    <row r="1009">
      <c r="A1009" s="27" t="n">
        <v>41572</v>
      </c>
      <c r="B1009" t="n">
        <v/>
      </c>
      <c r="C1009" t="n">
        <v>0.303</v>
      </c>
      <c r="D1009" t="n">
        <v>2.511</v>
      </c>
      <c r="E1009" t="n">
        <v/>
      </c>
    </row>
    <row r="1010">
      <c r="A1010" s="27" t="n">
        <v>41574</v>
      </c>
      <c r="B1010" t="n">
        <v/>
      </c>
      <c r="C1010" t="n">
        <v>0.307</v>
      </c>
      <c r="D1010" t="n">
        <v>2.512</v>
      </c>
      <c r="E1010" t="n">
        <v/>
      </c>
    </row>
    <row r="1011">
      <c r="A1011" s="27" t="n">
        <v>41575</v>
      </c>
      <c r="B1011" t="n">
        <v/>
      </c>
      <c r="C1011" t="n">
        <v>0.307</v>
      </c>
      <c r="D1011" t="n">
        <v>2.523</v>
      </c>
      <c r="E1011" t="n">
        <v/>
      </c>
    </row>
    <row r="1012">
      <c r="A1012" s="27" t="n">
        <v>41576</v>
      </c>
      <c r="B1012" t="n">
        <v/>
      </c>
      <c r="C1012" t="n">
        <v>0.317</v>
      </c>
      <c r="D1012" t="n">
        <v>2.503</v>
      </c>
      <c r="E1012" t="n">
        <v/>
      </c>
    </row>
    <row r="1013">
      <c r="A1013" s="27" t="n">
        <v>41577</v>
      </c>
      <c r="B1013" t="n">
        <v/>
      </c>
      <c r="C1013" t="n">
        <v>0.313</v>
      </c>
      <c r="D1013" t="n">
        <v>2.538</v>
      </c>
      <c r="E1013" t="n">
        <v/>
      </c>
    </row>
    <row r="1014">
      <c r="A1014" s="27" t="n">
        <v>41578</v>
      </c>
      <c r="B1014" t="n">
        <v/>
      </c>
      <c r="C1014" t="n">
        <v>0.309</v>
      </c>
      <c r="D1014" t="n">
        <v>2.552</v>
      </c>
      <c r="E1014" t="n">
        <v/>
      </c>
    </row>
    <row r="1015">
      <c r="A1015" s="27" t="n">
        <v>41579</v>
      </c>
      <c r="B1015" t="n">
        <v/>
      </c>
      <c r="C1015" t="n">
        <v>0.313</v>
      </c>
      <c r="D1015" t="n">
        <v>2.62</v>
      </c>
      <c r="E1015" t="n">
        <v/>
      </c>
    </row>
    <row r="1016">
      <c r="A1016" s="27" t="n">
        <v>41581</v>
      </c>
      <c r="B1016" t="n">
        <v/>
      </c>
      <c r="C1016" t="n">
        <v>0.313</v>
      </c>
      <c r="D1016" t="n">
        <v>2.62</v>
      </c>
      <c r="E1016" t="n">
        <v/>
      </c>
    </row>
    <row r="1017">
      <c r="A1017" s="27" t="n">
        <v>41582</v>
      </c>
      <c r="B1017" t="n">
        <v/>
      </c>
      <c r="C1017" t="n">
        <v>0.305</v>
      </c>
      <c r="D1017" t="n">
        <v>2.603</v>
      </c>
      <c r="E1017" t="n">
        <v/>
      </c>
    </row>
    <row r="1018">
      <c r="A1018" s="27" t="n">
        <v>41583</v>
      </c>
      <c r="B1018" t="n">
        <v/>
      </c>
      <c r="C1018" t="n">
        <v>0.301</v>
      </c>
      <c r="D1018" t="n">
        <v>2.67</v>
      </c>
      <c r="E1018" t="n">
        <v/>
      </c>
    </row>
    <row r="1019">
      <c r="A1019" s="27" t="n">
        <v>41584</v>
      </c>
      <c r="B1019" t="n">
        <v/>
      </c>
      <c r="C1019" t="n">
        <v>0.293</v>
      </c>
      <c r="D1019" t="n">
        <v>2.644</v>
      </c>
      <c r="E1019" t="n">
        <v/>
      </c>
    </row>
    <row r="1020">
      <c r="A1020" s="27" t="n">
        <v>41585</v>
      </c>
      <c r="B1020" t="n">
        <v/>
      </c>
      <c r="C1020" t="n">
        <v>0.286</v>
      </c>
      <c r="D1020" t="n">
        <v>2.602</v>
      </c>
      <c r="E1020" t="n">
        <v/>
      </c>
    </row>
    <row r="1021">
      <c r="A1021" s="27" t="n">
        <v>41586</v>
      </c>
      <c r="B1021" t="n">
        <v/>
      </c>
      <c r="C1021" t="n">
        <v>0.314</v>
      </c>
      <c r="D1021" t="n">
        <v>2.751</v>
      </c>
      <c r="E1021" t="n">
        <v/>
      </c>
    </row>
    <row r="1022">
      <c r="A1022" s="27" t="n">
        <v>41589</v>
      </c>
      <c r="B1022" t="n">
        <v/>
      </c>
      <c r="C1022" t="n">
        <v>0.314</v>
      </c>
      <c r="D1022" t="n">
        <v>2.768</v>
      </c>
      <c r="E1022" t="n">
        <v/>
      </c>
    </row>
    <row r="1023">
      <c r="A1023" s="27" t="n">
        <v>41590</v>
      </c>
      <c r="B1023" t="n">
        <v/>
      </c>
      <c r="C1023" t="n">
        <v>0.33</v>
      </c>
      <c r="D1023" t="n">
        <v>2.774</v>
      </c>
      <c r="E1023" t="n">
        <v/>
      </c>
    </row>
    <row r="1024">
      <c r="A1024" s="27" t="n">
        <v>41591</v>
      </c>
      <c r="B1024" t="n">
        <v/>
      </c>
      <c r="C1024" t="n">
        <v>0.306</v>
      </c>
      <c r="D1024" t="n">
        <v>2.716</v>
      </c>
      <c r="E1024" t="n">
        <v/>
      </c>
    </row>
    <row r="1025">
      <c r="A1025" s="27" t="n">
        <v>41592</v>
      </c>
      <c r="B1025" t="n">
        <v/>
      </c>
      <c r="C1025" t="n">
        <v>0.294</v>
      </c>
      <c r="D1025" t="n">
        <v>2.693</v>
      </c>
      <c r="E1025" t="n">
        <v/>
      </c>
    </row>
    <row r="1026">
      <c r="A1026" s="27" t="n">
        <v>41593</v>
      </c>
      <c r="B1026" t="n">
        <v/>
      </c>
      <c r="C1026" t="n">
        <v>0.294</v>
      </c>
      <c r="D1026" t="n">
        <v>2.703</v>
      </c>
      <c r="E1026" t="n">
        <v/>
      </c>
    </row>
    <row r="1027">
      <c r="A1027" s="27" t="n">
        <v>41595</v>
      </c>
      <c r="B1027" t="n">
        <v/>
      </c>
      <c r="C1027" t="n">
        <v>0.294</v>
      </c>
      <c r="D1027" t="n">
        <v>2.714</v>
      </c>
      <c r="E1027" t="n">
        <v/>
      </c>
    </row>
    <row r="1028">
      <c r="A1028" s="27" t="n">
        <v>41596</v>
      </c>
      <c r="B1028" t="n">
        <v/>
      </c>
      <c r="C1028" t="n">
        <v>0.282</v>
      </c>
      <c r="D1028" t="n">
        <v>2.666</v>
      </c>
      <c r="E1028" t="n">
        <v/>
      </c>
    </row>
    <row r="1029">
      <c r="A1029" s="27" t="n">
        <v>41597</v>
      </c>
      <c r="B1029" t="n">
        <v/>
      </c>
      <c r="C1029" t="n">
        <v>0.294</v>
      </c>
      <c r="D1029" t="n">
        <v>2.712</v>
      </c>
      <c r="E1029" t="n">
        <v/>
      </c>
    </row>
    <row r="1030">
      <c r="A1030" s="27" t="n">
        <v>41598</v>
      </c>
      <c r="B1030" t="n">
        <v/>
      </c>
      <c r="C1030" t="n">
        <v>0.278</v>
      </c>
      <c r="D1030" t="n">
        <v>2.804</v>
      </c>
      <c r="E1030" t="n">
        <v/>
      </c>
    </row>
    <row r="1031">
      <c r="A1031" s="27" t="n">
        <v>41599</v>
      </c>
      <c r="B1031" t="n">
        <v/>
      </c>
      <c r="C1031" t="n">
        <v>0.274</v>
      </c>
      <c r="D1031" t="n">
        <v>2.788</v>
      </c>
      <c r="E1031" t="n">
        <v/>
      </c>
    </row>
    <row r="1032">
      <c r="A1032" s="27" t="n">
        <v>41600</v>
      </c>
      <c r="B1032" t="n">
        <v/>
      </c>
      <c r="C1032" t="n">
        <v>0.282</v>
      </c>
      <c r="D1032" t="n">
        <v>2.744</v>
      </c>
      <c r="E1032" t="n">
        <v/>
      </c>
    </row>
    <row r="1033">
      <c r="A1033" s="27" t="n">
        <v>41602</v>
      </c>
      <c r="B1033" t="n">
        <v/>
      </c>
      <c r="C1033" t="n">
        <v>0.287</v>
      </c>
      <c r="D1033" t="n">
        <v>2.753</v>
      </c>
      <c r="E1033" t="n">
        <v/>
      </c>
    </row>
    <row r="1034">
      <c r="A1034" s="27" t="n">
        <v>41603</v>
      </c>
      <c r="B1034" t="n">
        <v/>
      </c>
      <c r="C1034" t="n">
        <v>0.282</v>
      </c>
      <c r="D1034" t="n">
        <v>2.73</v>
      </c>
      <c r="E1034" t="n">
        <v/>
      </c>
    </row>
    <row r="1035">
      <c r="A1035" s="27" t="n">
        <v>41604</v>
      </c>
      <c r="B1035" t="n">
        <v/>
      </c>
      <c r="C1035" t="n">
        <v>0.293</v>
      </c>
      <c r="D1035" t="n">
        <v>2.71</v>
      </c>
      <c r="E1035" t="n">
        <v/>
      </c>
    </row>
    <row r="1036">
      <c r="A1036" s="27" t="n">
        <v>41605</v>
      </c>
      <c r="B1036" t="n">
        <v/>
      </c>
      <c r="C1036" t="n">
        <v>0.289</v>
      </c>
      <c r="D1036" t="n">
        <v>2.739</v>
      </c>
      <c r="E1036" t="n">
        <v/>
      </c>
    </row>
    <row r="1037">
      <c r="A1037" s="27" t="n">
        <v>41606</v>
      </c>
      <c r="B1037" t="n">
        <v/>
      </c>
      <c r="C1037" t="n">
        <v>0.289</v>
      </c>
      <c r="D1037" t="n">
        <v>2.748</v>
      </c>
      <c r="E1037" t="n">
        <v/>
      </c>
    </row>
    <row r="1038">
      <c r="A1038" s="27" t="n">
        <v>41607</v>
      </c>
      <c r="B1038" t="n">
        <v/>
      </c>
      <c r="C1038" t="n">
        <v>0.285</v>
      </c>
      <c r="D1038" t="n">
        <v>2.746</v>
      </c>
      <c r="E1038" t="n">
        <v/>
      </c>
    </row>
    <row r="1039">
      <c r="A1039" s="27" t="n">
        <v>41609</v>
      </c>
      <c r="B1039" t="n">
        <v/>
      </c>
      <c r="C1039" t="n">
        <v>0.289</v>
      </c>
      <c r="D1039" t="n">
        <v>2.752</v>
      </c>
      <c r="E1039" t="n">
        <v/>
      </c>
    </row>
    <row r="1040">
      <c r="A1040" s="27" t="n">
        <v>41610</v>
      </c>
      <c r="B1040" t="n">
        <v/>
      </c>
      <c r="C1040" t="n">
        <v>0.289</v>
      </c>
      <c r="D1040" t="n">
        <v>2.797</v>
      </c>
      <c r="E1040" t="n">
        <v/>
      </c>
    </row>
    <row r="1041">
      <c r="A1041" s="27" t="n">
        <v>41611</v>
      </c>
      <c r="B1041" t="n">
        <v/>
      </c>
      <c r="C1041" t="n">
        <v>0.289</v>
      </c>
      <c r="D1041" t="n">
        <v>2.784</v>
      </c>
      <c r="E1041" t="n">
        <v/>
      </c>
    </row>
    <row r="1042">
      <c r="A1042" s="27" t="n">
        <v>41612</v>
      </c>
      <c r="B1042" t="n">
        <v/>
      </c>
      <c r="C1042" t="n">
        <v>0.293</v>
      </c>
      <c r="D1042" t="n">
        <v>2.837</v>
      </c>
      <c r="E1042" t="n">
        <v/>
      </c>
    </row>
    <row r="1043">
      <c r="A1043" s="27" t="n">
        <v>41613</v>
      </c>
      <c r="B1043" t="n">
        <v/>
      </c>
      <c r="C1043" t="n">
        <v>0.305</v>
      </c>
      <c r="D1043" t="n">
        <v>2.873</v>
      </c>
      <c r="E1043" t="n">
        <v/>
      </c>
    </row>
    <row r="1044">
      <c r="A1044" s="27" t="n">
        <v>41614</v>
      </c>
      <c r="B1044" t="n">
        <v/>
      </c>
      <c r="C1044" t="n">
        <v>0.306</v>
      </c>
      <c r="D1044" t="n">
        <v>2.857</v>
      </c>
      <c r="E1044" t="n">
        <v/>
      </c>
    </row>
    <row r="1045">
      <c r="A1045" s="27" t="n">
        <v>41616</v>
      </c>
      <c r="B1045" t="n">
        <v/>
      </c>
      <c r="C1045" t="n">
        <v>0.306</v>
      </c>
      <c r="D1045" t="n">
        <v>2.866</v>
      </c>
      <c r="E1045" t="n">
        <v/>
      </c>
    </row>
    <row r="1046">
      <c r="A1046" s="27" t="n">
        <v>41617</v>
      </c>
      <c r="B1046" t="n">
        <v/>
      </c>
      <c r="C1046" t="n">
        <v>0.302</v>
      </c>
      <c r="D1046" t="n">
        <v>2.841</v>
      </c>
      <c r="E1046" t="n">
        <v/>
      </c>
    </row>
    <row r="1047">
      <c r="A1047" s="27" t="n">
        <v>41618</v>
      </c>
      <c r="B1047" t="n">
        <v/>
      </c>
      <c r="C1047" t="n">
        <v>0.302</v>
      </c>
      <c r="D1047" t="n">
        <v>2.803</v>
      </c>
      <c r="E1047" t="n">
        <v/>
      </c>
    </row>
    <row r="1048">
      <c r="A1048" s="27" t="n">
        <v>41619</v>
      </c>
      <c r="B1048" t="n">
        <v/>
      </c>
      <c r="C1048" t="n">
        <v>0.31</v>
      </c>
      <c r="D1048" t="n">
        <v>2.855</v>
      </c>
      <c r="E1048" t="n">
        <v/>
      </c>
    </row>
    <row r="1049">
      <c r="A1049" s="27" t="n">
        <v>41620</v>
      </c>
      <c r="B1049" t="n">
        <v/>
      </c>
      <c r="C1049" t="n">
        <v>0.326</v>
      </c>
      <c r="D1049" t="n">
        <v>2.879</v>
      </c>
      <c r="E1049" t="n">
        <v/>
      </c>
    </row>
    <row r="1050">
      <c r="A1050" s="27" t="n">
        <v>41621</v>
      </c>
      <c r="B1050" t="n">
        <v/>
      </c>
      <c r="C1050" t="n">
        <v>0.33</v>
      </c>
      <c r="D1050" t="n">
        <v>2.866</v>
      </c>
      <c r="E1050" t="n">
        <v/>
      </c>
    </row>
    <row r="1051">
      <c r="A1051" s="27" t="n">
        <v>41623</v>
      </c>
      <c r="B1051" t="n">
        <v/>
      </c>
      <c r="C1051" t="n">
        <v>0.338</v>
      </c>
      <c r="D1051" t="n">
        <v>2.868</v>
      </c>
      <c r="E1051" t="n">
        <v/>
      </c>
    </row>
    <row r="1052">
      <c r="A1052" s="27" t="n">
        <v>41624</v>
      </c>
      <c r="B1052" t="n">
        <v/>
      </c>
      <c r="C1052" t="n">
        <v>0.334</v>
      </c>
      <c r="D1052" t="n">
        <v>2.879</v>
      </c>
      <c r="E1052" t="n">
        <v/>
      </c>
    </row>
    <row r="1053">
      <c r="A1053" s="27" t="n">
        <v>41625</v>
      </c>
      <c r="B1053" t="n">
        <v/>
      </c>
      <c r="C1053" t="n">
        <v>0.322</v>
      </c>
      <c r="D1053" t="n">
        <v>2.837</v>
      </c>
      <c r="E1053" t="n">
        <v/>
      </c>
    </row>
    <row r="1054">
      <c r="A1054" s="27" t="n">
        <v>41626</v>
      </c>
      <c r="B1054" t="n">
        <v/>
      </c>
      <c r="C1054" t="n">
        <v>0.336</v>
      </c>
      <c r="D1054" t="n">
        <v>2.896</v>
      </c>
      <c r="E1054" t="n">
        <v/>
      </c>
    </row>
    <row r="1055">
      <c r="A1055" s="27" t="n">
        <v>41627</v>
      </c>
      <c r="B1055" t="n">
        <v/>
      </c>
      <c r="C1055" t="n">
        <v>0.368</v>
      </c>
      <c r="D1055" t="n">
        <v>2.929</v>
      </c>
      <c r="E1055" t="n">
        <v/>
      </c>
    </row>
    <row r="1056">
      <c r="A1056" s="27" t="n">
        <v>41628</v>
      </c>
      <c r="B1056" t="n">
        <v/>
      </c>
      <c r="C1056" t="n">
        <v>0.38</v>
      </c>
      <c r="D1056" t="n">
        <v>2.89</v>
      </c>
      <c r="E1056" t="n">
        <v/>
      </c>
    </row>
    <row r="1057">
      <c r="A1057" s="27" t="n">
        <v>41630</v>
      </c>
      <c r="B1057" t="n">
        <v/>
      </c>
      <c r="C1057" t="n">
        <v>0.376</v>
      </c>
      <c r="D1057" t="n">
        <v>2.885</v>
      </c>
      <c r="E1057" t="n">
        <v/>
      </c>
    </row>
    <row r="1058">
      <c r="A1058" s="27" t="n">
        <v>41631</v>
      </c>
      <c r="B1058" t="n">
        <v/>
      </c>
      <c r="C1058" t="n">
        <v>0.387</v>
      </c>
      <c r="D1058" t="n">
        <v>2.931</v>
      </c>
      <c r="E1058" t="n">
        <v/>
      </c>
    </row>
    <row r="1059">
      <c r="A1059" s="27" t="n">
        <v>41632</v>
      </c>
      <c r="B1059" t="n">
        <v/>
      </c>
      <c r="C1059" t="n">
        <v>0.399</v>
      </c>
      <c r="D1059" t="n">
        <v>2.981</v>
      </c>
      <c r="E1059" t="n">
        <v/>
      </c>
    </row>
    <row r="1060">
      <c r="A1060" s="27" t="n">
        <v>41633</v>
      </c>
      <c r="B1060" t="n">
        <v/>
      </c>
      <c r="C1060" t="n">
        <v>0.407</v>
      </c>
      <c r="D1060" t="n">
        <v>3</v>
      </c>
      <c r="E1060" t="n">
        <v/>
      </c>
    </row>
    <row r="1061">
      <c r="A1061" s="27" t="n">
        <v>41634</v>
      </c>
      <c r="B1061" t="n">
        <v/>
      </c>
      <c r="C1061" t="n">
        <v>0.411</v>
      </c>
      <c r="D1061" t="n">
        <v>2.992</v>
      </c>
      <c r="E1061" t="n">
        <v/>
      </c>
    </row>
    <row r="1062">
      <c r="A1062" s="27" t="n">
        <v>41635</v>
      </c>
      <c r="B1062" t="n">
        <v/>
      </c>
      <c r="C1062" t="n">
        <v>0.391</v>
      </c>
      <c r="D1062" t="n">
        <v>3.002</v>
      </c>
      <c r="E1062" t="n">
        <v/>
      </c>
    </row>
    <row r="1063">
      <c r="A1063" s="27" t="n">
        <v>41637</v>
      </c>
      <c r="B1063" t="n">
        <v/>
      </c>
      <c r="C1063" t="n">
        <v>0.391</v>
      </c>
      <c r="D1063" t="n">
        <v>3.006</v>
      </c>
      <c r="E1063" t="n">
        <v/>
      </c>
    </row>
    <row r="1064">
      <c r="A1064" s="27" t="n">
        <v>41638</v>
      </c>
      <c r="B1064" t="n">
        <v/>
      </c>
      <c r="C1064" t="n">
        <v>0.383</v>
      </c>
      <c r="D1064" t="n">
        <v>2.972</v>
      </c>
      <c r="E1064" t="n">
        <v/>
      </c>
    </row>
    <row r="1065">
      <c r="A1065" s="27" t="n">
        <v>41639</v>
      </c>
      <c r="B1065" t="n">
        <v/>
      </c>
      <c r="C1065" t="n">
        <v>0.384</v>
      </c>
      <c r="D1065" t="n">
        <v>3.026</v>
      </c>
      <c r="E1065" t="n">
        <v/>
      </c>
    </row>
    <row r="1066">
      <c r="A1066" s="27" t="n">
        <v>41640</v>
      </c>
      <c r="B1066" t="n">
        <v/>
      </c>
      <c r="C1066" t="n">
        <v>0.384</v>
      </c>
      <c r="D1066" t="n">
        <v>3.026</v>
      </c>
      <c r="E1066" t="n">
        <v/>
      </c>
    </row>
    <row r="1067">
      <c r="A1067" s="27" t="n">
        <v>41641</v>
      </c>
      <c r="B1067" t="n">
        <v/>
      </c>
      <c r="C1067" t="n">
        <v>0.384</v>
      </c>
      <c r="D1067" t="n">
        <v>2.991</v>
      </c>
      <c r="E1067" t="n">
        <v/>
      </c>
    </row>
    <row r="1068">
      <c r="A1068" s="27" t="n">
        <v>41642</v>
      </c>
      <c r="B1068" t="n">
        <v/>
      </c>
      <c r="C1068" t="n">
        <v>0.404</v>
      </c>
      <c r="D1068" t="n">
        <v>2.998</v>
      </c>
      <c r="E1068" t="n">
        <v/>
      </c>
    </row>
    <row r="1069">
      <c r="A1069" s="27" t="n">
        <v>41644</v>
      </c>
      <c r="B1069" t="n">
        <v/>
      </c>
      <c r="C1069" t="n">
        <v>0.404</v>
      </c>
      <c r="D1069" t="n">
        <v>3.012</v>
      </c>
      <c r="E1069" t="n">
        <v/>
      </c>
    </row>
    <row r="1070">
      <c r="A1070" s="27" t="n">
        <v>41645</v>
      </c>
      <c r="B1070" t="n">
        <v/>
      </c>
      <c r="C1070" t="n">
        <v>0.397</v>
      </c>
      <c r="D1070" t="n">
        <v>2.958</v>
      </c>
      <c r="E1070" t="n">
        <v/>
      </c>
    </row>
    <row r="1071">
      <c r="A1071" s="27" t="n">
        <v>41646</v>
      </c>
      <c r="B1071" t="n">
        <v/>
      </c>
      <c r="C1071" t="n">
        <v>0.393</v>
      </c>
      <c r="D1071" t="n">
        <v>2.941</v>
      </c>
      <c r="E1071" t="n">
        <v/>
      </c>
    </row>
    <row r="1072">
      <c r="A1072" s="27" t="n">
        <v>41647</v>
      </c>
      <c r="B1072" t="n">
        <v/>
      </c>
      <c r="C1072" t="n">
        <v>0.429</v>
      </c>
      <c r="D1072" t="n">
        <v>2.991</v>
      </c>
      <c r="E1072" t="n">
        <v/>
      </c>
    </row>
    <row r="1073">
      <c r="A1073" s="27" t="n">
        <v>41648</v>
      </c>
      <c r="B1073" t="n">
        <v/>
      </c>
      <c r="C1073" t="n">
        <v>0.433</v>
      </c>
      <c r="D1073" t="n">
        <v>2.969</v>
      </c>
      <c r="E1073" t="n">
        <v/>
      </c>
    </row>
    <row r="1074">
      <c r="A1074" s="27" t="n">
        <v>41649</v>
      </c>
      <c r="B1074" t="n">
        <v/>
      </c>
      <c r="C1074" t="n">
        <v>0.374</v>
      </c>
      <c r="D1074" t="n">
        <v>2.86</v>
      </c>
      <c r="E1074" t="n">
        <v/>
      </c>
    </row>
    <row r="1075">
      <c r="A1075" s="27" t="n">
        <v>41651</v>
      </c>
      <c r="B1075" t="n">
        <v/>
      </c>
      <c r="C1075" t="n">
        <v>0.374</v>
      </c>
      <c r="D1075" t="n">
        <v>2.858</v>
      </c>
      <c r="E1075" t="n">
        <v/>
      </c>
    </row>
    <row r="1076">
      <c r="A1076" s="27" t="n">
        <v>41652</v>
      </c>
      <c r="B1076" t="n">
        <v/>
      </c>
      <c r="C1076" t="n">
        <v>0.362</v>
      </c>
      <c r="D1076" t="n">
        <v>2.829</v>
      </c>
      <c r="E1076" t="n">
        <v/>
      </c>
    </row>
    <row r="1077">
      <c r="A1077" s="27" t="n">
        <v>41653</v>
      </c>
      <c r="B1077" t="n">
        <v/>
      </c>
      <c r="C1077" t="n">
        <v>0.382</v>
      </c>
      <c r="D1077" t="n">
        <v>2.873</v>
      </c>
      <c r="E1077" t="n">
        <v/>
      </c>
    </row>
    <row r="1078">
      <c r="A1078" s="27" t="n">
        <v>41654</v>
      </c>
      <c r="B1078" t="n">
        <v/>
      </c>
      <c r="C1078" t="n">
        <v>0.395</v>
      </c>
      <c r="D1078" t="n">
        <v>2.893</v>
      </c>
      <c r="E1078" t="n">
        <v/>
      </c>
    </row>
    <row r="1079">
      <c r="A1079" s="27" t="n">
        <v>41655</v>
      </c>
      <c r="B1079" t="n">
        <v/>
      </c>
      <c r="C1079" t="n">
        <v>0.387</v>
      </c>
      <c r="D1079" t="n">
        <v>2.841</v>
      </c>
      <c r="E1079" t="n">
        <v/>
      </c>
    </row>
    <row r="1080">
      <c r="A1080" s="27" t="n">
        <v>41656</v>
      </c>
      <c r="B1080" t="n">
        <v/>
      </c>
      <c r="C1080" t="n">
        <v>0.375</v>
      </c>
      <c r="D1080" t="n">
        <v>2.821</v>
      </c>
      <c r="E1080" t="n">
        <v/>
      </c>
    </row>
    <row r="1081">
      <c r="A1081" s="27" t="n">
        <v>41659</v>
      </c>
      <c r="B1081" t="n">
        <v/>
      </c>
      <c r="C1081" t="n">
        <v>0.375</v>
      </c>
      <c r="D1081" t="n">
        <v>2.829</v>
      </c>
      <c r="E1081" t="n">
        <v/>
      </c>
    </row>
    <row r="1082">
      <c r="A1082" s="27" t="n">
        <v>41660</v>
      </c>
      <c r="B1082" t="n">
        <v/>
      </c>
      <c r="C1082" t="n">
        <v>0.38</v>
      </c>
      <c r="D1082" t="n">
        <v>2.832</v>
      </c>
      <c r="E1082" t="n">
        <v/>
      </c>
    </row>
    <row r="1083">
      <c r="A1083" s="27" t="n">
        <v>41661</v>
      </c>
      <c r="B1083" t="n">
        <v/>
      </c>
      <c r="C1083" t="n">
        <v>0.404</v>
      </c>
      <c r="D1083" t="n">
        <v>2.867</v>
      </c>
      <c r="E1083" t="n">
        <v/>
      </c>
    </row>
    <row r="1084">
      <c r="A1084" s="27" t="n">
        <v>41662</v>
      </c>
      <c r="B1084" t="n">
        <v/>
      </c>
      <c r="C1084" t="n">
        <v>0.364</v>
      </c>
      <c r="D1084" t="n">
        <v>2.779</v>
      </c>
      <c r="E1084" t="n">
        <v/>
      </c>
    </row>
    <row r="1085">
      <c r="A1085" s="27" t="n">
        <v>41663</v>
      </c>
      <c r="B1085" t="n">
        <v/>
      </c>
      <c r="C1085" t="n">
        <v>0.34</v>
      </c>
      <c r="D1085" t="n">
        <v>2.719</v>
      </c>
      <c r="E1085" t="n">
        <v/>
      </c>
    </row>
    <row r="1086">
      <c r="A1086" s="27" t="n">
        <v>41665</v>
      </c>
      <c r="B1086" t="n">
        <v/>
      </c>
      <c r="C1086" t="n">
        <v>0.34</v>
      </c>
      <c r="D1086" t="n">
        <v>2.715</v>
      </c>
      <c r="E1086" t="n">
        <v/>
      </c>
    </row>
    <row r="1087">
      <c r="A1087" s="27" t="n">
        <v>41666</v>
      </c>
      <c r="B1087" t="n">
        <v/>
      </c>
      <c r="C1087" t="n">
        <v>0.344</v>
      </c>
      <c r="D1087" t="n">
        <v>2.75</v>
      </c>
      <c r="E1087" t="n">
        <v/>
      </c>
    </row>
    <row r="1088">
      <c r="A1088" s="27" t="n">
        <v>41667</v>
      </c>
      <c r="B1088" t="n">
        <v/>
      </c>
      <c r="C1088" t="n">
        <v>0.344</v>
      </c>
      <c r="D1088" t="n">
        <v>2.752</v>
      </c>
      <c r="E1088" t="n">
        <v/>
      </c>
    </row>
    <row r="1089">
      <c r="A1089" s="27" t="n">
        <v>41668</v>
      </c>
      <c r="B1089" t="n">
        <v/>
      </c>
      <c r="C1089" t="n">
        <v>0.355</v>
      </c>
      <c r="D1089" t="n">
        <v>2.679</v>
      </c>
      <c r="E1089" t="n">
        <v/>
      </c>
    </row>
    <row r="1090">
      <c r="A1090" s="27" t="n">
        <v>41669</v>
      </c>
      <c r="B1090" t="n">
        <v/>
      </c>
      <c r="C1090" t="n">
        <v>0.347</v>
      </c>
      <c r="D1090" t="n">
        <v>2.697</v>
      </c>
      <c r="E1090" t="n">
        <v/>
      </c>
    </row>
    <row r="1091">
      <c r="A1091" s="27" t="n">
        <v>41670</v>
      </c>
      <c r="B1091" t="n">
        <v/>
      </c>
      <c r="C1091" t="n">
        <v>0.332</v>
      </c>
      <c r="D1091" t="n">
        <v>2.644</v>
      </c>
      <c r="E1091" t="n">
        <v/>
      </c>
    </row>
    <row r="1092">
      <c r="A1092" s="27" t="n">
        <v>41672</v>
      </c>
      <c r="B1092" t="n">
        <v/>
      </c>
      <c r="C1092" t="n">
        <v>0.336</v>
      </c>
      <c r="D1092" t="n">
        <v>2.666</v>
      </c>
      <c r="E1092" t="n">
        <v/>
      </c>
    </row>
    <row r="1093">
      <c r="A1093" s="27" t="n">
        <v>41673</v>
      </c>
      <c r="B1093" t="n">
        <v/>
      </c>
      <c r="C1093" t="n">
        <v>0.3</v>
      </c>
      <c r="D1093" t="n">
        <v>2.577</v>
      </c>
      <c r="E1093" t="n">
        <v/>
      </c>
    </row>
    <row r="1094">
      <c r="A1094" s="27" t="n">
        <v>41674</v>
      </c>
      <c r="B1094" t="n">
        <v/>
      </c>
      <c r="C1094" t="n">
        <v>0.316</v>
      </c>
      <c r="D1094" t="n">
        <v>2.631</v>
      </c>
      <c r="E1094" t="n">
        <v/>
      </c>
    </row>
    <row r="1095">
      <c r="A1095" s="27" t="n">
        <v>41675</v>
      </c>
      <c r="B1095" t="n">
        <v/>
      </c>
      <c r="C1095" t="n">
        <v>0.316</v>
      </c>
      <c r="D1095" t="n">
        <v>2.669</v>
      </c>
      <c r="E1095" t="n">
        <v/>
      </c>
    </row>
    <row r="1096">
      <c r="A1096" s="27" t="n">
        <v>41676</v>
      </c>
      <c r="B1096" t="n">
        <v/>
      </c>
      <c r="C1096" t="n">
        <v>0.324</v>
      </c>
      <c r="D1096" t="n">
        <v>2.702</v>
      </c>
      <c r="E1096" t="n">
        <v/>
      </c>
    </row>
    <row r="1097">
      <c r="A1097" s="27" t="n">
        <v>41677</v>
      </c>
      <c r="B1097" t="n">
        <v/>
      </c>
      <c r="C1097" t="n">
        <v>0.307</v>
      </c>
      <c r="D1097" t="n">
        <v>2.684</v>
      </c>
      <c r="E1097" t="n">
        <v/>
      </c>
    </row>
    <row r="1098">
      <c r="A1098" s="27" t="n">
        <v>41679</v>
      </c>
      <c r="B1098" t="n">
        <v/>
      </c>
      <c r="C1098" t="n">
        <v>0.307</v>
      </c>
      <c r="D1098" t="n">
        <v>2.684</v>
      </c>
      <c r="E1098" t="n">
        <v/>
      </c>
    </row>
    <row r="1099">
      <c r="A1099" s="27" t="n">
        <v>41680</v>
      </c>
      <c r="B1099" t="n">
        <v/>
      </c>
      <c r="C1099" t="n">
        <v>0.311</v>
      </c>
      <c r="D1099" t="n">
        <v>2.669</v>
      </c>
      <c r="E1099" t="n">
        <v/>
      </c>
    </row>
    <row r="1100">
      <c r="A1100" s="27" t="n">
        <v>41681</v>
      </c>
      <c r="B1100" t="n">
        <v/>
      </c>
      <c r="C1100" t="n">
        <v>0.335</v>
      </c>
      <c r="D1100" t="n">
        <v>2.726</v>
      </c>
      <c r="E1100" t="n">
        <v/>
      </c>
    </row>
    <row r="1101">
      <c r="A1101" s="27" t="n">
        <v>41682</v>
      </c>
      <c r="B1101" t="n">
        <v/>
      </c>
      <c r="C1101" t="n">
        <v>0.343</v>
      </c>
      <c r="D1101" t="n">
        <v>2.763</v>
      </c>
      <c r="E1101" t="n">
        <v/>
      </c>
    </row>
    <row r="1102">
      <c r="A1102" s="27" t="n">
        <v>41683</v>
      </c>
      <c r="B1102" t="n">
        <v/>
      </c>
      <c r="C1102" t="n">
        <v>0.315</v>
      </c>
      <c r="D1102" t="n">
        <v>2.734</v>
      </c>
      <c r="E1102" t="n">
        <v/>
      </c>
    </row>
    <row r="1103">
      <c r="A1103" s="27" t="n">
        <v>41684</v>
      </c>
      <c r="B1103" t="n">
        <v/>
      </c>
      <c r="C1103" t="n">
        <v>0.315</v>
      </c>
      <c r="D1103" t="n">
        <v>2.745</v>
      </c>
      <c r="E1103" t="n">
        <v/>
      </c>
    </row>
    <row r="1104">
      <c r="A1104" s="27" t="n">
        <v>41687</v>
      </c>
      <c r="B1104" t="n">
        <v/>
      </c>
      <c r="C1104" t="n">
        <v>0.319</v>
      </c>
      <c r="D1104" t="n">
        <v>2.748</v>
      </c>
      <c r="E1104" t="n">
        <v/>
      </c>
    </row>
    <row r="1105">
      <c r="A1105" s="27" t="n">
        <v>41688</v>
      </c>
      <c r="B1105" t="n">
        <v/>
      </c>
      <c r="C1105" t="n">
        <v>0.302</v>
      </c>
      <c r="D1105" t="n">
        <v>2.709</v>
      </c>
      <c r="E1105" t="n">
        <v/>
      </c>
    </row>
    <row r="1106">
      <c r="A1106" s="27" t="n">
        <v>41689</v>
      </c>
      <c r="B1106" t="n">
        <v/>
      </c>
      <c r="C1106" t="n">
        <v>0.319</v>
      </c>
      <c r="D1106" t="n">
        <v>2.739</v>
      </c>
      <c r="E1106" t="n">
        <v/>
      </c>
    </row>
    <row r="1107">
      <c r="A1107" s="27" t="n">
        <v>41690</v>
      </c>
      <c r="B1107" t="n">
        <v/>
      </c>
      <c r="C1107" t="n">
        <v>0.323</v>
      </c>
      <c r="D1107" t="n">
        <v>2.752</v>
      </c>
      <c r="E1107" t="n">
        <v/>
      </c>
    </row>
    <row r="1108">
      <c r="A1108" s="27" t="n">
        <v>41691</v>
      </c>
      <c r="B1108" t="n">
        <v/>
      </c>
      <c r="C1108" t="n">
        <v>0.318</v>
      </c>
      <c r="D1108" t="n">
        <v>2.732</v>
      </c>
      <c r="E1108" t="n">
        <v/>
      </c>
    </row>
    <row r="1109">
      <c r="A1109" s="27" t="n">
        <v>41693</v>
      </c>
      <c r="B1109" t="n">
        <v/>
      </c>
      <c r="C1109" t="n">
        <v>0.318</v>
      </c>
      <c r="D1109" t="n">
        <v>2.737</v>
      </c>
      <c r="E1109" t="n">
        <v/>
      </c>
    </row>
    <row r="1110">
      <c r="A1110" s="27" t="n">
        <v>41694</v>
      </c>
      <c r="B1110" t="n">
        <v/>
      </c>
      <c r="C1110" t="n">
        <v>0.322</v>
      </c>
      <c r="D1110" t="n">
        <v>2.741</v>
      </c>
      <c r="E1110" t="n">
        <v/>
      </c>
    </row>
    <row r="1111">
      <c r="A1111" s="27" t="n">
        <v>41695</v>
      </c>
      <c r="B1111" t="n">
        <v/>
      </c>
      <c r="C1111" t="n">
        <v>0.318</v>
      </c>
      <c r="D1111" t="n">
        <v>2.703</v>
      </c>
      <c r="E1111" t="n">
        <v/>
      </c>
    </row>
    <row r="1112">
      <c r="A1112" s="27" t="n">
        <v>41696</v>
      </c>
      <c r="B1112" t="n">
        <v/>
      </c>
      <c r="C1112" t="n">
        <v>0.328</v>
      </c>
      <c r="D1112" t="n">
        <v>2.666</v>
      </c>
      <c r="E1112" t="n">
        <v/>
      </c>
    </row>
    <row r="1113">
      <c r="A1113" s="27" t="n">
        <v>41697</v>
      </c>
      <c r="B1113" t="n">
        <v/>
      </c>
      <c r="C1113" t="n">
        <v>0.325</v>
      </c>
      <c r="D1113" t="n">
        <v>2.639</v>
      </c>
      <c r="E1113" t="n">
        <v/>
      </c>
    </row>
    <row r="1114">
      <c r="A1114" s="27" t="n">
        <v>41698</v>
      </c>
      <c r="B1114" t="n">
        <v/>
      </c>
      <c r="C1114" t="n">
        <v>0.325</v>
      </c>
      <c r="D1114" t="n">
        <v>2.649</v>
      </c>
      <c r="E1114" t="n">
        <v/>
      </c>
    </row>
    <row r="1115">
      <c r="A1115" s="27" t="n">
        <v>41700</v>
      </c>
      <c r="B1115" t="n">
        <v/>
      </c>
      <c r="C1115" t="n">
        <v>0.305</v>
      </c>
      <c r="D1115" t="n">
        <v>2.608</v>
      </c>
      <c r="E1115" t="n">
        <v/>
      </c>
    </row>
    <row r="1116">
      <c r="A1116" s="27" t="n">
        <v>41701</v>
      </c>
      <c r="B1116" t="n">
        <v/>
      </c>
      <c r="C1116" t="n">
        <v>0.305</v>
      </c>
      <c r="D1116" t="n">
        <v>2.603</v>
      </c>
      <c r="E1116" t="n">
        <v/>
      </c>
    </row>
    <row r="1117">
      <c r="A1117" s="27" t="n">
        <v>41702</v>
      </c>
      <c r="B1117" t="n">
        <v/>
      </c>
      <c r="C1117" t="n">
        <v>0.333</v>
      </c>
      <c r="D1117" t="n">
        <v>2.701</v>
      </c>
      <c r="E1117" t="n">
        <v/>
      </c>
    </row>
    <row r="1118">
      <c r="A1118" s="27" t="n">
        <v>41703</v>
      </c>
      <c r="B1118" t="n">
        <v/>
      </c>
      <c r="C1118" t="n">
        <v>0.337</v>
      </c>
      <c r="D1118" t="n">
        <v>2.708</v>
      </c>
      <c r="E1118" t="n">
        <v/>
      </c>
    </row>
    <row r="1119">
      <c r="A1119" s="27" t="n">
        <v>41704</v>
      </c>
      <c r="B1119" t="n">
        <v/>
      </c>
      <c r="C1119" t="n">
        <v>0.345</v>
      </c>
      <c r="D1119" t="n">
        <v>2.739</v>
      </c>
      <c r="E1119" t="n">
        <v/>
      </c>
    </row>
    <row r="1120">
      <c r="A1120" s="27" t="n">
        <v>41705</v>
      </c>
      <c r="B1120" t="n">
        <v/>
      </c>
      <c r="C1120" t="n">
        <v>0.373</v>
      </c>
      <c r="D1120" t="n">
        <v>2.79</v>
      </c>
      <c r="E1120" t="n">
        <v/>
      </c>
    </row>
    <row r="1121">
      <c r="A1121" s="27" t="n">
        <v>41707</v>
      </c>
      <c r="B1121" t="n">
        <v/>
      </c>
      <c r="C1121" t="n">
        <v>0.373</v>
      </c>
      <c r="D1121" t="n">
        <v>2.79</v>
      </c>
      <c r="E1121" t="n">
        <v/>
      </c>
    </row>
    <row r="1122">
      <c r="A1122" s="27" t="n">
        <v>41708</v>
      </c>
      <c r="B1122" t="n">
        <v/>
      </c>
      <c r="C1122" t="n">
        <v>0.369</v>
      </c>
      <c r="D1122" t="n">
        <v>2.779</v>
      </c>
      <c r="E1122" t="n">
        <v/>
      </c>
    </row>
    <row r="1123">
      <c r="A1123" s="27" t="n">
        <v>41709</v>
      </c>
      <c r="B1123" t="n">
        <v/>
      </c>
      <c r="C1123" t="n">
        <v>0.374</v>
      </c>
      <c r="D1123" t="n">
        <v>2.77</v>
      </c>
      <c r="E1123" t="n">
        <v/>
      </c>
    </row>
    <row r="1124">
      <c r="A1124" s="27" t="n">
        <v>41710</v>
      </c>
      <c r="B1124" t="n">
        <v/>
      </c>
      <c r="C1124" t="n">
        <v>0.37</v>
      </c>
      <c r="D1124" t="n">
        <v>2.732</v>
      </c>
      <c r="E1124" t="n">
        <v/>
      </c>
    </row>
    <row r="1125">
      <c r="A1125" s="27" t="n">
        <v>41711</v>
      </c>
      <c r="B1125" t="n">
        <v/>
      </c>
      <c r="C1125" t="n">
        <v>0.342</v>
      </c>
      <c r="D1125" t="n">
        <v>2.645</v>
      </c>
      <c r="E1125" t="n">
        <v/>
      </c>
    </row>
    <row r="1126">
      <c r="A1126" s="27" t="n">
        <v>41712</v>
      </c>
      <c r="B1126" t="n">
        <v/>
      </c>
      <c r="C1126" t="n">
        <v>0.346</v>
      </c>
      <c r="D1126" t="n">
        <v>2.656</v>
      </c>
      <c r="E1126" t="n">
        <v/>
      </c>
    </row>
    <row r="1127">
      <c r="A1127" s="27" t="n">
        <v>41714</v>
      </c>
      <c r="B1127" t="n">
        <v/>
      </c>
      <c r="C1127" t="n">
        <v>0.342</v>
      </c>
      <c r="D1127" t="n">
        <v>2.64</v>
      </c>
      <c r="E1127" t="n">
        <v/>
      </c>
    </row>
    <row r="1128">
      <c r="A1128" s="27" t="n">
        <v>41715</v>
      </c>
      <c r="B1128" t="n">
        <v/>
      </c>
      <c r="C1128" t="n">
        <v>0.363</v>
      </c>
      <c r="D1128" t="n">
        <v>2.694</v>
      </c>
      <c r="E1128" t="n">
        <v/>
      </c>
    </row>
    <row r="1129">
      <c r="A1129" s="27" t="n">
        <v>41716</v>
      </c>
      <c r="B1129" t="n">
        <v/>
      </c>
      <c r="C1129" t="n">
        <v>0.351</v>
      </c>
      <c r="D1129" t="n">
        <v>2.674</v>
      </c>
      <c r="E1129" t="n">
        <v/>
      </c>
    </row>
    <row r="1130">
      <c r="A1130" s="27" t="n">
        <v>41717</v>
      </c>
      <c r="B1130" t="n">
        <v/>
      </c>
      <c r="C1130" t="n">
        <v>0.423</v>
      </c>
      <c r="D1130" t="n">
        <v>2.773</v>
      </c>
      <c r="E1130" t="n">
        <v/>
      </c>
    </row>
    <row r="1131">
      <c r="A1131" s="27" t="n">
        <v>41718</v>
      </c>
      <c r="B1131" t="n">
        <v/>
      </c>
      <c r="C1131" t="n">
        <v>0.424</v>
      </c>
      <c r="D1131" t="n">
        <v>2.773</v>
      </c>
      <c r="E1131" t="n">
        <v/>
      </c>
    </row>
    <row r="1132">
      <c r="A1132" s="27" t="n">
        <v>41719</v>
      </c>
      <c r="B1132" t="n">
        <v/>
      </c>
      <c r="C1132" t="n">
        <v>0.429</v>
      </c>
      <c r="D1132" t="n">
        <v>2.746</v>
      </c>
      <c r="E1132" t="n">
        <v/>
      </c>
    </row>
    <row r="1133">
      <c r="A1133" s="27" t="n">
        <v>41721</v>
      </c>
      <c r="B1133" t="n">
        <v/>
      </c>
      <c r="C1133" t="n">
        <v>0.441</v>
      </c>
      <c r="D1133" t="n">
        <v>2.757</v>
      </c>
      <c r="E1133" t="n">
        <v/>
      </c>
    </row>
    <row r="1134">
      <c r="A1134" s="27" t="n">
        <v>41722</v>
      </c>
      <c r="B1134" t="n">
        <v/>
      </c>
      <c r="C1134" t="n">
        <v>0.437</v>
      </c>
      <c r="D1134" t="n">
        <v>2.73</v>
      </c>
      <c r="E1134" t="n">
        <v/>
      </c>
    </row>
    <row r="1135">
      <c r="A1135" s="27" t="n">
        <v>41723</v>
      </c>
      <c r="B1135" t="n">
        <v/>
      </c>
      <c r="C1135" t="n">
        <v>0.429</v>
      </c>
      <c r="D1135" t="n">
        <v>2.75</v>
      </c>
      <c r="E1135" t="n">
        <v/>
      </c>
    </row>
    <row r="1136">
      <c r="A1136" s="27" t="n">
        <v>41724</v>
      </c>
      <c r="B1136" t="n">
        <v/>
      </c>
      <c r="C1136" t="n">
        <v>0.446</v>
      </c>
      <c r="D1136" t="n">
        <v>2.694</v>
      </c>
      <c r="E1136" t="n">
        <v/>
      </c>
    </row>
    <row r="1137">
      <c r="A1137" s="27" t="n">
        <v>41725</v>
      </c>
      <c r="B1137" t="n">
        <v/>
      </c>
      <c r="C1137" t="n">
        <v>0.45</v>
      </c>
      <c r="D1137" t="n">
        <v>2.683</v>
      </c>
      <c r="E1137" t="n">
        <v/>
      </c>
    </row>
    <row r="1138">
      <c r="A1138" s="27" t="n">
        <v>41726</v>
      </c>
      <c r="B1138" t="n">
        <v/>
      </c>
      <c r="C1138" t="n">
        <v>0.454</v>
      </c>
      <c r="D1138" t="n">
        <v>2.723</v>
      </c>
      <c r="E1138" t="n">
        <v/>
      </c>
    </row>
    <row r="1139">
      <c r="A1139" s="27" t="n">
        <v>41728</v>
      </c>
      <c r="B1139" t="n">
        <v/>
      </c>
      <c r="C1139" t="n">
        <v>0.461</v>
      </c>
      <c r="D1139" t="n">
        <v>2.724</v>
      </c>
      <c r="E1139" t="n">
        <v/>
      </c>
    </row>
    <row r="1140">
      <c r="A1140" s="27" t="n">
        <v>41729</v>
      </c>
      <c r="B1140" t="n">
        <v/>
      </c>
      <c r="C1140" t="n">
        <v>0.422</v>
      </c>
      <c r="D1140" t="n">
        <v>2.719</v>
      </c>
      <c r="E1140" t="n">
        <v/>
      </c>
    </row>
    <row r="1141">
      <c r="A1141" s="27" t="n">
        <v>41730</v>
      </c>
      <c r="B1141" t="n">
        <v/>
      </c>
      <c r="C1141" t="n">
        <v>0.434</v>
      </c>
      <c r="D1141" t="n">
        <v>2.755</v>
      </c>
      <c r="E1141" t="n">
        <v/>
      </c>
    </row>
    <row r="1142">
      <c r="A1142" s="27" t="n">
        <v>41731</v>
      </c>
      <c r="B1142" t="n">
        <v/>
      </c>
      <c r="C1142" t="n">
        <v>0.458</v>
      </c>
      <c r="D1142" t="n">
        <v>2.806</v>
      </c>
      <c r="E1142" t="n">
        <v/>
      </c>
    </row>
    <row r="1143">
      <c r="A1143" s="27" t="n">
        <v>41732</v>
      </c>
      <c r="B1143" t="n">
        <v/>
      </c>
      <c r="C1143" t="n">
        <v>0.458</v>
      </c>
      <c r="D1143" t="n">
        <v>2.801</v>
      </c>
      <c r="E1143" t="n">
        <v/>
      </c>
    </row>
    <row r="1144">
      <c r="A1144" s="27" t="n">
        <v>41733</v>
      </c>
      <c r="B1144" t="n">
        <v/>
      </c>
      <c r="C1144" t="n">
        <v>0.415</v>
      </c>
      <c r="D1144" t="n">
        <v>2.726</v>
      </c>
      <c r="E1144" t="n">
        <v/>
      </c>
    </row>
    <row r="1145">
      <c r="A1145" s="27" t="n">
        <v>41735</v>
      </c>
      <c r="B1145" t="n">
        <v/>
      </c>
      <c r="C1145" t="n">
        <v>0.415</v>
      </c>
      <c r="D1145" t="n">
        <v>2.721</v>
      </c>
      <c r="E1145" t="n">
        <v/>
      </c>
    </row>
    <row r="1146">
      <c r="A1146" s="27" t="n">
        <v>41736</v>
      </c>
      <c r="B1146" t="n">
        <v/>
      </c>
      <c r="C1146" t="n">
        <v>0.399</v>
      </c>
      <c r="D1146" t="n">
        <v>2.701</v>
      </c>
      <c r="E1146" t="n">
        <v/>
      </c>
    </row>
    <row r="1147">
      <c r="A1147" s="27" t="n">
        <v>41737</v>
      </c>
      <c r="B1147" t="n">
        <v/>
      </c>
      <c r="C1147" t="n">
        <v>0.399</v>
      </c>
      <c r="D1147" t="n">
        <v>2.683</v>
      </c>
      <c r="E1147" t="n">
        <v/>
      </c>
    </row>
    <row r="1148">
      <c r="A1148" s="27" t="n">
        <v>41738</v>
      </c>
      <c r="B1148" t="n">
        <v/>
      </c>
      <c r="C1148" t="n">
        <v>0.363</v>
      </c>
      <c r="D1148" t="n">
        <v>2.693</v>
      </c>
      <c r="E1148" t="n">
        <v/>
      </c>
    </row>
    <row r="1149">
      <c r="A1149" s="27" t="n">
        <v>41739</v>
      </c>
      <c r="B1149" t="n">
        <v/>
      </c>
      <c r="C1149" t="n">
        <v>0.355</v>
      </c>
      <c r="D1149" t="n">
        <v>2.647</v>
      </c>
      <c r="E1149" t="n">
        <v/>
      </c>
    </row>
    <row r="1150">
      <c r="A1150" s="27" t="n">
        <v>41740</v>
      </c>
      <c r="B1150" t="n">
        <v/>
      </c>
      <c r="C1150" t="n">
        <v>0.359</v>
      </c>
      <c r="D1150" t="n">
        <v>2.628</v>
      </c>
      <c r="E1150" t="n">
        <v/>
      </c>
    </row>
    <row r="1151">
      <c r="A1151" s="27" t="n">
        <v>41742</v>
      </c>
      <c r="B1151" t="n">
        <v/>
      </c>
      <c r="C1151" t="n">
        <v>0.351</v>
      </c>
      <c r="D1151" t="n">
        <v>2.603</v>
      </c>
      <c r="E1151" t="n">
        <v/>
      </c>
    </row>
    <row r="1152">
      <c r="A1152" s="27" t="n">
        <v>41743</v>
      </c>
      <c r="B1152" t="n">
        <v/>
      </c>
      <c r="C1152" t="n">
        <v>0.371</v>
      </c>
      <c r="D1152" t="n">
        <v>2.65</v>
      </c>
      <c r="E1152" t="n">
        <v/>
      </c>
    </row>
    <row r="1153">
      <c r="A1153" s="27" t="n">
        <v>41744</v>
      </c>
      <c r="B1153" t="n">
        <v/>
      </c>
      <c r="C1153" t="n">
        <v>0.371</v>
      </c>
      <c r="D1153" t="n">
        <v>2.63</v>
      </c>
      <c r="E1153" t="n">
        <v/>
      </c>
    </row>
    <row r="1154">
      <c r="A1154" s="27" t="n">
        <v>41745</v>
      </c>
      <c r="B1154" t="n">
        <v/>
      </c>
      <c r="C1154" t="n">
        <v>0.371</v>
      </c>
      <c r="D1154" t="n">
        <v>2.635</v>
      </c>
      <c r="E1154" t="n">
        <v/>
      </c>
    </row>
    <row r="1155">
      <c r="A1155" s="27" t="n">
        <v>41746</v>
      </c>
      <c r="B1155" t="n">
        <v/>
      </c>
      <c r="C1155" t="n">
        <v>0.399</v>
      </c>
      <c r="D1155" t="n">
        <v>2.721</v>
      </c>
      <c r="E1155" t="n">
        <v/>
      </c>
    </row>
    <row r="1156">
      <c r="A1156" s="27" t="n">
        <v>41749</v>
      </c>
      <c r="B1156" t="n">
        <v/>
      </c>
      <c r="C1156" t="n">
        <v>0.407</v>
      </c>
      <c r="D1156" t="n">
        <v>2.719</v>
      </c>
      <c r="E1156" t="n">
        <v/>
      </c>
    </row>
    <row r="1157">
      <c r="A1157" s="27" t="n">
        <v>41750</v>
      </c>
      <c r="B1157" t="n">
        <v/>
      </c>
      <c r="C1157" t="n">
        <v>0.395</v>
      </c>
      <c r="D1157" t="n">
        <v>2.715</v>
      </c>
      <c r="E1157" t="n">
        <v/>
      </c>
    </row>
    <row r="1158">
      <c r="A1158" s="27" t="n">
        <v>41751</v>
      </c>
      <c r="B1158" t="n">
        <v/>
      </c>
      <c r="C1158" t="n">
        <v>0.403</v>
      </c>
      <c r="D1158" t="n">
        <v>2.711</v>
      </c>
      <c r="E1158" t="n">
        <v/>
      </c>
    </row>
    <row r="1159">
      <c r="A1159" s="27" t="n">
        <v>41752</v>
      </c>
      <c r="B1159" t="n">
        <v/>
      </c>
      <c r="C1159" t="n">
        <v>0.446</v>
      </c>
      <c r="D1159" t="n">
        <v>2.693</v>
      </c>
      <c r="E1159" t="n">
        <v/>
      </c>
    </row>
    <row r="1160">
      <c r="A1160" s="27" t="n">
        <v>41753</v>
      </c>
      <c r="B1160" t="n">
        <v/>
      </c>
      <c r="C1160" t="n">
        <v>0.442</v>
      </c>
      <c r="D1160" t="n">
        <v>2.682</v>
      </c>
      <c r="E1160" t="n">
        <v/>
      </c>
    </row>
    <row r="1161">
      <c r="A1161" s="27" t="n">
        <v>41754</v>
      </c>
      <c r="B1161" t="n">
        <v/>
      </c>
      <c r="C1161" t="n">
        <v>0.434</v>
      </c>
      <c r="D1161" t="n">
        <v>2.666</v>
      </c>
      <c r="E1161" t="n">
        <v/>
      </c>
    </row>
    <row r="1162">
      <c r="A1162" s="27" t="n">
        <v>41756</v>
      </c>
      <c r="B1162" t="n">
        <v/>
      </c>
      <c r="C1162" t="n">
        <v>0.438</v>
      </c>
      <c r="D1162" t="n">
        <v>2.673</v>
      </c>
      <c r="E1162" t="n">
        <v/>
      </c>
    </row>
    <row r="1163">
      <c r="A1163" s="27" t="n">
        <v>41757</v>
      </c>
      <c r="B1163" t="n">
        <v/>
      </c>
      <c r="C1163" t="n">
        <v>0.438</v>
      </c>
      <c r="D1163" t="n">
        <v>2.708</v>
      </c>
      <c r="E1163" t="n">
        <v/>
      </c>
    </row>
    <row r="1164">
      <c r="A1164" s="27" t="n">
        <v>41758</v>
      </c>
      <c r="B1164" t="n">
        <v/>
      </c>
      <c r="C1164" t="n">
        <v>0.438</v>
      </c>
      <c r="D1164" t="n">
        <v>2.697</v>
      </c>
      <c r="E1164" t="n">
        <v/>
      </c>
    </row>
    <row r="1165">
      <c r="A1165" s="27" t="n">
        <v>41759</v>
      </c>
      <c r="B1165" t="n">
        <v/>
      </c>
      <c r="C1165" t="n">
        <v>0.414</v>
      </c>
      <c r="D1165" t="n">
        <v>2.646</v>
      </c>
      <c r="E1165" t="n">
        <v/>
      </c>
    </row>
    <row r="1166">
      <c r="A1166" s="27" t="n">
        <v>41760</v>
      </c>
      <c r="B1166" t="n">
        <v/>
      </c>
      <c r="C1166" t="n">
        <v>0.41</v>
      </c>
      <c r="D1166" t="n">
        <v>2.613</v>
      </c>
      <c r="E1166" t="n">
        <v/>
      </c>
    </row>
    <row r="1167">
      <c r="A1167" s="27" t="n">
        <v>41761</v>
      </c>
      <c r="B1167" t="n">
        <v/>
      </c>
      <c r="C1167" t="n">
        <v>0.422</v>
      </c>
      <c r="D1167" t="n">
        <v>2.586</v>
      </c>
      <c r="E1167" t="n">
        <v/>
      </c>
    </row>
    <row r="1168">
      <c r="A1168" s="27" t="n">
        <v>41763</v>
      </c>
      <c r="B1168" t="n">
        <v/>
      </c>
      <c r="C1168" t="n">
        <v>0.422</v>
      </c>
      <c r="D1168" t="n">
        <v>2.586</v>
      </c>
      <c r="E1168" t="n">
        <v/>
      </c>
    </row>
    <row r="1169">
      <c r="A1169" s="27" t="n">
        <v>41764</v>
      </c>
      <c r="B1169" t="n">
        <v/>
      </c>
      <c r="C1169" t="n">
        <v>0.422</v>
      </c>
      <c r="D1169" t="n">
        <v>2.606</v>
      </c>
      <c r="E1169" t="n">
        <v/>
      </c>
    </row>
    <row r="1170">
      <c r="A1170" s="27" t="n">
        <v>41765</v>
      </c>
      <c r="B1170" t="n">
        <v/>
      </c>
      <c r="C1170" t="n">
        <v>0.427</v>
      </c>
      <c r="D1170" t="n">
        <v>2.593</v>
      </c>
      <c r="E1170" t="n">
        <v/>
      </c>
    </row>
    <row r="1171">
      <c r="A1171" s="27" t="n">
        <v>41766</v>
      </c>
      <c r="B1171" t="n">
        <v/>
      </c>
      <c r="C1171" t="n">
        <v>0.403</v>
      </c>
      <c r="D1171" t="n">
        <v>2.59</v>
      </c>
      <c r="E1171" t="n">
        <v/>
      </c>
    </row>
    <row r="1172">
      <c r="A1172" s="27" t="n">
        <v>41767</v>
      </c>
      <c r="B1172" t="n">
        <v/>
      </c>
      <c r="C1172" t="n">
        <v>0.387</v>
      </c>
      <c r="D1172" t="n">
        <v>2.611</v>
      </c>
      <c r="E1172" t="n">
        <v/>
      </c>
    </row>
    <row r="1173">
      <c r="A1173" s="27" t="n">
        <v>41768</v>
      </c>
      <c r="B1173" t="n">
        <v/>
      </c>
      <c r="C1173" t="n">
        <v>0.387</v>
      </c>
      <c r="D1173" t="n">
        <v>2.623</v>
      </c>
      <c r="E1173" t="n">
        <v/>
      </c>
    </row>
    <row r="1174">
      <c r="A1174" s="27" t="n">
        <v>41770</v>
      </c>
      <c r="B1174" t="n">
        <v/>
      </c>
      <c r="C1174" t="n">
        <v>0.387</v>
      </c>
      <c r="D1174" t="n">
        <v>2.632</v>
      </c>
      <c r="E1174" t="n">
        <v/>
      </c>
    </row>
    <row r="1175">
      <c r="A1175" s="27" t="n">
        <v>41771</v>
      </c>
      <c r="B1175" t="n">
        <v/>
      </c>
      <c r="C1175" t="n">
        <v>0.399</v>
      </c>
      <c r="D1175" t="n">
        <v>2.661</v>
      </c>
      <c r="E1175" t="n">
        <v/>
      </c>
    </row>
    <row r="1176">
      <c r="A1176" s="27" t="n">
        <v>41772</v>
      </c>
      <c r="B1176" t="n">
        <v/>
      </c>
      <c r="C1176" t="n">
        <v>0.383</v>
      </c>
      <c r="D1176" t="n">
        <v>2.611</v>
      </c>
      <c r="E1176" t="n">
        <v/>
      </c>
    </row>
    <row r="1177">
      <c r="A1177" s="27" t="n">
        <v>41773</v>
      </c>
      <c r="B1177" t="n">
        <v/>
      </c>
      <c r="C1177" t="n">
        <v>0.371</v>
      </c>
      <c r="D1177" t="n">
        <v>2.548</v>
      </c>
      <c r="E1177" t="n">
        <v/>
      </c>
    </row>
    <row r="1178">
      <c r="A1178" s="27" t="n">
        <v>41774</v>
      </c>
      <c r="B1178" t="n">
        <v/>
      </c>
      <c r="C1178" t="n">
        <v>0.355</v>
      </c>
      <c r="D1178" t="n">
        <v>2.496</v>
      </c>
      <c r="E1178" t="n">
        <v/>
      </c>
    </row>
    <row r="1179">
      <c r="A1179" s="27" t="n">
        <v>41775</v>
      </c>
      <c r="B1179" t="n">
        <v/>
      </c>
      <c r="C1179" t="n">
        <v>0.363</v>
      </c>
      <c r="D1179" t="n">
        <v>2.523</v>
      </c>
      <c r="E1179" t="n">
        <v/>
      </c>
    </row>
    <row r="1180">
      <c r="A1180" s="27" t="n">
        <v>41777</v>
      </c>
      <c r="B1180" t="n">
        <v/>
      </c>
      <c r="C1180" t="n">
        <v>0.367</v>
      </c>
      <c r="D1180" t="n">
        <v>2.521</v>
      </c>
      <c r="E1180" t="n">
        <v/>
      </c>
    </row>
    <row r="1181">
      <c r="A1181" s="27" t="n">
        <v>41778</v>
      </c>
      <c r="B1181" t="n">
        <v/>
      </c>
      <c r="C1181" t="n">
        <v>0.347</v>
      </c>
      <c r="D1181" t="n">
        <v>2.545</v>
      </c>
      <c r="E1181" t="n">
        <v/>
      </c>
    </row>
    <row r="1182">
      <c r="A1182" s="27" t="n">
        <v>41779</v>
      </c>
      <c r="B1182" t="n">
        <v/>
      </c>
      <c r="C1182" t="n">
        <v>0.339</v>
      </c>
      <c r="D1182" t="n">
        <v>2.514</v>
      </c>
      <c r="E1182" t="n">
        <v/>
      </c>
    </row>
    <row r="1183">
      <c r="A1183" s="27" t="n">
        <v>41780</v>
      </c>
      <c r="B1183" t="n">
        <v/>
      </c>
      <c r="C1183" t="n">
        <v>0.343</v>
      </c>
      <c r="D1183" t="n">
        <v>2.534</v>
      </c>
      <c r="E1183" t="n">
        <v/>
      </c>
    </row>
    <row r="1184">
      <c r="A1184" s="27" t="n">
        <v>41781</v>
      </c>
      <c r="B1184" t="n">
        <v/>
      </c>
      <c r="C1184" t="n">
        <v>0.347</v>
      </c>
      <c r="D1184" t="n">
        <v>2.554</v>
      </c>
      <c r="E1184" t="n">
        <v/>
      </c>
    </row>
    <row r="1185">
      <c r="A1185" s="27" t="n">
        <v>41782</v>
      </c>
      <c r="B1185" t="n">
        <v/>
      </c>
      <c r="C1185" t="n">
        <v>0.346</v>
      </c>
      <c r="D1185" t="n">
        <v>2.536</v>
      </c>
      <c r="E1185" t="n">
        <v/>
      </c>
    </row>
    <row r="1186">
      <c r="A1186" s="27" t="n">
        <v>41784</v>
      </c>
      <c r="B1186" t="n">
        <v/>
      </c>
      <c r="C1186" t="n">
        <v>0.347</v>
      </c>
      <c r="D1186" t="n">
        <v>2.536</v>
      </c>
      <c r="E1186" t="n">
        <v/>
      </c>
    </row>
    <row r="1187">
      <c r="A1187" s="27" t="n">
        <v>41785</v>
      </c>
      <c r="B1187" t="n">
        <v/>
      </c>
      <c r="C1187" t="n">
        <v>0.35</v>
      </c>
      <c r="D1187" t="n">
        <v>2.541</v>
      </c>
      <c r="E1187" t="n">
        <v/>
      </c>
    </row>
    <row r="1188">
      <c r="A1188" s="27" t="n">
        <v>41786</v>
      </c>
      <c r="B1188" t="n">
        <v/>
      </c>
      <c r="C1188" t="n">
        <v>0.35</v>
      </c>
      <c r="D1188" t="n">
        <v>2.518</v>
      </c>
      <c r="E1188" t="n">
        <v/>
      </c>
    </row>
    <row r="1189">
      <c r="A1189" s="27" t="n">
        <v>41787</v>
      </c>
      <c r="B1189" t="n">
        <v/>
      </c>
      <c r="C1189" t="n">
        <v>0.371</v>
      </c>
      <c r="D1189" t="n">
        <v>2.445</v>
      </c>
      <c r="E1189" t="n">
        <v/>
      </c>
    </row>
    <row r="1190">
      <c r="A1190" s="27" t="n">
        <v>41788</v>
      </c>
      <c r="B1190" t="n">
        <v/>
      </c>
      <c r="C1190" t="n">
        <v>0.379</v>
      </c>
      <c r="D1190" t="n">
        <v>2.47</v>
      </c>
      <c r="E1190" t="n">
        <v/>
      </c>
    </row>
    <row r="1191">
      <c r="A1191" s="27" t="n">
        <v>41789</v>
      </c>
      <c r="B1191" t="n">
        <v/>
      </c>
      <c r="C1191" t="n">
        <v>0.375</v>
      </c>
      <c r="D1191" t="n">
        <v>2.475</v>
      </c>
      <c r="E1191" t="n">
        <v/>
      </c>
    </row>
    <row r="1192">
      <c r="A1192" s="27" t="n">
        <v>41791</v>
      </c>
      <c r="B1192" t="n">
        <v/>
      </c>
      <c r="C1192" t="n">
        <v>0.379</v>
      </c>
      <c r="D1192" t="n">
        <v>2.482</v>
      </c>
      <c r="E1192" t="n">
        <v/>
      </c>
    </row>
    <row r="1193">
      <c r="A1193" s="27" t="n">
        <v>41792</v>
      </c>
      <c r="B1193" t="n">
        <v/>
      </c>
      <c r="C1193" t="n">
        <v>0.391</v>
      </c>
      <c r="D1193" t="n">
        <v>2.527</v>
      </c>
      <c r="E1193" t="n">
        <v/>
      </c>
    </row>
    <row r="1194">
      <c r="A1194" s="27" t="n">
        <v>41793</v>
      </c>
      <c r="B1194" t="n">
        <v/>
      </c>
      <c r="C1194" t="n">
        <v>0.403</v>
      </c>
      <c r="D1194" t="n">
        <v>2.599</v>
      </c>
      <c r="E1194" t="n">
        <v/>
      </c>
    </row>
    <row r="1195">
      <c r="A1195" s="27" t="n">
        <v>41794</v>
      </c>
      <c r="B1195" t="n">
        <v/>
      </c>
      <c r="C1195" t="n">
        <v>0.399</v>
      </c>
      <c r="D1195" t="n">
        <v>2.606</v>
      </c>
      <c r="E1195" t="n">
        <v/>
      </c>
    </row>
    <row r="1196">
      <c r="A1196" s="27" t="n">
        <v>41795</v>
      </c>
      <c r="B1196" t="n">
        <v/>
      </c>
      <c r="C1196" t="n">
        <v>0.383</v>
      </c>
      <c r="D1196" t="n">
        <v>2.584</v>
      </c>
      <c r="E1196" t="n">
        <v/>
      </c>
    </row>
    <row r="1197">
      <c r="A1197" s="27" t="n">
        <v>41796</v>
      </c>
      <c r="B1197" t="n">
        <v/>
      </c>
      <c r="C1197" t="n">
        <v>0.407</v>
      </c>
      <c r="D1197" t="n">
        <v>2.597</v>
      </c>
      <c r="E1197" t="n">
        <v/>
      </c>
    </row>
    <row r="1198">
      <c r="A1198" s="27" t="n">
        <v>41798</v>
      </c>
      <c r="B1198" t="n">
        <v/>
      </c>
      <c r="C1198" t="n">
        <v>0.407</v>
      </c>
      <c r="D1198" t="n">
        <v>2.593</v>
      </c>
      <c r="E1198" t="n">
        <v/>
      </c>
    </row>
    <row r="1199">
      <c r="A1199" s="27" t="n">
        <v>41799</v>
      </c>
      <c r="B1199" t="n">
        <v/>
      </c>
      <c r="C1199" t="n">
        <v>0.427</v>
      </c>
      <c r="D1199" t="n">
        <v>2.608</v>
      </c>
      <c r="E1199" t="n">
        <v/>
      </c>
    </row>
    <row r="1200">
      <c r="A1200" s="27" t="n">
        <v>41800</v>
      </c>
      <c r="B1200" t="n">
        <v/>
      </c>
      <c r="C1200" t="n">
        <v>0.443</v>
      </c>
      <c r="D1200" t="n">
        <v>2.64</v>
      </c>
      <c r="E1200" t="n">
        <v/>
      </c>
    </row>
    <row r="1201">
      <c r="A1201" s="27" t="n">
        <v>41801</v>
      </c>
      <c r="B1201" t="n">
        <v/>
      </c>
      <c r="C1201" t="n">
        <v>0.435</v>
      </c>
      <c r="D1201" t="n">
        <v>2.64</v>
      </c>
      <c r="E1201" t="n">
        <v/>
      </c>
    </row>
    <row r="1202">
      <c r="A1202" s="27" t="n">
        <v>41802</v>
      </c>
      <c r="B1202" t="n">
        <v/>
      </c>
      <c r="C1202" t="n">
        <v>0.439</v>
      </c>
      <c r="D1202" t="n">
        <v>2.597</v>
      </c>
      <c r="E1202" t="n">
        <v/>
      </c>
    </row>
    <row r="1203">
      <c r="A1203" s="27" t="n">
        <v>41803</v>
      </c>
      <c r="B1203" t="n">
        <v/>
      </c>
      <c r="C1203" t="n">
        <v>0.455</v>
      </c>
      <c r="D1203" t="n">
        <v>2.608</v>
      </c>
      <c r="E1203" t="n">
        <v/>
      </c>
    </row>
    <row r="1204">
      <c r="A1204" s="27" t="n">
        <v>41805</v>
      </c>
      <c r="B1204" t="n">
        <v/>
      </c>
      <c r="C1204" t="n">
        <v>0.467</v>
      </c>
      <c r="D1204" t="n">
        <v>2.602</v>
      </c>
      <c r="E1204" t="n">
        <v/>
      </c>
    </row>
    <row r="1205">
      <c r="A1205" s="27" t="n">
        <v>41806</v>
      </c>
      <c r="B1205" t="n">
        <v/>
      </c>
      <c r="C1205" t="n">
        <v>0.468</v>
      </c>
      <c r="D1205" t="n">
        <v>2.597</v>
      </c>
      <c r="E1205" t="n">
        <v/>
      </c>
    </row>
    <row r="1206">
      <c r="A1206" s="27" t="n">
        <v>41807</v>
      </c>
      <c r="B1206" t="n">
        <v/>
      </c>
      <c r="C1206" t="n">
        <v>0.484</v>
      </c>
      <c r="D1206" t="n">
        <v>2.653</v>
      </c>
      <c r="E1206" t="n">
        <v/>
      </c>
    </row>
    <row r="1207">
      <c r="A1207" s="27" t="n">
        <v>41808</v>
      </c>
      <c r="B1207" t="n">
        <v/>
      </c>
      <c r="C1207" t="n">
        <v>0.452</v>
      </c>
      <c r="D1207" t="n">
        <v>2.59</v>
      </c>
      <c r="E1207" t="n">
        <v/>
      </c>
    </row>
    <row r="1208">
      <c r="A1208" s="27" t="n">
        <v>41809</v>
      </c>
      <c r="B1208" t="n">
        <v/>
      </c>
      <c r="C1208" t="n">
        <v>0.452</v>
      </c>
      <c r="D1208" t="n">
        <v>2.621</v>
      </c>
      <c r="E1208" t="n">
        <v/>
      </c>
    </row>
    <row r="1209">
      <c r="A1209" s="27" t="n">
        <v>41810</v>
      </c>
      <c r="B1209" t="n">
        <v/>
      </c>
      <c r="C1209" t="n">
        <v>0.456</v>
      </c>
      <c r="D1209" t="n">
        <v>2.608</v>
      </c>
      <c r="E1209" t="n">
        <v/>
      </c>
    </row>
    <row r="1210">
      <c r="A1210" s="27" t="n">
        <v>41812</v>
      </c>
      <c r="B1210" t="n">
        <v/>
      </c>
      <c r="C1210" t="n">
        <v>0.456</v>
      </c>
      <c r="D1210" t="n">
        <v>2.612</v>
      </c>
      <c r="E1210" t="n">
        <v/>
      </c>
    </row>
    <row r="1211">
      <c r="A1211" s="27" t="n">
        <v>41813</v>
      </c>
      <c r="B1211" t="n">
        <v/>
      </c>
      <c r="C1211" t="n">
        <v>0.468</v>
      </c>
      <c r="D1211" t="n">
        <v>2.626</v>
      </c>
      <c r="E1211" t="n">
        <v/>
      </c>
    </row>
    <row r="1212">
      <c r="A1212" s="27" t="n">
        <v>41814</v>
      </c>
      <c r="B1212" t="n">
        <v/>
      </c>
      <c r="C1212" t="n">
        <v>0.46</v>
      </c>
      <c r="D1212" t="n">
        <v>2.577</v>
      </c>
      <c r="E1212" t="n">
        <v/>
      </c>
    </row>
    <row r="1213">
      <c r="A1213" s="27" t="n">
        <v>41815</v>
      </c>
      <c r="B1213" t="n">
        <v/>
      </c>
      <c r="C1213" t="n">
        <v>0.484</v>
      </c>
      <c r="D1213" t="n">
        <v>2.561</v>
      </c>
      <c r="E1213" t="n">
        <v/>
      </c>
    </row>
    <row r="1214">
      <c r="A1214" s="27" t="n">
        <v>41816</v>
      </c>
      <c r="B1214" t="n">
        <v/>
      </c>
      <c r="C1214" t="n">
        <v>0.469</v>
      </c>
      <c r="D1214" t="n">
        <v>2.532</v>
      </c>
      <c r="E1214" t="n">
        <v/>
      </c>
    </row>
    <row r="1215">
      <c r="A1215" s="27" t="n">
        <v>41817</v>
      </c>
      <c r="B1215" t="n">
        <v/>
      </c>
      <c r="C1215" t="n">
        <v>0.465</v>
      </c>
      <c r="D1215" t="n">
        <v>2.536</v>
      </c>
      <c r="E1215" t="n">
        <v/>
      </c>
    </row>
    <row r="1216">
      <c r="A1216" s="27" t="n">
        <v>41819</v>
      </c>
      <c r="B1216" t="n">
        <v/>
      </c>
      <c r="C1216" t="n">
        <v>0.457</v>
      </c>
      <c r="D1216" t="n">
        <v>2.53</v>
      </c>
      <c r="E1216" t="n">
        <v/>
      </c>
    </row>
    <row r="1217">
      <c r="A1217" s="27" t="n">
        <v>41820</v>
      </c>
      <c r="B1217" t="n">
        <v/>
      </c>
      <c r="C1217" t="n">
        <v>0.457</v>
      </c>
      <c r="D1217" t="n">
        <v>2.532</v>
      </c>
      <c r="E1217" t="n">
        <v/>
      </c>
    </row>
    <row r="1218">
      <c r="A1218" s="27" t="n">
        <v>41821</v>
      </c>
      <c r="B1218" t="n">
        <v/>
      </c>
      <c r="C1218" t="n">
        <v>0.469</v>
      </c>
      <c r="D1218" t="n">
        <v>2.567</v>
      </c>
      <c r="E1218" t="n">
        <v/>
      </c>
    </row>
    <row r="1219">
      <c r="A1219" s="27" t="n">
        <v>41822</v>
      </c>
      <c r="B1219" t="n">
        <v/>
      </c>
      <c r="C1219" t="n">
        <v>0.488</v>
      </c>
      <c r="D1219" t="n">
        <v>2.628</v>
      </c>
      <c r="E1219" t="n">
        <v/>
      </c>
    </row>
    <row r="1220">
      <c r="A1220" s="27" t="n">
        <v>41823</v>
      </c>
      <c r="B1220" t="n">
        <v/>
      </c>
      <c r="C1220" t="n">
        <v>0.512</v>
      </c>
      <c r="D1220" t="n">
        <v>2.641</v>
      </c>
      <c r="E1220" t="n">
        <v/>
      </c>
    </row>
    <row r="1221">
      <c r="A1221" s="27" t="n">
        <v>41826</v>
      </c>
      <c r="B1221" t="n">
        <v/>
      </c>
      <c r="C1221" t="n">
        <v>0.528</v>
      </c>
      <c r="D1221" t="n">
        <v>2.658</v>
      </c>
      <c r="E1221" t="n">
        <v/>
      </c>
    </row>
    <row r="1222">
      <c r="A1222" s="27" t="n">
        <v>41827</v>
      </c>
      <c r="B1222" t="n">
        <v/>
      </c>
      <c r="C1222" t="n">
        <v>0.516</v>
      </c>
      <c r="D1222" t="n">
        <v>2.614</v>
      </c>
      <c r="E1222" t="n">
        <v/>
      </c>
    </row>
    <row r="1223">
      <c r="A1223" s="27" t="n">
        <v>41828</v>
      </c>
      <c r="B1223" t="n">
        <v/>
      </c>
      <c r="C1223" t="n">
        <v>0.508</v>
      </c>
      <c r="D1223" t="n">
        <v>2.559</v>
      </c>
      <c r="E1223" t="n">
        <v/>
      </c>
    </row>
    <row r="1224">
      <c r="A1224" s="27" t="n">
        <v>41829</v>
      </c>
      <c r="B1224" t="n">
        <v/>
      </c>
      <c r="C1224" t="n">
        <v>0.48</v>
      </c>
      <c r="D1224" t="n">
        <v>2.556</v>
      </c>
      <c r="E1224" t="n">
        <v/>
      </c>
    </row>
    <row r="1225">
      <c r="A1225" s="27" t="n">
        <v>41830</v>
      </c>
      <c r="B1225" t="n">
        <v/>
      </c>
      <c r="C1225" t="n">
        <v>0.456</v>
      </c>
      <c r="D1225" t="n">
        <v>2.538</v>
      </c>
      <c r="E1225" t="n">
        <v/>
      </c>
    </row>
    <row r="1226">
      <c r="A1226" s="27" t="n">
        <v>41831</v>
      </c>
      <c r="B1226" t="n">
        <v/>
      </c>
      <c r="C1226" t="n">
        <v>0.452</v>
      </c>
      <c r="D1226" t="n">
        <v>2.516</v>
      </c>
      <c r="E1226" t="n">
        <v/>
      </c>
    </row>
    <row r="1227">
      <c r="A1227" s="27" t="n">
        <v>41832</v>
      </c>
      <c r="B1227" t="n">
        <v/>
      </c>
      <c r="C1227" t="n">
        <v>0.452</v>
      </c>
      <c r="D1227" t="n">
        <v>2.516</v>
      </c>
      <c r="E1227" t="n">
        <v/>
      </c>
    </row>
    <row r="1228">
      <c r="A1228" s="27" t="n">
        <v>41833</v>
      </c>
      <c r="B1228" t="n">
        <v/>
      </c>
      <c r="C1228" t="n">
        <v>0.448</v>
      </c>
      <c r="D1228" t="n">
        <v>2.523</v>
      </c>
      <c r="E1228" t="n">
        <v/>
      </c>
    </row>
    <row r="1229">
      <c r="A1229" s="27" t="n">
        <v>41834</v>
      </c>
      <c r="B1229" t="n">
        <v/>
      </c>
      <c r="C1229" t="n">
        <v>0.464</v>
      </c>
      <c r="D1229" t="n">
        <v>2.547</v>
      </c>
      <c r="E1229" t="n">
        <v/>
      </c>
    </row>
    <row r="1230">
      <c r="A1230" s="27" t="n">
        <v>41835</v>
      </c>
      <c r="B1230" t="n">
        <v/>
      </c>
      <c r="C1230" t="n">
        <v>0.48</v>
      </c>
      <c r="D1230" t="n">
        <v>2.552</v>
      </c>
      <c r="E1230" t="n">
        <v/>
      </c>
    </row>
    <row r="1231">
      <c r="A1231" s="27" t="n">
        <v>41836</v>
      </c>
      <c r="B1231" t="n">
        <v/>
      </c>
      <c r="C1231" t="n">
        <v>0.488</v>
      </c>
      <c r="D1231" t="n">
        <v>2.53</v>
      </c>
      <c r="E1231" t="n">
        <v/>
      </c>
    </row>
    <row r="1232">
      <c r="A1232" s="27" t="n">
        <v>41837</v>
      </c>
      <c r="B1232" t="n">
        <v/>
      </c>
      <c r="C1232" t="n">
        <v>0.448</v>
      </c>
      <c r="D1232" t="n">
        <v>2.442</v>
      </c>
      <c r="E1232" t="n">
        <v/>
      </c>
    </row>
    <row r="1233">
      <c r="A1233" s="27" t="n">
        <v>41838</v>
      </c>
      <c r="B1233" t="n">
        <v/>
      </c>
      <c r="C1233" t="n">
        <v>0.484</v>
      </c>
      <c r="D1233" t="n">
        <v>2.482</v>
      </c>
      <c r="E1233" t="n">
        <v/>
      </c>
    </row>
    <row r="1234">
      <c r="A1234" s="27" t="n">
        <v>41840</v>
      </c>
      <c r="B1234" t="n">
        <v/>
      </c>
      <c r="C1234" t="n">
        <v>0.484</v>
      </c>
      <c r="D1234" t="n">
        <v>2.482</v>
      </c>
      <c r="E1234" t="n">
        <v/>
      </c>
    </row>
    <row r="1235">
      <c r="A1235" s="27" t="n">
        <v>41841</v>
      </c>
      <c r="B1235" t="n">
        <v/>
      </c>
      <c r="C1235" t="n">
        <v>0.492</v>
      </c>
      <c r="D1235" t="n">
        <v>2.469</v>
      </c>
      <c r="E1235" t="n">
        <v/>
      </c>
    </row>
    <row r="1236">
      <c r="A1236" s="27" t="n">
        <v>41842</v>
      </c>
      <c r="B1236" t="n">
        <v/>
      </c>
      <c r="C1236" t="n">
        <v>0.476</v>
      </c>
      <c r="D1236" t="n">
        <v>2.466</v>
      </c>
      <c r="E1236" t="n">
        <v/>
      </c>
    </row>
    <row r="1237">
      <c r="A1237" s="27" t="n">
        <v>41843</v>
      </c>
      <c r="B1237" t="n">
        <v/>
      </c>
      <c r="C1237" t="n">
        <v>0.471</v>
      </c>
      <c r="D1237" t="n">
        <v>2.469</v>
      </c>
      <c r="E1237" t="n">
        <v/>
      </c>
    </row>
    <row r="1238">
      <c r="A1238" s="27" t="n">
        <v>41844</v>
      </c>
      <c r="B1238" t="n">
        <v/>
      </c>
      <c r="C1238" t="n">
        <v>0.492</v>
      </c>
      <c r="D1238" t="n">
        <v>2.502</v>
      </c>
      <c r="E1238" t="n">
        <v/>
      </c>
    </row>
    <row r="1239">
      <c r="A1239" s="27" t="n">
        <v>41845</v>
      </c>
      <c r="B1239" t="n">
        <v/>
      </c>
      <c r="C1239" t="n">
        <v>0.492</v>
      </c>
      <c r="D1239" t="n">
        <v>2.467</v>
      </c>
      <c r="E1239" t="n">
        <v/>
      </c>
    </row>
    <row r="1240">
      <c r="A1240" s="27" t="n">
        <v>41847</v>
      </c>
      <c r="B1240" t="n">
        <v/>
      </c>
      <c r="C1240" t="n">
        <v>0.492</v>
      </c>
      <c r="D1240" t="n">
        <v>2.469</v>
      </c>
      <c r="E1240" t="n">
        <v/>
      </c>
    </row>
    <row r="1241">
      <c r="A1241" s="27" t="n">
        <v>41848</v>
      </c>
      <c r="B1241" t="n">
        <v/>
      </c>
      <c r="C1241" t="n">
        <v>0.504</v>
      </c>
      <c r="D1241" t="n">
        <v>2.487</v>
      </c>
      <c r="E1241" t="n">
        <v/>
      </c>
    </row>
    <row r="1242">
      <c r="A1242" s="27" t="n">
        <v>41849</v>
      </c>
      <c r="B1242" t="n">
        <v/>
      </c>
      <c r="C1242" t="n">
        <v>0.543</v>
      </c>
      <c r="D1242" t="n">
        <v>2.462</v>
      </c>
      <c r="E1242" t="n">
        <v/>
      </c>
    </row>
    <row r="1243">
      <c r="A1243" s="27" t="n">
        <v>41850</v>
      </c>
      <c r="B1243" t="n">
        <v/>
      </c>
      <c r="C1243" t="n">
        <v>0.5590000000000001</v>
      </c>
      <c r="D1243" t="n">
        <v>2.56</v>
      </c>
      <c r="E1243" t="n">
        <v/>
      </c>
    </row>
    <row r="1244">
      <c r="A1244" s="27" t="n">
        <v>41851</v>
      </c>
      <c r="B1244" t="n">
        <v/>
      </c>
      <c r="C1244" t="n">
        <v>0.531</v>
      </c>
      <c r="D1244" t="n">
        <v>2.562</v>
      </c>
      <c r="E1244" t="n">
        <v/>
      </c>
    </row>
    <row r="1245">
      <c r="A1245" s="27" t="n">
        <v>41852</v>
      </c>
      <c r="B1245" t="n">
        <v/>
      </c>
      <c r="C1245" t="n">
        <v>0.476</v>
      </c>
      <c r="D1245" t="n">
        <v>2.494</v>
      </c>
      <c r="E1245" t="n">
        <v/>
      </c>
    </row>
    <row r="1246">
      <c r="A1246" s="27" t="n">
        <v>41853</v>
      </c>
      <c r="B1246" t="n">
        <v/>
      </c>
      <c r="C1246" t="n">
        <v>0.476</v>
      </c>
      <c r="D1246" t="n">
        <v>2.494</v>
      </c>
      <c r="E1246" t="n">
        <v/>
      </c>
    </row>
    <row r="1247">
      <c r="A1247" s="27" t="n">
        <v>41854</v>
      </c>
      <c r="B1247" t="n">
        <v/>
      </c>
      <c r="C1247" t="n">
        <v>0.476</v>
      </c>
      <c r="D1247" t="n">
        <v>2.5</v>
      </c>
      <c r="E1247" t="n">
        <v/>
      </c>
    </row>
    <row r="1248">
      <c r="A1248" s="27" t="n">
        <v>41855</v>
      </c>
      <c r="B1248" t="n">
        <v/>
      </c>
      <c r="C1248" t="n">
        <v>0.468</v>
      </c>
      <c r="D1248" t="n">
        <v>2.485</v>
      </c>
      <c r="E1248" t="n">
        <v/>
      </c>
    </row>
    <row r="1249">
      <c r="A1249" s="27" t="n">
        <v>41856</v>
      </c>
      <c r="B1249" t="n">
        <v/>
      </c>
      <c r="C1249" t="n">
        <v>0.468</v>
      </c>
      <c r="D1249" t="n">
        <v>2.489</v>
      </c>
      <c r="E1249" t="n">
        <v/>
      </c>
    </row>
    <row r="1250">
      <c r="A1250" s="27" t="n">
        <v>41857</v>
      </c>
      <c r="B1250" t="n">
        <v/>
      </c>
      <c r="C1250" t="n">
        <v>0.46</v>
      </c>
      <c r="D1250" t="n">
        <v>2.469</v>
      </c>
      <c r="E1250" t="n">
        <v/>
      </c>
    </row>
    <row r="1251">
      <c r="A1251" s="27" t="n">
        <v>41858</v>
      </c>
      <c r="B1251" t="n">
        <v/>
      </c>
      <c r="C1251" t="n">
        <v>0.432</v>
      </c>
      <c r="D1251" t="n">
        <v>2.409</v>
      </c>
      <c r="E1251" t="n">
        <v/>
      </c>
    </row>
    <row r="1252">
      <c r="A1252" s="27" t="n">
        <v>41859</v>
      </c>
      <c r="B1252" t="n">
        <v/>
      </c>
      <c r="C1252" t="n">
        <v>0.448</v>
      </c>
      <c r="D1252" t="n">
        <v>2.422</v>
      </c>
      <c r="E1252" t="n">
        <v/>
      </c>
    </row>
    <row r="1253">
      <c r="A1253" s="27" t="n">
        <v>41861</v>
      </c>
      <c r="B1253" t="n">
        <v/>
      </c>
      <c r="C1253" t="n">
        <v>0.452</v>
      </c>
      <c r="D1253" t="n">
        <v>2.431</v>
      </c>
      <c r="E1253" t="n">
        <v/>
      </c>
    </row>
    <row r="1254">
      <c r="A1254" s="27" t="n">
        <v>41862</v>
      </c>
      <c r="B1254" t="n">
        <v/>
      </c>
      <c r="C1254" t="n">
        <v>0.444</v>
      </c>
      <c r="D1254" t="n">
        <v>2.429</v>
      </c>
      <c r="E1254" t="n">
        <v/>
      </c>
    </row>
    <row r="1255">
      <c r="A1255" s="27" t="n">
        <v>41863</v>
      </c>
      <c r="B1255" t="n">
        <v/>
      </c>
      <c r="C1255" t="n">
        <v>0.436</v>
      </c>
      <c r="D1255" t="n">
        <v>2.449</v>
      </c>
      <c r="E1255" t="n">
        <v/>
      </c>
    </row>
    <row r="1256">
      <c r="A1256" s="27" t="n">
        <v>41864</v>
      </c>
      <c r="B1256" t="n">
        <v/>
      </c>
      <c r="C1256" t="n">
        <v>0.416</v>
      </c>
      <c r="D1256" t="n">
        <v>2.42</v>
      </c>
      <c r="E1256" t="n">
        <v/>
      </c>
    </row>
    <row r="1257">
      <c r="A1257" s="27" t="n">
        <v>41865</v>
      </c>
      <c r="B1257" t="n">
        <v/>
      </c>
      <c r="C1257" t="n">
        <v>0.416</v>
      </c>
      <c r="D1257" t="n">
        <v>2.403</v>
      </c>
      <c r="E1257" t="n">
        <v/>
      </c>
    </row>
    <row r="1258">
      <c r="A1258" s="27" t="n">
        <v>41866</v>
      </c>
      <c r="B1258" t="n">
        <v/>
      </c>
      <c r="C1258" t="n">
        <v>0.411</v>
      </c>
      <c r="D1258" t="n">
        <v>2.341</v>
      </c>
      <c r="E1258" t="n">
        <v/>
      </c>
    </row>
    <row r="1259">
      <c r="A1259" s="27" t="n">
        <v>41868</v>
      </c>
      <c r="B1259" t="n">
        <v/>
      </c>
      <c r="C1259" t="n">
        <v>0.419</v>
      </c>
      <c r="D1259" t="n">
        <v>2.357</v>
      </c>
      <c r="E1259" t="n">
        <v/>
      </c>
    </row>
    <row r="1260">
      <c r="A1260" s="27" t="n">
        <v>41869</v>
      </c>
      <c r="B1260" t="n">
        <v/>
      </c>
      <c r="C1260" t="n">
        <v>0.419</v>
      </c>
      <c r="D1260" t="n">
        <v>2.394</v>
      </c>
      <c r="E1260" t="n">
        <v/>
      </c>
    </row>
    <row r="1261">
      <c r="A1261" s="27" t="n">
        <v>41870</v>
      </c>
      <c r="B1261" t="n">
        <v/>
      </c>
      <c r="C1261" t="n">
        <v>0.431</v>
      </c>
      <c r="D1261" t="n">
        <v>2.403</v>
      </c>
      <c r="E1261" t="n">
        <v/>
      </c>
    </row>
    <row r="1262">
      <c r="A1262" s="27" t="n">
        <v>41871</v>
      </c>
      <c r="B1262" t="n">
        <v/>
      </c>
      <c r="C1262" t="n">
        <v>0.476</v>
      </c>
      <c r="D1262" t="n">
        <v>2.428</v>
      </c>
      <c r="E1262" t="n">
        <v/>
      </c>
    </row>
    <row r="1263">
      <c r="A1263" s="27" t="n">
        <v>41872</v>
      </c>
      <c r="B1263" t="n">
        <v/>
      </c>
      <c r="C1263" t="n">
        <v>0.472</v>
      </c>
      <c r="D1263" t="n">
        <v>2.409</v>
      </c>
      <c r="E1263" t="n">
        <v/>
      </c>
    </row>
    <row r="1264">
      <c r="A1264" s="27" t="n">
        <v>41873</v>
      </c>
      <c r="B1264" t="n">
        <v/>
      </c>
      <c r="C1264" t="n">
        <v>0.492</v>
      </c>
      <c r="D1264" t="n">
        <v>2.403</v>
      </c>
      <c r="E1264" t="n">
        <v/>
      </c>
    </row>
    <row r="1265">
      <c r="A1265" s="27" t="n">
        <v>41875</v>
      </c>
      <c r="B1265" t="n">
        <v/>
      </c>
      <c r="C1265" t="n">
        <v>0.5</v>
      </c>
      <c r="D1265" t="n">
        <v>2.41</v>
      </c>
      <c r="E1265" t="n">
        <v/>
      </c>
    </row>
    <row r="1266">
      <c r="A1266" s="27" t="n">
        <v>41876</v>
      </c>
      <c r="B1266" t="n">
        <v/>
      </c>
      <c r="C1266" t="n">
        <v>0.504</v>
      </c>
      <c r="D1266" t="n">
        <v>2.384</v>
      </c>
      <c r="E1266" t="n">
        <v/>
      </c>
    </row>
    <row r="1267">
      <c r="A1267" s="27" t="n">
        <v>41877</v>
      </c>
      <c r="B1267" t="n">
        <v/>
      </c>
      <c r="C1267" t="n">
        <v>0.496</v>
      </c>
      <c r="D1267" t="n">
        <v>2.398</v>
      </c>
      <c r="E1267" t="n">
        <v/>
      </c>
    </row>
    <row r="1268">
      <c r="A1268" s="27" t="n">
        <v>41878</v>
      </c>
      <c r="B1268" t="n">
        <v/>
      </c>
      <c r="C1268" t="n">
        <v>0.516</v>
      </c>
      <c r="D1268" t="n">
        <v>2.361</v>
      </c>
      <c r="E1268" t="n">
        <v/>
      </c>
    </row>
    <row r="1269">
      <c r="A1269" s="27" t="n">
        <v>41879</v>
      </c>
      <c r="B1269" t="n">
        <v/>
      </c>
      <c r="C1269" t="n">
        <v>0.504</v>
      </c>
      <c r="D1269" t="n">
        <v>2.338</v>
      </c>
      <c r="E1269" t="n">
        <v/>
      </c>
    </row>
    <row r="1270">
      <c r="A1270" s="27" t="n">
        <v>41880</v>
      </c>
      <c r="B1270" t="n">
        <v/>
      </c>
      <c r="C1270" t="n">
        <v>0.492</v>
      </c>
      <c r="D1270" t="n">
        <v>2.345</v>
      </c>
      <c r="E1270" t="n">
        <v/>
      </c>
    </row>
    <row r="1271">
      <c r="A1271" s="27" t="n">
        <v>41882</v>
      </c>
      <c r="B1271" t="n">
        <v/>
      </c>
      <c r="C1271" t="n">
        <v>0.492</v>
      </c>
      <c r="D1271" t="n">
        <v>2.345</v>
      </c>
      <c r="E1271" t="n">
        <v/>
      </c>
    </row>
    <row r="1272">
      <c r="A1272" s="27" t="n">
        <v>41883</v>
      </c>
      <c r="B1272" t="n">
        <v/>
      </c>
      <c r="C1272" t="n">
        <v>0.492</v>
      </c>
      <c r="D1272" t="n">
        <v>2.359</v>
      </c>
      <c r="E1272" t="n">
        <v/>
      </c>
    </row>
    <row r="1273">
      <c r="A1273" s="27" t="n">
        <v>41884</v>
      </c>
      <c r="B1273" t="n">
        <v/>
      </c>
      <c r="C1273" t="n">
        <v>0.528</v>
      </c>
      <c r="D1273" t="n">
        <v>2.423</v>
      </c>
      <c r="E1273" t="n">
        <v/>
      </c>
    </row>
    <row r="1274">
      <c r="A1274" s="27" t="n">
        <v>41885</v>
      </c>
      <c r="B1274" t="n">
        <v/>
      </c>
      <c r="C1274" t="n">
        <v>0.52</v>
      </c>
      <c r="D1274" t="n">
        <v>2.398</v>
      </c>
      <c r="E1274" t="n">
        <v/>
      </c>
    </row>
    <row r="1275">
      <c r="A1275" s="27" t="n">
        <v>41886</v>
      </c>
      <c r="B1275" t="n">
        <v/>
      </c>
      <c r="C1275" t="n">
        <v>0.536</v>
      </c>
      <c r="D1275" t="n">
        <v>2.453</v>
      </c>
      <c r="E1275" t="n">
        <v/>
      </c>
    </row>
    <row r="1276">
      <c r="A1276" s="27" t="n">
        <v>41887</v>
      </c>
      <c r="B1276" t="n">
        <v/>
      </c>
      <c r="C1276" t="n">
        <v>0.508</v>
      </c>
      <c r="D1276" t="n">
        <v>2.459</v>
      </c>
      <c r="E1276" t="n">
        <v/>
      </c>
    </row>
    <row r="1277">
      <c r="A1277" s="27" t="n">
        <v>41889</v>
      </c>
      <c r="B1277" t="n">
        <v/>
      </c>
      <c r="C1277" t="n">
        <v>0.508</v>
      </c>
      <c r="D1277" t="n">
        <v>2.45</v>
      </c>
      <c r="E1277" t="n">
        <v/>
      </c>
    </row>
    <row r="1278">
      <c r="A1278" s="27" t="n">
        <v>41890</v>
      </c>
      <c r="B1278" t="n">
        <v/>
      </c>
      <c r="C1278" t="n">
        <v>0.532</v>
      </c>
      <c r="D1278" t="n">
        <v>2.471</v>
      </c>
      <c r="E1278" t="n">
        <v/>
      </c>
    </row>
    <row r="1279">
      <c r="A1279" s="27" t="n">
        <v>41891</v>
      </c>
      <c r="B1279" t="n">
        <v/>
      </c>
      <c r="C1279" t="n">
        <v>0.5600000000000001</v>
      </c>
      <c r="D1279" t="n">
        <v>2.502</v>
      </c>
      <c r="E1279" t="n">
        <v/>
      </c>
    </row>
    <row r="1280">
      <c r="A1280" s="27" t="n">
        <v>41892</v>
      </c>
      <c r="B1280" t="n">
        <v/>
      </c>
      <c r="C1280" t="n">
        <v>0.572</v>
      </c>
      <c r="D1280" t="n">
        <v>2.543</v>
      </c>
      <c r="E1280" t="n">
        <v/>
      </c>
    </row>
    <row r="1281">
      <c r="A1281" s="27" t="n">
        <v>41893</v>
      </c>
      <c r="B1281" t="n">
        <v/>
      </c>
      <c r="C1281" t="n">
        <v>0.5639999999999999</v>
      </c>
      <c r="D1281" t="n">
        <v>2.55</v>
      </c>
      <c r="E1281" t="n">
        <v/>
      </c>
    </row>
    <row r="1282">
      <c r="A1282" s="27" t="n">
        <v>41894</v>
      </c>
      <c r="B1282" t="n">
        <v/>
      </c>
      <c r="C1282" t="n">
        <v>0.5639999999999999</v>
      </c>
      <c r="D1282" t="n">
        <v>2.609</v>
      </c>
      <c r="E1282" t="n">
        <v/>
      </c>
    </row>
    <row r="1283">
      <c r="A1283" s="27" t="n">
        <v>41895</v>
      </c>
      <c r="B1283" t="n">
        <v/>
      </c>
      <c r="C1283" t="n">
        <v>0.5639999999999999</v>
      </c>
      <c r="D1283" t="n">
        <v>2.609</v>
      </c>
      <c r="E1283" t="n">
        <v/>
      </c>
    </row>
    <row r="1284">
      <c r="A1284" s="27" t="n">
        <v>41896</v>
      </c>
      <c r="B1284" t="n">
        <v/>
      </c>
      <c r="C1284" t="n">
        <v>0.5639999999999999</v>
      </c>
      <c r="D1284" t="n">
        <v>2.612</v>
      </c>
      <c r="E1284" t="n">
        <v/>
      </c>
    </row>
    <row r="1285">
      <c r="A1285" s="27" t="n">
        <v>41897</v>
      </c>
      <c r="B1285" t="n">
        <v/>
      </c>
      <c r="C1285" t="n">
        <v>0.544</v>
      </c>
      <c r="D1285" t="n">
        <v>2.591</v>
      </c>
      <c r="E1285" t="n">
        <v/>
      </c>
    </row>
    <row r="1286">
      <c r="A1286" s="27" t="n">
        <v>41898</v>
      </c>
      <c r="B1286" t="n">
        <v/>
      </c>
      <c r="C1286" t="n">
        <v>0.54</v>
      </c>
      <c r="D1286" t="n">
        <v>2.594</v>
      </c>
      <c r="E1286" t="n">
        <v/>
      </c>
    </row>
    <row r="1287">
      <c r="A1287" s="27" t="n">
        <v>41899</v>
      </c>
      <c r="B1287" t="n">
        <v/>
      </c>
      <c r="C1287" t="n">
        <v>0.569</v>
      </c>
      <c r="D1287" t="n">
        <v>2.622</v>
      </c>
      <c r="E1287" t="n">
        <v/>
      </c>
    </row>
    <row r="1288">
      <c r="A1288" s="27" t="n">
        <v>41900</v>
      </c>
      <c r="B1288" t="n">
        <v/>
      </c>
      <c r="C1288" t="n">
        <v>0.5649999999999999</v>
      </c>
      <c r="D1288" t="n">
        <v>2.618</v>
      </c>
      <c r="E1288" t="n">
        <v/>
      </c>
    </row>
    <row r="1289">
      <c r="A1289" s="27" t="n">
        <v>41901</v>
      </c>
      <c r="B1289" t="n">
        <v/>
      </c>
      <c r="C1289" t="n">
        <v>0.569</v>
      </c>
      <c r="D1289" t="n">
        <v>2.578</v>
      </c>
      <c r="E1289" t="n">
        <v/>
      </c>
    </row>
    <row r="1290">
      <c r="A1290" s="27" t="n">
        <v>41903</v>
      </c>
      <c r="B1290" t="n">
        <v/>
      </c>
      <c r="C1290" t="n">
        <v>0.5649999999999999</v>
      </c>
      <c r="D1290" t="n">
        <v>2.571</v>
      </c>
      <c r="E1290" t="n">
        <v/>
      </c>
    </row>
    <row r="1291">
      <c r="A1291" s="27" t="n">
        <v>41904</v>
      </c>
      <c r="B1291" t="n">
        <v/>
      </c>
      <c r="C1291" t="n">
        <v>0.553</v>
      </c>
      <c r="D1291" t="n">
        <v>2.566</v>
      </c>
      <c r="E1291" t="n">
        <v/>
      </c>
    </row>
    <row r="1292">
      <c r="A1292" s="27" t="n">
        <v>41905</v>
      </c>
      <c r="B1292" t="n">
        <v/>
      </c>
      <c r="C1292" t="n">
        <v>0.541</v>
      </c>
      <c r="D1292" t="n">
        <v>2.527</v>
      </c>
      <c r="E1292" t="n">
        <v/>
      </c>
    </row>
    <row r="1293">
      <c r="A1293" s="27" t="n">
        <v>41906</v>
      </c>
      <c r="B1293" t="n">
        <v/>
      </c>
      <c r="C1293" t="n">
        <v>0.591</v>
      </c>
      <c r="D1293" t="n">
        <v>2.566</v>
      </c>
      <c r="E1293" t="n">
        <v/>
      </c>
    </row>
    <row r="1294">
      <c r="A1294" s="27" t="n">
        <v>41907</v>
      </c>
      <c r="B1294" t="n">
        <v/>
      </c>
      <c r="C1294" t="n">
        <v>0.555</v>
      </c>
      <c r="D1294" t="n">
        <v>2.504</v>
      </c>
      <c r="E1294" t="n">
        <v/>
      </c>
    </row>
    <row r="1295">
      <c r="A1295" s="27" t="n">
        <v>41908</v>
      </c>
      <c r="B1295" t="n">
        <v/>
      </c>
      <c r="C1295" t="n">
        <v>0.579</v>
      </c>
      <c r="D1295" t="n">
        <v>2.528</v>
      </c>
      <c r="E1295" t="n">
        <v/>
      </c>
    </row>
    <row r="1296">
      <c r="A1296" s="27" t="n">
        <v>41909</v>
      </c>
      <c r="B1296" t="n">
        <v/>
      </c>
      <c r="C1296" t="n">
        <v>0.579</v>
      </c>
      <c r="D1296" t="n">
        <v>2.528</v>
      </c>
      <c r="E1296" t="n">
        <v/>
      </c>
    </row>
    <row r="1297">
      <c r="A1297" s="27" t="n">
        <v>41910</v>
      </c>
      <c r="B1297" t="n">
        <v/>
      </c>
      <c r="C1297" t="n">
        <v>0.587</v>
      </c>
      <c r="D1297" t="n">
        <v>2.526</v>
      </c>
      <c r="E1297" t="n">
        <v/>
      </c>
    </row>
    <row r="1298">
      <c r="A1298" s="27" t="n">
        <v>41911</v>
      </c>
      <c r="B1298" t="n">
        <v/>
      </c>
      <c r="C1298" t="n">
        <v>0.575</v>
      </c>
      <c r="D1298" t="n">
        <v>2.479</v>
      </c>
      <c r="E1298" t="n">
        <v/>
      </c>
    </row>
    <row r="1299">
      <c r="A1299" s="27" t="n">
        <v>41912</v>
      </c>
      <c r="B1299" t="n">
        <v/>
      </c>
      <c r="C1299" t="n">
        <v>0.575</v>
      </c>
      <c r="D1299" t="n">
        <v>2.495</v>
      </c>
      <c r="E1299" t="n">
        <v/>
      </c>
    </row>
    <row r="1300">
      <c r="A1300" s="27" t="n">
        <v>41913</v>
      </c>
      <c r="B1300" t="n">
        <v/>
      </c>
      <c r="C1300" t="n">
        <v>0.52</v>
      </c>
      <c r="D1300" t="n">
        <v>2.389</v>
      </c>
      <c r="E1300" t="n">
        <v/>
      </c>
    </row>
    <row r="1301">
      <c r="A1301" s="27" t="n">
        <v>41914</v>
      </c>
      <c r="B1301" t="n">
        <v/>
      </c>
      <c r="C1301" t="n">
        <v>0.535</v>
      </c>
      <c r="D1301" t="n">
        <v>2.436</v>
      </c>
      <c r="E1301" t="n">
        <v/>
      </c>
    </row>
    <row r="1302">
      <c r="A1302" s="27" t="n">
        <v>41915</v>
      </c>
      <c r="B1302" t="n">
        <v/>
      </c>
      <c r="C1302" t="n">
        <v>0.5639999999999999</v>
      </c>
      <c r="D1302" t="n">
        <v>2.436</v>
      </c>
      <c r="E1302" t="n">
        <v/>
      </c>
    </row>
    <row r="1303">
      <c r="A1303" s="27" t="n">
        <v>41917</v>
      </c>
      <c r="B1303" t="n">
        <v/>
      </c>
      <c r="C1303" t="n">
        <v>0.5669999999999999</v>
      </c>
      <c r="D1303" t="n">
        <v>2.441</v>
      </c>
      <c r="E1303" t="n">
        <v/>
      </c>
    </row>
    <row r="1304">
      <c r="A1304" s="27" t="n">
        <v>41918</v>
      </c>
      <c r="B1304" t="n">
        <v/>
      </c>
      <c r="C1304" t="n">
        <v>0.536</v>
      </c>
      <c r="D1304" t="n">
        <v>2.42</v>
      </c>
      <c r="E1304" t="n">
        <v/>
      </c>
    </row>
    <row r="1305">
      <c r="A1305" s="27" t="n">
        <v>41919</v>
      </c>
      <c r="B1305" t="n">
        <v/>
      </c>
      <c r="C1305" t="n">
        <v>0.508</v>
      </c>
      <c r="D1305" t="n">
        <v>2.341</v>
      </c>
      <c r="E1305" t="n">
        <v/>
      </c>
    </row>
    <row r="1306">
      <c r="A1306" s="27" t="n">
        <v>41920</v>
      </c>
      <c r="B1306" t="n">
        <v/>
      </c>
      <c r="C1306" t="n">
        <v>0.452</v>
      </c>
      <c r="D1306" t="n">
        <v>2.318</v>
      </c>
      <c r="E1306" t="n">
        <v/>
      </c>
    </row>
    <row r="1307">
      <c r="A1307" s="27" t="n">
        <v>41921</v>
      </c>
      <c r="B1307" t="n">
        <v/>
      </c>
      <c r="C1307" t="n">
        <v>0.448</v>
      </c>
      <c r="D1307" t="n">
        <v>2.327</v>
      </c>
      <c r="E1307" t="n">
        <v/>
      </c>
    </row>
    <row r="1308">
      <c r="A1308" s="27" t="n">
        <v>41922</v>
      </c>
      <c r="B1308" t="n">
        <v/>
      </c>
      <c r="C1308" t="n">
        <v>0.428</v>
      </c>
      <c r="D1308" t="n">
        <v>2.286</v>
      </c>
      <c r="E1308" t="n">
        <v/>
      </c>
    </row>
    <row r="1309">
      <c r="A1309" s="27" t="n">
        <v>41925</v>
      </c>
      <c r="B1309" t="n">
        <v/>
      </c>
      <c r="C1309" t="n">
        <v>0.4</v>
      </c>
      <c r="D1309" t="n">
        <v>2.238</v>
      </c>
      <c r="E1309" t="n">
        <v/>
      </c>
    </row>
    <row r="1310">
      <c r="A1310" s="27" t="n">
        <v>41926</v>
      </c>
      <c r="B1310" t="n">
        <v/>
      </c>
      <c r="C1310" t="n">
        <v>0.376</v>
      </c>
      <c r="D1310" t="n">
        <v>2.197</v>
      </c>
      <c r="E1310" t="n">
        <v/>
      </c>
    </row>
    <row r="1311">
      <c r="A1311" s="27" t="n">
        <v>41927</v>
      </c>
      <c r="B1311" t="n">
        <v/>
      </c>
      <c r="C1311" t="n">
        <v>0.308</v>
      </c>
      <c r="D1311" t="n">
        <v>2.129</v>
      </c>
      <c r="E1311" t="n">
        <v/>
      </c>
    </row>
    <row r="1312">
      <c r="A1312" s="27" t="n">
        <v>41928</v>
      </c>
      <c r="B1312" t="n">
        <v/>
      </c>
      <c r="C1312" t="n">
        <v>0.339</v>
      </c>
      <c r="D1312" t="n">
        <v>2.151</v>
      </c>
      <c r="E1312" t="n">
        <v/>
      </c>
    </row>
    <row r="1313">
      <c r="A1313" s="27" t="n">
        <v>41929</v>
      </c>
      <c r="B1313" t="n">
        <v/>
      </c>
      <c r="C1313" t="n">
        <v>0.375</v>
      </c>
      <c r="D1313" t="n">
        <v>2.199</v>
      </c>
      <c r="E1313" t="n">
        <v/>
      </c>
    </row>
    <row r="1314">
      <c r="A1314" s="27" t="n">
        <v>41931</v>
      </c>
      <c r="B1314" t="n">
        <v/>
      </c>
      <c r="C1314" t="n">
        <v>0.379</v>
      </c>
      <c r="D1314" t="n">
        <v>2.22</v>
      </c>
      <c r="E1314" t="n">
        <v/>
      </c>
    </row>
    <row r="1315">
      <c r="A1315" s="27" t="n">
        <v>41932</v>
      </c>
      <c r="B1315" t="n">
        <v/>
      </c>
      <c r="C1315" t="n">
        <v>0.354</v>
      </c>
      <c r="D1315" t="n">
        <v>2.193</v>
      </c>
      <c r="E1315" t="n">
        <v/>
      </c>
    </row>
    <row r="1316">
      <c r="A1316" s="27" t="n">
        <v>41933</v>
      </c>
      <c r="B1316" t="n">
        <v/>
      </c>
      <c r="C1316" t="n">
        <v>0.366</v>
      </c>
      <c r="D1316" t="n">
        <v>2.227</v>
      </c>
      <c r="E1316" t="n">
        <v/>
      </c>
    </row>
    <row r="1317">
      <c r="A1317" s="27" t="n">
        <v>41934</v>
      </c>
      <c r="B1317" t="n">
        <v/>
      </c>
      <c r="C1317" t="n">
        <v>0.362</v>
      </c>
      <c r="D1317" t="n">
        <v>2.22</v>
      </c>
      <c r="E1317" t="n">
        <v/>
      </c>
    </row>
    <row r="1318">
      <c r="A1318" s="27" t="n">
        <v>41935</v>
      </c>
      <c r="B1318" t="n">
        <v/>
      </c>
      <c r="C1318" t="n">
        <v>0.395</v>
      </c>
      <c r="D1318" t="n">
        <v>2.277</v>
      </c>
      <c r="E1318" t="n">
        <v/>
      </c>
    </row>
    <row r="1319">
      <c r="A1319" s="27" t="n">
        <v>41936</v>
      </c>
      <c r="B1319" t="n">
        <v/>
      </c>
      <c r="C1319" t="n">
        <v>0.386</v>
      </c>
      <c r="D1319" t="n">
        <v>2.266</v>
      </c>
      <c r="E1319" t="n">
        <v/>
      </c>
    </row>
    <row r="1320">
      <c r="A1320" s="27" t="n">
        <v>41938</v>
      </c>
      <c r="B1320" t="n">
        <v/>
      </c>
      <c r="C1320" t="n">
        <v>0.398</v>
      </c>
      <c r="D1320" t="n">
        <v>2.285</v>
      </c>
      <c r="E1320" t="n">
        <v/>
      </c>
    </row>
    <row r="1321">
      <c r="A1321" s="27" t="n">
        <v>41939</v>
      </c>
      <c r="B1321" t="n">
        <v/>
      </c>
      <c r="C1321" t="n">
        <v>0.382</v>
      </c>
      <c r="D1321" t="n">
        <v>2.259</v>
      </c>
      <c r="E1321" t="n">
        <v/>
      </c>
    </row>
    <row r="1322">
      <c r="A1322" s="27" t="n">
        <v>41940</v>
      </c>
      <c r="B1322" t="n">
        <v/>
      </c>
      <c r="C1322" t="n">
        <v>0.398</v>
      </c>
      <c r="D1322" t="n">
        <v>2.3</v>
      </c>
      <c r="E1322" t="n">
        <v/>
      </c>
    </row>
    <row r="1323">
      <c r="A1323" s="27" t="n">
        <v>41941</v>
      </c>
      <c r="B1323" t="n">
        <v/>
      </c>
      <c r="C1323" t="n">
        <v>0.489</v>
      </c>
      <c r="D1323" t="n">
        <v>2.321</v>
      </c>
      <c r="E1323" t="n">
        <v/>
      </c>
    </row>
    <row r="1324">
      <c r="A1324" s="27" t="n">
        <v>41942</v>
      </c>
      <c r="B1324" t="n">
        <v/>
      </c>
      <c r="C1324" t="n">
        <v>0.477</v>
      </c>
      <c r="D1324" t="n">
        <v>2.308</v>
      </c>
      <c r="E1324" t="n">
        <v/>
      </c>
    </row>
    <row r="1325">
      <c r="A1325" s="27" t="n">
        <v>41943</v>
      </c>
      <c r="B1325" t="n">
        <v/>
      </c>
      <c r="C1325" t="n">
        <v>0.497</v>
      </c>
      <c r="D1325" t="n">
        <v>2.335</v>
      </c>
      <c r="E1325" t="n">
        <v/>
      </c>
    </row>
    <row r="1326">
      <c r="A1326" s="27" t="n">
        <v>41945</v>
      </c>
      <c r="B1326" t="n">
        <v/>
      </c>
      <c r="C1326" t="n">
        <v>0.497</v>
      </c>
      <c r="D1326" t="n">
        <v>2.335</v>
      </c>
      <c r="E1326" t="n">
        <v/>
      </c>
    </row>
    <row r="1327">
      <c r="A1327" s="27" t="n">
        <v>41946</v>
      </c>
      <c r="B1327" t="n">
        <v/>
      </c>
      <c r="C1327" t="n">
        <v>0.517</v>
      </c>
      <c r="D1327" t="n">
        <v>2.346</v>
      </c>
      <c r="E1327" t="n">
        <v/>
      </c>
    </row>
    <row r="1328">
      <c r="A1328" s="27" t="n">
        <v>41947</v>
      </c>
      <c r="B1328" t="n">
        <v/>
      </c>
      <c r="C1328" t="n">
        <v>0.517</v>
      </c>
      <c r="D1328" t="n">
        <v>2.335</v>
      </c>
      <c r="E1328" t="n">
        <v/>
      </c>
    </row>
    <row r="1329">
      <c r="A1329" s="27" t="n">
        <v>41948</v>
      </c>
      <c r="B1329" t="n">
        <v/>
      </c>
      <c r="C1329" t="n">
        <v>0.526</v>
      </c>
      <c r="D1329" t="n">
        <v>2.346</v>
      </c>
      <c r="E1329" t="n">
        <v/>
      </c>
    </row>
    <row r="1330">
      <c r="A1330" s="27" t="n">
        <v>41949</v>
      </c>
      <c r="B1330" t="n">
        <v/>
      </c>
      <c r="C1330" t="n">
        <v>0.55</v>
      </c>
      <c r="D1330" t="n">
        <v>2.382</v>
      </c>
      <c r="E1330" t="n">
        <v/>
      </c>
    </row>
    <row r="1331">
      <c r="A1331" s="27" t="n">
        <v>41950</v>
      </c>
      <c r="B1331" t="n">
        <v/>
      </c>
      <c r="C1331" t="n">
        <v>0.502</v>
      </c>
      <c r="D1331" t="n">
        <v>2.301</v>
      </c>
      <c r="E1331" t="n">
        <v/>
      </c>
    </row>
    <row r="1332">
      <c r="A1332" s="27" t="n">
        <v>41952</v>
      </c>
      <c r="B1332" t="n">
        <v/>
      </c>
      <c r="C1332" t="n">
        <v>0.507</v>
      </c>
      <c r="D1332" t="n">
        <v>2.306</v>
      </c>
      <c r="E1332" t="n">
        <v/>
      </c>
    </row>
    <row r="1333">
      <c r="A1333" s="27" t="n">
        <v>41953</v>
      </c>
      <c r="B1333" t="n">
        <v/>
      </c>
      <c r="C1333" t="n">
        <v>0.539</v>
      </c>
      <c r="D1333" t="n">
        <v>2.36</v>
      </c>
      <c r="E1333" t="n">
        <v/>
      </c>
    </row>
    <row r="1334">
      <c r="A1334" s="27" t="n">
        <v>41954</v>
      </c>
      <c r="B1334" t="n">
        <v/>
      </c>
      <c r="C1334" t="n">
        <v>0.551</v>
      </c>
      <c r="D1334" t="n">
        <v>2.371</v>
      </c>
      <c r="E1334" t="n">
        <v/>
      </c>
    </row>
    <row r="1335">
      <c r="A1335" s="27" t="n">
        <v>41955</v>
      </c>
      <c r="B1335" t="n">
        <v/>
      </c>
      <c r="C1335" t="n">
        <v>0.543</v>
      </c>
      <c r="D1335" t="n">
        <v>2.373</v>
      </c>
      <c r="E1335" t="n">
        <v/>
      </c>
    </row>
    <row r="1336">
      <c r="A1336" s="27" t="n">
        <v>41956</v>
      </c>
      <c r="B1336" t="n">
        <v/>
      </c>
      <c r="C1336" t="n">
        <v>0.519</v>
      </c>
      <c r="D1336" t="n">
        <v>2.345</v>
      </c>
      <c r="E1336" t="n">
        <v/>
      </c>
    </row>
    <row r="1337">
      <c r="A1337" s="27" t="n">
        <v>41957</v>
      </c>
      <c r="B1337" t="n">
        <v/>
      </c>
      <c r="C1337" t="n">
        <v>0.516</v>
      </c>
      <c r="D1337" t="n">
        <v>2.319</v>
      </c>
      <c r="E1337" t="n">
        <v/>
      </c>
    </row>
    <row r="1338">
      <c r="A1338" s="27" t="n">
        <v>41959</v>
      </c>
      <c r="B1338" t="n">
        <v/>
      </c>
      <c r="C1338" t="n">
        <v>0.512</v>
      </c>
      <c r="D1338" t="n">
        <v>2.312</v>
      </c>
      <c r="E1338" t="n">
        <v/>
      </c>
    </row>
    <row r="1339">
      <c r="A1339" s="27" t="n">
        <v>41960</v>
      </c>
      <c r="B1339" t="n">
        <v/>
      </c>
      <c r="C1339" t="n">
        <v>0.512</v>
      </c>
      <c r="D1339" t="n">
        <v>2.34</v>
      </c>
      <c r="E1339" t="n">
        <v/>
      </c>
    </row>
    <row r="1340">
      <c r="A1340" s="27" t="n">
        <v>41961</v>
      </c>
      <c r="B1340" t="n">
        <v/>
      </c>
      <c r="C1340" t="n">
        <v>0.504</v>
      </c>
      <c r="D1340" t="n">
        <v>2.317</v>
      </c>
      <c r="E1340" t="n">
        <v/>
      </c>
    </row>
    <row r="1341">
      <c r="A1341" s="27" t="n">
        <v>41962</v>
      </c>
      <c r="B1341" t="n">
        <v/>
      </c>
      <c r="C1341" t="n">
        <v>0.525</v>
      </c>
      <c r="D1341" t="n">
        <v>2.358</v>
      </c>
      <c r="E1341" t="n">
        <v/>
      </c>
    </row>
    <row r="1342">
      <c r="A1342" s="27" t="n">
        <v>41963</v>
      </c>
      <c r="B1342" t="n">
        <v/>
      </c>
      <c r="C1342" t="n">
        <v>0.509</v>
      </c>
      <c r="D1342" t="n">
        <v>2.338</v>
      </c>
      <c r="E1342" t="n">
        <v/>
      </c>
    </row>
    <row r="1343">
      <c r="A1343" s="27" t="n">
        <v>41964</v>
      </c>
      <c r="B1343" t="n">
        <v/>
      </c>
      <c r="C1343" t="n">
        <v>0.505</v>
      </c>
      <c r="D1343" t="n">
        <v>2.312</v>
      </c>
      <c r="E1343" t="n">
        <v/>
      </c>
    </row>
    <row r="1344">
      <c r="A1344" s="27" t="n">
        <v>41966</v>
      </c>
      <c r="B1344" t="n">
        <v/>
      </c>
      <c r="C1344" t="n">
        <v>0.505</v>
      </c>
      <c r="D1344" t="n">
        <v>2.312</v>
      </c>
      <c r="E1344" t="n">
        <v/>
      </c>
    </row>
    <row r="1345">
      <c r="A1345" s="27" t="n">
        <v>41967</v>
      </c>
      <c r="B1345" t="n">
        <v/>
      </c>
      <c r="C1345" t="n">
        <v>0.497</v>
      </c>
      <c r="D1345" t="n">
        <v>2.305</v>
      </c>
      <c r="E1345" t="n">
        <v/>
      </c>
    </row>
    <row r="1346">
      <c r="A1346" s="27" t="n">
        <v>41968</v>
      </c>
      <c r="B1346" t="n">
        <v/>
      </c>
      <c r="C1346" t="n">
        <v>0.524</v>
      </c>
      <c r="D1346" t="n">
        <v>2.259</v>
      </c>
      <c r="E1346" t="n">
        <v/>
      </c>
    </row>
    <row r="1347">
      <c r="A1347" s="27" t="n">
        <v>41969</v>
      </c>
      <c r="B1347" t="n">
        <v/>
      </c>
      <c r="C1347" t="n">
        <v>0.52</v>
      </c>
      <c r="D1347" t="n">
        <v>2.245</v>
      </c>
      <c r="E1347" t="n">
        <v/>
      </c>
    </row>
    <row r="1348">
      <c r="A1348" s="27" t="n">
        <v>41970</v>
      </c>
      <c r="B1348" t="n">
        <v/>
      </c>
      <c r="C1348" t="n">
        <v>0.504</v>
      </c>
      <c r="D1348" t="n">
        <v>2.215</v>
      </c>
      <c r="E1348" t="n">
        <v/>
      </c>
    </row>
    <row r="1349">
      <c r="A1349" s="27" t="n">
        <v>41971</v>
      </c>
      <c r="B1349" t="n">
        <v/>
      </c>
      <c r="C1349" t="n">
        <v>0.476</v>
      </c>
      <c r="D1349" t="n">
        <v>2.173</v>
      </c>
      <c r="E1349" t="n">
        <v/>
      </c>
    </row>
    <row r="1350">
      <c r="A1350" s="27" t="n">
        <v>41973</v>
      </c>
      <c r="B1350" t="n">
        <v/>
      </c>
      <c r="C1350" t="n">
        <v>0.48</v>
      </c>
      <c r="D1350" t="n">
        <v>2.176</v>
      </c>
      <c r="E1350" t="n">
        <v/>
      </c>
    </row>
    <row r="1351">
      <c r="A1351" s="27" t="n">
        <v>41974</v>
      </c>
      <c r="B1351" t="n">
        <v/>
      </c>
      <c r="C1351" t="n">
        <v>0.504</v>
      </c>
      <c r="D1351" t="n">
        <v>2.236</v>
      </c>
      <c r="E1351" t="n">
        <v/>
      </c>
    </row>
    <row r="1352">
      <c r="A1352" s="27" t="n">
        <v>41975</v>
      </c>
      <c r="B1352" t="n">
        <v/>
      </c>
      <c r="C1352" t="n">
        <v>0.539</v>
      </c>
      <c r="D1352" t="n">
        <v>2.294</v>
      </c>
      <c r="E1352" t="n">
        <v/>
      </c>
    </row>
    <row r="1353">
      <c r="A1353" s="27" t="n">
        <v>41976</v>
      </c>
      <c r="B1353" t="n">
        <v/>
      </c>
      <c r="C1353" t="n">
        <v>0.5590000000000001</v>
      </c>
      <c r="D1353" t="n">
        <v>2.282</v>
      </c>
      <c r="E1353" t="n">
        <v/>
      </c>
    </row>
    <row r="1354">
      <c r="A1354" s="27" t="n">
        <v>41977</v>
      </c>
      <c r="B1354" t="n">
        <v/>
      </c>
      <c r="C1354" t="n">
        <v>0.543</v>
      </c>
      <c r="D1354" t="n">
        <v>2.236</v>
      </c>
      <c r="E1354" t="n">
        <v/>
      </c>
    </row>
    <row r="1355">
      <c r="A1355" s="27" t="n">
        <v>41978</v>
      </c>
      <c r="B1355" t="n">
        <v/>
      </c>
      <c r="C1355" t="n">
        <v>0.643</v>
      </c>
      <c r="D1355" t="n">
        <v>2.307</v>
      </c>
      <c r="E1355" t="n">
        <v/>
      </c>
    </row>
    <row r="1356">
      <c r="A1356" s="27" t="n">
        <v>41980</v>
      </c>
      <c r="B1356" t="n">
        <v/>
      </c>
      <c r="C1356" t="n">
        <v>0.655</v>
      </c>
      <c r="D1356" t="n">
        <v>2.312</v>
      </c>
      <c r="E1356" t="n">
        <v/>
      </c>
    </row>
    <row r="1357">
      <c r="A1357" s="27" t="n">
        <v>41981</v>
      </c>
      <c r="B1357" t="n">
        <v/>
      </c>
      <c r="C1357" t="n">
        <v>0.631</v>
      </c>
      <c r="D1357" t="n">
        <v>2.259</v>
      </c>
      <c r="E1357" t="n">
        <v/>
      </c>
    </row>
    <row r="1358">
      <c r="A1358" s="27" t="n">
        <v>41982</v>
      </c>
      <c r="B1358" t="n">
        <v/>
      </c>
      <c r="C1358" t="n">
        <v>0.616</v>
      </c>
      <c r="D1358" t="n">
        <v>2.213</v>
      </c>
      <c r="E1358" t="n">
        <v/>
      </c>
    </row>
    <row r="1359">
      <c r="A1359" s="27" t="n">
        <v>41983</v>
      </c>
      <c r="B1359" t="n">
        <v/>
      </c>
      <c r="C1359" t="n">
        <v>0.572</v>
      </c>
      <c r="D1359" t="n">
        <v>2.173</v>
      </c>
      <c r="E1359" t="n">
        <v/>
      </c>
    </row>
    <row r="1360">
      <c r="A1360" s="27" t="n">
        <v>41984</v>
      </c>
      <c r="B1360" t="n">
        <v/>
      </c>
      <c r="C1360" t="n">
        <v>0.608</v>
      </c>
      <c r="D1360" t="n">
        <v>2.169</v>
      </c>
      <c r="E1360" t="n">
        <v/>
      </c>
    </row>
    <row r="1361">
      <c r="A1361" s="27" t="n">
        <v>41985</v>
      </c>
      <c r="B1361" t="n">
        <v/>
      </c>
      <c r="C1361" t="n">
        <v>0.544</v>
      </c>
      <c r="D1361" t="n">
        <v>2.083</v>
      </c>
      <c r="E1361" t="n">
        <v/>
      </c>
    </row>
    <row r="1362">
      <c r="A1362" s="27" t="n">
        <v>41987</v>
      </c>
      <c r="B1362" t="n">
        <v/>
      </c>
      <c r="C1362" t="n">
        <v>0.54</v>
      </c>
      <c r="D1362" t="n">
        <v>2.08</v>
      </c>
      <c r="E1362" t="n">
        <v/>
      </c>
    </row>
    <row r="1363">
      <c r="A1363" s="27" t="n">
        <v>41988</v>
      </c>
      <c r="B1363" t="n">
        <v/>
      </c>
      <c r="C1363" t="n">
        <v>0.58</v>
      </c>
      <c r="D1363" t="n">
        <v>2.115</v>
      </c>
      <c r="E1363" t="n">
        <v/>
      </c>
    </row>
    <row r="1364">
      <c r="A1364" s="27" t="n">
        <v>41989</v>
      </c>
      <c r="B1364" t="n">
        <v/>
      </c>
      <c r="C1364" t="n">
        <v>0.556</v>
      </c>
      <c r="D1364" t="n">
        <v>2.061</v>
      </c>
      <c r="E1364" t="n">
        <v/>
      </c>
    </row>
    <row r="1365">
      <c r="A1365" s="27" t="n">
        <v>41990</v>
      </c>
      <c r="B1365" t="n">
        <v/>
      </c>
      <c r="C1365" t="n">
        <v>0.617</v>
      </c>
      <c r="D1365" t="n">
        <v>2.136</v>
      </c>
      <c r="E1365" t="n">
        <v/>
      </c>
    </row>
    <row r="1366">
      <c r="A1366" s="27" t="n">
        <v>41991</v>
      </c>
      <c r="B1366" t="n">
        <v/>
      </c>
      <c r="C1366" t="n">
        <v>0.633</v>
      </c>
      <c r="D1366" t="n">
        <v>2.208</v>
      </c>
      <c r="E1366" t="n">
        <v/>
      </c>
    </row>
    <row r="1367">
      <c r="A1367" s="27" t="n">
        <v>41992</v>
      </c>
      <c r="B1367" t="n">
        <v/>
      </c>
      <c r="C1367" t="n">
        <v>0.642</v>
      </c>
      <c r="D1367" t="n">
        <v>2.16</v>
      </c>
      <c r="E1367" t="n">
        <v/>
      </c>
    </row>
    <row r="1368">
      <c r="A1368" s="27" t="n">
        <v>41994</v>
      </c>
      <c r="B1368" t="n">
        <v/>
      </c>
      <c r="C1368" t="n">
        <v>0.646</v>
      </c>
      <c r="D1368" t="n">
        <v>2.167</v>
      </c>
      <c r="E1368" t="n">
        <v/>
      </c>
    </row>
    <row r="1369">
      <c r="A1369" s="27" t="n">
        <v>41995</v>
      </c>
      <c r="B1369" t="n">
        <v/>
      </c>
      <c r="C1369" t="n">
        <v>0.663</v>
      </c>
      <c r="D1369" t="n">
        <v>2.156</v>
      </c>
      <c r="E1369" t="n">
        <v/>
      </c>
    </row>
    <row r="1370">
      <c r="A1370" s="27" t="n">
        <v>41996</v>
      </c>
      <c r="B1370" t="n">
        <v/>
      </c>
      <c r="C1370" t="n">
        <v>0.743</v>
      </c>
      <c r="D1370" t="n">
        <v>2.269</v>
      </c>
      <c r="E1370" t="n">
        <v/>
      </c>
    </row>
    <row r="1371">
      <c r="A1371" s="27" t="n">
        <v>41997</v>
      </c>
      <c r="B1371" t="n">
        <v/>
      </c>
      <c r="C1371" t="n">
        <v>0.743</v>
      </c>
      <c r="D1371" t="n">
        <v>2.264</v>
      </c>
      <c r="E1371" t="n">
        <v/>
      </c>
    </row>
    <row r="1372">
      <c r="A1372" s="27" t="n">
        <v>41998</v>
      </c>
      <c r="B1372" t="n">
        <v/>
      </c>
      <c r="C1372" t="n">
        <v>0.739</v>
      </c>
      <c r="D1372" t="n">
        <v>2.255</v>
      </c>
      <c r="E1372" t="n">
        <v/>
      </c>
    </row>
    <row r="1373">
      <c r="A1373" s="27" t="n">
        <v>41999</v>
      </c>
      <c r="B1373" t="n">
        <v/>
      </c>
      <c r="C1373" t="n">
        <v>0.743</v>
      </c>
      <c r="D1373" t="n">
        <v>2.252</v>
      </c>
      <c r="E1373" t="n">
        <v/>
      </c>
    </row>
    <row r="1374">
      <c r="A1374" s="27" t="n">
        <v>42001</v>
      </c>
      <c r="B1374" t="n">
        <v/>
      </c>
      <c r="C1374" t="n">
        <v>0.743</v>
      </c>
      <c r="D1374" t="n">
        <v>2.248</v>
      </c>
      <c r="E1374" t="n">
        <v/>
      </c>
    </row>
    <row r="1375">
      <c r="A1375" s="27" t="n">
        <v>42002</v>
      </c>
      <c r="B1375" t="n">
        <v/>
      </c>
      <c r="C1375" t="n">
        <v>0.712</v>
      </c>
      <c r="D1375" t="n">
        <v>2.204</v>
      </c>
      <c r="E1375" t="n">
        <v/>
      </c>
    </row>
    <row r="1376">
      <c r="A1376" s="27" t="n">
        <v>42003</v>
      </c>
      <c r="B1376" t="n">
        <v/>
      </c>
      <c r="C1376" t="n">
        <v>0.6879999999999999</v>
      </c>
      <c r="D1376" t="n">
        <v>2.192</v>
      </c>
      <c r="E1376" t="n">
        <v/>
      </c>
    </row>
    <row r="1377">
      <c r="A1377" s="27" t="n">
        <v>42004</v>
      </c>
      <c r="B1377" t="n">
        <v/>
      </c>
      <c r="C1377" t="n">
        <v>0.672</v>
      </c>
      <c r="D1377" t="n">
        <v>2.17</v>
      </c>
      <c r="E1377" t="n">
        <v/>
      </c>
    </row>
    <row r="1378">
      <c r="A1378" s="27" t="n">
        <v>42005</v>
      </c>
      <c r="B1378" t="n">
        <v/>
      </c>
      <c r="C1378" t="n">
        <v>0.672</v>
      </c>
      <c r="D1378" t="n">
        <v>2.17</v>
      </c>
      <c r="E1378" t="n">
        <v/>
      </c>
    </row>
    <row r="1379">
      <c r="A1379" s="27" t="n">
        <v>42006</v>
      </c>
      <c r="B1379" t="n">
        <v/>
      </c>
      <c r="C1379" t="n">
        <v>0.669</v>
      </c>
      <c r="D1379" t="n">
        <v>2.114</v>
      </c>
      <c r="E1379" t="n">
        <v/>
      </c>
    </row>
    <row r="1380">
      <c r="A1380" s="27" t="n">
        <v>42008</v>
      </c>
      <c r="B1380" t="n">
        <v/>
      </c>
      <c r="C1380" t="n">
        <v>0.665</v>
      </c>
      <c r="D1380" t="n">
        <v>2.102</v>
      </c>
      <c r="E1380" t="n">
        <v/>
      </c>
    </row>
    <row r="1381">
      <c r="A1381" s="27" t="n">
        <v>42009</v>
      </c>
      <c r="B1381" t="n">
        <v/>
      </c>
      <c r="C1381" t="n">
        <v>0.665</v>
      </c>
      <c r="D1381" t="n">
        <v>2.034</v>
      </c>
      <c r="E1381" t="n">
        <v/>
      </c>
    </row>
    <row r="1382">
      <c r="A1382" s="27" t="n">
        <v>42010</v>
      </c>
      <c r="B1382" t="n">
        <v/>
      </c>
      <c r="C1382" t="n">
        <v>0.629</v>
      </c>
      <c r="D1382" t="n">
        <v>1.938</v>
      </c>
      <c r="E1382" t="n">
        <v/>
      </c>
    </row>
    <row r="1383">
      <c r="A1383" s="27" t="n">
        <v>42011</v>
      </c>
      <c r="B1383" t="n">
        <v/>
      </c>
      <c r="C1383" t="n">
        <v>0.617</v>
      </c>
      <c r="D1383" t="n">
        <v>1.969</v>
      </c>
      <c r="E1383" t="n">
        <v/>
      </c>
    </row>
    <row r="1384">
      <c r="A1384" s="27" t="n">
        <v>42012</v>
      </c>
      <c r="B1384" t="n">
        <v/>
      </c>
      <c r="C1384" t="n">
        <v>0.609</v>
      </c>
      <c r="D1384" t="n">
        <v>2.018</v>
      </c>
      <c r="E1384" t="n">
        <v/>
      </c>
    </row>
    <row r="1385">
      <c r="A1385" s="27" t="n">
        <v>42013</v>
      </c>
      <c r="B1385" t="n">
        <v/>
      </c>
      <c r="C1385" t="n">
        <v>0.5649999999999999</v>
      </c>
      <c r="D1385" t="n">
        <v>1.95</v>
      </c>
      <c r="E1385" t="n">
        <v/>
      </c>
    </row>
    <row r="1386">
      <c r="A1386" s="27" t="n">
        <v>42015</v>
      </c>
      <c r="B1386" t="n">
        <v/>
      </c>
      <c r="C1386" t="n">
        <v>0.5649999999999999</v>
      </c>
      <c r="D1386" t="n">
        <v>1.95</v>
      </c>
      <c r="E1386" t="n">
        <v/>
      </c>
    </row>
    <row r="1387">
      <c r="A1387" s="27" t="n">
        <v>42016</v>
      </c>
      <c r="B1387" t="n">
        <v/>
      </c>
      <c r="C1387" t="n">
        <v>0.549</v>
      </c>
      <c r="D1387" t="n">
        <v>1.909</v>
      </c>
      <c r="E1387" t="n">
        <v/>
      </c>
    </row>
    <row r="1388">
      <c r="A1388" s="27" t="n">
        <v>42017</v>
      </c>
      <c r="B1388" t="n">
        <v/>
      </c>
      <c r="C1388" t="n">
        <v>0.541</v>
      </c>
      <c r="D1388" t="n">
        <v>1.905</v>
      </c>
      <c r="E1388" t="n">
        <v/>
      </c>
    </row>
    <row r="1389">
      <c r="A1389" s="27" t="n">
        <v>42018</v>
      </c>
      <c r="B1389" t="n">
        <v/>
      </c>
      <c r="C1389" t="n">
        <v>0.501</v>
      </c>
      <c r="D1389" t="n">
        <v>1.855</v>
      </c>
      <c r="E1389" t="n">
        <v/>
      </c>
    </row>
    <row r="1390">
      <c r="A1390" s="27" t="n">
        <v>42019</v>
      </c>
      <c r="B1390" t="n">
        <v/>
      </c>
      <c r="C1390" t="n">
        <v>0.42</v>
      </c>
      <c r="D1390" t="n">
        <v>1.728</v>
      </c>
      <c r="E1390" t="n">
        <v/>
      </c>
    </row>
    <row r="1391">
      <c r="A1391" s="27" t="n">
        <v>42020</v>
      </c>
      <c r="B1391" t="n">
        <v/>
      </c>
      <c r="C1391" t="n">
        <v>0.488</v>
      </c>
      <c r="D1391" t="n">
        <v>1.831</v>
      </c>
      <c r="E1391" t="n">
        <v/>
      </c>
    </row>
    <row r="1392">
      <c r="A1392" s="27" t="n">
        <v>42023</v>
      </c>
      <c r="B1392" t="n">
        <v/>
      </c>
      <c r="C1392" t="n">
        <v>0.463</v>
      </c>
      <c r="D1392" t="n">
        <v>1.8</v>
      </c>
      <c r="E1392" t="n">
        <v/>
      </c>
    </row>
    <row r="1393">
      <c r="A1393" s="27" t="n">
        <v>42024</v>
      </c>
      <c r="B1393" t="n">
        <v/>
      </c>
      <c r="C1393" t="n">
        <v>0.499</v>
      </c>
      <c r="D1393" t="n">
        <v>1.791</v>
      </c>
      <c r="E1393" t="n">
        <v/>
      </c>
    </row>
    <row r="1394">
      <c r="A1394" s="27" t="n">
        <v>42025</v>
      </c>
      <c r="B1394" t="n">
        <v/>
      </c>
      <c r="C1394" t="n">
        <v>0.511</v>
      </c>
      <c r="D1394" t="n">
        <v>1.875</v>
      </c>
      <c r="E1394" t="n">
        <v/>
      </c>
    </row>
    <row r="1395">
      <c r="A1395" s="27" t="n">
        <v>42026</v>
      </c>
      <c r="B1395" t="n">
        <v/>
      </c>
      <c r="C1395" t="n">
        <v>0.523</v>
      </c>
      <c r="D1395" t="n">
        <v>1.872</v>
      </c>
      <c r="E1395" t="n">
        <v/>
      </c>
    </row>
    <row r="1396">
      <c r="A1396" s="27" t="n">
        <v>42027</v>
      </c>
      <c r="B1396" t="n">
        <v/>
      </c>
      <c r="C1396" t="n">
        <v>0.49</v>
      </c>
      <c r="D1396" t="n">
        <v>1.789</v>
      </c>
      <c r="E1396" t="n">
        <v/>
      </c>
    </row>
    <row r="1397">
      <c r="A1397" s="27" t="n">
        <v>42029</v>
      </c>
      <c r="B1397" t="n">
        <v/>
      </c>
      <c r="C1397" t="n">
        <v>0.482</v>
      </c>
      <c r="D1397" t="n">
        <v>1.769</v>
      </c>
      <c r="E1397" t="n">
        <v/>
      </c>
    </row>
    <row r="1398">
      <c r="A1398" s="27" t="n">
        <v>42030</v>
      </c>
      <c r="B1398" t="n">
        <v/>
      </c>
      <c r="C1398" t="n">
        <v>0.515</v>
      </c>
      <c r="D1398" t="n">
        <v>1.828</v>
      </c>
      <c r="E1398" t="n">
        <v/>
      </c>
    </row>
    <row r="1399">
      <c r="A1399" s="27" t="n">
        <v>42031</v>
      </c>
      <c r="B1399" t="n">
        <v/>
      </c>
      <c r="C1399" t="n">
        <v>0.515</v>
      </c>
      <c r="D1399" t="n">
        <v>1.828</v>
      </c>
      <c r="E1399" t="n">
        <v/>
      </c>
    </row>
    <row r="1400">
      <c r="A1400" s="27" t="n">
        <v>42032</v>
      </c>
      <c r="B1400" t="n">
        <v/>
      </c>
      <c r="C1400" t="n">
        <v>0.465</v>
      </c>
      <c r="D1400" t="n">
        <v>1.719</v>
      </c>
      <c r="E1400" t="n">
        <v/>
      </c>
    </row>
    <row r="1401">
      <c r="A1401" s="27" t="n">
        <v>42033</v>
      </c>
      <c r="B1401" t="n">
        <v/>
      </c>
      <c r="C1401" t="n">
        <v>0.52</v>
      </c>
      <c r="D1401" t="n">
        <v>1.756</v>
      </c>
      <c r="E1401" t="n">
        <v/>
      </c>
    </row>
    <row r="1402">
      <c r="A1402" s="27" t="n">
        <v>42034</v>
      </c>
      <c r="B1402" t="n">
        <v/>
      </c>
      <c r="C1402" t="n">
        <v>0.453</v>
      </c>
      <c r="D1402" t="n">
        <v>1.639</v>
      </c>
      <c r="E1402" t="n">
        <v/>
      </c>
    </row>
    <row r="1403">
      <c r="A1403" s="27" t="n">
        <v>42036</v>
      </c>
      <c r="B1403" t="n">
        <v/>
      </c>
      <c r="C1403" t="n">
        <v>0.461</v>
      </c>
      <c r="D1403" t="n">
        <v>1.653</v>
      </c>
      <c r="E1403" t="n">
        <v/>
      </c>
    </row>
    <row r="1404">
      <c r="A1404" s="27" t="n">
        <v>42037</v>
      </c>
      <c r="B1404" t="n">
        <v/>
      </c>
      <c r="C1404" t="n">
        <v>0.468</v>
      </c>
      <c r="D1404" t="n">
        <v>1.674</v>
      </c>
      <c r="E1404" t="n">
        <v/>
      </c>
    </row>
    <row r="1405">
      <c r="A1405" s="27" t="n">
        <v>42038</v>
      </c>
      <c r="B1405" t="n">
        <v/>
      </c>
      <c r="C1405" t="n">
        <v>0.516</v>
      </c>
      <c r="D1405" t="n">
        <v>1.798</v>
      </c>
      <c r="E1405" t="n">
        <v/>
      </c>
    </row>
    <row r="1406">
      <c r="A1406" s="27" t="n">
        <v>42039</v>
      </c>
      <c r="B1406" t="n">
        <v/>
      </c>
      <c r="C1406" t="n">
        <v>0.484</v>
      </c>
      <c r="D1406" t="n">
        <v>1.747</v>
      </c>
      <c r="E1406" t="n">
        <v/>
      </c>
    </row>
    <row r="1407">
      <c r="A1407" s="27" t="n">
        <v>42040</v>
      </c>
      <c r="B1407" t="n">
        <v/>
      </c>
      <c r="C1407" t="n">
        <v>0.524</v>
      </c>
      <c r="D1407" t="n">
        <v>1.817</v>
      </c>
      <c r="E1407" t="n">
        <v/>
      </c>
    </row>
    <row r="1408">
      <c r="A1408" s="27" t="n">
        <v>42041</v>
      </c>
      <c r="B1408" t="n">
        <v/>
      </c>
      <c r="C1408" t="n">
        <v>0.647</v>
      </c>
      <c r="D1408" t="n">
        <v>1.958</v>
      </c>
      <c r="E1408" t="n">
        <v/>
      </c>
    </row>
    <row r="1409">
      <c r="A1409" s="27" t="n">
        <v>42043</v>
      </c>
      <c r="B1409" t="n">
        <v/>
      </c>
      <c r="C1409" t="n">
        <v>0.64</v>
      </c>
      <c r="D1409" t="n">
        <v>1.941</v>
      </c>
      <c r="E1409" t="n">
        <v/>
      </c>
    </row>
    <row r="1410">
      <c r="A1410" s="27" t="n">
        <v>42044</v>
      </c>
      <c r="B1410" t="n">
        <v/>
      </c>
      <c r="C1410" t="n">
        <v>0.652</v>
      </c>
      <c r="D1410" t="n">
        <v>1.978</v>
      </c>
      <c r="E1410" t="n">
        <v/>
      </c>
    </row>
    <row r="1411">
      <c r="A1411" s="27" t="n">
        <v>42045</v>
      </c>
      <c r="B1411" t="n">
        <v/>
      </c>
      <c r="C1411" t="n">
        <v>0.656</v>
      </c>
      <c r="D1411" t="n">
        <v>2.004</v>
      </c>
      <c r="E1411" t="n">
        <v/>
      </c>
    </row>
    <row r="1412">
      <c r="A1412" s="27" t="n">
        <v>42046</v>
      </c>
      <c r="B1412" t="n">
        <v/>
      </c>
      <c r="C1412" t="n">
        <v>0.672</v>
      </c>
      <c r="D1412" t="n">
        <v>2.021</v>
      </c>
      <c r="E1412" t="n">
        <v/>
      </c>
    </row>
    <row r="1413">
      <c r="A1413" s="27" t="n">
        <v>42047</v>
      </c>
      <c r="B1413" t="n">
        <v/>
      </c>
      <c r="C1413" t="n">
        <v>0.632</v>
      </c>
      <c r="D1413" t="n">
        <v>1.988</v>
      </c>
      <c r="E1413" t="n">
        <v/>
      </c>
    </row>
    <row r="1414">
      <c r="A1414" s="27" t="n">
        <v>42048</v>
      </c>
      <c r="B1414" t="n">
        <v/>
      </c>
      <c r="C1414" t="n">
        <v>0.645</v>
      </c>
      <c r="D1414" t="n">
        <v>2.047</v>
      </c>
      <c r="E1414" t="n">
        <v/>
      </c>
    </row>
    <row r="1415">
      <c r="A1415" s="27" t="n">
        <v>42051</v>
      </c>
      <c r="B1415" t="n">
        <v/>
      </c>
      <c r="C1415" t="n">
        <v>0.629</v>
      </c>
      <c r="D1415" t="n">
        <v>2.019</v>
      </c>
      <c r="E1415" t="n">
        <v/>
      </c>
    </row>
    <row r="1416">
      <c r="A1416" s="27" t="n">
        <v>42052</v>
      </c>
      <c r="B1416" t="n">
        <v/>
      </c>
      <c r="C1416" t="n">
        <v>0.666</v>
      </c>
      <c r="D1416" t="n">
        <v>2.145</v>
      </c>
      <c r="E1416" t="n">
        <v/>
      </c>
    </row>
    <row r="1417">
      <c r="A1417" s="27" t="n">
        <v>42053</v>
      </c>
      <c r="B1417" t="n">
        <v/>
      </c>
      <c r="C1417" t="n">
        <v>0.605</v>
      </c>
      <c r="D1417" t="n">
        <v>2.085</v>
      </c>
      <c r="E1417" t="n">
        <v/>
      </c>
    </row>
    <row r="1418">
      <c r="A1418" s="27" t="n">
        <v>42054</v>
      </c>
      <c r="B1418" t="n">
        <v/>
      </c>
      <c r="C1418" t="n">
        <v>0.621</v>
      </c>
      <c r="D1418" t="n">
        <v>2.122</v>
      </c>
      <c r="E1418" t="n">
        <v/>
      </c>
    </row>
    <row r="1419">
      <c r="A1419" s="27" t="n">
        <v>42055</v>
      </c>
      <c r="B1419" t="n">
        <v/>
      </c>
      <c r="C1419" t="n">
        <v>0.642</v>
      </c>
      <c r="D1419" t="n">
        <v>2.115</v>
      </c>
      <c r="E1419" t="n">
        <v/>
      </c>
    </row>
    <row r="1420">
      <c r="A1420" s="27" t="n">
        <v>42057</v>
      </c>
      <c r="B1420" t="n">
        <v/>
      </c>
      <c r="C1420" t="n">
        <v>0.646</v>
      </c>
      <c r="D1420" t="n">
        <v>2.115</v>
      </c>
      <c r="E1420" t="n">
        <v/>
      </c>
    </row>
    <row r="1421">
      <c r="A1421" s="27" t="n">
        <v>42058</v>
      </c>
      <c r="B1421" t="n">
        <v/>
      </c>
      <c r="C1421" t="n">
        <v>0.606</v>
      </c>
      <c r="D1421" t="n">
        <v>2.061</v>
      </c>
      <c r="E1421" t="n">
        <v/>
      </c>
    </row>
    <row r="1422">
      <c r="A1422" s="27" t="n">
        <v>42059</v>
      </c>
      <c r="B1422" t="n">
        <v/>
      </c>
      <c r="C1422" t="n">
        <v>0.553</v>
      </c>
      <c r="D1422" t="n">
        <v>1.972</v>
      </c>
      <c r="E1422" t="n">
        <v/>
      </c>
    </row>
    <row r="1423">
      <c r="A1423" s="27" t="n">
        <v>42060</v>
      </c>
      <c r="B1423" t="n">
        <v/>
      </c>
      <c r="C1423" t="n">
        <v>0.607</v>
      </c>
      <c r="D1423" t="n">
        <v>1.972</v>
      </c>
      <c r="E1423" t="n">
        <v/>
      </c>
    </row>
    <row r="1424">
      <c r="A1424" s="27" t="n">
        <v>42061</v>
      </c>
      <c r="B1424" t="n">
        <v/>
      </c>
      <c r="C1424" t="n">
        <v>0.654</v>
      </c>
      <c r="D1424" t="n">
        <v>2.031</v>
      </c>
      <c r="E1424" t="n">
        <v/>
      </c>
    </row>
    <row r="1425">
      <c r="A1425" s="27" t="n">
        <v>42062</v>
      </c>
      <c r="B1425" t="n">
        <v/>
      </c>
      <c r="C1425" t="n">
        <v>0.622</v>
      </c>
      <c r="D1425" t="n">
        <v>1.996</v>
      </c>
      <c r="E1425" t="n">
        <v/>
      </c>
    </row>
    <row r="1426">
      <c r="A1426" s="27" t="n">
        <v>42064</v>
      </c>
      <c r="B1426" t="n">
        <v/>
      </c>
      <c r="C1426" t="n">
        <v>0.634</v>
      </c>
      <c r="D1426" t="n">
        <v>2.005</v>
      </c>
      <c r="E1426" t="n">
        <v/>
      </c>
    </row>
    <row r="1427">
      <c r="A1427" s="27" t="n">
        <v>42065</v>
      </c>
      <c r="B1427" t="n">
        <v/>
      </c>
      <c r="C1427" t="n">
        <v>0.662</v>
      </c>
      <c r="D1427" t="n">
        <v>2.089</v>
      </c>
      <c r="E1427" t="n">
        <v/>
      </c>
    </row>
    <row r="1428">
      <c r="A1428" s="27" t="n">
        <v>42066</v>
      </c>
      <c r="B1428" t="n">
        <v/>
      </c>
      <c r="C1428" t="n">
        <v>0.6820000000000001</v>
      </c>
      <c r="D1428" t="n">
        <v>2.122</v>
      </c>
      <c r="E1428" t="n">
        <v/>
      </c>
    </row>
    <row r="1429">
      <c r="A1429" s="27" t="n">
        <v>42067</v>
      </c>
      <c r="B1429" t="n">
        <v/>
      </c>
      <c r="C1429" t="n">
        <v>0.659</v>
      </c>
      <c r="D1429" t="n">
        <v>2.119</v>
      </c>
      <c r="E1429" t="n">
        <v/>
      </c>
    </row>
    <row r="1430">
      <c r="A1430" s="27" t="n">
        <v>42068</v>
      </c>
      <c r="B1430" t="n">
        <v/>
      </c>
      <c r="C1430" t="n">
        <v>0.643</v>
      </c>
      <c r="D1430" t="n">
        <v>2.117</v>
      </c>
      <c r="E1430" t="n">
        <v/>
      </c>
    </row>
    <row r="1431">
      <c r="A1431" s="27" t="n">
        <v>42069</v>
      </c>
      <c r="B1431" t="n">
        <v/>
      </c>
      <c r="C1431" t="n">
        <v>0.727</v>
      </c>
      <c r="D1431" t="n">
        <v>2.247</v>
      </c>
      <c r="E1431" t="n">
        <v/>
      </c>
    </row>
    <row r="1432">
      <c r="A1432" s="27" t="n">
        <v>42071</v>
      </c>
      <c r="B1432" t="n">
        <v/>
      </c>
      <c r="C1432" t="n">
        <v>0.735</v>
      </c>
      <c r="D1432" t="n">
        <v>2.25</v>
      </c>
      <c r="E1432" t="n">
        <v/>
      </c>
    </row>
    <row r="1433">
      <c r="A1433" s="27" t="n">
        <v>42072</v>
      </c>
      <c r="B1433" t="n">
        <v/>
      </c>
      <c r="C1433" t="n">
        <v>0.696</v>
      </c>
      <c r="D1433" t="n">
        <v>2.192</v>
      </c>
      <c r="E1433" t="n">
        <v/>
      </c>
    </row>
    <row r="1434">
      <c r="A1434" s="27" t="n">
        <v>42073</v>
      </c>
      <c r="B1434" t="n">
        <v/>
      </c>
      <c r="C1434" t="n">
        <v>0.68</v>
      </c>
      <c r="D1434" t="n">
        <v>2.121</v>
      </c>
      <c r="E1434" t="n">
        <v/>
      </c>
    </row>
    <row r="1435">
      <c r="A1435" s="27" t="n">
        <v>42074</v>
      </c>
      <c r="B1435" t="n">
        <v/>
      </c>
      <c r="C1435" t="n">
        <v>0.6840000000000001</v>
      </c>
      <c r="D1435" t="n">
        <v>2.109</v>
      </c>
      <c r="E1435" t="n">
        <v/>
      </c>
    </row>
    <row r="1436">
      <c r="A1436" s="27" t="n">
        <v>42075</v>
      </c>
      <c r="B1436" t="n">
        <v/>
      </c>
      <c r="C1436" t="n">
        <v>0.664</v>
      </c>
      <c r="D1436" t="n">
        <v>2.11</v>
      </c>
      <c r="E1436" t="n">
        <v/>
      </c>
    </row>
    <row r="1437">
      <c r="A1437" s="27" t="n">
        <v>42076</v>
      </c>
      <c r="B1437" t="n">
        <v/>
      </c>
      <c r="C1437" t="n">
        <v>0.661</v>
      </c>
      <c r="D1437" t="n">
        <v>2.118</v>
      </c>
      <c r="E1437" t="n">
        <v/>
      </c>
    </row>
    <row r="1438">
      <c r="A1438" s="27" t="n">
        <v>42078</v>
      </c>
      <c r="B1438" t="n">
        <v/>
      </c>
      <c r="C1438" t="n">
        <v>0.657</v>
      </c>
      <c r="D1438" t="n">
        <v>2.105</v>
      </c>
      <c r="E1438" t="n">
        <v/>
      </c>
    </row>
    <row r="1439">
      <c r="A1439" s="27" t="n">
        <v>42079</v>
      </c>
      <c r="B1439" t="n">
        <v/>
      </c>
      <c r="C1439" t="n">
        <v>0.653</v>
      </c>
      <c r="D1439" t="n">
        <v>2.074</v>
      </c>
      <c r="E1439" t="n">
        <v/>
      </c>
    </row>
    <row r="1440">
      <c r="A1440" s="27" t="n">
        <v>42080</v>
      </c>
      <c r="B1440" t="n">
        <v/>
      </c>
      <c r="C1440" t="n">
        <v>0.674</v>
      </c>
      <c r="D1440" t="n">
        <v>2.052</v>
      </c>
      <c r="E1440" t="n">
        <v/>
      </c>
    </row>
    <row r="1441">
      <c r="A1441" s="27" t="n">
        <v>42081</v>
      </c>
      <c r="B1441" t="n">
        <v/>
      </c>
      <c r="C1441" t="n">
        <v>0.556</v>
      </c>
      <c r="D1441" t="n">
        <v>1.918</v>
      </c>
      <c r="E1441" t="n">
        <v/>
      </c>
    </row>
    <row r="1442">
      <c r="A1442" s="27" t="n">
        <v>42082</v>
      </c>
      <c r="B1442" t="n">
        <v/>
      </c>
      <c r="C1442" t="n">
        <v>0.613</v>
      </c>
      <c r="D1442" t="n">
        <v>1.97</v>
      </c>
      <c r="E1442" t="n">
        <v/>
      </c>
    </row>
    <row r="1443">
      <c r="A1443" s="27" t="n">
        <v>42083</v>
      </c>
      <c r="B1443" t="n">
        <v/>
      </c>
      <c r="C1443" t="n">
        <v>0.585</v>
      </c>
      <c r="D1443" t="n">
        <v>1.932</v>
      </c>
      <c r="E1443" t="n">
        <v/>
      </c>
    </row>
    <row r="1444">
      <c r="A1444" s="27" t="n">
        <v>42085</v>
      </c>
      <c r="B1444" t="n">
        <v/>
      </c>
      <c r="C1444" t="n">
        <v>0.581</v>
      </c>
      <c r="D1444" t="n">
        <v>1.925</v>
      </c>
      <c r="E1444" t="n">
        <v/>
      </c>
    </row>
    <row r="1445">
      <c r="A1445" s="27" t="n">
        <v>42086</v>
      </c>
      <c r="B1445" t="n">
        <v/>
      </c>
      <c r="C1445" t="n">
        <v>0.577</v>
      </c>
      <c r="D1445" t="n">
        <v>1.909</v>
      </c>
      <c r="E1445" t="n">
        <v/>
      </c>
    </row>
    <row r="1446">
      <c r="A1446" s="27" t="n">
        <v>42087</v>
      </c>
      <c r="B1446" t="n">
        <v/>
      </c>
      <c r="C1446" t="n">
        <v>0.5610000000000001</v>
      </c>
      <c r="D1446" t="n">
        <v>1.873</v>
      </c>
      <c r="E1446" t="n">
        <v/>
      </c>
    </row>
    <row r="1447">
      <c r="A1447" s="27" t="n">
        <v>42088</v>
      </c>
      <c r="B1447" t="n">
        <v/>
      </c>
      <c r="C1447" t="n">
        <v>0.606</v>
      </c>
      <c r="D1447" t="n">
        <v>1.927</v>
      </c>
      <c r="E1447" t="n">
        <v/>
      </c>
    </row>
    <row r="1448">
      <c r="A1448" s="27" t="n">
        <v>42089</v>
      </c>
      <c r="B1448" t="n">
        <v/>
      </c>
      <c r="C1448" t="n">
        <v>0.618</v>
      </c>
      <c r="D1448" t="n">
        <v>1.996</v>
      </c>
      <c r="E1448" t="n">
        <v/>
      </c>
    </row>
    <row r="1449">
      <c r="A1449" s="27" t="n">
        <v>42090</v>
      </c>
      <c r="B1449" t="n">
        <v/>
      </c>
      <c r="C1449" t="n">
        <v>0.598</v>
      </c>
      <c r="D1449" t="n">
        <v>1.96</v>
      </c>
      <c r="E1449" t="n">
        <v/>
      </c>
    </row>
    <row r="1450">
      <c r="A1450" s="27" t="n">
        <v>42092</v>
      </c>
      <c r="B1450" t="n">
        <v/>
      </c>
      <c r="C1450" t="n">
        <v>0.59</v>
      </c>
      <c r="D1450" t="n">
        <v>1.956</v>
      </c>
      <c r="E1450" t="n">
        <v/>
      </c>
    </row>
    <row r="1451">
      <c r="A1451" s="27" t="n">
        <v>42093</v>
      </c>
      <c r="B1451" t="n">
        <v/>
      </c>
      <c r="C1451" t="n">
        <v>0.583</v>
      </c>
      <c r="D1451" t="n">
        <v>1.953</v>
      </c>
      <c r="E1451" t="n">
        <v/>
      </c>
    </row>
    <row r="1452">
      <c r="A1452" s="27" t="n">
        <v>42094</v>
      </c>
      <c r="B1452" t="n">
        <v/>
      </c>
      <c r="C1452" t="n">
        <v>0.5590000000000001</v>
      </c>
      <c r="D1452" t="n">
        <v>1.927</v>
      </c>
      <c r="E1452" t="n">
        <v/>
      </c>
    </row>
    <row r="1453">
      <c r="A1453" s="27" t="n">
        <v>42095</v>
      </c>
      <c r="B1453" t="n">
        <v/>
      </c>
      <c r="C1453" t="n">
        <v>0.539</v>
      </c>
      <c r="D1453" t="n">
        <v>1.859</v>
      </c>
      <c r="E1453" t="n">
        <v/>
      </c>
    </row>
    <row r="1454">
      <c r="A1454" s="27" t="n">
        <v>42096</v>
      </c>
      <c r="B1454" t="n">
        <v/>
      </c>
      <c r="C1454" t="n">
        <v>0.544</v>
      </c>
      <c r="D1454" t="n">
        <v>1.913</v>
      </c>
      <c r="E1454" t="n">
        <v/>
      </c>
    </row>
    <row r="1455">
      <c r="A1455" s="27" t="n">
        <v>42097</v>
      </c>
      <c r="B1455" t="n">
        <v/>
      </c>
      <c r="C1455" t="n">
        <v>0.484</v>
      </c>
      <c r="D1455" t="n">
        <v>1.842</v>
      </c>
      <c r="E1455" t="n">
        <v/>
      </c>
    </row>
    <row r="1456">
      <c r="A1456" s="27" t="n">
        <v>42099</v>
      </c>
      <c r="B1456" t="n">
        <v/>
      </c>
      <c r="C1456" t="n">
        <v>0.484</v>
      </c>
      <c r="D1456" t="n">
        <v>1.833</v>
      </c>
      <c r="E1456" t="n">
        <v/>
      </c>
    </row>
    <row r="1457">
      <c r="A1457" s="27" t="n">
        <v>42100</v>
      </c>
      <c r="B1457" t="n">
        <v/>
      </c>
      <c r="C1457" t="n">
        <v>0.5</v>
      </c>
      <c r="D1457" t="n">
        <v>1.899</v>
      </c>
      <c r="E1457" t="n">
        <v/>
      </c>
    </row>
    <row r="1458">
      <c r="A1458" s="27" t="n">
        <v>42101</v>
      </c>
      <c r="B1458" t="n">
        <v/>
      </c>
      <c r="C1458" t="n">
        <v>0.52</v>
      </c>
      <c r="D1458" t="n">
        <v>1.887</v>
      </c>
      <c r="E1458" t="n">
        <v/>
      </c>
    </row>
    <row r="1459">
      <c r="A1459" s="27" t="n">
        <v>42102</v>
      </c>
      <c r="B1459" t="n">
        <v/>
      </c>
      <c r="C1459" t="n">
        <v>0.536</v>
      </c>
      <c r="D1459" t="n">
        <v>1.906</v>
      </c>
      <c r="E1459" t="n">
        <v/>
      </c>
    </row>
    <row r="1460">
      <c r="A1460" s="27" t="n">
        <v>42103</v>
      </c>
      <c r="B1460" t="n">
        <v/>
      </c>
      <c r="C1460" t="n">
        <v>0.552</v>
      </c>
      <c r="D1460" t="n">
        <v>1.963</v>
      </c>
      <c r="E1460" t="n">
        <v/>
      </c>
    </row>
    <row r="1461">
      <c r="A1461" s="27" t="n">
        <v>42104</v>
      </c>
      <c r="B1461" t="n">
        <v/>
      </c>
      <c r="C1461" t="n">
        <v>0.5600000000000001</v>
      </c>
      <c r="D1461" t="n">
        <v>1.949</v>
      </c>
      <c r="E1461" t="n">
        <v/>
      </c>
    </row>
    <row r="1462">
      <c r="A1462" s="27" t="n">
        <v>42106</v>
      </c>
      <c r="B1462" t="n">
        <v/>
      </c>
      <c r="C1462" t="n">
        <v>0.5639999999999999</v>
      </c>
      <c r="D1462" t="n">
        <v>1.951</v>
      </c>
      <c r="E1462" t="n">
        <v/>
      </c>
    </row>
    <row r="1463">
      <c r="A1463" s="27" t="n">
        <v>42107</v>
      </c>
      <c r="B1463" t="n">
        <v/>
      </c>
      <c r="C1463" t="n">
        <v>0.536</v>
      </c>
      <c r="D1463" t="n">
        <v>1.93</v>
      </c>
      <c r="E1463" t="n">
        <v/>
      </c>
    </row>
    <row r="1464">
      <c r="A1464" s="27" t="n">
        <v>42108</v>
      </c>
      <c r="B1464" t="n">
        <v/>
      </c>
      <c r="C1464" t="n">
        <v>0.516</v>
      </c>
      <c r="D1464" t="n">
        <v>1.9</v>
      </c>
      <c r="E1464" t="n">
        <v/>
      </c>
    </row>
    <row r="1465">
      <c r="A1465" s="27" t="n">
        <v>42109</v>
      </c>
      <c r="B1465" t="n">
        <v/>
      </c>
      <c r="C1465" t="n">
        <v>0.5</v>
      </c>
      <c r="D1465" t="n">
        <v>1.89</v>
      </c>
      <c r="E1465" t="n">
        <v/>
      </c>
    </row>
    <row r="1466">
      <c r="A1466" s="27" t="n">
        <v>42110</v>
      </c>
      <c r="B1466" t="n">
        <v/>
      </c>
      <c r="C1466" t="n">
        <v>0.488</v>
      </c>
      <c r="D1466" t="n">
        <v>1.895</v>
      </c>
      <c r="E1466" t="n">
        <v/>
      </c>
    </row>
    <row r="1467">
      <c r="A1467" s="27" t="n">
        <v>42111</v>
      </c>
      <c r="B1467" t="n">
        <v/>
      </c>
      <c r="C1467" t="n">
        <v>0.512</v>
      </c>
      <c r="D1467" t="n">
        <v>1.865</v>
      </c>
      <c r="E1467" t="n">
        <v/>
      </c>
    </row>
    <row r="1468">
      <c r="A1468" s="27" t="n">
        <v>42113</v>
      </c>
      <c r="B1468" t="n">
        <v/>
      </c>
      <c r="C1468" t="n">
        <v>0.516</v>
      </c>
      <c r="D1468" t="n">
        <v>1.87</v>
      </c>
      <c r="E1468" t="n">
        <v/>
      </c>
    </row>
    <row r="1469">
      <c r="A1469" s="27" t="n">
        <v>42114</v>
      </c>
      <c r="B1469" t="n">
        <v/>
      </c>
      <c r="C1469" t="n">
        <v>0.524</v>
      </c>
      <c r="D1469" t="n">
        <v>1.886</v>
      </c>
      <c r="E1469" t="n">
        <v/>
      </c>
    </row>
    <row r="1470">
      <c r="A1470" s="27" t="n">
        <v>42115</v>
      </c>
      <c r="B1470" t="n">
        <v/>
      </c>
      <c r="C1470" t="n">
        <v>0.52</v>
      </c>
      <c r="D1470" t="n">
        <v>1.911</v>
      </c>
      <c r="E1470" t="n">
        <v/>
      </c>
    </row>
    <row r="1471">
      <c r="A1471" s="27" t="n">
        <v>42116</v>
      </c>
      <c r="B1471" t="n">
        <v/>
      </c>
      <c r="C1471" t="n">
        <v>0.553</v>
      </c>
      <c r="D1471" t="n">
        <v>1.982</v>
      </c>
      <c r="E1471" t="n">
        <v/>
      </c>
    </row>
    <row r="1472">
      <c r="A1472" s="27" t="n">
        <v>42117</v>
      </c>
      <c r="B1472" t="n">
        <v/>
      </c>
      <c r="C1472" t="n">
        <v>0.532</v>
      </c>
      <c r="D1472" t="n">
        <v>1.954</v>
      </c>
      <c r="E1472" t="n">
        <v/>
      </c>
    </row>
    <row r="1473">
      <c r="A1473" s="27" t="n">
        <v>42118</v>
      </c>
      <c r="B1473" t="n">
        <v/>
      </c>
      <c r="C1473" t="n">
        <v>0.508</v>
      </c>
      <c r="D1473" t="n">
        <v>1.914</v>
      </c>
      <c r="E1473" t="n">
        <v/>
      </c>
    </row>
    <row r="1474">
      <c r="A1474" s="27" t="n">
        <v>42120</v>
      </c>
      <c r="B1474" t="n">
        <v/>
      </c>
      <c r="C1474" t="n">
        <v>0.508</v>
      </c>
      <c r="D1474" t="n">
        <v>1.909</v>
      </c>
      <c r="E1474" t="n">
        <v/>
      </c>
    </row>
    <row r="1475">
      <c r="A1475" s="27" t="n">
        <v>42121</v>
      </c>
      <c r="B1475" t="n">
        <v/>
      </c>
      <c r="C1475" t="n">
        <v>0.524</v>
      </c>
      <c r="D1475" t="n">
        <v>1.926</v>
      </c>
      <c r="E1475" t="n">
        <v/>
      </c>
    </row>
    <row r="1476">
      <c r="A1476" s="27" t="n">
        <v>42122</v>
      </c>
      <c r="B1476" t="n">
        <v/>
      </c>
      <c r="C1476" t="n">
        <v>0.5629999999999999</v>
      </c>
      <c r="D1476" t="n">
        <v>2.003</v>
      </c>
      <c r="E1476" t="n">
        <v/>
      </c>
    </row>
    <row r="1477">
      <c r="A1477" s="27" t="n">
        <v>42123</v>
      </c>
      <c r="B1477" t="n">
        <v/>
      </c>
      <c r="C1477" t="n">
        <v>0.5629999999999999</v>
      </c>
      <c r="D1477" t="n">
        <v>2.046</v>
      </c>
      <c r="E1477" t="n">
        <v/>
      </c>
    </row>
    <row r="1478">
      <c r="A1478" s="27" t="n">
        <v>42124</v>
      </c>
      <c r="B1478" t="n">
        <v/>
      </c>
      <c r="C1478" t="n">
        <v>0.575</v>
      </c>
      <c r="D1478" t="n">
        <v>2.035</v>
      </c>
      <c r="E1478" t="n">
        <v/>
      </c>
    </row>
    <row r="1479">
      <c r="A1479" s="27" t="n">
        <v>42125</v>
      </c>
      <c r="B1479" t="n">
        <v/>
      </c>
      <c r="C1479" t="n">
        <v>0.599</v>
      </c>
      <c r="D1479" t="n">
        <v>2.112</v>
      </c>
      <c r="E1479" t="n">
        <v/>
      </c>
    </row>
    <row r="1480">
      <c r="A1480" s="27" t="n">
        <v>42127</v>
      </c>
      <c r="B1480" t="n">
        <v/>
      </c>
      <c r="C1480" t="n">
        <v>0.599</v>
      </c>
      <c r="D1480" t="n">
        <v>2.112</v>
      </c>
      <c r="E1480" t="n">
        <v/>
      </c>
    </row>
    <row r="1481">
      <c r="A1481" s="27" t="n">
        <v>42128</v>
      </c>
      <c r="B1481" t="n">
        <v/>
      </c>
      <c r="C1481" t="n">
        <v>0.603</v>
      </c>
      <c r="D1481" t="n">
        <v>2.146</v>
      </c>
      <c r="E1481" t="n">
        <v/>
      </c>
    </row>
    <row r="1482">
      <c r="A1482" s="27" t="n">
        <v>42129</v>
      </c>
      <c r="B1482" t="n">
        <v/>
      </c>
      <c r="C1482" t="n">
        <v>0.627</v>
      </c>
      <c r="D1482" t="n">
        <v>2.182</v>
      </c>
      <c r="E1482" t="n">
        <v/>
      </c>
    </row>
    <row r="1483">
      <c r="A1483" s="27" t="n">
        <v>42130</v>
      </c>
      <c r="B1483" t="n">
        <v/>
      </c>
      <c r="C1483" t="n">
        <v>0.639</v>
      </c>
      <c r="D1483" t="n">
        <v>2.252</v>
      </c>
      <c r="E1483" t="n">
        <v/>
      </c>
    </row>
    <row r="1484">
      <c r="A1484" s="27" t="n">
        <v>42131</v>
      </c>
      <c r="B1484" t="n">
        <v/>
      </c>
      <c r="C1484" t="n">
        <v>0.635</v>
      </c>
      <c r="D1484" t="n">
        <v>2.178</v>
      </c>
      <c r="E1484" t="n">
        <v/>
      </c>
    </row>
    <row r="1485">
      <c r="A1485" s="27" t="n">
        <v>42132</v>
      </c>
      <c r="B1485" t="n">
        <v/>
      </c>
      <c r="C1485" t="n">
        <v>0.572</v>
      </c>
      <c r="D1485" t="n">
        <v>2.142</v>
      </c>
      <c r="E1485" t="n">
        <v/>
      </c>
    </row>
    <row r="1486">
      <c r="A1486" s="27" t="n">
        <v>42134</v>
      </c>
      <c r="B1486" t="n">
        <v/>
      </c>
      <c r="C1486" t="n">
        <v>0.576</v>
      </c>
      <c r="D1486" t="n">
        <v>2.139</v>
      </c>
      <c r="E1486" t="n">
        <v/>
      </c>
    </row>
    <row r="1487">
      <c r="A1487" s="27" t="n">
        <v>42135</v>
      </c>
      <c r="B1487" t="n">
        <v/>
      </c>
      <c r="C1487" t="n">
        <v>0.62</v>
      </c>
      <c r="D1487" t="n">
        <v>2.287</v>
      </c>
      <c r="E1487" t="n">
        <v/>
      </c>
    </row>
    <row r="1488">
      <c r="A1488" s="27" t="n">
        <v>42136</v>
      </c>
      <c r="B1488" t="n">
        <v/>
      </c>
      <c r="C1488" t="n">
        <v>0.596</v>
      </c>
      <c r="D1488" t="n">
        <v>2.247</v>
      </c>
      <c r="E1488" t="n">
        <v/>
      </c>
    </row>
    <row r="1489">
      <c r="A1489" s="27" t="n">
        <v>42137</v>
      </c>
      <c r="B1489" t="n">
        <v/>
      </c>
      <c r="C1489" t="n">
        <v>0.58</v>
      </c>
      <c r="D1489" t="n">
        <v>2.295</v>
      </c>
      <c r="E1489" t="n">
        <v/>
      </c>
    </row>
    <row r="1490">
      <c r="A1490" s="27" t="n">
        <v>42138</v>
      </c>
      <c r="B1490" t="n">
        <v/>
      </c>
      <c r="C1490" t="n">
        <v>0.544</v>
      </c>
      <c r="D1490" t="n">
        <v>2.235</v>
      </c>
      <c r="E1490" t="n">
        <v/>
      </c>
    </row>
    <row r="1491">
      <c r="A1491" s="27" t="n">
        <v>42139</v>
      </c>
      <c r="B1491" t="n">
        <v/>
      </c>
      <c r="C1491" t="n">
        <v>0.54</v>
      </c>
      <c r="D1491" t="n">
        <v>2.148</v>
      </c>
      <c r="E1491" t="n">
        <v/>
      </c>
    </row>
    <row r="1492">
      <c r="A1492" s="27" t="n">
        <v>42141</v>
      </c>
      <c r="B1492" t="n">
        <v/>
      </c>
      <c r="C1492" t="n">
        <v>0.536</v>
      </c>
      <c r="D1492" t="n">
        <v>2.153</v>
      </c>
      <c r="E1492" t="n">
        <v/>
      </c>
    </row>
    <row r="1493">
      <c r="A1493" s="27" t="n">
        <v>42142</v>
      </c>
      <c r="B1493" t="n">
        <v/>
      </c>
      <c r="C1493" t="n">
        <v>0.577</v>
      </c>
      <c r="D1493" t="n">
        <v>2.234</v>
      </c>
      <c r="E1493" t="n">
        <v/>
      </c>
    </row>
    <row r="1494">
      <c r="A1494" s="27" t="n">
        <v>42143</v>
      </c>
      <c r="B1494" t="n">
        <v/>
      </c>
      <c r="C1494" t="n">
        <v>0.617</v>
      </c>
      <c r="D1494" t="n">
        <v>2.29</v>
      </c>
      <c r="E1494" t="n">
        <v/>
      </c>
    </row>
    <row r="1495">
      <c r="A1495" s="27" t="n">
        <v>42144</v>
      </c>
      <c r="B1495" t="n">
        <v/>
      </c>
      <c r="C1495" t="n">
        <v>0.593</v>
      </c>
      <c r="D1495" t="n">
        <v>2.257</v>
      </c>
      <c r="E1495" t="n">
        <v/>
      </c>
    </row>
    <row r="1496">
      <c r="A1496" s="27" t="n">
        <v>42145</v>
      </c>
      <c r="B1496" t="n">
        <v/>
      </c>
      <c r="C1496" t="n">
        <v>0.577</v>
      </c>
      <c r="D1496" t="n">
        <v>2.195</v>
      </c>
      <c r="E1496" t="n">
        <v/>
      </c>
    </row>
    <row r="1497">
      <c r="A1497" s="27" t="n">
        <v>42146</v>
      </c>
      <c r="B1497" t="n">
        <v/>
      </c>
      <c r="C1497" t="n">
        <v>0.618</v>
      </c>
      <c r="D1497" t="n">
        <v>2.215</v>
      </c>
      <c r="E1497" t="n">
        <v/>
      </c>
    </row>
    <row r="1498">
      <c r="A1498" s="27" t="n">
        <v>42149</v>
      </c>
      <c r="B1498" t="n">
        <v/>
      </c>
      <c r="C1498" t="n">
        <v>0.622</v>
      </c>
      <c r="D1498" t="n">
        <v>2.204</v>
      </c>
      <c r="E1498" t="n">
        <v/>
      </c>
    </row>
    <row r="1499">
      <c r="A1499" s="27" t="n">
        <v>42150</v>
      </c>
      <c r="B1499" t="n">
        <v/>
      </c>
      <c r="C1499" t="n">
        <v>0.614</v>
      </c>
      <c r="D1499" t="n">
        <v>2.142</v>
      </c>
      <c r="E1499" t="n">
        <v/>
      </c>
    </row>
    <row r="1500">
      <c r="A1500" s="27" t="n">
        <v>42151</v>
      </c>
      <c r="B1500" t="n">
        <v/>
      </c>
      <c r="C1500" t="n">
        <v>0.648</v>
      </c>
      <c r="D1500" t="n">
        <v>2.13</v>
      </c>
      <c r="E1500" t="n">
        <v/>
      </c>
    </row>
    <row r="1501">
      <c r="A1501" s="27" t="n">
        <v>42152</v>
      </c>
      <c r="B1501" t="n">
        <v/>
      </c>
      <c r="C1501" t="n">
        <v>0.629</v>
      </c>
      <c r="D1501" t="n">
        <v>2.135</v>
      </c>
      <c r="E1501" t="n">
        <v/>
      </c>
    </row>
    <row r="1502">
      <c r="A1502" s="27" t="n">
        <v>42153</v>
      </c>
      <c r="B1502" t="n">
        <v/>
      </c>
      <c r="C1502" t="n">
        <v>0.609</v>
      </c>
      <c r="D1502" t="n">
        <v>2.123</v>
      </c>
      <c r="E1502" t="n">
        <v/>
      </c>
    </row>
    <row r="1503">
      <c r="A1503" s="27" t="n">
        <v>42154</v>
      </c>
      <c r="B1503" t="n">
        <v/>
      </c>
      <c r="C1503" t="n">
        <v>0.609</v>
      </c>
      <c r="D1503" t="n">
        <v>2.123</v>
      </c>
      <c r="E1503" t="n">
        <v/>
      </c>
    </row>
    <row r="1504">
      <c r="A1504" s="27" t="n">
        <v>42155</v>
      </c>
      <c r="B1504" t="n">
        <v/>
      </c>
      <c r="C1504" t="n">
        <v>0.613</v>
      </c>
      <c r="D1504" t="n">
        <v>2.128</v>
      </c>
      <c r="E1504" t="n">
        <v/>
      </c>
    </row>
    <row r="1505">
      <c r="A1505" s="27" t="n">
        <v>42156</v>
      </c>
      <c r="B1505" t="n">
        <v/>
      </c>
      <c r="C1505" t="n">
        <v>0.649</v>
      </c>
      <c r="D1505" t="n">
        <v>2.183</v>
      </c>
      <c r="E1505" t="n">
        <v/>
      </c>
    </row>
    <row r="1506">
      <c r="A1506" s="27" t="n">
        <v>42157</v>
      </c>
      <c r="B1506" t="n">
        <v/>
      </c>
      <c r="C1506" t="n">
        <v>0.657</v>
      </c>
      <c r="D1506" t="n">
        <v>2.266</v>
      </c>
      <c r="E1506" t="n">
        <v/>
      </c>
    </row>
    <row r="1507">
      <c r="A1507" s="27" t="n">
        <v>42158</v>
      </c>
      <c r="B1507" t="n">
        <v/>
      </c>
      <c r="C1507" t="n">
        <v>0.672</v>
      </c>
      <c r="D1507" t="n">
        <v>2.361</v>
      </c>
      <c r="E1507" t="n">
        <v/>
      </c>
    </row>
    <row r="1508">
      <c r="A1508" s="27" t="n">
        <v>42159</v>
      </c>
      <c r="B1508" t="n">
        <v/>
      </c>
      <c r="C1508" t="n">
        <v>0.665</v>
      </c>
      <c r="D1508" t="n">
        <v>2.309</v>
      </c>
      <c r="E1508" t="n">
        <v/>
      </c>
    </row>
    <row r="1509">
      <c r="A1509" s="27" t="n">
        <v>42160</v>
      </c>
      <c r="B1509" t="n">
        <v/>
      </c>
      <c r="C1509" t="n">
        <v>0.717</v>
      </c>
      <c r="D1509" t="n">
        <v>2.409</v>
      </c>
      <c r="E1509" t="n">
        <v/>
      </c>
    </row>
    <row r="1510">
      <c r="A1510" s="27" t="n">
        <v>42162</v>
      </c>
      <c r="B1510" t="n">
        <v/>
      </c>
      <c r="C1510" t="n">
        <v>0.729</v>
      </c>
      <c r="D1510" t="n">
        <v>2.413</v>
      </c>
      <c r="E1510" t="n">
        <v/>
      </c>
    </row>
    <row r="1511">
      <c r="A1511" s="27" t="n">
        <v>42163</v>
      </c>
      <c r="B1511" t="n">
        <v/>
      </c>
      <c r="C1511" t="n">
        <v>0.6850000000000001</v>
      </c>
      <c r="D1511" t="n">
        <v>2.382</v>
      </c>
      <c r="E1511" t="n">
        <v/>
      </c>
    </row>
    <row r="1512">
      <c r="A1512" s="27" t="n">
        <v>42164</v>
      </c>
      <c r="B1512" t="n">
        <v/>
      </c>
      <c r="C1512" t="n">
        <v>0.721</v>
      </c>
      <c r="D1512" t="n">
        <v>2.442</v>
      </c>
      <c r="E1512" t="n">
        <v/>
      </c>
    </row>
    <row r="1513">
      <c r="A1513" s="27" t="n">
        <v>42165</v>
      </c>
      <c r="B1513" t="n">
        <v/>
      </c>
      <c r="C1513" t="n">
        <v>0.729</v>
      </c>
      <c r="D1513" t="n">
        <v>2.486</v>
      </c>
      <c r="E1513" t="n">
        <v/>
      </c>
    </row>
    <row r="1514">
      <c r="A1514" s="27" t="n">
        <v>42166</v>
      </c>
      <c r="B1514" t="n">
        <v/>
      </c>
      <c r="C1514" t="n">
        <v>0.717</v>
      </c>
      <c r="D1514" t="n">
        <v>2.381</v>
      </c>
      <c r="E1514" t="n">
        <v/>
      </c>
    </row>
    <row r="1515">
      <c r="A1515" s="27" t="n">
        <v>42167</v>
      </c>
      <c r="B1515" t="n">
        <v/>
      </c>
      <c r="C1515" t="n">
        <v>0.726</v>
      </c>
      <c r="D1515" t="n">
        <v>2.39</v>
      </c>
      <c r="E1515" t="n">
        <v/>
      </c>
    </row>
    <row r="1516">
      <c r="A1516" s="27" t="n">
        <v>42169</v>
      </c>
      <c r="B1516" t="n">
        <v/>
      </c>
      <c r="C1516" t="n">
        <v>0.714</v>
      </c>
      <c r="D1516" t="n">
        <v>2.35</v>
      </c>
      <c r="E1516" t="n">
        <v/>
      </c>
    </row>
    <row r="1517">
      <c r="A1517" s="27" t="n">
        <v>42170</v>
      </c>
      <c r="B1517" t="n">
        <v/>
      </c>
      <c r="C1517" t="n">
        <v>0.706</v>
      </c>
      <c r="D1517" t="n">
        <v>2.36</v>
      </c>
      <c r="E1517" t="n">
        <v/>
      </c>
    </row>
    <row r="1518">
      <c r="A1518" s="27" t="n">
        <v>42171</v>
      </c>
      <c r="B1518" t="n">
        <v/>
      </c>
      <c r="C1518" t="n">
        <v>0.694</v>
      </c>
      <c r="D1518" t="n">
        <v>2.309</v>
      </c>
      <c r="E1518" t="n">
        <v/>
      </c>
    </row>
    <row r="1519">
      <c r="A1519" s="27" t="n">
        <v>42172</v>
      </c>
      <c r="B1519" t="n">
        <v/>
      </c>
      <c r="C1519" t="n">
        <v>0.657</v>
      </c>
      <c r="D1519" t="n">
        <v>2.32</v>
      </c>
      <c r="E1519" t="n">
        <v/>
      </c>
    </row>
    <row r="1520">
      <c r="A1520" s="27" t="n">
        <v>42173</v>
      </c>
      <c r="B1520" t="n">
        <v/>
      </c>
      <c r="C1520" t="n">
        <v>0.637</v>
      </c>
      <c r="D1520" t="n">
        <v>2.334</v>
      </c>
      <c r="E1520" t="n">
        <v/>
      </c>
    </row>
    <row r="1521">
      <c r="A1521" s="27" t="n">
        <v>42174</v>
      </c>
      <c r="B1521" t="n">
        <v/>
      </c>
      <c r="C1521" t="n">
        <v>0.621</v>
      </c>
      <c r="D1521" t="n">
        <v>2.261</v>
      </c>
      <c r="E1521" t="n">
        <v/>
      </c>
    </row>
    <row r="1522">
      <c r="A1522" s="27" t="n">
        <v>42176</v>
      </c>
      <c r="B1522" t="n">
        <v/>
      </c>
      <c r="C1522" t="n">
        <v>0.637</v>
      </c>
      <c r="D1522" t="n">
        <v>2.288</v>
      </c>
      <c r="E1522" t="n">
        <v/>
      </c>
    </row>
    <row r="1523">
      <c r="A1523" s="27" t="n">
        <v>42177</v>
      </c>
      <c r="B1523" t="n">
        <v/>
      </c>
      <c r="C1523" t="n">
        <v>0.662</v>
      </c>
      <c r="D1523" t="n">
        <v>2.374</v>
      </c>
      <c r="E1523" t="n">
        <v/>
      </c>
    </row>
    <row r="1524">
      <c r="A1524" s="27" t="n">
        <v>42178</v>
      </c>
      <c r="B1524" t="n">
        <v/>
      </c>
      <c r="C1524" t="n">
        <v>0.6820000000000001</v>
      </c>
      <c r="D1524" t="n">
        <v>2.414</v>
      </c>
      <c r="E1524" t="n">
        <v/>
      </c>
    </row>
    <row r="1525">
      <c r="A1525" s="27" t="n">
        <v>42179</v>
      </c>
      <c r="B1525" t="n">
        <v/>
      </c>
      <c r="C1525" t="n">
        <v>0.6840000000000001</v>
      </c>
      <c r="D1525" t="n">
        <v>2.373</v>
      </c>
      <c r="E1525" t="n">
        <v/>
      </c>
    </row>
    <row r="1526">
      <c r="A1526" s="27" t="n">
        <v>42180</v>
      </c>
      <c r="B1526" t="n">
        <v/>
      </c>
      <c r="C1526" t="n">
        <v>0.6879999999999999</v>
      </c>
      <c r="D1526" t="n">
        <v>2.412</v>
      </c>
      <c r="E1526" t="n">
        <v/>
      </c>
    </row>
    <row r="1527">
      <c r="A1527" s="27" t="n">
        <v>42181</v>
      </c>
      <c r="B1527" t="n">
        <v/>
      </c>
      <c r="C1527" t="n">
        <v>0.716</v>
      </c>
      <c r="D1527" t="n">
        <v>2.474</v>
      </c>
      <c r="E1527" t="n">
        <v/>
      </c>
    </row>
    <row r="1528">
      <c r="A1528" s="27" t="n">
        <v>42183</v>
      </c>
      <c r="B1528" t="n">
        <v/>
      </c>
      <c r="C1528" t="n">
        <v>0.625</v>
      </c>
      <c r="D1528" t="n">
        <v>2.304</v>
      </c>
      <c r="E1528" t="n">
        <v/>
      </c>
    </row>
    <row r="1529">
      <c r="A1529" s="27" t="n">
        <v>42184</v>
      </c>
      <c r="B1529" t="n">
        <v/>
      </c>
      <c r="C1529" t="n">
        <v>0.637</v>
      </c>
      <c r="D1529" t="n">
        <v>2.328</v>
      </c>
      <c r="E1529" t="n">
        <v/>
      </c>
    </row>
    <row r="1530">
      <c r="A1530" s="27" t="n">
        <v>42185</v>
      </c>
      <c r="B1530" t="n">
        <v/>
      </c>
      <c r="C1530" t="n">
        <v>0.645</v>
      </c>
      <c r="D1530" t="n">
        <v>2.349</v>
      </c>
      <c r="E1530" t="n">
        <v/>
      </c>
    </row>
    <row r="1531">
      <c r="A1531" s="27" t="n">
        <v>42186</v>
      </c>
      <c r="B1531" t="n">
        <v/>
      </c>
      <c r="C1531" t="n">
        <v>0.6919999999999999</v>
      </c>
      <c r="D1531" t="n">
        <v>2.427</v>
      </c>
      <c r="E1531" t="n">
        <v/>
      </c>
    </row>
    <row r="1532">
      <c r="A1532" s="27" t="n">
        <v>42187</v>
      </c>
      <c r="B1532" t="n">
        <v/>
      </c>
      <c r="C1532" t="n">
        <v>0.633</v>
      </c>
      <c r="D1532" t="n">
        <v>2.386</v>
      </c>
      <c r="E1532" t="n">
        <v/>
      </c>
    </row>
    <row r="1533">
      <c r="A1533" s="27" t="n">
        <v>42190</v>
      </c>
      <c r="B1533" t="n">
        <v/>
      </c>
      <c r="C1533" t="n">
        <v>0.5659999999999999</v>
      </c>
      <c r="D1533" t="n">
        <v>2.272</v>
      </c>
      <c r="E1533" t="n">
        <v/>
      </c>
    </row>
    <row r="1534">
      <c r="A1534" s="27" t="n">
        <v>42191</v>
      </c>
      <c r="B1534" t="n">
        <v/>
      </c>
      <c r="C1534" t="n">
        <v>0.593</v>
      </c>
      <c r="D1534" t="n">
        <v>2.29</v>
      </c>
      <c r="E1534" t="n">
        <v/>
      </c>
    </row>
    <row r="1535">
      <c r="A1535" s="27" t="n">
        <v>42192</v>
      </c>
      <c r="B1535" t="n">
        <v/>
      </c>
      <c r="C1535" t="n">
        <v>0.589</v>
      </c>
      <c r="D1535" t="n">
        <v>2.255</v>
      </c>
      <c r="E1535" t="n">
        <v/>
      </c>
    </row>
    <row r="1536">
      <c r="A1536" s="27" t="n">
        <v>42193</v>
      </c>
      <c r="B1536" t="n">
        <v/>
      </c>
      <c r="C1536" t="n">
        <v>0.549</v>
      </c>
      <c r="D1536" t="n">
        <v>2.197</v>
      </c>
      <c r="E1536" t="n">
        <v/>
      </c>
    </row>
    <row r="1537">
      <c r="A1537" s="27" t="n">
        <v>42194</v>
      </c>
      <c r="B1537" t="n">
        <v/>
      </c>
      <c r="C1537" t="n">
        <v>0.585</v>
      </c>
      <c r="D1537" t="n">
        <v>2.317</v>
      </c>
      <c r="E1537" t="n">
        <v/>
      </c>
    </row>
    <row r="1538">
      <c r="A1538" s="27" t="n">
        <v>42195</v>
      </c>
      <c r="B1538" t="n">
        <v/>
      </c>
      <c r="C1538" t="n">
        <v>0.645</v>
      </c>
      <c r="D1538" t="n">
        <v>2.401</v>
      </c>
      <c r="E1538" t="n">
        <v/>
      </c>
    </row>
    <row r="1539">
      <c r="A1539" s="27" t="n">
        <v>42197</v>
      </c>
      <c r="B1539" t="n">
        <v/>
      </c>
      <c r="C1539" t="n">
        <v>0.637</v>
      </c>
      <c r="D1539" t="n">
        <v>2.39</v>
      </c>
      <c r="E1539" t="n">
        <v/>
      </c>
    </row>
    <row r="1540">
      <c r="A1540" s="27" t="n">
        <v>42198</v>
      </c>
      <c r="B1540" t="n">
        <v/>
      </c>
      <c r="C1540" t="n">
        <v>0.677</v>
      </c>
      <c r="D1540" t="n">
        <v>2.446</v>
      </c>
      <c r="E1540" t="n">
        <v/>
      </c>
    </row>
    <row r="1541">
      <c r="A1541" s="27" t="n">
        <v>42199</v>
      </c>
      <c r="B1541" t="n">
        <v/>
      </c>
      <c r="C1541" t="n">
        <v>0.641</v>
      </c>
      <c r="D1541" t="n">
        <v>2.397</v>
      </c>
      <c r="E1541" t="n">
        <v/>
      </c>
    </row>
    <row r="1542">
      <c r="A1542" s="27" t="n">
        <v>42200</v>
      </c>
      <c r="B1542" t="n">
        <v/>
      </c>
      <c r="C1542" t="n">
        <v>0.633</v>
      </c>
      <c r="D1542" t="n">
        <v>2.356</v>
      </c>
      <c r="E1542" t="n">
        <v/>
      </c>
    </row>
    <row r="1543">
      <c r="A1543" s="27" t="n">
        <v>42201</v>
      </c>
      <c r="B1543" t="n">
        <v/>
      </c>
      <c r="C1543" t="n">
        <v>0.661</v>
      </c>
      <c r="D1543" t="n">
        <v>2.356</v>
      </c>
      <c r="E1543" t="n">
        <v/>
      </c>
    </row>
    <row r="1544">
      <c r="A1544" s="27" t="n">
        <v>42202</v>
      </c>
      <c r="B1544" t="n">
        <v/>
      </c>
      <c r="C1544" t="n">
        <v>0.669</v>
      </c>
      <c r="D1544" t="n">
        <v>2.347</v>
      </c>
      <c r="E1544" t="n">
        <v/>
      </c>
    </row>
    <row r="1545">
      <c r="A1545" s="27" t="n">
        <v>42203</v>
      </c>
      <c r="B1545" t="n">
        <v/>
      </c>
      <c r="C1545" t="n">
        <v>0.669</v>
      </c>
      <c r="D1545" t="n">
        <v>2.347</v>
      </c>
      <c r="E1545" t="n">
        <v/>
      </c>
    </row>
    <row r="1546">
      <c r="A1546" s="27" t="n">
        <v>42204</v>
      </c>
      <c r="B1546" t="n">
        <v/>
      </c>
      <c r="C1546" t="n">
        <v>0.669</v>
      </c>
      <c r="D1546" t="n">
        <v>2.347</v>
      </c>
      <c r="E1546" t="n">
        <v/>
      </c>
    </row>
    <row r="1547">
      <c r="A1547" s="27" t="n">
        <v>42205</v>
      </c>
      <c r="B1547" t="n">
        <v/>
      </c>
      <c r="C1547" t="n">
        <v>0.71</v>
      </c>
      <c r="D1547" t="n">
        <v>2.38</v>
      </c>
      <c r="E1547" t="n">
        <v/>
      </c>
    </row>
    <row r="1548">
      <c r="A1548" s="27" t="n">
        <v>42206</v>
      </c>
      <c r="B1548" t="n">
        <v/>
      </c>
      <c r="C1548" t="n">
        <v>0.6820000000000001</v>
      </c>
      <c r="D1548" t="n">
        <v>2.331</v>
      </c>
      <c r="E1548" t="n">
        <v/>
      </c>
    </row>
    <row r="1549">
      <c r="A1549" s="27" t="n">
        <v>42207</v>
      </c>
      <c r="B1549" t="n">
        <v/>
      </c>
      <c r="C1549" t="n">
        <v>0.71</v>
      </c>
      <c r="D1549" t="n">
        <v>2.327</v>
      </c>
      <c r="E1549" t="n">
        <v/>
      </c>
    </row>
    <row r="1550">
      <c r="A1550" s="27" t="n">
        <v>42208</v>
      </c>
      <c r="B1550" t="n">
        <v/>
      </c>
      <c r="C1550" t="n">
        <v>0.698</v>
      </c>
      <c r="D1550" t="n">
        <v>2.269</v>
      </c>
      <c r="E1550" t="n">
        <v/>
      </c>
    </row>
    <row r="1551">
      <c r="A1551" s="27" t="n">
        <v>42209</v>
      </c>
      <c r="B1551" t="n">
        <v/>
      </c>
      <c r="C1551" t="n">
        <v>0.6820000000000001</v>
      </c>
      <c r="D1551" t="n">
        <v>2.262</v>
      </c>
      <c r="E1551" t="n">
        <v/>
      </c>
    </row>
    <row r="1552">
      <c r="A1552" s="27" t="n">
        <v>42211</v>
      </c>
      <c r="B1552" t="n">
        <v/>
      </c>
      <c r="C1552" t="n">
        <v>0.6820000000000001</v>
      </c>
      <c r="D1552" t="n">
        <v>2.262</v>
      </c>
      <c r="E1552" t="n">
        <v/>
      </c>
    </row>
    <row r="1553">
      <c r="A1553" s="27" t="n">
        <v>42212</v>
      </c>
      <c r="B1553" t="n">
        <v/>
      </c>
      <c r="C1553" t="n">
        <v>0.654</v>
      </c>
      <c r="D1553" t="n">
        <v>2.216</v>
      </c>
      <c r="E1553" t="n">
        <v/>
      </c>
    </row>
    <row r="1554">
      <c r="A1554" s="27" t="n">
        <v>42213</v>
      </c>
      <c r="B1554" t="n">
        <v/>
      </c>
      <c r="C1554" t="n">
        <v>0.67</v>
      </c>
      <c r="D1554" t="n">
        <v>2.25</v>
      </c>
      <c r="E1554" t="n">
        <v/>
      </c>
    </row>
    <row r="1555">
      <c r="A1555" s="27" t="n">
        <v>42214</v>
      </c>
      <c r="B1555" t="n">
        <v/>
      </c>
      <c r="C1555" t="n">
        <v>0.708</v>
      </c>
      <c r="D1555" t="n">
        <v>2.289</v>
      </c>
      <c r="E1555" t="n">
        <v/>
      </c>
    </row>
    <row r="1556">
      <c r="A1556" s="27" t="n">
        <v>42215</v>
      </c>
      <c r="B1556" t="n">
        <v/>
      </c>
      <c r="C1556" t="n">
        <v>0.728</v>
      </c>
      <c r="D1556" t="n">
        <v>2.257</v>
      </c>
      <c r="E1556" t="n">
        <v/>
      </c>
    </row>
    <row r="1557">
      <c r="A1557" s="27" t="n">
        <v>42216</v>
      </c>
      <c r="B1557" t="n">
        <v/>
      </c>
      <c r="C1557" t="n">
        <v>0.668</v>
      </c>
      <c r="D1557" t="n">
        <v>2.187</v>
      </c>
      <c r="E1557" t="n">
        <v/>
      </c>
    </row>
    <row r="1558">
      <c r="A1558" s="27" t="n">
        <v>42218</v>
      </c>
      <c r="B1558" t="n">
        <v/>
      </c>
      <c r="C1558" t="n">
        <v>0.676</v>
      </c>
      <c r="D1558" t="n">
        <v>2.198</v>
      </c>
      <c r="E1558" t="n">
        <v/>
      </c>
    </row>
    <row r="1559">
      <c r="A1559" s="27" t="n">
        <v>42219</v>
      </c>
      <c r="B1559" t="n">
        <v/>
      </c>
      <c r="C1559" t="n">
        <v>0.665</v>
      </c>
      <c r="D1559" t="n">
        <v>2.15</v>
      </c>
      <c r="E1559" t="n">
        <v/>
      </c>
    </row>
    <row r="1560">
      <c r="A1560" s="27" t="n">
        <v>42220</v>
      </c>
      <c r="B1560" t="n">
        <v/>
      </c>
      <c r="C1560" t="n">
        <v>0.736</v>
      </c>
      <c r="D1560" t="n">
        <v>2.223</v>
      </c>
      <c r="E1560" t="n">
        <v/>
      </c>
    </row>
    <row r="1561">
      <c r="A1561" s="27" t="n">
        <v>42221</v>
      </c>
      <c r="B1561" t="n">
        <v/>
      </c>
      <c r="C1561" t="n">
        <v>0.732</v>
      </c>
      <c r="D1561" t="n">
        <v>2.27</v>
      </c>
      <c r="E1561" t="n">
        <v/>
      </c>
    </row>
    <row r="1562">
      <c r="A1562" s="27" t="n">
        <v>42222</v>
      </c>
      <c r="B1562" t="n">
        <v/>
      </c>
      <c r="C1562" t="n">
        <v>0.709</v>
      </c>
      <c r="D1562" t="n">
        <v>2.227</v>
      </c>
      <c r="E1562" t="n">
        <v/>
      </c>
    </row>
    <row r="1563">
      <c r="A1563" s="27" t="n">
        <v>42223</v>
      </c>
      <c r="B1563" t="n">
        <v/>
      </c>
      <c r="C1563" t="n">
        <v>0.721</v>
      </c>
      <c r="D1563" t="n">
        <v>2.166</v>
      </c>
      <c r="E1563" t="n">
        <v/>
      </c>
    </row>
    <row r="1564">
      <c r="A1564" s="27" t="n">
        <v>42225</v>
      </c>
      <c r="B1564" t="n">
        <v/>
      </c>
      <c r="C1564" t="n">
        <v>0.729</v>
      </c>
      <c r="D1564" t="n">
        <v>2.175</v>
      </c>
      <c r="E1564" t="n">
        <v/>
      </c>
    </row>
    <row r="1565">
      <c r="A1565" s="27" t="n">
        <v>42226</v>
      </c>
      <c r="B1565" t="n">
        <v/>
      </c>
      <c r="C1565" t="n">
        <v>0.729</v>
      </c>
      <c r="D1565" t="n">
        <v>2.232</v>
      </c>
      <c r="E1565" t="n">
        <v/>
      </c>
    </row>
    <row r="1566">
      <c r="A1566" s="27" t="n">
        <v>42227</v>
      </c>
      <c r="B1566" t="n">
        <v/>
      </c>
      <c r="C1566" t="n">
        <v>0.677</v>
      </c>
      <c r="D1566" t="n">
        <v>2.143</v>
      </c>
      <c r="E1566" t="n">
        <v/>
      </c>
    </row>
    <row r="1567">
      <c r="A1567" s="27" t="n">
        <v>42228</v>
      </c>
      <c r="B1567" t="n">
        <v/>
      </c>
      <c r="C1567" t="n">
        <v>0.669</v>
      </c>
      <c r="D1567" t="n">
        <v>2.148</v>
      </c>
      <c r="E1567" t="n">
        <v/>
      </c>
    </row>
    <row r="1568">
      <c r="A1568" s="27" t="n">
        <v>42229</v>
      </c>
      <c r="B1568" t="n">
        <v/>
      </c>
      <c r="C1568" t="n">
        <v>0.709</v>
      </c>
      <c r="D1568" t="n">
        <v>2.189</v>
      </c>
      <c r="E1568" t="n">
        <v/>
      </c>
    </row>
    <row r="1569">
      <c r="A1569" s="27" t="n">
        <v>42230</v>
      </c>
      <c r="B1569" t="n">
        <v/>
      </c>
      <c r="C1569" t="n">
        <v>0.726</v>
      </c>
      <c r="D1569" t="n">
        <v>2.201</v>
      </c>
      <c r="E1569" t="n">
        <v/>
      </c>
    </row>
    <row r="1570">
      <c r="A1570" s="27" t="n">
        <v>42232</v>
      </c>
      <c r="B1570" t="n">
        <v/>
      </c>
      <c r="C1570" t="n">
        <v>0.722</v>
      </c>
      <c r="D1570" t="n">
        <v>2.196</v>
      </c>
      <c r="E1570" t="n">
        <v/>
      </c>
    </row>
    <row r="1571">
      <c r="A1571" s="27" t="n">
        <v>42233</v>
      </c>
      <c r="B1571" t="n">
        <v/>
      </c>
      <c r="C1571" t="n">
        <v>0.71</v>
      </c>
      <c r="D1571" t="n">
        <v>2.17</v>
      </c>
      <c r="E1571" t="n">
        <v/>
      </c>
    </row>
    <row r="1572">
      <c r="A1572" s="27" t="n">
        <v>42234</v>
      </c>
      <c r="B1572" t="n">
        <v/>
      </c>
      <c r="C1572" t="n">
        <v>0.722</v>
      </c>
      <c r="D1572" t="n">
        <v>2.192</v>
      </c>
      <c r="E1572" t="n">
        <v/>
      </c>
    </row>
    <row r="1573">
      <c r="A1573" s="27" t="n">
        <v>42235</v>
      </c>
      <c r="B1573" t="n">
        <v/>
      </c>
      <c r="C1573" t="n">
        <v>0.661</v>
      </c>
      <c r="D1573" t="n">
        <v>2.129</v>
      </c>
      <c r="E1573" t="n">
        <v/>
      </c>
    </row>
    <row r="1574">
      <c r="A1574" s="27" t="n">
        <v>42236</v>
      </c>
      <c r="B1574" t="n">
        <v/>
      </c>
      <c r="C1574" t="n">
        <v>0.657</v>
      </c>
      <c r="D1574" t="n">
        <v>2.073</v>
      </c>
      <c r="E1574" t="n">
        <v/>
      </c>
    </row>
    <row r="1575">
      <c r="A1575" s="27" t="n">
        <v>42237</v>
      </c>
      <c r="B1575" t="n">
        <v/>
      </c>
      <c r="C1575" t="n">
        <v>0.621</v>
      </c>
      <c r="D1575" t="n">
        <v>2.045</v>
      </c>
      <c r="E1575" t="n">
        <v/>
      </c>
    </row>
    <row r="1576">
      <c r="A1576" s="27" t="n">
        <v>42239</v>
      </c>
      <c r="B1576" t="n">
        <v/>
      </c>
      <c r="C1576" t="n">
        <v>0.609</v>
      </c>
      <c r="D1576" t="n">
        <v>2.031</v>
      </c>
      <c r="E1576" t="n">
        <v/>
      </c>
    </row>
    <row r="1577">
      <c r="A1577" s="27" t="n">
        <v>42240</v>
      </c>
      <c r="B1577" t="n">
        <v/>
      </c>
      <c r="C1577" t="n">
        <v>0.58</v>
      </c>
      <c r="D1577" t="n">
        <v>2.012</v>
      </c>
      <c r="E1577" t="n">
        <v/>
      </c>
    </row>
    <row r="1578">
      <c r="A1578" s="27" t="n">
        <v>42241</v>
      </c>
      <c r="B1578" t="n">
        <v/>
      </c>
      <c r="C1578" t="n">
        <v>0.609</v>
      </c>
      <c r="D1578" t="n">
        <v>2.078</v>
      </c>
      <c r="E1578" t="n">
        <v/>
      </c>
    </row>
    <row r="1579">
      <c r="A1579" s="27" t="n">
        <v>42242</v>
      </c>
      <c r="B1579" t="n">
        <v/>
      </c>
      <c r="C1579" t="n">
        <v>0.68</v>
      </c>
      <c r="D1579" t="n">
        <v>2.18</v>
      </c>
      <c r="E1579" t="n">
        <v/>
      </c>
    </row>
    <row r="1580">
      <c r="A1580" s="27" t="n">
        <v>42243</v>
      </c>
      <c r="B1580" t="n">
        <v/>
      </c>
      <c r="C1580" t="n">
        <v>0.7</v>
      </c>
      <c r="D1580" t="n">
        <v>2.191</v>
      </c>
      <c r="E1580" t="n">
        <v/>
      </c>
    </row>
    <row r="1581">
      <c r="A1581" s="27" t="n">
        <v>42244</v>
      </c>
      <c r="B1581" t="n">
        <v/>
      </c>
      <c r="C1581" t="n">
        <v>0.724</v>
      </c>
      <c r="D1581" t="n">
        <v>2.184</v>
      </c>
      <c r="E1581" t="n">
        <v/>
      </c>
    </row>
    <row r="1582">
      <c r="A1582" s="27" t="n">
        <v>42246</v>
      </c>
      <c r="B1582" t="n">
        <v/>
      </c>
      <c r="C1582" t="n">
        <v>0.739</v>
      </c>
      <c r="D1582" t="n">
        <v>2.195</v>
      </c>
      <c r="E1582" t="n">
        <v/>
      </c>
    </row>
    <row r="1583">
      <c r="A1583" s="27" t="n">
        <v>42247</v>
      </c>
      <c r="B1583" t="n">
        <v/>
      </c>
      <c r="C1583" t="n">
        <v>0.74</v>
      </c>
      <c r="D1583" t="n">
        <v>2.214</v>
      </c>
      <c r="E1583" t="n">
        <v/>
      </c>
    </row>
    <row r="1584">
      <c r="A1584" s="27" t="n">
        <v>42248</v>
      </c>
      <c r="B1584" t="n">
        <v/>
      </c>
      <c r="C1584" t="n">
        <v>0.712</v>
      </c>
      <c r="D1584" t="n">
        <v>2.159</v>
      </c>
      <c r="E1584" t="n">
        <v/>
      </c>
    </row>
    <row r="1585">
      <c r="A1585" s="27" t="n">
        <v>42249</v>
      </c>
      <c r="B1585" t="n">
        <v/>
      </c>
      <c r="C1585" t="n">
        <v>0.712</v>
      </c>
      <c r="D1585" t="n">
        <v>2.188</v>
      </c>
      <c r="E1585" t="n">
        <v/>
      </c>
    </row>
    <row r="1586">
      <c r="A1586" s="27" t="n">
        <v>42250</v>
      </c>
      <c r="B1586" t="n">
        <v/>
      </c>
      <c r="C1586" t="n">
        <v>0.696</v>
      </c>
      <c r="D1586" t="n">
        <v>2.163</v>
      </c>
      <c r="E1586" t="n">
        <v/>
      </c>
    </row>
    <row r="1587">
      <c r="A1587" s="27" t="n">
        <v>42251</v>
      </c>
      <c r="B1587" t="n">
        <v/>
      </c>
      <c r="C1587" t="n">
        <v>0.709</v>
      </c>
      <c r="D1587" t="n">
        <v>2.131</v>
      </c>
      <c r="E1587" t="n">
        <v/>
      </c>
    </row>
    <row r="1588">
      <c r="A1588" s="27" t="n">
        <v>42254</v>
      </c>
      <c r="B1588" t="n">
        <v/>
      </c>
      <c r="C1588" t="n">
        <v>0.717</v>
      </c>
      <c r="D1588" t="n">
        <v>2.151</v>
      </c>
      <c r="E1588" t="n">
        <v/>
      </c>
    </row>
    <row r="1589">
      <c r="A1589" s="27" t="n">
        <v>42255</v>
      </c>
      <c r="B1589" t="n">
        <v/>
      </c>
      <c r="C1589" t="n">
        <v>0.737</v>
      </c>
      <c r="D1589" t="n">
        <v>2.186</v>
      </c>
      <c r="E1589" t="n">
        <v/>
      </c>
    </row>
    <row r="1590">
      <c r="A1590" s="27" t="n">
        <v>42256</v>
      </c>
      <c r="B1590" t="n">
        <v/>
      </c>
      <c r="C1590" t="n">
        <v>0.741</v>
      </c>
      <c r="D1590" t="n">
        <v>2.195</v>
      </c>
      <c r="E1590" t="n">
        <v/>
      </c>
    </row>
    <row r="1591">
      <c r="A1591" s="27" t="n">
        <v>42257</v>
      </c>
      <c r="B1591" t="n">
        <v/>
      </c>
      <c r="C1591" t="n">
        <v>0.737</v>
      </c>
      <c r="D1591" t="n">
        <v>2.227</v>
      </c>
      <c r="E1591" t="n">
        <v/>
      </c>
    </row>
    <row r="1592">
      <c r="A1592" s="27" t="n">
        <v>42258</v>
      </c>
      <c r="B1592" t="n">
        <v/>
      </c>
      <c r="C1592" t="n">
        <v>0.709</v>
      </c>
      <c r="D1592" t="n">
        <v>2.187</v>
      </c>
      <c r="E1592" t="n">
        <v/>
      </c>
    </row>
    <row r="1593">
      <c r="A1593" s="27" t="n">
        <v>42260</v>
      </c>
      <c r="B1593" t="n">
        <v/>
      </c>
      <c r="C1593" t="n">
        <v>0.721</v>
      </c>
      <c r="D1593" t="n">
        <v>2.203</v>
      </c>
      <c r="E1593" t="n">
        <v/>
      </c>
    </row>
    <row r="1594">
      <c r="A1594" s="27" t="n">
        <v>42261</v>
      </c>
      <c r="B1594" t="n">
        <v/>
      </c>
      <c r="C1594" t="n">
        <v>0.73</v>
      </c>
      <c r="D1594" t="n">
        <v>2.183</v>
      </c>
      <c r="E1594" t="n">
        <v/>
      </c>
    </row>
    <row r="1595">
      <c r="A1595" s="27" t="n">
        <v>42262</v>
      </c>
      <c r="B1595" t="n">
        <v/>
      </c>
      <c r="C1595" t="n">
        <v>0.8100000000000001</v>
      </c>
      <c r="D1595" t="n">
        <v>2.292</v>
      </c>
      <c r="E1595" t="n">
        <v/>
      </c>
    </row>
    <row r="1596">
      <c r="A1596" s="27" t="n">
        <v>42263</v>
      </c>
      <c r="B1596" t="n">
        <v/>
      </c>
      <c r="C1596" t="n">
        <v>0.8110000000000001</v>
      </c>
      <c r="D1596" t="n">
        <v>2.296</v>
      </c>
      <c r="E1596" t="n">
        <v/>
      </c>
    </row>
    <row r="1597">
      <c r="A1597" s="27" t="n">
        <v>42264</v>
      </c>
      <c r="B1597" t="n">
        <v/>
      </c>
      <c r="C1597" t="n">
        <v>0.6860000000000001</v>
      </c>
      <c r="D1597" t="n">
        <v>2.192</v>
      </c>
      <c r="E1597" t="n">
        <v/>
      </c>
    </row>
    <row r="1598">
      <c r="A1598" s="27" t="n">
        <v>42265</v>
      </c>
      <c r="B1598" t="n">
        <v/>
      </c>
      <c r="C1598" t="n">
        <v>0.678</v>
      </c>
      <c r="D1598" t="n">
        <v>2.134</v>
      </c>
      <c r="E1598" t="n">
        <v/>
      </c>
    </row>
    <row r="1599">
      <c r="A1599" s="27" t="n">
        <v>42267</v>
      </c>
      <c r="B1599" t="n">
        <v/>
      </c>
      <c r="C1599" t="n">
        <v>0.678</v>
      </c>
      <c r="D1599" t="n">
        <v>2.134</v>
      </c>
      <c r="E1599" t="n">
        <v/>
      </c>
    </row>
    <row r="1600">
      <c r="A1600" s="27" t="n">
        <v>42268</v>
      </c>
      <c r="B1600" t="n">
        <v/>
      </c>
      <c r="C1600" t="n">
        <v>0.71</v>
      </c>
      <c r="D1600" t="n">
        <v>2.199</v>
      </c>
      <c r="E1600" t="n">
        <v/>
      </c>
    </row>
    <row r="1601">
      <c r="A1601" s="27" t="n">
        <v>42269</v>
      </c>
      <c r="B1601" t="n">
        <v/>
      </c>
      <c r="C1601" t="n">
        <v>0.678</v>
      </c>
      <c r="D1601" t="n">
        <v>2.132</v>
      </c>
      <c r="E1601" t="n">
        <v/>
      </c>
    </row>
    <row r="1602">
      <c r="A1602" s="27" t="n">
        <v>42270</v>
      </c>
      <c r="B1602" t="n">
        <v/>
      </c>
      <c r="C1602" t="n">
        <v>0.703</v>
      </c>
      <c r="D1602" t="n">
        <v>2.151</v>
      </c>
      <c r="E1602" t="n">
        <v/>
      </c>
    </row>
    <row r="1603">
      <c r="A1603" s="27" t="n">
        <v>42271</v>
      </c>
      <c r="B1603" t="n">
        <v/>
      </c>
      <c r="C1603" t="n">
        <v>0.6879999999999999</v>
      </c>
      <c r="D1603" t="n">
        <v>2.128</v>
      </c>
      <c r="E1603" t="n">
        <v/>
      </c>
    </row>
    <row r="1604">
      <c r="A1604" s="27" t="n">
        <v>42272</v>
      </c>
      <c r="B1604" t="n">
        <v/>
      </c>
      <c r="C1604" t="n">
        <v>0.7</v>
      </c>
      <c r="D1604" t="n">
        <v>2.166</v>
      </c>
      <c r="E1604" t="n">
        <v/>
      </c>
    </row>
    <row r="1605">
      <c r="A1605" s="27" t="n">
        <v>42274</v>
      </c>
      <c r="B1605" t="n">
        <v/>
      </c>
      <c r="C1605" t="n">
        <v>0.704</v>
      </c>
      <c r="D1605" t="n">
        <v>2.157</v>
      </c>
      <c r="E1605" t="n">
        <v/>
      </c>
    </row>
    <row r="1606">
      <c r="A1606" s="27" t="n">
        <v>42275</v>
      </c>
      <c r="B1606" t="n">
        <v/>
      </c>
      <c r="C1606" t="n">
        <v>0.672</v>
      </c>
      <c r="D1606" t="n">
        <v>2.098</v>
      </c>
      <c r="E1606" t="n">
        <v/>
      </c>
    </row>
    <row r="1607">
      <c r="A1607" s="27" t="n">
        <v>42276</v>
      </c>
      <c r="B1607" t="n">
        <v/>
      </c>
      <c r="C1607" t="n">
        <v>0.653</v>
      </c>
      <c r="D1607" t="n">
        <v>2.06</v>
      </c>
      <c r="E1607" t="n">
        <v/>
      </c>
    </row>
    <row r="1608">
      <c r="A1608" s="27" t="n">
        <v>42277</v>
      </c>
      <c r="B1608" t="n">
        <v/>
      </c>
      <c r="C1608" t="n">
        <v>0.629</v>
      </c>
      <c r="D1608" t="n">
        <v>2.035</v>
      </c>
      <c r="E1608" t="n">
        <v/>
      </c>
    </row>
    <row r="1609">
      <c r="A1609" s="27" t="n">
        <v>42278</v>
      </c>
      <c r="B1609" t="n">
        <v/>
      </c>
      <c r="C1609" t="n">
        <v>0.649</v>
      </c>
      <c r="D1609" t="n">
        <v>2.042</v>
      </c>
      <c r="E1609" t="n">
        <v/>
      </c>
    </row>
    <row r="1610">
      <c r="A1610" s="27" t="n">
        <v>42279</v>
      </c>
      <c r="B1610" t="n">
        <v/>
      </c>
      <c r="C1610" t="n">
        <v>0.581</v>
      </c>
      <c r="D1610" t="n">
        <v>1.991</v>
      </c>
      <c r="E1610" t="n">
        <v/>
      </c>
    </row>
    <row r="1611">
      <c r="A1611" s="27" t="n">
        <v>42280</v>
      </c>
      <c r="B1611" t="n">
        <v/>
      </c>
      <c r="C1611" t="n">
        <v>0.581</v>
      </c>
      <c r="D1611" t="n">
        <v>1.991</v>
      </c>
      <c r="E1611" t="n">
        <v/>
      </c>
    </row>
    <row r="1612">
      <c r="A1612" s="27" t="n">
        <v>42281</v>
      </c>
      <c r="B1612" t="n">
        <v/>
      </c>
      <c r="C1612" t="n">
        <v>0.581</v>
      </c>
      <c r="D1612" t="n">
        <v>1.984</v>
      </c>
      <c r="E1612" t="n">
        <v/>
      </c>
    </row>
    <row r="1613">
      <c r="A1613" s="27" t="n">
        <v>42282</v>
      </c>
      <c r="B1613" t="n">
        <v/>
      </c>
      <c r="C1613" t="n">
        <v>0.609</v>
      </c>
      <c r="D1613" t="n">
        <v>2.058</v>
      </c>
      <c r="E1613" t="n">
        <v/>
      </c>
    </row>
    <row r="1614">
      <c r="A1614" s="27" t="n">
        <v>42283</v>
      </c>
      <c r="B1614" t="n">
        <v/>
      </c>
      <c r="C1614" t="n">
        <v>0.609</v>
      </c>
      <c r="D1614" t="n">
        <v>2.035</v>
      </c>
      <c r="E1614" t="n">
        <v/>
      </c>
    </row>
    <row r="1615">
      <c r="A1615" s="27" t="n">
        <v>42284</v>
      </c>
      <c r="B1615" t="n">
        <v/>
      </c>
      <c r="C1615" t="n">
        <v>0.629</v>
      </c>
      <c r="D1615" t="n">
        <v>2.065</v>
      </c>
      <c r="E1615" t="n">
        <v/>
      </c>
    </row>
    <row r="1616">
      <c r="A1616" s="27" t="n">
        <v>42285</v>
      </c>
      <c r="B1616" t="n">
        <v/>
      </c>
      <c r="C1616" t="n">
        <v>0.637</v>
      </c>
      <c r="D1616" t="n">
        <v>2.102</v>
      </c>
      <c r="E1616" t="n">
        <v/>
      </c>
    </row>
    <row r="1617">
      <c r="A1617" s="27" t="n">
        <v>42286</v>
      </c>
      <c r="B1617" t="n">
        <v/>
      </c>
      <c r="C1617" t="n">
        <v>0.641</v>
      </c>
      <c r="D1617" t="n">
        <v>2.09</v>
      </c>
      <c r="E1617" t="n">
        <v/>
      </c>
    </row>
    <row r="1618">
      <c r="A1618" s="27" t="n">
        <v>42289</v>
      </c>
      <c r="B1618" t="n">
        <v/>
      </c>
      <c r="C1618" t="n">
        <v>0.637</v>
      </c>
      <c r="D1618" t="n">
        <v>2.07</v>
      </c>
      <c r="E1618" t="n">
        <v/>
      </c>
    </row>
    <row r="1619">
      <c r="A1619" s="27" t="n">
        <v>42290</v>
      </c>
      <c r="B1619" t="n">
        <v/>
      </c>
      <c r="C1619" t="n">
        <v>0.617</v>
      </c>
      <c r="D1619" t="n">
        <v>2.042</v>
      </c>
      <c r="E1619" t="n">
        <v/>
      </c>
    </row>
    <row r="1620">
      <c r="A1620" s="27" t="n">
        <v>42291</v>
      </c>
      <c r="B1620" t="n">
        <v/>
      </c>
      <c r="C1620" t="n">
        <v>0.553</v>
      </c>
      <c r="D1620" t="n">
        <v>1.975</v>
      </c>
      <c r="E1620" t="n">
        <v/>
      </c>
    </row>
    <row r="1621">
      <c r="A1621" s="27" t="n">
        <v>42292</v>
      </c>
      <c r="B1621" t="n">
        <v/>
      </c>
      <c r="C1621" t="n">
        <v>0.601</v>
      </c>
      <c r="D1621" t="n">
        <v>2.019</v>
      </c>
      <c r="E1621" t="n">
        <v/>
      </c>
    </row>
    <row r="1622">
      <c r="A1622" s="27" t="n">
        <v>42293</v>
      </c>
      <c r="B1622" t="n">
        <v/>
      </c>
      <c r="C1622" t="n">
        <v>0.613</v>
      </c>
      <c r="D1622" t="n">
        <v>2.035</v>
      </c>
      <c r="E1622" t="n">
        <v/>
      </c>
    </row>
    <row r="1623">
      <c r="A1623" s="27" t="n">
        <v>42295</v>
      </c>
      <c r="B1623" t="n">
        <v/>
      </c>
      <c r="C1623" t="n">
        <v>0.609</v>
      </c>
      <c r="D1623" t="n">
        <v>2.024</v>
      </c>
      <c r="E1623" t="n">
        <v/>
      </c>
    </row>
    <row r="1624">
      <c r="A1624" s="27" t="n">
        <v>42296</v>
      </c>
      <c r="B1624" t="n">
        <v/>
      </c>
      <c r="C1624" t="n">
        <v>0.597</v>
      </c>
      <c r="D1624" t="n">
        <v>2.023</v>
      </c>
      <c r="E1624" t="n">
        <v/>
      </c>
    </row>
    <row r="1625">
      <c r="A1625" s="27" t="n">
        <v>42297</v>
      </c>
      <c r="B1625" t="n">
        <v/>
      </c>
      <c r="C1625" t="n">
        <v>0.633</v>
      </c>
      <c r="D1625" t="n">
        <v>2.069</v>
      </c>
      <c r="E1625" t="n">
        <v/>
      </c>
    </row>
    <row r="1626">
      <c r="A1626" s="27" t="n">
        <v>42298</v>
      </c>
      <c r="B1626" t="n">
        <v/>
      </c>
      <c r="C1626" t="n">
        <v>0.625</v>
      </c>
      <c r="D1626" t="n">
        <v>2.028</v>
      </c>
      <c r="E1626" t="n">
        <v/>
      </c>
    </row>
    <row r="1627">
      <c r="A1627" s="27" t="n">
        <v>42299</v>
      </c>
      <c r="B1627" t="n">
        <v/>
      </c>
      <c r="C1627" t="n">
        <v>0.605</v>
      </c>
      <c r="D1627" t="n">
        <v>2.028</v>
      </c>
      <c r="E1627" t="n">
        <v/>
      </c>
    </row>
    <row r="1628">
      <c r="A1628" s="27" t="n">
        <v>42300</v>
      </c>
      <c r="B1628" t="n">
        <v/>
      </c>
      <c r="C1628" t="n">
        <v>0.645</v>
      </c>
      <c r="D1628" t="n">
        <v>2.087</v>
      </c>
      <c r="E1628" t="n">
        <v/>
      </c>
    </row>
    <row r="1629">
      <c r="A1629" s="27" t="n">
        <v>42302</v>
      </c>
      <c r="B1629" t="n">
        <v/>
      </c>
      <c r="C1629" t="n">
        <v>0.645</v>
      </c>
      <c r="D1629" t="n">
        <v>2.083</v>
      </c>
      <c r="E1629" t="n">
        <v/>
      </c>
    </row>
    <row r="1630">
      <c r="A1630" s="27" t="n">
        <v>42303</v>
      </c>
      <c r="B1630" t="n">
        <v/>
      </c>
      <c r="C1630" t="n">
        <v>0.637</v>
      </c>
      <c r="D1630" t="n">
        <v>2.058</v>
      </c>
      <c r="E1630" t="n">
        <v/>
      </c>
    </row>
    <row r="1631">
      <c r="A1631" s="27" t="n">
        <v>42304</v>
      </c>
      <c r="B1631" t="n">
        <v/>
      </c>
      <c r="C1631" t="n">
        <v>0.621</v>
      </c>
      <c r="D1631" t="n">
        <v>2.037</v>
      </c>
      <c r="E1631" t="n">
        <v/>
      </c>
    </row>
    <row r="1632">
      <c r="A1632" s="27" t="n">
        <v>42305</v>
      </c>
      <c r="B1632" t="n">
        <v/>
      </c>
      <c r="C1632" t="n">
        <v>0.707</v>
      </c>
      <c r="D1632" t="n">
        <v>2.101</v>
      </c>
      <c r="E1632" t="n">
        <v/>
      </c>
    </row>
    <row r="1633">
      <c r="A1633" s="27" t="n">
        <v>42306</v>
      </c>
      <c r="B1633" t="n">
        <v/>
      </c>
      <c r="C1633" t="n">
        <v>0.728</v>
      </c>
      <c r="D1633" t="n">
        <v>2.172</v>
      </c>
      <c r="E1633" t="n">
        <v/>
      </c>
    </row>
    <row r="1634">
      <c r="A1634" s="27" t="n">
        <v>42307</v>
      </c>
      <c r="B1634" t="n">
        <v/>
      </c>
      <c r="C1634" t="n">
        <v>0.728</v>
      </c>
      <c r="D1634" t="n">
        <v>2.146</v>
      </c>
      <c r="E1634" t="n">
        <v/>
      </c>
    </row>
    <row r="1635">
      <c r="A1635" s="27" t="n">
        <v>42309</v>
      </c>
      <c r="B1635" t="n">
        <v/>
      </c>
      <c r="C1635" t="n">
        <v>0.736</v>
      </c>
      <c r="D1635" t="n">
        <v>2.135</v>
      </c>
      <c r="E1635" t="n">
        <v/>
      </c>
    </row>
    <row r="1636">
      <c r="A1636" s="27" t="n">
        <v>42310</v>
      </c>
      <c r="B1636" t="n">
        <v/>
      </c>
      <c r="C1636" t="n">
        <v>0.757</v>
      </c>
      <c r="D1636" t="n">
        <v>2.176</v>
      </c>
      <c r="E1636" t="n">
        <v/>
      </c>
    </row>
    <row r="1637">
      <c r="A1637" s="27" t="n">
        <v>42311</v>
      </c>
      <c r="B1637" t="n">
        <v/>
      </c>
      <c r="C1637" t="n">
        <v>0.77</v>
      </c>
      <c r="D1637" t="n">
        <v>2.218</v>
      </c>
      <c r="E1637" t="n">
        <v/>
      </c>
    </row>
    <row r="1638">
      <c r="A1638" s="27" t="n">
        <v>42312</v>
      </c>
      <c r="B1638" t="n">
        <v/>
      </c>
      <c r="C1638" t="n">
        <v>0.8159999999999999</v>
      </c>
      <c r="D1638" t="n">
        <v>2.227</v>
      </c>
      <c r="E1638" t="n">
        <v/>
      </c>
    </row>
    <row r="1639">
      <c r="A1639" s="27" t="n">
        <v>42313</v>
      </c>
      <c r="B1639" t="n">
        <v/>
      </c>
      <c r="C1639" t="n">
        <v>0.83</v>
      </c>
      <c r="D1639" t="n">
        <v>2.236</v>
      </c>
      <c r="E1639" t="n">
        <v/>
      </c>
    </row>
    <row r="1640">
      <c r="A1640" s="27" t="n">
        <v>42314</v>
      </c>
      <c r="B1640" t="n">
        <v/>
      </c>
      <c r="C1640" t="n">
        <v>0.89</v>
      </c>
      <c r="D1640" t="n">
        <v>2.325</v>
      </c>
      <c r="E1640" t="n">
        <v/>
      </c>
    </row>
    <row r="1641">
      <c r="A1641" s="27" t="n">
        <v>42316</v>
      </c>
      <c r="B1641" t="n">
        <v/>
      </c>
      <c r="C1641" t="n">
        <v>0.89</v>
      </c>
      <c r="D1641" t="n">
        <v>2.327</v>
      </c>
      <c r="E1641" t="n">
        <v/>
      </c>
    </row>
    <row r="1642">
      <c r="A1642" s="27" t="n">
        <v>42317</v>
      </c>
      <c r="B1642" t="n">
        <v/>
      </c>
      <c r="C1642" t="n">
        <v>0.89</v>
      </c>
      <c r="D1642" t="n">
        <v>2.349</v>
      </c>
      <c r="E1642" t="n">
        <v/>
      </c>
    </row>
    <row r="1643">
      <c r="A1643" s="27" t="n">
        <v>42318</v>
      </c>
      <c r="B1643" t="n">
        <v/>
      </c>
      <c r="C1643" t="n">
        <v>0.874</v>
      </c>
      <c r="D1643" t="n">
        <v>2.336</v>
      </c>
      <c r="E1643" t="n">
        <v/>
      </c>
    </row>
    <row r="1644">
      <c r="A1644" s="27" t="n">
        <v>42319</v>
      </c>
      <c r="B1644" t="n">
        <v/>
      </c>
      <c r="C1644" t="n">
        <v>0.878</v>
      </c>
      <c r="D1644" t="n">
        <v>2.331</v>
      </c>
      <c r="E1644" t="n">
        <v/>
      </c>
    </row>
    <row r="1645">
      <c r="A1645" s="27" t="n">
        <v>42320</v>
      </c>
      <c r="B1645" t="n">
        <v/>
      </c>
      <c r="C1645" t="n">
        <v>0.875</v>
      </c>
      <c r="D1645" t="n">
        <v>2.315</v>
      </c>
      <c r="E1645" t="n">
        <v/>
      </c>
    </row>
    <row r="1646">
      <c r="A1646" s="27" t="n">
        <v>42321</v>
      </c>
      <c r="B1646" t="n">
        <v/>
      </c>
      <c r="C1646" t="n">
        <v>0.851</v>
      </c>
      <c r="D1646" t="n">
        <v>2.275</v>
      </c>
      <c r="E1646" t="n">
        <v/>
      </c>
    </row>
    <row r="1647">
      <c r="A1647" s="27" t="n">
        <v>42323</v>
      </c>
      <c r="B1647" t="n">
        <v/>
      </c>
      <c r="C1647" t="n">
        <v>0.827</v>
      </c>
      <c r="D1647" t="n">
        <v>2.243</v>
      </c>
      <c r="E1647" t="n">
        <v/>
      </c>
    </row>
    <row r="1648">
      <c r="A1648" s="27" t="n">
        <v>42324</v>
      </c>
      <c r="B1648" t="n">
        <v/>
      </c>
      <c r="C1648" t="n">
        <v>0.855</v>
      </c>
      <c r="D1648" t="n">
        <v>2.271</v>
      </c>
      <c r="E1648" t="n">
        <v/>
      </c>
    </row>
    <row r="1649">
      <c r="A1649" s="27" t="n">
        <v>42325</v>
      </c>
      <c r="B1649" t="n">
        <v/>
      </c>
      <c r="C1649" t="n">
        <v>0.859</v>
      </c>
      <c r="D1649" t="n">
        <v>2.268</v>
      </c>
      <c r="E1649" t="n">
        <v/>
      </c>
    </row>
    <row r="1650">
      <c r="A1650" s="27" t="n">
        <v>42326</v>
      </c>
      <c r="B1650" t="n">
        <v/>
      </c>
      <c r="C1650" t="n">
        <v>0.88</v>
      </c>
      <c r="D1650" t="n">
        <v>2.273</v>
      </c>
      <c r="E1650" t="n">
        <v/>
      </c>
    </row>
    <row r="1651">
      <c r="A1651" s="27" t="n">
        <v>42327</v>
      </c>
      <c r="B1651" t="n">
        <v/>
      </c>
      <c r="C1651" t="n">
        <v>0.892</v>
      </c>
      <c r="D1651" t="n">
        <v>2.247</v>
      </c>
      <c r="E1651" t="n">
        <v/>
      </c>
    </row>
    <row r="1652">
      <c r="A1652" s="27" t="n">
        <v>42328</v>
      </c>
      <c r="B1652" t="n">
        <v/>
      </c>
      <c r="C1652" t="n">
        <v>0.921</v>
      </c>
      <c r="D1652" t="n">
        <v>2.264</v>
      </c>
      <c r="E1652" t="n">
        <v/>
      </c>
    </row>
    <row r="1653">
      <c r="A1653" s="27" t="n">
        <v>42330</v>
      </c>
      <c r="B1653" t="n">
        <v/>
      </c>
      <c r="C1653" t="n">
        <v>0.921</v>
      </c>
      <c r="D1653" t="n">
        <v>2.264</v>
      </c>
      <c r="E1653" t="n">
        <v/>
      </c>
    </row>
    <row r="1654">
      <c r="A1654" s="27" t="n">
        <v>42331</v>
      </c>
      <c r="B1654" t="n">
        <v/>
      </c>
      <c r="C1654" t="n">
        <v>0.926</v>
      </c>
      <c r="D1654" t="n">
        <v>2.243</v>
      </c>
      <c r="E1654" t="n">
        <v/>
      </c>
    </row>
    <row r="1655">
      <c r="A1655" s="27" t="n">
        <v>42332</v>
      </c>
      <c r="B1655" t="n">
        <v/>
      </c>
      <c r="C1655" t="n">
        <v>0.93</v>
      </c>
      <c r="D1655" t="n">
        <v>2.239</v>
      </c>
      <c r="E1655" t="n">
        <v/>
      </c>
    </row>
    <row r="1656">
      <c r="A1656" s="27" t="n">
        <v>42333</v>
      </c>
      <c r="B1656" t="n">
        <v/>
      </c>
      <c r="C1656" t="n">
        <v>0.9340000000000001</v>
      </c>
      <c r="D1656" t="n">
        <v>2.234</v>
      </c>
      <c r="E1656" t="n">
        <v/>
      </c>
    </row>
    <row r="1657">
      <c r="A1657" s="27" t="n">
        <v>42334</v>
      </c>
      <c r="B1657" t="n">
        <v/>
      </c>
      <c r="C1657" t="n">
        <v>0.9340000000000001</v>
      </c>
      <c r="D1657" t="n">
        <v>2.224</v>
      </c>
      <c r="E1657" t="n">
        <v/>
      </c>
    </row>
    <row r="1658">
      <c r="A1658" s="27" t="n">
        <v>42335</v>
      </c>
      <c r="B1658" t="n">
        <v/>
      </c>
      <c r="C1658" t="n">
        <v>0.926</v>
      </c>
      <c r="D1658" t="n">
        <v>2.222</v>
      </c>
      <c r="E1658" t="n">
        <v/>
      </c>
    </row>
    <row r="1659">
      <c r="A1659" s="27" t="n">
        <v>42337</v>
      </c>
      <c r="B1659" t="n">
        <v/>
      </c>
      <c r="C1659" t="n">
        <v>0.926</v>
      </c>
      <c r="D1659" t="n">
        <v>2.217</v>
      </c>
      <c r="E1659" t="n">
        <v/>
      </c>
    </row>
    <row r="1660">
      <c r="A1660" s="27" t="n">
        <v>42338</v>
      </c>
      <c r="B1660" t="n">
        <v/>
      </c>
      <c r="C1660" t="n">
        <v>0.9340000000000001</v>
      </c>
      <c r="D1660" t="n">
        <v>2.208</v>
      </c>
      <c r="E1660" t="n">
        <v/>
      </c>
    </row>
    <row r="1661">
      <c r="A1661" s="27" t="n">
        <v>42339</v>
      </c>
      <c r="B1661" t="n">
        <v/>
      </c>
      <c r="C1661" t="n">
        <v>0.911</v>
      </c>
      <c r="D1661" t="n">
        <v>2.145</v>
      </c>
      <c r="E1661" t="n">
        <v/>
      </c>
    </row>
    <row r="1662">
      <c r="A1662" s="27" t="n">
        <v>42340</v>
      </c>
      <c r="B1662" t="n">
        <v/>
      </c>
      <c r="C1662" t="n">
        <v>0.9389999999999999</v>
      </c>
      <c r="D1662" t="n">
        <v>2.178</v>
      </c>
      <c r="E1662" t="n">
        <v/>
      </c>
    </row>
    <row r="1663">
      <c r="A1663" s="27" t="n">
        <v>42341</v>
      </c>
      <c r="B1663" t="n">
        <v/>
      </c>
      <c r="C1663" t="n">
        <v>0.959</v>
      </c>
      <c r="D1663" t="n">
        <v>2.321</v>
      </c>
      <c r="E1663" t="n">
        <v/>
      </c>
    </row>
    <row r="1664">
      <c r="A1664" s="27" t="n">
        <v>42342</v>
      </c>
      <c r="B1664" t="n">
        <v/>
      </c>
      <c r="C1664" t="n">
        <v>0.947</v>
      </c>
      <c r="D1664" t="n">
        <v>2.273</v>
      </c>
      <c r="E1664" t="n">
        <v/>
      </c>
    </row>
    <row r="1665">
      <c r="A1665" s="27" t="n">
        <v>42344</v>
      </c>
      <c r="B1665" t="n">
        <v/>
      </c>
      <c r="C1665" t="n">
        <v>0.955</v>
      </c>
      <c r="D1665" t="n">
        <v>2.285</v>
      </c>
      <c r="E1665" t="n">
        <v/>
      </c>
    </row>
    <row r="1666">
      <c r="A1666" s="27" t="n">
        <v>42345</v>
      </c>
      <c r="B1666" t="n">
        <v/>
      </c>
      <c r="C1666" t="n">
        <v>0.9350000000000001</v>
      </c>
      <c r="D1666" t="n">
        <v>2.236</v>
      </c>
      <c r="E1666" t="n">
        <v/>
      </c>
    </row>
    <row r="1667">
      <c r="A1667" s="27" t="n">
        <v>42346</v>
      </c>
      <c r="B1667" t="n">
        <v/>
      </c>
      <c r="C1667" t="n">
        <v>0.9350000000000001</v>
      </c>
      <c r="D1667" t="n">
        <v>2.222</v>
      </c>
      <c r="E1667" t="n">
        <v/>
      </c>
    </row>
    <row r="1668">
      <c r="A1668" s="27" t="n">
        <v>42347</v>
      </c>
      <c r="B1668" t="n">
        <v/>
      </c>
      <c r="C1668" t="n">
        <v>0.923</v>
      </c>
      <c r="D1668" t="n">
        <v>2.211</v>
      </c>
      <c r="E1668" t="n">
        <v/>
      </c>
    </row>
    <row r="1669">
      <c r="A1669" s="27" t="n">
        <v>42348</v>
      </c>
      <c r="B1669" t="n">
        <v/>
      </c>
      <c r="C1669" t="n">
        <v>0.947</v>
      </c>
      <c r="D1669" t="n">
        <v>2.234</v>
      </c>
      <c r="E1669" t="n">
        <v/>
      </c>
    </row>
    <row r="1670">
      <c r="A1670" s="27" t="n">
        <v>42349</v>
      </c>
      <c r="B1670" t="n">
        <v/>
      </c>
      <c r="C1670" t="n">
        <v>0.879</v>
      </c>
      <c r="D1670" t="n">
        <v>2.132</v>
      </c>
      <c r="E1670" t="n">
        <v/>
      </c>
    </row>
    <row r="1671">
      <c r="A1671" s="27" t="n">
        <v>42351</v>
      </c>
      <c r="B1671" t="n">
        <v/>
      </c>
      <c r="C1671" t="n">
        <v>0.899</v>
      </c>
      <c r="D1671" t="n">
        <v>2.148</v>
      </c>
      <c r="E1671" t="n">
        <v/>
      </c>
    </row>
    <row r="1672">
      <c r="A1672" s="27" t="n">
        <v>42352</v>
      </c>
      <c r="B1672" t="n">
        <v/>
      </c>
      <c r="C1672" t="n">
        <v>0.948</v>
      </c>
      <c r="D1672" t="n">
        <v>2.225</v>
      </c>
      <c r="E1672" t="n">
        <v/>
      </c>
    </row>
    <row r="1673">
      <c r="A1673" s="27" t="n">
        <v>42353</v>
      </c>
      <c r="B1673" t="n">
        <v/>
      </c>
      <c r="C1673" t="n">
        <v>0.968</v>
      </c>
      <c r="D1673" t="n">
        <v>2.268</v>
      </c>
      <c r="E1673" t="n">
        <v/>
      </c>
    </row>
    <row r="1674">
      <c r="A1674" s="27" t="n">
        <v>42354</v>
      </c>
      <c r="B1674" t="n">
        <v/>
      </c>
      <c r="C1674" t="n">
        <v>1.009</v>
      </c>
      <c r="D1674" t="n">
        <v>2.298</v>
      </c>
      <c r="E1674" t="n">
        <v/>
      </c>
    </row>
    <row r="1675">
      <c r="A1675" s="27" t="n">
        <v>42355</v>
      </c>
      <c r="B1675" t="n">
        <v/>
      </c>
      <c r="C1675" t="n">
        <v>0.988</v>
      </c>
      <c r="D1675" t="n">
        <v>2.225</v>
      </c>
      <c r="E1675" t="n">
        <v/>
      </c>
    </row>
    <row r="1676">
      <c r="A1676" s="27" t="n">
        <v>42356</v>
      </c>
      <c r="B1676" t="n">
        <v/>
      </c>
      <c r="C1676" t="n">
        <v>0.952</v>
      </c>
      <c r="D1676" t="n">
        <v>2.204</v>
      </c>
      <c r="E1676" t="n">
        <v/>
      </c>
    </row>
    <row r="1677">
      <c r="A1677" s="27" t="n">
        <v>42358</v>
      </c>
      <c r="B1677" t="n">
        <v/>
      </c>
      <c r="C1677" t="n">
        <v>0.965</v>
      </c>
      <c r="D1677" t="n">
        <v>2.202</v>
      </c>
      <c r="E1677" t="n">
        <v/>
      </c>
    </row>
    <row r="1678">
      <c r="A1678" s="27" t="n">
        <v>42359</v>
      </c>
      <c r="B1678" t="n">
        <v/>
      </c>
      <c r="C1678" t="n">
        <v>0.952</v>
      </c>
      <c r="D1678" t="n">
        <v>2.195</v>
      </c>
      <c r="E1678" t="n">
        <v/>
      </c>
    </row>
    <row r="1679">
      <c r="A1679" s="27" t="n">
        <v>42360</v>
      </c>
      <c r="B1679" t="n">
        <v/>
      </c>
      <c r="C1679" t="n">
        <v>0.977</v>
      </c>
      <c r="D1679" t="n">
        <v>2.237</v>
      </c>
      <c r="E1679" t="n">
        <v/>
      </c>
    </row>
    <row r="1680">
      <c r="A1680" s="27" t="n">
        <v>42361</v>
      </c>
      <c r="B1680" t="n">
        <v/>
      </c>
      <c r="C1680" t="n">
        <v>0.989</v>
      </c>
      <c r="D1680" t="n">
        <v>2.259</v>
      </c>
      <c r="E1680" t="n">
        <v/>
      </c>
    </row>
    <row r="1681">
      <c r="A1681" s="27" t="n">
        <v>42362</v>
      </c>
      <c r="B1681" t="n">
        <v/>
      </c>
      <c r="C1681" t="n">
        <v>1.006</v>
      </c>
      <c r="D1681" t="n">
        <v>2.245</v>
      </c>
      <c r="E1681" t="n">
        <v/>
      </c>
    </row>
    <row r="1682">
      <c r="A1682" s="27" t="n">
        <v>42365</v>
      </c>
      <c r="B1682" t="n">
        <v/>
      </c>
      <c r="C1682" t="n">
        <v>1.019</v>
      </c>
      <c r="D1682" t="n">
        <v>2.255</v>
      </c>
      <c r="E1682" t="n">
        <v/>
      </c>
    </row>
    <row r="1683">
      <c r="A1683" s="27" t="n">
        <v>42366</v>
      </c>
      <c r="B1683" t="n">
        <v/>
      </c>
      <c r="C1683" t="n">
        <v>1.011</v>
      </c>
      <c r="D1683" t="n">
        <v>2.232</v>
      </c>
      <c r="E1683" t="n">
        <v/>
      </c>
    </row>
    <row r="1684">
      <c r="A1684" s="27" t="n">
        <v>42367</v>
      </c>
      <c r="B1684" t="n">
        <v/>
      </c>
      <c r="C1684" t="n">
        <v>1.095</v>
      </c>
      <c r="D1684" t="n">
        <v>2.308</v>
      </c>
      <c r="E1684" t="n">
        <v/>
      </c>
    </row>
    <row r="1685">
      <c r="A1685" s="27" t="n">
        <v>42368</v>
      </c>
      <c r="B1685" t="n">
        <v/>
      </c>
      <c r="C1685" t="n">
        <v>1.075</v>
      </c>
      <c r="D1685" t="n">
        <v>2.294</v>
      </c>
      <c r="E1685" t="n">
        <v/>
      </c>
    </row>
    <row r="1686">
      <c r="A1686" s="27" t="n">
        <v>42369</v>
      </c>
      <c r="B1686" t="n">
        <v/>
      </c>
      <c r="C1686" t="n">
        <v>1.052</v>
      </c>
      <c r="D1686" t="n">
        <v>2.269</v>
      </c>
      <c r="E1686" t="n">
        <v/>
      </c>
    </row>
    <row r="1687">
      <c r="A1687" s="27" t="n">
        <v>42372</v>
      </c>
      <c r="B1687" t="n">
        <v/>
      </c>
      <c r="C1687" t="n">
        <v>1.072</v>
      </c>
      <c r="D1687" t="n">
        <v>2.291</v>
      </c>
      <c r="E1687" t="n">
        <v/>
      </c>
    </row>
    <row r="1688">
      <c r="A1688" s="27" t="n">
        <v>42373</v>
      </c>
      <c r="B1688" t="n">
        <v/>
      </c>
      <c r="C1688" t="n">
        <v>1.036</v>
      </c>
      <c r="D1688" t="n">
        <v>2.243</v>
      </c>
      <c r="E1688" t="n">
        <v/>
      </c>
    </row>
    <row r="1689">
      <c r="A1689" s="27" t="n">
        <v>42374</v>
      </c>
      <c r="B1689" t="n">
        <v/>
      </c>
      <c r="C1689" t="n">
        <v>1.02</v>
      </c>
      <c r="D1689" t="n">
        <v>2.239</v>
      </c>
      <c r="E1689" t="n">
        <v/>
      </c>
    </row>
    <row r="1690">
      <c r="A1690" s="27" t="n">
        <v>42375</v>
      </c>
      <c r="B1690" t="n">
        <v/>
      </c>
      <c r="C1690" t="n">
        <v>0.98</v>
      </c>
      <c r="D1690" t="n">
        <v>2.17</v>
      </c>
      <c r="E1690" t="n">
        <v/>
      </c>
    </row>
    <row r="1691">
      <c r="A1691" s="27" t="n">
        <v>42376</v>
      </c>
      <c r="B1691" t="n">
        <v/>
      </c>
      <c r="C1691" t="n">
        <v>0.952</v>
      </c>
      <c r="D1691" t="n">
        <v>2.149</v>
      </c>
      <c r="E1691" t="n">
        <v/>
      </c>
    </row>
    <row r="1692">
      <c r="A1692" s="27" t="n">
        <v>42377</v>
      </c>
      <c r="B1692" t="n">
        <v/>
      </c>
      <c r="C1692" t="n">
        <v>0.9360000000000001</v>
      </c>
      <c r="D1692" t="n">
        <v>2.116</v>
      </c>
      <c r="E1692" t="n">
        <v/>
      </c>
    </row>
    <row r="1693">
      <c r="A1693" s="27" t="n">
        <v>42379</v>
      </c>
      <c r="B1693" t="n">
        <v/>
      </c>
      <c r="C1693" t="n">
        <v>0.9360000000000001</v>
      </c>
      <c r="D1693" t="n">
        <v>2.116</v>
      </c>
      <c r="E1693" t="n">
        <v/>
      </c>
    </row>
    <row r="1694">
      <c r="A1694" s="27" t="n">
        <v>42380</v>
      </c>
      <c r="B1694" t="n">
        <v/>
      </c>
      <c r="C1694" t="n">
        <v>0.9360000000000001</v>
      </c>
      <c r="D1694" t="n">
        <v>2.175</v>
      </c>
      <c r="E1694" t="n">
        <v/>
      </c>
    </row>
    <row r="1695">
      <c r="A1695" s="27" t="n">
        <v>42381</v>
      </c>
      <c r="B1695" t="n">
        <v/>
      </c>
      <c r="C1695" t="n">
        <v>0.928</v>
      </c>
      <c r="D1695" t="n">
        <v>2.105</v>
      </c>
      <c r="E1695" t="n">
        <v/>
      </c>
    </row>
    <row r="1696">
      <c r="A1696" s="27" t="n">
        <v>42382</v>
      </c>
      <c r="B1696" t="n">
        <v/>
      </c>
      <c r="C1696" t="n">
        <v>0.915</v>
      </c>
      <c r="D1696" t="n">
        <v>2.091</v>
      </c>
      <c r="E1696" t="n">
        <v/>
      </c>
    </row>
    <row r="1697">
      <c r="A1697" s="27" t="n">
        <v>42383</v>
      </c>
      <c r="B1697" t="n">
        <v/>
      </c>
      <c r="C1697" t="n">
        <v>0.899</v>
      </c>
      <c r="D1697" t="n">
        <v>2.091</v>
      </c>
      <c r="E1697" t="n">
        <v/>
      </c>
    </row>
    <row r="1698">
      <c r="A1698" s="27" t="n">
        <v>42384</v>
      </c>
      <c r="B1698" t="n">
        <v/>
      </c>
      <c r="C1698" t="n">
        <v>0.85</v>
      </c>
      <c r="D1698" t="n">
        <v>2.037</v>
      </c>
      <c r="E1698" t="n">
        <v/>
      </c>
    </row>
    <row r="1699">
      <c r="A1699" s="27" t="n">
        <v>42387</v>
      </c>
      <c r="B1699" t="n">
        <v/>
      </c>
      <c r="C1699" t="n">
        <v>0.85</v>
      </c>
      <c r="D1699" t="n">
        <v>2.045</v>
      </c>
      <c r="E1699" t="n">
        <v/>
      </c>
    </row>
    <row r="1700">
      <c r="A1700" s="27" t="n">
        <v>42388</v>
      </c>
      <c r="B1700" t="n">
        <v/>
      </c>
      <c r="C1700" t="n">
        <v>0.87</v>
      </c>
      <c r="D1700" t="n">
        <v>2.056</v>
      </c>
      <c r="E1700" t="n">
        <v/>
      </c>
    </row>
    <row r="1701">
      <c r="A1701" s="27" t="n">
        <v>42389</v>
      </c>
      <c r="B1701" t="n">
        <v/>
      </c>
      <c r="C1701" t="n">
        <v>0.829</v>
      </c>
      <c r="D1701" t="n">
        <v>1.988</v>
      </c>
      <c r="E1701" t="n">
        <v/>
      </c>
    </row>
    <row r="1702">
      <c r="A1702" s="27" t="n">
        <v>42390</v>
      </c>
      <c r="B1702" t="n">
        <v/>
      </c>
      <c r="C1702" t="n">
        <v>0.837</v>
      </c>
      <c r="D1702" t="n">
        <v>2.028</v>
      </c>
      <c r="E1702" t="n">
        <v/>
      </c>
    </row>
    <row r="1703">
      <c r="A1703" s="27" t="n">
        <v>42391</v>
      </c>
      <c r="B1703" t="n">
        <v/>
      </c>
      <c r="C1703" t="n">
        <v>0.873</v>
      </c>
      <c r="D1703" t="n">
        <v>2.057</v>
      </c>
      <c r="E1703" t="n">
        <v/>
      </c>
    </row>
    <row r="1704">
      <c r="A1704" s="27" t="n">
        <v>42393</v>
      </c>
      <c r="B1704" t="n">
        <v/>
      </c>
      <c r="C1704" t="n">
        <v>0.885</v>
      </c>
      <c r="D1704" t="n">
        <v>2.059</v>
      </c>
      <c r="E1704" t="n">
        <v/>
      </c>
    </row>
    <row r="1705">
      <c r="A1705" s="27" t="n">
        <v>42394</v>
      </c>
      <c r="B1705" t="n">
        <v/>
      </c>
      <c r="C1705" t="n">
        <v>0.861</v>
      </c>
      <c r="D1705" t="n">
        <v>2.006</v>
      </c>
      <c r="E1705" t="n">
        <v/>
      </c>
    </row>
    <row r="1706">
      <c r="A1706" s="27" t="n">
        <v>42395</v>
      </c>
      <c r="B1706" t="n">
        <v/>
      </c>
      <c r="C1706" t="n">
        <v>0.844</v>
      </c>
      <c r="D1706" t="n">
        <v>2.003</v>
      </c>
      <c r="E1706" t="n">
        <v/>
      </c>
    </row>
    <row r="1707">
      <c r="A1707" s="27" t="n">
        <v>42396</v>
      </c>
      <c r="B1707" t="n">
        <v/>
      </c>
      <c r="C1707" t="n">
        <v>0.837</v>
      </c>
      <c r="D1707" t="n">
        <v>2.003</v>
      </c>
      <c r="E1707" t="n">
        <v/>
      </c>
    </row>
    <row r="1708">
      <c r="A1708" s="27" t="n">
        <v>42397</v>
      </c>
      <c r="B1708" t="n">
        <v/>
      </c>
      <c r="C1708" t="n">
        <v>0.825</v>
      </c>
      <c r="D1708" t="n">
        <v>1.982</v>
      </c>
      <c r="E1708" t="n">
        <v/>
      </c>
    </row>
    <row r="1709">
      <c r="A1709" s="27" t="n">
        <v>42398</v>
      </c>
      <c r="B1709" t="n">
        <v/>
      </c>
      <c r="C1709" t="n">
        <v>0.778</v>
      </c>
      <c r="D1709" t="n">
        <v>1.923</v>
      </c>
      <c r="E1709" t="n">
        <v/>
      </c>
    </row>
    <row r="1710">
      <c r="A1710" s="27" t="n">
        <v>42400</v>
      </c>
      <c r="B1710" t="n">
        <v/>
      </c>
      <c r="C1710" t="n">
        <v>0.782</v>
      </c>
      <c r="D1710" t="n">
        <v>1.933</v>
      </c>
      <c r="E1710" t="n">
        <v/>
      </c>
    </row>
    <row r="1711">
      <c r="A1711" s="27" t="n">
        <v>42401</v>
      </c>
      <c r="B1711" t="n">
        <v/>
      </c>
      <c r="C1711" t="n">
        <v>0.801</v>
      </c>
      <c r="D1711" t="n">
        <v>1.95</v>
      </c>
      <c r="E1711" t="n">
        <v/>
      </c>
    </row>
    <row r="1712">
      <c r="A1712" s="27" t="n">
        <v>42402</v>
      </c>
      <c r="B1712" t="n">
        <v/>
      </c>
      <c r="C1712" t="n">
        <v>0.742</v>
      </c>
      <c r="D1712" t="n">
        <v>1.852</v>
      </c>
      <c r="E1712" t="n">
        <v/>
      </c>
    </row>
    <row r="1713">
      <c r="A1713" s="27" t="n">
        <v>42403</v>
      </c>
      <c r="B1713" t="n">
        <v/>
      </c>
      <c r="C1713" t="n">
        <v>0.726</v>
      </c>
      <c r="D1713" t="n">
        <v>1.883</v>
      </c>
      <c r="E1713" t="n">
        <v/>
      </c>
    </row>
    <row r="1714">
      <c r="A1714" s="27" t="n">
        <v>42404</v>
      </c>
      <c r="B1714" t="n">
        <v/>
      </c>
      <c r="C1714" t="n">
        <v>0.706</v>
      </c>
      <c r="D1714" t="n">
        <v>1.846</v>
      </c>
      <c r="E1714" t="n">
        <v/>
      </c>
    </row>
    <row r="1715">
      <c r="A1715" s="27" t="n">
        <v>42405</v>
      </c>
      <c r="B1715" t="n">
        <v/>
      </c>
      <c r="C1715" t="n">
        <v>0.73</v>
      </c>
      <c r="D1715" t="n">
        <v>1.843</v>
      </c>
      <c r="E1715" t="n">
        <v/>
      </c>
    </row>
    <row r="1716">
      <c r="A1716" s="27" t="n">
        <v>42407</v>
      </c>
      <c r="B1716" t="n">
        <v/>
      </c>
      <c r="C1716" t="n">
        <v>0.734</v>
      </c>
      <c r="D1716" t="n">
        <v>1.853</v>
      </c>
      <c r="E1716" t="n">
        <v/>
      </c>
    </row>
    <row r="1717">
      <c r="A1717" s="27" t="n">
        <v>42408</v>
      </c>
      <c r="B1717" t="n">
        <v/>
      </c>
      <c r="C1717" t="n">
        <v>0.674</v>
      </c>
      <c r="D1717" t="n">
        <v>1.748</v>
      </c>
      <c r="E1717" t="n">
        <v/>
      </c>
    </row>
    <row r="1718">
      <c r="A1718" s="27" t="n">
        <v>42409</v>
      </c>
      <c r="B1718" t="n">
        <v/>
      </c>
      <c r="C1718" t="n">
        <v>0.694</v>
      </c>
      <c r="D1718" t="n">
        <v>1.731</v>
      </c>
      <c r="E1718" t="n">
        <v/>
      </c>
    </row>
    <row r="1719">
      <c r="A1719" s="27" t="n">
        <v>42410</v>
      </c>
      <c r="B1719" t="n">
        <v/>
      </c>
      <c r="C1719" t="n">
        <v>0.694</v>
      </c>
      <c r="D1719" t="n">
        <v>1.673</v>
      </c>
      <c r="E1719" t="n">
        <v/>
      </c>
    </row>
    <row r="1720">
      <c r="A1720" s="27" t="n">
        <v>42411</v>
      </c>
      <c r="B1720" t="n">
        <v/>
      </c>
      <c r="C1720" t="n">
        <v>0.658</v>
      </c>
      <c r="D1720" t="n">
        <v>1.664</v>
      </c>
      <c r="E1720" t="n">
        <v/>
      </c>
    </row>
    <row r="1721">
      <c r="A1721" s="27" t="n">
        <v>42412</v>
      </c>
      <c r="B1721" t="n">
        <v/>
      </c>
      <c r="C1721" t="n">
        <v>0.714</v>
      </c>
      <c r="D1721" t="n">
        <v>1.746</v>
      </c>
      <c r="E1721" t="n">
        <v/>
      </c>
    </row>
    <row r="1722">
      <c r="A1722" s="27" t="n">
        <v>42414</v>
      </c>
      <c r="B1722" t="n">
        <v/>
      </c>
      <c r="C1722" t="n">
        <v>0.714</v>
      </c>
      <c r="D1722" t="n">
        <v>1.746</v>
      </c>
      <c r="E1722" t="n">
        <v/>
      </c>
    </row>
    <row r="1723">
      <c r="A1723" s="27" t="n">
        <v>42415</v>
      </c>
      <c r="B1723" t="n">
        <v/>
      </c>
      <c r="C1723" t="n">
        <v>0.726</v>
      </c>
      <c r="D1723" t="n">
        <v>1.772</v>
      </c>
      <c r="E1723" t="n">
        <v/>
      </c>
    </row>
    <row r="1724">
      <c r="A1724" s="27" t="n">
        <v>42416</v>
      </c>
      <c r="B1724" t="n">
        <v/>
      </c>
      <c r="C1724" t="n">
        <v>0.722</v>
      </c>
      <c r="D1724" t="n">
        <v>1.779</v>
      </c>
      <c r="E1724" t="n">
        <v/>
      </c>
    </row>
    <row r="1725">
      <c r="A1725" s="27" t="n">
        <v>42417</v>
      </c>
      <c r="B1725" t="n">
        <v/>
      </c>
      <c r="C1725" t="n">
        <v>0.746</v>
      </c>
      <c r="D1725" t="n">
        <v>1.816</v>
      </c>
      <c r="E1725" t="n">
        <v/>
      </c>
    </row>
    <row r="1726">
      <c r="A1726" s="27" t="n">
        <v>42418</v>
      </c>
      <c r="B1726" t="n">
        <v/>
      </c>
      <c r="C1726" t="n">
        <v>0.697</v>
      </c>
      <c r="D1726" t="n">
        <v>1.741</v>
      </c>
      <c r="E1726" t="n">
        <v/>
      </c>
    </row>
    <row r="1727">
      <c r="A1727" s="27" t="n">
        <v>42419</v>
      </c>
      <c r="B1727" t="n">
        <v/>
      </c>
      <c r="C1727" t="n">
        <v>0.746</v>
      </c>
      <c r="D1727" t="n">
        <v>1.743</v>
      </c>
      <c r="E1727" t="n">
        <v/>
      </c>
    </row>
    <row r="1728">
      <c r="A1728" s="27" t="n">
        <v>42421</v>
      </c>
      <c r="B1728" t="n">
        <v/>
      </c>
      <c r="C1728" t="n">
        <v>0.746</v>
      </c>
      <c r="D1728" t="n">
        <v>1.748</v>
      </c>
      <c r="E1728" t="n">
        <v/>
      </c>
    </row>
    <row r="1729">
      <c r="A1729" s="27" t="n">
        <v>42422</v>
      </c>
      <c r="B1729" t="n">
        <v/>
      </c>
      <c r="C1729" t="n">
        <v>0.754</v>
      </c>
      <c r="D1729" t="n">
        <v>1.755</v>
      </c>
      <c r="E1729" t="n">
        <v/>
      </c>
    </row>
    <row r="1730">
      <c r="A1730" s="27" t="n">
        <v>42423</v>
      </c>
      <c r="B1730" t="n">
        <v/>
      </c>
      <c r="C1730" t="n">
        <v>0.734</v>
      </c>
      <c r="D1730" t="n">
        <v>1.716</v>
      </c>
      <c r="E1730" t="n">
        <v/>
      </c>
    </row>
    <row r="1731">
      <c r="A1731" s="27" t="n">
        <v>42424</v>
      </c>
      <c r="B1731" t="n">
        <v/>
      </c>
      <c r="C1731" t="n">
        <v>0.762</v>
      </c>
      <c r="D1731" t="n">
        <v>1.752</v>
      </c>
      <c r="E1731" t="n">
        <v/>
      </c>
    </row>
    <row r="1732">
      <c r="A1732" s="27" t="n">
        <v>42425</v>
      </c>
      <c r="B1732" t="n">
        <v/>
      </c>
      <c r="C1732" t="n">
        <v>0.73</v>
      </c>
      <c r="D1732" t="n">
        <v>1.714</v>
      </c>
      <c r="E1732" t="n">
        <v/>
      </c>
    </row>
    <row r="1733">
      <c r="A1733" s="27" t="n">
        <v>42426</v>
      </c>
      <c r="B1733" t="n">
        <v/>
      </c>
      <c r="C1733" t="n">
        <v>0.797</v>
      </c>
      <c r="D1733" t="n">
        <v>1.764</v>
      </c>
      <c r="E1733" t="n">
        <v/>
      </c>
    </row>
    <row r="1734">
      <c r="A1734" s="27" t="n">
        <v>42428</v>
      </c>
      <c r="B1734" t="n">
        <v/>
      </c>
      <c r="C1734" t="n">
        <v>0.801</v>
      </c>
      <c r="D1734" t="n">
        <v>1.757</v>
      </c>
      <c r="E1734" t="n">
        <v/>
      </c>
    </row>
    <row r="1735">
      <c r="A1735" s="27" t="n">
        <v>42429</v>
      </c>
      <c r="B1735" t="n">
        <v/>
      </c>
      <c r="C1735" t="n">
        <v>0.785</v>
      </c>
      <c r="D1735" t="n">
        <v>1.738</v>
      </c>
      <c r="E1735" t="n">
        <v/>
      </c>
    </row>
    <row r="1736">
      <c r="A1736" s="27" t="n">
        <v>42430</v>
      </c>
      <c r="B1736" t="n">
        <v/>
      </c>
      <c r="C1736" t="n">
        <v>0.849</v>
      </c>
      <c r="D1736" t="n">
        <v>1.827</v>
      </c>
      <c r="E1736" t="n">
        <v/>
      </c>
    </row>
    <row r="1737">
      <c r="A1737" s="27" t="n">
        <v>42431</v>
      </c>
      <c r="B1737" t="n">
        <v/>
      </c>
      <c r="C1737" t="n">
        <v>0.845</v>
      </c>
      <c r="D1737" t="n">
        <v>1.835</v>
      </c>
      <c r="E1737" t="n">
        <v/>
      </c>
    </row>
    <row r="1738">
      <c r="A1738" s="27" t="n">
        <v>42432</v>
      </c>
      <c r="B1738" t="n">
        <v/>
      </c>
      <c r="C1738" t="n">
        <v>0.845</v>
      </c>
      <c r="D1738" t="n">
        <v>1.835</v>
      </c>
      <c r="E1738" t="n">
        <v/>
      </c>
    </row>
    <row r="1739">
      <c r="A1739" s="27" t="n">
        <v>42433</v>
      </c>
      <c r="B1739" t="n">
        <v/>
      </c>
      <c r="C1739" t="n">
        <v>0.866</v>
      </c>
      <c r="D1739" t="n">
        <v>1.876</v>
      </c>
      <c r="E1739" t="n">
        <v/>
      </c>
    </row>
    <row r="1740">
      <c r="A1740" s="27" t="n">
        <v>42435</v>
      </c>
      <c r="B1740" t="n">
        <v/>
      </c>
      <c r="C1740" t="n">
        <v>0.878</v>
      </c>
      <c r="D1740" t="n">
        <v>1.879</v>
      </c>
      <c r="E1740" t="n">
        <v/>
      </c>
    </row>
    <row r="1741">
      <c r="A1741" s="27" t="n">
        <v>42436</v>
      </c>
      <c r="B1741" t="n">
        <v/>
      </c>
      <c r="C1741" t="n">
        <v>0.91</v>
      </c>
      <c r="D1741" t="n">
        <v>1.904</v>
      </c>
      <c r="E1741" t="n">
        <v/>
      </c>
    </row>
    <row r="1742">
      <c r="A1742" s="27" t="n">
        <v>42437</v>
      </c>
      <c r="B1742" t="n">
        <v/>
      </c>
      <c r="C1742" t="n">
        <v>0.87</v>
      </c>
      <c r="D1742" t="n">
        <v>1.831</v>
      </c>
      <c r="E1742" t="n">
        <v/>
      </c>
    </row>
    <row r="1743">
      <c r="A1743" s="27" t="n">
        <v>42438</v>
      </c>
      <c r="B1743" t="n">
        <v/>
      </c>
      <c r="C1743" t="n">
        <v>0.894</v>
      </c>
      <c r="D1743" t="n">
        <v>1.879</v>
      </c>
      <c r="E1743" t="n">
        <v/>
      </c>
    </row>
    <row r="1744">
      <c r="A1744" s="27" t="n">
        <v>42439</v>
      </c>
      <c r="B1744" t="n">
        <v/>
      </c>
      <c r="C1744" t="n">
        <v>0.93</v>
      </c>
      <c r="D1744" t="n">
        <v>1.936</v>
      </c>
      <c r="E1744" t="n">
        <v/>
      </c>
    </row>
    <row r="1745">
      <c r="A1745" s="27" t="n">
        <v>42440</v>
      </c>
      <c r="B1745" t="n">
        <v/>
      </c>
      <c r="C1745" t="n">
        <v>0.96</v>
      </c>
      <c r="D1745" t="n">
        <v>1.98</v>
      </c>
      <c r="E1745" t="n">
        <v/>
      </c>
    </row>
    <row r="1746">
      <c r="A1746" s="27" t="n">
        <v>42442</v>
      </c>
      <c r="B1746" t="n">
        <v/>
      </c>
      <c r="C1746" t="n">
        <v>0.964</v>
      </c>
      <c r="D1746" t="n">
        <v>1.977</v>
      </c>
      <c r="E1746" t="n">
        <v/>
      </c>
    </row>
    <row r="1747">
      <c r="A1747" s="27" t="n">
        <v>42443</v>
      </c>
      <c r="B1747" t="n">
        <v/>
      </c>
      <c r="C1747" t="n">
        <v>0.96</v>
      </c>
      <c r="D1747" t="n">
        <v>1.961</v>
      </c>
      <c r="E1747" t="n">
        <v/>
      </c>
    </row>
    <row r="1748">
      <c r="A1748" s="27" t="n">
        <v>42444</v>
      </c>
      <c r="B1748" t="n">
        <v/>
      </c>
      <c r="C1748" t="n">
        <v>0.968</v>
      </c>
      <c r="D1748" t="n">
        <v>1.968</v>
      </c>
      <c r="E1748" t="n">
        <v/>
      </c>
    </row>
    <row r="1749">
      <c r="A1749" s="27" t="n">
        <v>42445</v>
      </c>
      <c r="B1749" t="n">
        <v/>
      </c>
      <c r="C1749" t="n">
        <v>0.863</v>
      </c>
      <c r="D1749" t="n">
        <v>1.913</v>
      </c>
      <c r="E1749" t="n">
        <v/>
      </c>
    </row>
    <row r="1750">
      <c r="A1750" s="27" t="n">
        <v>42446</v>
      </c>
      <c r="B1750" t="n">
        <v/>
      </c>
      <c r="C1750" t="n">
        <v>0.867</v>
      </c>
      <c r="D1750" t="n">
        <v>1.898</v>
      </c>
      <c r="E1750" t="n">
        <v/>
      </c>
    </row>
    <row r="1751">
      <c r="A1751" s="27" t="n">
        <v>42447</v>
      </c>
      <c r="B1751" t="n">
        <v/>
      </c>
      <c r="C1751" t="n">
        <v>0.839</v>
      </c>
      <c r="D1751" t="n">
        <v>1.877</v>
      </c>
      <c r="E1751" t="n">
        <v/>
      </c>
    </row>
    <row r="1752">
      <c r="A1752" s="27" t="n">
        <v>42449</v>
      </c>
      <c r="B1752" t="n">
        <v/>
      </c>
      <c r="C1752" t="n">
        <v>0.839</v>
      </c>
      <c r="D1752" t="n">
        <v>1.877</v>
      </c>
      <c r="E1752" t="n">
        <v/>
      </c>
    </row>
    <row r="1753">
      <c r="A1753" s="27" t="n">
        <v>42450</v>
      </c>
      <c r="B1753" t="n">
        <v/>
      </c>
      <c r="C1753" t="n">
        <v>0.876</v>
      </c>
      <c r="D1753" t="n">
        <v>1.917</v>
      </c>
      <c r="E1753" t="n">
        <v/>
      </c>
    </row>
    <row r="1754">
      <c r="A1754" s="27" t="n">
        <v>42451</v>
      </c>
      <c r="B1754" t="n">
        <v/>
      </c>
      <c r="C1754" t="n">
        <v>0.893</v>
      </c>
      <c r="D1754" t="n">
        <v>1.944</v>
      </c>
      <c r="E1754" t="n">
        <v/>
      </c>
    </row>
    <row r="1755">
      <c r="A1755" s="27" t="n">
        <v>42452</v>
      </c>
      <c r="B1755" t="n">
        <v/>
      </c>
      <c r="C1755" t="n">
        <v>0.856</v>
      </c>
      <c r="D1755" t="n">
        <v>1.879</v>
      </c>
      <c r="E1755" t="n">
        <v/>
      </c>
    </row>
    <row r="1756">
      <c r="A1756" s="27" t="n">
        <v>42453</v>
      </c>
      <c r="B1756" t="n">
        <v/>
      </c>
      <c r="C1756" t="n">
        <v>0.873</v>
      </c>
      <c r="D1756" t="n">
        <v>1.9</v>
      </c>
      <c r="E1756" t="n">
        <v/>
      </c>
    </row>
    <row r="1757">
      <c r="A1757" s="27" t="n">
        <v>42456</v>
      </c>
      <c r="B1757" t="n">
        <v/>
      </c>
      <c r="C1757" t="n">
        <v>0.89</v>
      </c>
      <c r="D1757" t="n">
        <v>1.914</v>
      </c>
      <c r="E1757" t="n">
        <v/>
      </c>
    </row>
    <row r="1758">
      <c r="A1758" s="27" t="n">
        <v>42457</v>
      </c>
      <c r="B1758" t="n">
        <v/>
      </c>
      <c r="C1758" t="n">
        <v>0.869</v>
      </c>
      <c r="D1758" t="n">
        <v>1.883</v>
      </c>
      <c r="E1758" t="n">
        <v/>
      </c>
    </row>
    <row r="1759">
      <c r="A1759" s="27" t="n">
        <v>42458</v>
      </c>
      <c r="B1759" t="n">
        <v/>
      </c>
      <c r="C1759" t="n">
        <v>0.788</v>
      </c>
      <c r="D1759" t="n">
        <v>1.804</v>
      </c>
      <c r="E1759" t="n">
        <v/>
      </c>
    </row>
    <row r="1760">
      <c r="A1760" s="27" t="n">
        <v>42459</v>
      </c>
      <c r="B1760" t="n">
        <v/>
      </c>
      <c r="C1760" t="n">
        <v>0.761</v>
      </c>
      <c r="D1760" t="n">
        <v>1.828</v>
      </c>
      <c r="E1760" t="n">
        <v/>
      </c>
    </row>
    <row r="1761">
      <c r="A1761" s="27" t="n">
        <v>42460</v>
      </c>
      <c r="B1761" t="n">
        <v/>
      </c>
      <c r="C1761" t="n">
        <v>0.725</v>
      </c>
      <c r="D1761" t="n">
        <v>1.77</v>
      </c>
      <c r="E1761" t="n">
        <v/>
      </c>
    </row>
    <row r="1762">
      <c r="A1762" s="27" t="n">
        <v>42461</v>
      </c>
      <c r="B1762" t="n">
        <v/>
      </c>
      <c r="C1762" t="n">
        <v>0.748</v>
      </c>
      <c r="D1762" t="n">
        <v>1.774</v>
      </c>
      <c r="E1762" t="n">
        <v/>
      </c>
    </row>
    <row r="1763">
      <c r="A1763" s="27" t="n">
        <v>42463</v>
      </c>
      <c r="B1763" t="n">
        <v/>
      </c>
      <c r="C1763" t="n">
        <v>0.736</v>
      </c>
      <c r="D1763" t="n">
        <v>1.765</v>
      </c>
      <c r="E1763" t="n">
        <v/>
      </c>
    </row>
    <row r="1764">
      <c r="A1764" s="27" t="n">
        <v>42464</v>
      </c>
      <c r="B1764" t="n">
        <v/>
      </c>
      <c r="C1764" t="n">
        <v>0.736</v>
      </c>
      <c r="D1764" t="n">
        <v>1.762</v>
      </c>
      <c r="E1764" t="n">
        <v/>
      </c>
    </row>
    <row r="1765">
      <c r="A1765" s="27" t="n">
        <v>42465</v>
      </c>
      <c r="B1765" t="n">
        <v/>
      </c>
      <c r="C1765" t="n">
        <v>0.72</v>
      </c>
      <c r="D1765" t="n">
        <v>1.72</v>
      </c>
      <c r="E1765" t="n">
        <v/>
      </c>
    </row>
    <row r="1766">
      <c r="A1766" s="27" t="n">
        <v>42466</v>
      </c>
      <c r="B1766" t="n">
        <v/>
      </c>
      <c r="C1766" t="n">
        <v>0.74</v>
      </c>
      <c r="D1766" t="n">
        <v>1.758</v>
      </c>
      <c r="E1766" t="n">
        <v/>
      </c>
    </row>
    <row r="1767">
      <c r="A1767" s="27" t="n">
        <v>42467</v>
      </c>
      <c r="B1767" t="n">
        <v/>
      </c>
      <c r="C1767" t="n">
        <v>0.696</v>
      </c>
      <c r="D1767" t="n">
        <v>1.687</v>
      </c>
      <c r="E1767" t="n">
        <v/>
      </c>
    </row>
    <row r="1768">
      <c r="A1768" s="27" t="n">
        <v>42468</v>
      </c>
      <c r="B1768" t="n">
        <v/>
      </c>
      <c r="C1768" t="n">
        <v>0.699</v>
      </c>
      <c r="D1768" t="n">
        <v>1.717</v>
      </c>
      <c r="E1768" t="n">
        <v/>
      </c>
    </row>
    <row r="1769">
      <c r="A1769" s="27" t="n">
        <v>42470</v>
      </c>
      <c r="B1769" t="n">
        <v/>
      </c>
      <c r="C1769" t="n">
        <v>0.703</v>
      </c>
      <c r="D1769" t="n">
        <v>1.732</v>
      </c>
      <c r="E1769" t="n">
        <v/>
      </c>
    </row>
    <row r="1770">
      <c r="A1770" s="27" t="n">
        <v>42471</v>
      </c>
      <c r="B1770" t="n">
        <v/>
      </c>
      <c r="C1770" t="n">
        <v>0.699</v>
      </c>
      <c r="D1770" t="n">
        <v>1.722</v>
      </c>
      <c r="E1770" t="n">
        <v/>
      </c>
    </row>
    <row r="1771">
      <c r="A1771" s="27" t="n">
        <v>42472</v>
      </c>
      <c r="B1771" t="n">
        <v/>
      </c>
      <c r="C1771" t="n">
        <v>0.739</v>
      </c>
      <c r="D1771" t="n">
        <v>1.776</v>
      </c>
      <c r="E1771" t="n">
        <v/>
      </c>
    </row>
    <row r="1772">
      <c r="A1772" s="27" t="n">
        <v>42473</v>
      </c>
      <c r="B1772" t="n">
        <v/>
      </c>
      <c r="C1772" t="n">
        <v>0.75</v>
      </c>
      <c r="D1772" t="n">
        <v>1.766</v>
      </c>
      <c r="E1772" t="n">
        <v/>
      </c>
    </row>
    <row r="1773">
      <c r="A1773" s="27" t="n">
        <v>42474</v>
      </c>
      <c r="B1773" t="n">
        <v/>
      </c>
      <c r="C1773" t="n">
        <v>0.77</v>
      </c>
      <c r="D1773" t="n">
        <v>1.792</v>
      </c>
      <c r="E1773" t="n">
        <v/>
      </c>
    </row>
    <row r="1774">
      <c r="A1774" s="27" t="n">
        <v>42475</v>
      </c>
      <c r="B1774" t="n">
        <v/>
      </c>
      <c r="C1774" t="n">
        <v>0.738</v>
      </c>
      <c r="D1774" t="n">
        <v>1.754</v>
      </c>
      <c r="E1774" t="n">
        <v/>
      </c>
    </row>
    <row r="1775">
      <c r="A1775" s="27" t="n">
        <v>42477</v>
      </c>
      <c r="B1775" t="n">
        <v/>
      </c>
      <c r="C1775" t="n">
        <v>0.717</v>
      </c>
      <c r="D1775" t="n">
        <v>1.726</v>
      </c>
      <c r="E1775" t="n">
        <v/>
      </c>
    </row>
    <row r="1776">
      <c r="A1776" s="27" t="n">
        <v>42478</v>
      </c>
      <c r="B1776" t="n">
        <v/>
      </c>
      <c r="C1776" t="n">
        <v>0.746</v>
      </c>
      <c r="D1776" t="n">
        <v>1.771</v>
      </c>
      <c r="E1776" t="n">
        <v/>
      </c>
    </row>
    <row r="1777">
      <c r="A1777" s="27" t="n">
        <v>42479</v>
      </c>
      <c r="B1777" t="n">
        <v/>
      </c>
      <c r="C1777" t="n">
        <v>0.761</v>
      </c>
      <c r="D1777" t="n">
        <v>1.787</v>
      </c>
      <c r="E1777" t="n">
        <v/>
      </c>
    </row>
    <row r="1778">
      <c r="A1778" s="27" t="n">
        <v>42480</v>
      </c>
      <c r="B1778" t="n">
        <v/>
      </c>
      <c r="C1778" t="n">
        <v>0.798</v>
      </c>
      <c r="D1778" t="n">
        <v>1.845</v>
      </c>
      <c r="E1778" t="n">
        <v/>
      </c>
    </row>
    <row r="1779">
      <c r="A1779" s="27" t="n">
        <v>42481</v>
      </c>
      <c r="B1779" t="n">
        <v/>
      </c>
      <c r="C1779" t="n">
        <v>0.806</v>
      </c>
      <c r="D1779" t="n">
        <v>1.865</v>
      </c>
      <c r="E1779" t="n">
        <v/>
      </c>
    </row>
    <row r="1780">
      <c r="A1780" s="27" t="n">
        <v>42482</v>
      </c>
      <c r="B1780" t="n">
        <v/>
      </c>
      <c r="C1780" t="n">
        <v>0.822</v>
      </c>
      <c r="D1780" t="n">
        <v>1.891</v>
      </c>
      <c r="E1780" t="n">
        <v/>
      </c>
    </row>
    <row r="1781">
      <c r="A1781" s="27" t="n">
        <v>42484</v>
      </c>
      <c r="B1781" t="n">
        <v/>
      </c>
      <c r="C1781" t="n">
        <v>0.83</v>
      </c>
      <c r="D1781" t="n">
        <v>1.891</v>
      </c>
      <c r="E1781" t="n">
        <v/>
      </c>
    </row>
    <row r="1782">
      <c r="A1782" s="27" t="n">
        <v>42485</v>
      </c>
      <c r="B1782" t="n">
        <v/>
      </c>
      <c r="C1782" t="n">
        <v>0.834</v>
      </c>
      <c r="D1782" t="n">
        <v>1.915</v>
      </c>
      <c r="E1782" t="n">
        <v/>
      </c>
    </row>
    <row r="1783">
      <c r="A1783" s="27" t="n">
        <v>42486</v>
      </c>
      <c r="B1783" t="n">
        <v/>
      </c>
      <c r="C1783" t="n">
        <v>0.865</v>
      </c>
      <c r="D1783" t="n">
        <v>1.931</v>
      </c>
      <c r="E1783" t="n">
        <v/>
      </c>
    </row>
    <row r="1784">
      <c r="A1784" s="27" t="n">
        <v>42487</v>
      </c>
      <c r="B1784" t="n">
        <v/>
      </c>
      <c r="C1784" t="n">
        <v>0.821</v>
      </c>
      <c r="D1784" t="n">
        <v>1.853</v>
      </c>
      <c r="E1784" t="n">
        <v/>
      </c>
    </row>
    <row r="1785">
      <c r="A1785" s="27" t="n">
        <v>42488</v>
      </c>
      <c r="B1785" t="n">
        <v/>
      </c>
      <c r="C1785" t="n">
        <v>0.789</v>
      </c>
      <c r="D1785" t="n">
        <v>1.824</v>
      </c>
      <c r="E1785" t="n">
        <v/>
      </c>
    </row>
    <row r="1786">
      <c r="A1786" s="27" t="n">
        <v>42489</v>
      </c>
      <c r="B1786" t="n">
        <v/>
      </c>
      <c r="C1786" t="n">
        <v>0.782</v>
      </c>
      <c r="D1786" t="n">
        <v>1.835</v>
      </c>
      <c r="E1786" t="n">
        <v/>
      </c>
    </row>
    <row r="1787">
      <c r="A1787" s="27" t="n">
        <v>42491</v>
      </c>
      <c r="B1787" t="n">
        <v/>
      </c>
      <c r="C1787" t="n">
        <v>0.782</v>
      </c>
      <c r="D1787" t="n">
        <v>1.828</v>
      </c>
      <c r="E1787" t="n">
        <v/>
      </c>
    </row>
    <row r="1788">
      <c r="A1788" s="27" t="n">
        <v>42492</v>
      </c>
      <c r="B1788" t="n">
        <v/>
      </c>
      <c r="C1788" t="n">
        <v>0.793</v>
      </c>
      <c r="D1788" t="n">
        <v>1.872</v>
      </c>
      <c r="E1788" t="n">
        <v/>
      </c>
    </row>
    <row r="1789">
      <c r="A1789" s="27" t="n">
        <v>42493</v>
      </c>
      <c r="B1789" t="n">
        <v/>
      </c>
      <c r="C1789" t="n">
        <v>0.754</v>
      </c>
      <c r="D1789" t="n">
        <v>1.796</v>
      </c>
      <c r="E1789" t="n">
        <v/>
      </c>
    </row>
    <row r="1790">
      <c r="A1790" s="27" t="n">
        <v>42494</v>
      </c>
      <c r="B1790" t="n">
        <v/>
      </c>
      <c r="C1790" t="n">
        <v>0.742</v>
      </c>
      <c r="D1790" t="n">
        <v>1.777</v>
      </c>
      <c r="E1790" t="n">
        <v/>
      </c>
    </row>
    <row r="1791">
      <c r="A1791" s="27" t="n">
        <v>42495</v>
      </c>
      <c r="B1791" t="n">
        <v/>
      </c>
      <c r="C1791" t="n">
        <v>0.718</v>
      </c>
      <c r="D1791" t="n">
        <v>1.742</v>
      </c>
      <c r="E1791" t="n">
        <v/>
      </c>
    </row>
    <row r="1792">
      <c r="A1792" s="27" t="n">
        <v>42496</v>
      </c>
      <c r="B1792" t="n">
        <v/>
      </c>
      <c r="C1792" t="n">
        <v>0.734</v>
      </c>
      <c r="D1792" t="n">
        <v>1.779</v>
      </c>
      <c r="E1792" t="n">
        <v/>
      </c>
    </row>
    <row r="1793">
      <c r="A1793" s="27" t="n">
        <v>42498</v>
      </c>
      <c r="B1793" t="n">
        <v/>
      </c>
      <c r="C1793" t="n">
        <v>0.738</v>
      </c>
      <c r="D1793" t="n">
        <v>1.789</v>
      </c>
      <c r="E1793" t="n">
        <v/>
      </c>
    </row>
    <row r="1794">
      <c r="A1794" s="27" t="n">
        <v>42499</v>
      </c>
      <c r="B1794" t="n">
        <v/>
      </c>
      <c r="C1794" t="n">
        <v>0.71</v>
      </c>
      <c r="D1794" t="n">
        <v>1.751</v>
      </c>
      <c r="E1794" t="n">
        <v/>
      </c>
    </row>
    <row r="1795">
      <c r="A1795" s="27" t="n">
        <v>42500</v>
      </c>
      <c r="B1795" t="n">
        <v/>
      </c>
      <c r="C1795" t="n">
        <v>0.722</v>
      </c>
      <c r="D1795" t="n">
        <v>1.754</v>
      </c>
      <c r="E1795" t="n">
        <v/>
      </c>
    </row>
    <row r="1796">
      <c r="A1796" s="27" t="n">
        <v>42501</v>
      </c>
      <c r="B1796" t="n">
        <v/>
      </c>
      <c r="C1796" t="n">
        <v>0.734</v>
      </c>
      <c r="D1796" t="n">
        <v>1.735</v>
      </c>
      <c r="E1796" t="n">
        <v/>
      </c>
    </row>
    <row r="1797">
      <c r="A1797" s="27" t="n">
        <v>42502</v>
      </c>
      <c r="B1797" t="n">
        <v/>
      </c>
      <c r="C1797" t="n">
        <v>0.758</v>
      </c>
      <c r="D1797" t="n">
        <v>1.748</v>
      </c>
      <c r="E1797" t="n">
        <v/>
      </c>
    </row>
    <row r="1798">
      <c r="A1798" s="27" t="n">
        <v>42503</v>
      </c>
      <c r="B1798" t="n">
        <v/>
      </c>
      <c r="C1798" t="n">
        <v>0.75</v>
      </c>
      <c r="D1798" t="n">
        <v>1.702</v>
      </c>
      <c r="E1798" t="n">
        <v/>
      </c>
    </row>
    <row r="1799">
      <c r="A1799" s="27" t="n">
        <v>42505</v>
      </c>
      <c r="B1799" t="n">
        <v/>
      </c>
      <c r="C1799" t="n">
        <v>0.75</v>
      </c>
      <c r="D1799" t="n">
        <v>1.702</v>
      </c>
      <c r="E1799" t="n">
        <v/>
      </c>
    </row>
    <row r="1800">
      <c r="A1800" s="27" t="n">
        <v>42506</v>
      </c>
      <c r="B1800" t="n">
        <v/>
      </c>
      <c r="C1800" t="n">
        <v>0.786</v>
      </c>
      <c r="D1800" t="n">
        <v>1.757</v>
      </c>
      <c r="E1800" t="n">
        <v/>
      </c>
    </row>
    <row r="1801">
      <c r="A1801" s="27" t="n">
        <v>42507</v>
      </c>
      <c r="B1801" t="n">
        <v/>
      </c>
      <c r="C1801" t="n">
        <v>0.831</v>
      </c>
      <c r="D1801" t="n">
        <v>1.772</v>
      </c>
      <c r="E1801" t="n">
        <v/>
      </c>
    </row>
    <row r="1802">
      <c r="A1802" s="27" t="n">
        <v>42508</v>
      </c>
      <c r="B1802" t="n">
        <v/>
      </c>
      <c r="C1802" t="n">
        <v>0.9</v>
      </c>
      <c r="D1802" t="n">
        <v>1.859</v>
      </c>
      <c r="E1802" t="n">
        <v/>
      </c>
    </row>
    <row r="1803">
      <c r="A1803" s="27" t="n">
        <v>42509</v>
      </c>
      <c r="B1803" t="n">
        <v/>
      </c>
      <c r="C1803" t="n">
        <v>0.884</v>
      </c>
      <c r="D1803" t="n">
        <v>1.847</v>
      </c>
      <c r="E1803" t="n">
        <v/>
      </c>
    </row>
    <row r="1804">
      <c r="A1804" s="27" t="n">
        <v>42510</v>
      </c>
      <c r="B1804" t="n">
        <v/>
      </c>
      <c r="C1804" t="n">
        <v>0.884</v>
      </c>
      <c r="D1804" t="n">
        <v>1.844</v>
      </c>
      <c r="E1804" t="n">
        <v/>
      </c>
    </row>
    <row r="1805">
      <c r="A1805" s="27" t="n">
        <v>42512</v>
      </c>
      <c r="B1805" t="n">
        <v/>
      </c>
      <c r="C1805" t="n">
        <v>0.88</v>
      </c>
      <c r="D1805" t="n">
        <v>1.837</v>
      </c>
      <c r="E1805" t="n">
        <v/>
      </c>
    </row>
    <row r="1806">
      <c r="A1806" s="27" t="n">
        <v>42513</v>
      </c>
      <c r="B1806" t="n">
        <v/>
      </c>
      <c r="C1806" t="n">
        <v>0.901</v>
      </c>
      <c r="D1806" t="n">
        <v>1.835</v>
      </c>
      <c r="E1806" t="n">
        <v/>
      </c>
    </row>
    <row r="1807">
      <c r="A1807" s="27" t="n">
        <v>42514</v>
      </c>
      <c r="B1807" t="n">
        <v/>
      </c>
      <c r="C1807" t="n">
        <v>0.913</v>
      </c>
      <c r="D1807" t="n">
        <v>1.865</v>
      </c>
      <c r="E1807" t="n">
        <v/>
      </c>
    </row>
    <row r="1808">
      <c r="A1808" s="27" t="n">
        <v>42515</v>
      </c>
      <c r="B1808" t="n">
        <v/>
      </c>
      <c r="C1808" t="n">
        <v>0.926</v>
      </c>
      <c r="D1808" t="n">
        <v>1.872</v>
      </c>
      <c r="E1808" t="n">
        <v/>
      </c>
    </row>
    <row r="1809">
      <c r="A1809" s="27" t="n">
        <v>42516</v>
      </c>
      <c r="B1809" t="n">
        <v/>
      </c>
      <c r="C1809" t="n">
        <v>0.875</v>
      </c>
      <c r="D1809" t="n">
        <v>1.83</v>
      </c>
      <c r="E1809" t="n">
        <v/>
      </c>
    </row>
    <row r="1810">
      <c r="A1810" s="27" t="n">
        <v>42517</v>
      </c>
      <c r="B1810" t="n">
        <v/>
      </c>
      <c r="C1810" t="n">
        <v>0.911</v>
      </c>
      <c r="D1810" t="n">
        <v>1.851</v>
      </c>
      <c r="E1810" t="n">
        <v/>
      </c>
    </row>
    <row r="1811">
      <c r="A1811" s="27" t="n">
        <v>42520</v>
      </c>
      <c r="B1811" t="n">
        <v/>
      </c>
      <c r="C1811" t="n">
        <v>0.9340000000000001</v>
      </c>
      <c r="D1811" t="n">
        <v>1.862</v>
      </c>
      <c r="E1811" t="n">
        <v/>
      </c>
    </row>
    <row r="1812">
      <c r="A1812" s="27" t="n">
        <v>42521</v>
      </c>
      <c r="B1812" t="n">
        <v/>
      </c>
      <c r="C1812" t="n">
        <v>0.883</v>
      </c>
      <c r="D1812" t="n">
        <v>1.851</v>
      </c>
      <c r="E1812" t="n">
        <v/>
      </c>
    </row>
    <row r="1813">
      <c r="A1813" s="27" t="n">
        <v>42522</v>
      </c>
      <c r="B1813" t="n">
        <v/>
      </c>
      <c r="C1813" t="n">
        <v>0.903</v>
      </c>
      <c r="D1813" t="n">
        <v>1.839</v>
      </c>
      <c r="E1813" t="n">
        <v/>
      </c>
    </row>
    <row r="1814">
      <c r="A1814" s="27" t="n">
        <v>42523</v>
      </c>
      <c r="B1814" t="n">
        <v/>
      </c>
      <c r="C1814" t="n">
        <v>0.883</v>
      </c>
      <c r="D1814" t="n">
        <v>1.799</v>
      </c>
      <c r="E1814" t="n">
        <v/>
      </c>
    </row>
    <row r="1815">
      <c r="A1815" s="27" t="n">
        <v>42524</v>
      </c>
      <c r="B1815" t="n">
        <v/>
      </c>
      <c r="C1815" t="n">
        <v>0.776</v>
      </c>
      <c r="D1815" t="n">
        <v>1.702</v>
      </c>
      <c r="E1815" t="n">
        <v/>
      </c>
    </row>
    <row r="1816">
      <c r="A1816" s="27" t="n">
        <v>42526</v>
      </c>
      <c r="B1816" t="n">
        <v/>
      </c>
      <c r="C1816" t="n">
        <v>0.784</v>
      </c>
      <c r="D1816" t="n">
        <v>1.706</v>
      </c>
      <c r="E1816" t="n">
        <v/>
      </c>
    </row>
    <row r="1817">
      <c r="A1817" s="27" t="n">
        <v>42527</v>
      </c>
      <c r="B1817" t="n">
        <v/>
      </c>
      <c r="C1817" t="n">
        <v>0.799</v>
      </c>
      <c r="D1817" t="n">
        <v>1.737</v>
      </c>
      <c r="E1817" t="n">
        <v/>
      </c>
    </row>
    <row r="1818">
      <c r="A1818" s="27" t="n">
        <v>42528</v>
      </c>
      <c r="B1818" t="n">
        <v/>
      </c>
      <c r="C1818" t="n">
        <v>0.783</v>
      </c>
      <c r="D1818" t="n">
        <v>1.716</v>
      </c>
      <c r="E1818" t="n">
        <v/>
      </c>
    </row>
    <row r="1819">
      <c r="A1819" s="27" t="n">
        <v>42529</v>
      </c>
      <c r="B1819" t="n">
        <v/>
      </c>
      <c r="C1819" t="n">
        <v>0.779</v>
      </c>
      <c r="D1819" t="n">
        <v>1.704</v>
      </c>
      <c r="E1819" t="n">
        <v/>
      </c>
    </row>
    <row r="1820">
      <c r="A1820" s="27" t="n">
        <v>42530</v>
      </c>
      <c r="B1820" t="n">
        <v/>
      </c>
      <c r="C1820" t="n">
        <v>0.771</v>
      </c>
      <c r="D1820" t="n">
        <v>1.682</v>
      </c>
      <c r="E1820" t="n">
        <v/>
      </c>
    </row>
    <row r="1821">
      <c r="A1821" s="27" t="n">
        <v>42531</v>
      </c>
      <c r="B1821" t="n">
        <v/>
      </c>
      <c r="C1821" t="n">
        <v>0.735</v>
      </c>
      <c r="D1821" t="n">
        <v>1.644</v>
      </c>
      <c r="E1821" t="n">
        <v/>
      </c>
    </row>
    <row r="1822">
      <c r="A1822" s="27" t="n">
        <v>42533</v>
      </c>
      <c r="B1822" t="n">
        <v/>
      </c>
      <c r="C1822" t="n">
        <v>0.723</v>
      </c>
      <c r="D1822" t="n">
        <v>1.623</v>
      </c>
      <c r="E1822" t="n">
        <v/>
      </c>
    </row>
    <row r="1823">
      <c r="A1823" s="27" t="n">
        <v>42534</v>
      </c>
      <c r="B1823" t="n">
        <v/>
      </c>
      <c r="C1823" t="n">
        <v>0.718</v>
      </c>
      <c r="D1823" t="n">
        <v>1.613</v>
      </c>
      <c r="E1823" t="n">
        <v/>
      </c>
    </row>
    <row r="1824">
      <c r="A1824" s="27" t="n">
        <v>42535</v>
      </c>
      <c r="B1824" t="n">
        <v/>
      </c>
      <c r="C1824" t="n">
        <v>0.726</v>
      </c>
      <c r="D1824" t="n">
        <v>1.613</v>
      </c>
      <c r="E1824" t="n">
        <v/>
      </c>
    </row>
    <row r="1825">
      <c r="A1825" s="27" t="n">
        <v>42536</v>
      </c>
      <c r="B1825" t="n">
        <v/>
      </c>
      <c r="C1825" t="n">
        <v>0.67</v>
      </c>
      <c r="D1825" t="n">
        <v>1.575</v>
      </c>
      <c r="E1825" t="n">
        <v/>
      </c>
    </row>
    <row r="1826">
      <c r="A1826" s="27" t="n">
        <v>42537</v>
      </c>
      <c r="B1826" t="n">
        <v/>
      </c>
      <c r="C1826" t="n">
        <v>0.6889999999999999</v>
      </c>
      <c r="D1826" t="n">
        <v>1.579</v>
      </c>
      <c r="E1826" t="n">
        <v/>
      </c>
    </row>
    <row r="1827">
      <c r="A1827" s="27" t="n">
        <v>42538</v>
      </c>
      <c r="B1827" t="n">
        <v/>
      </c>
      <c r="C1827" t="n">
        <v>0.697</v>
      </c>
      <c r="D1827" t="n">
        <v>1.611</v>
      </c>
      <c r="E1827" t="n">
        <v/>
      </c>
    </row>
    <row r="1828">
      <c r="A1828" s="27" t="n">
        <v>42540</v>
      </c>
      <c r="B1828" t="n">
        <v/>
      </c>
      <c r="C1828" t="n">
        <v>0.733</v>
      </c>
      <c r="D1828" t="n">
        <v>1.656</v>
      </c>
      <c r="E1828" t="n">
        <v/>
      </c>
    </row>
    <row r="1829">
      <c r="A1829" s="27" t="n">
        <v>42541</v>
      </c>
      <c r="B1829" t="n">
        <v/>
      </c>
      <c r="C1829" t="n">
        <v>0.741</v>
      </c>
      <c r="D1829" t="n">
        <v>1.678</v>
      </c>
      <c r="E1829" t="n">
        <v/>
      </c>
    </row>
    <row r="1830">
      <c r="A1830" s="27" t="n">
        <v>42542</v>
      </c>
      <c r="B1830" t="n">
        <v/>
      </c>
      <c r="C1830" t="n">
        <v>0.767</v>
      </c>
      <c r="D1830" t="n">
        <v>1.709</v>
      </c>
      <c r="E1830" t="n">
        <v/>
      </c>
    </row>
    <row r="1831">
      <c r="A1831" s="27" t="n">
        <v>42543</v>
      </c>
      <c r="B1831" t="n">
        <v/>
      </c>
      <c r="C1831" t="n">
        <v>0.747</v>
      </c>
      <c r="D1831" t="n">
        <v>1.687</v>
      </c>
      <c r="E1831" t="n">
        <v/>
      </c>
    </row>
    <row r="1832">
      <c r="A1832" s="27" t="n">
        <v>42544</v>
      </c>
      <c r="B1832" t="n">
        <v/>
      </c>
      <c r="C1832" t="n">
        <v>0.783</v>
      </c>
      <c r="D1832" t="n">
        <v>1.744</v>
      </c>
      <c r="E1832" t="n">
        <v/>
      </c>
    </row>
    <row r="1833">
      <c r="A1833" s="27" t="n">
        <v>42545</v>
      </c>
      <c r="B1833" t="n">
        <v/>
      </c>
      <c r="C1833" t="n">
        <v>0.637</v>
      </c>
      <c r="D1833" t="n">
        <v>1.562</v>
      </c>
      <c r="E1833" t="n">
        <v/>
      </c>
    </row>
    <row r="1834">
      <c r="A1834" s="27" t="n">
        <v>42547</v>
      </c>
      <c r="B1834" t="n">
        <v/>
      </c>
      <c r="C1834" t="n">
        <v>0.597</v>
      </c>
      <c r="D1834" t="n">
        <v>1.509</v>
      </c>
      <c r="E1834" t="n">
        <v/>
      </c>
    </row>
    <row r="1835">
      <c r="A1835" s="27" t="n">
        <v>42548</v>
      </c>
      <c r="B1835" t="n">
        <v/>
      </c>
      <c r="C1835" t="n">
        <v>0.597</v>
      </c>
      <c r="D1835" t="n">
        <v>1.444</v>
      </c>
      <c r="E1835" t="n">
        <v/>
      </c>
    </row>
    <row r="1836">
      <c r="A1836" s="27" t="n">
        <v>42549</v>
      </c>
      <c r="B1836" t="n">
        <v/>
      </c>
      <c r="C1836" t="n">
        <v>0.613</v>
      </c>
      <c r="D1836" t="n">
        <v>1.465</v>
      </c>
      <c r="E1836" t="n">
        <v/>
      </c>
    </row>
    <row r="1837">
      <c r="A1837" s="27" t="n">
        <v>42550</v>
      </c>
      <c r="B1837" t="n">
        <v/>
      </c>
      <c r="C1837" t="n">
        <v>0.641</v>
      </c>
      <c r="D1837" t="n">
        <v>1.517</v>
      </c>
      <c r="E1837" t="n">
        <v/>
      </c>
    </row>
    <row r="1838">
      <c r="A1838" s="27" t="n">
        <v>42551</v>
      </c>
      <c r="B1838" t="n">
        <v/>
      </c>
      <c r="C1838" t="n">
        <v>0.586</v>
      </c>
      <c r="D1838" t="n">
        <v>1.475</v>
      </c>
      <c r="E1838" t="n">
        <v/>
      </c>
    </row>
    <row r="1839">
      <c r="A1839" s="27" t="n">
        <v>42552</v>
      </c>
      <c r="B1839" t="n">
        <v/>
      </c>
      <c r="C1839" t="n">
        <v>0.597</v>
      </c>
      <c r="D1839" t="n">
        <v>1.456</v>
      </c>
      <c r="E1839" t="n">
        <v/>
      </c>
    </row>
    <row r="1840">
      <c r="A1840" s="27" t="n">
        <v>42555</v>
      </c>
      <c r="B1840" t="n">
        <v/>
      </c>
      <c r="C1840" t="n">
        <v>0.589</v>
      </c>
      <c r="D1840" t="n">
        <v>1.441</v>
      </c>
      <c r="E1840" t="n">
        <v/>
      </c>
    </row>
    <row r="1841">
      <c r="A1841" s="27" t="n">
        <v>42556</v>
      </c>
      <c r="B1841" t="n">
        <v/>
      </c>
      <c r="C1841" t="n">
        <v>0.554</v>
      </c>
      <c r="D1841" t="n">
        <v>1.375</v>
      </c>
      <c r="E1841" t="n">
        <v/>
      </c>
    </row>
    <row r="1842">
      <c r="A1842" s="27" t="n">
        <v>42557</v>
      </c>
      <c r="B1842" t="n">
        <v/>
      </c>
      <c r="C1842" t="n">
        <v>0.581</v>
      </c>
      <c r="D1842" t="n">
        <v>1.373</v>
      </c>
      <c r="E1842" t="n">
        <v/>
      </c>
    </row>
    <row r="1843">
      <c r="A1843" s="27" t="n">
        <v>42558</v>
      </c>
      <c r="B1843" t="n">
        <v/>
      </c>
      <c r="C1843" t="n">
        <v>0.593</v>
      </c>
      <c r="D1843" t="n">
        <v>1.385</v>
      </c>
      <c r="E1843" t="n">
        <v/>
      </c>
    </row>
    <row r="1844">
      <c r="A1844" s="27" t="n">
        <v>42559</v>
      </c>
      <c r="B1844" t="n">
        <v/>
      </c>
      <c r="C1844" t="n">
        <v>0.613</v>
      </c>
      <c r="D1844" t="n">
        <v>1.358</v>
      </c>
      <c r="E1844" t="n">
        <v/>
      </c>
    </row>
    <row r="1845">
      <c r="A1845" s="27" t="n">
        <v>42561</v>
      </c>
      <c r="B1845" t="n">
        <v/>
      </c>
      <c r="C1845" t="n">
        <v>0.617</v>
      </c>
      <c r="D1845" t="n">
        <v>1.366</v>
      </c>
      <c r="E1845" t="n">
        <v/>
      </c>
    </row>
    <row r="1846">
      <c r="A1846" s="27" t="n">
        <v>42562</v>
      </c>
      <c r="B1846" t="n">
        <v/>
      </c>
      <c r="C1846" t="n">
        <v>0.657</v>
      </c>
      <c r="D1846" t="n">
        <v>1.43</v>
      </c>
      <c r="E1846" t="n">
        <v/>
      </c>
    </row>
    <row r="1847">
      <c r="A1847" s="27" t="n">
        <v>42563</v>
      </c>
      <c r="B1847" t="n">
        <v/>
      </c>
      <c r="C1847" t="n">
        <v>0.6889999999999999</v>
      </c>
      <c r="D1847" t="n">
        <v>1.507</v>
      </c>
      <c r="E1847" t="n">
        <v/>
      </c>
    </row>
    <row r="1848">
      <c r="A1848" s="27" t="n">
        <v>42564</v>
      </c>
      <c r="B1848" t="n">
        <v/>
      </c>
      <c r="C1848" t="n">
        <v>0.665</v>
      </c>
      <c r="D1848" t="n">
        <v>1.473</v>
      </c>
      <c r="E1848" t="n">
        <v/>
      </c>
    </row>
    <row r="1849">
      <c r="A1849" s="27" t="n">
        <v>42565</v>
      </c>
      <c r="B1849" t="n">
        <v/>
      </c>
      <c r="C1849" t="n">
        <v>0.677</v>
      </c>
      <c r="D1849" t="n">
        <v>1.537</v>
      </c>
      <c r="E1849" t="n">
        <v/>
      </c>
    </row>
    <row r="1850">
      <c r="A1850" s="27" t="n">
        <v>42566</v>
      </c>
      <c r="B1850" t="n">
        <v/>
      </c>
      <c r="C1850" t="n">
        <v>0.681</v>
      </c>
      <c r="D1850" t="n">
        <v>1.558</v>
      </c>
      <c r="E1850" t="n">
        <v/>
      </c>
    </row>
    <row r="1851">
      <c r="A1851" s="27" t="n">
        <v>42568</v>
      </c>
      <c r="B1851" t="n">
        <v/>
      </c>
      <c r="C1851" t="n">
        <v>0.6820000000000001</v>
      </c>
      <c r="D1851" t="n">
        <v>1.558</v>
      </c>
      <c r="E1851" t="n">
        <v/>
      </c>
    </row>
    <row r="1852">
      <c r="A1852" s="27" t="n">
        <v>42569</v>
      </c>
      <c r="B1852" t="n">
        <v/>
      </c>
      <c r="C1852" t="n">
        <v>0.6899999999999999</v>
      </c>
      <c r="D1852" t="n">
        <v>1.582</v>
      </c>
      <c r="E1852" t="n">
        <v/>
      </c>
    </row>
    <row r="1853">
      <c r="A1853" s="27" t="n">
        <v>42570</v>
      </c>
      <c r="B1853" t="n">
        <v/>
      </c>
      <c r="C1853" t="n">
        <v>0.694</v>
      </c>
      <c r="D1853" t="n">
        <v>1.558</v>
      </c>
      <c r="E1853" t="n">
        <v/>
      </c>
    </row>
    <row r="1854">
      <c r="A1854" s="27" t="n">
        <v>42571</v>
      </c>
      <c r="B1854" t="n">
        <v/>
      </c>
      <c r="C1854" t="n">
        <v>0.714</v>
      </c>
      <c r="D1854" t="n">
        <v>1.58</v>
      </c>
      <c r="E1854" t="n">
        <v/>
      </c>
    </row>
    <row r="1855">
      <c r="A1855" s="27" t="n">
        <v>42572</v>
      </c>
      <c r="B1855" t="n">
        <v/>
      </c>
      <c r="C1855" t="n">
        <v>0.6820000000000001</v>
      </c>
      <c r="D1855" t="n">
        <v>1.556</v>
      </c>
      <c r="E1855" t="n">
        <v/>
      </c>
    </row>
    <row r="1856">
      <c r="A1856" s="27" t="n">
        <v>42573</v>
      </c>
      <c r="B1856" t="n">
        <v/>
      </c>
      <c r="C1856" t="n">
        <v>0.707</v>
      </c>
      <c r="D1856" t="n">
        <v>1.566</v>
      </c>
      <c r="E1856" t="n">
        <v/>
      </c>
    </row>
    <row r="1857">
      <c r="A1857" s="27" t="n">
        <v>42575</v>
      </c>
      <c r="B1857" t="n">
        <v/>
      </c>
      <c r="C1857" t="n">
        <v>0.715</v>
      </c>
      <c r="D1857" t="n">
        <v>1.573</v>
      </c>
      <c r="E1857" t="n">
        <v/>
      </c>
    </row>
    <row r="1858">
      <c r="A1858" s="27" t="n">
        <v>42576</v>
      </c>
      <c r="B1858" t="n">
        <v/>
      </c>
      <c r="C1858" t="n">
        <v>0.739</v>
      </c>
      <c r="D1858" t="n">
        <v>1.575</v>
      </c>
      <c r="E1858" t="n">
        <v/>
      </c>
    </row>
    <row r="1859">
      <c r="A1859" s="27" t="n">
        <v>42577</v>
      </c>
      <c r="B1859" t="n">
        <v/>
      </c>
      <c r="C1859" t="n">
        <v>0.758</v>
      </c>
      <c r="D1859" t="n">
        <v>1.563</v>
      </c>
      <c r="E1859" t="n">
        <v/>
      </c>
    </row>
    <row r="1860">
      <c r="A1860" s="27" t="n">
        <v>42578</v>
      </c>
      <c r="B1860" t="n">
        <v/>
      </c>
      <c r="C1860" t="n">
        <v>0.722</v>
      </c>
      <c r="D1860" t="n">
        <v>1.503</v>
      </c>
      <c r="E1860" t="n">
        <v/>
      </c>
    </row>
    <row r="1861">
      <c r="A1861" s="27" t="n">
        <v>42579</v>
      </c>
      <c r="B1861" t="n">
        <v/>
      </c>
      <c r="C1861" t="n">
        <v>0.715</v>
      </c>
      <c r="D1861" t="n">
        <v>1.508</v>
      </c>
      <c r="E1861" t="n">
        <v/>
      </c>
    </row>
    <row r="1862">
      <c r="A1862" s="27" t="n">
        <v>42580</v>
      </c>
      <c r="B1862" t="n">
        <v/>
      </c>
      <c r="C1862" t="n">
        <v>0.659</v>
      </c>
      <c r="D1862" t="n">
        <v>1.45</v>
      </c>
      <c r="E1862" t="n">
        <v/>
      </c>
    </row>
    <row r="1863">
      <c r="A1863" s="27" t="n">
        <v>42582</v>
      </c>
      <c r="B1863" t="n">
        <v/>
      </c>
      <c r="C1863" t="n">
        <v>0.663</v>
      </c>
      <c r="D1863" t="n">
        <v>1.463</v>
      </c>
      <c r="E1863" t="n">
        <v/>
      </c>
    </row>
    <row r="1864">
      <c r="A1864" s="27" t="n">
        <v>42583</v>
      </c>
      <c r="B1864" t="n">
        <v/>
      </c>
      <c r="C1864" t="n">
        <v>0.6870000000000001</v>
      </c>
      <c r="D1864" t="n">
        <v>1.52</v>
      </c>
      <c r="E1864" t="n">
        <v/>
      </c>
    </row>
    <row r="1865">
      <c r="A1865" s="27" t="n">
        <v>42584</v>
      </c>
      <c r="B1865" t="n">
        <v/>
      </c>
      <c r="C1865" t="n">
        <v>0.6830000000000001</v>
      </c>
      <c r="D1865" t="n">
        <v>1.554</v>
      </c>
      <c r="E1865" t="n">
        <v/>
      </c>
    </row>
    <row r="1866">
      <c r="A1866" s="27" t="n">
        <v>42585</v>
      </c>
      <c r="B1866" t="n">
        <v/>
      </c>
      <c r="C1866" t="n">
        <v>0.671</v>
      </c>
      <c r="D1866" t="n">
        <v>1.545</v>
      </c>
      <c r="E1866" t="n">
        <v/>
      </c>
    </row>
    <row r="1867">
      <c r="A1867" s="27" t="n">
        <v>42586</v>
      </c>
      <c r="B1867" t="n">
        <v/>
      </c>
      <c r="C1867" t="n">
        <v>0.647</v>
      </c>
      <c r="D1867" t="n">
        <v>1.502</v>
      </c>
      <c r="E1867" t="n">
        <v/>
      </c>
    </row>
    <row r="1868">
      <c r="A1868" s="27" t="n">
        <v>42587</v>
      </c>
      <c r="B1868" t="n">
        <v/>
      </c>
      <c r="C1868" t="n">
        <v>0.726</v>
      </c>
      <c r="D1868" t="n">
        <v>1.59</v>
      </c>
      <c r="E1868" t="n">
        <v/>
      </c>
    </row>
    <row r="1869">
      <c r="A1869" s="27" t="n">
        <v>42588</v>
      </c>
      <c r="B1869" t="n">
        <v/>
      </c>
      <c r="C1869" t="n">
        <v>0.726</v>
      </c>
      <c r="D1869" t="n">
        <v>1.59</v>
      </c>
      <c r="E1869" t="n">
        <v/>
      </c>
    </row>
    <row r="1870">
      <c r="A1870" s="27" t="n">
        <v>42589</v>
      </c>
      <c r="B1870" t="n">
        <v/>
      </c>
      <c r="C1870" t="n">
        <v>0.734</v>
      </c>
      <c r="D1870" t="n">
        <v>1.595</v>
      </c>
      <c r="E1870" t="n">
        <v/>
      </c>
    </row>
    <row r="1871">
      <c r="A1871" s="27" t="n">
        <v>42590</v>
      </c>
      <c r="B1871" t="n">
        <v/>
      </c>
      <c r="C1871" t="n">
        <v>0.726</v>
      </c>
      <c r="D1871" t="n">
        <v>1.592</v>
      </c>
      <c r="E1871" t="n">
        <v/>
      </c>
    </row>
    <row r="1872">
      <c r="A1872" s="27" t="n">
        <v>42591</v>
      </c>
      <c r="B1872" t="n">
        <v/>
      </c>
      <c r="C1872" t="n">
        <v>0.714</v>
      </c>
      <c r="D1872" t="n">
        <v>1.549</v>
      </c>
      <c r="E1872" t="n">
        <v/>
      </c>
    </row>
    <row r="1873">
      <c r="A1873" s="27" t="n">
        <v>42592</v>
      </c>
      <c r="B1873" t="n">
        <v/>
      </c>
      <c r="C1873" t="n">
        <v>0.6899999999999999</v>
      </c>
      <c r="D1873" t="n">
        <v>1.513</v>
      </c>
      <c r="E1873" t="n">
        <v/>
      </c>
    </row>
    <row r="1874">
      <c r="A1874" s="27" t="n">
        <v>42593</v>
      </c>
      <c r="B1874" t="n">
        <v/>
      </c>
      <c r="C1874" t="n">
        <v>0.746</v>
      </c>
      <c r="D1874" t="n">
        <v>1.561</v>
      </c>
      <c r="E1874" t="n">
        <v/>
      </c>
    </row>
    <row r="1875">
      <c r="A1875" s="27" t="n">
        <v>42594</v>
      </c>
      <c r="B1875" t="n">
        <v/>
      </c>
      <c r="C1875" t="n">
        <v>0.706</v>
      </c>
      <c r="D1875" t="n">
        <v>1.51</v>
      </c>
      <c r="E1875" t="n">
        <v/>
      </c>
    </row>
    <row r="1876">
      <c r="A1876" s="27" t="n">
        <v>42595</v>
      </c>
      <c r="B1876" t="n">
        <v/>
      </c>
      <c r="C1876" t="n">
        <v>0.706</v>
      </c>
      <c r="D1876" t="n">
        <v>1.51</v>
      </c>
      <c r="E1876" t="n">
        <v/>
      </c>
    </row>
    <row r="1877">
      <c r="A1877" s="27" t="n">
        <v>42596</v>
      </c>
      <c r="B1877" t="n">
        <v/>
      </c>
      <c r="C1877" t="n">
        <v>0.706</v>
      </c>
      <c r="D1877" t="n">
        <v>1.512</v>
      </c>
      <c r="E1877" t="n">
        <v/>
      </c>
    </row>
    <row r="1878">
      <c r="A1878" s="27" t="n">
        <v>42597</v>
      </c>
      <c r="B1878" t="n">
        <v/>
      </c>
      <c r="C1878" t="n">
        <v>0.73</v>
      </c>
      <c r="D1878" t="n">
        <v>1.558</v>
      </c>
      <c r="E1878" t="n">
        <v/>
      </c>
    </row>
    <row r="1879">
      <c r="A1879" s="27" t="n">
        <v>42598</v>
      </c>
      <c r="B1879" t="n">
        <v/>
      </c>
      <c r="C1879" t="n">
        <v>0.75</v>
      </c>
      <c r="D1879" t="n">
        <v>1.575</v>
      </c>
      <c r="E1879" t="n">
        <v/>
      </c>
    </row>
    <row r="1880">
      <c r="A1880" s="27" t="n">
        <v>42599</v>
      </c>
      <c r="B1880" t="n">
        <v/>
      </c>
      <c r="C1880" t="n">
        <v>0.73</v>
      </c>
      <c r="D1880" t="n">
        <v>1.549</v>
      </c>
      <c r="E1880" t="n">
        <v/>
      </c>
    </row>
    <row r="1881">
      <c r="A1881" s="27" t="n">
        <v>42600</v>
      </c>
      <c r="B1881" t="n">
        <v/>
      </c>
      <c r="C1881" t="n">
        <v>0.71</v>
      </c>
      <c r="D1881" t="n">
        <v>1.534</v>
      </c>
      <c r="E1881" t="n">
        <v/>
      </c>
    </row>
    <row r="1882">
      <c r="A1882" s="27" t="n">
        <v>42601</v>
      </c>
      <c r="B1882" t="n">
        <v/>
      </c>
      <c r="C1882" t="n">
        <v>0.75</v>
      </c>
      <c r="D1882" t="n">
        <v>1.58</v>
      </c>
      <c r="E1882" t="n">
        <v/>
      </c>
    </row>
    <row r="1883">
      <c r="A1883" s="27" t="n">
        <v>42603</v>
      </c>
      <c r="B1883" t="n">
        <v/>
      </c>
      <c r="C1883" t="n">
        <v>0.77</v>
      </c>
      <c r="D1883" t="n">
        <v>1.597</v>
      </c>
      <c r="E1883" t="n">
        <v/>
      </c>
    </row>
    <row r="1884">
      <c r="A1884" s="27" t="n">
        <v>42604</v>
      </c>
      <c r="B1884" t="n">
        <v/>
      </c>
      <c r="C1884" t="n">
        <v>0.742</v>
      </c>
      <c r="D1884" t="n">
        <v>1.544</v>
      </c>
      <c r="E1884" t="n">
        <v/>
      </c>
    </row>
    <row r="1885">
      <c r="A1885" s="27" t="n">
        <v>42605</v>
      </c>
      <c r="B1885" t="n">
        <v/>
      </c>
      <c r="C1885" t="n">
        <v>0.746</v>
      </c>
      <c r="D1885" t="n">
        <v>1.546</v>
      </c>
      <c r="E1885" t="n">
        <v/>
      </c>
    </row>
    <row r="1886">
      <c r="A1886" s="27" t="n">
        <v>42606</v>
      </c>
      <c r="B1886" t="n">
        <v/>
      </c>
      <c r="C1886" t="n">
        <v>0.766</v>
      </c>
      <c r="D1886" t="n">
        <v>1.563</v>
      </c>
      <c r="E1886" t="n">
        <v/>
      </c>
    </row>
    <row r="1887">
      <c r="A1887" s="27" t="n">
        <v>42607</v>
      </c>
      <c r="B1887" t="n">
        <v/>
      </c>
      <c r="C1887" t="n">
        <v>0.793</v>
      </c>
      <c r="D1887" t="n">
        <v>1.578</v>
      </c>
      <c r="E1887" t="n">
        <v/>
      </c>
    </row>
    <row r="1888">
      <c r="A1888" s="27" t="n">
        <v>42608</v>
      </c>
      <c r="B1888" t="n">
        <v/>
      </c>
      <c r="C1888" t="n">
        <v>0.845</v>
      </c>
      <c r="D1888" t="n">
        <v>1.628</v>
      </c>
      <c r="E1888" t="n">
        <v/>
      </c>
    </row>
    <row r="1889">
      <c r="A1889" s="27" t="n">
        <v>42610</v>
      </c>
      <c r="B1889" t="n">
        <v/>
      </c>
      <c r="C1889" t="n">
        <v>0.849</v>
      </c>
      <c r="D1889" t="n">
        <v>1.626</v>
      </c>
      <c r="E1889" t="n">
        <v/>
      </c>
    </row>
    <row r="1890">
      <c r="A1890" s="27" t="n">
        <v>42611</v>
      </c>
      <c r="B1890" t="n">
        <v/>
      </c>
      <c r="C1890" t="n">
        <v>0.8090000000000001</v>
      </c>
      <c r="D1890" t="n">
        <v>1.563</v>
      </c>
      <c r="E1890" t="n">
        <v/>
      </c>
    </row>
    <row r="1891">
      <c r="A1891" s="27" t="n">
        <v>42612</v>
      </c>
      <c r="B1891" t="n">
        <v/>
      </c>
      <c r="C1891" t="n">
        <v>0.805</v>
      </c>
      <c r="D1891" t="n">
        <v>1.57</v>
      </c>
      <c r="E1891" t="n">
        <v/>
      </c>
    </row>
    <row r="1892">
      <c r="A1892" s="27" t="n">
        <v>42613</v>
      </c>
      <c r="B1892" t="n">
        <v/>
      </c>
      <c r="C1892" t="n">
        <v>0.8090000000000001</v>
      </c>
      <c r="D1892" t="n">
        <v>1.578</v>
      </c>
      <c r="E1892" t="n">
        <v/>
      </c>
    </row>
    <row r="1893">
      <c r="A1893" s="27" t="n">
        <v>42614</v>
      </c>
      <c r="B1893" t="n">
        <v/>
      </c>
      <c r="C1893" t="n">
        <v>0.786</v>
      </c>
      <c r="D1893" t="n">
        <v>1.568</v>
      </c>
      <c r="E1893" t="n">
        <v/>
      </c>
    </row>
    <row r="1894">
      <c r="A1894" s="27" t="n">
        <v>42615</v>
      </c>
      <c r="B1894" t="n">
        <v/>
      </c>
      <c r="C1894" t="n">
        <v>0.794</v>
      </c>
      <c r="D1894" t="n">
        <v>1.607</v>
      </c>
      <c r="E1894" t="n">
        <v/>
      </c>
    </row>
    <row r="1895">
      <c r="A1895" s="27" t="n">
        <v>42618</v>
      </c>
      <c r="B1895" t="n">
        <v/>
      </c>
      <c r="C1895" t="n">
        <v>0.802</v>
      </c>
      <c r="D1895" t="n">
        <v>1.609</v>
      </c>
      <c r="E1895" t="n">
        <v/>
      </c>
    </row>
    <row r="1896">
      <c r="A1896" s="27" t="n">
        <v>42619</v>
      </c>
      <c r="B1896" t="n">
        <v/>
      </c>
      <c r="C1896" t="n">
        <v>0.73</v>
      </c>
      <c r="D1896" t="n">
        <v>1.536</v>
      </c>
      <c r="E1896" t="n">
        <v/>
      </c>
    </row>
    <row r="1897">
      <c r="A1897" s="27" t="n">
        <v>42620</v>
      </c>
      <c r="B1897" t="n">
        <v/>
      </c>
      <c r="C1897" t="n">
        <v>0.738</v>
      </c>
      <c r="D1897" t="n">
        <v>1.536</v>
      </c>
      <c r="E1897" t="n">
        <v/>
      </c>
    </row>
    <row r="1898">
      <c r="A1898" s="27" t="n">
        <v>42621</v>
      </c>
      <c r="B1898" t="n">
        <v/>
      </c>
      <c r="C1898" t="n">
        <v>0.774</v>
      </c>
      <c r="D1898" t="n">
        <v>1.601</v>
      </c>
      <c r="E1898" t="n">
        <v/>
      </c>
    </row>
    <row r="1899">
      <c r="A1899" s="27" t="n">
        <v>42622</v>
      </c>
      <c r="B1899" t="n">
        <v/>
      </c>
      <c r="C1899" t="n">
        <v>0.782</v>
      </c>
      <c r="D1899" t="n">
        <v>1.675</v>
      </c>
      <c r="E1899" t="n">
        <v/>
      </c>
    </row>
    <row r="1900">
      <c r="A1900" s="27" t="n">
        <v>42624</v>
      </c>
      <c r="B1900" t="n">
        <v/>
      </c>
      <c r="C1900" t="n">
        <v>0.782</v>
      </c>
      <c r="D1900" t="n">
        <v>1.67</v>
      </c>
      <c r="E1900" t="n">
        <v/>
      </c>
    </row>
    <row r="1901">
      <c r="A1901" s="27" t="n">
        <v>42625</v>
      </c>
      <c r="B1901" t="n">
        <v/>
      </c>
      <c r="C1901" t="n">
        <v>0.774</v>
      </c>
      <c r="D1901" t="n">
        <v>1.666</v>
      </c>
      <c r="E1901" t="n">
        <v/>
      </c>
    </row>
    <row r="1902">
      <c r="A1902" s="27" t="n">
        <v>42626</v>
      </c>
      <c r="B1902" t="n">
        <v/>
      </c>
      <c r="C1902" t="n">
        <v>0.802</v>
      </c>
      <c r="D1902" t="n">
        <v>1.729</v>
      </c>
      <c r="E1902" t="n">
        <v/>
      </c>
    </row>
    <row r="1903">
      <c r="A1903" s="27" t="n">
        <v>42627</v>
      </c>
      <c r="B1903" t="n">
        <v/>
      </c>
      <c r="C1903" t="n">
        <v>0.762</v>
      </c>
      <c r="D1903" t="n">
        <v>1.698</v>
      </c>
      <c r="E1903" t="n">
        <v/>
      </c>
    </row>
    <row r="1904">
      <c r="A1904" s="27" t="n">
        <v>42628</v>
      </c>
      <c r="B1904" t="n">
        <v/>
      </c>
      <c r="C1904" t="n">
        <v>0.734</v>
      </c>
      <c r="D1904" t="n">
        <v>1.698</v>
      </c>
      <c r="E1904" t="n">
        <v/>
      </c>
    </row>
    <row r="1905">
      <c r="A1905" s="27" t="n">
        <v>42629</v>
      </c>
      <c r="B1905" t="n">
        <v/>
      </c>
      <c r="C1905" t="n">
        <v>0.77</v>
      </c>
      <c r="D1905" t="n">
        <v>1.694</v>
      </c>
      <c r="E1905" t="n">
        <v/>
      </c>
    </row>
    <row r="1906">
      <c r="A1906" s="27" t="n">
        <v>42630</v>
      </c>
      <c r="B1906" t="n">
        <v/>
      </c>
      <c r="C1906" t="n">
        <v>0.77</v>
      </c>
      <c r="D1906" t="n">
        <v>1.694</v>
      </c>
      <c r="E1906" t="n">
        <v/>
      </c>
    </row>
    <row r="1907">
      <c r="A1907" s="27" t="n">
        <v>42631</v>
      </c>
      <c r="B1907" t="n">
        <v/>
      </c>
      <c r="C1907" t="n">
        <v>0.77</v>
      </c>
      <c r="D1907" t="n">
        <v>1.694</v>
      </c>
      <c r="E1907" t="n">
        <v/>
      </c>
    </row>
    <row r="1908">
      <c r="A1908" s="27" t="n">
        <v>42632</v>
      </c>
      <c r="B1908" t="n">
        <v/>
      </c>
      <c r="C1908" t="n">
        <v>0.778</v>
      </c>
      <c r="D1908" t="n">
        <v>1.707</v>
      </c>
      <c r="E1908" t="n">
        <v/>
      </c>
    </row>
    <row r="1909">
      <c r="A1909" s="27" t="n">
        <v>42633</v>
      </c>
      <c r="B1909" t="n">
        <v/>
      </c>
      <c r="C1909" t="n">
        <v>0.778</v>
      </c>
      <c r="D1909" t="n">
        <v>1.693</v>
      </c>
      <c r="E1909" t="n">
        <v/>
      </c>
    </row>
    <row r="1910">
      <c r="A1910" s="27" t="n">
        <v>42634</v>
      </c>
      <c r="B1910" t="n">
        <v/>
      </c>
      <c r="C1910" t="n">
        <v>0.778</v>
      </c>
      <c r="D1910" t="n">
        <v>1.655</v>
      </c>
      <c r="E1910" t="n">
        <v/>
      </c>
    </row>
    <row r="1911">
      <c r="A1911" s="27" t="n">
        <v>42635</v>
      </c>
      <c r="B1911" t="n">
        <v/>
      </c>
      <c r="C1911" t="n">
        <v>0.774</v>
      </c>
      <c r="D1911" t="n">
        <v>1.618</v>
      </c>
      <c r="E1911" t="n">
        <v/>
      </c>
    </row>
    <row r="1912">
      <c r="A1912" s="27" t="n">
        <v>42636</v>
      </c>
      <c r="B1912" t="n">
        <v/>
      </c>
      <c r="C1912" t="n">
        <v>0.758</v>
      </c>
      <c r="D1912" t="n">
        <v>1.62</v>
      </c>
      <c r="E1912" t="n">
        <v/>
      </c>
    </row>
    <row r="1913">
      <c r="A1913" s="27" t="n">
        <v>42637</v>
      </c>
      <c r="B1913" t="n">
        <v/>
      </c>
      <c r="C1913" t="n">
        <v>0.758</v>
      </c>
      <c r="D1913" t="n">
        <v>1.62</v>
      </c>
      <c r="E1913" t="n">
        <v/>
      </c>
    </row>
    <row r="1914">
      <c r="A1914" s="27" t="n">
        <v>42638</v>
      </c>
      <c r="B1914" t="n">
        <v/>
      </c>
      <c r="C1914" t="n">
        <v>0.754</v>
      </c>
      <c r="D1914" t="n">
        <v>1.615</v>
      </c>
      <c r="E1914" t="n">
        <v/>
      </c>
    </row>
    <row r="1915">
      <c r="A1915" s="27" t="n">
        <v>42639</v>
      </c>
      <c r="B1915" t="n">
        <v/>
      </c>
      <c r="C1915" t="n">
        <v>0.738</v>
      </c>
      <c r="D1915" t="n">
        <v>1.584</v>
      </c>
      <c r="E1915" t="n">
        <v/>
      </c>
    </row>
    <row r="1916">
      <c r="A1916" s="27" t="n">
        <v>42640</v>
      </c>
      <c r="B1916" t="n">
        <v/>
      </c>
      <c r="C1916" t="n">
        <v>0.746</v>
      </c>
      <c r="D1916" t="n">
        <v>1.56</v>
      </c>
      <c r="E1916" t="n">
        <v/>
      </c>
    </row>
    <row r="1917">
      <c r="A1917" s="27" t="n">
        <v>42641</v>
      </c>
      <c r="B1917" t="n">
        <v/>
      </c>
      <c r="C1917" t="n">
        <v>0.758</v>
      </c>
      <c r="D1917" t="n">
        <v>1.572</v>
      </c>
      <c r="E1917" t="n">
        <v/>
      </c>
    </row>
    <row r="1918">
      <c r="A1918" s="27" t="n">
        <v>42642</v>
      </c>
      <c r="B1918" t="n">
        <v/>
      </c>
      <c r="C1918" t="n">
        <v>0.738</v>
      </c>
      <c r="D1918" t="n">
        <v>1.558</v>
      </c>
      <c r="E1918" t="n">
        <v/>
      </c>
    </row>
    <row r="1919">
      <c r="A1919" s="27" t="n">
        <v>42643</v>
      </c>
      <c r="B1919" t="n">
        <v/>
      </c>
      <c r="C1919" t="n">
        <v>0.766</v>
      </c>
      <c r="D1919" t="n">
        <v>1.598</v>
      </c>
      <c r="E1919" t="n">
        <v/>
      </c>
    </row>
    <row r="1920">
      <c r="A1920" s="27" t="n">
        <v>42645</v>
      </c>
      <c r="B1920" t="n">
        <v/>
      </c>
      <c r="C1920" t="n">
        <v>0.774</v>
      </c>
      <c r="D1920" t="n">
        <v>1.6</v>
      </c>
      <c r="E1920" t="n">
        <v/>
      </c>
    </row>
    <row r="1921">
      <c r="A1921" s="27" t="n">
        <v>42646</v>
      </c>
      <c r="B1921" t="n">
        <v/>
      </c>
      <c r="C1921" t="n">
        <v>0.798</v>
      </c>
      <c r="D1921" t="n">
        <v>1.627</v>
      </c>
      <c r="E1921" t="n">
        <v/>
      </c>
    </row>
    <row r="1922">
      <c r="A1922" s="27" t="n">
        <v>42647</v>
      </c>
      <c r="B1922" t="n">
        <v/>
      </c>
      <c r="C1922" t="n">
        <v>0.826</v>
      </c>
      <c r="D1922" t="n">
        <v>1.69</v>
      </c>
      <c r="E1922" t="n">
        <v/>
      </c>
    </row>
    <row r="1923">
      <c r="A1923" s="27" t="n">
        <v>42648</v>
      </c>
      <c r="B1923" t="n">
        <v/>
      </c>
      <c r="C1923" t="n">
        <v>0.838</v>
      </c>
      <c r="D1923" t="n">
        <v>1.706</v>
      </c>
      <c r="E1923" t="n">
        <v/>
      </c>
    </row>
    <row r="1924">
      <c r="A1924" s="27" t="n">
        <v>42649</v>
      </c>
      <c r="B1924" t="n">
        <v/>
      </c>
      <c r="C1924" t="n">
        <v>0.854</v>
      </c>
      <c r="D1924" t="n">
        <v>1.739</v>
      </c>
      <c r="E1924" t="n">
        <v/>
      </c>
    </row>
    <row r="1925">
      <c r="A1925" s="27" t="n">
        <v>42650</v>
      </c>
      <c r="B1925" t="n">
        <v/>
      </c>
      <c r="C1925" t="n">
        <v>0.838</v>
      </c>
      <c r="D1925" t="n">
        <v>1.723</v>
      </c>
      <c r="E1925" t="n">
        <v/>
      </c>
    </row>
    <row r="1926">
      <c r="A1926" s="27" t="n">
        <v>42653</v>
      </c>
      <c r="B1926" t="n">
        <v/>
      </c>
      <c r="C1926" t="n">
        <v>0.87</v>
      </c>
      <c r="D1926" t="n">
        <v>1.765</v>
      </c>
      <c r="E1926" t="n">
        <v/>
      </c>
    </row>
    <row r="1927">
      <c r="A1927" s="27" t="n">
        <v>42654</v>
      </c>
      <c r="B1927" t="n">
        <v/>
      </c>
      <c r="C1927" t="n">
        <v>0.87</v>
      </c>
      <c r="D1927" t="n">
        <v>1.767</v>
      </c>
      <c r="E1927" t="n">
        <v/>
      </c>
    </row>
    <row r="1928">
      <c r="A1928" s="27" t="n">
        <v>42655</v>
      </c>
      <c r="B1928" t="n">
        <v/>
      </c>
      <c r="C1928" t="n">
        <v>0.863</v>
      </c>
      <c r="D1928" t="n">
        <v>1.771</v>
      </c>
      <c r="E1928" t="n">
        <v/>
      </c>
    </row>
    <row r="1929">
      <c r="A1929" s="27" t="n">
        <v>42656</v>
      </c>
      <c r="B1929" t="n">
        <v/>
      </c>
      <c r="C1929" t="n">
        <v>0.839</v>
      </c>
      <c r="D1929" t="n">
        <v>1.746</v>
      </c>
      <c r="E1929" t="n">
        <v/>
      </c>
    </row>
    <row r="1930">
      <c r="A1930" s="27" t="n">
        <v>42657</v>
      </c>
      <c r="B1930" t="n">
        <v/>
      </c>
      <c r="C1930" t="n">
        <v>0.843</v>
      </c>
      <c r="D1930" t="n">
        <v>1.805</v>
      </c>
      <c r="E1930" t="n">
        <v/>
      </c>
    </row>
    <row r="1931">
      <c r="A1931" s="27" t="n">
        <v>42658</v>
      </c>
      <c r="B1931" t="n">
        <v/>
      </c>
      <c r="C1931" t="n">
        <v>0.843</v>
      </c>
      <c r="D1931" t="n">
        <v>1.805</v>
      </c>
      <c r="E1931" t="n">
        <v/>
      </c>
    </row>
    <row r="1932">
      <c r="A1932" s="27" t="n">
        <v>42659</v>
      </c>
      <c r="B1932" t="n">
        <v/>
      </c>
      <c r="C1932" t="n">
        <v>0.835</v>
      </c>
      <c r="D1932" t="n">
        <v>1.789</v>
      </c>
      <c r="E1932" t="n">
        <v/>
      </c>
    </row>
    <row r="1933">
      <c r="A1933" s="27" t="n">
        <v>42660</v>
      </c>
      <c r="B1933" t="n">
        <v/>
      </c>
      <c r="C1933" t="n">
        <v>0.819</v>
      </c>
      <c r="D1933" t="n">
        <v>1.768</v>
      </c>
      <c r="E1933" t="n">
        <v/>
      </c>
    </row>
    <row r="1934">
      <c r="A1934" s="27" t="n">
        <v>42661</v>
      </c>
      <c r="B1934" t="n">
        <v/>
      </c>
      <c r="C1934" t="n">
        <v>0.803</v>
      </c>
      <c r="D1934" t="n">
        <v>1.74</v>
      </c>
      <c r="E1934" t="n">
        <v/>
      </c>
    </row>
    <row r="1935">
      <c r="A1935" s="27" t="n">
        <v>42662</v>
      </c>
      <c r="B1935" t="n">
        <v/>
      </c>
      <c r="C1935" t="n">
        <v>0.803</v>
      </c>
      <c r="D1935" t="n">
        <v>1.747</v>
      </c>
      <c r="E1935" t="n">
        <v/>
      </c>
    </row>
    <row r="1936">
      <c r="A1936" s="27" t="n">
        <v>42663</v>
      </c>
      <c r="B1936" t="n">
        <v/>
      </c>
      <c r="C1936" t="n">
        <v>0.823</v>
      </c>
      <c r="D1936" t="n">
        <v>1.756</v>
      </c>
      <c r="E1936" t="n">
        <v/>
      </c>
    </row>
    <row r="1937">
      <c r="A1937" s="27" t="n">
        <v>42664</v>
      </c>
      <c r="B1937" t="n">
        <v/>
      </c>
      <c r="C1937" t="n">
        <v>0.828</v>
      </c>
      <c r="D1937" t="n">
        <v>1.736</v>
      </c>
      <c r="E1937" t="n">
        <v/>
      </c>
    </row>
    <row r="1938">
      <c r="A1938" s="27" t="n">
        <v>42666</v>
      </c>
      <c r="B1938" t="n">
        <v/>
      </c>
      <c r="C1938" t="n">
        <v>0.831</v>
      </c>
      <c r="D1938" t="n">
        <v>1.74</v>
      </c>
      <c r="E1938" t="n">
        <v/>
      </c>
    </row>
    <row r="1939">
      <c r="A1939" s="27" t="n">
        <v>42667</v>
      </c>
      <c r="B1939" t="n">
        <v/>
      </c>
      <c r="C1939" t="n">
        <v>0.844</v>
      </c>
      <c r="D1939" t="n">
        <v>1.766</v>
      </c>
      <c r="E1939" t="n">
        <v/>
      </c>
    </row>
    <row r="1940">
      <c r="A1940" s="27" t="n">
        <v>42668</v>
      </c>
      <c r="B1940" t="n">
        <v/>
      </c>
      <c r="C1940" t="n">
        <v>0.856</v>
      </c>
      <c r="D1940" t="n">
        <v>1.758</v>
      </c>
      <c r="E1940" t="n">
        <v/>
      </c>
    </row>
    <row r="1941">
      <c r="A1941" s="27" t="n">
        <v>42669</v>
      </c>
      <c r="B1941" t="n">
        <v/>
      </c>
      <c r="C1941" t="n">
        <v>0.872</v>
      </c>
      <c r="D1941" t="n">
        <v>1.791</v>
      </c>
      <c r="E1941" t="n">
        <v/>
      </c>
    </row>
    <row r="1942">
      <c r="A1942" s="27" t="n">
        <v>42670</v>
      </c>
      <c r="B1942" t="n">
        <v/>
      </c>
      <c r="C1942" t="n">
        <v>0.888</v>
      </c>
      <c r="D1942" t="n">
        <v>1.85</v>
      </c>
      <c r="E1942" t="n">
        <v/>
      </c>
    </row>
    <row r="1943">
      <c r="A1943" s="27" t="n">
        <v>42671</v>
      </c>
      <c r="B1943" t="n">
        <v/>
      </c>
      <c r="C1943" t="n">
        <v>0.857</v>
      </c>
      <c r="D1943" t="n">
        <v>1.849</v>
      </c>
      <c r="E1943" t="n">
        <v/>
      </c>
    </row>
    <row r="1944">
      <c r="A1944" s="27" t="n">
        <v>42673</v>
      </c>
      <c r="B1944" t="n">
        <v/>
      </c>
      <c r="C1944" t="n">
        <v>0.853</v>
      </c>
      <c r="D1944" t="n">
        <v>1.841</v>
      </c>
      <c r="E1944" t="n">
        <v/>
      </c>
    </row>
    <row r="1945">
      <c r="A1945" s="27" t="n">
        <v>42674</v>
      </c>
      <c r="B1945" t="n">
        <v/>
      </c>
      <c r="C1945" t="n">
        <v>0.845</v>
      </c>
      <c r="D1945" t="n">
        <v>1.825</v>
      </c>
      <c r="E1945" t="n">
        <v/>
      </c>
    </row>
    <row r="1946">
      <c r="A1946" s="27" t="n">
        <v>42675</v>
      </c>
      <c r="B1946" t="n">
        <v/>
      </c>
      <c r="C1946" t="n">
        <v>0.837</v>
      </c>
      <c r="D1946" t="n">
        <v>1.827</v>
      </c>
      <c r="E1946" t="n">
        <v/>
      </c>
    </row>
    <row r="1947">
      <c r="A1947" s="27" t="n">
        <v>42676</v>
      </c>
      <c r="B1947" t="n">
        <v/>
      </c>
      <c r="C1947" t="n">
        <v>0.825</v>
      </c>
      <c r="D1947" t="n">
        <v>1.801</v>
      </c>
      <c r="E1947" t="n">
        <v/>
      </c>
    </row>
    <row r="1948">
      <c r="A1948" s="27" t="n">
        <v>42677</v>
      </c>
      <c r="B1948" t="n">
        <v/>
      </c>
      <c r="C1948" t="n">
        <v>0.8090000000000001</v>
      </c>
      <c r="D1948" t="n">
        <v>1.81</v>
      </c>
      <c r="E1948" t="n">
        <v/>
      </c>
    </row>
    <row r="1949">
      <c r="A1949" s="27" t="n">
        <v>42678</v>
      </c>
      <c r="B1949" t="n">
        <v/>
      </c>
      <c r="C1949" t="n">
        <v>0.79</v>
      </c>
      <c r="D1949" t="n">
        <v>1.778</v>
      </c>
      <c r="E1949" t="n">
        <v/>
      </c>
    </row>
    <row r="1950">
      <c r="A1950" s="27" t="n">
        <v>42680</v>
      </c>
      <c r="B1950" t="n">
        <v/>
      </c>
      <c r="C1950" t="n">
        <v>0.842</v>
      </c>
      <c r="D1950" t="n">
        <v>1.83</v>
      </c>
      <c r="E1950" t="n">
        <v/>
      </c>
    </row>
    <row r="1951">
      <c r="A1951" s="27" t="n">
        <v>42681</v>
      </c>
      <c r="B1951" t="n">
        <v/>
      </c>
      <c r="C1951" t="n">
        <v>0.8179999999999999</v>
      </c>
      <c r="D1951" t="n">
        <v>1.828</v>
      </c>
      <c r="E1951" t="n">
        <v/>
      </c>
    </row>
    <row r="1952">
      <c r="A1952" s="27" t="n">
        <v>42682</v>
      </c>
      <c r="B1952" t="n">
        <v/>
      </c>
      <c r="C1952" t="n">
        <v>0.858</v>
      </c>
      <c r="D1952" t="n">
        <v>1.858</v>
      </c>
      <c r="E1952" t="n">
        <v/>
      </c>
    </row>
    <row r="1953">
      <c r="A1953" s="27" t="n">
        <v>42683</v>
      </c>
      <c r="B1953" t="n">
        <v/>
      </c>
      <c r="C1953" t="n">
        <v>0.906</v>
      </c>
      <c r="D1953" t="n">
        <v>2.068</v>
      </c>
      <c r="E1953" t="n">
        <v/>
      </c>
    </row>
    <row r="1954">
      <c r="A1954" s="27" t="n">
        <v>42684</v>
      </c>
      <c r="B1954" t="n">
        <v/>
      </c>
      <c r="C1954" t="n">
        <v>0.919</v>
      </c>
      <c r="D1954" t="n">
        <v>2.138</v>
      </c>
      <c r="E1954" t="n">
        <v/>
      </c>
    </row>
    <row r="1955">
      <c r="A1955" s="27" t="n">
        <v>42687</v>
      </c>
      <c r="B1955" t="n">
        <v/>
      </c>
      <c r="C1955" t="n">
        <v>0.964</v>
      </c>
      <c r="D1955" t="n">
        <v>2.173</v>
      </c>
      <c r="E1955" t="n">
        <v/>
      </c>
    </row>
    <row r="1956">
      <c r="A1956" s="27" t="n">
        <v>42688</v>
      </c>
      <c r="B1956" t="n">
        <v/>
      </c>
      <c r="C1956" t="n">
        <v>1.004</v>
      </c>
      <c r="D1956" t="n">
        <v>2.254</v>
      </c>
      <c r="E1956" t="n">
        <v/>
      </c>
    </row>
    <row r="1957">
      <c r="A1957" s="27" t="n">
        <v>42689</v>
      </c>
      <c r="B1957" t="n">
        <v/>
      </c>
      <c r="C1957" t="n">
        <v>1.001</v>
      </c>
      <c r="D1957" t="n">
        <v>2.229</v>
      </c>
      <c r="E1957" t="n">
        <v/>
      </c>
    </row>
    <row r="1958">
      <c r="A1958" s="27" t="n">
        <v>42690</v>
      </c>
      <c r="B1958" t="n">
        <v/>
      </c>
      <c r="C1958" t="n">
        <v>1.005</v>
      </c>
      <c r="D1958" t="n">
        <v>2.214</v>
      </c>
      <c r="E1958" t="n">
        <v/>
      </c>
    </row>
    <row r="1959">
      <c r="A1959" s="27" t="n">
        <v>42691</v>
      </c>
      <c r="B1959" t="n">
        <v/>
      </c>
      <c r="C1959" t="n">
        <v>1.042</v>
      </c>
      <c r="D1959" t="n">
        <v>2.297</v>
      </c>
      <c r="E1959" t="n">
        <v/>
      </c>
    </row>
    <row r="1960">
      <c r="A1960" s="27" t="n">
        <v>42692</v>
      </c>
      <c r="B1960" t="n">
        <v/>
      </c>
      <c r="C1960" t="n">
        <v>1.068</v>
      </c>
      <c r="D1960" t="n">
        <v>2.348</v>
      </c>
      <c r="E1960" t="n">
        <v/>
      </c>
    </row>
    <row r="1961">
      <c r="A1961" s="27" t="n">
        <v>42694</v>
      </c>
      <c r="B1961" t="n">
        <v/>
      </c>
      <c r="C1961" t="n">
        <v>1.076</v>
      </c>
      <c r="D1961" t="n">
        <v>2.353</v>
      </c>
      <c r="E1961" t="n">
        <v/>
      </c>
    </row>
    <row r="1962">
      <c r="A1962" s="27" t="n">
        <v>42695</v>
      </c>
      <c r="B1962" t="n">
        <v/>
      </c>
      <c r="C1962" t="n">
        <v>1.072</v>
      </c>
      <c r="D1962" t="n">
        <v>2.314</v>
      </c>
      <c r="E1962" t="n">
        <v/>
      </c>
    </row>
    <row r="1963">
      <c r="A1963" s="27" t="n">
        <v>42696</v>
      </c>
      <c r="B1963" t="n">
        <v/>
      </c>
      <c r="C1963" t="n">
        <v>1.095</v>
      </c>
      <c r="D1963" t="n">
        <v>2.314</v>
      </c>
      <c r="E1963" t="n">
        <v/>
      </c>
    </row>
    <row r="1964">
      <c r="A1964" s="27" t="n">
        <v>42697</v>
      </c>
      <c r="B1964" t="n">
        <v/>
      </c>
      <c r="C1964" t="n">
        <v>1.131</v>
      </c>
      <c r="D1964" t="n">
        <v>2.355</v>
      </c>
      <c r="E1964" t="n">
        <v/>
      </c>
    </row>
    <row r="1965">
      <c r="A1965" s="27" t="n">
        <v>42698</v>
      </c>
      <c r="B1965" t="n">
        <v/>
      </c>
      <c r="C1965" t="n">
        <v>1.147</v>
      </c>
      <c r="D1965" t="n">
        <v>2.382</v>
      </c>
      <c r="E1965" t="n">
        <v/>
      </c>
    </row>
    <row r="1966">
      <c r="A1966" s="27" t="n">
        <v>42699</v>
      </c>
      <c r="B1966" t="n">
        <v/>
      </c>
      <c r="C1966" t="n">
        <v>1.127</v>
      </c>
      <c r="D1966" t="n">
        <v>2.359</v>
      </c>
      <c r="E1966" t="n">
        <v/>
      </c>
    </row>
    <row r="1967">
      <c r="A1967" s="27" t="n">
        <v>42701</v>
      </c>
      <c r="B1967" t="n">
        <v/>
      </c>
      <c r="C1967" t="n">
        <v>1.123</v>
      </c>
      <c r="D1967" t="n">
        <v>2.341</v>
      </c>
      <c r="E1967" t="n">
        <v/>
      </c>
    </row>
    <row r="1968">
      <c r="A1968" s="27" t="n">
        <v>42702</v>
      </c>
      <c r="B1968" t="n">
        <v/>
      </c>
      <c r="C1968" t="n">
        <v>1.103</v>
      </c>
      <c r="D1968" t="n">
        <v>2.312</v>
      </c>
      <c r="E1968" t="n">
        <v/>
      </c>
    </row>
    <row r="1969">
      <c r="A1969" s="27" t="n">
        <v>42703</v>
      </c>
      <c r="B1969" t="n">
        <v/>
      </c>
      <c r="C1969" t="n">
        <v>1.091</v>
      </c>
      <c r="D1969" t="n">
        <v>2.293</v>
      </c>
      <c r="E1969" t="n">
        <v/>
      </c>
    </row>
    <row r="1970">
      <c r="A1970" s="27" t="n">
        <v>42704</v>
      </c>
      <c r="B1970" t="n">
        <v/>
      </c>
      <c r="C1970" t="n">
        <v>1.119</v>
      </c>
      <c r="D1970" t="n">
        <v>2.39</v>
      </c>
      <c r="E1970" t="n">
        <v/>
      </c>
    </row>
    <row r="1971">
      <c r="A1971" s="27" t="n">
        <v>42705</v>
      </c>
      <c r="B1971" t="n">
        <v/>
      </c>
      <c r="C1971" t="n">
        <v>1.151</v>
      </c>
      <c r="D1971" t="n">
        <v>2.454</v>
      </c>
      <c r="E1971" t="n">
        <v/>
      </c>
    </row>
    <row r="1972">
      <c r="A1972" s="27" t="n">
        <v>42706</v>
      </c>
      <c r="B1972" t="n">
        <v/>
      </c>
      <c r="C1972" t="n">
        <v>1.108</v>
      </c>
      <c r="D1972" t="n">
        <v>2.392</v>
      </c>
      <c r="E1972" t="n">
        <v/>
      </c>
    </row>
    <row r="1973">
      <c r="A1973" s="27" t="n">
        <v>42708</v>
      </c>
      <c r="B1973" t="n">
        <v/>
      </c>
      <c r="C1973" t="n">
        <v>1.096</v>
      </c>
      <c r="D1973" t="n">
        <v>2.365</v>
      </c>
      <c r="E1973" t="n">
        <v/>
      </c>
    </row>
    <row r="1974">
      <c r="A1974" s="27" t="n">
        <v>42709</v>
      </c>
      <c r="B1974" t="n">
        <v/>
      </c>
      <c r="C1974" t="n">
        <v>1.124</v>
      </c>
      <c r="D1974" t="n">
        <v>2.401</v>
      </c>
      <c r="E1974" t="n">
        <v/>
      </c>
    </row>
    <row r="1975">
      <c r="A1975" s="27" t="n">
        <v>42710</v>
      </c>
      <c r="B1975" t="n">
        <v/>
      </c>
      <c r="C1975" t="n">
        <v>1.116</v>
      </c>
      <c r="D1975" t="n">
        <v>2.392</v>
      </c>
      <c r="E1975" t="n">
        <v/>
      </c>
    </row>
    <row r="1976">
      <c r="A1976" s="27" t="n">
        <v>42711</v>
      </c>
      <c r="B1976" t="n">
        <v/>
      </c>
      <c r="C1976" t="n">
        <v>1.096</v>
      </c>
      <c r="D1976" t="n">
        <v>2.344</v>
      </c>
      <c r="E1976" t="n">
        <v/>
      </c>
    </row>
    <row r="1977">
      <c r="A1977" s="27" t="n">
        <v>42712</v>
      </c>
      <c r="B1977" t="n">
        <v/>
      </c>
      <c r="C1977" t="n">
        <v>1.112</v>
      </c>
      <c r="D1977" t="n">
        <v>2.409</v>
      </c>
      <c r="E1977" t="n">
        <v/>
      </c>
    </row>
    <row r="1978">
      <c r="A1978" s="27" t="n">
        <v>42713</v>
      </c>
      <c r="B1978" t="n">
        <v/>
      </c>
      <c r="C1978" t="n">
        <v>1.137</v>
      </c>
      <c r="D1978" t="n">
        <v>2.466</v>
      </c>
      <c r="E1978" t="n">
        <v/>
      </c>
    </row>
    <row r="1979">
      <c r="A1979" s="27" t="n">
        <v>42715</v>
      </c>
      <c r="B1979" t="n">
        <v/>
      </c>
      <c r="C1979" t="n">
        <v>1.145</v>
      </c>
      <c r="D1979" t="n">
        <v>2.488</v>
      </c>
      <c r="E1979" t="n">
        <v/>
      </c>
    </row>
    <row r="1980">
      <c r="A1980" s="27" t="n">
        <v>42716</v>
      </c>
      <c r="B1980" t="n">
        <v/>
      </c>
      <c r="C1980" t="n">
        <v>1.145</v>
      </c>
      <c r="D1980" t="n">
        <v>2.477</v>
      </c>
      <c r="E1980" t="n">
        <v/>
      </c>
    </row>
    <row r="1981">
      <c r="A1981" s="27" t="n">
        <v>42717</v>
      </c>
      <c r="B1981" t="n">
        <v/>
      </c>
      <c r="C1981" t="n">
        <v>1.166</v>
      </c>
      <c r="D1981" t="n">
        <v>2.473</v>
      </c>
      <c r="E1981" t="n">
        <v/>
      </c>
    </row>
    <row r="1982">
      <c r="A1982" s="27" t="n">
        <v>42718</v>
      </c>
      <c r="B1982" t="n">
        <v/>
      </c>
      <c r="C1982" t="n">
        <v>1.267</v>
      </c>
      <c r="D1982" t="n">
        <v>2.567</v>
      </c>
      <c r="E1982" t="n">
        <v/>
      </c>
    </row>
    <row r="1983">
      <c r="A1983" s="27" t="n">
        <v>42719</v>
      </c>
      <c r="B1983" t="n">
        <v/>
      </c>
      <c r="C1983" t="n">
        <v>1.276</v>
      </c>
      <c r="D1983" t="n">
        <v>2.606</v>
      </c>
      <c r="E1983" t="n">
        <v/>
      </c>
    </row>
    <row r="1984">
      <c r="A1984" s="27" t="n">
        <v>42720</v>
      </c>
      <c r="B1984" t="n">
        <v/>
      </c>
      <c r="C1984" t="n">
        <v>1.261</v>
      </c>
      <c r="D1984" t="n">
        <v>2.599</v>
      </c>
      <c r="E1984" t="n">
        <v/>
      </c>
    </row>
    <row r="1985">
      <c r="A1985" s="27" t="n">
        <v>42722</v>
      </c>
      <c r="B1985" t="n">
        <v/>
      </c>
      <c r="C1985" t="n">
        <v>1.252</v>
      </c>
      <c r="D1985" t="n">
        <v>2.582</v>
      </c>
      <c r="E1985" t="n">
        <v/>
      </c>
    </row>
    <row r="1986">
      <c r="A1986" s="27" t="n">
        <v>42723</v>
      </c>
      <c r="B1986" t="n">
        <v/>
      </c>
      <c r="C1986" t="n">
        <v>1.228</v>
      </c>
      <c r="D1986" t="n">
        <v>2.544</v>
      </c>
      <c r="E1986" t="n">
        <v/>
      </c>
    </row>
    <row r="1987">
      <c r="A1987" s="27" t="n">
        <v>42724</v>
      </c>
      <c r="B1987" t="n">
        <v/>
      </c>
      <c r="C1987" t="n">
        <v>1.22</v>
      </c>
      <c r="D1987" t="n">
        <v>2.561</v>
      </c>
      <c r="E1987" t="n">
        <v/>
      </c>
    </row>
    <row r="1988">
      <c r="A1988" s="27" t="n">
        <v>42725</v>
      </c>
      <c r="B1988" t="n">
        <v/>
      </c>
      <c r="C1988" t="n">
        <v>1.196</v>
      </c>
      <c r="D1988" t="n">
        <v>2.538</v>
      </c>
      <c r="E1988" t="n">
        <v/>
      </c>
    </row>
    <row r="1989">
      <c r="A1989" s="27" t="n">
        <v>42726</v>
      </c>
      <c r="B1989" t="n">
        <v/>
      </c>
      <c r="C1989" t="n">
        <v>1.196</v>
      </c>
      <c r="D1989" t="n">
        <v>2.553</v>
      </c>
      <c r="E1989" t="n">
        <v/>
      </c>
    </row>
    <row r="1990">
      <c r="A1990" s="27" t="n">
        <v>42727</v>
      </c>
      <c r="B1990" t="n">
        <v/>
      </c>
      <c r="C1990" t="n">
        <v>1.206</v>
      </c>
      <c r="D1990" t="n">
        <v>2.543</v>
      </c>
      <c r="E1990" t="n">
        <v/>
      </c>
    </row>
    <row r="1991">
      <c r="A1991" s="27" t="n">
        <v>42730</v>
      </c>
      <c r="B1991" t="n">
        <v/>
      </c>
      <c r="C1991" t="n">
        <v>1.206</v>
      </c>
      <c r="D1991" t="n">
        <v>2.543</v>
      </c>
      <c r="E1991" t="n">
        <v/>
      </c>
    </row>
    <row r="1992">
      <c r="A1992" s="27" t="n">
        <v>42731</v>
      </c>
      <c r="B1992" t="n">
        <v/>
      </c>
      <c r="C1992" t="n">
        <v>1.231</v>
      </c>
      <c r="D1992" t="n">
        <v>2.561</v>
      </c>
      <c r="E1992" t="n">
        <v/>
      </c>
    </row>
    <row r="1993">
      <c r="A1993" s="27" t="n">
        <v>42732</v>
      </c>
      <c r="B1993" t="n">
        <v/>
      </c>
      <c r="C1993" t="n">
        <v>1.258</v>
      </c>
      <c r="D1993" t="n">
        <v>2.512</v>
      </c>
      <c r="E1993" t="n">
        <v/>
      </c>
    </row>
    <row r="1994">
      <c r="A1994" s="27" t="n">
        <v>42733</v>
      </c>
      <c r="B1994" t="n">
        <v/>
      </c>
      <c r="C1994" t="n">
        <v>1.218</v>
      </c>
      <c r="D1994" t="n">
        <v>2.477</v>
      </c>
      <c r="E1994" t="n">
        <v/>
      </c>
    </row>
    <row r="1995">
      <c r="A1995" s="27" t="n">
        <v>42734</v>
      </c>
      <c r="B1995" t="n">
        <v/>
      </c>
      <c r="C1995" t="n">
        <v>1.198</v>
      </c>
      <c r="D1995" t="n">
        <v>2.446</v>
      </c>
      <c r="E1995" t="n">
        <v/>
      </c>
    </row>
    <row r="1996">
      <c r="A1996" s="27" t="n">
        <v>42737</v>
      </c>
      <c r="B1996" t="n">
        <v/>
      </c>
      <c r="C1996" t="n">
        <v>1.198</v>
      </c>
      <c r="D1996" t="n">
        <v>2.446</v>
      </c>
      <c r="E1996" t="n">
        <v/>
      </c>
    </row>
    <row r="1997">
      <c r="A1997" s="27" t="n">
        <v>42738</v>
      </c>
      <c r="B1997" t="n">
        <v/>
      </c>
      <c r="C1997" t="n">
        <v>1.218</v>
      </c>
      <c r="D1997" t="n">
        <v>2.448</v>
      </c>
      <c r="E1997" t="n">
        <v/>
      </c>
    </row>
    <row r="1998">
      <c r="A1998" s="27" t="n">
        <v>42739</v>
      </c>
      <c r="B1998" t="n">
        <v/>
      </c>
      <c r="C1998" t="n">
        <v>1.218</v>
      </c>
      <c r="D1998" t="n">
        <v>2.441</v>
      </c>
      <c r="E1998" t="n">
        <v/>
      </c>
    </row>
    <row r="1999">
      <c r="A1999" s="27" t="n">
        <v>42740</v>
      </c>
      <c r="B1999" t="n">
        <v/>
      </c>
      <c r="C1999" t="n">
        <v>1.17</v>
      </c>
      <c r="D1999" t="n">
        <v>2.348</v>
      </c>
      <c r="E1999" t="n">
        <v/>
      </c>
    </row>
    <row r="2000">
      <c r="A2000" s="27" t="n">
        <v>42741</v>
      </c>
      <c r="B2000" t="n">
        <v/>
      </c>
      <c r="C2000" t="n">
        <v>1.214</v>
      </c>
      <c r="D2000" t="n">
        <v>2.421</v>
      </c>
      <c r="E2000" t="n">
        <v/>
      </c>
    </row>
    <row r="2001">
      <c r="A2001" s="27" t="n">
        <v>42743</v>
      </c>
      <c r="B2001" t="n">
        <v/>
      </c>
      <c r="C2001" t="n">
        <v>1.214</v>
      </c>
      <c r="D2001" t="n">
        <v>2.421</v>
      </c>
      <c r="E2001" t="n">
        <v/>
      </c>
    </row>
    <row r="2002">
      <c r="A2002" s="27" t="n">
        <v>42744</v>
      </c>
      <c r="B2002" t="n">
        <v/>
      </c>
      <c r="C2002" t="n">
        <v>1.186</v>
      </c>
      <c r="D2002" t="n">
        <v>2.368</v>
      </c>
      <c r="E2002" t="n">
        <v/>
      </c>
    </row>
    <row r="2003">
      <c r="A2003" s="27" t="n">
        <v>42745</v>
      </c>
      <c r="B2003" t="n">
        <v/>
      </c>
      <c r="C2003" t="n">
        <v>1.194</v>
      </c>
      <c r="D2003" t="n">
        <v>2.377</v>
      </c>
      <c r="E2003" t="n">
        <v/>
      </c>
    </row>
    <row r="2004">
      <c r="A2004" s="27" t="n">
        <v>42746</v>
      </c>
      <c r="B2004" t="n">
        <v/>
      </c>
      <c r="C2004" t="n">
        <v>1.19</v>
      </c>
      <c r="D2004" t="n">
        <v>2.37</v>
      </c>
      <c r="E2004" t="n">
        <v/>
      </c>
    </row>
    <row r="2005">
      <c r="A2005" s="27" t="n">
        <v>42747</v>
      </c>
      <c r="B2005" t="n">
        <v/>
      </c>
      <c r="C2005" t="n">
        <v>1.177</v>
      </c>
      <c r="D2005" t="n">
        <v>2.361</v>
      </c>
      <c r="E2005" t="n">
        <v/>
      </c>
    </row>
    <row r="2006">
      <c r="A2006" s="27" t="n">
        <v>42748</v>
      </c>
      <c r="B2006" t="n">
        <v/>
      </c>
      <c r="C2006" t="n">
        <v>1.197</v>
      </c>
      <c r="D2006" t="n">
        <v>2.398</v>
      </c>
      <c r="E2006" t="n">
        <v/>
      </c>
    </row>
    <row r="2007">
      <c r="A2007" s="27" t="n">
        <v>42751</v>
      </c>
      <c r="B2007" t="n">
        <v/>
      </c>
      <c r="C2007" t="n">
        <v>1.185</v>
      </c>
      <c r="D2007" t="n">
        <v>2.378</v>
      </c>
      <c r="E2007" t="n">
        <v/>
      </c>
    </row>
    <row r="2008">
      <c r="A2008" s="27" t="n">
        <v>42752</v>
      </c>
      <c r="B2008" t="n">
        <v/>
      </c>
      <c r="C2008" t="n">
        <v>1.152</v>
      </c>
      <c r="D2008" t="n">
        <v>2.325</v>
      </c>
      <c r="E2008" t="n">
        <v/>
      </c>
    </row>
    <row r="2009">
      <c r="A2009" s="27" t="n">
        <v>42753</v>
      </c>
      <c r="B2009" t="n">
        <v/>
      </c>
      <c r="C2009" t="n">
        <v>1.221</v>
      </c>
      <c r="D2009" t="n">
        <v>2.428</v>
      </c>
      <c r="E2009" t="n">
        <v/>
      </c>
    </row>
    <row r="2010">
      <c r="A2010" s="27" t="n">
        <v>42754</v>
      </c>
      <c r="B2010" t="n">
        <v/>
      </c>
      <c r="C2010" t="n">
        <v>1.225</v>
      </c>
      <c r="D2010" t="n">
        <v>2.47</v>
      </c>
      <c r="E2010" t="n">
        <v/>
      </c>
    </row>
    <row r="2011">
      <c r="A2011" s="27" t="n">
        <v>42755</v>
      </c>
      <c r="B2011" t="n">
        <v/>
      </c>
      <c r="C2011" t="n">
        <v>1.197</v>
      </c>
      <c r="D2011" t="n">
        <v>2.467</v>
      </c>
      <c r="E2011" t="n">
        <v/>
      </c>
    </row>
    <row r="2012">
      <c r="A2012" s="27" t="n">
        <v>42757</v>
      </c>
      <c r="B2012" t="n">
        <v/>
      </c>
      <c r="C2012" t="n">
        <v>1.184</v>
      </c>
      <c r="D2012" t="n">
        <v>2.439</v>
      </c>
      <c r="E2012" t="n">
        <v/>
      </c>
    </row>
    <row r="2013">
      <c r="A2013" s="27" t="n">
        <v>42758</v>
      </c>
      <c r="B2013" t="n">
        <v/>
      </c>
      <c r="C2013" t="n">
        <v>1.147</v>
      </c>
      <c r="D2013" t="n">
        <v>2.401</v>
      </c>
      <c r="E2013" t="n">
        <v/>
      </c>
    </row>
    <row r="2014">
      <c r="A2014" s="27" t="n">
        <v>42759</v>
      </c>
      <c r="B2014" t="n">
        <v/>
      </c>
      <c r="C2014" t="n">
        <v>1.196</v>
      </c>
      <c r="D2014" t="n">
        <v>2.465</v>
      </c>
      <c r="E2014" t="n">
        <v/>
      </c>
    </row>
    <row r="2015">
      <c r="A2015" s="27" t="n">
        <v>42760</v>
      </c>
      <c r="B2015" t="n">
        <v/>
      </c>
      <c r="C2015" t="n">
        <v>1.24</v>
      </c>
      <c r="D2015" t="n">
        <v>2.515</v>
      </c>
      <c r="E2015" t="n">
        <v/>
      </c>
    </row>
    <row r="2016">
      <c r="A2016" s="27" t="n">
        <v>42761</v>
      </c>
      <c r="B2016" t="n">
        <v/>
      </c>
      <c r="C2016" t="n">
        <v>1.228</v>
      </c>
      <c r="D2016" t="n">
        <v>2.512</v>
      </c>
      <c r="E2016" t="n">
        <v/>
      </c>
    </row>
    <row r="2017">
      <c r="A2017" s="27" t="n">
        <v>42762</v>
      </c>
      <c r="B2017" t="n">
        <v/>
      </c>
      <c r="C2017" t="n">
        <v>1.22</v>
      </c>
      <c r="D2017" t="n">
        <v>2.486</v>
      </c>
      <c r="E2017" t="n">
        <v/>
      </c>
    </row>
    <row r="2018">
      <c r="A2018" s="27" t="n">
        <v>42764</v>
      </c>
      <c r="B2018" t="n">
        <v/>
      </c>
      <c r="C2018" t="n">
        <v>1.22</v>
      </c>
      <c r="D2018" t="n">
        <v>2.479</v>
      </c>
      <c r="E2018" t="n">
        <v/>
      </c>
    </row>
    <row r="2019">
      <c r="A2019" s="27" t="n">
        <v>42765</v>
      </c>
      <c r="B2019" t="n">
        <v/>
      </c>
      <c r="C2019" t="n">
        <v>1.216</v>
      </c>
      <c r="D2019" t="n">
        <v>2.49</v>
      </c>
      <c r="E2019" t="n">
        <v/>
      </c>
    </row>
    <row r="2020">
      <c r="A2020" s="27" t="n">
        <v>42766</v>
      </c>
      <c r="B2020" t="n">
        <v/>
      </c>
      <c r="C2020" t="n">
        <v>1.212</v>
      </c>
      <c r="D2020" t="n">
        <v>2.466</v>
      </c>
      <c r="E2020" t="n">
        <v/>
      </c>
    </row>
    <row r="2021">
      <c r="A2021" s="27" t="n">
        <v>42767</v>
      </c>
      <c r="B2021" t="n">
        <v/>
      </c>
      <c r="C2021" t="n">
        <v>1.22</v>
      </c>
      <c r="D2021" t="n">
        <v>2.477</v>
      </c>
      <c r="E2021" t="n">
        <v/>
      </c>
    </row>
    <row r="2022">
      <c r="A2022" s="27" t="n">
        <v>42768</v>
      </c>
      <c r="B2022" t="n">
        <v/>
      </c>
      <c r="C2022" t="n">
        <v>1.209</v>
      </c>
      <c r="D2022" t="n">
        <v>2.474</v>
      </c>
      <c r="E2022" t="n">
        <v/>
      </c>
    </row>
    <row r="2023">
      <c r="A2023" s="27" t="n">
        <v>42769</v>
      </c>
      <c r="B2023" t="n">
        <v/>
      </c>
      <c r="C2023" t="n">
        <v>1.201</v>
      </c>
      <c r="D2023" t="n">
        <v>2.467</v>
      </c>
      <c r="E2023" t="n">
        <v/>
      </c>
    </row>
    <row r="2024">
      <c r="A2024" s="27" t="n">
        <v>42771</v>
      </c>
      <c r="B2024" t="n">
        <v/>
      </c>
      <c r="C2024" t="n">
        <v>1.201</v>
      </c>
      <c r="D2024" t="n">
        <v>2.472</v>
      </c>
      <c r="E2024" t="n">
        <v/>
      </c>
    </row>
    <row r="2025">
      <c r="A2025" s="27" t="n">
        <v>42772</v>
      </c>
      <c r="B2025" t="n">
        <v/>
      </c>
      <c r="C2025" t="n">
        <v>1.157</v>
      </c>
      <c r="D2025" t="n">
        <v>2.417</v>
      </c>
      <c r="E2025" t="n">
        <v/>
      </c>
    </row>
    <row r="2026">
      <c r="A2026" s="27" t="n">
        <v>42773</v>
      </c>
      <c r="B2026" t="n">
        <v/>
      </c>
      <c r="C2026" t="n">
        <v>1.169</v>
      </c>
      <c r="D2026" t="n">
        <v>2.397</v>
      </c>
      <c r="E2026" t="n">
        <v/>
      </c>
    </row>
    <row r="2027">
      <c r="A2027" s="27" t="n">
        <v>42774</v>
      </c>
      <c r="B2027" t="n">
        <v/>
      </c>
      <c r="C2027" t="n">
        <v>1.145</v>
      </c>
      <c r="D2027" t="n">
        <v>2.34</v>
      </c>
      <c r="E2027" t="n">
        <v/>
      </c>
    </row>
    <row r="2028">
      <c r="A2028" s="27" t="n">
        <v>42775</v>
      </c>
      <c r="B2028" t="n">
        <v/>
      </c>
      <c r="C2028" t="n">
        <v>1.181</v>
      </c>
      <c r="D2028" t="n">
        <v>2.397</v>
      </c>
      <c r="E2028" t="n">
        <v/>
      </c>
    </row>
    <row r="2029">
      <c r="A2029" s="27" t="n">
        <v>42776</v>
      </c>
      <c r="B2029" t="n">
        <v/>
      </c>
      <c r="C2029" t="n">
        <v>1.194</v>
      </c>
      <c r="D2029" t="n">
        <v>2.409</v>
      </c>
      <c r="E2029" t="n">
        <v/>
      </c>
    </row>
    <row r="2030">
      <c r="A2030" s="27" t="n">
        <v>42778</v>
      </c>
      <c r="B2030" t="n">
        <v/>
      </c>
      <c r="C2030" t="n">
        <v>1.206</v>
      </c>
      <c r="D2030" t="n">
        <v>2.425</v>
      </c>
      <c r="E2030" t="n">
        <v/>
      </c>
    </row>
    <row r="2031">
      <c r="A2031" s="27" t="n">
        <v>42779</v>
      </c>
      <c r="B2031" t="n">
        <v/>
      </c>
      <c r="C2031" t="n">
        <v>1.206</v>
      </c>
      <c r="D2031" t="n">
        <v>2.436</v>
      </c>
      <c r="E2031" t="n">
        <v/>
      </c>
    </row>
    <row r="2032">
      <c r="A2032" s="27" t="n">
        <v>42780</v>
      </c>
      <c r="B2032" t="n">
        <v/>
      </c>
      <c r="C2032" t="n">
        <v>1.238</v>
      </c>
      <c r="D2032" t="n">
        <v>2.472</v>
      </c>
      <c r="E2032" t="n">
        <v/>
      </c>
    </row>
    <row r="2033">
      <c r="A2033" s="27" t="n">
        <v>42781</v>
      </c>
      <c r="B2033" t="n">
        <v/>
      </c>
      <c r="C2033" t="n">
        <v>1.251</v>
      </c>
      <c r="D2033" t="n">
        <v>2.497</v>
      </c>
      <c r="E2033" t="n">
        <v/>
      </c>
    </row>
    <row r="2034">
      <c r="A2034" s="27" t="n">
        <v>42782</v>
      </c>
      <c r="B2034" t="n">
        <v/>
      </c>
      <c r="C2034" t="n">
        <v>1.206</v>
      </c>
      <c r="D2034" t="n">
        <v>2.447</v>
      </c>
      <c r="E2034" t="n">
        <v/>
      </c>
    </row>
    <row r="2035">
      <c r="A2035" s="27" t="n">
        <v>42783</v>
      </c>
      <c r="B2035" t="n">
        <v/>
      </c>
      <c r="C2035" t="n">
        <v>1.194</v>
      </c>
      <c r="D2035" t="n">
        <v>2.42</v>
      </c>
      <c r="E2035" t="n">
        <v/>
      </c>
    </row>
    <row r="2036">
      <c r="A2036" s="27" t="n">
        <v>42786</v>
      </c>
      <c r="B2036" t="n">
        <v/>
      </c>
      <c r="C2036" t="n">
        <v>1.202</v>
      </c>
      <c r="D2036" t="n">
        <v>2.436</v>
      </c>
      <c r="E2036" t="n">
        <v/>
      </c>
    </row>
    <row r="2037">
      <c r="A2037" s="27" t="n">
        <v>42787</v>
      </c>
      <c r="B2037" t="n">
        <v/>
      </c>
      <c r="C2037" t="n">
        <v>1.211</v>
      </c>
      <c r="D2037" t="n">
        <v>2.431</v>
      </c>
      <c r="E2037" t="n">
        <v/>
      </c>
    </row>
    <row r="2038">
      <c r="A2038" s="27" t="n">
        <v>42788</v>
      </c>
      <c r="B2038" t="n">
        <v/>
      </c>
      <c r="C2038" t="n">
        <v>1.22</v>
      </c>
      <c r="D2038" t="n">
        <v>2.415</v>
      </c>
      <c r="E2038" t="n">
        <v/>
      </c>
    </row>
    <row r="2039">
      <c r="A2039" s="27" t="n">
        <v>42789</v>
      </c>
      <c r="B2039" t="n">
        <v/>
      </c>
      <c r="C2039" t="n">
        <v>1.185</v>
      </c>
      <c r="D2039" t="n">
        <v>2.376</v>
      </c>
      <c r="E2039" t="n">
        <v/>
      </c>
    </row>
    <row r="2040">
      <c r="A2040" s="27" t="n">
        <v>42790</v>
      </c>
      <c r="B2040" t="n">
        <v/>
      </c>
      <c r="C2040" t="n">
        <v>1.149</v>
      </c>
      <c r="D2040" t="n">
        <v>2.315</v>
      </c>
      <c r="E2040" t="n">
        <v/>
      </c>
    </row>
    <row r="2041">
      <c r="A2041" s="27" t="n">
        <v>42792</v>
      </c>
      <c r="B2041" t="n">
        <v/>
      </c>
      <c r="C2041" t="n">
        <v>1.153</v>
      </c>
      <c r="D2041" t="n">
        <v>2.322</v>
      </c>
      <c r="E2041" t="n">
        <v/>
      </c>
    </row>
    <row r="2042">
      <c r="A2042" s="27" t="n">
        <v>42793</v>
      </c>
      <c r="B2042" t="n">
        <v/>
      </c>
      <c r="C2042" t="n">
        <v>1.2</v>
      </c>
      <c r="D2042" t="n">
        <v>2.367</v>
      </c>
      <c r="E2042" t="n">
        <v/>
      </c>
    </row>
    <row r="2043">
      <c r="A2043" s="27" t="n">
        <v>42794</v>
      </c>
      <c r="B2043" t="n">
        <v/>
      </c>
      <c r="C2043" t="n">
        <v>1.264</v>
      </c>
      <c r="D2043" t="n">
        <v>2.397</v>
      </c>
      <c r="E2043" t="n">
        <v/>
      </c>
    </row>
    <row r="2044">
      <c r="A2044" s="27" t="n">
        <v>42795</v>
      </c>
      <c r="B2044" t="n">
        <v/>
      </c>
      <c r="C2044" t="n">
        <v>1.288</v>
      </c>
      <c r="D2044" t="n">
        <v>2.458</v>
      </c>
      <c r="E2044" t="n">
        <v/>
      </c>
    </row>
    <row r="2045">
      <c r="A2045" s="27" t="n">
        <v>42796</v>
      </c>
      <c r="B2045" t="n">
        <v/>
      </c>
      <c r="C2045" t="n">
        <v>1.312</v>
      </c>
      <c r="D2045" t="n">
        <v>2.482</v>
      </c>
      <c r="E2045" t="n">
        <v/>
      </c>
    </row>
    <row r="2046">
      <c r="A2046" s="27" t="n">
        <v>42797</v>
      </c>
      <c r="B2046" t="n">
        <v/>
      </c>
      <c r="C2046" t="n">
        <v>1.309</v>
      </c>
      <c r="D2046" t="n">
        <v>2.482</v>
      </c>
      <c r="E2046" t="n">
        <v/>
      </c>
    </row>
    <row r="2047">
      <c r="A2047" s="27" t="n">
        <v>42799</v>
      </c>
      <c r="B2047" t="n">
        <v/>
      </c>
      <c r="C2047" t="n">
        <v>1.301</v>
      </c>
      <c r="D2047" t="n">
        <v>2.476</v>
      </c>
      <c r="E2047" t="n">
        <v/>
      </c>
    </row>
    <row r="2048">
      <c r="A2048" s="27" t="n">
        <v>42800</v>
      </c>
      <c r="B2048" t="n">
        <v/>
      </c>
      <c r="C2048" t="n">
        <v>1.305</v>
      </c>
      <c r="D2048" t="n">
        <v>2.494</v>
      </c>
      <c r="E2048" t="n">
        <v/>
      </c>
    </row>
    <row r="2049">
      <c r="A2049" s="27" t="n">
        <v>42801</v>
      </c>
      <c r="B2049" t="n">
        <v/>
      </c>
      <c r="C2049" t="n">
        <v>1.33</v>
      </c>
      <c r="D2049" t="n">
        <v>2.518</v>
      </c>
      <c r="E2049" t="n">
        <v/>
      </c>
    </row>
    <row r="2050">
      <c r="A2050" s="27" t="n">
        <v>42802</v>
      </c>
      <c r="B2050" t="n">
        <v/>
      </c>
      <c r="C2050" t="n">
        <v>1.358</v>
      </c>
      <c r="D2050" t="n">
        <v>2.56</v>
      </c>
      <c r="E2050" t="n">
        <v/>
      </c>
    </row>
    <row r="2051">
      <c r="A2051" s="27" t="n">
        <v>42803</v>
      </c>
      <c r="B2051" t="n">
        <v/>
      </c>
      <c r="C2051" t="n">
        <v>1.379</v>
      </c>
      <c r="D2051" t="n">
        <v>2.609</v>
      </c>
      <c r="E2051" t="n">
        <v/>
      </c>
    </row>
    <row r="2052">
      <c r="A2052" s="27" t="n">
        <v>42804</v>
      </c>
      <c r="B2052" t="n">
        <v/>
      </c>
      <c r="C2052" t="n">
        <v>1.355</v>
      </c>
      <c r="D2052" t="n">
        <v>2.575</v>
      </c>
      <c r="E2052" t="n">
        <v/>
      </c>
    </row>
    <row r="2053">
      <c r="A2053" s="27" t="n">
        <v>42806</v>
      </c>
      <c r="B2053" t="n">
        <v/>
      </c>
      <c r="C2053" t="n">
        <v>1.363</v>
      </c>
      <c r="D2053" t="n">
        <v>2.582</v>
      </c>
      <c r="E2053" t="n">
        <v/>
      </c>
    </row>
    <row r="2054">
      <c r="A2054" s="27" t="n">
        <v>42807</v>
      </c>
      <c r="B2054" t="n">
        <v/>
      </c>
      <c r="C2054" t="n">
        <v>1.376</v>
      </c>
      <c r="D2054" t="n">
        <v>2.626</v>
      </c>
      <c r="E2054" t="n">
        <v/>
      </c>
    </row>
    <row r="2055">
      <c r="A2055" s="27" t="n">
        <v>42808</v>
      </c>
      <c r="B2055" t="n">
        <v/>
      </c>
      <c r="C2055" t="n">
        <v>1.38</v>
      </c>
      <c r="D2055" t="n">
        <v>2.602</v>
      </c>
      <c r="E2055" t="n">
        <v/>
      </c>
    </row>
    <row r="2056">
      <c r="A2056" s="27" t="n">
        <v>42809</v>
      </c>
      <c r="B2056" t="n">
        <v/>
      </c>
      <c r="C2056" t="n">
        <v>1.303</v>
      </c>
      <c r="D2056" t="n">
        <v>2.5</v>
      </c>
      <c r="E2056" t="n">
        <v/>
      </c>
    </row>
    <row r="2057">
      <c r="A2057" s="27" t="n">
        <v>42810</v>
      </c>
      <c r="B2057" t="n">
        <v/>
      </c>
      <c r="C2057" t="n">
        <v>1.336</v>
      </c>
      <c r="D2057" t="n">
        <v>2.537</v>
      </c>
      <c r="E2057" t="n">
        <v/>
      </c>
    </row>
    <row r="2058">
      <c r="A2058" s="27" t="n">
        <v>42811</v>
      </c>
      <c r="B2058" t="n">
        <v/>
      </c>
      <c r="C2058" t="n">
        <v>1.321</v>
      </c>
      <c r="D2058" t="n">
        <v>2.501</v>
      </c>
      <c r="E2058" t="n">
        <v/>
      </c>
    </row>
    <row r="2059">
      <c r="A2059" s="27" t="n">
        <v>42812</v>
      </c>
      <c r="B2059" t="n">
        <v/>
      </c>
      <c r="C2059" t="n">
        <v>1.321</v>
      </c>
      <c r="D2059" t="n">
        <v>2.5</v>
      </c>
      <c r="E2059" t="n">
        <v/>
      </c>
    </row>
    <row r="2060">
      <c r="A2060" s="27" t="n">
        <v>42813</v>
      </c>
      <c r="B2060" t="n">
        <v/>
      </c>
      <c r="C2060" t="n">
        <v>1.321</v>
      </c>
      <c r="D2060" t="n">
        <v>2.5</v>
      </c>
      <c r="E2060" t="n">
        <v/>
      </c>
    </row>
    <row r="2061">
      <c r="A2061" s="27" t="n">
        <v>42814</v>
      </c>
      <c r="B2061" t="n">
        <v/>
      </c>
      <c r="C2061" t="n">
        <v>1.292</v>
      </c>
      <c r="D2061" t="n">
        <v>2.463</v>
      </c>
      <c r="E2061" t="n">
        <v/>
      </c>
    </row>
    <row r="2062">
      <c r="A2062" s="27" t="n">
        <v>42815</v>
      </c>
      <c r="B2062" t="n">
        <v/>
      </c>
      <c r="C2062" t="n">
        <v>1.264</v>
      </c>
      <c r="D2062" t="n">
        <v>2.416</v>
      </c>
      <c r="E2062" t="n">
        <v/>
      </c>
    </row>
    <row r="2063">
      <c r="A2063" s="27" t="n">
        <v>42816</v>
      </c>
      <c r="B2063" t="n">
        <v/>
      </c>
      <c r="C2063" t="n">
        <v>1.252</v>
      </c>
      <c r="D2063" t="n">
        <v>2.403</v>
      </c>
      <c r="E2063" t="n">
        <v/>
      </c>
    </row>
    <row r="2064">
      <c r="A2064" s="27" t="n">
        <v>42817</v>
      </c>
      <c r="B2064" t="n">
        <v/>
      </c>
      <c r="C2064" t="n">
        <v>1.256</v>
      </c>
      <c r="D2064" t="n">
        <v>2.418</v>
      </c>
      <c r="E2064" t="n">
        <v/>
      </c>
    </row>
    <row r="2065">
      <c r="A2065" s="27" t="n">
        <v>42818</v>
      </c>
      <c r="B2065" t="n">
        <v/>
      </c>
      <c r="C2065" t="n">
        <v>1.261</v>
      </c>
      <c r="D2065" t="n">
        <v>2.418</v>
      </c>
      <c r="E2065" t="n">
        <v/>
      </c>
    </row>
    <row r="2066">
      <c r="A2066" s="27" t="n">
        <v>42820</v>
      </c>
      <c r="B2066" t="n">
        <v/>
      </c>
      <c r="C2066" t="n">
        <v>1.24</v>
      </c>
      <c r="D2066" t="n">
        <v>2.384</v>
      </c>
      <c r="E2066" t="n">
        <v/>
      </c>
    </row>
    <row r="2067">
      <c r="A2067" s="27" t="n">
        <v>42821</v>
      </c>
      <c r="B2067" t="n">
        <v/>
      </c>
      <c r="C2067" t="n">
        <v>1.257</v>
      </c>
      <c r="D2067" t="n">
        <v>2.378</v>
      </c>
      <c r="E2067" t="n">
        <v/>
      </c>
    </row>
    <row r="2068">
      <c r="A2068" s="27" t="n">
        <v>42822</v>
      </c>
      <c r="B2068" t="n">
        <v/>
      </c>
      <c r="C2068" t="n">
        <v>1.306</v>
      </c>
      <c r="D2068" t="n">
        <v>2.42</v>
      </c>
      <c r="E2068" t="n">
        <v/>
      </c>
    </row>
    <row r="2069">
      <c r="A2069" s="27" t="n">
        <v>42823</v>
      </c>
      <c r="B2069" t="n">
        <v/>
      </c>
      <c r="C2069" t="n">
        <v>1.274</v>
      </c>
      <c r="D2069" t="n">
        <v>2.38</v>
      </c>
      <c r="E2069" t="n">
        <v/>
      </c>
    </row>
    <row r="2070">
      <c r="A2070" s="27" t="n">
        <v>42824</v>
      </c>
      <c r="B2070" t="n">
        <v/>
      </c>
      <c r="C2070" t="n">
        <v>1.286</v>
      </c>
      <c r="D2070" t="n">
        <v>2.421</v>
      </c>
      <c r="E2070" t="n">
        <v/>
      </c>
    </row>
    <row r="2071">
      <c r="A2071" s="27" t="n">
        <v>42825</v>
      </c>
      <c r="B2071" t="n">
        <v/>
      </c>
      <c r="C2071" t="n">
        <v>1.262</v>
      </c>
      <c r="D2071" t="n">
        <v>2.389</v>
      </c>
      <c r="E2071" t="n">
        <v/>
      </c>
    </row>
    <row r="2072">
      <c r="A2072" s="27" t="n">
        <v>42827</v>
      </c>
      <c r="B2072" t="n">
        <v/>
      </c>
      <c r="C2072" t="n">
        <v>1.258</v>
      </c>
      <c r="D2072" t="n">
        <v>2.395</v>
      </c>
      <c r="E2072" t="n">
        <v/>
      </c>
    </row>
    <row r="2073">
      <c r="A2073" s="27" t="n">
        <v>42828</v>
      </c>
      <c r="B2073" t="n">
        <v/>
      </c>
      <c r="C2073" t="n">
        <v>1.226</v>
      </c>
      <c r="D2073" t="n">
        <v>2.323</v>
      </c>
      <c r="E2073" t="n">
        <v/>
      </c>
    </row>
    <row r="2074">
      <c r="A2074" s="27" t="n">
        <v>42829</v>
      </c>
      <c r="B2074" t="n">
        <v/>
      </c>
      <c r="C2074" t="n">
        <v>1.258</v>
      </c>
      <c r="D2074" t="n">
        <v>2.364</v>
      </c>
      <c r="E2074" t="n">
        <v/>
      </c>
    </row>
    <row r="2075">
      <c r="A2075" s="27" t="n">
        <v>42830</v>
      </c>
      <c r="B2075" t="n">
        <v/>
      </c>
      <c r="C2075" t="n">
        <v>1.238</v>
      </c>
      <c r="D2075" t="n">
        <v>2.339</v>
      </c>
      <c r="E2075" t="n">
        <v/>
      </c>
    </row>
    <row r="2076">
      <c r="A2076" s="27" t="n">
        <v>42831</v>
      </c>
      <c r="B2076" t="n">
        <v/>
      </c>
      <c r="C2076" t="n">
        <v>1.242</v>
      </c>
      <c r="D2076" t="n">
        <v>2.341</v>
      </c>
      <c r="E2076" t="n">
        <v/>
      </c>
    </row>
    <row r="2077">
      <c r="A2077" s="27" t="n">
        <v>42832</v>
      </c>
      <c r="B2077" t="n">
        <v/>
      </c>
      <c r="C2077" t="n">
        <v>1.29</v>
      </c>
      <c r="D2077" t="n">
        <v>2.382</v>
      </c>
      <c r="E2077" t="n">
        <v/>
      </c>
    </row>
    <row r="2078">
      <c r="A2078" s="27" t="n">
        <v>42834</v>
      </c>
      <c r="B2078" t="n">
        <v/>
      </c>
      <c r="C2078" t="n">
        <v>1.29</v>
      </c>
      <c r="D2078" t="n">
        <v>2.382</v>
      </c>
      <c r="E2078" t="n">
        <v/>
      </c>
    </row>
    <row r="2079">
      <c r="A2079" s="27" t="n">
        <v>42835</v>
      </c>
      <c r="B2079" t="n">
        <v/>
      </c>
      <c r="C2079" t="n">
        <v>1.278</v>
      </c>
      <c r="D2079" t="n">
        <v>2.366</v>
      </c>
      <c r="E2079" t="n">
        <v/>
      </c>
    </row>
    <row r="2080">
      <c r="A2080" s="27" t="n">
        <v>42836</v>
      </c>
      <c r="B2080" t="n">
        <v/>
      </c>
      <c r="C2080" t="n">
        <v>1.238</v>
      </c>
      <c r="D2080" t="n">
        <v>2.298</v>
      </c>
      <c r="E2080" t="n">
        <v/>
      </c>
    </row>
    <row r="2081">
      <c r="A2081" s="27" t="n">
        <v>42837</v>
      </c>
      <c r="B2081" t="n">
        <v/>
      </c>
      <c r="C2081" t="n">
        <v>1.202</v>
      </c>
      <c r="D2081" t="n">
        <v>2.244</v>
      </c>
      <c r="E2081" t="n">
        <v/>
      </c>
    </row>
    <row r="2082">
      <c r="A2082" s="27" t="n">
        <v>42838</v>
      </c>
      <c r="B2082" t="n">
        <v/>
      </c>
      <c r="C2082" t="n">
        <v>1.205</v>
      </c>
      <c r="D2082" t="n">
        <v>2.232</v>
      </c>
      <c r="E2082" t="n">
        <v/>
      </c>
    </row>
    <row r="2083">
      <c r="A2083" s="27" t="n">
        <v>42841</v>
      </c>
      <c r="B2083" t="n">
        <v/>
      </c>
      <c r="C2083" t="n">
        <v>1.177</v>
      </c>
      <c r="D2083" t="n">
        <v>2.198</v>
      </c>
      <c r="E2083" t="n">
        <v/>
      </c>
    </row>
    <row r="2084">
      <c r="A2084" s="27" t="n">
        <v>42842</v>
      </c>
      <c r="B2084" t="n">
        <v/>
      </c>
      <c r="C2084" t="n">
        <v>1.201</v>
      </c>
      <c r="D2084" t="n">
        <v>2.248</v>
      </c>
      <c r="E2084" t="n">
        <v/>
      </c>
    </row>
    <row r="2085">
      <c r="A2085" s="27" t="n">
        <v>42843</v>
      </c>
      <c r="B2085" t="n">
        <v/>
      </c>
      <c r="C2085" t="n">
        <v>1.165</v>
      </c>
      <c r="D2085" t="n">
        <v>2.172</v>
      </c>
      <c r="E2085" t="n">
        <v/>
      </c>
    </row>
    <row r="2086">
      <c r="A2086" s="27" t="n">
        <v>42844</v>
      </c>
      <c r="B2086" t="n">
        <v/>
      </c>
      <c r="C2086" t="n">
        <v>1.181</v>
      </c>
      <c r="D2086" t="n">
        <v>2.216</v>
      </c>
      <c r="E2086" t="n">
        <v/>
      </c>
    </row>
    <row r="2087">
      <c r="A2087" s="27" t="n">
        <v>42845</v>
      </c>
      <c r="B2087" t="n">
        <v/>
      </c>
      <c r="C2087" t="n">
        <v>1.193</v>
      </c>
      <c r="D2087" t="n">
        <v>2.236</v>
      </c>
      <c r="E2087" t="n">
        <v/>
      </c>
    </row>
    <row r="2088">
      <c r="A2088" s="27" t="n">
        <v>42846</v>
      </c>
      <c r="B2088" t="n">
        <v/>
      </c>
      <c r="C2088" t="n">
        <v>1.188</v>
      </c>
      <c r="D2088" t="n">
        <v>2.246</v>
      </c>
      <c r="E2088" t="n">
        <v/>
      </c>
    </row>
    <row r="2089">
      <c r="A2089" s="27" t="n">
        <v>42847</v>
      </c>
      <c r="B2089" t="n">
        <v/>
      </c>
      <c r="C2089" t="n">
        <v>1.188</v>
      </c>
      <c r="D2089" t="n">
        <v>2.246</v>
      </c>
      <c r="E2089" t="n">
        <v/>
      </c>
    </row>
    <row r="2090">
      <c r="A2090" s="27" t="n">
        <v>42849</v>
      </c>
      <c r="B2090" t="n">
        <v/>
      </c>
      <c r="C2090" t="n">
        <v>1.229</v>
      </c>
      <c r="D2090" t="n">
        <v>2.273</v>
      </c>
      <c r="E2090" t="n">
        <v/>
      </c>
    </row>
    <row r="2091">
      <c r="A2091" s="27" t="n">
        <v>42850</v>
      </c>
      <c r="B2091" t="n">
        <v/>
      </c>
      <c r="C2091" t="n">
        <v>1.275</v>
      </c>
      <c r="D2091" t="n">
        <v>2.334</v>
      </c>
      <c r="E2091" t="n">
        <v/>
      </c>
    </row>
    <row r="2092">
      <c r="A2092" s="27" t="n">
        <v>42851</v>
      </c>
      <c r="B2092" t="n">
        <v/>
      </c>
      <c r="C2092" t="n">
        <v>1.274</v>
      </c>
      <c r="D2092" t="n">
        <v>2.304</v>
      </c>
      <c r="E2092" t="n">
        <v/>
      </c>
    </row>
    <row r="2093">
      <c r="A2093" s="27" t="n">
        <v>42852</v>
      </c>
      <c r="B2093" t="n">
        <v/>
      </c>
      <c r="C2093" t="n">
        <v>1.262</v>
      </c>
      <c r="D2093" t="n">
        <v>2.3</v>
      </c>
      <c r="E2093" t="n">
        <v/>
      </c>
    </row>
    <row r="2094">
      <c r="A2094" s="27" t="n">
        <v>42853</v>
      </c>
      <c r="B2094" t="n">
        <v/>
      </c>
      <c r="C2094" t="n">
        <v>1.27</v>
      </c>
      <c r="D2094" t="n">
        <v>2.289</v>
      </c>
      <c r="E2094" t="n">
        <v/>
      </c>
    </row>
    <row r="2095">
      <c r="A2095" s="27" t="n">
        <v>42855</v>
      </c>
      <c r="B2095" t="n">
        <v/>
      </c>
      <c r="C2095" t="n">
        <v>1.266</v>
      </c>
      <c r="D2095" t="n">
        <v>2.28</v>
      </c>
      <c r="E2095" t="n">
        <v/>
      </c>
    </row>
    <row r="2096">
      <c r="A2096" s="27" t="n">
        <v>42856</v>
      </c>
      <c r="B2096" t="n">
        <v/>
      </c>
      <c r="C2096" t="n">
        <v>1.278</v>
      </c>
      <c r="D2096" t="n">
        <v>2.322</v>
      </c>
      <c r="E2096" t="n">
        <v/>
      </c>
    </row>
    <row r="2097">
      <c r="A2097" s="27" t="n">
        <v>42857</v>
      </c>
      <c r="B2097" t="n">
        <v/>
      </c>
      <c r="C2097" t="n">
        <v>1.262</v>
      </c>
      <c r="D2097" t="n">
        <v>2.287</v>
      </c>
      <c r="E2097" t="n">
        <v/>
      </c>
    </row>
    <row r="2098">
      <c r="A2098" s="27" t="n">
        <v>42858</v>
      </c>
      <c r="B2098" t="n">
        <v/>
      </c>
      <c r="C2098" t="n">
        <v>1.298</v>
      </c>
      <c r="D2098" t="n">
        <v>2.322</v>
      </c>
      <c r="E2098" t="n">
        <v/>
      </c>
    </row>
    <row r="2099">
      <c r="A2099" s="27" t="n">
        <v>42859</v>
      </c>
      <c r="B2099" t="n">
        <v/>
      </c>
      <c r="C2099" t="n">
        <v>1.31</v>
      </c>
      <c r="D2099" t="n">
        <v>2.352</v>
      </c>
      <c r="E2099" t="n">
        <v/>
      </c>
    </row>
    <row r="2100">
      <c r="A2100" s="27" t="n">
        <v>42860</v>
      </c>
      <c r="B2100" t="n">
        <v/>
      </c>
      <c r="C2100" t="n">
        <v>1.314</v>
      </c>
      <c r="D2100" t="n">
        <v>2.35</v>
      </c>
      <c r="E2100" t="n">
        <v/>
      </c>
    </row>
    <row r="2101">
      <c r="A2101" s="27" t="n">
        <v>42862</v>
      </c>
      <c r="B2101" t="n">
        <v/>
      </c>
      <c r="C2101" t="n">
        <v>1.326</v>
      </c>
      <c r="D2101" t="n">
        <v>2.36</v>
      </c>
      <c r="E2101" t="n">
        <v/>
      </c>
    </row>
    <row r="2102">
      <c r="A2102" s="27" t="n">
        <v>42863</v>
      </c>
      <c r="B2102" t="n">
        <v/>
      </c>
      <c r="C2102" t="n">
        <v>1.334</v>
      </c>
      <c r="D2102" t="n">
        <v>2.389</v>
      </c>
      <c r="E2102" t="n">
        <v/>
      </c>
    </row>
    <row r="2103">
      <c r="A2103" s="27" t="n">
        <v>42864</v>
      </c>
      <c r="B2103" t="n">
        <v/>
      </c>
      <c r="C2103" t="n">
        <v>1.347</v>
      </c>
      <c r="D2103" t="n">
        <v>2.398</v>
      </c>
      <c r="E2103" t="n">
        <v/>
      </c>
    </row>
    <row r="2104">
      <c r="A2104" s="27" t="n">
        <v>42865</v>
      </c>
      <c r="B2104" t="n">
        <v/>
      </c>
      <c r="C2104" t="n">
        <v>1.359</v>
      </c>
      <c r="D2104" t="n">
        <v>2.41</v>
      </c>
      <c r="E2104" t="n">
        <v/>
      </c>
    </row>
    <row r="2105">
      <c r="A2105" s="27" t="n">
        <v>42866</v>
      </c>
      <c r="B2105" t="n">
        <v/>
      </c>
      <c r="C2105" t="n">
        <v>1.339</v>
      </c>
      <c r="D2105" t="n">
        <v>2.393</v>
      </c>
      <c r="E2105" t="n">
        <v/>
      </c>
    </row>
    <row r="2106">
      <c r="A2106" s="27" t="n">
        <v>42867</v>
      </c>
      <c r="B2106" t="n">
        <v/>
      </c>
      <c r="C2106" t="n">
        <v>1.29</v>
      </c>
      <c r="D2106" t="n">
        <v>2.326</v>
      </c>
      <c r="E2106" t="n">
        <v/>
      </c>
    </row>
    <row r="2107">
      <c r="A2107" s="27" t="n">
        <v>42869</v>
      </c>
      <c r="B2107" t="n">
        <v/>
      </c>
      <c r="C2107" t="n">
        <v>1.294</v>
      </c>
      <c r="D2107" t="n">
        <v>2.324</v>
      </c>
      <c r="E2107" t="n">
        <v/>
      </c>
    </row>
    <row r="2108">
      <c r="A2108" s="27" t="n">
        <v>42870</v>
      </c>
      <c r="B2108" t="n">
        <v/>
      </c>
      <c r="C2108" t="n">
        <v>1.303</v>
      </c>
      <c r="D2108" t="n">
        <v>2.343</v>
      </c>
      <c r="E2108" t="n">
        <v/>
      </c>
    </row>
    <row r="2109">
      <c r="A2109" s="27" t="n">
        <v>42871</v>
      </c>
      <c r="B2109" t="n">
        <v/>
      </c>
      <c r="C2109" t="n">
        <v>1.303</v>
      </c>
      <c r="D2109" t="n">
        <v>2.326</v>
      </c>
      <c r="E2109" t="n">
        <v/>
      </c>
    </row>
    <row r="2110">
      <c r="A2110" s="27" t="n">
        <v>42872</v>
      </c>
      <c r="B2110" t="n">
        <v/>
      </c>
      <c r="C2110" t="n">
        <v>1.246</v>
      </c>
      <c r="D2110" t="n">
        <v>2.223</v>
      </c>
      <c r="E2110" t="n">
        <v/>
      </c>
    </row>
    <row r="2111">
      <c r="A2111" s="27" t="n">
        <v>42873</v>
      </c>
      <c r="B2111" t="n">
        <v/>
      </c>
      <c r="C2111" t="n">
        <v>1.27</v>
      </c>
      <c r="D2111" t="n">
        <v>2.228</v>
      </c>
      <c r="E2111" t="n">
        <v/>
      </c>
    </row>
    <row r="2112">
      <c r="A2112" s="27" t="n">
        <v>42874</v>
      </c>
      <c r="B2112" t="n">
        <v/>
      </c>
      <c r="C2112" t="n">
        <v>1.274</v>
      </c>
      <c r="D2112" t="n">
        <v>2.235</v>
      </c>
      <c r="E2112" t="n">
        <v/>
      </c>
    </row>
    <row r="2113">
      <c r="A2113" s="27" t="n">
        <v>42876</v>
      </c>
      <c r="B2113" t="n">
        <v/>
      </c>
      <c r="C2113" t="n">
        <v>1.287</v>
      </c>
      <c r="D2113" t="n">
        <v>2.247</v>
      </c>
      <c r="E2113" t="n">
        <v/>
      </c>
    </row>
    <row r="2114">
      <c r="A2114" s="27" t="n">
        <v>42877</v>
      </c>
      <c r="B2114" t="n">
        <v/>
      </c>
      <c r="C2114" t="n">
        <v>1.283</v>
      </c>
      <c r="D2114" t="n">
        <v>2.252</v>
      </c>
      <c r="E2114" t="n">
        <v/>
      </c>
    </row>
    <row r="2115">
      <c r="A2115" s="27" t="n">
        <v>42878</v>
      </c>
      <c r="B2115" t="n">
        <v/>
      </c>
      <c r="C2115" t="n">
        <v>1.307</v>
      </c>
      <c r="D2115" t="n">
        <v>2.282</v>
      </c>
      <c r="E2115" t="n">
        <v/>
      </c>
    </row>
    <row r="2116">
      <c r="A2116" s="27" t="n">
        <v>42879</v>
      </c>
      <c r="B2116" t="n">
        <v/>
      </c>
      <c r="C2116" t="n">
        <v>1.282</v>
      </c>
      <c r="D2116" t="n">
        <v>2.252</v>
      </c>
      <c r="E2116" t="n">
        <v/>
      </c>
    </row>
    <row r="2117">
      <c r="A2117" s="27" t="n">
        <v>42880</v>
      </c>
      <c r="B2117" t="n">
        <v/>
      </c>
      <c r="C2117" t="n">
        <v>1.298</v>
      </c>
      <c r="D2117" t="n">
        <v>2.255</v>
      </c>
      <c r="E2117" t="n">
        <v/>
      </c>
    </row>
    <row r="2118">
      <c r="A2118" s="27" t="n">
        <v>42881</v>
      </c>
      <c r="B2118" t="n">
        <v/>
      </c>
      <c r="C2118" t="n">
        <v>1.298</v>
      </c>
      <c r="D2118" t="n">
        <v>2.25</v>
      </c>
      <c r="E2118" t="n">
        <v/>
      </c>
    </row>
    <row r="2119">
      <c r="A2119" s="27" t="n">
        <v>42884</v>
      </c>
      <c r="B2119" t="n">
        <v/>
      </c>
      <c r="C2119" t="n">
        <v>1.302</v>
      </c>
      <c r="D2119" t="n">
        <v>2.243</v>
      </c>
      <c r="E2119" t="n">
        <v/>
      </c>
    </row>
    <row r="2120">
      <c r="A2120" s="27" t="n">
        <v>42885</v>
      </c>
      <c r="B2120" t="n">
        <v/>
      </c>
      <c r="C2120" t="n">
        <v>1.286</v>
      </c>
      <c r="D2120" t="n">
        <v>2.208</v>
      </c>
      <c r="E2120" t="n">
        <v/>
      </c>
    </row>
    <row r="2121">
      <c r="A2121" s="27" t="n">
        <v>42886</v>
      </c>
      <c r="B2121" t="n">
        <v/>
      </c>
      <c r="C2121" t="n">
        <v>1.286</v>
      </c>
      <c r="D2121" t="n">
        <v>2.206</v>
      </c>
      <c r="E2121" t="n">
        <v/>
      </c>
    </row>
    <row r="2122">
      <c r="A2122" s="27" t="n">
        <v>42887</v>
      </c>
      <c r="B2122" t="n">
        <v/>
      </c>
      <c r="C2122" t="n">
        <v>1.298</v>
      </c>
      <c r="D2122" t="n">
        <v>2.213</v>
      </c>
      <c r="E2122" t="n">
        <v/>
      </c>
    </row>
    <row r="2123">
      <c r="A2123" s="27" t="n">
        <v>42888</v>
      </c>
      <c r="B2123" t="n">
        <v/>
      </c>
      <c r="C2123" t="n">
        <v>1.29</v>
      </c>
      <c r="D2123" t="n">
        <v>2.159</v>
      </c>
      <c r="E2123" t="n">
        <v/>
      </c>
    </row>
    <row r="2124">
      <c r="A2124" s="27" t="n">
        <v>42890</v>
      </c>
      <c r="B2124" t="n">
        <v/>
      </c>
      <c r="C2124" t="n">
        <v>1.294</v>
      </c>
      <c r="D2124" t="n">
        <v>2.159</v>
      </c>
      <c r="E2124" t="n">
        <v/>
      </c>
    </row>
    <row r="2125">
      <c r="A2125" s="27" t="n">
        <v>42891</v>
      </c>
      <c r="B2125" t="n">
        <v/>
      </c>
      <c r="C2125" t="n">
        <v>1.306</v>
      </c>
      <c r="D2125" t="n">
        <v>2.183</v>
      </c>
      <c r="E2125" t="n">
        <v/>
      </c>
    </row>
    <row r="2126">
      <c r="A2126" s="27" t="n">
        <v>42892</v>
      </c>
      <c r="B2126" t="n">
        <v/>
      </c>
      <c r="C2126" t="n">
        <v>1.298</v>
      </c>
      <c r="D2126" t="n">
        <v>2.145</v>
      </c>
      <c r="E2126" t="n">
        <v/>
      </c>
    </row>
    <row r="2127">
      <c r="A2127" s="27" t="n">
        <v>42893</v>
      </c>
      <c r="B2127" t="n">
        <v/>
      </c>
      <c r="C2127" t="n">
        <v>1.31</v>
      </c>
      <c r="D2127" t="n">
        <v>2.176</v>
      </c>
      <c r="E2127" t="n">
        <v/>
      </c>
    </row>
    <row r="2128">
      <c r="A2128" s="27" t="n">
        <v>42894</v>
      </c>
      <c r="B2128" t="n">
        <v/>
      </c>
      <c r="C2128" t="n">
        <v>1.322</v>
      </c>
      <c r="D2128" t="n">
        <v>2.192</v>
      </c>
      <c r="E2128" t="n">
        <v/>
      </c>
    </row>
    <row r="2129">
      <c r="A2129" s="27" t="n">
        <v>42895</v>
      </c>
      <c r="B2129" t="n">
        <v/>
      </c>
      <c r="C2129" t="n">
        <v>1.339</v>
      </c>
      <c r="D2129" t="n">
        <v>2.202</v>
      </c>
      <c r="E2129" t="n">
        <v/>
      </c>
    </row>
    <row r="2130">
      <c r="A2130" s="27" t="n">
        <v>42897</v>
      </c>
      <c r="B2130" t="n">
        <v/>
      </c>
      <c r="C2130" t="n">
        <v>1.343</v>
      </c>
      <c r="D2130" t="n">
        <v>2.211</v>
      </c>
      <c r="E2130" t="n">
        <v/>
      </c>
    </row>
    <row r="2131">
      <c r="A2131" s="27" t="n">
        <v>42898</v>
      </c>
      <c r="B2131" t="n">
        <v/>
      </c>
      <c r="C2131" t="n">
        <v>1.359</v>
      </c>
      <c r="D2131" t="n">
        <v>2.215</v>
      </c>
      <c r="E2131" t="n">
        <v/>
      </c>
    </row>
    <row r="2132">
      <c r="A2132" s="27" t="n">
        <v>42899</v>
      </c>
      <c r="B2132" t="n">
        <v/>
      </c>
      <c r="C2132" t="n">
        <v>1.367</v>
      </c>
      <c r="D2132" t="n">
        <v>2.211</v>
      </c>
      <c r="E2132" t="n">
        <v/>
      </c>
    </row>
    <row r="2133">
      <c r="A2133" s="27" t="n">
        <v>42900</v>
      </c>
      <c r="B2133" t="n">
        <v/>
      </c>
      <c r="C2133" t="n">
        <v>1.335</v>
      </c>
      <c r="D2133" t="n">
        <v>2.127</v>
      </c>
      <c r="E2133" t="n">
        <v/>
      </c>
    </row>
    <row r="2134">
      <c r="A2134" s="27" t="n">
        <v>42901</v>
      </c>
      <c r="B2134" t="n">
        <v/>
      </c>
      <c r="C2134" t="n">
        <v>1.355</v>
      </c>
      <c r="D2134" t="n">
        <v>2.164</v>
      </c>
      <c r="E2134" t="n">
        <v/>
      </c>
    </row>
    <row r="2135">
      <c r="A2135" s="27" t="n">
        <v>42902</v>
      </c>
      <c r="B2135" t="n">
        <v/>
      </c>
      <c r="C2135" t="n">
        <v>1.315</v>
      </c>
      <c r="D2135" t="n">
        <v>2.153</v>
      </c>
      <c r="E2135" t="n">
        <v/>
      </c>
    </row>
    <row r="2136">
      <c r="A2136" s="27" t="n">
        <v>42904</v>
      </c>
      <c r="B2136" t="n">
        <v/>
      </c>
      <c r="C2136" t="n">
        <v>1.319</v>
      </c>
      <c r="D2136" t="n">
        <v>2.157</v>
      </c>
      <c r="E2136" t="n">
        <v/>
      </c>
    </row>
    <row r="2137">
      <c r="A2137" s="27" t="n">
        <v>42905</v>
      </c>
      <c r="B2137" t="n">
        <v/>
      </c>
      <c r="C2137" t="n">
        <v>1.364</v>
      </c>
      <c r="D2137" t="n">
        <v>2.191</v>
      </c>
      <c r="E2137" t="n">
        <v/>
      </c>
    </row>
    <row r="2138">
      <c r="A2138" s="27" t="n">
        <v>42906</v>
      </c>
      <c r="B2138" t="n">
        <v/>
      </c>
      <c r="C2138" t="n">
        <v>1.348</v>
      </c>
      <c r="D2138" t="n">
        <v>2.156</v>
      </c>
      <c r="E2138" t="n">
        <v/>
      </c>
    </row>
    <row r="2139">
      <c r="A2139" s="27" t="n">
        <v>42907</v>
      </c>
      <c r="B2139" t="n">
        <v/>
      </c>
      <c r="C2139" t="n">
        <v>1.352</v>
      </c>
      <c r="D2139" t="n">
        <v>2.165</v>
      </c>
      <c r="E2139" t="n">
        <v/>
      </c>
    </row>
    <row r="2140">
      <c r="A2140" s="27" t="n">
        <v>42908</v>
      </c>
      <c r="B2140" t="n">
        <v/>
      </c>
      <c r="C2140" t="n">
        <v>1.344</v>
      </c>
      <c r="D2140" t="n">
        <v>2.148</v>
      </c>
      <c r="E2140" t="n">
        <v/>
      </c>
    </row>
    <row r="2141">
      <c r="A2141" s="27" t="n">
        <v>42909</v>
      </c>
      <c r="B2141" t="n">
        <v/>
      </c>
      <c r="C2141" t="n">
        <v>1.345</v>
      </c>
      <c r="D2141" t="n">
        <v>2.144</v>
      </c>
      <c r="E2141" t="n">
        <v/>
      </c>
    </row>
    <row r="2142">
      <c r="A2142" s="27" t="n">
        <v>42911</v>
      </c>
      <c r="B2142" t="n">
        <v/>
      </c>
      <c r="C2142" t="n">
        <v>1.349</v>
      </c>
      <c r="D2142" t="n">
        <v>2.146</v>
      </c>
      <c r="E2142" t="n">
        <v/>
      </c>
    </row>
    <row r="2143">
      <c r="A2143" s="27" t="n">
        <v>42912</v>
      </c>
      <c r="B2143" t="n">
        <v/>
      </c>
      <c r="C2143" t="n">
        <v>1.336</v>
      </c>
      <c r="D2143" t="n">
        <v>2.135</v>
      </c>
      <c r="E2143" t="n">
        <v/>
      </c>
    </row>
    <row r="2144">
      <c r="A2144" s="27" t="n">
        <v>42913</v>
      </c>
      <c r="B2144" t="n">
        <v/>
      </c>
      <c r="C2144" t="n">
        <v>1.373</v>
      </c>
      <c r="D2144" t="n">
        <v>2.203</v>
      </c>
      <c r="E2144" t="n">
        <v/>
      </c>
    </row>
    <row r="2145">
      <c r="A2145" s="27" t="n">
        <v>42914</v>
      </c>
      <c r="B2145" t="n">
        <v/>
      </c>
      <c r="C2145" t="n">
        <v>1.353</v>
      </c>
      <c r="D2145" t="n">
        <v>2.226</v>
      </c>
      <c r="E2145" t="n">
        <v/>
      </c>
    </row>
    <row r="2146">
      <c r="A2146" s="27" t="n">
        <v>42915</v>
      </c>
      <c r="B2146" t="n">
        <v/>
      </c>
      <c r="C2146" t="n">
        <v>1.373</v>
      </c>
      <c r="D2146" t="n">
        <v>2.267</v>
      </c>
      <c r="E2146" t="n">
        <v/>
      </c>
    </row>
    <row r="2147">
      <c r="A2147" s="27" t="n">
        <v>42916</v>
      </c>
      <c r="B2147" t="n">
        <v/>
      </c>
      <c r="C2147" t="n">
        <v>1.386</v>
      </c>
      <c r="D2147" t="n">
        <v>2.304</v>
      </c>
      <c r="E2147" t="n">
        <v/>
      </c>
    </row>
    <row r="2148">
      <c r="A2148" s="27" t="n">
        <v>42917</v>
      </c>
      <c r="B2148" t="n">
        <v/>
      </c>
      <c r="C2148" t="n">
        <v>1.386</v>
      </c>
      <c r="D2148" t="n">
        <v>2.304</v>
      </c>
      <c r="E2148" t="n">
        <v/>
      </c>
    </row>
    <row r="2149">
      <c r="A2149" s="27" t="n">
        <v>42918</v>
      </c>
      <c r="B2149" t="n">
        <v/>
      </c>
      <c r="C2149" t="n">
        <v>1.394</v>
      </c>
      <c r="D2149" t="n">
        <v>2.316</v>
      </c>
      <c r="E2149" t="n">
        <v/>
      </c>
    </row>
    <row r="2150">
      <c r="A2150" s="27" t="n">
        <v>42919</v>
      </c>
      <c r="B2150" t="n">
        <v/>
      </c>
      <c r="C2150" t="n">
        <v>1.414</v>
      </c>
      <c r="D2150" t="n">
        <v>2.348</v>
      </c>
      <c r="E2150" t="n">
        <v/>
      </c>
    </row>
    <row r="2151">
      <c r="A2151" s="27" t="n">
        <v>42920</v>
      </c>
      <c r="B2151" t="n">
        <v/>
      </c>
      <c r="C2151" t="n">
        <v>1.41</v>
      </c>
      <c r="D2151" t="n">
        <v>2.334</v>
      </c>
      <c r="E2151" t="n">
        <v/>
      </c>
    </row>
    <row r="2152">
      <c r="A2152" s="27" t="n">
        <v>42921</v>
      </c>
      <c r="B2152" t="n">
        <v/>
      </c>
      <c r="C2152" t="n">
        <v>1.41</v>
      </c>
      <c r="D2152" t="n">
        <v>2.327</v>
      </c>
      <c r="E2152" t="n">
        <v/>
      </c>
    </row>
    <row r="2153">
      <c r="A2153" s="27" t="n">
        <v>42922</v>
      </c>
      <c r="B2153" t="n">
        <v/>
      </c>
      <c r="C2153" t="n">
        <v>1.403</v>
      </c>
      <c r="D2153" t="n">
        <v>2.368</v>
      </c>
      <c r="E2153" t="n">
        <v/>
      </c>
    </row>
    <row r="2154">
      <c r="A2154" s="27" t="n">
        <v>42923</v>
      </c>
      <c r="B2154" t="n">
        <v/>
      </c>
      <c r="C2154" t="n">
        <v>1.403</v>
      </c>
      <c r="D2154" t="n">
        <v>2.386</v>
      </c>
      <c r="E2154" t="n">
        <v/>
      </c>
    </row>
    <row r="2155">
      <c r="A2155" s="27" t="n">
        <v>42925</v>
      </c>
      <c r="B2155" t="n">
        <v/>
      </c>
      <c r="C2155" t="n">
        <v>1.403</v>
      </c>
      <c r="D2155" t="n">
        <v>2.386</v>
      </c>
      <c r="E2155" t="n">
        <v/>
      </c>
    </row>
    <row r="2156">
      <c r="A2156" s="27" t="n">
        <v>42926</v>
      </c>
      <c r="B2156" t="n">
        <v/>
      </c>
      <c r="C2156" t="n">
        <v>1.387</v>
      </c>
      <c r="D2156" t="n">
        <v>2.373</v>
      </c>
      <c r="E2156" t="n">
        <v/>
      </c>
    </row>
    <row r="2157">
      <c r="A2157" s="27" t="n">
        <v>42927</v>
      </c>
      <c r="B2157" t="n">
        <v/>
      </c>
      <c r="C2157" t="n">
        <v>1.375</v>
      </c>
      <c r="D2157" t="n">
        <v>2.361</v>
      </c>
      <c r="E2157" t="n">
        <v/>
      </c>
    </row>
    <row r="2158">
      <c r="A2158" s="27" t="n">
        <v>42928</v>
      </c>
      <c r="B2158" t="n">
        <v/>
      </c>
      <c r="C2158" t="n">
        <v>1.347</v>
      </c>
      <c r="D2158" t="n">
        <v>2.32</v>
      </c>
      <c r="E2158" t="n">
        <v/>
      </c>
    </row>
    <row r="2159">
      <c r="A2159" s="27" t="n">
        <v>42929</v>
      </c>
      <c r="B2159" t="n">
        <v/>
      </c>
      <c r="C2159" t="n">
        <v>1.367</v>
      </c>
      <c r="D2159" t="n">
        <v>2.348</v>
      </c>
      <c r="E2159" t="n">
        <v/>
      </c>
    </row>
    <row r="2160">
      <c r="A2160" s="27" t="n">
        <v>42930</v>
      </c>
      <c r="B2160" t="n">
        <v/>
      </c>
      <c r="C2160" t="n">
        <v>1.36</v>
      </c>
      <c r="D2160" t="n">
        <v>2.332</v>
      </c>
      <c r="E2160" t="n">
        <v/>
      </c>
    </row>
    <row r="2161">
      <c r="A2161" s="27" t="n">
        <v>42932</v>
      </c>
      <c r="B2161" t="n">
        <v/>
      </c>
      <c r="C2161" t="n">
        <v>1.36</v>
      </c>
      <c r="D2161" t="n">
        <v>2.332</v>
      </c>
      <c r="E2161" t="n">
        <v/>
      </c>
    </row>
    <row r="2162">
      <c r="A2162" s="27" t="n">
        <v>42933</v>
      </c>
      <c r="B2162" t="n">
        <v/>
      </c>
      <c r="C2162" t="n">
        <v>1.36</v>
      </c>
      <c r="D2162" t="n">
        <v>2.314</v>
      </c>
      <c r="E2162" t="n">
        <v/>
      </c>
    </row>
    <row r="2163">
      <c r="A2163" s="27" t="n">
        <v>42934</v>
      </c>
      <c r="B2163" t="n">
        <v/>
      </c>
      <c r="C2163" t="n">
        <v>1.352</v>
      </c>
      <c r="D2163" t="n">
        <v>2.261</v>
      </c>
      <c r="E2163" t="n">
        <v/>
      </c>
    </row>
    <row r="2164">
      <c r="A2164" s="27" t="n">
        <v>42935</v>
      </c>
      <c r="B2164" t="n">
        <v/>
      </c>
      <c r="C2164" t="n">
        <v>1.36</v>
      </c>
      <c r="D2164" t="n">
        <v>2.271</v>
      </c>
      <c r="E2164" t="n">
        <v/>
      </c>
    </row>
    <row r="2165">
      <c r="A2165" s="27" t="n">
        <v>42936</v>
      </c>
      <c r="B2165" t="n">
        <v/>
      </c>
      <c r="C2165" t="n">
        <v>1.352</v>
      </c>
      <c r="D2165" t="n">
        <v>2.257</v>
      </c>
      <c r="E2165" t="n">
        <v/>
      </c>
    </row>
    <row r="2166">
      <c r="A2166" s="27" t="n">
        <v>42937</v>
      </c>
      <c r="B2166" t="n">
        <v/>
      </c>
      <c r="C2166" t="n">
        <v>1.344</v>
      </c>
      <c r="D2166" t="n">
        <v>2.237</v>
      </c>
      <c r="E2166" t="n">
        <v/>
      </c>
    </row>
    <row r="2167">
      <c r="A2167" s="27" t="n">
        <v>42939</v>
      </c>
      <c r="B2167" t="n">
        <v/>
      </c>
      <c r="C2167" t="n">
        <v/>
      </c>
      <c r="D2167" t="n">
        <v>2.232</v>
      </c>
      <c r="E2167" t="n">
        <v/>
      </c>
    </row>
    <row r="2168">
      <c r="A2168" s="27" t="n">
        <v>42940</v>
      </c>
      <c r="B2168" t="n">
        <v/>
      </c>
      <c r="C2168" t="n">
        <v>1.365</v>
      </c>
      <c r="D2168" t="n">
        <v>2.257</v>
      </c>
      <c r="E2168" t="n">
        <v/>
      </c>
    </row>
    <row r="2169">
      <c r="A2169" s="27" t="n">
        <v>42941</v>
      </c>
      <c r="B2169" t="n">
        <v/>
      </c>
      <c r="C2169" t="n">
        <v>1.39</v>
      </c>
      <c r="D2169" t="n">
        <v>2.332</v>
      </c>
      <c r="E2169" t="n">
        <v/>
      </c>
    </row>
    <row r="2170">
      <c r="A2170" s="27" t="n">
        <v>42942</v>
      </c>
      <c r="B2170" t="n">
        <v/>
      </c>
      <c r="C2170" t="n">
        <v>1.363</v>
      </c>
      <c r="D2170" t="n">
        <v>2.292</v>
      </c>
      <c r="E2170" t="n">
        <v/>
      </c>
    </row>
    <row r="2171">
      <c r="A2171" s="27" t="n">
        <v>42943</v>
      </c>
      <c r="B2171" t="n">
        <v/>
      </c>
      <c r="C2171" t="n">
        <v>1.371</v>
      </c>
      <c r="D2171" t="n">
        <v>2.319</v>
      </c>
      <c r="E2171" t="n">
        <v/>
      </c>
    </row>
    <row r="2172">
      <c r="A2172" s="27" t="n">
        <v>42944</v>
      </c>
      <c r="B2172" t="n">
        <v/>
      </c>
      <c r="C2172" t="n">
        <v>1.351</v>
      </c>
      <c r="D2172" t="n">
        <v>2.291</v>
      </c>
      <c r="E2172" t="n">
        <v/>
      </c>
    </row>
    <row r="2173">
      <c r="A2173" s="27" t="n">
        <v>42946</v>
      </c>
      <c r="B2173" t="n">
        <v/>
      </c>
      <c r="C2173" t="n">
        <v>1.347</v>
      </c>
      <c r="D2173" t="n">
        <v>2.282</v>
      </c>
      <c r="E2173" t="n">
        <v/>
      </c>
    </row>
    <row r="2174">
      <c r="A2174" s="27" t="n">
        <v>42947</v>
      </c>
      <c r="B2174" t="n">
        <v/>
      </c>
      <c r="C2174" t="n">
        <v>1.355</v>
      </c>
      <c r="D2174" t="n">
        <v>2.296</v>
      </c>
      <c r="E2174" t="n">
        <v/>
      </c>
    </row>
    <row r="2175">
      <c r="A2175" s="27" t="n">
        <v>42948</v>
      </c>
      <c r="B2175" t="n">
        <v/>
      </c>
      <c r="C2175" t="n">
        <v>1.347</v>
      </c>
      <c r="D2175" t="n">
        <v>2.253</v>
      </c>
      <c r="E2175" t="n">
        <v/>
      </c>
    </row>
    <row r="2176">
      <c r="A2176" s="27" t="n">
        <v>42949</v>
      </c>
      <c r="B2176" t="n">
        <v/>
      </c>
      <c r="C2176" t="n">
        <v>1.363</v>
      </c>
      <c r="D2176" t="n">
        <v>2.271</v>
      </c>
      <c r="E2176" t="n">
        <v/>
      </c>
    </row>
    <row r="2177">
      <c r="A2177" s="27" t="n">
        <v>42950</v>
      </c>
      <c r="B2177" t="n">
        <v/>
      </c>
      <c r="C2177" t="n">
        <v>1.343</v>
      </c>
      <c r="D2177" t="n">
        <v>2.219</v>
      </c>
      <c r="E2177" t="n">
        <v/>
      </c>
    </row>
    <row r="2178">
      <c r="A2178" s="27" t="n">
        <v>42951</v>
      </c>
      <c r="B2178" t="n">
        <v/>
      </c>
      <c r="C2178" t="n">
        <v>1.355</v>
      </c>
      <c r="D2178" t="n">
        <v>2.264</v>
      </c>
      <c r="E2178" t="n">
        <v/>
      </c>
    </row>
    <row r="2179">
      <c r="A2179" s="27" t="n">
        <v>42953</v>
      </c>
      <c r="B2179" t="n">
        <v/>
      </c>
      <c r="C2179" t="n">
        <v>1.359</v>
      </c>
      <c r="D2179" t="n">
        <v>2.273</v>
      </c>
      <c r="E2179" t="n">
        <v/>
      </c>
    </row>
    <row r="2180">
      <c r="A2180" s="27" t="n">
        <v>42954</v>
      </c>
      <c r="B2180" t="n">
        <v/>
      </c>
      <c r="C2180" t="n">
        <v>1.355</v>
      </c>
      <c r="D2180" t="n">
        <v>2.257</v>
      </c>
      <c r="E2180" t="n">
        <v/>
      </c>
    </row>
    <row r="2181">
      <c r="A2181" s="27" t="n">
        <v>42955</v>
      </c>
      <c r="B2181" t="n">
        <v/>
      </c>
      <c r="C2181" t="n">
        <v>1.355</v>
      </c>
      <c r="D2181" t="n">
        <v>2.262</v>
      </c>
      <c r="E2181" t="n">
        <v/>
      </c>
    </row>
    <row r="2182">
      <c r="A2182" s="27" t="n">
        <v>42956</v>
      </c>
      <c r="B2182" t="n">
        <v/>
      </c>
      <c r="C2182" t="n">
        <v>1.343</v>
      </c>
      <c r="D2182" t="n">
        <v>2.249</v>
      </c>
      <c r="E2182" t="n">
        <v/>
      </c>
    </row>
    <row r="2183">
      <c r="A2183" s="27" t="n">
        <v>42957</v>
      </c>
      <c r="B2183" t="n">
        <v/>
      </c>
      <c r="C2183" t="n">
        <v>1.331</v>
      </c>
      <c r="D2183" t="n">
        <v>2.201</v>
      </c>
      <c r="E2183" t="n">
        <v/>
      </c>
    </row>
    <row r="2184">
      <c r="A2184" s="27" t="n">
        <v>42958</v>
      </c>
      <c r="B2184" t="n">
        <v/>
      </c>
      <c r="C2184" t="n">
        <v>1.294</v>
      </c>
      <c r="D2184" t="n">
        <v>2.191</v>
      </c>
      <c r="E2184" t="n">
        <v/>
      </c>
    </row>
    <row r="2185">
      <c r="A2185" s="27" t="n">
        <v>42960</v>
      </c>
      <c r="B2185" t="n">
        <v/>
      </c>
      <c r="C2185" t="n">
        <v>1.302</v>
      </c>
      <c r="D2185" t="n">
        <v>2.199</v>
      </c>
      <c r="E2185" t="n">
        <v/>
      </c>
    </row>
    <row r="2186">
      <c r="A2186" s="27" t="n">
        <v>42961</v>
      </c>
      <c r="B2186" t="n">
        <v/>
      </c>
      <c r="C2186" t="n">
        <v>1.326</v>
      </c>
      <c r="D2186" t="n">
        <v>2.224</v>
      </c>
      <c r="E2186" t="n">
        <v/>
      </c>
    </row>
    <row r="2187">
      <c r="A2187" s="27" t="n">
        <v>42962</v>
      </c>
      <c r="B2187" t="n">
        <v/>
      </c>
      <c r="C2187" t="n">
        <v>1.351</v>
      </c>
      <c r="D2187" t="n">
        <v>2.273</v>
      </c>
      <c r="E2187" t="n">
        <v/>
      </c>
    </row>
    <row r="2188">
      <c r="A2188" s="27" t="n">
        <v>42963</v>
      </c>
      <c r="B2188" t="n">
        <v/>
      </c>
      <c r="C2188" t="n">
        <v>1.33</v>
      </c>
      <c r="D2188" t="n">
        <v>2.225</v>
      </c>
      <c r="E2188" t="n">
        <v/>
      </c>
    </row>
    <row r="2189">
      <c r="A2189" s="27" t="n">
        <v>42964</v>
      </c>
      <c r="B2189" t="n">
        <v/>
      </c>
      <c r="C2189" t="n">
        <v>1.302</v>
      </c>
      <c r="D2189" t="n">
        <v>2.185</v>
      </c>
      <c r="E2189" t="n">
        <v/>
      </c>
    </row>
    <row r="2190">
      <c r="A2190" s="27" t="n">
        <v>42965</v>
      </c>
      <c r="B2190" t="n">
        <v/>
      </c>
      <c r="C2190" t="n">
        <v>1.314</v>
      </c>
      <c r="D2190" t="n">
        <v>2.197</v>
      </c>
      <c r="E2190" t="n">
        <v/>
      </c>
    </row>
    <row r="2191">
      <c r="A2191" s="27" t="n">
        <v>42967</v>
      </c>
      <c r="B2191" t="n">
        <v/>
      </c>
      <c r="C2191" t="n">
        <v>1.322</v>
      </c>
      <c r="D2191" t="n">
        <v>2.21</v>
      </c>
      <c r="E2191" t="n">
        <v/>
      </c>
    </row>
    <row r="2192">
      <c r="A2192" s="27" t="n">
        <v>42968</v>
      </c>
      <c r="B2192" t="n">
        <v/>
      </c>
      <c r="C2192" t="n">
        <v>1.305</v>
      </c>
      <c r="D2192" t="n">
        <v>2.183</v>
      </c>
      <c r="E2192" t="n">
        <v/>
      </c>
    </row>
    <row r="2193">
      <c r="A2193" s="27" t="n">
        <v>42969</v>
      </c>
      <c r="B2193" t="n">
        <v/>
      </c>
      <c r="C2193" t="n">
        <v>1.326</v>
      </c>
      <c r="D2193" t="n">
        <v>2.217</v>
      </c>
      <c r="E2193" t="n">
        <v/>
      </c>
    </row>
    <row r="2194">
      <c r="A2194" s="27" t="n">
        <v>42970</v>
      </c>
      <c r="B2194" t="n">
        <v/>
      </c>
      <c r="C2194" t="n">
        <v>1.309</v>
      </c>
      <c r="D2194" t="n">
        <v>2.169</v>
      </c>
      <c r="E2194" t="n">
        <v/>
      </c>
    </row>
    <row r="2195">
      <c r="A2195" s="27" t="n">
        <v>42971</v>
      </c>
      <c r="B2195" t="n">
        <v/>
      </c>
      <c r="C2195" t="n">
        <v>1.334</v>
      </c>
      <c r="D2195" t="n">
        <v>2.196</v>
      </c>
      <c r="E2195" t="n">
        <v/>
      </c>
    </row>
    <row r="2196">
      <c r="A2196" s="27" t="n">
        <v>42972</v>
      </c>
      <c r="B2196" t="n">
        <v/>
      </c>
      <c r="C2196" t="n">
        <v>1.338</v>
      </c>
      <c r="D2196" t="n">
        <v>2.169</v>
      </c>
      <c r="E2196" t="n">
        <v/>
      </c>
    </row>
    <row r="2197">
      <c r="A2197" s="27" t="n">
        <v>42974</v>
      </c>
      <c r="B2197" t="n">
        <v/>
      </c>
      <c r="C2197" t="n">
        <v>1.342</v>
      </c>
      <c r="D2197" t="n">
        <v>2.175</v>
      </c>
      <c r="E2197" t="n">
        <v/>
      </c>
    </row>
    <row r="2198">
      <c r="A2198" s="27" t="n">
        <v>42975</v>
      </c>
      <c r="B2198" t="n">
        <v/>
      </c>
      <c r="C2198" t="n">
        <v>1.329</v>
      </c>
      <c r="D2198" t="n">
        <v>2.159</v>
      </c>
      <c r="E2198" t="n">
        <v/>
      </c>
    </row>
    <row r="2199">
      <c r="A2199" s="27" t="n">
        <v>42976</v>
      </c>
      <c r="B2199" t="n">
        <v/>
      </c>
      <c r="C2199" t="n">
        <v>1.321</v>
      </c>
      <c r="D2199" t="n">
        <v>2.129</v>
      </c>
      <c r="E2199" t="n">
        <v/>
      </c>
    </row>
    <row r="2200">
      <c r="A2200" s="27" t="n">
        <v>42977</v>
      </c>
      <c r="B2200" t="n">
        <v/>
      </c>
      <c r="C2200" t="n">
        <v>1.329</v>
      </c>
      <c r="D2200" t="n">
        <v>2.136</v>
      </c>
      <c r="E2200" t="n">
        <v/>
      </c>
    </row>
    <row r="2201">
      <c r="A2201" s="27" t="n">
        <v>42978</v>
      </c>
      <c r="B2201" t="n">
        <v/>
      </c>
      <c r="C2201" t="n">
        <v>1.329</v>
      </c>
      <c r="D2201" t="n">
        <v>2.12</v>
      </c>
      <c r="E2201" t="n">
        <v/>
      </c>
    </row>
    <row r="2202">
      <c r="A2202" s="27" t="n">
        <v>42979</v>
      </c>
      <c r="B2202" t="n">
        <v/>
      </c>
      <c r="C2202" t="n">
        <v>1.346</v>
      </c>
      <c r="D2202" t="n">
        <v>2.166</v>
      </c>
      <c r="E2202" t="n">
        <v/>
      </c>
    </row>
    <row r="2203">
      <c r="A2203" s="27" t="n">
        <v>42981</v>
      </c>
      <c r="B2203" t="n">
        <v/>
      </c>
      <c r="C2203" t="n">
        <v>1.346</v>
      </c>
      <c r="D2203" t="n">
        <v>2.166</v>
      </c>
      <c r="E2203" t="n">
        <v/>
      </c>
    </row>
    <row r="2204">
      <c r="A2204" s="27" t="n">
        <v>42983</v>
      </c>
      <c r="B2204" t="n">
        <v/>
      </c>
      <c r="C2204" t="n">
        <v>1.294</v>
      </c>
      <c r="D2204" t="n">
        <v>2.063</v>
      </c>
      <c r="E2204" t="n">
        <v/>
      </c>
    </row>
    <row r="2205">
      <c r="A2205" s="27" t="n">
        <v>42984</v>
      </c>
      <c r="B2205" t="n">
        <v/>
      </c>
      <c r="C2205" t="n">
        <v>1.306</v>
      </c>
      <c r="D2205" t="n">
        <v>2.106</v>
      </c>
      <c r="E2205" t="n">
        <v/>
      </c>
    </row>
    <row r="2206">
      <c r="A2206" s="27" t="n">
        <v>42985</v>
      </c>
      <c r="B2206" t="n">
        <v/>
      </c>
      <c r="C2206" t="n">
        <v>1.266</v>
      </c>
      <c r="D2206" t="n">
        <v>2.042</v>
      </c>
      <c r="E2206" t="n">
        <v/>
      </c>
    </row>
    <row r="2207">
      <c r="A2207" s="27" t="n">
        <v>42986</v>
      </c>
      <c r="B2207" t="n">
        <v/>
      </c>
      <c r="C2207" t="n">
        <v>1.266</v>
      </c>
      <c r="D2207" t="n">
        <v>2.054</v>
      </c>
      <c r="E2207" t="n">
        <v/>
      </c>
    </row>
    <row r="2208">
      <c r="A2208" s="27" t="n">
        <v>42988</v>
      </c>
      <c r="B2208" t="n">
        <v/>
      </c>
      <c r="C2208" t="n">
        <v>1.286</v>
      </c>
      <c r="D2208" t="n">
        <v>2.089</v>
      </c>
      <c r="E2208" t="n">
        <v/>
      </c>
    </row>
    <row r="2209">
      <c r="A2209" s="27" t="n">
        <v>42989</v>
      </c>
      <c r="B2209" t="n">
        <v/>
      </c>
      <c r="C2209" t="n">
        <v>1.323</v>
      </c>
      <c r="D2209" t="n">
        <v>2.134</v>
      </c>
      <c r="E2209" t="n">
        <v/>
      </c>
    </row>
    <row r="2210">
      <c r="A2210" s="27" t="n">
        <v>42990</v>
      </c>
      <c r="B2210" t="n">
        <v/>
      </c>
      <c r="C2210" t="n">
        <v>1.339</v>
      </c>
      <c r="D2210" t="n">
        <v>2.167</v>
      </c>
      <c r="E2210" t="n">
        <v/>
      </c>
    </row>
    <row r="2211">
      <c r="A2211" s="27" t="n">
        <v>42991</v>
      </c>
      <c r="B2211" t="n">
        <v/>
      </c>
      <c r="C2211" t="n">
        <v>1.351</v>
      </c>
      <c r="D2211" t="n">
        <v>2.193</v>
      </c>
      <c r="E2211" t="n">
        <v/>
      </c>
    </row>
    <row r="2212">
      <c r="A2212" s="27" t="n">
        <v>42992</v>
      </c>
      <c r="B2212" t="n">
        <v/>
      </c>
      <c r="C2212" t="n">
        <v>1.368</v>
      </c>
      <c r="D2212" t="n">
        <v>2.187</v>
      </c>
      <c r="E2212" t="n">
        <v/>
      </c>
    </row>
    <row r="2213">
      <c r="A2213" s="27" t="n">
        <v>42993</v>
      </c>
      <c r="B2213" t="n">
        <v/>
      </c>
      <c r="C2213" t="n">
        <v>1.384</v>
      </c>
      <c r="D2213" t="n">
        <v>2.202</v>
      </c>
      <c r="E2213" t="n">
        <v/>
      </c>
    </row>
    <row r="2214">
      <c r="A2214" s="27" t="n">
        <v>42995</v>
      </c>
      <c r="B2214" t="n">
        <v/>
      </c>
      <c r="C2214" t="n">
        <v>1.384</v>
      </c>
      <c r="D2214" t="n">
        <v>2.202</v>
      </c>
      <c r="E2214" t="n">
        <v/>
      </c>
    </row>
    <row r="2215">
      <c r="A2215" s="27" t="n">
        <v>42996</v>
      </c>
      <c r="B2215" t="n">
        <v/>
      </c>
      <c r="C2215" t="n">
        <v>1.397</v>
      </c>
      <c r="D2215" t="n">
        <v>2.234</v>
      </c>
      <c r="E2215" t="n">
        <v/>
      </c>
    </row>
    <row r="2216">
      <c r="A2216" s="27" t="n">
        <v>42997</v>
      </c>
      <c r="B2216" t="n">
        <v/>
      </c>
      <c r="C2216" t="n">
        <v>1.405</v>
      </c>
      <c r="D2216" t="n">
        <v>2.246</v>
      </c>
      <c r="E2216" t="n">
        <v/>
      </c>
    </row>
    <row r="2217">
      <c r="A2217" s="27" t="n">
        <v>42998</v>
      </c>
      <c r="B2217" t="n">
        <v/>
      </c>
      <c r="C2217" t="n">
        <v>1.442</v>
      </c>
      <c r="D2217" t="n">
        <v>2.273</v>
      </c>
      <c r="E2217" t="n">
        <v/>
      </c>
    </row>
    <row r="2218">
      <c r="A2218" s="27" t="n">
        <v>42999</v>
      </c>
      <c r="B2218" t="n">
        <v/>
      </c>
      <c r="C2218" t="n">
        <v>1.443</v>
      </c>
      <c r="D2218" t="n">
        <v>2.278</v>
      </c>
      <c r="E2218" t="n">
        <v/>
      </c>
    </row>
    <row r="2219">
      <c r="A2219" s="27" t="n">
        <v>43000</v>
      </c>
      <c r="B2219" t="n">
        <v/>
      </c>
      <c r="C2219" t="n">
        <v>1.435</v>
      </c>
      <c r="D2219" t="n">
        <v>2.253</v>
      </c>
      <c r="E2219" t="n">
        <v/>
      </c>
    </row>
    <row r="2220">
      <c r="A2220" s="27" t="n">
        <v>43002</v>
      </c>
      <c r="B2220" t="n">
        <v/>
      </c>
      <c r="C2220" t="n">
        <v>1.447</v>
      </c>
      <c r="D2220" t="n">
        <v>2.262</v>
      </c>
      <c r="E2220" t="n">
        <v/>
      </c>
    </row>
    <row r="2221">
      <c r="A2221" s="27" t="n">
        <v>43003</v>
      </c>
      <c r="B2221" t="n">
        <v/>
      </c>
      <c r="C2221" t="n">
        <v>1.427</v>
      </c>
      <c r="D2221" t="n">
        <v>2.222</v>
      </c>
      <c r="E2221" t="n">
        <v/>
      </c>
    </row>
    <row r="2222">
      <c r="A2222" s="27" t="n">
        <v>43004</v>
      </c>
      <c r="B2222" t="n">
        <v/>
      </c>
      <c r="C2222" t="n">
        <v>1.44</v>
      </c>
      <c r="D2222" t="n">
        <v>2.236</v>
      </c>
      <c r="E2222" t="n">
        <v/>
      </c>
    </row>
    <row r="2223">
      <c r="A2223" s="27" t="n">
        <v>43005</v>
      </c>
      <c r="B2223" t="n">
        <v/>
      </c>
      <c r="C2223" t="n">
        <v>1.479</v>
      </c>
      <c r="D2223" t="n">
        <v>2.31</v>
      </c>
      <c r="E2223" t="n">
        <v/>
      </c>
    </row>
    <row r="2224">
      <c r="A2224" s="27" t="n">
        <v>43006</v>
      </c>
      <c r="B2224" t="n">
        <v/>
      </c>
      <c r="C2224" t="n">
        <v>1.455</v>
      </c>
      <c r="D2224" t="n">
        <v>2.308</v>
      </c>
      <c r="E2224" t="n">
        <v/>
      </c>
    </row>
    <row r="2225">
      <c r="A2225" s="27" t="n">
        <v>43007</v>
      </c>
      <c r="B2225" t="n">
        <v/>
      </c>
      <c r="C2225" t="n">
        <v>1.491</v>
      </c>
      <c r="D2225" t="n">
        <v>2.339</v>
      </c>
      <c r="E2225" t="n">
        <v/>
      </c>
    </row>
    <row r="2226">
      <c r="A2226" s="27" t="n">
        <v>43009</v>
      </c>
      <c r="B2226" t="n">
        <v/>
      </c>
      <c r="C2226" t="n">
        <v>1.491</v>
      </c>
      <c r="D2226" t="n">
        <v>2.342</v>
      </c>
      <c r="E2226" t="n">
        <v/>
      </c>
    </row>
    <row r="2227">
      <c r="A2227" s="27" t="n">
        <v>43010</v>
      </c>
      <c r="B2227" t="n">
        <v/>
      </c>
      <c r="C2227" t="n">
        <v>1.487</v>
      </c>
      <c r="D2227" t="n">
        <v>2.341</v>
      </c>
      <c r="E2227" t="n">
        <v/>
      </c>
    </row>
    <row r="2228">
      <c r="A2228" s="27" t="n">
        <v>43011</v>
      </c>
      <c r="B2228" t="n">
        <v/>
      </c>
      <c r="C2228" t="n">
        <v>1.475</v>
      </c>
      <c r="D2228" t="n">
        <v>2.325</v>
      </c>
      <c r="E2228" t="n">
        <v/>
      </c>
    </row>
    <row r="2229">
      <c r="A2229" s="27" t="n">
        <v>43012</v>
      </c>
      <c r="B2229" t="n">
        <v/>
      </c>
      <c r="C2229" t="n">
        <v>1.475</v>
      </c>
      <c r="D2229" t="n">
        <v>2.323</v>
      </c>
      <c r="E2229" t="n">
        <v/>
      </c>
    </row>
    <row r="2230">
      <c r="A2230" s="27" t="n">
        <v>43013</v>
      </c>
      <c r="B2230" t="n">
        <v/>
      </c>
      <c r="C2230" t="n">
        <v>1.491</v>
      </c>
      <c r="D2230" t="n">
        <v>2.348</v>
      </c>
      <c r="E2230" t="n">
        <v/>
      </c>
    </row>
    <row r="2231">
      <c r="A2231" s="27" t="n">
        <v>43014</v>
      </c>
      <c r="B2231" t="n">
        <v/>
      </c>
      <c r="C2231" t="n">
        <v>1.508</v>
      </c>
      <c r="D2231" t="n">
        <v>2.361</v>
      </c>
      <c r="E2231" t="n">
        <v/>
      </c>
    </row>
    <row r="2232">
      <c r="A2232" s="27" t="n">
        <v>43017</v>
      </c>
      <c r="B2232" t="n">
        <v/>
      </c>
      <c r="C2232" t="n">
        <v>1.512</v>
      </c>
      <c r="D2232" t="n">
        <v>2.361</v>
      </c>
      <c r="E2232" t="n">
        <v/>
      </c>
    </row>
    <row r="2233">
      <c r="A2233" s="27" t="n">
        <v>43018</v>
      </c>
      <c r="B2233" t="n">
        <v/>
      </c>
      <c r="C2233" t="n">
        <v>1.512</v>
      </c>
      <c r="D2233" t="n">
        <v>2.355</v>
      </c>
      <c r="E2233" t="n">
        <v/>
      </c>
    </row>
    <row r="2234">
      <c r="A2234" s="27" t="n">
        <v>43019</v>
      </c>
      <c r="B2234" t="n">
        <v/>
      </c>
      <c r="C2234" t="n">
        <v>1.525</v>
      </c>
      <c r="D2234" t="n">
        <v>2.353</v>
      </c>
      <c r="E2234" t="n">
        <v/>
      </c>
    </row>
    <row r="2235">
      <c r="A2235" s="27" t="n">
        <v>43020</v>
      </c>
      <c r="B2235" t="n">
        <v/>
      </c>
      <c r="C2235" t="n">
        <v>1.517</v>
      </c>
      <c r="D2235" t="n">
        <v>2.321</v>
      </c>
      <c r="E2235" t="n">
        <v/>
      </c>
    </row>
    <row r="2236">
      <c r="A2236" s="27" t="n">
        <v>43021</v>
      </c>
      <c r="B2236" t="n">
        <v/>
      </c>
      <c r="C2236" t="n">
        <v>1.497</v>
      </c>
      <c r="D2236" t="n">
        <v>2.275</v>
      </c>
      <c r="E2236" t="n">
        <v/>
      </c>
    </row>
    <row r="2237">
      <c r="A2237" s="27" t="n">
        <v>43023</v>
      </c>
      <c r="B2237" t="n">
        <v/>
      </c>
      <c r="C2237" t="n">
        <v>1.509</v>
      </c>
      <c r="D2237" t="n">
        <v>2.289</v>
      </c>
      <c r="E2237" t="n">
        <v/>
      </c>
    </row>
    <row r="2238">
      <c r="A2238" s="27" t="n">
        <v>43024</v>
      </c>
      <c r="B2238" t="n">
        <v/>
      </c>
      <c r="C2238" t="n">
        <v>1.542</v>
      </c>
      <c r="D2238" t="n">
        <v>2.305</v>
      </c>
      <c r="E2238" t="n">
        <v/>
      </c>
    </row>
    <row r="2239">
      <c r="A2239" s="27" t="n">
        <v>43025</v>
      </c>
      <c r="B2239" t="n">
        <v/>
      </c>
      <c r="C2239" t="n">
        <v>1.55</v>
      </c>
      <c r="D2239" t="n">
        <v>2.302</v>
      </c>
      <c r="E2239" t="n">
        <v/>
      </c>
    </row>
    <row r="2240">
      <c r="A2240" s="27" t="n">
        <v>43026</v>
      </c>
      <c r="B2240" t="n">
        <v/>
      </c>
      <c r="C2240" t="n">
        <v>1.567</v>
      </c>
      <c r="D2240" t="n">
        <v>2.345</v>
      </c>
      <c r="E2240" t="n">
        <v/>
      </c>
    </row>
    <row r="2241">
      <c r="A2241" s="27" t="n">
        <v>43027</v>
      </c>
      <c r="B2241" t="n">
        <v/>
      </c>
      <c r="C2241" t="n">
        <v>1.539</v>
      </c>
      <c r="D2241" t="n">
        <v>2.318</v>
      </c>
      <c r="E2241" t="n">
        <v/>
      </c>
    </row>
    <row r="2242">
      <c r="A2242" s="27" t="n">
        <v>43028</v>
      </c>
      <c r="B2242" t="n">
        <v/>
      </c>
      <c r="C2242" t="n">
        <v>1.576</v>
      </c>
      <c r="D2242" t="n">
        <v>2.383</v>
      </c>
      <c r="E2242" t="n">
        <v/>
      </c>
    </row>
    <row r="2243">
      <c r="A2243" s="27" t="n">
        <v>43030</v>
      </c>
      <c r="B2243" t="n">
        <v/>
      </c>
      <c r="C2243" t="n">
        <v>1.584</v>
      </c>
      <c r="D2243" t="n">
        <v>2.394</v>
      </c>
      <c r="E2243" t="n">
        <v/>
      </c>
    </row>
    <row r="2244">
      <c r="A2244" s="27" t="n">
        <v>43031</v>
      </c>
      <c r="B2244" t="n">
        <v/>
      </c>
      <c r="C2244" t="n">
        <v>1.568</v>
      </c>
      <c r="D2244" t="n">
        <v>2.37</v>
      </c>
      <c r="E2244" t="n">
        <v/>
      </c>
    </row>
    <row r="2245">
      <c r="A2245" s="27" t="n">
        <v>43032</v>
      </c>
      <c r="B2245" t="n">
        <v/>
      </c>
      <c r="C2245" t="n">
        <v>1.589</v>
      </c>
      <c r="D2245" t="n">
        <v>2.421</v>
      </c>
      <c r="E2245" t="n">
        <v/>
      </c>
    </row>
    <row r="2246">
      <c r="A2246" s="27" t="n">
        <v>43033</v>
      </c>
      <c r="B2246" t="n">
        <v/>
      </c>
      <c r="C2246" t="n">
        <v>1.599</v>
      </c>
      <c r="D2246" t="n">
        <v>2.435</v>
      </c>
      <c r="E2246" t="n">
        <v/>
      </c>
    </row>
    <row r="2247">
      <c r="A2247" s="27" t="n">
        <v>43034</v>
      </c>
      <c r="B2247" t="n">
        <v/>
      </c>
      <c r="C2247" t="n">
        <v>1.619</v>
      </c>
      <c r="D2247" t="n">
        <v>2.463</v>
      </c>
      <c r="E2247" t="n">
        <v/>
      </c>
    </row>
    <row r="2248">
      <c r="A2248" s="27" t="n">
        <v>43035</v>
      </c>
      <c r="B2248" t="n">
        <v/>
      </c>
      <c r="C2248" t="n">
        <v>1.595</v>
      </c>
      <c r="D2248" t="n">
        <v>2.416</v>
      </c>
      <c r="E2248" t="n">
        <v/>
      </c>
    </row>
    <row r="2249">
      <c r="A2249" s="27" t="n">
        <v>43037</v>
      </c>
      <c r="B2249" t="n">
        <v/>
      </c>
      <c r="C2249" t="n">
        <v>1.592</v>
      </c>
      <c r="D2249" t="n">
        <v>2.405</v>
      </c>
      <c r="E2249" t="n">
        <v/>
      </c>
    </row>
    <row r="2250">
      <c r="A2250" s="27" t="n">
        <v>43038</v>
      </c>
      <c r="B2250" t="n">
        <v/>
      </c>
      <c r="C2250" t="n">
        <v>1.576</v>
      </c>
      <c r="D2250" t="n">
        <v>2.37</v>
      </c>
      <c r="E2250" t="n">
        <v/>
      </c>
    </row>
    <row r="2251">
      <c r="A2251" s="27" t="n">
        <v>43039</v>
      </c>
      <c r="B2251" t="n">
        <v/>
      </c>
      <c r="C2251" t="n">
        <v>1.6</v>
      </c>
      <c r="D2251" t="n">
        <v>2.377</v>
      </c>
      <c r="E2251" t="n">
        <v/>
      </c>
    </row>
    <row r="2252">
      <c r="A2252" s="27" t="n">
        <v>43040</v>
      </c>
      <c r="B2252" t="n">
        <v/>
      </c>
      <c r="C2252" t="n">
        <v>1.616</v>
      </c>
      <c r="D2252" t="n">
        <v>2.372</v>
      </c>
      <c r="E2252" t="n">
        <v/>
      </c>
    </row>
    <row r="2253">
      <c r="A2253" s="27" t="n">
        <v>43041</v>
      </c>
      <c r="B2253" t="n">
        <v/>
      </c>
      <c r="C2253" t="n">
        <v>1.612</v>
      </c>
      <c r="D2253" t="n">
        <v>2.349</v>
      </c>
      <c r="E2253" t="n">
        <v/>
      </c>
    </row>
    <row r="2254">
      <c r="A2254" s="27" t="n">
        <v>43042</v>
      </c>
      <c r="B2254" t="n">
        <v/>
      </c>
      <c r="C2254" t="n">
        <v>1.617</v>
      </c>
      <c r="D2254" t="n">
        <v>2.333</v>
      </c>
      <c r="E2254" t="n">
        <v/>
      </c>
    </row>
    <row r="2255">
      <c r="A2255" s="27" t="n">
        <v>43044</v>
      </c>
      <c r="B2255" t="n">
        <v/>
      </c>
      <c r="C2255" t="n">
        <v>1.625</v>
      </c>
      <c r="D2255" t="n">
        <v>2.343</v>
      </c>
      <c r="E2255" t="n">
        <v/>
      </c>
    </row>
    <row r="2256">
      <c r="A2256" s="27" t="n">
        <v>43045</v>
      </c>
      <c r="B2256" t="n">
        <v/>
      </c>
      <c r="C2256" t="n">
        <v>1.621</v>
      </c>
      <c r="D2256" t="n">
        <v>2.318</v>
      </c>
      <c r="E2256" t="n">
        <v/>
      </c>
    </row>
    <row r="2257">
      <c r="A2257" s="27" t="n">
        <v>43046</v>
      </c>
      <c r="B2257" t="n">
        <v/>
      </c>
      <c r="C2257" t="n">
        <v>1.633</v>
      </c>
      <c r="D2257" t="n">
        <v>2.316</v>
      </c>
      <c r="E2257" t="n">
        <v/>
      </c>
    </row>
    <row r="2258">
      <c r="A2258" s="27" t="n">
        <v>43047</v>
      </c>
      <c r="B2258" t="n">
        <v/>
      </c>
      <c r="C2258" t="n">
        <v>1.649</v>
      </c>
      <c r="D2258" t="n">
        <v>2.334</v>
      </c>
      <c r="E2258" t="n">
        <v/>
      </c>
    </row>
    <row r="2259">
      <c r="A2259" s="27" t="n">
        <v>43048</v>
      </c>
      <c r="B2259" t="n">
        <v/>
      </c>
      <c r="C2259" t="n">
        <v>1.637</v>
      </c>
      <c r="D2259" t="n">
        <v>2.34</v>
      </c>
      <c r="E2259" t="n">
        <v/>
      </c>
    </row>
    <row r="2260">
      <c r="A2260" s="27" t="n">
        <v>43049</v>
      </c>
      <c r="B2260" t="n">
        <v/>
      </c>
      <c r="C2260" t="n">
        <v>1.658</v>
      </c>
      <c r="D2260" t="n">
        <v>2.402</v>
      </c>
      <c r="E2260" t="n">
        <v/>
      </c>
    </row>
    <row r="2261">
      <c r="A2261" s="27" t="n">
        <v>43051</v>
      </c>
      <c r="B2261" t="n">
        <v/>
      </c>
      <c r="C2261" t="n">
        <v>1.662</v>
      </c>
      <c r="D2261" t="n">
        <v>2.398</v>
      </c>
      <c r="E2261" t="n">
        <v/>
      </c>
    </row>
    <row r="2262">
      <c r="A2262" s="27" t="n">
        <v>43052</v>
      </c>
      <c r="B2262" t="n">
        <v/>
      </c>
      <c r="C2262" t="n">
        <v>1.687</v>
      </c>
      <c r="D2262" t="n">
        <v>2.407</v>
      </c>
      <c r="E2262" t="n">
        <v/>
      </c>
    </row>
    <row r="2263">
      <c r="A2263" s="27" t="n">
        <v>43053</v>
      </c>
      <c r="B2263" t="n">
        <v/>
      </c>
      <c r="C2263" t="n">
        <v>1.691</v>
      </c>
      <c r="D2263" t="n">
        <v>2.375</v>
      </c>
      <c r="E2263" t="n">
        <v/>
      </c>
    </row>
    <row r="2264">
      <c r="A2264" s="27" t="n">
        <v>43054</v>
      </c>
      <c r="B2264" t="n">
        <v/>
      </c>
      <c r="C2264" t="n">
        <v>1.688</v>
      </c>
      <c r="D2264" t="n">
        <v>2.326</v>
      </c>
      <c r="E2264" t="n">
        <v/>
      </c>
    </row>
    <row r="2265">
      <c r="A2265" s="27" t="n">
        <v>43055</v>
      </c>
      <c r="B2265" t="n">
        <v/>
      </c>
      <c r="C2265" t="n">
        <v>1.712</v>
      </c>
      <c r="D2265" t="n">
        <v>2.375</v>
      </c>
      <c r="E2265" t="n">
        <v/>
      </c>
    </row>
    <row r="2266">
      <c r="A2266" s="27" t="n">
        <v>43056</v>
      </c>
      <c r="B2266" t="n">
        <v/>
      </c>
      <c r="C2266" t="n">
        <v>1.726</v>
      </c>
      <c r="D2266" t="n">
        <v>2.345</v>
      </c>
      <c r="E2266" t="n">
        <v/>
      </c>
    </row>
    <row r="2267">
      <c r="A2267" s="27" t="n">
        <v>43058</v>
      </c>
      <c r="B2267" t="n">
        <v/>
      </c>
      <c r="C2267" t="n">
        <v>1.721</v>
      </c>
      <c r="D2267" t="n">
        <v>2.338</v>
      </c>
      <c r="E2267" t="n">
        <v/>
      </c>
    </row>
    <row r="2268">
      <c r="A2268" s="27" t="n">
        <v>43059</v>
      </c>
      <c r="B2268" t="n">
        <v/>
      </c>
      <c r="C2268" t="n">
        <v>1.755</v>
      </c>
      <c r="D2268" t="n">
        <v>2.368</v>
      </c>
      <c r="E2268" t="n">
        <v/>
      </c>
    </row>
    <row r="2269">
      <c r="A2269" s="27" t="n">
        <v>43060</v>
      </c>
      <c r="B2269" t="n">
        <v/>
      </c>
      <c r="C2269" t="n">
        <v>1.772</v>
      </c>
      <c r="D2269" t="n">
        <v>2.358</v>
      </c>
      <c r="E2269" t="n">
        <v/>
      </c>
    </row>
    <row r="2270">
      <c r="A2270" s="27" t="n">
        <v>43061</v>
      </c>
      <c r="B2270" t="n">
        <v/>
      </c>
      <c r="C2270" t="n">
        <v>1.727</v>
      </c>
      <c r="D2270" t="n">
        <v>2.321</v>
      </c>
      <c r="E2270" t="n">
        <v/>
      </c>
    </row>
    <row r="2271">
      <c r="A2271" s="27" t="n">
        <v>43062</v>
      </c>
      <c r="B2271" t="n">
        <v/>
      </c>
      <c r="C2271" t="n">
        <v>1.735</v>
      </c>
      <c r="D2271" t="n">
        <v>2.326</v>
      </c>
      <c r="E2271" t="n">
        <v/>
      </c>
    </row>
    <row r="2272">
      <c r="A2272" s="27" t="n">
        <v>43063</v>
      </c>
      <c r="B2272" t="n">
        <v/>
      </c>
      <c r="C2272" t="n">
        <v>1.748</v>
      </c>
      <c r="D2272" t="n">
        <v>2.34</v>
      </c>
      <c r="E2272" t="n">
        <v/>
      </c>
    </row>
    <row r="2273">
      <c r="A2273" s="27" t="n">
        <v>43065</v>
      </c>
      <c r="B2273" t="n">
        <v/>
      </c>
      <c r="C2273" t="n">
        <v>1.753</v>
      </c>
      <c r="D2273" t="n">
        <v>2.342</v>
      </c>
      <c r="E2273" t="n">
        <v/>
      </c>
    </row>
    <row r="2274">
      <c r="A2274" s="27" t="n">
        <v>43066</v>
      </c>
      <c r="B2274" t="n">
        <v/>
      </c>
      <c r="C2274" t="n">
        <v>1.745</v>
      </c>
      <c r="D2274" t="n">
        <v>2.331</v>
      </c>
      <c r="E2274" t="n">
        <v/>
      </c>
    </row>
    <row r="2275">
      <c r="A2275" s="27" t="n">
        <v>43067</v>
      </c>
      <c r="B2275" t="n">
        <v/>
      </c>
      <c r="C2275" t="n">
        <v>1.75</v>
      </c>
      <c r="D2275" t="n">
        <v>2.326</v>
      </c>
      <c r="E2275" t="n">
        <v/>
      </c>
    </row>
    <row r="2276">
      <c r="A2276" s="27" t="n">
        <v>43068</v>
      </c>
      <c r="B2276" t="n">
        <v/>
      </c>
      <c r="C2276" t="n">
        <v>1.766</v>
      </c>
      <c r="D2276" t="n">
        <v>2.388</v>
      </c>
      <c r="E2276" t="n">
        <v/>
      </c>
    </row>
    <row r="2277">
      <c r="A2277" s="27" t="n">
        <v>43069</v>
      </c>
      <c r="B2277" t="n">
        <v/>
      </c>
      <c r="C2277" t="n">
        <v>1.79</v>
      </c>
      <c r="D2277" t="n">
        <v>2.415</v>
      </c>
      <c r="E2277" t="n">
        <v/>
      </c>
    </row>
    <row r="2278">
      <c r="A2278" s="27" t="n">
        <v>43070</v>
      </c>
      <c r="B2278" t="n">
        <v/>
      </c>
      <c r="C2278" t="n">
        <v>1.778</v>
      </c>
      <c r="D2278" t="n">
        <v>2.363</v>
      </c>
      <c r="E2278" t="n">
        <v/>
      </c>
    </row>
    <row r="2279">
      <c r="A2279" s="27" t="n">
        <v>43072</v>
      </c>
      <c r="B2279" t="n">
        <v/>
      </c>
      <c r="C2279" t="n">
        <v>1.81</v>
      </c>
      <c r="D2279" t="n">
        <v>2.421</v>
      </c>
      <c r="E2279" t="n">
        <v/>
      </c>
    </row>
    <row r="2280">
      <c r="A2280" s="27" t="n">
        <v>43073</v>
      </c>
      <c r="B2280" t="n">
        <v/>
      </c>
      <c r="C2280" t="n">
        <v>1.81</v>
      </c>
      <c r="D2280" t="n">
        <v>2.372</v>
      </c>
      <c r="E2280" t="n">
        <v/>
      </c>
    </row>
    <row r="2281">
      <c r="A2281" s="27" t="n">
        <v>43074</v>
      </c>
      <c r="B2281" t="n">
        <v/>
      </c>
      <c r="C2281" t="n">
        <v>1.822</v>
      </c>
      <c r="D2281" t="n">
        <v>2.353</v>
      </c>
      <c r="E2281" t="n">
        <v/>
      </c>
    </row>
    <row r="2282">
      <c r="A2282" s="27" t="n">
        <v>43075</v>
      </c>
      <c r="B2282" t="n">
        <v/>
      </c>
      <c r="C2282" t="n">
        <v>1.81</v>
      </c>
      <c r="D2282" t="n">
        <v>2.34</v>
      </c>
      <c r="E2282" t="n">
        <v/>
      </c>
    </row>
    <row r="2283">
      <c r="A2283" s="27" t="n">
        <v>43076</v>
      </c>
      <c r="B2283" t="n">
        <v/>
      </c>
      <c r="C2283" t="n">
        <v>1.802</v>
      </c>
      <c r="D2283" t="n">
        <v>2.362</v>
      </c>
      <c r="E2283" t="n">
        <v/>
      </c>
    </row>
    <row r="2284">
      <c r="A2284" s="27" t="n">
        <v>43077</v>
      </c>
      <c r="B2284" t="n">
        <v/>
      </c>
      <c r="C2284" t="n">
        <v>1.798</v>
      </c>
      <c r="D2284" t="n">
        <v>2.378</v>
      </c>
      <c r="E2284" t="n">
        <v/>
      </c>
    </row>
    <row r="2285">
      <c r="A2285" s="27" t="n">
        <v>43079</v>
      </c>
      <c r="B2285" t="n">
        <v/>
      </c>
      <c r="C2285" t="n">
        <v>1.803</v>
      </c>
      <c r="D2285" t="n">
        <v>2.385</v>
      </c>
      <c r="E2285" t="n">
        <v/>
      </c>
    </row>
    <row r="2286">
      <c r="A2286" s="27" t="n">
        <v>43080</v>
      </c>
      <c r="B2286" t="n">
        <v/>
      </c>
      <c r="C2286" t="n">
        <v>1.823</v>
      </c>
      <c r="D2286" t="n">
        <v>2.39</v>
      </c>
      <c r="E2286" t="n">
        <v/>
      </c>
    </row>
    <row r="2287">
      <c r="A2287" s="27" t="n">
        <v>43081</v>
      </c>
      <c r="B2287" t="n">
        <v/>
      </c>
      <c r="C2287" t="n">
        <v>1.831</v>
      </c>
      <c r="D2287" t="n">
        <v>2.403</v>
      </c>
      <c r="E2287" t="n">
        <v/>
      </c>
    </row>
    <row r="2288">
      <c r="A2288" s="27" t="n">
        <v>43082</v>
      </c>
      <c r="B2288" t="n">
        <v/>
      </c>
      <c r="C2288" t="n">
        <v>1.778</v>
      </c>
      <c r="D2288" t="n">
        <v>2.348</v>
      </c>
      <c r="E2288" t="n">
        <v/>
      </c>
    </row>
    <row r="2289">
      <c r="A2289" s="27" t="n">
        <v>43083</v>
      </c>
      <c r="B2289" t="n">
        <v/>
      </c>
      <c r="C2289" t="n">
        <v>1.815</v>
      </c>
      <c r="D2289" t="n">
        <v>2.349</v>
      </c>
      <c r="E2289" t="n">
        <v/>
      </c>
    </row>
    <row r="2290">
      <c r="A2290" s="27" t="n">
        <v>43084</v>
      </c>
      <c r="B2290" t="n">
        <v/>
      </c>
      <c r="C2290" t="n">
        <v>1.84</v>
      </c>
      <c r="D2290" t="n">
        <v>2.351</v>
      </c>
      <c r="E2290" t="n">
        <v/>
      </c>
    </row>
    <row r="2291">
      <c r="A2291" s="27" t="n">
        <v>43085</v>
      </c>
      <c r="B2291" t="n">
        <v/>
      </c>
      <c r="C2291" t="n">
        <v>1.84</v>
      </c>
      <c r="D2291" t="n">
        <v>2.351</v>
      </c>
      <c r="E2291" t="n">
        <v/>
      </c>
    </row>
    <row r="2292">
      <c r="A2292" s="27" t="n">
        <v>43086</v>
      </c>
      <c r="B2292" t="n">
        <v/>
      </c>
      <c r="C2292" t="n">
        <v>1.848</v>
      </c>
      <c r="D2292" t="n">
        <v>2.369</v>
      </c>
      <c r="E2292" t="n">
        <v/>
      </c>
    </row>
    <row r="2293">
      <c r="A2293" s="27" t="n">
        <v>43087</v>
      </c>
      <c r="B2293" t="n">
        <v/>
      </c>
      <c r="C2293" t="n">
        <v>1.832</v>
      </c>
      <c r="D2293" t="n">
        <v>2.394</v>
      </c>
      <c r="E2293" t="n">
        <v/>
      </c>
    </row>
    <row r="2294">
      <c r="A2294" s="27" t="n">
        <v>43088</v>
      </c>
      <c r="B2294" t="n">
        <v/>
      </c>
      <c r="C2294" t="n">
        <v>1.853</v>
      </c>
      <c r="D2294" t="n">
        <v>2.459</v>
      </c>
      <c r="E2294" t="n">
        <v/>
      </c>
    </row>
    <row r="2295">
      <c r="A2295" s="27" t="n">
        <v>43089</v>
      </c>
      <c r="B2295" t="n">
        <v/>
      </c>
      <c r="C2295" t="n">
        <v>1.857</v>
      </c>
      <c r="D2295" t="n">
        <v>2.497</v>
      </c>
      <c r="E2295" t="n">
        <v/>
      </c>
    </row>
    <row r="2296">
      <c r="A2296" s="27" t="n">
        <v>43090</v>
      </c>
      <c r="B2296" t="n">
        <v/>
      </c>
      <c r="C2296" t="n">
        <v>1.877</v>
      </c>
      <c r="D2296" t="n">
        <v>2.484</v>
      </c>
      <c r="E2296" t="n">
        <v/>
      </c>
    </row>
    <row r="2297">
      <c r="A2297" s="27" t="n">
        <v>43091</v>
      </c>
      <c r="B2297" t="n">
        <v/>
      </c>
      <c r="C2297" t="n">
        <v>1.895</v>
      </c>
      <c r="D2297" t="n">
        <v>2.485</v>
      </c>
      <c r="E2297" t="n">
        <v/>
      </c>
    </row>
    <row r="2298">
      <c r="A2298" s="27" t="n">
        <v>43094</v>
      </c>
      <c r="B2298" t="n">
        <v/>
      </c>
      <c r="C2298" t="n">
        <v>1.899</v>
      </c>
      <c r="D2298" t="n">
        <v>2.492</v>
      </c>
      <c r="E2298" t="n">
        <v/>
      </c>
    </row>
    <row r="2299">
      <c r="A2299" s="27" t="n">
        <v>43095</v>
      </c>
      <c r="B2299" t="n">
        <v/>
      </c>
      <c r="C2299" t="n">
        <v>1.903</v>
      </c>
      <c r="D2299" t="n">
        <v>2.474</v>
      </c>
      <c r="E2299" t="n">
        <v/>
      </c>
    </row>
    <row r="2300">
      <c r="A2300" s="27" t="n">
        <v>43096</v>
      </c>
      <c r="B2300" t="n">
        <v/>
      </c>
      <c r="C2300" t="n">
        <v>1.895</v>
      </c>
      <c r="D2300" t="n">
        <v>2.413</v>
      </c>
      <c r="E2300" t="n">
        <v/>
      </c>
    </row>
    <row r="2301">
      <c r="A2301" s="27" t="n">
        <v>43097</v>
      </c>
      <c r="B2301" t="n">
        <v/>
      </c>
      <c r="C2301" t="n">
        <v>1.911</v>
      </c>
      <c r="D2301" t="n">
        <v>2.434</v>
      </c>
      <c r="E2301" t="n">
        <v/>
      </c>
    </row>
    <row r="2302">
      <c r="A2302" s="27" t="n">
        <v>43098</v>
      </c>
      <c r="B2302" t="n">
        <v/>
      </c>
      <c r="C2302" t="n">
        <v>1.887</v>
      </c>
      <c r="D2302" t="n">
        <v>2.405</v>
      </c>
      <c r="E2302" t="n">
        <v/>
      </c>
    </row>
    <row r="2303">
      <c r="A2303" s="27" t="n">
        <v>43101</v>
      </c>
      <c r="B2303" t="n">
        <v/>
      </c>
      <c r="C2303" t="n">
        <v>1.887</v>
      </c>
      <c r="D2303" t="n">
        <v>2.405</v>
      </c>
      <c r="E2303" t="n">
        <v/>
      </c>
    </row>
    <row r="2304">
      <c r="A2304" s="27" t="n">
        <v>43102</v>
      </c>
      <c r="B2304" t="n">
        <v/>
      </c>
      <c r="C2304" t="n">
        <v>1.923</v>
      </c>
      <c r="D2304" t="n">
        <v>2.462</v>
      </c>
      <c r="E2304" t="n">
        <v/>
      </c>
    </row>
    <row r="2305">
      <c r="A2305" s="27" t="n">
        <v>43103</v>
      </c>
      <c r="B2305" t="n">
        <v/>
      </c>
      <c r="C2305" t="n">
        <v>1.931</v>
      </c>
      <c r="D2305" t="n">
        <v>2.445</v>
      </c>
      <c r="E2305" t="n">
        <v/>
      </c>
    </row>
    <row r="2306">
      <c r="A2306" s="27" t="n">
        <v>43104</v>
      </c>
      <c r="B2306" t="n">
        <v/>
      </c>
      <c r="C2306" t="n">
        <v>1.956</v>
      </c>
      <c r="D2306" t="n">
        <v>2.453</v>
      </c>
      <c r="E2306" t="n">
        <v/>
      </c>
    </row>
    <row r="2307">
      <c r="A2307" s="27" t="n">
        <v>43105</v>
      </c>
      <c r="B2307" t="n">
        <v/>
      </c>
      <c r="C2307" t="n">
        <v>1.964</v>
      </c>
      <c r="D2307" t="n">
        <v>2.476</v>
      </c>
      <c r="E2307" t="n">
        <v/>
      </c>
    </row>
    <row r="2308">
      <c r="A2308" s="27" t="n">
        <v>43107</v>
      </c>
      <c r="B2308" t="n">
        <v/>
      </c>
      <c r="C2308" t="n">
        <v>1.964</v>
      </c>
      <c r="D2308" t="n">
        <v>2.476</v>
      </c>
      <c r="E2308" t="n">
        <v/>
      </c>
    </row>
    <row r="2309">
      <c r="A2309" s="27" t="n">
        <v>43108</v>
      </c>
      <c r="B2309" t="n">
        <v/>
      </c>
      <c r="C2309" t="n">
        <v>1.96</v>
      </c>
      <c r="D2309" t="n">
        <v>2.48</v>
      </c>
      <c r="E2309" t="n">
        <v/>
      </c>
    </row>
    <row r="2310">
      <c r="A2310" s="27" t="n">
        <v>43109</v>
      </c>
      <c r="B2310" t="n">
        <v/>
      </c>
      <c r="C2310" t="n">
        <v>1.972</v>
      </c>
      <c r="D2310" t="n">
        <v>2.551</v>
      </c>
      <c r="E2310" t="n">
        <v/>
      </c>
    </row>
    <row r="2311">
      <c r="A2311" s="27" t="n">
        <v>43110</v>
      </c>
      <c r="B2311" t="n">
        <v/>
      </c>
      <c r="C2311" t="n">
        <v>1.976</v>
      </c>
      <c r="D2311" t="n">
        <v>2.559</v>
      </c>
      <c r="E2311" t="n">
        <v/>
      </c>
    </row>
    <row r="2312">
      <c r="A2312" s="27" t="n">
        <v>43111</v>
      </c>
      <c r="B2312" t="n">
        <v/>
      </c>
      <c r="C2312" t="n">
        <v>1.981</v>
      </c>
      <c r="D2312" t="n">
        <v>2.537</v>
      </c>
      <c r="E2312" t="n">
        <v/>
      </c>
    </row>
    <row r="2313">
      <c r="A2313" s="27" t="n">
        <v>43112</v>
      </c>
      <c r="B2313" t="n">
        <v/>
      </c>
      <c r="C2313" t="n">
        <v>2.002</v>
      </c>
      <c r="D2313" t="n">
        <v>2.55</v>
      </c>
      <c r="E2313" t="n">
        <v/>
      </c>
    </row>
    <row r="2314">
      <c r="A2314" s="27" t="n">
        <v>43115</v>
      </c>
      <c r="B2314" t="n">
        <v/>
      </c>
      <c r="C2314" t="n">
        <v>2.014</v>
      </c>
      <c r="D2314" t="n">
        <v>2.552</v>
      </c>
      <c r="E2314" t="n">
        <v/>
      </c>
    </row>
    <row r="2315">
      <c r="A2315" s="27" t="n">
        <v>43116</v>
      </c>
      <c r="B2315" t="n">
        <v/>
      </c>
      <c r="C2315" t="n">
        <v>2.018</v>
      </c>
      <c r="D2315" t="n">
        <v>2.539</v>
      </c>
      <c r="E2315" t="n">
        <v/>
      </c>
    </row>
    <row r="2316">
      <c r="A2316" s="27" t="n">
        <v>43117</v>
      </c>
      <c r="B2316" t="n">
        <v/>
      </c>
      <c r="C2316" t="n">
        <v>2.047</v>
      </c>
      <c r="D2316" t="n">
        <v>2.587</v>
      </c>
      <c r="E2316" t="n">
        <v/>
      </c>
    </row>
    <row r="2317">
      <c r="A2317" s="27" t="n">
        <v>43118</v>
      </c>
      <c r="B2317" t="n">
        <v/>
      </c>
      <c r="C2317" t="n">
        <v>2.043</v>
      </c>
      <c r="D2317" t="n">
        <v>2.624</v>
      </c>
      <c r="E2317" t="n">
        <v/>
      </c>
    </row>
    <row r="2318">
      <c r="A2318" s="27" t="n">
        <v>43119</v>
      </c>
      <c r="B2318" t="n">
        <v/>
      </c>
      <c r="C2318" t="n">
        <v>2.069</v>
      </c>
      <c r="D2318" t="n">
        <v>2.661</v>
      </c>
      <c r="E2318" t="n">
        <v/>
      </c>
    </row>
    <row r="2319">
      <c r="A2319" s="27" t="n">
        <v>43121</v>
      </c>
      <c r="B2319" t="n">
        <v/>
      </c>
      <c r="C2319" t="n">
        <v>2.073</v>
      </c>
      <c r="D2319" t="n">
        <v>2.663</v>
      </c>
      <c r="E2319" t="n">
        <v/>
      </c>
    </row>
    <row r="2320">
      <c r="A2320" s="27" t="n">
        <v>43122</v>
      </c>
      <c r="B2320" t="n">
        <v/>
      </c>
      <c r="C2320" t="n">
        <v>2.069</v>
      </c>
      <c r="D2320" t="n">
        <v>2.656</v>
      </c>
      <c r="E2320" t="n">
        <v/>
      </c>
    </row>
    <row r="2321">
      <c r="A2321" s="27" t="n">
        <v>43123</v>
      </c>
      <c r="B2321" t="n">
        <v/>
      </c>
      <c r="C2321" t="n">
        <v>2.04</v>
      </c>
      <c r="D2321" t="n">
        <v>2.617</v>
      </c>
      <c r="E2321" t="n">
        <v/>
      </c>
    </row>
    <row r="2322">
      <c r="A2322" s="27" t="n">
        <v>43124</v>
      </c>
      <c r="B2322" t="n">
        <v/>
      </c>
      <c r="C2322" t="n">
        <v>2.08</v>
      </c>
      <c r="D2322" t="n">
        <v>2.648</v>
      </c>
      <c r="E2322" t="n">
        <v/>
      </c>
    </row>
    <row r="2323">
      <c r="A2323" s="27" t="n">
        <v>43125</v>
      </c>
      <c r="B2323" t="n">
        <v/>
      </c>
      <c r="C2323" t="n">
        <v>2.092</v>
      </c>
      <c r="D2323" t="n">
        <v>2.624</v>
      </c>
      <c r="E2323" t="n">
        <v/>
      </c>
    </row>
    <row r="2324">
      <c r="A2324" s="27" t="n">
        <v>43126</v>
      </c>
      <c r="B2324" t="n">
        <v/>
      </c>
      <c r="C2324" t="n">
        <v>2.12</v>
      </c>
      <c r="D2324" t="n">
        <v>2.66</v>
      </c>
      <c r="E2324" t="n">
        <v/>
      </c>
    </row>
    <row r="2325">
      <c r="A2325" s="27" t="n">
        <v>43128</v>
      </c>
      <c r="B2325" t="n">
        <v/>
      </c>
      <c r="C2325" t="n">
        <v>2.12</v>
      </c>
      <c r="D2325" t="n">
        <v>2.658</v>
      </c>
      <c r="E2325" t="n">
        <v/>
      </c>
    </row>
    <row r="2326">
      <c r="A2326" s="27" t="n">
        <v>43129</v>
      </c>
      <c r="B2326" t="n">
        <v/>
      </c>
      <c r="C2326" t="n">
        <v>2.12</v>
      </c>
      <c r="D2326" t="n">
        <v>2.699</v>
      </c>
      <c r="E2326" t="n">
        <v/>
      </c>
    </row>
    <row r="2327">
      <c r="A2327" s="27" t="n">
        <v>43130</v>
      </c>
      <c r="B2327" t="n">
        <v/>
      </c>
      <c r="C2327" t="n">
        <v>2.128</v>
      </c>
      <c r="D2327" t="n">
        <v>2.724</v>
      </c>
      <c r="E2327" t="n">
        <v/>
      </c>
    </row>
    <row r="2328">
      <c r="A2328" s="27" t="n">
        <v>43131</v>
      </c>
      <c r="B2328" t="n">
        <v/>
      </c>
      <c r="C2328" t="n">
        <v>2.149</v>
      </c>
      <c r="D2328" t="n">
        <v>2.712</v>
      </c>
      <c r="E2328" t="n">
        <v/>
      </c>
    </row>
    <row r="2329">
      <c r="A2329" s="27" t="n">
        <v>43132</v>
      </c>
      <c r="B2329" t="n">
        <v/>
      </c>
      <c r="C2329" t="n">
        <v>2.161</v>
      </c>
      <c r="D2329" t="n">
        <v>2.782</v>
      </c>
      <c r="E2329" t="n">
        <v/>
      </c>
    </row>
    <row r="2330">
      <c r="A2330" s="27" t="n">
        <v>43133</v>
      </c>
      <c r="B2330" t="n">
        <v/>
      </c>
      <c r="C2330" t="n">
        <v>2.145</v>
      </c>
      <c r="D2330" t="n">
        <v>2.841</v>
      </c>
      <c r="E2330" t="n">
        <v/>
      </c>
    </row>
    <row r="2331">
      <c r="A2331" s="27" t="n">
        <v>43135</v>
      </c>
      <c r="B2331" t="n">
        <v/>
      </c>
      <c r="C2331" t="n">
        <v>2.149</v>
      </c>
      <c r="D2331" t="n">
        <v>2.845</v>
      </c>
      <c r="E2331" t="n">
        <v/>
      </c>
    </row>
    <row r="2332">
      <c r="A2332" s="27" t="n">
        <v>43136</v>
      </c>
      <c r="B2332" t="n">
        <v/>
      </c>
      <c r="C2332" t="n">
        <v>2.04</v>
      </c>
      <c r="D2332" t="n">
        <v>2.709</v>
      </c>
      <c r="E2332" t="n">
        <v/>
      </c>
    </row>
    <row r="2333">
      <c r="A2333" s="27" t="n">
        <v>43137</v>
      </c>
      <c r="B2333" t="n">
        <v/>
      </c>
      <c r="C2333" t="n">
        <v>2.109</v>
      </c>
      <c r="D2333" t="n">
        <v>2.805</v>
      </c>
      <c r="E2333" t="n">
        <v/>
      </c>
    </row>
    <row r="2334">
      <c r="A2334" s="27" t="n">
        <v>43138</v>
      </c>
      <c r="B2334" t="n">
        <v/>
      </c>
      <c r="C2334" t="n">
        <v>2.126</v>
      </c>
      <c r="D2334" t="n">
        <v>2.834</v>
      </c>
      <c r="E2334" t="n">
        <v/>
      </c>
    </row>
    <row r="2335">
      <c r="A2335" s="27" t="n">
        <v>43139</v>
      </c>
      <c r="B2335" t="n">
        <v/>
      </c>
      <c r="C2335" t="n">
        <v>2.11</v>
      </c>
      <c r="D2335" t="n">
        <v>2.828</v>
      </c>
      <c r="E2335" t="n">
        <v/>
      </c>
    </row>
    <row r="2336">
      <c r="A2336" s="27" t="n">
        <v>43140</v>
      </c>
      <c r="B2336" t="n">
        <v/>
      </c>
      <c r="C2336" t="n">
        <v>2.073</v>
      </c>
      <c r="D2336" t="n">
        <v>2.857</v>
      </c>
      <c r="E2336" t="n">
        <v/>
      </c>
    </row>
    <row r="2337">
      <c r="A2337" s="27" t="n">
        <v>43142</v>
      </c>
      <c r="B2337" t="n">
        <v/>
      </c>
      <c r="C2337" t="n">
        <v>2.073</v>
      </c>
      <c r="D2337" t="n">
        <v>2.857</v>
      </c>
      <c r="E2337" t="n">
        <v/>
      </c>
    </row>
    <row r="2338">
      <c r="A2338" s="27" t="n">
        <v>43143</v>
      </c>
      <c r="B2338" t="n">
        <v/>
      </c>
      <c r="C2338" t="n">
        <v>2.077</v>
      </c>
      <c r="D2338" t="n">
        <v>2.858</v>
      </c>
      <c r="E2338" t="n">
        <v/>
      </c>
    </row>
    <row r="2339">
      <c r="A2339" s="27" t="n">
        <v>43144</v>
      </c>
      <c r="B2339" t="n">
        <v/>
      </c>
      <c r="C2339" t="n">
        <v>2.11</v>
      </c>
      <c r="D2339" t="n">
        <v>2.833</v>
      </c>
      <c r="E2339" t="n">
        <v/>
      </c>
    </row>
    <row r="2340">
      <c r="A2340" s="27" t="n">
        <v>43145</v>
      </c>
      <c r="B2340" t="n">
        <v/>
      </c>
      <c r="C2340" t="n">
        <v>2.172</v>
      </c>
      <c r="D2340" t="n">
        <v>2.913</v>
      </c>
      <c r="E2340" t="n">
        <v/>
      </c>
    </row>
    <row r="2341">
      <c r="A2341" s="27" t="n">
        <v>43146</v>
      </c>
      <c r="B2341" t="n">
        <v/>
      </c>
      <c r="C2341" t="n">
        <v>2.188</v>
      </c>
      <c r="D2341" t="n">
        <v>2.906</v>
      </c>
      <c r="E2341" t="n">
        <v/>
      </c>
    </row>
    <row r="2342">
      <c r="A2342" s="27" t="n">
        <v>43147</v>
      </c>
      <c r="B2342" t="n">
        <v/>
      </c>
      <c r="C2342" t="n">
        <v>2.194</v>
      </c>
      <c r="D2342" t="n">
        <v>2.873</v>
      </c>
      <c r="E2342" t="n">
        <v/>
      </c>
    </row>
    <row r="2343">
      <c r="A2343" s="27" t="n">
        <v>43149</v>
      </c>
      <c r="B2343" t="n">
        <v/>
      </c>
      <c r="C2343" t="n">
        <v>2.194</v>
      </c>
      <c r="D2343" t="n">
        <v>2.873</v>
      </c>
      <c r="E2343" t="n">
        <v/>
      </c>
    </row>
    <row r="2344">
      <c r="A2344" s="27" t="n">
        <v>43150</v>
      </c>
      <c r="B2344" t="n">
        <v/>
      </c>
      <c r="C2344" t="n">
        <v>2.214</v>
      </c>
      <c r="D2344" t="n">
        <v>2.889</v>
      </c>
      <c r="E2344" t="n">
        <v/>
      </c>
    </row>
    <row r="2345">
      <c r="A2345" s="27" t="n">
        <v>43151</v>
      </c>
      <c r="B2345" t="n">
        <v/>
      </c>
      <c r="C2345" t="n">
        <v>2.223</v>
      </c>
      <c r="D2345" t="n">
        <v>2.891</v>
      </c>
      <c r="E2345" t="n">
        <v/>
      </c>
    </row>
    <row r="2346">
      <c r="A2346" s="27" t="n">
        <v>43152</v>
      </c>
      <c r="B2346" t="n">
        <v/>
      </c>
      <c r="C2346" t="n">
        <v>2.27</v>
      </c>
      <c r="D2346" t="n">
        <v>2.952</v>
      </c>
      <c r="E2346" t="n">
        <v/>
      </c>
    </row>
    <row r="2347">
      <c r="A2347" s="27" t="n">
        <v>43153</v>
      </c>
      <c r="B2347" t="n">
        <v/>
      </c>
      <c r="C2347" t="n">
        <v>2.254</v>
      </c>
      <c r="D2347" t="n">
        <v>2.919</v>
      </c>
      <c r="E2347" t="n">
        <v/>
      </c>
    </row>
    <row r="2348">
      <c r="A2348" s="27" t="n">
        <v>43154</v>
      </c>
      <c r="B2348" t="n">
        <v/>
      </c>
      <c r="C2348" t="n">
        <v>2.242</v>
      </c>
      <c r="D2348" t="n">
        <v>2.866</v>
      </c>
      <c r="E2348" t="n">
        <v/>
      </c>
    </row>
    <row r="2349">
      <c r="A2349" s="27" t="n">
        <v>43156</v>
      </c>
      <c r="B2349" t="n">
        <v/>
      </c>
      <c r="C2349" t="n">
        <v>2.246</v>
      </c>
      <c r="D2349" t="n">
        <v>2.875</v>
      </c>
      <c r="E2349" t="n">
        <v/>
      </c>
    </row>
    <row r="2350">
      <c r="A2350" s="27" t="n">
        <v>43157</v>
      </c>
      <c r="B2350" t="n">
        <v/>
      </c>
      <c r="C2350" t="n">
        <v>2.23</v>
      </c>
      <c r="D2350" t="n">
        <v>2.864</v>
      </c>
      <c r="E2350" t="n">
        <v/>
      </c>
    </row>
    <row r="2351">
      <c r="A2351" s="27" t="n">
        <v>43158</v>
      </c>
      <c r="B2351" t="n">
        <v/>
      </c>
      <c r="C2351" t="n">
        <v>2.266</v>
      </c>
      <c r="D2351" t="n">
        <v>2.901</v>
      </c>
      <c r="E2351" t="n">
        <v/>
      </c>
    </row>
    <row r="2352">
      <c r="A2352" s="27" t="n">
        <v>43159</v>
      </c>
      <c r="B2352" t="n">
        <v/>
      </c>
      <c r="C2352" t="n">
        <v>2.258</v>
      </c>
      <c r="D2352" t="n">
        <v>2.864</v>
      </c>
      <c r="E2352" t="n">
        <v/>
      </c>
    </row>
    <row r="2353">
      <c r="A2353" s="27" t="n">
        <v>43160</v>
      </c>
      <c r="B2353" t="n">
        <v/>
      </c>
      <c r="C2353" t="n">
        <v>2.218</v>
      </c>
      <c r="D2353" t="n">
        <v>2.811</v>
      </c>
      <c r="E2353" t="n">
        <v/>
      </c>
    </row>
    <row r="2354">
      <c r="A2354" s="27" t="n">
        <v>43161</v>
      </c>
      <c r="B2354" t="n">
        <v/>
      </c>
      <c r="C2354" t="n">
        <v>2.246</v>
      </c>
      <c r="D2354" t="n">
        <v>2.868</v>
      </c>
      <c r="E2354" t="n">
        <v/>
      </c>
    </row>
    <row r="2355">
      <c r="A2355" s="27" t="n">
        <v>43163</v>
      </c>
      <c r="B2355" t="n">
        <v/>
      </c>
      <c r="C2355" t="n">
        <v>2.23</v>
      </c>
      <c r="D2355" t="n">
        <v>2.848</v>
      </c>
      <c r="E2355" t="n">
        <v/>
      </c>
    </row>
    <row r="2356">
      <c r="A2356" s="27" t="n">
        <v>43164</v>
      </c>
      <c r="B2356" t="n">
        <v/>
      </c>
      <c r="C2356" t="n">
        <v>2.242</v>
      </c>
      <c r="D2356" t="n">
        <v>2.883</v>
      </c>
      <c r="E2356" t="n">
        <v/>
      </c>
    </row>
    <row r="2357">
      <c r="A2357" s="27" t="n">
        <v>43165</v>
      </c>
      <c r="B2357" t="n">
        <v/>
      </c>
      <c r="C2357" t="n">
        <v>2.254</v>
      </c>
      <c r="D2357" t="n">
        <v>2.886</v>
      </c>
      <c r="E2357" t="n">
        <v/>
      </c>
    </row>
    <row r="2358">
      <c r="A2358" s="27" t="n">
        <v>43166</v>
      </c>
      <c r="B2358" t="n">
        <v/>
      </c>
      <c r="C2358" t="n">
        <v>2.254</v>
      </c>
      <c r="D2358" t="n">
        <v>2.881</v>
      </c>
      <c r="E2358" t="n">
        <v/>
      </c>
    </row>
    <row r="2359">
      <c r="A2359" s="27" t="n">
        <v>43167</v>
      </c>
      <c r="B2359" t="n">
        <v/>
      </c>
      <c r="C2359" t="n">
        <v>2.25</v>
      </c>
      <c r="D2359" t="n">
        <v>2.857</v>
      </c>
      <c r="E2359" t="n">
        <v/>
      </c>
    </row>
    <row r="2360">
      <c r="A2360" s="27" t="n">
        <v>43168</v>
      </c>
      <c r="B2360" t="n">
        <v/>
      </c>
      <c r="C2360" t="n">
        <v>2.262</v>
      </c>
      <c r="D2360" t="n">
        <v>2.896</v>
      </c>
      <c r="E2360" t="n">
        <v/>
      </c>
    </row>
    <row r="2361">
      <c r="A2361" s="27" t="n">
        <v>43170</v>
      </c>
      <c r="B2361" t="n">
        <v/>
      </c>
      <c r="C2361" t="n">
        <v>2.27</v>
      </c>
      <c r="D2361" t="n">
        <v>2.905</v>
      </c>
      <c r="E2361" t="n">
        <v/>
      </c>
    </row>
    <row r="2362">
      <c r="A2362" s="27" t="n">
        <v>43171</v>
      </c>
      <c r="B2362" t="n">
        <v/>
      </c>
      <c r="C2362" t="n">
        <v>2.262</v>
      </c>
      <c r="D2362" t="n">
        <v>2.866</v>
      </c>
      <c r="E2362" t="n">
        <v/>
      </c>
    </row>
    <row r="2363">
      <c r="A2363" s="27" t="n">
        <v>43172</v>
      </c>
      <c r="B2363" t="n">
        <v/>
      </c>
      <c r="C2363" t="n">
        <v>2.258</v>
      </c>
      <c r="D2363" t="n">
        <v>2.844</v>
      </c>
      <c r="E2363" t="n">
        <v/>
      </c>
    </row>
    <row r="2364">
      <c r="A2364" s="27" t="n">
        <v>43173</v>
      </c>
      <c r="B2364" t="n">
        <v/>
      </c>
      <c r="C2364" t="n">
        <v>2.262</v>
      </c>
      <c r="D2364" t="n">
        <v>2.819</v>
      </c>
      <c r="E2364" t="n">
        <v/>
      </c>
    </row>
    <row r="2365">
      <c r="A2365" s="27" t="n">
        <v>43174</v>
      </c>
      <c r="B2365" t="n">
        <v/>
      </c>
      <c r="C2365" t="n">
        <v>2.287</v>
      </c>
      <c r="D2365" t="n">
        <v>2.826</v>
      </c>
      <c r="E2365" t="n">
        <v/>
      </c>
    </row>
    <row r="2366">
      <c r="A2366" s="27" t="n">
        <v>43175</v>
      </c>
      <c r="B2366" t="n">
        <v/>
      </c>
      <c r="C2366" t="n">
        <v>2.295</v>
      </c>
      <c r="D2366" t="n">
        <v>2.845</v>
      </c>
      <c r="E2366" t="n">
        <v/>
      </c>
    </row>
    <row r="2367">
      <c r="A2367" s="27" t="n">
        <v>43177</v>
      </c>
      <c r="B2367" t="n">
        <v/>
      </c>
      <c r="C2367" t="n">
        <v>2.303</v>
      </c>
      <c r="D2367" t="n">
        <v>2.855</v>
      </c>
      <c r="E2367" t="n">
        <v/>
      </c>
    </row>
    <row r="2368">
      <c r="A2368" s="27" t="n">
        <v>43178</v>
      </c>
      <c r="B2368" t="n">
        <v/>
      </c>
      <c r="C2368" t="n">
        <v>2.312</v>
      </c>
      <c r="D2368" t="n">
        <v>2.856</v>
      </c>
      <c r="E2368" t="n">
        <v/>
      </c>
    </row>
    <row r="2369">
      <c r="A2369" s="27" t="n">
        <v>43179</v>
      </c>
      <c r="B2369" t="n">
        <v/>
      </c>
      <c r="C2369" t="n">
        <v>2.349</v>
      </c>
      <c r="D2369" t="n">
        <v>2.9</v>
      </c>
      <c r="E2369" t="n">
        <v/>
      </c>
    </row>
    <row r="2370">
      <c r="A2370" s="27" t="n">
        <v>43180</v>
      </c>
      <c r="B2370" t="n">
        <v/>
      </c>
      <c r="C2370" t="n">
        <v>2.308</v>
      </c>
      <c r="D2370" t="n">
        <v>2.881</v>
      </c>
      <c r="E2370" t="n">
        <v/>
      </c>
    </row>
    <row r="2371">
      <c r="A2371" s="27" t="n">
        <v>43181</v>
      </c>
      <c r="B2371" t="n">
        <v/>
      </c>
      <c r="C2371" t="n">
        <v>2.283</v>
      </c>
      <c r="D2371" t="n">
        <v>2.823</v>
      </c>
      <c r="E2371" t="n">
        <v/>
      </c>
    </row>
    <row r="2372">
      <c r="A2372" s="27" t="n">
        <v>43182</v>
      </c>
      <c r="B2372" t="n">
        <v/>
      </c>
      <c r="C2372" t="n">
        <v>2.258</v>
      </c>
      <c r="D2372" t="n">
        <v>2.813</v>
      </c>
      <c r="E2372" t="n">
        <v/>
      </c>
    </row>
    <row r="2373">
      <c r="A2373" s="27" t="n">
        <v>43184</v>
      </c>
      <c r="B2373" t="n">
        <v/>
      </c>
      <c r="C2373" t="n">
        <v>2.266</v>
      </c>
      <c r="D2373" t="n">
        <v>2.821</v>
      </c>
      <c r="E2373" t="n">
        <v/>
      </c>
    </row>
    <row r="2374">
      <c r="A2374" s="27" t="n">
        <v>43185</v>
      </c>
      <c r="B2374" t="n">
        <v/>
      </c>
      <c r="C2374" t="n">
        <v>2.275</v>
      </c>
      <c r="D2374" t="n">
        <v>2.852</v>
      </c>
      <c r="E2374" t="n">
        <v/>
      </c>
    </row>
    <row r="2375">
      <c r="A2375" s="27" t="n">
        <v>43186</v>
      </c>
      <c r="B2375" t="n">
        <v/>
      </c>
      <c r="C2375" t="n">
        <v>2.27</v>
      </c>
      <c r="D2375" t="n">
        <v>2.775</v>
      </c>
      <c r="E2375" t="n">
        <v/>
      </c>
    </row>
    <row r="2376">
      <c r="A2376" s="27" t="n">
        <v>43187</v>
      </c>
      <c r="B2376" t="n">
        <v/>
      </c>
      <c r="C2376" t="n">
        <v>2.286</v>
      </c>
      <c r="D2376" t="n">
        <v>2.783</v>
      </c>
      <c r="E2376" t="n">
        <v/>
      </c>
    </row>
    <row r="2377">
      <c r="A2377" s="27" t="n">
        <v>43188</v>
      </c>
      <c r="B2377" t="n">
        <v/>
      </c>
      <c r="C2377" t="n">
        <v>2.27</v>
      </c>
      <c r="D2377" t="n">
        <v>2.741</v>
      </c>
      <c r="E2377" t="n">
        <v/>
      </c>
    </row>
    <row r="2378">
      <c r="A2378" s="27" t="n">
        <v>43191</v>
      </c>
      <c r="B2378" t="n">
        <v/>
      </c>
      <c r="C2378" t="n">
        <v>2.278</v>
      </c>
      <c r="D2378" t="n">
        <v>2.761</v>
      </c>
      <c r="E2378" t="n">
        <v/>
      </c>
    </row>
    <row r="2379">
      <c r="A2379" s="27" t="n">
        <v>43192</v>
      </c>
      <c r="B2379" t="n">
        <v/>
      </c>
      <c r="C2379" t="n">
        <v>2.25</v>
      </c>
      <c r="D2379" t="n">
        <v>2.733</v>
      </c>
      <c r="E2379" t="n">
        <v/>
      </c>
    </row>
    <row r="2380">
      <c r="A2380" s="27" t="n">
        <v>43193</v>
      </c>
      <c r="B2380" t="n">
        <v/>
      </c>
      <c r="C2380" t="n">
        <v>2.282</v>
      </c>
      <c r="D2380" t="n">
        <v>2.781</v>
      </c>
      <c r="E2380" t="n">
        <v/>
      </c>
    </row>
    <row r="2381">
      <c r="A2381" s="27" t="n">
        <v>43194</v>
      </c>
      <c r="B2381" t="n">
        <v/>
      </c>
      <c r="C2381" t="n">
        <v>2.303</v>
      </c>
      <c r="D2381" t="n">
        <v>2.808</v>
      </c>
      <c r="E2381" t="n">
        <v/>
      </c>
    </row>
    <row r="2382">
      <c r="A2382" s="27" t="n">
        <v>43195</v>
      </c>
      <c r="B2382" t="n">
        <v/>
      </c>
      <c r="C2382" t="n">
        <v>2.307</v>
      </c>
      <c r="D2382" t="n">
        <v>2.834</v>
      </c>
      <c r="E2382" t="n">
        <v/>
      </c>
    </row>
    <row r="2383">
      <c r="A2383" s="27" t="n">
        <v>43196</v>
      </c>
      <c r="B2383" t="n">
        <v/>
      </c>
      <c r="C2383" t="n">
        <v>2.27</v>
      </c>
      <c r="D2383" t="n">
        <v>2.775</v>
      </c>
      <c r="E2383" t="n">
        <v/>
      </c>
    </row>
    <row r="2384">
      <c r="A2384" s="27" t="n">
        <v>43198</v>
      </c>
      <c r="B2384" t="n">
        <v/>
      </c>
      <c r="C2384" t="n">
        <v>2.278</v>
      </c>
      <c r="D2384" t="n">
        <v>2.786</v>
      </c>
      <c r="E2384" t="n">
        <v/>
      </c>
    </row>
    <row r="2385">
      <c r="A2385" s="27" t="n">
        <v>43199</v>
      </c>
      <c r="B2385" t="n">
        <v/>
      </c>
      <c r="C2385" t="n">
        <v>2.282</v>
      </c>
      <c r="D2385" t="n">
        <v>2.781</v>
      </c>
      <c r="E2385" t="n">
        <v/>
      </c>
    </row>
    <row r="2386">
      <c r="A2386" s="27" t="n">
        <v>43200</v>
      </c>
      <c r="B2386" t="n">
        <v/>
      </c>
      <c r="C2386" t="n">
        <v>2.307</v>
      </c>
      <c r="D2386" t="n">
        <v>2.801</v>
      </c>
      <c r="E2386" t="n">
        <v/>
      </c>
    </row>
    <row r="2387">
      <c r="A2387" s="27" t="n">
        <v>43201</v>
      </c>
      <c r="B2387" t="n">
        <v/>
      </c>
      <c r="C2387" t="n">
        <v>2.307</v>
      </c>
      <c r="D2387" t="n">
        <v>2.779</v>
      </c>
      <c r="E2387" t="n">
        <v/>
      </c>
    </row>
    <row r="2388">
      <c r="A2388" s="27" t="n">
        <v>43202</v>
      </c>
      <c r="B2388" t="n">
        <v/>
      </c>
      <c r="C2388" t="n">
        <v>2.356</v>
      </c>
      <c r="D2388" t="n">
        <v>2.843</v>
      </c>
      <c r="E2388" t="n">
        <v/>
      </c>
    </row>
    <row r="2389">
      <c r="A2389" s="27" t="n">
        <v>43203</v>
      </c>
      <c r="B2389" t="n">
        <v/>
      </c>
      <c r="C2389" t="n">
        <v>2.361</v>
      </c>
      <c r="D2389" t="n">
        <v>2.825</v>
      </c>
      <c r="E2389" t="n">
        <v/>
      </c>
    </row>
    <row r="2390">
      <c r="A2390" s="27" t="n">
        <v>43205</v>
      </c>
      <c r="B2390" t="n">
        <v/>
      </c>
      <c r="C2390" t="n">
        <v>2.373</v>
      </c>
      <c r="D2390" t="n">
        <v>2.843</v>
      </c>
      <c r="E2390" t="n">
        <v/>
      </c>
    </row>
    <row r="2391">
      <c r="A2391" s="27" t="n">
        <v>43206</v>
      </c>
      <c r="B2391" t="n">
        <v/>
      </c>
      <c r="C2391" t="n">
        <v>2.381</v>
      </c>
      <c r="D2391" t="n">
        <v>2.829</v>
      </c>
      <c r="E2391" t="n">
        <v/>
      </c>
    </row>
    <row r="2392">
      <c r="A2392" s="27" t="n">
        <v>43207</v>
      </c>
      <c r="B2392" t="n">
        <v/>
      </c>
      <c r="C2392" t="n">
        <v>2.394</v>
      </c>
      <c r="D2392" t="n">
        <v>2.83</v>
      </c>
      <c r="E2392" t="n">
        <v/>
      </c>
    </row>
    <row r="2393">
      <c r="A2393" s="27" t="n">
        <v>43208</v>
      </c>
      <c r="B2393" t="n">
        <v/>
      </c>
      <c r="C2393" t="n">
        <v>2.431</v>
      </c>
      <c r="D2393" t="n">
        <v>2.875</v>
      </c>
      <c r="E2393" t="n">
        <v/>
      </c>
    </row>
    <row r="2394">
      <c r="A2394" s="27" t="n">
        <v>43209</v>
      </c>
      <c r="B2394" t="n">
        <v/>
      </c>
      <c r="C2394" t="n">
        <v>2.432</v>
      </c>
      <c r="D2394" t="n">
        <v>2.913</v>
      </c>
      <c r="E2394" t="n">
        <v/>
      </c>
    </row>
    <row r="2395">
      <c r="A2395" s="27" t="n">
        <v>43210</v>
      </c>
      <c r="B2395" t="n">
        <v/>
      </c>
      <c r="C2395" t="n">
        <v>2.462</v>
      </c>
      <c r="D2395" t="n">
        <v>2.96</v>
      </c>
      <c r="E2395" t="n">
        <v/>
      </c>
    </row>
    <row r="2396">
      <c r="A2396" s="27" t="n">
        <v>43212</v>
      </c>
      <c r="B2396" t="n">
        <v/>
      </c>
      <c r="C2396" t="n">
        <v>2.466</v>
      </c>
      <c r="D2396" t="n">
        <v>2.968</v>
      </c>
      <c r="E2396" t="n">
        <v/>
      </c>
    </row>
    <row r="2397">
      <c r="A2397" s="27" t="n">
        <v>43213</v>
      </c>
      <c r="B2397" t="n">
        <v/>
      </c>
      <c r="C2397" t="n">
        <v>2.478</v>
      </c>
      <c r="D2397" t="n">
        <v>2.977</v>
      </c>
      <c r="E2397" t="n">
        <v/>
      </c>
    </row>
    <row r="2398">
      <c r="A2398" s="27" t="n">
        <v>43214</v>
      </c>
      <c r="B2398" t="n">
        <v/>
      </c>
      <c r="C2398" t="n">
        <v>2.475</v>
      </c>
      <c r="D2398" t="n">
        <v>2.999</v>
      </c>
      <c r="E2398" t="n">
        <v/>
      </c>
    </row>
    <row r="2399">
      <c r="A2399" s="27" t="n">
        <v>43215</v>
      </c>
      <c r="B2399" t="n">
        <v/>
      </c>
      <c r="C2399" t="n">
        <v>2.492</v>
      </c>
      <c r="D2399" t="n">
        <v>3.031</v>
      </c>
      <c r="E2399" t="n">
        <v/>
      </c>
    </row>
    <row r="2400">
      <c r="A2400" s="27" t="n">
        <v>43216</v>
      </c>
      <c r="B2400" t="n">
        <v/>
      </c>
      <c r="C2400" t="n">
        <v>2.488</v>
      </c>
      <c r="D2400" t="n">
        <v>2.983</v>
      </c>
      <c r="E2400" t="n">
        <v/>
      </c>
    </row>
    <row r="2401">
      <c r="A2401" s="27" t="n">
        <v>43217</v>
      </c>
      <c r="B2401" t="n">
        <v/>
      </c>
      <c r="C2401" t="n">
        <v>2.484</v>
      </c>
      <c r="D2401" t="n">
        <v>2.959</v>
      </c>
      <c r="E2401" t="n">
        <v/>
      </c>
    </row>
    <row r="2402">
      <c r="A2402" s="27" t="n">
        <v>43219</v>
      </c>
      <c r="B2402" t="n">
        <v/>
      </c>
      <c r="C2402" t="n">
        <v>2.484</v>
      </c>
      <c r="D2402" t="n">
        <v>2.959</v>
      </c>
      <c r="E2402" t="n">
        <v/>
      </c>
    </row>
    <row r="2403">
      <c r="A2403" s="27" t="n">
        <v>43220</v>
      </c>
      <c r="B2403" t="n">
        <v/>
      </c>
      <c r="C2403" t="n">
        <v>2.492</v>
      </c>
      <c r="D2403" t="n">
        <v>2.955</v>
      </c>
      <c r="E2403" t="n">
        <v/>
      </c>
    </row>
    <row r="2404">
      <c r="A2404" s="27" t="n">
        <v>43221</v>
      </c>
      <c r="B2404" t="n">
        <v/>
      </c>
      <c r="C2404" t="n">
        <v>2.508</v>
      </c>
      <c r="D2404" t="n">
        <v>2.968</v>
      </c>
      <c r="E2404" t="n">
        <v/>
      </c>
    </row>
    <row r="2405">
      <c r="A2405" s="27" t="n">
        <v>43222</v>
      </c>
      <c r="B2405" t="n">
        <v/>
      </c>
      <c r="C2405" t="n">
        <v>2.492</v>
      </c>
      <c r="D2405" t="n">
        <v>2.976</v>
      </c>
      <c r="E2405" t="n">
        <v/>
      </c>
    </row>
    <row r="2406">
      <c r="A2406" s="27" t="n">
        <v>43223</v>
      </c>
      <c r="B2406" t="n">
        <v/>
      </c>
      <c r="C2406" t="n">
        <v>2.48</v>
      </c>
      <c r="D2406" t="n">
        <v>2.948</v>
      </c>
      <c r="E2406" t="n">
        <v/>
      </c>
    </row>
    <row r="2407">
      <c r="A2407" s="27" t="n">
        <v>43224</v>
      </c>
      <c r="B2407" t="n">
        <v/>
      </c>
      <c r="C2407" t="n">
        <v>2.505</v>
      </c>
      <c r="D2407" t="n">
        <v>2.951</v>
      </c>
      <c r="E2407" t="n">
        <v/>
      </c>
    </row>
    <row r="2408">
      <c r="A2408" s="27" t="n">
        <v>43226</v>
      </c>
      <c r="B2408" t="n">
        <v/>
      </c>
      <c r="C2408" t="n">
        <v>2.501</v>
      </c>
      <c r="D2408" t="n">
        <v>2.953</v>
      </c>
      <c r="E2408" t="n">
        <v/>
      </c>
    </row>
    <row r="2409">
      <c r="A2409" s="27" t="n">
        <v>43227</v>
      </c>
      <c r="B2409" t="n">
        <v/>
      </c>
      <c r="C2409" t="n">
        <v>2.501</v>
      </c>
      <c r="D2409" t="n">
        <v>2.952</v>
      </c>
      <c r="E2409" t="n">
        <v/>
      </c>
    </row>
    <row r="2410">
      <c r="A2410" s="27" t="n">
        <v>43228</v>
      </c>
      <c r="B2410" t="n">
        <v/>
      </c>
      <c r="C2410" t="n">
        <v>2.514</v>
      </c>
      <c r="D2410" t="n">
        <v>2.972</v>
      </c>
      <c r="E2410" t="n">
        <v/>
      </c>
    </row>
    <row r="2411">
      <c r="A2411" s="27" t="n">
        <v>43229</v>
      </c>
      <c r="B2411" t="n">
        <v/>
      </c>
      <c r="C2411" t="n">
        <v>2.534</v>
      </c>
      <c r="D2411" t="n">
        <v>3.006</v>
      </c>
      <c r="E2411" t="n">
        <v/>
      </c>
    </row>
    <row r="2412">
      <c r="A2412" s="27" t="n">
        <v>43230</v>
      </c>
      <c r="B2412" t="n">
        <v/>
      </c>
      <c r="C2412" t="n">
        <v>2.534</v>
      </c>
      <c r="D2412" t="n">
        <v>2.964</v>
      </c>
      <c r="E2412" t="n">
        <v/>
      </c>
    </row>
    <row r="2413">
      <c r="A2413" s="27" t="n">
        <v>43231</v>
      </c>
      <c r="B2413" t="n">
        <v/>
      </c>
      <c r="C2413" t="n">
        <v>2.539</v>
      </c>
      <c r="D2413" t="n">
        <v>2.97</v>
      </c>
      <c r="E2413" t="n">
        <v/>
      </c>
    </row>
    <row r="2414">
      <c r="A2414" s="27" t="n">
        <v>43233</v>
      </c>
      <c r="B2414" t="n">
        <v/>
      </c>
      <c r="C2414" t="n">
        <v>2.543</v>
      </c>
      <c r="D2414" t="n">
        <v>2.975</v>
      </c>
      <c r="E2414" t="n">
        <v/>
      </c>
    </row>
    <row r="2415">
      <c r="A2415" s="27" t="n">
        <v>43234</v>
      </c>
      <c r="B2415" t="n">
        <v/>
      </c>
      <c r="C2415" t="n">
        <v>2.552</v>
      </c>
      <c r="D2415" t="n">
        <v>3.002</v>
      </c>
      <c r="E2415" t="n">
        <v/>
      </c>
    </row>
    <row r="2416">
      <c r="A2416" s="27" t="n">
        <v>43235</v>
      </c>
      <c r="B2416" t="n">
        <v/>
      </c>
      <c r="C2416" t="n">
        <v>2.577</v>
      </c>
      <c r="D2416" t="n">
        <v>3.072</v>
      </c>
      <c r="E2416" t="n">
        <v/>
      </c>
    </row>
    <row r="2417">
      <c r="A2417" s="27" t="n">
        <v>43236</v>
      </c>
      <c r="B2417" t="n">
        <v/>
      </c>
      <c r="C2417" t="n">
        <v>2.593</v>
      </c>
      <c r="D2417" t="n">
        <v>3.104</v>
      </c>
      <c r="E2417" t="n">
        <v/>
      </c>
    </row>
    <row r="2418">
      <c r="A2418" s="27" t="n">
        <v>43237</v>
      </c>
      <c r="B2418" t="n">
        <v/>
      </c>
      <c r="C2418" t="n">
        <v>2.573</v>
      </c>
      <c r="D2418" t="n">
        <v>3.115</v>
      </c>
      <c r="E2418" t="n">
        <v/>
      </c>
    </row>
    <row r="2419">
      <c r="A2419" s="27" t="n">
        <v>43238</v>
      </c>
      <c r="B2419" t="n">
        <v/>
      </c>
      <c r="C2419" t="n">
        <v>2.549</v>
      </c>
      <c r="D2419" t="n">
        <v>3.06</v>
      </c>
      <c r="E2419" t="n">
        <v/>
      </c>
    </row>
    <row r="2420">
      <c r="A2420" s="27" t="n">
        <v>43240</v>
      </c>
      <c r="B2420" t="n">
        <v/>
      </c>
      <c r="C2420" t="n">
        <v>2.565</v>
      </c>
      <c r="D2420" t="n">
        <v>3.08</v>
      </c>
      <c r="E2420" t="n">
        <v/>
      </c>
    </row>
    <row r="2421">
      <c r="A2421" s="27" t="n">
        <v>43241</v>
      </c>
      <c r="B2421" t="n">
        <v/>
      </c>
      <c r="C2421" t="n">
        <v>2.57</v>
      </c>
      <c r="D2421" t="n">
        <v>3.058</v>
      </c>
      <c r="E2421" t="n">
        <v/>
      </c>
    </row>
    <row r="2422">
      <c r="A2422" s="27" t="n">
        <v>43242</v>
      </c>
      <c r="B2422" t="n">
        <v/>
      </c>
      <c r="C2422" t="n">
        <v>2.57</v>
      </c>
      <c r="D2422" t="n">
        <v>3.063</v>
      </c>
      <c r="E2422" t="n">
        <v/>
      </c>
    </row>
    <row r="2423">
      <c r="A2423" s="27" t="n">
        <v>43243</v>
      </c>
      <c r="B2423" t="n">
        <v/>
      </c>
      <c r="C2423" t="n">
        <v>2.532</v>
      </c>
      <c r="D2423" t="n">
        <v>2.994</v>
      </c>
      <c r="E2423" t="n">
        <v/>
      </c>
    </row>
    <row r="2424">
      <c r="A2424" s="27" t="n">
        <v>43244</v>
      </c>
      <c r="B2424" t="n">
        <v/>
      </c>
      <c r="C2424" t="n">
        <v>2.512</v>
      </c>
      <c r="D2424" t="n">
        <v>2.977</v>
      </c>
      <c r="E2424" t="n">
        <v/>
      </c>
    </row>
    <row r="2425">
      <c r="A2425" s="27" t="n">
        <v>43245</v>
      </c>
      <c r="B2425" t="n">
        <v/>
      </c>
      <c r="C2425" t="n">
        <v>2.48</v>
      </c>
      <c r="D2425" t="n">
        <v>2.931</v>
      </c>
      <c r="E2425" t="n">
        <v/>
      </c>
    </row>
    <row r="2426">
      <c r="A2426" s="27" t="n">
        <v>43248</v>
      </c>
      <c r="B2426" t="n">
        <v/>
      </c>
      <c r="C2426" t="n">
        <v>2.46</v>
      </c>
      <c r="D2426" t="n">
        <v>2.898</v>
      </c>
      <c r="E2426" t="n">
        <v/>
      </c>
    </row>
    <row r="2427">
      <c r="A2427" s="27" t="n">
        <v>43249</v>
      </c>
      <c r="B2427" t="n">
        <v/>
      </c>
      <c r="C2427" t="n">
        <v>2.335</v>
      </c>
      <c r="D2427" t="n">
        <v>2.79</v>
      </c>
      <c r="E2427" t="n">
        <v/>
      </c>
    </row>
    <row r="2428">
      <c r="A2428" s="27" t="n">
        <v>43250</v>
      </c>
      <c r="B2428" t="n">
        <v/>
      </c>
      <c r="C2428" t="n">
        <v>2.416</v>
      </c>
      <c r="D2428" t="n">
        <v>2.857</v>
      </c>
      <c r="E2428" t="n">
        <v/>
      </c>
    </row>
    <row r="2429">
      <c r="A2429" s="27" t="n">
        <v>43251</v>
      </c>
      <c r="B2429" t="n">
        <v/>
      </c>
      <c r="C2429" t="n">
        <v>2.436</v>
      </c>
      <c r="D2429" t="n">
        <v>2.86</v>
      </c>
      <c r="E2429" t="n">
        <v/>
      </c>
    </row>
    <row r="2430">
      <c r="A2430" s="27" t="n">
        <v>43252</v>
      </c>
      <c r="B2430" t="n">
        <v/>
      </c>
      <c r="C2430" t="n">
        <v>2.472</v>
      </c>
      <c r="D2430" t="n">
        <v>2.902</v>
      </c>
      <c r="E2430" t="n">
        <v/>
      </c>
    </row>
    <row r="2431">
      <c r="A2431" s="27" t="n">
        <v>43254</v>
      </c>
      <c r="B2431" t="n">
        <v/>
      </c>
      <c r="C2431" t="n">
        <v>2.48</v>
      </c>
      <c r="D2431" t="n">
        <v>2.906</v>
      </c>
      <c r="E2431" t="n">
        <v/>
      </c>
    </row>
    <row r="2432">
      <c r="A2432" s="27" t="n">
        <v>43255</v>
      </c>
      <c r="B2432" t="n">
        <v/>
      </c>
      <c r="C2432" t="n">
        <v>2.52</v>
      </c>
      <c r="D2432" t="n">
        <v>2.944</v>
      </c>
      <c r="E2432" t="n">
        <v/>
      </c>
    </row>
    <row r="2433">
      <c r="A2433" s="27" t="n">
        <v>43256</v>
      </c>
      <c r="B2433" t="n">
        <v/>
      </c>
      <c r="C2433" t="n">
        <v>2.496</v>
      </c>
      <c r="D2433" t="n">
        <v>2.926</v>
      </c>
      <c r="E2433" t="n">
        <v/>
      </c>
    </row>
    <row r="2434">
      <c r="A2434" s="27" t="n">
        <v>43257</v>
      </c>
      <c r="B2434" t="n">
        <v/>
      </c>
      <c r="C2434" t="n">
        <v>2.52</v>
      </c>
      <c r="D2434" t="n">
        <v>2.974</v>
      </c>
      <c r="E2434" t="n">
        <v/>
      </c>
    </row>
    <row r="2435">
      <c r="A2435" s="27" t="n">
        <v>43258</v>
      </c>
      <c r="B2435" t="n">
        <v/>
      </c>
      <c r="C2435" t="n">
        <v>2.492</v>
      </c>
      <c r="D2435" t="n">
        <v>2.922</v>
      </c>
      <c r="E2435" t="n">
        <v/>
      </c>
    </row>
    <row r="2436">
      <c r="A2436" s="27" t="n">
        <v>43259</v>
      </c>
      <c r="B2436" t="n">
        <v/>
      </c>
      <c r="C2436" t="n">
        <v>2.5</v>
      </c>
      <c r="D2436" t="n">
        <v>2.948</v>
      </c>
      <c r="E2436" t="n">
        <v/>
      </c>
    </row>
    <row r="2437">
      <c r="A2437" s="27" t="n">
        <v>43261</v>
      </c>
      <c r="B2437" t="n">
        <v/>
      </c>
      <c r="C2437" t="n">
        <v>2.508</v>
      </c>
      <c r="D2437" t="n">
        <v>2.952</v>
      </c>
      <c r="E2437" t="n">
        <v/>
      </c>
    </row>
    <row r="2438">
      <c r="A2438" s="27" t="n">
        <v>43262</v>
      </c>
      <c r="B2438" t="n">
        <v/>
      </c>
      <c r="C2438" t="n">
        <v>2.524</v>
      </c>
      <c r="D2438" t="n">
        <v>2.952</v>
      </c>
      <c r="E2438" t="n">
        <v/>
      </c>
    </row>
    <row r="2439">
      <c r="A2439" s="27" t="n">
        <v>43263</v>
      </c>
      <c r="B2439" t="n">
        <v/>
      </c>
      <c r="C2439" t="n">
        <v>2.545</v>
      </c>
      <c r="D2439" t="n">
        <v>2.965</v>
      </c>
      <c r="E2439" t="n">
        <v/>
      </c>
    </row>
    <row r="2440">
      <c r="A2440" s="27" t="n">
        <v>43264</v>
      </c>
      <c r="B2440" t="n">
        <v/>
      </c>
      <c r="C2440" t="n">
        <v>2.574</v>
      </c>
      <c r="D2440" t="n">
        <v>2.974</v>
      </c>
      <c r="E2440" t="n">
        <v/>
      </c>
    </row>
    <row r="2441">
      <c r="A2441" s="27" t="n">
        <v>43265</v>
      </c>
      <c r="B2441" t="n">
        <v/>
      </c>
      <c r="C2441" t="n">
        <v>2.57</v>
      </c>
      <c r="D2441" t="n">
        <v>2.935</v>
      </c>
      <c r="E2441" t="n">
        <v/>
      </c>
    </row>
    <row r="2442">
      <c r="A2442" s="27" t="n">
        <v>43266</v>
      </c>
      <c r="B2442" t="n">
        <v/>
      </c>
      <c r="C2442" t="n">
        <v>2.553</v>
      </c>
      <c r="D2442" t="n">
        <v>2.922</v>
      </c>
      <c r="E2442" t="n">
        <v/>
      </c>
    </row>
    <row r="2443">
      <c r="A2443" s="27" t="n">
        <v>43268</v>
      </c>
      <c r="B2443" t="n">
        <v/>
      </c>
      <c r="C2443" t="n">
        <v>2.549</v>
      </c>
      <c r="D2443" t="n">
        <v>2.921</v>
      </c>
      <c r="E2443" t="n">
        <v/>
      </c>
    </row>
    <row r="2444">
      <c r="A2444" s="27" t="n">
        <v>43269</v>
      </c>
      <c r="B2444" t="n">
        <v/>
      </c>
      <c r="C2444" t="n">
        <v>2.553</v>
      </c>
      <c r="D2444" t="n">
        <v>2.917</v>
      </c>
      <c r="E2444" t="n">
        <v/>
      </c>
    </row>
    <row r="2445">
      <c r="A2445" s="27" t="n">
        <v>43270</v>
      </c>
      <c r="B2445" t="n">
        <v/>
      </c>
      <c r="C2445" t="n">
        <v>2.549</v>
      </c>
      <c r="D2445" t="n">
        <v>2.897</v>
      </c>
      <c r="E2445" t="n">
        <v/>
      </c>
    </row>
    <row r="2446">
      <c r="A2446" s="27" t="n">
        <v>43271</v>
      </c>
      <c r="B2446" t="n">
        <v/>
      </c>
      <c r="C2446" t="n">
        <v>2.566</v>
      </c>
      <c r="D2446" t="n">
        <v>2.937</v>
      </c>
      <c r="E2446" t="n">
        <v/>
      </c>
    </row>
    <row r="2447">
      <c r="A2447" s="27" t="n">
        <v>43272</v>
      </c>
      <c r="B2447" t="n">
        <v/>
      </c>
      <c r="C2447" t="n">
        <v>2.541</v>
      </c>
      <c r="D2447" t="n">
        <v>2.899</v>
      </c>
      <c r="E2447" t="n">
        <v/>
      </c>
    </row>
    <row r="2448">
      <c r="A2448" s="27" t="n">
        <v>43273</v>
      </c>
      <c r="B2448" t="n">
        <v/>
      </c>
      <c r="C2448" t="n">
        <v>2.545</v>
      </c>
      <c r="D2448" t="n">
        <v>2.895</v>
      </c>
      <c r="E2448" t="n">
        <v/>
      </c>
    </row>
    <row r="2449">
      <c r="A2449" s="27" t="n">
        <v>43275</v>
      </c>
      <c r="B2449" t="n">
        <v/>
      </c>
      <c r="C2449" t="n">
        <v>2.549</v>
      </c>
      <c r="D2449" t="n">
        <v>2.891</v>
      </c>
      <c r="E2449" t="n">
        <v/>
      </c>
    </row>
    <row r="2450">
      <c r="A2450" s="27" t="n">
        <v>43276</v>
      </c>
      <c r="B2450" t="n">
        <v/>
      </c>
      <c r="C2450" t="n">
        <v>2.537</v>
      </c>
      <c r="D2450" t="n">
        <v>2.882</v>
      </c>
      <c r="E2450" t="n">
        <v/>
      </c>
    </row>
    <row r="2451">
      <c r="A2451" s="27" t="n">
        <v>43277</v>
      </c>
      <c r="B2451" t="n">
        <v/>
      </c>
      <c r="C2451" t="n">
        <v>2.533</v>
      </c>
      <c r="D2451" t="n">
        <v>2.877</v>
      </c>
      <c r="E2451" t="n">
        <v/>
      </c>
    </row>
    <row r="2452">
      <c r="A2452" s="27" t="n">
        <v>43278</v>
      </c>
      <c r="B2452" t="n">
        <v/>
      </c>
      <c r="C2452" t="n">
        <v>2.508</v>
      </c>
      <c r="D2452" t="n">
        <v>2.827</v>
      </c>
      <c r="E2452" t="n">
        <v/>
      </c>
    </row>
    <row r="2453">
      <c r="A2453" s="27" t="n">
        <v>43279</v>
      </c>
      <c r="B2453" t="n">
        <v/>
      </c>
      <c r="C2453" t="n">
        <v>2.516</v>
      </c>
      <c r="D2453" t="n">
        <v>2.84</v>
      </c>
      <c r="E2453" t="n">
        <v/>
      </c>
    </row>
    <row r="2454">
      <c r="A2454" s="27" t="n">
        <v>43280</v>
      </c>
      <c r="B2454" t="n">
        <v/>
      </c>
      <c r="C2454" t="n">
        <v>2.532</v>
      </c>
      <c r="D2454" t="n">
        <v>2.86</v>
      </c>
      <c r="E2454" t="n">
        <v/>
      </c>
    </row>
    <row r="2455">
      <c r="A2455" s="27" t="n">
        <v>43282</v>
      </c>
      <c r="B2455" t="n">
        <v/>
      </c>
      <c r="C2455" t="n">
        <v>2.532</v>
      </c>
      <c r="D2455" t="n">
        <v>2.856</v>
      </c>
      <c r="E2455" t="n">
        <v/>
      </c>
    </row>
    <row r="2456">
      <c r="A2456" s="27" t="n">
        <v>43283</v>
      </c>
      <c r="B2456" t="n">
        <v/>
      </c>
      <c r="C2456" t="n">
        <v>2.553</v>
      </c>
      <c r="D2456" t="n">
        <v>2.871</v>
      </c>
      <c r="E2456" t="n">
        <v/>
      </c>
    </row>
    <row r="2457">
      <c r="A2457" s="27" t="n">
        <v>43284</v>
      </c>
      <c r="B2457" t="n">
        <v/>
      </c>
      <c r="C2457" t="n">
        <v>2.532</v>
      </c>
      <c r="D2457" t="n">
        <v>2.833</v>
      </c>
      <c r="E2457" t="n">
        <v/>
      </c>
    </row>
    <row r="2458">
      <c r="A2458" s="27" t="n">
        <v>43285</v>
      </c>
      <c r="B2458" t="n">
        <v/>
      </c>
      <c r="C2458" t="n">
        <v>2.54</v>
      </c>
      <c r="D2458" t="n">
        <v>2.842</v>
      </c>
      <c r="E2458" t="n">
        <v/>
      </c>
    </row>
    <row r="2459">
      <c r="A2459" s="27" t="n">
        <v>43286</v>
      </c>
      <c r="B2459" t="n">
        <v/>
      </c>
      <c r="C2459" t="n">
        <v>2.557</v>
      </c>
      <c r="D2459" t="n">
        <v>2.833</v>
      </c>
      <c r="E2459" t="n">
        <v/>
      </c>
    </row>
    <row r="2460">
      <c r="A2460" s="27" t="n">
        <v>43287</v>
      </c>
      <c r="B2460" t="n">
        <v/>
      </c>
      <c r="C2460" t="n">
        <v>2.541</v>
      </c>
      <c r="D2460" t="n">
        <v>2.824</v>
      </c>
      <c r="E2460" t="n">
        <v/>
      </c>
    </row>
    <row r="2461">
      <c r="A2461" s="27" t="n">
        <v>43289</v>
      </c>
      <c r="B2461" t="n">
        <v/>
      </c>
      <c r="C2461" t="n">
        <v>2.541</v>
      </c>
      <c r="D2461" t="n">
        <v>2.825</v>
      </c>
      <c r="E2461" t="n">
        <v/>
      </c>
    </row>
    <row r="2462">
      <c r="A2462" s="27" t="n">
        <v>43290</v>
      </c>
      <c r="B2462" t="n">
        <v/>
      </c>
      <c r="C2462" t="n">
        <v>2.561</v>
      </c>
      <c r="D2462" t="n">
        <v>2.858</v>
      </c>
      <c r="E2462" t="n">
        <v/>
      </c>
    </row>
    <row r="2463">
      <c r="A2463" s="27" t="n">
        <v>43291</v>
      </c>
      <c r="B2463" t="n">
        <v/>
      </c>
      <c r="C2463" t="n">
        <v>2.586</v>
      </c>
      <c r="D2463" t="n">
        <v>2.867</v>
      </c>
      <c r="E2463" t="n">
        <v/>
      </c>
    </row>
    <row r="2464">
      <c r="A2464" s="27" t="n">
        <v>43292</v>
      </c>
      <c r="B2464" t="n">
        <v/>
      </c>
      <c r="C2464" t="n">
        <v>2.574</v>
      </c>
      <c r="D2464" t="n">
        <v>2.84</v>
      </c>
      <c r="E2464" t="n">
        <v/>
      </c>
    </row>
    <row r="2465">
      <c r="A2465" s="27" t="n">
        <v>43293</v>
      </c>
      <c r="B2465" t="n">
        <v/>
      </c>
      <c r="C2465" t="n">
        <v>2.59</v>
      </c>
      <c r="D2465" t="n">
        <v>2.849</v>
      </c>
      <c r="E2465" t="n">
        <v/>
      </c>
    </row>
    <row r="2466">
      <c r="A2466" s="27" t="n">
        <v>43294</v>
      </c>
      <c r="B2466" t="n">
        <v/>
      </c>
      <c r="C2466" t="n">
        <v>2.582</v>
      </c>
      <c r="D2466" t="n">
        <v>2.829</v>
      </c>
      <c r="E2466" t="n">
        <v/>
      </c>
    </row>
    <row r="2467">
      <c r="A2467" s="27" t="n">
        <v>43296</v>
      </c>
      <c r="B2467" t="n">
        <v/>
      </c>
      <c r="C2467" t="n">
        <v>2.582</v>
      </c>
      <c r="D2467" t="n">
        <v>2.829</v>
      </c>
      <c r="E2467" t="n">
        <v/>
      </c>
    </row>
    <row r="2468">
      <c r="A2468" s="27" t="n">
        <v>43297</v>
      </c>
      <c r="B2468" t="n">
        <v/>
      </c>
      <c r="C2468" t="n">
        <v>2.599</v>
      </c>
      <c r="D2468" t="n">
        <v>2.856</v>
      </c>
      <c r="E2468" t="n">
        <v/>
      </c>
    </row>
    <row r="2469">
      <c r="A2469" s="27" t="n">
        <v>43298</v>
      </c>
      <c r="B2469" t="n">
        <v/>
      </c>
      <c r="C2469" t="n">
        <v>2.615</v>
      </c>
      <c r="D2469" t="n">
        <v>2.86</v>
      </c>
      <c r="E2469" t="n">
        <v/>
      </c>
    </row>
    <row r="2470">
      <c r="A2470" s="27" t="n">
        <v>43299</v>
      </c>
      <c r="B2470" t="n">
        <v/>
      </c>
      <c r="C2470" t="n">
        <v>2.615</v>
      </c>
      <c r="D2470" t="n">
        <v>2.875</v>
      </c>
      <c r="E2470" t="n">
        <v/>
      </c>
    </row>
    <row r="2471">
      <c r="A2471" s="27" t="n">
        <v>43300</v>
      </c>
      <c r="B2471" t="n">
        <v/>
      </c>
      <c r="C2471" t="n">
        <v>2.591</v>
      </c>
      <c r="D2471" t="n">
        <v>2.838</v>
      </c>
      <c r="E2471" t="n">
        <v/>
      </c>
    </row>
    <row r="2472">
      <c r="A2472" s="27" t="n">
        <v>43301</v>
      </c>
      <c r="B2472" t="n">
        <v/>
      </c>
      <c r="C2472" t="n">
        <v>2.595</v>
      </c>
      <c r="D2472" t="n">
        <v>2.895</v>
      </c>
      <c r="E2472" t="n">
        <v/>
      </c>
    </row>
    <row r="2473">
      <c r="A2473" s="27" t="n">
        <v>43303</v>
      </c>
      <c r="B2473" t="n">
        <v/>
      </c>
      <c r="C2473" t="n">
        <v>2.599</v>
      </c>
      <c r="D2473" t="n">
        <v>2.893</v>
      </c>
      <c r="E2473" t="n">
        <v/>
      </c>
    </row>
    <row r="2474">
      <c r="A2474" s="27" t="n">
        <v>43304</v>
      </c>
      <c r="B2474" t="n">
        <v/>
      </c>
      <c r="C2474" t="n">
        <v>2.633</v>
      </c>
      <c r="D2474" t="n">
        <v>2.96</v>
      </c>
      <c r="E2474" t="n">
        <v/>
      </c>
    </row>
    <row r="2475">
      <c r="A2475" s="27" t="n">
        <v>43305</v>
      </c>
      <c r="B2475" t="n">
        <v/>
      </c>
      <c r="C2475" t="n">
        <v>2.637</v>
      </c>
      <c r="D2475" t="n">
        <v>2.95</v>
      </c>
      <c r="E2475" t="n">
        <v/>
      </c>
    </row>
    <row r="2476">
      <c r="A2476" s="27" t="n">
        <v>43306</v>
      </c>
      <c r="B2476" t="n">
        <v/>
      </c>
      <c r="C2476" t="n">
        <v>2.673</v>
      </c>
      <c r="D2476" t="n">
        <v>2.973</v>
      </c>
      <c r="E2476" t="n">
        <v/>
      </c>
    </row>
    <row r="2477">
      <c r="A2477" s="27" t="n">
        <v>43307</v>
      </c>
      <c r="B2477" t="n">
        <v/>
      </c>
      <c r="C2477" t="n">
        <v>2.69</v>
      </c>
      <c r="D2477" t="n">
        <v>2.982</v>
      </c>
      <c r="E2477" t="n">
        <v/>
      </c>
    </row>
    <row r="2478">
      <c r="A2478" s="27" t="n">
        <v>43308</v>
      </c>
      <c r="B2478" t="n">
        <v/>
      </c>
      <c r="C2478" t="n">
        <v>2.678</v>
      </c>
      <c r="D2478" t="n">
        <v>2.958</v>
      </c>
      <c r="E2478" t="n">
        <v/>
      </c>
    </row>
    <row r="2479">
      <c r="A2479" s="27" t="n">
        <v>43310</v>
      </c>
      <c r="B2479" t="n">
        <v/>
      </c>
      <c r="C2479" t="n">
        <v>2.678</v>
      </c>
      <c r="D2479" t="n">
        <v>2.96</v>
      </c>
      <c r="E2479" t="n">
        <v/>
      </c>
    </row>
    <row r="2480">
      <c r="A2480" s="27" t="n">
        <v>43311</v>
      </c>
      <c r="B2480" t="n">
        <v/>
      </c>
      <c r="C2480" t="n">
        <v>2.665</v>
      </c>
      <c r="D2480" t="n">
        <v>2.975</v>
      </c>
      <c r="E2480" t="n">
        <v/>
      </c>
    </row>
    <row r="2481">
      <c r="A2481" s="27" t="n">
        <v>43312</v>
      </c>
      <c r="B2481" t="n">
        <v/>
      </c>
      <c r="C2481" t="n">
        <v>2.674</v>
      </c>
      <c r="D2481" t="n">
        <v>2.962</v>
      </c>
      <c r="E2481" t="n">
        <v/>
      </c>
    </row>
    <row r="2482">
      <c r="A2482" s="27" t="n">
        <v>43313</v>
      </c>
      <c r="B2482" t="n">
        <v/>
      </c>
      <c r="C2482" t="n">
        <v>2.682</v>
      </c>
      <c r="D2482" t="n">
        <v>3.005</v>
      </c>
      <c r="E2482" t="n">
        <v/>
      </c>
    </row>
    <row r="2483">
      <c r="A2483" s="27" t="n">
        <v>43314</v>
      </c>
      <c r="B2483" t="n">
        <v/>
      </c>
      <c r="C2483" t="n">
        <v>2.665</v>
      </c>
      <c r="D2483" t="n">
        <v>2.986</v>
      </c>
      <c r="E2483" t="n">
        <v/>
      </c>
    </row>
    <row r="2484">
      <c r="A2484" s="27" t="n">
        <v>43315</v>
      </c>
      <c r="B2484" t="n">
        <v/>
      </c>
      <c r="C2484" t="n">
        <v>2.645</v>
      </c>
      <c r="D2484" t="n">
        <v>2.951</v>
      </c>
      <c r="E2484" t="n">
        <v/>
      </c>
    </row>
    <row r="2485">
      <c r="A2485" s="27" t="n">
        <v>43317</v>
      </c>
      <c r="B2485" t="n">
        <v/>
      </c>
      <c r="C2485" t="n">
        <v>2.653</v>
      </c>
      <c r="D2485" t="n">
        <v>2.956</v>
      </c>
      <c r="E2485" t="n">
        <v/>
      </c>
    </row>
    <row r="2486">
      <c r="A2486" s="27" t="n">
        <v>43318</v>
      </c>
      <c r="B2486" t="n">
        <v/>
      </c>
      <c r="C2486" t="n">
        <v>2.649</v>
      </c>
      <c r="D2486" t="n">
        <v>2.945</v>
      </c>
      <c r="E2486" t="n">
        <v/>
      </c>
    </row>
    <row r="2487">
      <c r="A2487" s="27" t="n">
        <v>43319</v>
      </c>
      <c r="B2487" t="n">
        <v/>
      </c>
      <c r="C2487" t="n">
        <v>2.674</v>
      </c>
      <c r="D2487" t="n">
        <v>2.977</v>
      </c>
      <c r="E2487" t="n">
        <v/>
      </c>
    </row>
    <row r="2488">
      <c r="A2488" s="27" t="n">
        <v>43320</v>
      </c>
      <c r="B2488" t="n">
        <v/>
      </c>
      <c r="C2488" t="n">
        <v>2.674</v>
      </c>
      <c r="D2488" t="n">
        <v>2.964</v>
      </c>
      <c r="E2488" t="n">
        <v/>
      </c>
    </row>
    <row r="2489">
      <c r="A2489" s="27" t="n">
        <v>43321</v>
      </c>
      <c r="B2489" t="n">
        <v/>
      </c>
      <c r="C2489" t="n">
        <v>2.649</v>
      </c>
      <c r="D2489" t="n">
        <v>2.929</v>
      </c>
      <c r="E2489" t="n">
        <v/>
      </c>
    </row>
    <row r="2490">
      <c r="A2490" s="27" t="n">
        <v>43322</v>
      </c>
      <c r="B2490" t="n">
        <v/>
      </c>
      <c r="C2490" t="n">
        <v>2.608</v>
      </c>
      <c r="D2490" t="n">
        <v>2.873</v>
      </c>
      <c r="E2490" t="n">
        <v/>
      </c>
    </row>
    <row r="2491">
      <c r="A2491" s="27" t="n">
        <v>43324</v>
      </c>
      <c r="B2491" t="n">
        <v/>
      </c>
      <c r="C2491" t="n">
        <v>2.6</v>
      </c>
      <c r="D2491" t="n">
        <v>2.864</v>
      </c>
      <c r="E2491" t="n">
        <v/>
      </c>
    </row>
    <row r="2492">
      <c r="A2492" s="27" t="n">
        <v>43325</v>
      </c>
      <c r="B2492" t="n">
        <v/>
      </c>
      <c r="C2492" t="n">
        <v>2.612</v>
      </c>
      <c r="D2492" t="n">
        <v>2.877</v>
      </c>
      <c r="E2492" t="n">
        <v/>
      </c>
    </row>
    <row r="2493">
      <c r="A2493" s="27" t="n">
        <v>43326</v>
      </c>
      <c r="B2493" t="n">
        <v/>
      </c>
      <c r="C2493" t="n">
        <v>2.641</v>
      </c>
      <c r="D2493" t="n">
        <v>2.9</v>
      </c>
      <c r="E2493" t="n">
        <v/>
      </c>
    </row>
    <row r="2494">
      <c r="A2494" s="27" t="n">
        <v>43327</v>
      </c>
      <c r="B2494" t="n">
        <v/>
      </c>
      <c r="C2494" t="n">
        <v>2.612</v>
      </c>
      <c r="D2494" t="n">
        <v>2.864</v>
      </c>
      <c r="E2494" t="n">
        <v/>
      </c>
    </row>
    <row r="2495">
      <c r="A2495" s="27" t="n">
        <v>43328</v>
      </c>
      <c r="B2495" t="n">
        <v/>
      </c>
      <c r="C2495" t="n">
        <v>2.62</v>
      </c>
      <c r="D2495" t="n">
        <v>2.87</v>
      </c>
      <c r="E2495" t="n">
        <v/>
      </c>
    </row>
    <row r="2496">
      <c r="A2496" s="27" t="n">
        <v>43329</v>
      </c>
      <c r="B2496" t="n">
        <v/>
      </c>
      <c r="C2496" t="n">
        <v>2.612</v>
      </c>
      <c r="D2496" t="n">
        <v>2.864</v>
      </c>
      <c r="E2496" t="n">
        <v/>
      </c>
    </row>
    <row r="2497">
      <c r="A2497" s="27" t="n">
        <v>43331</v>
      </c>
      <c r="B2497" t="n">
        <v/>
      </c>
      <c r="C2497" t="n">
        <v>2.616</v>
      </c>
      <c r="D2497" t="n">
        <v>2.868</v>
      </c>
      <c r="E2497" t="n">
        <v/>
      </c>
    </row>
    <row r="2498">
      <c r="A2498" s="27" t="n">
        <v>43332</v>
      </c>
      <c r="B2498" t="n">
        <v/>
      </c>
      <c r="C2498" t="n">
        <v>2.587</v>
      </c>
      <c r="D2498" t="n">
        <v>2.819</v>
      </c>
      <c r="E2498" t="n">
        <v/>
      </c>
    </row>
    <row r="2499">
      <c r="A2499" s="27" t="n">
        <v>43333</v>
      </c>
      <c r="B2499" t="n">
        <v/>
      </c>
      <c r="C2499" t="n">
        <v>2.608</v>
      </c>
      <c r="D2499" t="n">
        <v>2.842</v>
      </c>
      <c r="E2499" t="n">
        <v/>
      </c>
    </row>
    <row r="2500">
      <c r="A2500" s="27" t="n">
        <v>43334</v>
      </c>
      <c r="B2500" t="n">
        <v/>
      </c>
      <c r="C2500" t="n">
        <v>2.595</v>
      </c>
      <c r="D2500" t="n">
        <v>2.821</v>
      </c>
      <c r="E2500" t="n">
        <v/>
      </c>
    </row>
    <row r="2501">
      <c r="A2501" s="27" t="n">
        <v>43335</v>
      </c>
      <c r="B2501" t="n">
        <v/>
      </c>
      <c r="C2501" t="n">
        <v>2.62</v>
      </c>
      <c r="D2501" t="n">
        <v>2.828</v>
      </c>
      <c r="E2501" t="n">
        <v/>
      </c>
    </row>
    <row r="2502">
      <c r="A2502" s="27" t="n">
        <v>43336</v>
      </c>
      <c r="B2502" t="n">
        <v/>
      </c>
      <c r="C2502" t="n">
        <v>2.624</v>
      </c>
      <c r="D2502" t="n">
        <v>2.813</v>
      </c>
      <c r="E2502" t="n">
        <v/>
      </c>
    </row>
    <row r="2503">
      <c r="A2503" s="27" t="n">
        <v>43338</v>
      </c>
      <c r="B2503" t="n">
        <v/>
      </c>
      <c r="C2503" t="n">
        <v>2.624</v>
      </c>
      <c r="D2503" t="n">
        <v>2.821</v>
      </c>
      <c r="E2503" t="n">
        <v/>
      </c>
    </row>
    <row r="2504">
      <c r="A2504" s="27" t="n">
        <v>43339</v>
      </c>
      <c r="B2504" t="n">
        <v/>
      </c>
      <c r="C2504" t="n">
        <v>2.645</v>
      </c>
      <c r="D2504" t="n">
        <v>2.846</v>
      </c>
      <c r="E2504" t="n">
        <v/>
      </c>
    </row>
    <row r="2505">
      <c r="A2505" s="27" t="n">
        <v>43340</v>
      </c>
      <c r="B2505" t="n">
        <v/>
      </c>
      <c r="C2505" t="n">
        <v>2.669</v>
      </c>
      <c r="D2505" t="n">
        <v>2.884</v>
      </c>
      <c r="E2505" t="n">
        <v/>
      </c>
    </row>
    <row r="2506">
      <c r="A2506" s="27" t="n">
        <v>43341</v>
      </c>
      <c r="B2506" t="n">
        <v/>
      </c>
      <c r="C2506" t="n">
        <v>2.682</v>
      </c>
      <c r="D2506" t="n">
        <v>2.886</v>
      </c>
      <c r="E2506" t="n">
        <v/>
      </c>
    </row>
    <row r="2507">
      <c r="A2507" s="27" t="n">
        <v>43342</v>
      </c>
      <c r="B2507" t="n">
        <v/>
      </c>
      <c r="C2507" t="n">
        <v>2.653</v>
      </c>
      <c r="D2507" t="n">
        <v>2.859</v>
      </c>
      <c r="E2507" t="n">
        <v/>
      </c>
    </row>
    <row r="2508">
      <c r="A2508" s="27" t="n">
        <v>43343</v>
      </c>
      <c r="B2508" t="n">
        <v/>
      </c>
      <c r="C2508" t="n">
        <v>2.629</v>
      </c>
      <c r="D2508" t="n">
        <v>2.86</v>
      </c>
      <c r="E2508" t="n">
        <v/>
      </c>
    </row>
    <row r="2509">
      <c r="A2509" s="27" t="n">
        <v>43346</v>
      </c>
      <c r="B2509" t="n">
        <v/>
      </c>
      <c r="C2509" t="n">
        <v>2.633</v>
      </c>
      <c r="D2509" t="n">
        <v>2.862</v>
      </c>
      <c r="E2509" t="n">
        <v/>
      </c>
    </row>
    <row r="2510">
      <c r="A2510" s="27" t="n">
        <v>43347</v>
      </c>
      <c r="B2510" t="n">
        <v/>
      </c>
      <c r="C2510" t="n">
        <v>2.653</v>
      </c>
      <c r="D2510" t="n">
        <v>2.898</v>
      </c>
      <c r="E2510" t="n">
        <v/>
      </c>
    </row>
    <row r="2511">
      <c r="A2511" s="27" t="n">
        <v>43348</v>
      </c>
      <c r="B2511" t="n">
        <v/>
      </c>
      <c r="C2511" t="n">
        <v>2.653</v>
      </c>
      <c r="D2511" t="n">
        <v>2.904</v>
      </c>
      <c r="E2511" t="n">
        <v/>
      </c>
    </row>
    <row r="2512">
      <c r="A2512" s="27" t="n">
        <v>43349</v>
      </c>
      <c r="B2512" t="n">
        <v/>
      </c>
      <c r="C2512" t="n">
        <v>2.641</v>
      </c>
      <c r="D2512" t="n">
        <v>2.878</v>
      </c>
      <c r="E2512" t="n">
        <v/>
      </c>
    </row>
    <row r="2513">
      <c r="A2513" s="27" t="n">
        <v>43350</v>
      </c>
      <c r="B2513" t="n">
        <v/>
      </c>
      <c r="C2513" t="n">
        <v>2.707</v>
      </c>
      <c r="D2513" t="n">
        <v>2.939</v>
      </c>
      <c r="E2513" t="n">
        <v/>
      </c>
    </row>
    <row r="2514">
      <c r="A2514" s="27" t="n">
        <v>43352</v>
      </c>
      <c r="B2514" t="n">
        <v/>
      </c>
      <c r="C2514" t="n">
        <v>2.703</v>
      </c>
      <c r="D2514" t="n">
        <v>2.942</v>
      </c>
      <c r="E2514" t="n">
        <v/>
      </c>
    </row>
    <row r="2515">
      <c r="A2515" s="27" t="n">
        <v>43353</v>
      </c>
      <c r="B2515" t="n">
        <v/>
      </c>
      <c r="C2515" t="n">
        <v>2.715</v>
      </c>
      <c r="D2515" t="n">
        <v>2.935</v>
      </c>
      <c r="E2515" t="n">
        <v/>
      </c>
    </row>
    <row r="2516">
      <c r="A2516" s="27" t="n">
        <v>43354</v>
      </c>
      <c r="B2516" t="n">
        <v/>
      </c>
      <c r="C2516" t="n">
        <v>2.748</v>
      </c>
      <c r="D2516" t="n">
        <v>2.981</v>
      </c>
      <c r="E2516" t="n">
        <v/>
      </c>
    </row>
    <row r="2517">
      <c r="A2517" s="27" t="n">
        <v>43355</v>
      </c>
      <c r="B2517" t="n">
        <v/>
      </c>
      <c r="C2517" t="n">
        <v>2.752</v>
      </c>
      <c r="D2517" t="n">
        <v>2.965</v>
      </c>
      <c r="E2517" t="n">
        <v/>
      </c>
    </row>
    <row r="2518">
      <c r="A2518" s="27" t="n">
        <v>43356</v>
      </c>
      <c r="B2518" t="n">
        <v/>
      </c>
      <c r="C2518" t="n">
        <v>2.761</v>
      </c>
      <c r="D2518" t="n">
        <v>2.974</v>
      </c>
      <c r="E2518" t="n">
        <v/>
      </c>
    </row>
    <row r="2519">
      <c r="A2519" s="27" t="n">
        <v>43357</v>
      </c>
      <c r="B2519" t="n">
        <v/>
      </c>
      <c r="C2519" t="n">
        <v>2.786</v>
      </c>
      <c r="D2519" t="n">
        <v>2.999</v>
      </c>
      <c r="E2519" t="n">
        <v/>
      </c>
    </row>
    <row r="2520">
      <c r="A2520" s="27" t="n">
        <v>43359</v>
      </c>
      <c r="B2520" t="n">
        <v/>
      </c>
      <c r="C2520" t="n">
        <v>2.786</v>
      </c>
      <c r="D2520" t="n">
        <v>3</v>
      </c>
      <c r="E2520" t="n">
        <v/>
      </c>
    </row>
    <row r="2521">
      <c r="A2521" s="27" t="n">
        <v>43360</v>
      </c>
      <c r="B2521" t="n">
        <v/>
      </c>
      <c r="C2521" t="n">
        <v>2.782</v>
      </c>
      <c r="D2521" t="n">
        <v>2.994</v>
      </c>
      <c r="E2521" t="n">
        <v/>
      </c>
    </row>
    <row r="2522">
      <c r="A2522" s="27" t="n">
        <v>43361</v>
      </c>
      <c r="B2522" t="n">
        <v/>
      </c>
      <c r="C2522" t="n">
        <v>2.807</v>
      </c>
      <c r="D2522" t="n">
        <v>3.057</v>
      </c>
      <c r="E2522" t="n">
        <v/>
      </c>
    </row>
    <row r="2523">
      <c r="A2523" s="27" t="n">
        <v>43362</v>
      </c>
      <c r="B2523" t="n">
        <v/>
      </c>
      <c r="C2523" t="n">
        <v>2.795</v>
      </c>
      <c r="D2523" t="n">
        <v>3.066</v>
      </c>
      <c r="E2523" t="n">
        <v/>
      </c>
    </row>
    <row r="2524">
      <c r="A2524" s="27" t="n">
        <v>43363</v>
      </c>
      <c r="B2524" t="n">
        <v/>
      </c>
      <c r="C2524" t="n">
        <v>2.808</v>
      </c>
      <c r="D2524" t="n">
        <v>3.064</v>
      </c>
      <c r="E2524" t="n">
        <v/>
      </c>
    </row>
    <row r="2525">
      <c r="A2525" s="27" t="n">
        <v>43364</v>
      </c>
      <c r="B2525" t="n">
        <v/>
      </c>
      <c r="C2525" t="n">
        <v>2.804</v>
      </c>
      <c r="D2525" t="n">
        <v>3.067</v>
      </c>
      <c r="E2525" t="n">
        <v/>
      </c>
    </row>
    <row r="2526">
      <c r="A2526" s="27" t="n">
        <v>43366</v>
      </c>
      <c r="B2526" t="n">
        <v/>
      </c>
      <c r="C2526" t="n">
        <v>2.804</v>
      </c>
      <c r="D2526" t="n">
        <v>3.066</v>
      </c>
      <c r="E2526" t="n">
        <v/>
      </c>
    </row>
    <row r="2527">
      <c r="A2527" s="27" t="n">
        <v>43367</v>
      </c>
      <c r="B2527" t="n">
        <v/>
      </c>
      <c r="C2527" t="n">
        <v>2.821</v>
      </c>
      <c r="D2527" t="n">
        <v>3.089</v>
      </c>
      <c r="E2527" t="n">
        <v/>
      </c>
    </row>
    <row r="2528">
      <c r="A2528" s="27" t="n">
        <v>43368</v>
      </c>
      <c r="B2528" t="n">
        <v/>
      </c>
      <c r="C2528" t="n">
        <v>2.843</v>
      </c>
      <c r="D2528" t="n">
        <v>3.098</v>
      </c>
      <c r="E2528" t="n">
        <v/>
      </c>
    </row>
    <row r="2529">
      <c r="A2529" s="27" t="n">
        <v>43369</v>
      </c>
      <c r="B2529" t="n">
        <v/>
      </c>
      <c r="C2529" t="n">
        <v>2.819</v>
      </c>
      <c r="D2529" t="n">
        <v>3.048</v>
      </c>
      <c r="E2529" t="n">
        <v/>
      </c>
    </row>
    <row r="2530">
      <c r="A2530" s="27" t="n">
        <v>43370</v>
      </c>
      <c r="B2530" t="n">
        <v/>
      </c>
      <c r="C2530" t="n">
        <v>2.831</v>
      </c>
      <c r="D2530" t="n">
        <v>3.055</v>
      </c>
      <c r="E2530" t="n">
        <v/>
      </c>
    </row>
    <row r="2531">
      <c r="A2531" s="27" t="n">
        <v>43371</v>
      </c>
      <c r="B2531" t="n">
        <v/>
      </c>
      <c r="C2531" t="n">
        <v>2.823</v>
      </c>
      <c r="D2531" t="n">
        <v>3.065</v>
      </c>
      <c r="E2531" t="n">
        <v/>
      </c>
    </row>
    <row r="2532">
      <c r="A2532" s="27" t="n">
        <v>43373</v>
      </c>
      <c r="B2532" t="n">
        <v/>
      </c>
      <c r="C2532" t="n">
        <v>2.831</v>
      </c>
      <c r="D2532" t="n">
        <v>3.069</v>
      </c>
      <c r="E2532" t="n">
        <v/>
      </c>
    </row>
    <row r="2533">
      <c r="A2533" s="27" t="n">
        <v>43374</v>
      </c>
      <c r="B2533" t="n">
        <v/>
      </c>
      <c r="C2533" t="n">
        <v>2.823</v>
      </c>
      <c r="D2533" t="n">
        <v>3.086</v>
      </c>
      <c r="E2533" t="n">
        <v/>
      </c>
    </row>
    <row r="2534">
      <c r="A2534" s="27" t="n">
        <v>43375</v>
      </c>
      <c r="B2534" t="n">
        <v/>
      </c>
      <c r="C2534" t="n">
        <v>2.815</v>
      </c>
      <c r="D2534" t="n">
        <v>3.061</v>
      </c>
      <c r="E2534" t="n">
        <v/>
      </c>
    </row>
    <row r="2535">
      <c r="A2535" s="27" t="n">
        <v>43376</v>
      </c>
      <c r="B2535" t="n">
        <v/>
      </c>
      <c r="C2535" t="n">
        <v>2.876</v>
      </c>
      <c r="D2535" t="n">
        <v>3.181</v>
      </c>
      <c r="E2535" t="n">
        <v/>
      </c>
    </row>
    <row r="2536">
      <c r="A2536" s="27" t="n">
        <v>43377</v>
      </c>
      <c r="B2536" t="n">
        <v/>
      </c>
      <c r="C2536" t="n">
        <v>2.872</v>
      </c>
      <c r="D2536" t="n">
        <v>3.187</v>
      </c>
      <c r="E2536" t="n">
        <v/>
      </c>
    </row>
    <row r="2537">
      <c r="A2537" s="27" t="n">
        <v>43378</v>
      </c>
      <c r="B2537" t="n">
        <v/>
      </c>
      <c r="C2537" t="n">
        <v>2.889</v>
      </c>
      <c r="D2537" t="n">
        <v>3.233</v>
      </c>
      <c r="E2537" t="n">
        <v/>
      </c>
    </row>
    <row r="2538">
      <c r="A2538" s="27" t="n">
        <v>43381</v>
      </c>
      <c r="B2538" t="n">
        <v/>
      </c>
      <c r="C2538" t="n">
        <v>2.873</v>
      </c>
      <c r="D2538" t="n">
        <v>3.231</v>
      </c>
      <c r="E2538" t="n">
        <v/>
      </c>
    </row>
    <row r="2539">
      <c r="A2539" s="27" t="n">
        <v>43382</v>
      </c>
      <c r="B2539" t="n">
        <v/>
      </c>
      <c r="C2539" t="n">
        <v>2.889</v>
      </c>
      <c r="D2539" t="n">
        <v>3.206</v>
      </c>
      <c r="E2539" t="n">
        <v/>
      </c>
    </row>
    <row r="2540">
      <c r="A2540" s="27" t="n">
        <v>43383</v>
      </c>
      <c r="B2540" t="n">
        <v/>
      </c>
      <c r="C2540" t="n">
        <v>2.852</v>
      </c>
      <c r="D2540" t="n">
        <v>3.174</v>
      </c>
      <c r="E2540" t="n">
        <v/>
      </c>
    </row>
    <row r="2541">
      <c r="A2541" s="27" t="n">
        <v>43384</v>
      </c>
      <c r="B2541" t="n">
        <v/>
      </c>
      <c r="C2541" t="n">
        <v>2.848</v>
      </c>
      <c r="D2541" t="n">
        <v>3.146</v>
      </c>
      <c r="E2541" t="n">
        <v/>
      </c>
    </row>
    <row r="2542">
      <c r="A2542" s="27" t="n">
        <v>43385</v>
      </c>
      <c r="B2542" t="n">
        <v/>
      </c>
      <c r="C2542" t="n">
        <v>2.861</v>
      </c>
      <c r="D2542" t="n">
        <v>3.167</v>
      </c>
      <c r="E2542" t="n">
        <v/>
      </c>
    </row>
    <row r="2543">
      <c r="A2543" s="27" t="n">
        <v>43387</v>
      </c>
      <c r="B2543" t="n">
        <v/>
      </c>
      <c r="C2543" t="n">
        <v>2.861</v>
      </c>
      <c r="D2543" t="n">
        <v>3.159</v>
      </c>
      <c r="E2543" t="n">
        <v/>
      </c>
    </row>
    <row r="2544">
      <c r="A2544" s="27" t="n">
        <v>43388</v>
      </c>
      <c r="B2544" t="n">
        <v/>
      </c>
      <c r="C2544" t="n">
        <v>2.857</v>
      </c>
      <c r="D2544" t="n">
        <v>3.156</v>
      </c>
      <c r="E2544" t="n">
        <v/>
      </c>
    </row>
    <row r="2545">
      <c r="A2545" s="27" t="n">
        <v>43389</v>
      </c>
      <c r="B2545" t="n">
        <v/>
      </c>
      <c r="C2545" t="n">
        <v>2.87</v>
      </c>
      <c r="D2545" t="n">
        <v>3.163</v>
      </c>
      <c r="E2545" t="n">
        <v/>
      </c>
    </row>
    <row r="2546">
      <c r="A2546" s="27" t="n">
        <v>43390</v>
      </c>
      <c r="B2546" t="n">
        <v/>
      </c>
      <c r="C2546" t="n">
        <v>2.895</v>
      </c>
      <c r="D2546" t="n">
        <v>3.207</v>
      </c>
      <c r="E2546" t="n">
        <v/>
      </c>
    </row>
    <row r="2547">
      <c r="A2547" s="27" t="n">
        <v>43391</v>
      </c>
      <c r="B2547" t="n">
        <v/>
      </c>
      <c r="C2547" t="n">
        <v>2.874</v>
      </c>
      <c r="D2547" t="n">
        <v>3.177</v>
      </c>
      <c r="E2547" t="n">
        <v/>
      </c>
    </row>
    <row r="2548">
      <c r="A2548" s="27" t="n">
        <v>43392</v>
      </c>
      <c r="B2548" t="n">
        <v/>
      </c>
      <c r="C2548" t="n">
        <v>2.908</v>
      </c>
      <c r="D2548" t="n">
        <v>3.196</v>
      </c>
      <c r="E2548" t="n">
        <v/>
      </c>
    </row>
    <row r="2549">
      <c r="A2549" s="27" t="n">
        <v>43394</v>
      </c>
      <c r="B2549" t="n">
        <v/>
      </c>
      <c r="C2549" t="n">
        <v>2.908</v>
      </c>
      <c r="D2549" t="n">
        <v>3.192</v>
      </c>
      <c r="E2549" t="n">
        <v/>
      </c>
    </row>
    <row r="2550">
      <c r="A2550" s="27" t="n">
        <v>43395</v>
      </c>
      <c r="B2550" t="n">
        <v/>
      </c>
      <c r="C2550" t="n">
        <v>2.912</v>
      </c>
      <c r="D2550" t="n">
        <v>3.2</v>
      </c>
      <c r="E2550" t="n">
        <v/>
      </c>
    </row>
    <row r="2551">
      <c r="A2551" s="27" t="n">
        <v>43396</v>
      </c>
      <c r="B2551" t="n">
        <v/>
      </c>
      <c r="C2551" t="n">
        <v>2.883</v>
      </c>
      <c r="D2551" t="n">
        <v>3.171</v>
      </c>
      <c r="E2551" t="n">
        <v/>
      </c>
    </row>
    <row r="2552">
      <c r="A2552" s="27" t="n">
        <v>43397</v>
      </c>
      <c r="B2552" t="n">
        <v/>
      </c>
      <c r="C2552" t="n">
        <v>2.843</v>
      </c>
      <c r="D2552" t="n">
        <v>3.111</v>
      </c>
      <c r="E2552" t="n">
        <v/>
      </c>
    </row>
    <row r="2553">
      <c r="A2553" s="27" t="n">
        <v>43398</v>
      </c>
      <c r="B2553" t="n">
        <v/>
      </c>
      <c r="C2553" t="n">
        <v>2.855</v>
      </c>
      <c r="D2553" t="n">
        <v>3.126</v>
      </c>
      <c r="E2553" t="n">
        <v/>
      </c>
    </row>
    <row r="2554">
      <c r="A2554" s="27" t="n">
        <v>43399</v>
      </c>
      <c r="B2554" t="n">
        <v/>
      </c>
      <c r="C2554" t="n">
        <v>2.81</v>
      </c>
      <c r="D2554" t="n">
        <v>3.077</v>
      </c>
      <c r="E2554" t="n">
        <v/>
      </c>
    </row>
    <row r="2555">
      <c r="A2555" s="27" t="n">
        <v>43401</v>
      </c>
      <c r="B2555" t="n">
        <v/>
      </c>
      <c r="C2555" t="n">
        <v>2.814</v>
      </c>
      <c r="D2555" t="n">
        <v>3.083</v>
      </c>
      <c r="E2555" t="n">
        <v/>
      </c>
    </row>
    <row r="2556">
      <c r="A2556" s="27" t="n">
        <v>43402</v>
      </c>
      <c r="B2556" t="n">
        <v/>
      </c>
      <c r="C2556" t="n">
        <v>2.822</v>
      </c>
      <c r="D2556" t="n">
        <v>3.089</v>
      </c>
      <c r="E2556" t="n">
        <v/>
      </c>
    </row>
    <row r="2557">
      <c r="A2557" s="27" t="n">
        <v>43403</v>
      </c>
      <c r="B2557" t="n">
        <v/>
      </c>
      <c r="C2557" t="n">
        <v>2.851</v>
      </c>
      <c r="D2557" t="n">
        <v>3.119</v>
      </c>
      <c r="E2557" t="n">
        <v/>
      </c>
    </row>
    <row r="2558">
      <c r="A2558" s="27" t="n">
        <v>43404</v>
      </c>
      <c r="B2558" t="n">
        <v/>
      </c>
      <c r="C2558" t="n">
        <v>2.871</v>
      </c>
      <c r="D2558" t="n">
        <v>3.149</v>
      </c>
      <c r="E2558" t="n">
        <v/>
      </c>
    </row>
    <row r="2559">
      <c r="A2559" s="27" t="n">
        <v>43405</v>
      </c>
      <c r="B2559" t="n">
        <v/>
      </c>
      <c r="C2559" t="n">
        <v>2.846</v>
      </c>
      <c r="D2559" t="n">
        <v>3.134</v>
      </c>
      <c r="E2559" t="n">
        <v/>
      </c>
    </row>
    <row r="2560">
      <c r="A2560" s="27" t="n">
        <v>43406</v>
      </c>
      <c r="B2560" t="n">
        <v/>
      </c>
      <c r="C2560" t="n">
        <v>2.912</v>
      </c>
      <c r="D2560" t="n">
        <v>3.22</v>
      </c>
      <c r="E2560" t="n">
        <v/>
      </c>
    </row>
    <row r="2561">
      <c r="A2561" s="27" t="n">
        <v>43408</v>
      </c>
      <c r="B2561" t="n">
        <v/>
      </c>
      <c r="C2561" t="n">
        <v>2.903</v>
      </c>
      <c r="D2561" t="n">
        <v>3.21</v>
      </c>
      <c r="E2561" t="n">
        <v/>
      </c>
    </row>
    <row r="2562">
      <c r="A2562" s="27" t="n">
        <v>43409</v>
      </c>
      <c r="B2562" t="n">
        <v/>
      </c>
      <c r="C2562" t="n">
        <v>2.912</v>
      </c>
      <c r="D2562" t="n">
        <v>3.201</v>
      </c>
      <c r="E2562" t="n">
        <v/>
      </c>
    </row>
    <row r="2563">
      <c r="A2563" s="27" t="n">
        <v>43410</v>
      </c>
      <c r="B2563" t="n">
        <v/>
      </c>
      <c r="C2563" t="n">
        <v>2.936</v>
      </c>
      <c r="D2563" t="n">
        <v>3.231</v>
      </c>
      <c r="E2563" t="n">
        <v/>
      </c>
    </row>
    <row r="2564">
      <c r="A2564" s="27" t="n">
        <v>43411</v>
      </c>
      <c r="B2564" t="n">
        <v/>
      </c>
      <c r="C2564" t="n">
        <v>2.965</v>
      </c>
      <c r="D2564" t="n">
        <v>3.237</v>
      </c>
      <c r="E2564" t="n">
        <v/>
      </c>
    </row>
    <row r="2565">
      <c r="A2565" s="27" t="n">
        <v>43412</v>
      </c>
      <c r="B2565" t="n">
        <v/>
      </c>
      <c r="C2565" t="n">
        <v>2.973</v>
      </c>
      <c r="D2565" t="n">
        <v>3.239</v>
      </c>
      <c r="E2565" t="n">
        <v/>
      </c>
    </row>
    <row r="2566">
      <c r="A2566" s="27" t="n">
        <v>43413</v>
      </c>
      <c r="B2566" t="n">
        <v/>
      </c>
      <c r="C2566" t="n">
        <v>2.928</v>
      </c>
      <c r="D2566" t="n">
        <v>3.186</v>
      </c>
      <c r="E2566" t="n">
        <v/>
      </c>
    </row>
    <row r="2567">
      <c r="A2567" s="27" t="n">
        <v>43416</v>
      </c>
      <c r="B2567" t="n">
        <v/>
      </c>
      <c r="C2567" t="n">
        <v>2.895</v>
      </c>
      <c r="D2567" t="n">
        <v>3.151</v>
      </c>
      <c r="E2567" t="n">
        <v/>
      </c>
    </row>
    <row r="2568">
      <c r="A2568" s="27" t="n">
        <v>43417</v>
      </c>
      <c r="B2568" t="n">
        <v/>
      </c>
      <c r="C2568" t="n">
        <v>2.895</v>
      </c>
      <c r="D2568" t="n">
        <v>3.142</v>
      </c>
      <c r="E2568" t="n">
        <v/>
      </c>
    </row>
    <row r="2569">
      <c r="A2569" s="27" t="n">
        <v>43418</v>
      </c>
      <c r="B2569" t="n">
        <v/>
      </c>
      <c r="C2569" t="n">
        <v>2.866</v>
      </c>
      <c r="D2569" t="n">
        <v>3.127</v>
      </c>
      <c r="E2569" t="n">
        <v/>
      </c>
    </row>
    <row r="2570">
      <c r="A2570" s="27" t="n">
        <v>43419</v>
      </c>
      <c r="B2570" t="n">
        <v/>
      </c>
      <c r="C2570" t="n">
        <v>2.858</v>
      </c>
      <c r="D2570" t="n">
        <v>3.11</v>
      </c>
      <c r="E2570" t="n">
        <v/>
      </c>
    </row>
    <row r="2571">
      <c r="A2571" s="27" t="n">
        <v>43420</v>
      </c>
      <c r="B2571" t="n">
        <v/>
      </c>
      <c r="C2571" t="n">
        <v>2.808</v>
      </c>
      <c r="D2571" t="n">
        <v>3.065</v>
      </c>
      <c r="E2571" t="n">
        <v/>
      </c>
    </row>
    <row r="2572">
      <c r="A2572" s="27" t="n">
        <v>43422</v>
      </c>
      <c r="B2572" t="n">
        <v/>
      </c>
      <c r="C2572" t="n">
        <v>2.796</v>
      </c>
      <c r="D2572" t="n">
        <v>3.057</v>
      </c>
      <c r="E2572" t="n">
        <v/>
      </c>
    </row>
    <row r="2573">
      <c r="A2573" s="27" t="n">
        <v>43423</v>
      </c>
      <c r="B2573" t="n">
        <v/>
      </c>
      <c r="C2573" t="n">
        <v>2.791</v>
      </c>
      <c r="D2573" t="n">
        <v>3.063</v>
      </c>
      <c r="E2573" t="n">
        <v/>
      </c>
    </row>
    <row r="2574">
      <c r="A2574" s="27" t="n">
        <v>43424</v>
      </c>
      <c r="B2574" t="n">
        <v/>
      </c>
      <c r="C2574" t="n">
        <v>2.808</v>
      </c>
      <c r="D2574" t="n">
        <v>3.061</v>
      </c>
      <c r="E2574" t="n">
        <v/>
      </c>
    </row>
    <row r="2575">
      <c r="A2575" s="27" t="n">
        <v>43425</v>
      </c>
      <c r="B2575" t="n">
        <v/>
      </c>
      <c r="C2575" t="n">
        <v>2.816</v>
      </c>
      <c r="D2575" t="n">
        <v>3.065</v>
      </c>
      <c r="E2575" t="n">
        <v/>
      </c>
    </row>
    <row r="2576">
      <c r="A2576" s="27" t="n">
        <v>43426</v>
      </c>
      <c r="B2576" t="n">
        <v/>
      </c>
      <c r="C2576" t="n">
        <v>2.816</v>
      </c>
      <c r="D2576" t="n">
        <v>3.065</v>
      </c>
      <c r="E2576" t="n">
        <v/>
      </c>
    </row>
    <row r="2577">
      <c r="A2577" s="27" t="n">
        <v>43427</v>
      </c>
      <c r="B2577" t="n">
        <v/>
      </c>
      <c r="C2577" t="n">
        <v>2.816</v>
      </c>
      <c r="D2577" t="n">
        <v>3.046</v>
      </c>
      <c r="E2577" t="n">
        <v/>
      </c>
    </row>
    <row r="2578">
      <c r="A2578" s="27" t="n">
        <v>43429</v>
      </c>
      <c r="B2578" t="n">
        <v/>
      </c>
      <c r="C2578" t="n">
        <v>2.812</v>
      </c>
      <c r="D2578" t="n">
        <v>3.048</v>
      </c>
      <c r="E2578" t="n">
        <v/>
      </c>
    </row>
    <row r="2579">
      <c r="A2579" s="27" t="n">
        <v>43430</v>
      </c>
      <c r="B2579" t="n">
        <v/>
      </c>
      <c r="C2579" t="n">
        <v>2.837</v>
      </c>
      <c r="D2579" t="n">
        <v>3.059</v>
      </c>
      <c r="E2579" t="n">
        <v/>
      </c>
    </row>
    <row r="2580">
      <c r="A2580" s="27" t="n">
        <v>43431</v>
      </c>
      <c r="B2580" t="n">
        <v/>
      </c>
      <c r="C2580" t="n">
        <v>2.835</v>
      </c>
      <c r="D2580" t="n">
        <v>3.059</v>
      </c>
      <c r="E2580" t="n">
        <v/>
      </c>
    </row>
    <row r="2581">
      <c r="A2581" s="27" t="n">
        <v>43432</v>
      </c>
      <c r="B2581" t="n">
        <v/>
      </c>
      <c r="C2581" t="n">
        <v>2.813</v>
      </c>
      <c r="D2581" t="n">
        <v>3.061</v>
      </c>
      <c r="E2581" t="n">
        <v/>
      </c>
    </row>
    <row r="2582">
      <c r="A2582" s="27" t="n">
        <v>43433</v>
      </c>
      <c r="B2582" t="n">
        <v/>
      </c>
      <c r="C2582" t="n">
        <v>2.809</v>
      </c>
      <c r="D2582" t="n">
        <v>3.032</v>
      </c>
      <c r="E2582" t="n">
        <v/>
      </c>
    </row>
    <row r="2583">
      <c r="A2583" s="27" t="n">
        <v>43434</v>
      </c>
      <c r="B2583" t="n">
        <v/>
      </c>
      <c r="C2583" t="n">
        <v>2.797</v>
      </c>
      <c r="D2583" t="n">
        <v>2.993</v>
      </c>
      <c r="E2583" t="n">
        <v/>
      </c>
    </row>
    <row r="2584">
      <c r="A2584" s="27" t="n">
        <v>43436</v>
      </c>
      <c r="B2584" t="n">
        <v/>
      </c>
      <c r="C2584" t="n">
        <v>2.833</v>
      </c>
      <c r="D2584" t="n">
        <v>3.039</v>
      </c>
      <c r="E2584" t="n">
        <v/>
      </c>
    </row>
    <row r="2585">
      <c r="A2585" s="27" t="n">
        <v>43437</v>
      </c>
      <c r="B2585" t="n">
        <v/>
      </c>
      <c r="C2585" t="n">
        <v>2.821</v>
      </c>
      <c r="D2585" t="n">
        <v>2.966</v>
      </c>
      <c r="E2585" t="n">
        <v/>
      </c>
    </row>
    <row r="2586">
      <c r="A2586" s="27" t="n">
        <v>43438</v>
      </c>
      <c r="B2586" t="n">
        <v/>
      </c>
      <c r="C2586" t="n">
        <v>2.799</v>
      </c>
      <c r="D2586" t="n">
        <v>2.915</v>
      </c>
      <c r="E2586" t="n">
        <v/>
      </c>
    </row>
    <row r="2587">
      <c r="A2587" s="27" t="n">
        <v>43439</v>
      </c>
      <c r="B2587" t="n">
        <v/>
      </c>
      <c r="C2587" t="n">
        <v>2.807</v>
      </c>
      <c r="D2587" t="n">
        <v>2.917</v>
      </c>
      <c r="E2587" t="n">
        <v/>
      </c>
    </row>
    <row r="2588">
      <c r="A2588" s="27" t="n">
        <v>43440</v>
      </c>
      <c r="B2588" t="n">
        <v/>
      </c>
      <c r="C2588" t="n">
        <v>2.762</v>
      </c>
      <c r="D2588" t="n">
        <v>2.892</v>
      </c>
      <c r="E2588" t="n">
        <v/>
      </c>
    </row>
    <row r="2589">
      <c r="A2589" s="27" t="n">
        <v>43441</v>
      </c>
      <c r="B2589" t="n">
        <v/>
      </c>
      <c r="C2589" t="n">
        <v>2.719</v>
      </c>
      <c r="D2589" t="n">
        <v>2.858</v>
      </c>
      <c r="E2589" t="n">
        <v/>
      </c>
    </row>
    <row r="2590">
      <c r="A2590" s="27" t="n">
        <v>43443</v>
      </c>
      <c r="B2590" t="n">
        <v/>
      </c>
      <c r="C2590" t="n">
        <v>2.697</v>
      </c>
      <c r="D2590" t="n">
        <v>2.829</v>
      </c>
      <c r="E2590" t="n">
        <v/>
      </c>
    </row>
    <row r="2591">
      <c r="A2591" s="27" t="n">
        <v>43444</v>
      </c>
      <c r="B2591" t="n">
        <v/>
      </c>
      <c r="C2591" t="n">
        <v>2.733</v>
      </c>
      <c r="D2591" t="n">
        <v>2.863</v>
      </c>
      <c r="E2591" t="n">
        <v/>
      </c>
    </row>
    <row r="2592">
      <c r="A2592" s="27" t="n">
        <v>43445</v>
      </c>
      <c r="B2592" t="n">
        <v/>
      </c>
      <c r="C2592" t="n">
        <v>2.766</v>
      </c>
      <c r="D2592" t="n">
        <v>2.879</v>
      </c>
      <c r="E2592" t="n">
        <v/>
      </c>
    </row>
    <row r="2593">
      <c r="A2593" s="27" t="n">
        <v>43446</v>
      </c>
      <c r="B2593" t="n">
        <v/>
      </c>
      <c r="C2593" t="n">
        <v>2.774</v>
      </c>
      <c r="D2593" t="n">
        <v>2.911</v>
      </c>
      <c r="E2593" t="n">
        <v/>
      </c>
    </row>
    <row r="2594">
      <c r="A2594" s="27" t="n">
        <v>43447</v>
      </c>
      <c r="B2594" t="n">
        <v/>
      </c>
      <c r="C2594" t="n">
        <v>2.762</v>
      </c>
      <c r="D2594" t="n">
        <v>2.913</v>
      </c>
      <c r="E2594" t="n">
        <v/>
      </c>
    </row>
    <row r="2595">
      <c r="A2595" s="27" t="n">
        <v>43448</v>
      </c>
      <c r="B2595" t="n">
        <v/>
      </c>
      <c r="C2595" t="n">
        <v>2.737</v>
      </c>
      <c r="D2595" t="n">
        <v>2.895</v>
      </c>
      <c r="E2595" t="n">
        <v/>
      </c>
    </row>
    <row r="2596">
      <c r="A2596" s="27" t="n">
        <v>43450</v>
      </c>
      <c r="B2596" t="n">
        <v/>
      </c>
      <c r="C2596" t="n">
        <v>2.739</v>
      </c>
      <c r="D2596" t="n">
        <v>2.893</v>
      </c>
      <c r="E2596" t="n">
        <v/>
      </c>
    </row>
    <row r="2597">
      <c r="A2597" s="27" t="n">
        <v>43451</v>
      </c>
      <c r="B2597" t="n">
        <v/>
      </c>
      <c r="C2597" t="n">
        <v>2.696</v>
      </c>
      <c r="D2597" t="n">
        <v>2.857</v>
      </c>
      <c r="E2597" t="n">
        <v/>
      </c>
    </row>
    <row r="2598">
      <c r="A2598" s="27" t="n">
        <v>43452</v>
      </c>
      <c r="B2598" t="n">
        <v/>
      </c>
      <c r="C2598" t="n">
        <v>2.65</v>
      </c>
      <c r="D2598" t="n">
        <v>2.823</v>
      </c>
      <c r="E2598" t="n">
        <v/>
      </c>
    </row>
    <row r="2599">
      <c r="A2599" s="27" t="n">
        <v>43453</v>
      </c>
      <c r="B2599" t="n">
        <v/>
      </c>
      <c r="C2599" t="n">
        <v>2.646</v>
      </c>
      <c r="D2599" t="n">
        <v>2.762</v>
      </c>
      <c r="E2599" t="n">
        <v/>
      </c>
    </row>
    <row r="2600">
      <c r="A2600" s="27" t="n">
        <v>43454</v>
      </c>
      <c r="B2600" t="n">
        <v/>
      </c>
      <c r="C2600" t="n">
        <v>2.671</v>
      </c>
      <c r="D2600" t="n">
        <v>2.808</v>
      </c>
      <c r="E2600" t="n">
        <v/>
      </c>
    </row>
    <row r="2601">
      <c r="A2601" s="27" t="n">
        <v>43455</v>
      </c>
      <c r="B2601" t="n">
        <v/>
      </c>
      <c r="C2601" t="n">
        <v>2.635</v>
      </c>
      <c r="D2601" t="n">
        <v>2.788</v>
      </c>
      <c r="E2601" t="n">
        <v/>
      </c>
    </row>
    <row r="2602">
      <c r="A2602" s="27" t="n">
        <v>43457</v>
      </c>
      <c r="B2602" t="n">
        <v/>
      </c>
      <c r="C2602" t="n">
        <v>2.635</v>
      </c>
      <c r="D2602" t="n">
        <v>2.788</v>
      </c>
      <c r="E2602" t="n">
        <v/>
      </c>
    </row>
    <row r="2603">
      <c r="A2603" s="27" t="n">
        <v>43458</v>
      </c>
      <c r="B2603" t="n">
        <v/>
      </c>
      <c r="C2603" t="n">
        <v>2.561</v>
      </c>
      <c r="D2603" t="n">
        <v>2.736</v>
      </c>
      <c r="E2603" t="n">
        <v/>
      </c>
    </row>
    <row r="2604">
      <c r="A2604" s="27" t="n">
        <v>43459</v>
      </c>
      <c r="B2604" t="n">
        <v/>
      </c>
      <c r="C2604" t="n">
        <v>2.579</v>
      </c>
      <c r="D2604" t="n">
        <v>2.751</v>
      </c>
      <c r="E2604" t="n">
        <v/>
      </c>
    </row>
    <row r="2605">
      <c r="A2605" s="27" t="n">
        <v>43460</v>
      </c>
      <c r="B2605" t="n">
        <v/>
      </c>
      <c r="C2605" t="n">
        <v>2.621</v>
      </c>
      <c r="D2605" t="n">
        <v>2.81</v>
      </c>
      <c r="E2605" t="n">
        <v/>
      </c>
    </row>
    <row r="2606">
      <c r="A2606" s="27" t="n">
        <v>43461</v>
      </c>
      <c r="B2606" t="n">
        <v/>
      </c>
      <c r="C2606" t="n">
        <v>2.567</v>
      </c>
      <c r="D2606" t="n">
        <v>2.774</v>
      </c>
      <c r="E2606" t="n">
        <v/>
      </c>
    </row>
    <row r="2607">
      <c r="A2607" s="27" t="n">
        <v>43462</v>
      </c>
      <c r="B2607" t="n">
        <v/>
      </c>
      <c r="C2607" t="n">
        <v>2.518</v>
      </c>
      <c r="D2607" t="n">
        <v>2.716</v>
      </c>
      <c r="E2607" t="n">
        <v/>
      </c>
    </row>
    <row r="2608">
      <c r="A2608" s="27" t="n">
        <v>43464</v>
      </c>
      <c r="B2608" t="n">
        <v/>
      </c>
      <c r="C2608" t="n">
        <v>2.518</v>
      </c>
      <c r="D2608" t="n">
        <v>2.716</v>
      </c>
      <c r="E2608" t="n">
        <v/>
      </c>
    </row>
    <row r="2609">
      <c r="A2609" s="27" t="n">
        <v>43465</v>
      </c>
      <c r="B2609" t="n">
        <v/>
      </c>
      <c r="C2609" t="n">
        <v>2.496</v>
      </c>
      <c r="D2609" t="n">
        <v>2.686</v>
      </c>
      <c r="E2609" t="n">
        <v/>
      </c>
    </row>
    <row r="2610">
      <c r="A2610" s="27" t="n">
        <v>43466</v>
      </c>
      <c r="B2610" t="n">
        <v/>
      </c>
      <c r="C2610" t="n">
        <v>2.496</v>
      </c>
      <c r="D2610" t="n">
        <v>2.686</v>
      </c>
      <c r="E2610" t="n">
        <v/>
      </c>
    </row>
    <row r="2611">
      <c r="A2611" s="27" t="n">
        <v>43467</v>
      </c>
      <c r="B2611" t="n">
        <v/>
      </c>
      <c r="C2611" t="n">
        <v>2.478</v>
      </c>
      <c r="D2611" t="n">
        <v>2.633</v>
      </c>
      <c r="E2611" t="n">
        <v/>
      </c>
    </row>
    <row r="2612">
      <c r="A2612" s="27" t="n">
        <v>43468</v>
      </c>
      <c r="B2612" t="n">
        <v/>
      </c>
      <c r="C2612" t="n">
        <v>2.379</v>
      </c>
      <c r="D2612" t="n">
        <v>2.552</v>
      </c>
      <c r="E2612" t="n">
        <v/>
      </c>
    </row>
    <row r="2613">
      <c r="A2613" s="27" t="n">
        <v>43469</v>
      </c>
      <c r="B2613" t="n">
        <v/>
      </c>
      <c r="C2613" t="n">
        <v>2.498</v>
      </c>
      <c r="D2613" t="n">
        <v>2.668</v>
      </c>
      <c r="E2613" t="n">
        <v/>
      </c>
    </row>
    <row r="2614">
      <c r="A2614" s="27" t="n">
        <v>43471</v>
      </c>
      <c r="B2614" t="n">
        <v/>
      </c>
      <c r="C2614" t="n">
        <v>2.504</v>
      </c>
      <c r="D2614" t="n">
        <v>2.668</v>
      </c>
      <c r="E2614" t="n">
        <v/>
      </c>
    </row>
    <row r="2615">
      <c r="A2615" s="27" t="n">
        <v>43472</v>
      </c>
      <c r="B2615" t="n">
        <v/>
      </c>
      <c r="C2615" t="n">
        <v>2.541</v>
      </c>
      <c r="D2615" t="n">
        <v>2.698</v>
      </c>
      <c r="E2615" t="n">
        <v/>
      </c>
    </row>
    <row r="2616">
      <c r="A2616" s="27" t="n">
        <v>43473</v>
      </c>
      <c r="B2616" t="n">
        <v/>
      </c>
      <c r="C2616" t="n">
        <v>2.588</v>
      </c>
      <c r="D2616" t="n">
        <v>2.73</v>
      </c>
      <c r="E2616" t="n">
        <v/>
      </c>
    </row>
    <row r="2617">
      <c r="A2617" s="27" t="n">
        <v>43474</v>
      </c>
      <c r="B2617" t="n">
        <v/>
      </c>
      <c r="C2617" t="n">
        <v>2.555</v>
      </c>
      <c r="D2617" t="n">
        <v>2.712</v>
      </c>
      <c r="E2617" t="n">
        <v/>
      </c>
    </row>
    <row r="2618">
      <c r="A2618" s="27" t="n">
        <v>43475</v>
      </c>
      <c r="B2618" t="n">
        <v/>
      </c>
      <c r="C2618" t="n">
        <v>2.575</v>
      </c>
      <c r="D2618" t="n">
        <v>2.746</v>
      </c>
      <c r="E2618" t="n">
        <v/>
      </c>
    </row>
    <row r="2619">
      <c r="A2619" s="27" t="n">
        <v>43476</v>
      </c>
      <c r="B2619" t="n">
        <v/>
      </c>
      <c r="C2619" t="n">
        <v>2.543</v>
      </c>
      <c r="D2619" t="n">
        <v>2.699</v>
      </c>
      <c r="E2619" t="n">
        <v/>
      </c>
    </row>
    <row r="2620">
      <c r="A2620" s="27" t="n">
        <v>43478</v>
      </c>
      <c r="B2620" t="n">
        <v/>
      </c>
      <c r="C2620" t="n">
        <v>2.543</v>
      </c>
      <c r="D2620" t="n">
        <v>2.699</v>
      </c>
      <c r="E2620" t="n">
        <v/>
      </c>
    </row>
    <row r="2621">
      <c r="A2621" s="27" t="n">
        <v>43479</v>
      </c>
      <c r="B2621" t="n">
        <v/>
      </c>
      <c r="C2621" t="n">
        <v>2.539</v>
      </c>
      <c r="D2621" t="n">
        <v>2.706</v>
      </c>
      <c r="E2621" t="n">
        <v/>
      </c>
    </row>
    <row r="2622">
      <c r="A2622" s="27" t="n">
        <v>43480</v>
      </c>
      <c r="B2622" t="n">
        <v/>
      </c>
      <c r="C2622" t="n">
        <v>2.535</v>
      </c>
      <c r="D2622" t="n">
        <v>2.718</v>
      </c>
      <c r="E2622" t="n">
        <v/>
      </c>
    </row>
    <row r="2623">
      <c r="A2623" s="27" t="n">
        <v>43481</v>
      </c>
      <c r="B2623" t="n">
        <v/>
      </c>
      <c r="C2623" t="n">
        <v>2.545</v>
      </c>
      <c r="D2623" t="n">
        <v>2.727</v>
      </c>
      <c r="E2623" t="n">
        <v/>
      </c>
    </row>
    <row r="2624">
      <c r="A2624" s="27" t="n">
        <v>43482</v>
      </c>
      <c r="B2624" t="n">
        <v/>
      </c>
      <c r="C2624" t="n">
        <v>2.57</v>
      </c>
      <c r="D2624" t="n">
        <v>2.75</v>
      </c>
      <c r="E2624" t="n">
        <v/>
      </c>
    </row>
    <row r="2625">
      <c r="A2625" s="27" t="n">
        <v>43483</v>
      </c>
      <c r="B2625" t="n">
        <v/>
      </c>
      <c r="C2625" t="n">
        <v>2.616</v>
      </c>
      <c r="D2625" t="n">
        <v>2.788</v>
      </c>
      <c r="E2625" t="n">
        <v/>
      </c>
    </row>
    <row r="2626">
      <c r="A2626" s="27" t="n">
        <v>43486</v>
      </c>
      <c r="B2626" t="n">
        <v/>
      </c>
      <c r="C2626" t="n">
        <v>2.601</v>
      </c>
      <c r="D2626" t="n">
        <v>2.773</v>
      </c>
      <c r="E2626" t="n">
        <v/>
      </c>
    </row>
    <row r="2627">
      <c r="A2627" s="27" t="n">
        <v>43487</v>
      </c>
      <c r="B2627" t="n">
        <v/>
      </c>
      <c r="C2627" t="n">
        <v>2.589</v>
      </c>
      <c r="D2627" t="n">
        <v>2.741</v>
      </c>
      <c r="E2627" t="n">
        <v/>
      </c>
    </row>
    <row r="2628">
      <c r="A2628" s="27" t="n">
        <v>43488</v>
      </c>
      <c r="B2628" t="n">
        <v/>
      </c>
      <c r="C2628" t="n">
        <v>2.589</v>
      </c>
      <c r="D2628" t="n">
        <v>2.75</v>
      </c>
      <c r="E2628" t="n">
        <v/>
      </c>
    </row>
    <row r="2629">
      <c r="A2629" s="27" t="n">
        <v>43489</v>
      </c>
      <c r="B2629" t="n">
        <v/>
      </c>
      <c r="C2629" t="n">
        <v>2.566</v>
      </c>
      <c r="D2629" t="n">
        <v>2.716</v>
      </c>
      <c r="E2629" t="n">
        <v/>
      </c>
    </row>
    <row r="2630">
      <c r="A2630" s="27" t="n">
        <v>43490</v>
      </c>
      <c r="B2630" t="n">
        <v/>
      </c>
      <c r="C2630" t="n">
        <v>2.611</v>
      </c>
      <c r="D2630" t="n">
        <v>2.759</v>
      </c>
      <c r="E2630" t="n">
        <v/>
      </c>
    </row>
    <row r="2631">
      <c r="A2631" s="27" t="n">
        <v>43492</v>
      </c>
      <c r="B2631" t="n">
        <v/>
      </c>
      <c r="C2631" t="n">
        <v>2.608</v>
      </c>
      <c r="D2631" t="n">
        <v>2.755</v>
      </c>
      <c r="E2631" t="n">
        <v/>
      </c>
    </row>
    <row r="2632">
      <c r="A2632" s="27" t="n">
        <v>43493</v>
      </c>
      <c r="B2632" t="n">
        <v/>
      </c>
      <c r="C2632" t="n">
        <v>2.592</v>
      </c>
      <c r="D2632" t="n">
        <v>2.748</v>
      </c>
      <c r="E2632" t="n">
        <v/>
      </c>
    </row>
    <row r="2633">
      <c r="A2633" s="27" t="n">
        <v>43494</v>
      </c>
      <c r="B2633" t="n">
        <v/>
      </c>
      <c r="C2633" t="n">
        <v>2.573</v>
      </c>
      <c r="D2633" t="n">
        <v>2.71</v>
      </c>
      <c r="E2633" t="n">
        <v/>
      </c>
    </row>
    <row r="2634">
      <c r="A2634" s="27" t="n">
        <v>43495</v>
      </c>
      <c r="B2634" t="n">
        <v/>
      </c>
      <c r="C2634" t="n">
        <v>2.51</v>
      </c>
      <c r="D2634" t="n">
        <v>2.678</v>
      </c>
      <c r="E2634" t="n">
        <v/>
      </c>
    </row>
    <row r="2635">
      <c r="A2635" s="27" t="n">
        <v>43496</v>
      </c>
      <c r="B2635" t="n">
        <v/>
      </c>
      <c r="C2635" t="n">
        <v>2.464</v>
      </c>
      <c r="D2635" t="n">
        <v>2.633</v>
      </c>
      <c r="E2635" t="n">
        <v/>
      </c>
    </row>
    <row r="2636">
      <c r="A2636" s="27" t="n">
        <v>43497</v>
      </c>
      <c r="B2636" t="n">
        <v/>
      </c>
      <c r="C2636" t="n">
        <v>2.506</v>
      </c>
      <c r="D2636" t="n">
        <v>2.684</v>
      </c>
      <c r="E2636" t="n">
        <v/>
      </c>
    </row>
    <row r="2637">
      <c r="A2637" s="27" t="n">
        <v>43500</v>
      </c>
      <c r="B2637" t="n">
        <v/>
      </c>
      <c r="C2637" t="n">
        <v>2.538</v>
      </c>
      <c r="D2637" t="n">
        <v>2.725</v>
      </c>
      <c r="E2637" t="n">
        <v/>
      </c>
    </row>
    <row r="2638">
      <c r="A2638" s="27" t="n">
        <v>43501</v>
      </c>
      <c r="B2638" t="n">
        <v/>
      </c>
      <c r="C2638" t="n">
        <v>2.528</v>
      </c>
      <c r="D2638" t="n">
        <v>2.704</v>
      </c>
      <c r="E2638" t="n">
        <v/>
      </c>
    </row>
    <row r="2639">
      <c r="A2639" s="27" t="n">
        <v>43502</v>
      </c>
      <c r="B2639" t="n">
        <v/>
      </c>
      <c r="C2639" t="n">
        <v>2.528</v>
      </c>
      <c r="D2639" t="n">
        <v>2.7</v>
      </c>
      <c r="E2639" t="n">
        <v/>
      </c>
    </row>
    <row r="2640">
      <c r="A2640" s="27" t="n">
        <v>43503</v>
      </c>
      <c r="B2640" t="n">
        <v/>
      </c>
      <c r="C2640" t="n">
        <v>2.483</v>
      </c>
      <c r="D2640" t="n">
        <v>2.657</v>
      </c>
      <c r="E2640" t="n">
        <v/>
      </c>
    </row>
    <row r="2641">
      <c r="A2641" s="27" t="n">
        <v>43504</v>
      </c>
      <c r="B2641" t="n">
        <v/>
      </c>
      <c r="C2641" t="n">
        <v>2.467</v>
      </c>
      <c r="D2641" t="n">
        <v>2.634</v>
      </c>
      <c r="E2641" t="n">
        <v/>
      </c>
    </row>
    <row r="2642">
      <c r="A2642" s="27" t="n">
        <v>43507</v>
      </c>
      <c r="B2642" t="n">
        <v/>
      </c>
      <c r="C2642" t="n">
        <v>2.487</v>
      </c>
      <c r="D2642" t="n">
        <v>2.654</v>
      </c>
      <c r="E2642" t="n">
        <v/>
      </c>
    </row>
    <row r="2643">
      <c r="A2643" s="27" t="n">
        <v>43508</v>
      </c>
      <c r="B2643" t="n">
        <v/>
      </c>
      <c r="C2643" t="n">
        <v>2.504</v>
      </c>
      <c r="D2643" t="n">
        <v>2.686</v>
      </c>
      <c r="E2643" t="n">
        <v/>
      </c>
    </row>
    <row r="2644">
      <c r="A2644" s="27" t="n">
        <v>43509</v>
      </c>
      <c r="B2644" t="n">
        <v/>
      </c>
      <c r="C2644" t="n">
        <v>2.537</v>
      </c>
      <c r="D2644" t="n">
        <v>2.709</v>
      </c>
      <c r="E2644" t="n">
        <v/>
      </c>
    </row>
    <row r="2645">
      <c r="A2645" s="27" t="n">
        <v>43510</v>
      </c>
      <c r="B2645" t="n">
        <v/>
      </c>
      <c r="C2645" t="n">
        <v>2.496</v>
      </c>
      <c r="D2645" t="n">
        <v>2.655</v>
      </c>
      <c r="E2645" t="n">
        <v/>
      </c>
    </row>
    <row r="2646">
      <c r="A2646" s="27" t="n">
        <v>43511</v>
      </c>
      <c r="B2646" t="n">
        <v/>
      </c>
      <c r="C2646" t="n">
        <v>2.518</v>
      </c>
      <c r="D2646" t="n">
        <v>2.664</v>
      </c>
      <c r="E2646" t="n">
        <v/>
      </c>
    </row>
    <row r="2647">
      <c r="A2647" s="27" t="n">
        <v>43514</v>
      </c>
      <c r="B2647" t="n">
        <v/>
      </c>
      <c r="C2647" t="n">
        <v>2.518</v>
      </c>
      <c r="D2647" t="n">
        <v>2.673</v>
      </c>
      <c r="E2647" t="n">
        <v/>
      </c>
    </row>
    <row r="2648">
      <c r="A2648" s="27" t="n">
        <v>43515</v>
      </c>
      <c r="B2648" t="n">
        <v/>
      </c>
      <c r="C2648" t="n">
        <v>2.491</v>
      </c>
      <c r="D2648" t="n">
        <v>2.636</v>
      </c>
      <c r="E2648" t="n">
        <v/>
      </c>
    </row>
    <row r="2649">
      <c r="A2649" s="27" t="n">
        <v>43516</v>
      </c>
      <c r="B2649" t="n">
        <v/>
      </c>
      <c r="C2649" t="n">
        <v>2.502</v>
      </c>
      <c r="D2649" t="n">
        <v>2.648</v>
      </c>
      <c r="E2649" t="n">
        <v/>
      </c>
    </row>
    <row r="2650">
      <c r="A2650" s="27" t="n">
        <v>43517</v>
      </c>
      <c r="B2650" t="n">
        <v/>
      </c>
      <c r="C2650" t="n">
        <v>2.531</v>
      </c>
      <c r="D2650" t="n">
        <v>2.695</v>
      </c>
      <c r="E2650" t="n">
        <v/>
      </c>
    </row>
    <row r="2651">
      <c r="A2651" s="27" t="n">
        <v>43518</v>
      </c>
      <c r="B2651" t="n">
        <v/>
      </c>
      <c r="C2651" t="n">
        <v>2.497</v>
      </c>
      <c r="D2651" t="n">
        <v>2.654</v>
      </c>
      <c r="E2651" t="n">
        <v/>
      </c>
    </row>
    <row r="2652">
      <c r="A2652" s="27" t="n">
        <v>43520</v>
      </c>
      <c r="B2652" t="n">
        <v/>
      </c>
      <c r="C2652" t="n">
        <v>2.504</v>
      </c>
      <c r="D2652" t="n">
        <v>2.666</v>
      </c>
      <c r="E2652" t="n">
        <v/>
      </c>
    </row>
    <row r="2653">
      <c r="A2653" s="27" t="n">
        <v>43521</v>
      </c>
      <c r="B2653" t="n">
        <v/>
      </c>
      <c r="C2653" t="n">
        <v>2.51</v>
      </c>
      <c r="D2653" t="n">
        <v>2.668</v>
      </c>
      <c r="E2653" t="n">
        <v/>
      </c>
    </row>
    <row r="2654">
      <c r="A2654" s="27" t="n">
        <v>43522</v>
      </c>
      <c r="B2654" t="n">
        <v/>
      </c>
      <c r="C2654" t="n">
        <v>2.484</v>
      </c>
      <c r="D2654" t="n">
        <v>2.638</v>
      </c>
      <c r="E2654" t="n">
        <v/>
      </c>
    </row>
    <row r="2655">
      <c r="A2655" s="27" t="n">
        <v>43523</v>
      </c>
      <c r="B2655" t="n">
        <v/>
      </c>
      <c r="C2655" t="n">
        <v>2.492</v>
      </c>
      <c r="D2655" t="n">
        <v>2.677</v>
      </c>
      <c r="E2655" t="n">
        <v/>
      </c>
    </row>
    <row r="2656">
      <c r="A2656" s="27" t="n">
        <v>43524</v>
      </c>
      <c r="B2656" t="n">
        <v/>
      </c>
      <c r="C2656" t="n">
        <v>2.518</v>
      </c>
      <c r="D2656" t="n">
        <v>2.717</v>
      </c>
      <c r="E2656" t="n">
        <v/>
      </c>
    </row>
    <row r="2657">
      <c r="A2657" s="27" t="n">
        <v>43525</v>
      </c>
      <c r="B2657" t="n">
        <v/>
      </c>
      <c r="C2657" t="n">
        <v>2.557</v>
      </c>
      <c r="D2657" t="n">
        <v>2.759</v>
      </c>
      <c r="E2657" t="n">
        <v/>
      </c>
    </row>
    <row r="2658">
      <c r="A2658" s="27" t="n">
        <v>43527</v>
      </c>
      <c r="B2658" t="n">
        <v/>
      </c>
      <c r="C2658" t="n">
        <v>2.565</v>
      </c>
      <c r="D2658" t="n">
        <v>2.766</v>
      </c>
      <c r="E2658" t="n">
        <v/>
      </c>
    </row>
    <row r="2659">
      <c r="A2659" s="27" t="n">
        <v>43528</v>
      </c>
      <c r="B2659" t="n">
        <v/>
      </c>
      <c r="C2659" t="n">
        <v>2.542</v>
      </c>
      <c r="D2659" t="n">
        <v>2.724</v>
      </c>
      <c r="E2659" t="n">
        <v/>
      </c>
    </row>
    <row r="2660">
      <c r="A2660" s="27" t="n">
        <v>43529</v>
      </c>
      <c r="B2660" t="n">
        <v/>
      </c>
      <c r="C2660" t="n">
        <v>2.547</v>
      </c>
      <c r="D2660" t="n">
        <v>2.719</v>
      </c>
      <c r="E2660" t="n">
        <v/>
      </c>
    </row>
    <row r="2661">
      <c r="A2661" s="27" t="n">
        <v>43530</v>
      </c>
      <c r="B2661" t="n">
        <v/>
      </c>
      <c r="C2661" t="n">
        <v>2.516</v>
      </c>
      <c r="D2661" t="n">
        <v>2.693</v>
      </c>
      <c r="E2661" t="n">
        <v/>
      </c>
    </row>
    <row r="2662">
      <c r="A2662" s="27" t="n">
        <v>43531</v>
      </c>
      <c r="B2662" t="n">
        <v/>
      </c>
      <c r="C2662" t="n">
        <v>2.475</v>
      </c>
      <c r="D2662" t="n">
        <v>2.641</v>
      </c>
      <c r="E2662" t="n">
        <v/>
      </c>
    </row>
    <row r="2663">
      <c r="A2663" s="27" t="n">
        <v>43532</v>
      </c>
      <c r="B2663" t="n">
        <v/>
      </c>
      <c r="C2663" t="n">
        <v>2.467</v>
      </c>
      <c r="D2663" t="n">
        <v>2.63</v>
      </c>
      <c r="E2663" t="n">
        <v/>
      </c>
    </row>
    <row r="2664">
      <c r="A2664" s="27" t="n">
        <v>43534</v>
      </c>
      <c r="B2664" t="n">
        <v/>
      </c>
      <c r="C2664" t="n">
        <v>2.467</v>
      </c>
      <c r="D2664" t="n">
        <v>2.63</v>
      </c>
      <c r="E2664" t="n">
        <v/>
      </c>
    </row>
    <row r="2665">
      <c r="A2665" s="27" t="n">
        <v>43535</v>
      </c>
      <c r="B2665" t="n">
        <v/>
      </c>
      <c r="C2665" t="n">
        <v>2.479</v>
      </c>
      <c r="D2665" t="n">
        <v>2.641</v>
      </c>
      <c r="E2665" t="n">
        <v/>
      </c>
    </row>
    <row r="2666">
      <c r="A2666" s="27" t="n">
        <v>43536</v>
      </c>
      <c r="B2666" t="n">
        <v/>
      </c>
      <c r="C2666" t="n">
        <v>2.453</v>
      </c>
      <c r="D2666" t="n">
        <v>2.6</v>
      </c>
      <c r="E2666" t="n">
        <v/>
      </c>
    </row>
    <row r="2667">
      <c r="A2667" s="27" t="n">
        <v>43537</v>
      </c>
      <c r="B2667" t="n">
        <v/>
      </c>
      <c r="C2667" t="n">
        <v>2.467</v>
      </c>
      <c r="D2667" t="n">
        <v>2.625</v>
      </c>
      <c r="E2667" t="n">
        <v/>
      </c>
    </row>
    <row r="2668">
      <c r="A2668" s="27" t="n">
        <v>43538</v>
      </c>
      <c r="B2668" t="n">
        <v/>
      </c>
      <c r="C2668" t="n">
        <v>2.463</v>
      </c>
      <c r="D2668" t="n">
        <v>2.63</v>
      </c>
      <c r="E2668" t="n">
        <v/>
      </c>
    </row>
    <row r="2669">
      <c r="A2669" s="27" t="n">
        <v>43539</v>
      </c>
      <c r="B2669" t="n">
        <v/>
      </c>
      <c r="C2669" t="n">
        <v>2.442</v>
      </c>
      <c r="D2669" t="n">
        <v>2.591</v>
      </c>
      <c r="E2669" t="n">
        <v/>
      </c>
    </row>
    <row r="2670">
      <c r="A2670" s="27" t="n">
        <v>43541</v>
      </c>
      <c r="B2670" t="n">
        <v/>
      </c>
      <c r="C2670" t="n">
        <v>2.444</v>
      </c>
      <c r="D2670" t="n">
        <v>2.594</v>
      </c>
      <c r="E2670" t="n">
        <v/>
      </c>
    </row>
    <row r="2671">
      <c r="A2671" s="27" t="n">
        <v>43542</v>
      </c>
      <c r="B2671" t="n">
        <v/>
      </c>
      <c r="C2671" t="n">
        <v>2.454</v>
      </c>
      <c r="D2671" t="n">
        <v>2.605</v>
      </c>
      <c r="E2671" t="n">
        <v/>
      </c>
    </row>
    <row r="2672">
      <c r="A2672" s="27" t="n">
        <v>43543</v>
      </c>
      <c r="B2672" t="n">
        <v/>
      </c>
      <c r="C2672" t="n">
        <v>2.475</v>
      </c>
      <c r="D2672" t="n">
        <v>2.618</v>
      </c>
      <c r="E2672" t="n">
        <v/>
      </c>
    </row>
    <row r="2673">
      <c r="A2673" s="27" t="n">
        <v>43544</v>
      </c>
      <c r="B2673" t="n">
        <v/>
      </c>
      <c r="C2673" t="n">
        <v>2.398</v>
      </c>
      <c r="D2673" t="n">
        <v>2.525</v>
      </c>
      <c r="E2673" t="n">
        <v/>
      </c>
    </row>
    <row r="2674">
      <c r="A2674" s="27" t="n">
        <v>43545</v>
      </c>
      <c r="B2674" t="n">
        <v/>
      </c>
      <c r="C2674" t="n">
        <v>2.41</v>
      </c>
      <c r="D2674" t="n">
        <v>2.539</v>
      </c>
      <c r="E2674" t="n">
        <v/>
      </c>
    </row>
    <row r="2675">
      <c r="A2675" s="27" t="n">
        <v>43546</v>
      </c>
      <c r="B2675" t="n">
        <v/>
      </c>
      <c r="C2675" t="n">
        <v>2.319</v>
      </c>
      <c r="D2675" t="n">
        <v>2.437</v>
      </c>
      <c r="E2675" t="n">
        <v/>
      </c>
    </row>
    <row r="2676">
      <c r="A2676" s="27" t="n">
        <v>43548</v>
      </c>
      <c r="B2676" t="n">
        <v/>
      </c>
      <c r="C2676" t="n">
        <v>2.323</v>
      </c>
      <c r="D2676" t="n">
        <v>2.451</v>
      </c>
      <c r="E2676" t="n">
        <v/>
      </c>
    </row>
    <row r="2677">
      <c r="A2677" s="27" t="n">
        <v>43549</v>
      </c>
      <c r="B2677" t="n">
        <v/>
      </c>
      <c r="C2677" t="n">
        <v>2.25</v>
      </c>
      <c r="D2677" t="n">
        <v>2.405</v>
      </c>
      <c r="E2677" t="n">
        <v/>
      </c>
    </row>
    <row r="2678">
      <c r="A2678" s="27" t="n">
        <v>43550</v>
      </c>
      <c r="B2678" t="n">
        <v/>
      </c>
      <c r="C2678" t="n">
        <v>2.27</v>
      </c>
      <c r="D2678" t="n">
        <v>2.425</v>
      </c>
      <c r="E2678" t="n">
        <v/>
      </c>
    </row>
    <row r="2679">
      <c r="A2679" s="27" t="n">
        <v>43551</v>
      </c>
      <c r="B2679" t="n">
        <v/>
      </c>
      <c r="C2679" t="n">
        <v>2.21</v>
      </c>
      <c r="D2679" t="n">
        <v>2.381</v>
      </c>
      <c r="E2679" t="n">
        <v/>
      </c>
    </row>
    <row r="2680">
      <c r="A2680" s="27" t="n">
        <v>43552</v>
      </c>
      <c r="B2680" t="n">
        <v/>
      </c>
      <c r="C2680" t="n">
        <v>2.232</v>
      </c>
      <c r="D2680" t="n">
        <v>2.391</v>
      </c>
      <c r="E2680" t="n">
        <v/>
      </c>
    </row>
    <row r="2681">
      <c r="A2681" s="27" t="n">
        <v>43553</v>
      </c>
      <c r="B2681" t="n">
        <v/>
      </c>
      <c r="C2681" t="n">
        <v>2.266</v>
      </c>
      <c r="D2681" t="n">
        <v>2.407</v>
      </c>
      <c r="E2681" t="n">
        <v/>
      </c>
    </row>
    <row r="2682">
      <c r="A2682" s="27" t="n">
        <v>43555</v>
      </c>
      <c r="B2682" t="n">
        <v/>
      </c>
      <c r="C2682" t="n">
        <v>2.286</v>
      </c>
      <c r="D2682" t="n">
        <v>2.428</v>
      </c>
      <c r="E2682" t="n">
        <v/>
      </c>
    </row>
    <row r="2683">
      <c r="A2683" s="27" t="n">
        <v>43556</v>
      </c>
      <c r="B2683" t="n">
        <v/>
      </c>
      <c r="C2683" t="n">
        <v>2.337</v>
      </c>
      <c r="D2683" t="n">
        <v>2.503</v>
      </c>
      <c r="E2683" t="n">
        <v/>
      </c>
    </row>
    <row r="2684">
      <c r="A2684" s="27" t="n">
        <v>43557</v>
      </c>
      <c r="B2684" t="n">
        <v/>
      </c>
      <c r="C2684" t="n">
        <v>2.302</v>
      </c>
      <c r="D2684" t="n">
        <v>2.472</v>
      </c>
      <c r="E2684" t="n">
        <v/>
      </c>
    </row>
    <row r="2685">
      <c r="A2685" s="27" t="n">
        <v>43558</v>
      </c>
      <c r="B2685" t="n">
        <v/>
      </c>
      <c r="C2685" t="n">
        <v>2.341</v>
      </c>
      <c r="D2685" t="n">
        <v>2.528</v>
      </c>
      <c r="E2685" t="n">
        <v/>
      </c>
    </row>
    <row r="2686">
      <c r="A2686" s="27" t="n">
        <v>43559</v>
      </c>
      <c r="B2686" t="n">
        <v/>
      </c>
      <c r="C2686" t="n">
        <v>2.339</v>
      </c>
      <c r="D2686" t="n">
        <v>2.513</v>
      </c>
      <c r="E2686" t="n">
        <v/>
      </c>
    </row>
    <row r="2687">
      <c r="A2687" s="27" t="n">
        <v>43560</v>
      </c>
      <c r="B2687" t="n">
        <v/>
      </c>
      <c r="C2687" t="n">
        <v>2.343</v>
      </c>
      <c r="D2687" t="n">
        <v>2.499</v>
      </c>
      <c r="E2687" t="n">
        <v/>
      </c>
    </row>
    <row r="2688">
      <c r="A2688" s="27" t="n">
        <v>43562</v>
      </c>
      <c r="B2688" t="n">
        <v/>
      </c>
      <c r="C2688" t="n">
        <v>2.345</v>
      </c>
      <c r="D2688" t="n">
        <v>2.503</v>
      </c>
      <c r="E2688" t="n">
        <v/>
      </c>
    </row>
    <row r="2689">
      <c r="A2689" s="27" t="n">
        <v>43563</v>
      </c>
      <c r="B2689" t="n">
        <v/>
      </c>
      <c r="C2689" t="n">
        <v>2.36</v>
      </c>
      <c r="D2689" t="n">
        <v>2.52</v>
      </c>
      <c r="E2689" t="n">
        <v/>
      </c>
    </row>
    <row r="2690">
      <c r="A2690" s="27" t="n">
        <v>43564</v>
      </c>
      <c r="B2690" t="n">
        <v/>
      </c>
      <c r="C2690" t="n">
        <v>2.35</v>
      </c>
      <c r="D2690" t="n">
        <v>2.502</v>
      </c>
      <c r="E2690" t="n">
        <v/>
      </c>
    </row>
    <row r="2691">
      <c r="A2691" s="27" t="n">
        <v>43565</v>
      </c>
      <c r="B2691" t="n">
        <v/>
      </c>
      <c r="C2691" t="n">
        <v>2.321</v>
      </c>
      <c r="D2691" t="n">
        <v>2.465</v>
      </c>
      <c r="E2691" t="n">
        <v/>
      </c>
    </row>
    <row r="2692">
      <c r="A2692" s="27" t="n">
        <v>43566</v>
      </c>
      <c r="B2692" t="n">
        <v/>
      </c>
      <c r="C2692" t="n">
        <v>2.358</v>
      </c>
      <c r="D2692" t="n">
        <v>2.499</v>
      </c>
      <c r="E2692" t="n">
        <v/>
      </c>
    </row>
    <row r="2693">
      <c r="A2693" s="27" t="n">
        <v>43567</v>
      </c>
      <c r="B2693" t="n">
        <v/>
      </c>
      <c r="C2693" t="n">
        <v>2.393</v>
      </c>
      <c r="D2693" t="n">
        <v>2.562</v>
      </c>
      <c r="E2693" t="n">
        <v/>
      </c>
    </row>
    <row r="2694">
      <c r="A2694" s="27" t="n">
        <v>43569</v>
      </c>
      <c r="B2694" t="n">
        <v/>
      </c>
      <c r="C2694" t="n">
        <v>2.391</v>
      </c>
      <c r="D2694" t="n">
        <v>2.556</v>
      </c>
      <c r="E2694" t="n">
        <v/>
      </c>
    </row>
    <row r="2695">
      <c r="A2695" s="27" t="n">
        <v>43570</v>
      </c>
      <c r="B2695" t="n">
        <v/>
      </c>
      <c r="C2695" t="n">
        <v>2.394</v>
      </c>
      <c r="D2695" t="n">
        <v>2.556</v>
      </c>
      <c r="E2695" t="n">
        <v/>
      </c>
    </row>
    <row r="2696">
      <c r="A2696" s="27" t="n">
        <v>43571</v>
      </c>
      <c r="B2696" t="n">
        <v/>
      </c>
      <c r="C2696" t="n">
        <v>2.414</v>
      </c>
      <c r="D2696" t="n">
        <v>2.592</v>
      </c>
      <c r="E2696" t="n">
        <v/>
      </c>
    </row>
    <row r="2697">
      <c r="A2697" s="27" t="n">
        <v>43572</v>
      </c>
      <c r="B2697" t="n">
        <v/>
      </c>
      <c r="C2697" t="n">
        <v>2.404</v>
      </c>
      <c r="D2697" t="n">
        <v>2.594</v>
      </c>
      <c r="E2697" t="n">
        <v/>
      </c>
    </row>
    <row r="2698">
      <c r="A2698" s="27" t="n">
        <v>43573</v>
      </c>
      <c r="B2698" t="n">
        <v/>
      </c>
      <c r="C2698" t="n">
        <v>2.38</v>
      </c>
      <c r="D2698" t="n">
        <v>2.56</v>
      </c>
      <c r="E2698" t="n">
        <v/>
      </c>
    </row>
    <row r="2699">
      <c r="A2699" s="27" t="n">
        <v>43576</v>
      </c>
      <c r="B2699" t="n">
        <v/>
      </c>
      <c r="C2699" t="n">
        <v>2.374</v>
      </c>
      <c r="D2699" t="n">
        <v>2.56</v>
      </c>
      <c r="E2699" t="n">
        <v/>
      </c>
    </row>
    <row r="2700">
      <c r="A2700" s="27" t="n">
        <v>43577</v>
      </c>
      <c r="B2700" t="n">
        <v/>
      </c>
      <c r="C2700" t="n">
        <v>2.387</v>
      </c>
      <c r="D2700" t="n">
        <v>2.587</v>
      </c>
      <c r="E2700" t="n">
        <v/>
      </c>
    </row>
    <row r="2701">
      <c r="A2701" s="27" t="n">
        <v>43578</v>
      </c>
      <c r="B2701" t="n">
        <v/>
      </c>
      <c r="C2701" t="n">
        <v>2.364</v>
      </c>
      <c r="D2701" t="n">
        <v>2.569</v>
      </c>
      <c r="E2701" t="n">
        <v/>
      </c>
    </row>
    <row r="2702">
      <c r="A2702" s="27" t="n">
        <v>43579</v>
      </c>
      <c r="B2702" t="n">
        <v/>
      </c>
      <c r="C2702" t="n">
        <v>2.32</v>
      </c>
      <c r="D2702" t="n">
        <v>2.518</v>
      </c>
      <c r="E2702" t="n">
        <v/>
      </c>
    </row>
    <row r="2703">
      <c r="A2703" s="27" t="n">
        <v>43580</v>
      </c>
      <c r="B2703" t="n">
        <v/>
      </c>
      <c r="C2703" t="n">
        <v>2.332</v>
      </c>
      <c r="D2703" t="n">
        <v>2.534</v>
      </c>
      <c r="E2703" t="n">
        <v/>
      </c>
    </row>
    <row r="2704">
      <c r="A2704" s="27" t="n">
        <v>43581</v>
      </c>
      <c r="B2704" t="n">
        <v/>
      </c>
      <c r="C2704" t="n">
        <v>2.286</v>
      </c>
      <c r="D2704" t="n">
        <v>2.5</v>
      </c>
      <c r="E2704" t="n">
        <v/>
      </c>
    </row>
    <row r="2705">
      <c r="A2705" s="27" t="n">
        <v>43584</v>
      </c>
      <c r="B2705" t="n">
        <v/>
      </c>
      <c r="C2705" t="n">
        <v>2.294</v>
      </c>
      <c r="D2705" t="n">
        <v>2.527</v>
      </c>
      <c r="E2705" t="n">
        <v/>
      </c>
    </row>
    <row r="2706">
      <c r="A2706" s="27" t="n">
        <v>43585</v>
      </c>
      <c r="B2706" t="n">
        <v/>
      </c>
      <c r="C2706" t="n">
        <v>2.266</v>
      </c>
      <c r="D2706" t="n">
        <v>2.504</v>
      </c>
      <c r="E2706" t="n">
        <v/>
      </c>
    </row>
    <row r="2707">
      <c r="A2707" s="27" t="n">
        <v>43586</v>
      </c>
      <c r="B2707" t="n">
        <v/>
      </c>
      <c r="C2707" t="n">
        <v>2.308</v>
      </c>
      <c r="D2707" t="n">
        <v>2.502</v>
      </c>
      <c r="E2707" t="n">
        <v/>
      </c>
    </row>
    <row r="2708">
      <c r="A2708" s="27" t="n">
        <v>43587</v>
      </c>
      <c r="B2708" t="n">
        <v/>
      </c>
      <c r="C2708" t="n">
        <v>2.347</v>
      </c>
      <c r="D2708" t="n">
        <v>2.545</v>
      </c>
      <c r="E2708" t="n">
        <v/>
      </c>
    </row>
    <row r="2709">
      <c r="A2709" s="27" t="n">
        <v>43588</v>
      </c>
      <c r="B2709" t="n">
        <v/>
      </c>
      <c r="C2709" t="n">
        <v>2.335</v>
      </c>
      <c r="D2709" t="n">
        <v>2.53</v>
      </c>
      <c r="E2709" t="n">
        <v/>
      </c>
    </row>
    <row r="2710">
      <c r="A2710" s="27" t="n">
        <v>43590</v>
      </c>
      <c r="B2710" t="n">
        <v/>
      </c>
      <c r="C2710" t="n">
        <v>2.335</v>
      </c>
      <c r="D2710" t="n">
        <v>2.53</v>
      </c>
      <c r="E2710" t="n">
        <v/>
      </c>
    </row>
    <row r="2711">
      <c r="A2711" s="27" t="n">
        <v>43591</v>
      </c>
      <c r="B2711" t="n">
        <v/>
      </c>
      <c r="C2711" t="n">
        <v>2.29</v>
      </c>
      <c r="D2711" t="n">
        <v>2.478</v>
      </c>
      <c r="E2711" t="n">
        <v/>
      </c>
    </row>
    <row r="2712">
      <c r="A2712" s="27" t="n">
        <v>43592</v>
      </c>
      <c r="B2712" t="n">
        <v/>
      </c>
      <c r="C2712" t="n">
        <v>2.286</v>
      </c>
      <c r="D2712" t="n">
        <v>2.448</v>
      </c>
      <c r="E2712" t="n">
        <v/>
      </c>
    </row>
    <row r="2713">
      <c r="A2713" s="27" t="n">
        <v>43593</v>
      </c>
      <c r="B2713" t="n">
        <v/>
      </c>
      <c r="C2713" t="n">
        <v>2.301</v>
      </c>
      <c r="D2713" t="n">
        <v>2.485</v>
      </c>
      <c r="E2713" t="n">
        <v/>
      </c>
    </row>
    <row r="2714">
      <c r="A2714" s="27" t="n">
        <v>43594</v>
      </c>
      <c r="B2714" t="n">
        <v/>
      </c>
      <c r="C2714" t="n">
        <v>2.266</v>
      </c>
      <c r="D2714" t="n">
        <v>2.453</v>
      </c>
      <c r="E2714" t="n">
        <v/>
      </c>
    </row>
    <row r="2715">
      <c r="A2715" s="27" t="n">
        <v>43595</v>
      </c>
      <c r="B2715" t="n">
        <v/>
      </c>
      <c r="C2715" t="n">
        <v>2.272</v>
      </c>
      <c r="D2715" t="n">
        <v>2.473</v>
      </c>
      <c r="E2715" t="n">
        <v/>
      </c>
    </row>
    <row r="2716">
      <c r="A2716" s="27" t="n">
        <v>43597</v>
      </c>
      <c r="B2716" t="n">
        <v/>
      </c>
      <c r="C2716" t="n">
        <v>2.233</v>
      </c>
      <c r="D2716" t="n">
        <v>2.435</v>
      </c>
      <c r="E2716" t="n">
        <v/>
      </c>
    </row>
    <row r="2717">
      <c r="A2717" s="27" t="n">
        <v>43598</v>
      </c>
      <c r="B2717" t="n">
        <v/>
      </c>
      <c r="C2717" t="n">
        <v>2.191</v>
      </c>
      <c r="D2717" t="n">
        <v>2.403</v>
      </c>
      <c r="E2717" t="n">
        <v/>
      </c>
    </row>
    <row r="2718">
      <c r="A2718" s="27" t="n">
        <v>43599</v>
      </c>
      <c r="B2718" t="n">
        <v/>
      </c>
      <c r="C2718" t="n">
        <v>2.199</v>
      </c>
      <c r="D2718" t="n">
        <v>2.414</v>
      </c>
      <c r="E2718" t="n">
        <v/>
      </c>
    </row>
    <row r="2719">
      <c r="A2719" s="27" t="n">
        <v>43600</v>
      </c>
      <c r="B2719" t="n">
        <v/>
      </c>
      <c r="C2719" t="n">
        <v>2.164</v>
      </c>
      <c r="D2719" t="n">
        <v>2.377</v>
      </c>
      <c r="E2719" t="n">
        <v/>
      </c>
    </row>
    <row r="2720">
      <c r="A2720" s="27" t="n">
        <v>43601</v>
      </c>
      <c r="B2720" t="n">
        <v/>
      </c>
      <c r="C2720" t="n">
        <v>2.194</v>
      </c>
      <c r="D2720" t="n">
        <v>2.394</v>
      </c>
      <c r="E2720" t="n">
        <v/>
      </c>
    </row>
    <row r="2721">
      <c r="A2721" s="27" t="n">
        <v>43602</v>
      </c>
      <c r="B2721" t="n">
        <v/>
      </c>
      <c r="C2721" t="n">
        <v>2.2</v>
      </c>
      <c r="D2721" t="n">
        <v>2.393</v>
      </c>
      <c r="E2721" t="n">
        <v/>
      </c>
    </row>
    <row r="2722">
      <c r="A2722" s="27" t="n">
        <v>43604</v>
      </c>
      <c r="B2722" t="n">
        <v/>
      </c>
      <c r="C2722" t="n">
        <v>2.213</v>
      </c>
      <c r="D2722" t="n">
        <v>2.401</v>
      </c>
      <c r="E2722" t="n">
        <v/>
      </c>
    </row>
    <row r="2723">
      <c r="A2723" s="27" t="n">
        <v>43605</v>
      </c>
      <c r="B2723" t="n">
        <v/>
      </c>
      <c r="C2723" t="n">
        <v>2.223</v>
      </c>
      <c r="D2723" t="n">
        <v>2.419</v>
      </c>
      <c r="E2723" t="n">
        <v/>
      </c>
    </row>
    <row r="2724">
      <c r="A2724" s="27" t="n">
        <v>43606</v>
      </c>
      <c r="B2724" t="n">
        <v/>
      </c>
      <c r="C2724" t="n">
        <v>2.258</v>
      </c>
      <c r="D2724" t="n">
        <v>2.428</v>
      </c>
      <c r="E2724" t="n">
        <v/>
      </c>
    </row>
    <row r="2725">
      <c r="A2725" s="27" t="n">
        <v>43607</v>
      </c>
      <c r="B2725" t="n">
        <v/>
      </c>
      <c r="C2725" t="n">
        <v>2.227</v>
      </c>
      <c r="D2725" t="n">
        <v>2.38</v>
      </c>
      <c r="E2725" t="n">
        <v/>
      </c>
    </row>
    <row r="2726">
      <c r="A2726" s="27" t="n">
        <v>43608</v>
      </c>
      <c r="B2726" t="n">
        <v/>
      </c>
      <c r="C2726" t="n">
        <v>2.15</v>
      </c>
      <c r="D2726" t="n">
        <v>2.322</v>
      </c>
      <c r="E2726" t="n">
        <v/>
      </c>
    </row>
    <row r="2727">
      <c r="A2727" s="27" t="n">
        <v>43609</v>
      </c>
      <c r="B2727" t="n">
        <v/>
      </c>
      <c r="C2727" t="n">
        <v>2.168</v>
      </c>
      <c r="D2727" t="n">
        <v>2.324</v>
      </c>
      <c r="E2727" t="n">
        <v/>
      </c>
    </row>
    <row r="2728">
      <c r="A2728" s="27" t="n">
        <v>43612</v>
      </c>
      <c r="B2728" t="n">
        <v/>
      </c>
      <c r="C2728" t="n">
        <v>2.172</v>
      </c>
      <c r="D2728" t="n">
        <v>2.31</v>
      </c>
      <c r="E2728" t="n">
        <v/>
      </c>
    </row>
    <row r="2729">
      <c r="A2729" s="27" t="n">
        <v>43613</v>
      </c>
      <c r="B2729" t="n">
        <v/>
      </c>
      <c r="C2729" t="n">
        <v>2.129</v>
      </c>
      <c r="D2729" t="n">
        <v>2.268</v>
      </c>
      <c r="E2729" t="n">
        <v/>
      </c>
    </row>
    <row r="2730">
      <c r="A2730" s="27" t="n">
        <v>43614</v>
      </c>
      <c r="B2730" t="n">
        <v/>
      </c>
      <c r="C2730" t="n">
        <v>2.109</v>
      </c>
      <c r="D2730" t="n">
        <v>2.262</v>
      </c>
      <c r="E2730" t="n">
        <v/>
      </c>
    </row>
    <row r="2731">
      <c r="A2731" s="27" t="n">
        <v>43615</v>
      </c>
      <c r="B2731" t="n">
        <v/>
      </c>
      <c r="C2731" t="n">
        <v>2.067</v>
      </c>
      <c r="D2731" t="n">
        <v>2.217</v>
      </c>
      <c r="E2731" t="n">
        <v/>
      </c>
    </row>
    <row r="2732">
      <c r="A2732" s="27" t="n">
        <v>43616</v>
      </c>
      <c r="B2732" t="n">
        <v/>
      </c>
      <c r="C2732" t="n">
        <v>1.924</v>
      </c>
      <c r="D2732" t="n">
        <v>2.133</v>
      </c>
      <c r="E2732" t="n">
        <v/>
      </c>
    </row>
    <row r="2733">
      <c r="A2733" s="27" t="n">
        <v>43618</v>
      </c>
      <c r="B2733" t="n">
        <v/>
      </c>
      <c r="C2733" t="n">
        <v>1.914</v>
      </c>
      <c r="D2733" t="n">
        <v>2.125</v>
      </c>
      <c r="E2733" t="n">
        <v/>
      </c>
    </row>
    <row r="2734">
      <c r="A2734" s="27" t="n">
        <v>43619</v>
      </c>
      <c r="B2734" t="n">
        <v/>
      </c>
      <c r="C2734" t="n">
        <v>1.84</v>
      </c>
      <c r="D2734" t="n">
        <v>2.075</v>
      </c>
      <c r="E2734" t="n">
        <v/>
      </c>
    </row>
    <row r="2735">
      <c r="A2735" s="27" t="n">
        <v>43620</v>
      </c>
      <c r="B2735" t="n">
        <v/>
      </c>
      <c r="C2735" t="n">
        <v>1.879</v>
      </c>
      <c r="D2735" t="n">
        <v>2.121</v>
      </c>
      <c r="E2735" t="n">
        <v/>
      </c>
    </row>
    <row r="2736">
      <c r="A2736" s="27" t="n">
        <v>43621</v>
      </c>
      <c r="B2736" t="n">
        <v/>
      </c>
      <c r="C2736" t="n">
        <v/>
      </c>
      <c r="D2736" t="n">
        <v>2.131</v>
      </c>
      <c r="E2736" t="n">
        <v/>
      </c>
    </row>
    <row r="2737">
      <c r="A2737" s="27" t="n">
        <v>43622</v>
      </c>
      <c r="B2737" t="n">
        <v/>
      </c>
      <c r="C2737" t="n">
        <v/>
      </c>
      <c r="D2737" t="n">
        <v>2.121</v>
      </c>
      <c r="E2737" t="n">
        <v/>
      </c>
    </row>
    <row r="2738">
      <c r="A2738" s="27" t="n">
        <v>43623</v>
      </c>
      <c r="B2738" t="n">
        <v/>
      </c>
      <c r="C2738" t="n">
        <v/>
      </c>
      <c r="D2738" t="n">
        <v>2.084</v>
      </c>
      <c r="E2738" t="n">
        <v/>
      </c>
    </row>
    <row r="2739">
      <c r="A2739" s="27" t="n">
        <v>43625</v>
      </c>
      <c r="B2739" t="n">
        <v/>
      </c>
      <c r="C2739" t="n">
        <v/>
      </c>
      <c r="D2739" t="n">
        <v>2.121</v>
      </c>
      <c r="E2739" t="n">
        <v/>
      </c>
    </row>
    <row r="2740">
      <c r="A2740" s="27" t="n">
        <v>43626</v>
      </c>
      <c r="B2740" t="n">
        <v/>
      </c>
      <c r="C2740" t="n">
        <v>1.908</v>
      </c>
      <c r="D2740" t="n">
        <v>2.15</v>
      </c>
      <c r="E2740" t="n">
        <v/>
      </c>
    </row>
    <row r="2741">
      <c r="A2741" s="27" t="n">
        <v>43627</v>
      </c>
      <c r="B2741" t="n">
        <v/>
      </c>
      <c r="C2741" t="n">
        <v>1.93</v>
      </c>
      <c r="D2741" t="n">
        <v>2.145</v>
      </c>
      <c r="E2741" t="n">
        <v/>
      </c>
    </row>
    <row r="2742">
      <c r="A2742" s="27" t="n">
        <v>43628</v>
      </c>
      <c r="B2742" t="n">
        <v/>
      </c>
      <c r="C2742" t="n">
        <v>1.883</v>
      </c>
      <c r="D2742" t="n">
        <v>2.122</v>
      </c>
      <c r="E2742" t="n">
        <v/>
      </c>
    </row>
    <row r="2743">
      <c r="A2743" s="27" t="n">
        <v>43629</v>
      </c>
      <c r="B2743" t="n">
        <v/>
      </c>
      <c r="C2743" t="n">
        <v>1.834</v>
      </c>
      <c r="D2743" t="n">
        <v>2.093</v>
      </c>
      <c r="E2743" t="n">
        <v/>
      </c>
    </row>
    <row r="2744">
      <c r="A2744" s="27" t="n">
        <v>43630</v>
      </c>
      <c r="B2744" t="n">
        <v/>
      </c>
      <c r="C2744" t="n">
        <v>1.845</v>
      </c>
      <c r="D2744" t="n">
        <v>2.084</v>
      </c>
      <c r="E2744" t="n">
        <v/>
      </c>
    </row>
    <row r="2745">
      <c r="A2745" s="27" t="n">
        <v>43632</v>
      </c>
      <c r="B2745" t="n">
        <v/>
      </c>
      <c r="C2745" t="n">
        <v>1.857</v>
      </c>
      <c r="D2745" t="n">
        <v>2.092</v>
      </c>
      <c r="E2745" t="n">
        <v/>
      </c>
    </row>
    <row r="2746">
      <c r="A2746" s="27" t="n">
        <v>43633</v>
      </c>
      <c r="B2746" t="n">
        <v/>
      </c>
      <c r="C2746" t="n">
        <v>1.871</v>
      </c>
      <c r="D2746" t="n">
        <v>2.091</v>
      </c>
      <c r="E2746" t="n">
        <v/>
      </c>
    </row>
    <row r="2747">
      <c r="A2747" s="27" t="n">
        <v>43634</v>
      </c>
      <c r="B2747" t="n">
        <v/>
      </c>
      <c r="C2747" t="n">
        <v>1.864</v>
      </c>
      <c r="D2747" t="n">
        <v>2.058</v>
      </c>
      <c r="E2747" t="n">
        <v/>
      </c>
    </row>
    <row r="2748">
      <c r="A2748" s="27" t="n">
        <v>43635</v>
      </c>
      <c r="B2748" t="n">
        <v/>
      </c>
      <c r="C2748" t="n">
        <v>1.741</v>
      </c>
      <c r="D2748" t="n">
        <v>2.029</v>
      </c>
      <c r="E2748" t="n">
        <v/>
      </c>
    </row>
    <row r="2749">
      <c r="A2749" s="27" t="n">
        <v>43636</v>
      </c>
      <c r="B2749" t="n">
        <v/>
      </c>
      <c r="C2749" t="n">
        <v>1.775</v>
      </c>
      <c r="D2749" t="n">
        <v>2.023</v>
      </c>
      <c r="E2749" t="n">
        <v/>
      </c>
    </row>
    <row r="2750">
      <c r="A2750" s="27" t="n">
        <v>43637</v>
      </c>
      <c r="B2750" t="n">
        <v/>
      </c>
      <c r="C2750" t="n">
        <v>1.772</v>
      </c>
      <c r="D2750" t="n">
        <v>2.059</v>
      </c>
      <c r="E2750" t="n">
        <v/>
      </c>
    </row>
    <row r="2751">
      <c r="A2751" s="27" t="n">
        <v>43639</v>
      </c>
      <c r="B2751" t="n">
        <v/>
      </c>
      <c r="C2751" t="n">
        <v>1.776</v>
      </c>
      <c r="D2751" t="n">
        <v>2.059</v>
      </c>
      <c r="E2751" t="n">
        <v/>
      </c>
    </row>
    <row r="2752">
      <c r="A2752" s="27" t="n">
        <v>43640</v>
      </c>
      <c r="B2752" t="n">
        <v/>
      </c>
      <c r="C2752" t="n">
        <v>1.734</v>
      </c>
      <c r="D2752" t="n">
        <v>2.018</v>
      </c>
      <c r="E2752" t="n">
        <v/>
      </c>
    </row>
    <row r="2753">
      <c r="A2753" s="27" t="n">
        <v>43641</v>
      </c>
      <c r="B2753" t="n">
        <v/>
      </c>
      <c r="C2753" t="n">
        <v>1.736</v>
      </c>
      <c r="D2753" t="n">
        <v>1.988</v>
      </c>
      <c r="E2753" t="n">
        <v/>
      </c>
    </row>
    <row r="2754">
      <c r="A2754" s="27" t="n">
        <v>43642</v>
      </c>
      <c r="B2754" t="n">
        <v/>
      </c>
      <c r="C2754" t="n">
        <v>1.775</v>
      </c>
      <c r="D2754" t="n">
        <v>2.05</v>
      </c>
      <c r="E2754" t="n">
        <v/>
      </c>
    </row>
    <row r="2755">
      <c r="A2755" s="27" t="n">
        <v>43643</v>
      </c>
      <c r="B2755" t="n">
        <v/>
      </c>
      <c r="C2755" t="n">
        <v>1.747</v>
      </c>
      <c r="D2755" t="n">
        <v>2.014</v>
      </c>
      <c r="E2755" t="n">
        <v/>
      </c>
    </row>
    <row r="2756">
      <c r="A2756" s="27" t="n">
        <v>43644</v>
      </c>
      <c r="B2756" t="n">
        <v/>
      </c>
      <c r="C2756" t="n">
        <v>1.757</v>
      </c>
      <c r="D2756" t="n">
        <v>2.007</v>
      </c>
      <c r="E2756" t="n">
        <v/>
      </c>
    </row>
    <row r="2757">
      <c r="A2757" s="27" t="n">
        <v>43646</v>
      </c>
      <c r="B2757" t="n">
        <v/>
      </c>
      <c r="C2757" t="n">
        <v>1.803</v>
      </c>
      <c r="D2757" t="n">
        <v>2.045</v>
      </c>
      <c r="E2757" t="n">
        <v/>
      </c>
    </row>
    <row r="2758">
      <c r="A2758" s="27" t="n">
        <v>43647</v>
      </c>
      <c r="B2758" t="n">
        <v/>
      </c>
      <c r="C2758" t="n">
        <v>1.791</v>
      </c>
      <c r="D2758" t="n">
        <v>2.033</v>
      </c>
      <c r="E2758" t="n">
        <v/>
      </c>
    </row>
    <row r="2759">
      <c r="A2759" s="27" t="n">
        <v>43648</v>
      </c>
      <c r="B2759" t="n">
        <v/>
      </c>
      <c r="C2759" t="n">
        <v>1.763</v>
      </c>
      <c r="D2759" t="n">
        <v>1.976</v>
      </c>
      <c r="E2759" t="n">
        <v/>
      </c>
    </row>
    <row r="2760">
      <c r="A2760" s="27" t="n">
        <v>43649</v>
      </c>
      <c r="B2760" t="n">
        <v/>
      </c>
      <c r="C2760" t="n">
        <v>1.764</v>
      </c>
      <c r="D2760" t="n">
        <v>1.953</v>
      </c>
      <c r="E2760" t="n">
        <v/>
      </c>
    </row>
    <row r="2761">
      <c r="A2761" s="27" t="n">
        <v>43650</v>
      </c>
      <c r="B2761" t="n">
        <v/>
      </c>
      <c r="C2761" t="n">
        <v>1.762</v>
      </c>
      <c r="D2761" t="n">
        <v>1.948</v>
      </c>
      <c r="E2761" t="n">
        <v/>
      </c>
    </row>
    <row r="2762">
      <c r="A2762" s="27" t="n">
        <v>43651</v>
      </c>
      <c r="B2762" t="n">
        <v/>
      </c>
      <c r="C2762" t="n">
        <v>1.867</v>
      </c>
      <c r="D2762" t="n">
        <v>2.039</v>
      </c>
      <c r="E2762" t="n">
        <v/>
      </c>
    </row>
    <row r="2763">
      <c r="A2763" s="27" t="n">
        <v>43653</v>
      </c>
      <c r="B2763" t="n">
        <v/>
      </c>
      <c r="C2763" t="n">
        <v>1.875</v>
      </c>
      <c r="D2763" t="n">
        <v>2.043</v>
      </c>
      <c r="E2763" t="n">
        <v/>
      </c>
    </row>
    <row r="2764">
      <c r="A2764" s="27" t="n">
        <v>43654</v>
      </c>
      <c r="B2764" t="n">
        <v/>
      </c>
      <c r="C2764" t="n">
        <v>1.888</v>
      </c>
      <c r="D2764" t="n">
        <v>2.048</v>
      </c>
      <c r="E2764" t="n">
        <v/>
      </c>
    </row>
    <row r="2765">
      <c r="A2765" s="27" t="n">
        <v>43655</v>
      </c>
      <c r="B2765" t="n">
        <v/>
      </c>
      <c r="C2765" t="n">
        <v>1.919</v>
      </c>
      <c r="D2765" t="n">
        <v>2.072</v>
      </c>
      <c r="E2765" t="n">
        <v/>
      </c>
    </row>
    <row r="2766">
      <c r="A2766" s="27" t="n">
        <v>43656</v>
      </c>
      <c r="B2766" t="n">
        <v/>
      </c>
      <c r="C2766" t="n">
        <v>1.828</v>
      </c>
      <c r="D2766" t="n">
        <v>2.061</v>
      </c>
      <c r="E2766" t="n">
        <v/>
      </c>
    </row>
    <row r="2767">
      <c r="A2767" s="27" t="n">
        <v>43657</v>
      </c>
      <c r="B2767" t="n">
        <v/>
      </c>
      <c r="C2767" t="n">
        <v>1.869</v>
      </c>
      <c r="D2767" t="n">
        <v>2.143</v>
      </c>
      <c r="E2767" t="n">
        <v/>
      </c>
    </row>
    <row r="2768">
      <c r="A2768" s="27" t="n">
        <v>43658</v>
      </c>
      <c r="B2768" t="n">
        <v/>
      </c>
      <c r="C2768" t="n">
        <v>1.845</v>
      </c>
      <c r="D2768" t="n">
        <v>2.124</v>
      </c>
      <c r="E2768" t="n">
        <v/>
      </c>
    </row>
    <row r="2769">
      <c r="A2769" s="27" t="n">
        <v>43660</v>
      </c>
      <c r="B2769" t="n">
        <v/>
      </c>
      <c r="C2769" t="n">
        <v>1.845</v>
      </c>
      <c r="D2769" t="n">
        <v>2.124</v>
      </c>
      <c r="E2769" t="n">
        <v/>
      </c>
    </row>
    <row r="2770">
      <c r="A2770" s="27" t="n">
        <v>43661</v>
      </c>
      <c r="B2770" t="n">
        <v/>
      </c>
      <c r="C2770" t="n">
        <v>1.835</v>
      </c>
      <c r="D2770" t="n">
        <v>2.09</v>
      </c>
      <c r="E2770" t="n">
        <v/>
      </c>
    </row>
    <row r="2771">
      <c r="A2771" s="27" t="n">
        <v>43662</v>
      </c>
      <c r="B2771" t="n">
        <v/>
      </c>
      <c r="C2771" t="n">
        <v>1.854</v>
      </c>
      <c r="D2771" t="n">
        <v>2.106</v>
      </c>
      <c r="E2771" t="n">
        <v/>
      </c>
    </row>
    <row r="2772">
      <c r="A2772" s="27" t="n">
        <v>43663</v>
      </c>
      <c r="B2772" t="n">
        <v/>
      </c>
      <c r="C2772" t="n">
        <v>1.811</v>
      </c>
      <c r="D2772" t="n">
        <v>2.043</v>
      </c>
      <c r="E2772" t="n">
        <v/>
      </c>
    </row>
    <row r="2773">
      <c r="A2773" s="27" t="n">
        <v>43664</v>
      </c>
      <c r="B2773" t="n">
        <v/>
      </c>
      <c r="C2773" t="n">
        <v>1.756</v>
      </c>
      <c r="D2773" t="n">
        <v>2.026</v>
      </c>
      <c r="E2773" t="n">
        <v/>
      </c>
    </row>
    <row r="2774">
      <c r="A2774" s="27" t="n">
        <v>43665</v>
      </c>
      <c r="B2774" t="n">
        <v/>
      </c>
      <c r="C2774" t="n">
        <v>1.824</v>
      </c>
      <c r="D2774" t="n">
        <v>2.057</v>
      </c>
      <c r="E2774" t="n">
        <v/>
      </c>
    </row>
    <row r="2775">
      <c r="A2775" s="27" t="n">
        <v>43667</v>
      </c>
      <c r="B2775" t="n">
        <v/>
      </c>
      <c r="C2775" t="n">
        <v>1.833</v>
      </c>
      <c r="D2775" t="n">
        <v>2.059</v>
      </c>
      <c r="E2775" t="n">
        <v/>
      </c>
    </row>
    <row r="2776">
      <c r="A2776" s="27" t="n">
        <v>43668</v>
      </c>
      <c r="B2776" t="n">
        <v/>
      </c>
      <c r="C2776" t="n">
        <v>1.817</v>
      </c>
      <c r="D2776" t="n">
        <v>2.05</v>
      </c>
      <c r="E2776" t="n">
        <v/>
      </c>
    </row>
    <row r="2777">
      <c r="A2777" s="27" t="n">
        <v>43669</v>
      </c>
      <c r="B2777" t="n">
        <v/>
      </c>
      <c r="C2777" t="n">
        <v>1.837</v>
      </c>
      <c r="D2777" t="n">
        <v>2.078</v>
      </c>
      <c r="E2777" t="n">
        <v/>
      </c>
    </row>
    <row r="2778">
      <c r="A2778" s="27" t="n">
        <v>43670</v>
      </c>
      <c r="B2778" t="n">
        <v/>
      </c>
      <c r="C2778" t="n">
        <v>1.822</v>
      </c>
      <c r="D2778" t="n">
        <v>2.05</v>
      </c>
      <c r="E2778" t="n">
        <v/>
      </c>
    </row>
    <row r="2779">
      <c r="A2779" s="27" t="n">
        <v>43671</v>
      </c>
      <c r="B2779" t="n">
        <v/>
      </c>
      <c r="C2779" t="n">
        <v>1.868</v>
      </c>
      <c r="D2779" t="n">
        <v>2.083</v>
      </c>
      <c r="E2779" t="n">
        <v/>
      </c>
    </row>
    <row r="2780">
      <c r="A2780" s="27" t="n">
        <v>43672</v>
      </c>
      <c r="B2780" t="n">
        <v/>
      </c>
      <c r="C2780" t="n">
        <v>1.86</v>
      </c>
      <c r="D2780" t="n">
        <v>2.074</v>
      </c>
      <c r="E2780" t="n">
        <v/>
      </c>
    </row>
    <row r="2781">
      <c r="A2781" s="27" t="n">
        <v>43674</v>
      </c>
      <c r="B2781" t="n">
        <v/>
      </c>
      <c r="C2781" t="n">
        <v>1.854</v>
      </c>
      <c r="D2781" t="n">
        <v>2.069</v>
      </c>
      <c r="E2781" t="n">
        <v/>
      </c>
    </row>
    <row r="2782">
      <c r="A2782" s="27" t="n">
        <v>43675</v>
      </c>
      <c r="B2782" t="n">
        <v/>
      </c>
      <c r="C2782" t="n">
        <v>1.856</v>
      </c>
      <c r="D2782" t="n">
        <v>2.063</v>
      </c>
      <c r="E2782" t="n">
        <v/>
      </c>
    </row>
    <row r="2783">
      <c r="A2783" s="27" t="n">
        <v>43676</v>
      </c>
      <c r="B2783" t="n">
        <v/>
      </c>
      <c r="C2783" t="n">
        <v>1.848</v>
      </c>
      <c r="D2783" t="n">
        <v>2.06</v>
      </c>
      <c r="E2783" t="n">
        <v/>
      </c>
    </row>
    <row r="2784">
      <c r="A2784" s="27" t="n">
        <v>43677</v>
      </c>
      <c r="B2784" t="n">
        <v/>
      </c>
      <c r="C2784" t="n">
        <v>1.868</v>
      </c>
      <c r="D2784" t="n">
        <v>2.007</v>
      </c>
      <c r="E2784" t="n">
        <v/>
      </c>
    </row>
    <row r="2785">
      <c r="A2785" s="27" t="n">
        <v>43678</v>
      </c>
      <c r="B2785" t="n">
        <v/>
      </c>
      <c r="C2785" t="n">
        <v>1.75</v>
      </c>
      <c r="D2785" t="n">
        <v>1.902</v>
      </c>
      <c r="E2785" t="n">
        <v/>
      </c>
    </row>
    <row r="2786">
      <c r="A2786" s="27" t="n">
        <v>43679</v>
      </c>
      <c r="B2786" t="n">
        <v/>
      </c>
      <c r="C2786" t="n">
        <v>1.71</v>
      </c>
      <c r="D2786" t="n">
        <v>1.843</v>
      </c>
      <c r="E2786" t="n">
        <v/>
      </c>
    </row>
    <row r="2787">
      <c r="A2787" s="27" t="n">
        <v>43681</v>
      </c>
      <c r="B2787" t="n">
        <v/>
      </c>
      <c r="C2787" t="n">
        <v>1.718</v>
      </c>
      <c r="D2787" t="n">
        <v>1.85</v>
      </c>
      <c r="E2787" t="n">
        <v/>
      </c>
    </row>
    <row r="2788">
      <c r="A2788" s="27" t="n">
        <v>43682</v>
      </c>
      <c r="B2788" t="n">
        <v/>
      </c>
      <c r="C2788" t="n">
        <v>1.579</v>
      </c>
      <c r="D2788" t="n">
        <v>1.718</v>
      </c>
      <c r="E2788" t="n">
        <v/>
      </c>
    </row>
    <row r="2789">
      <c r="A2789" s="27" t="n">
        <v>43683</v>
      </c>
      <c r="B2789" t="n">
        <v/>
      </c>
      <c r="C2789" t="n">
        <v>1.597</v>
      </c>
      <c r="D2789" t="n">
        <v>1.716</v>
      </c>
      <c r="E2789" t="n">
        <v/>
      </c>
    </row>
    <row r="2790">
      <c r="A2790" s="27" t="n">
        <v>43684</v>
      </c>
      <c r="B2790" t="n">
        <v/>
      </c>
      <c r="C2790" t="n">
        <v>1.603</v>
      </c>
      <c r="D2790" t="n">
        <v>1.721</v>
      </c>
      <c r="E2790" t="n">
        <v/>
      </c>
    </row>
    <row r="2791">
      <c r="A2791" s="27" t="n">
        <v>43685</v>
      </c>
      <c r="B2791" t="n">
        <v/>
      </c>
      <c r="C2791" t="n">
        <v>1.617</v>
      </c>
      <c r="D2791" t="n">
        <v>1.719</v>
      </c>
      <c r="E2791" t="n">
        <v/>
      </c>
    </row>
    <row r="2792">
      <c r="A2792" s="27" t="n">
        <v>43686</v>
      </c>
      <c r="B2792" t="n">
        <v/>
      </c>
      <c r="C2792" t="n">
        <v>1.649</v>
      </c>
      <c r="D2792" t="n">
        <v>1.745</v>
      </c>
      <c r="E2792" t="n">
        <v/>
      </c>
    </row>
    <row r="2793">
      <c r="A2793" s="27" t="n">
        <v>43688</v>
      </c>
      <c r="B2793" t="n">
        <v/>
      </c>
      <c r="C2793" t="n">
        <v>1.649</v>
      </c>
      <c r="D2793" t="n">
        <v>1.745</v>
      </c>
      <c r="E2793" t="n">
        <v/>
      </c>
    </row>
    <row r="2794">
      <c r="A2794" s="27" t="n">
        <v>43689</v>
      </c>
      <c r="B2794" t="n">
        <v/>
      </c>
      <c r="C2794" t="n">
        <v>1.578</v>
      </c>
      <c r="D2794" t="n">
        <v>1.64</v>
      </c>
      <c r="E2794" t="n">
        <v/>
      </c>
    </row>
    <row r="2795">
      <c r="A2795" s="27" t="n">
        <v>43690</v>
      </c>
      <c r="B2795" t="n">
        <v/>
      </c>
      <c r="C2795" t="n">
        <v>1.671</v>
      </c>
      <c r="D2795" t="n">
        <v>1.702</v>
      </c>
      <c r="E2795" t="n">
        <v/>
      </c>
    </row>
    <row r="2796">
      <c r="A2796" s="27" t="n">
        <v>43691</v>
      </c>
      <c r="B2796" t="n">
        <v/>
      </c>
      <c r="C2796" t="n">
        <v>1.581</v>
      </c>
      <c r="D2796" t="n">
        <v>1.583</v>
      </c>
      <c r="E2796" t="n">
        <v/>
      </c>
    </row>
    <row r="2797">
      <c r="A2797" s="27" t="n">
        <v>43692</v>
      </c>
      <c r="B2797" t="n">
        <v/>
      </c>
      <c r="C2797" t="n">
        <v>1.473</v>
      </c>
      <c r="D2797" t="n">
        <v>1.502</v>
      </c>
      <c r="E2797" t="n">
        <v/>
      </c>
    </row>
    <row r="2798">
      <c r="A2798" s="27" t="n">
        <v>43693</v>
      </c>
      <c r="B2798" t="n">
        <v/>
      </c>
      <c r="C2798" t="n">
        <v>1.486</v>
      </c>
      <c r="D2798" t="n">
        <v>1.562</v>
      </c>
      <c r="E2798" t="n">
        <v/>
      </c>
    </row>
    <row r="2799">
      <c r="A2799" s="27" t="n">
        <v>43695</v>
      </c>
      <c r="B2799" t="n">
        <v/>
      </c>
      <c r="C2799" t="n">
        <v>1.487</v>
      </c>
      <c r="D2799" t="n">
        <v>1.574</v>
      </c>
      <c r="E2799" t="n">
        <v/>
      </c>
    </row>
    <row r="2800">
      <c r="A2800" s="27" t="n">
        <v>43696</v>
      </c>
      <c r="B2800" t="n">
        <v/>
      </c>
      <c r="C2800" t="n">
        <v>1.553</v>
      </c>
      <c r="D2800" t="n">
        <v>1.608</v>
      </c>
      <c r="E2800" t="n">
        <v/>
      </c>
    </row>
    <row r="2801">
      <c r="A2801" s="27" t="n">
        <v>43697</v>
      </c>
      <c r="B2801" t="n">
        <v/>
      </c>
      <c r="C2801" t="n">
        <v>1.51</v>
      </c>
      <c r="D2801" t="n">
        <v>1.552</v>
      </c>
      <c r="E2801" t="n">
        <v/>
      </c>
    </row>
    <row r="2802">
      <c r="A2802" s="27" t="n">
        <v>43698</v>
      </c>
      <c r="B2802" t="n">
        <v/>
      </c>
      <c r="C2802" t="n">
        <v>1.575</v>
      </c>
      <c r="D2802" t="n">
        <v>1.591</v>
      </c>
      <c r="E2802" t="n">
        <v/>
      </c>
    </row>
    <row r="2803">
      <c r="A2803" s="27" t="n">
        <v>43699</v>
      </c>
      <c r="B2803" t="n">
        <v/>
      </c>
      <c r="C2803" t="n">
        <v>1.612</v>
      </c>
      <c r="D2803" t="n">
        <v>1.613</v>
      </c>
      <c r="E2803" t="n">
        <v/>
      </c>
    </row>
    <row r="2804">
      <c r="A2804" s="27" t="n">
        <v>43700</v>
      </c>
      <c r="B2804" t="n">
        <v/>
      </c>
      <c r="C2804" t="n">
        <v>1.531</v>
      </c>
      <c r="D2804" t="n">
        <v>1.533</v>
      </c>
      <c r="E2804" t="n">
        <v/>
      </c>
    </row>
    <row r="2805">
      <c r="A2805" s="27" t="n">
        <v>43702</v>
      </c>
      <c r="B2805" t="n">
        <v/>
      </c>
      <c r="C2805" t="n">
        <v>1.465</v>
      </c>
      <c r="D2805" t="n">
        <v>1.476</v>
      </c>
      <c r="E2805" t="n">
        <v/>
      </c>
    </row>
    <row r="2806">
      <c r="A2806" s="27" t="n">
        <v>43703</v>
      </c>
      <c r="B2806" t="n">
        <v/>
      </c>
      <c r="C2806" t="n">
        <v>1.543</v>
      </c>
      <c r="D2806" t="n">
        <v>1.538</v>
      </c>
      <c r="E2806" t="n">
        <v/>
      </c>
    </row>
    <row r="2807">
      <c r="A2807" s="27" t="n">
        <v>43704</v>
      </c>
      <c r="B2807" t="n">
        <v/>
      </c>
      <c r="C2807" t="n">
        <v>1.524</v>
      </c>
      <c r="D2807" t="n">
        <v>1.474</v>
      </c>
      <c r="E2807" t="n">
        <v/>
      </c>
    </row>
    <row r="2808">
      <c r="A2808" s="27" t="n">
        <v>43705</v>
      </c>
      <c r="B2808" t="n">
        <v/>
      </c>
      <c r="C2808" t="n">
        <v>1.5</v>
      </c>
      <c r="D2808" t="n">
        <v>1.468</v>
      </c>
      <c r="E2808" t="n">
        <v/>
      </c>
    </row>
    <row r="2809">
      <c r="A2809" s="27" t="n">
        <v>43706</v>
      </c>
      <c r="B2809" t="n">
        <v/>
      </c>
      <c r="C2809" t="n">
        <v>1.526</v>
      </c>
      <c r="D2809" t="n">
        <v>1.496</v>
      </c>
      <c r="E2809" t="n">
        <v/>
      </c>
    </row>
    <row r="2810">
      <c r="A2810" s="27" t="n">
        <v>43707</v>
      </c>
      <c r="B2810" t="n">
        <v/>
      </c>
      <c r="C2810" t="n">
        <v>1.51</v>
      </c>
      <c r="D2810" t="n">
        <v>1.499</v>
      </c>
      <c r="E2810" t="n">
        <v/>
      </c>
    </row>
    <row r="2811">
      <c r="A2811" s="27" t="n">
        <v>43710</v>
      </c>
      <c r="B2811" t="n">
        <v/>
      </c>
      <c r="C2811" t="n">
        <v>1.508</v>
      </c>
      <c r="D2811" t="n">
        <v>1.506</v>
      </c>
      <c r="E2811" t="n">
        <v/>
      </c>
    </row>
    <row r="2812">
      <c r="A2812" s="27" t="n">
        <v>43711</v>
      </c>
      <c r="B2812" t="n">
        <v/>
      </c>
      <c r="C2812" t="n">
        <v>1.454</v>
      </c>
      <c r="D2812" t="n">
        <v>1.462</v>
      </c>
      <c r="E2812" t="n">
        <v/>
      </c>
    </row>
    <row r="2813">
      <c r="A2813" s="27" t="n">
        <v>43712</v>
      </c>
      <c r="B2813" t="n">
        <v/>
      </c>
      <c r="C2813" t="n">
        <v>1.436</v>
      </c>
      <c r="D2813" t="n">
        <v>1.471</v>
      </c>
      <c r="E2813" t="n">
        <v/>
      </c>
    </row>
    <row r="2814">
      <c r="A2814" s="27" t="n">
        <v>43713</v>
      </c>
      <c r="B2814" t="n">
        <v/>
      </c>
      <c r="C2814" t="n">
        <v>1.534</v>
      </c>
      <c r="D2814" t="n">
        <v>1.565</v>
      </c>
      <c r="E2814" t="n">
        <v/>
      </c>
    </row>
    <row r="2815">
      <c r="A2815" s="27" t="n">
        <v>43714</v>
      </c>
      <c r="B2815" t="n">
        <v/>
      </c>
      <c r="C2815" t="n">
        <v>1.54</v>
      </c>
      <c r="D2815" t="n">
        <v>1.56</v>
      </c>
      <c r="E2815" t="n">
        <v/>
      </c>
    </row>
    <row r="2816">
      <c r="A2816" s="27" t="n">
        <v>43716</v>
      </c>
      <c r="B2816" t="n">
        <v/>
      </c>
      <c r="C2816" t="n">
        <v>1.54</v>
      </c>
      <c r="D2816" t="n">
        <v>1.56</v>
      </c>
      <c r="E2816" t="n">
        <v/>
      </c>
    </row>
    <row r="2817">
      <c r="A2817" s="27" t="n">
        <v>43717</v>
      </c>
      <c r="B2817" t="n">
        <v/>
      </c>
      <c r="C2817" t="n">
        <v>1.595</v>
      </c>
      <c r="D2817" t="n">
        <v>1.647</v>
      </c>
      <c r="E2817" t="n">
        <v/>
      </c>
    </row>
    <row r="2818">
      <c r="A2818" s="27" t="n">
        <v>43718</v>
      </c>
      <c r="B2818" t="n">
        <v/>
      </c>
      <c r="C2818" t="n">
        <v>1.688</v>
      </c>
      <c r="D2818" t="n">
        <v>1.744</v>
      </c>
      <c r="E2818" t="n">
        <v/>
      </c>
    </row>
    <row r="2819">
      <c r="A2819" s="27" t="n">
        <v>43719</v>
      </c>
      <c r="B2819" t="n">
        <v/>
      </c>
      <c r="C2819" t="n">
        <v>1.676</v>
      </c>
      <c r="D2819" t="n">
        <v>1.746</v>
      </c>
      <c r="E2819" t="n">
        <v/>
      </c>
    </row>
    <row r="2820">
      <c r="A2820" s="27" t="n">
        <v>43720</v>
      </c>
      <c r="B2820" t="n">
        <v/>
      </c>
      <c r="C2820" t="n">
        <v>1.725</v>
      </c>
      <c r="D2820" t="n">
        <v>1.778</v>
      </c>
      <c r="E2820" t="n">
        <v/>
      </c>
    </row>
    <row r="2821">
      <c r="A2821" s="27" t="n">
        <v>43721</v>
      </c>
      <c r="B2821" t="n">
        <v/>
      </c>
      <c r="C2821" t="n">
        <v>1.804</v>
      </c>
      <c r="D2821" t="n">
        <v>1.901</v>
      </c>
      <c r="E2821" t="n">
        <v/>
      </c>
    </row>
    <row r="2822">
      <c r="A2822" s="27" t="n">
        <v>43723</v>
      </c>
      <c r="B2822" t="n">
        <v/>
      </c>
      <c r="C2822" t="n">
        <v>1.804</v>
      </c>
      <c r="D2822" t="n">
        <v>1.901</v>
      </c>
      <c r="E2822" t="n">
        <v/>
      </c>
    </row>
    <row r="2823">
      <c r="A2823" s="27" t="n">
        <v>43724</v>
      </c>
      <c r="B2823" t="n">
        <v/>
      </c>
      <c r="C2823" t="n">
        <v>1.757</v>
      </c>
      <c r="D2823" t="n">
        <v>1.843</v>
      </c>
      <c r="E2823" t="n">
        <v/>
      </c>
    </row>
    <row r="2824">
      <c r="A2824" s="27" t="n">
        <v>43725</v>
      </c>
      <c r="B2824" t="n">
        <v/>
      </c>
      <c r="C2824" t="n">
        <v>1.731</v>
      </c>
      <c r="D2824" t="n">
        <v>1.81</v>
      </c>
      <c r="E2824" t="n">
        <v/>
      </c>
    </row>
    <row r="2825">
      <c r="A2825" s="27" t="n">
        <v>43726</v>
      </c>
      <c r="B2825" t="n">
        <v/>
      </c>
      <c r="C2825" t="n">
        <v>1.764</v>
      </c>
      <c r="D2825" t="n">
        <v>1.8</v>
      </c>
      <c r="E2825" t="n">
        <v/>
      </c>
    </row>
    <row r="2826">
      <c r="A2826" s="27" t="n">
        <v>43727</v>
      </c>
      <c r="B2826" t="n">
        <v/>
      </c>
      <c r="C2826" t="n">
        <v>1.744</v>
      </c>
      <c r="D2826" t="n">
        <v>1.787</v>
      </c>
      <c r="E2826" t="n">
        <v/>
      </c>
    </row>
    <row r="2827">
      <c r="A2827" s="27" t="n">
        <v>43728</v>
      </c>
      <c r="B2827" t="n">
        <v/>
      </c>
      <c r="C2827" t="n">
        <v>1.687</v>
      </c>
      <c r="D2827" t="n">
        <v>1.722</v>
      </c>
      <c r="E2827" t="n">
        <v/>
      </c>
    </row>
    <row r="2828">
      <c r="A2828" s="27" t="n">
        <v>43730</v>
      </c>
      <c r="B2828" t="n">
        <v/>
      </c>
      <c r="C2828" t="n">
        <v>1.687</v>
      </c>
      <c r="D2828" t="n">
        <v>1.722</v>
      </c>
      <c r="E2828" t="n">
        <v/>
      </c>
    </row>
    <row r="2829">
      <c r="A2829" s="27" t="n">
        <v>43731</v>
      </c>
      <c r="B2829" t="n">
        <v/>
      </c>
      <c r="C2829" t="n">
        <v>1.683</v>
      </c>
      <c r="D2829" t="n">
        <v>1.723</v>
      </c>
      <c r="E2829" t="n">
        <v/>
      </c>
    </row>
    <row r="2830">
      <c r="A2830" s="27" t="n">
        <v>43732</v>
      </c>
      <c r="B2830" t="n">
        <v/>
      </c>
      <c r="C2830" t="n">
        <v>1.628</v>
      </c>
      <c r="D2830" t="n">
        <v>1.652</v>
      </c>
      <c r="E2830" t="n">
        <v/>
      </c>
    </row>
    <row r="2831">
      <c r="A2831" s="27" t="n">
        <v>43733</v>
      </c>
      <c r="B2831" t="n">
        <v/>
      </c>
      <c r="C2831" t="n">
        <v>1.681</v>
      </c>
      <c r="D2831" t="n">
        <v>1.737</v>
      </c>
      <c r="E2831" t="n">
        <v/>
      </c>
    </row>
    <row r="2832">
      <c r="A2832" s="27" t="n">
        <v>43734</v>
      </c>
      <c r="B2832" t="n">
        <v/>
      </c>
      <c r="C2832" t="n">
        <v>1.659</v>
      </c>
      <c r="D2832" t="n">
        <v>1.697</v>
      </c>
      <c r="E2832" t="n">
        <v/>
      </c>
    </row>
    <row r="2833">
      <c r="A2833" s="27" t="n">
        <v>43735</v>
      </c>
      <c r="B2833" t="n">
        <v/>
      </c>
      <c r="C2833" t="n">
        <v>1.637</v>
      </c>
      <c r="D2833" t="n">
        <v>1.687</v>
      </c>
      <c r="E2833" t="n">
        <v/>
      </c>
    </row>
    <row r="2834">
      <c r="A2834" s="27" t="n">
        <v>43737</v>
      </c>
      <c r="B2834" t="n">
        <v/>
      </c>
      <c r="C2834" t="n">
        <v>1.626</v>
      </c>
      <c r="D2834" t="n">
        <v>1.684</v>
      </c>
      <c r="E2834" t="n">
        <v/>
      </c>
    </row>
    <row r="2835">
      <c r="A2835" s="27" t="n">
        <v>43738</v>
      </c>
      <c r="B2835" t="n">
        <v/>
      </c>
      <c r="C2835" t="n">
        <v>1.626</v>
      </c>
      <c r="D2835" t="n">
        <v>1.668</v>
      </c>
      <c r="E2835" t="n">
        <v/>
      </c>
    </row>
    <row r="2836">
      <c r="A2836" s="27" t="n">
        <v>43739</v>
      </c>
      <c r="B2836" t="n">
        <v/>
      </c>
      <c r="C2836" t="n">
        <v>1.542</v>
      </c>
      <c r="D2836" t="n">
        <v>1.635</v>
      </c>
      <c r="E2836" t="n">
        <v/>
      </c>
    </row>
    <row r="2837">
      <c r="A2837" s="27" t="n">
        <v>43740</v>
      </c>
      <c r="B2837" t="n">
        <v/>
      </c>
      <c r="C2837" t="n">
        <v>1.484</v>
      </c>
      <c r="D2837" t="n">
        <v>1.601</v>
      </c>
      <c r="E2837" t="n">
        <v/>
      </c>
    </row>
    <row r="2838">
      <c r="A2838" s="27" t="n">
        <v>43741</v>
      </c>
      <c r="B2838" t="n">
        <v/>
      </c>
      <c r="C2838" t="n">
        <v>1.392</v>
      </c>
      <c r="D2838" t="n">
        <v>1.534</v>
      </c>
      <c r="E2838" t="n">
        <v/>
      </c>
    </row>
    <row r="2839">
      <c r="A2839" s="27" t="n">
        <v>43742</v>
      </c>
      <c r="B2839" t="n">
        <v/>
      </c>
      <c r="C2839" t="n">
        <v>1.406</v>
      </c>
      <c r="D2839" t="n">
        <v>1.529</v>
      </c>
      <c r="E2839" t="n">
        <v/>
      </c>
    </row>
    <row r="2840">
      <c r="A2840" s="27" t="n">
        <v>43744</v>
      </c>
      <c r="B2840" t="n">
        <v/>
      </c>
      <c r="C2840" t="n">
        <v>1.386</v>
      </c>
      <c r="D2840" t="n">
        <v>1.515</v>
      </c>
      <c r="E2840" t="n">
        <v/>
      </c>
    </row>
    <row r="2841">
      <c r="A2841" s="27" t="n">
        <v>43745</v>
      </c>
      <c r="B2841" t="n">
        <v/>
      </c>
      <c r="C2841" t="n">
        <v>1.468</v>
      </c>
      <c r="D2841" t="n">
        <v>1.565</v>
      </c>
      <c r="E2841" t="n">
        <v/>
      </c>
    </row>
    <row r="2842">
      <c r="A2842" s="27" t="n">
        <v>43746</v>
      </c>
      <c r="B2842" t="n">
        <v/>
      </c>
      <c r="C2842" t="n">
        <v>1.427</v>
      </c>
      <c r="D2842" t="n">
        <v>1.532</v>
      </c>
      <c r="E2842" t="n">
        <v/>
      </c>
    </row>
    <row r="2843">
      <c r="A2843" s="27" t="n">
        <v>43747</v>
      </c>
      <c r="B2843" t="n">
        <v/>
      </c>
      <c r="C2843" t="n">
        <v>1.47</v>
      </c>
      <c r="D2843" t="n">
        <v>1.587</v>
      </c>
      <c r="E2843" t="n">
        <v/>
      </c>
    </row>
    <row r="2844">
      <c r="A2844" s="27" t="n">
        <v>43748</v>
      </c>
      <c r="B2844" t="n">
        <v/>
      </c>
      <c r="C2844" t="n">
        <v>1.546</v>
      </c>
      <c r="D2844" t="n">
        <v>1.67</v>
      </c>
      <c r="E2844" t="n">
        <v/>
      </c>
    </row>
    <row r="2845">
      <c r="A2845" s="27" t="n">
        <v>43749</v>
      </c>
      <c r="B2845" t="n">
        <v/>
      </c>
      <c r="C2845" t="n">
        <v>1.597</v>
      </c>
      <c r="D2845" t="n">
        <v>1.734</v>
      </c>
      <c r="E2845" t="n">
        <v/>
      </c>
    </row>
    <row r="2846">
      <c r="A2846" s="27" t="n">
        <v>43752</v>
      </c>
      <c r="B2846" t="n">
        <v/>
      </c>
      <c r="C2846" t="n">
        <v>1.595</v>
      </c>
      <c r="D2846" t="n">
        <v>1.715</v>
      </c>
      <c r="E2846" t="n">
        <v/>
      </c>
    </row>
    <row r="2847">
      <c r="A2847" s="27" t="n">
        <v>43753</v>
      </c>
      <c r="B2847" t="n">
        <v/>
      </c>
      <c r="C2847" t="n">
        <v>1.624</v>
      </c>
      <c r="D2847" t="n">
        <v>1.771</v>
      </c>
      <c r="E2847" t="n">
        <v/>
      </c>
    </row>
    <row r="2848">
      <c r="A2848" s="27" t="n">
        <v>43754</v>
      </c>
      <c r="B2848" t="n">
        <v/>
      </c>
      <c r="C2848" t="n">
        <v>1.59</v>
      </c>
      <c r="D2848" t="n">
        <v>1.745</v>
      </c>
      <c r="E2848" t="n">
        <v/>
      </c>
    </row>
    <row r="2849">
      <c r="A2849" s="27" t="n">
        <v>43755</v>
      </c>
      <c r="B2849" t="n">
        <v/>
      </c>
      <c r="C2849" t="n">
        <v>1.598</v>
      </c>
      <c r="D2849" t="n">
        <v>1.75</v>
      </c>
      <c r="E2849" t="n">
        <v/>
      </c>
    </row>
    <row r="2850">
      <c r="A2850" s="27" t="n">
        <v>43756</v>
      </c>
      <c r="B2850" t="n">
        <v/>
      </c>
      <c r="C2850" t="n">
        <v>1.578</v>
      </c>
      <c r="D2850" t="n">
        <v>1.754</v>
      </c>
      <c r="E2850" t="n">
        <v/>
      </c>
    </row>
    <row r="2851">
      <c r="A2851" s="27" t="n">
        <v>43758</v>
      </c>
      <c r="B2851" t="n">
        <v/>
      </c>
      <c r="C2851" t="n">
        <v>1.565</v>
      </c>
      <c r="D2851" t="n">
        <v>1.74</v>
      </c>
      <c r="E2851" t="n">
        <v/>
      </c>
    </row>
    <row r="2852">
      <c r="A2852" s="27" t="n">
        <v>43759</v>
      </c>
      <c r="B2852" t="n">
        <v/>
      </c>
      <c r="C2852" t="n">
        <v>1.625</v>
      </c>
      <c r="D2852" t="n">
        <v>1.803</v>
      </c>
      <c r="E2852" t="n">
        <v/>
      </c>
    </row>
    <row r="2853">
      <c r="A2853" s="27" t="n">
        <v>43760</v>
      </c>
      <c r="B2853" t="n">
        <v/>
      </c>
      <c r="C2853" t="n">
        <v>1.601</v>
      </c>
      <c r="D2853" t="n">
        <v>1.768</v>
      </c>
      <c r="E2853" t="n">
        <v/>
      </c>
    </row>
    <row r="2854">
      <c r="A2854" s="27" t="n">
        <v>43761</v>
      </c>
      <c r="B2854" t="n">
        <v/>
      </c>
      <c r="C2854" t="n">
        <v>1.588</v>
      </c>
      <c r="D2854" t="n">
        <v>1.768</v>
      </c>
      <c r="E2854" t="n">
        <v/>
      </c>
    </row>
    <row r="2855">
      <c r="A2855" s="27" t="n">
        <v>43762</v>
      </c>
      <c r="B2855" t="n">
        <v/>
      </c>
      <c r="C2855" t="n">
        <v>1.582</v>
      </c>
      <c r="D2855" t="n">
        <v>1.771</v>
      </c>
      <c r="E2855" t="n">
        <v/>
      </c>
    </row>
    <row r="2856">
      <c r="A2856" s="27" t="n">
        <v>43763</v>
      </c>
      <c r="B2856" t="n">
        <v/>
      </c>
      <c r="C2856" t="n">
        <v>1.624</v>
      </c>
      <c r="D2856" t="n">
        <v>1.8</v>
      </c>
      <c r="E2856" t="n">
        <v/>
      </c>
    </row>
    <row r="2857">
      <c r="A2857" s="27" t="n">
        <v>43765</v>
      </c>
      <c r="B2857" t="n">
        <v/>
      </c>
      <c r="C2857" t="n">
        <v>1.632</v>
      </c>
      <c r="D2857" t="n">
        <v>1.805</v>
      </c>
      <c r="E2857" t="n">
        <v/>
      </c>
    </row>
    <row r="2858">
      <c r="A2858" s="27" t="n">
        <v>43766</v>
      </c>
      <c r="B2858" t="n">
        <v/>
      </c>
      <c r="C2858" t="n">
        <v>1.647</v>
      </c>
      <c r="D2858" t="n">
        <v>1.845</v>
      </c>
      <c r="E2858" t="n">
        <v/>
      </c>
    </row>
    <row r="2859">
      <c r="A2859" s="27" t="n">
        <v>43767</v>
      </c>
      <c r="B2859" t="n">
        <v/>
      </c>
      <c r="C2859" t="n">
        <v>1.641</v>
      </c>
      <c r="D2859" t="n">
        <v>1.837</v>
      </c>
      <c r="E2859" t="n">
        <v/>
      </c>
    </row>
    <row r="2860">
      <c r="A2860" s="27" t="n">
        <v>43768</v>
      </c>
      <c r="B2860" t="n">
        <v/>
      </c>
      <c r="C2860" t="n">
        <v>1.602</v>
      </c>
      <c r="D2860" t="n">
        <v>1.775</v>
      </c>
      <c r="E2860" t="n">
        <v/>
      </c>
    </row>
    <row r="2861">
      <c r="A2861" s="27" t="n">
        <v>43769</v>
      </c>
      <c r="B2861" t="n">
        <v/>
      </c>
      <c r="C2861" t="n">
        <v>1.526</v>
      </c>
      <c r="D2861" t="n">
        <v>1.688</v>
      </c>
      <c r="E2861" t="n">
        <v/>
      </c>
    </row>
    <row r="2862">
      <c r="A2862" s="27" t="n">
        <v>43770</v>
      </c>
      <c r="B2862" t="n">
        <v/>
      </c>
      <c r="C2862" t="n">
        <v>1.554</v>
      </c>
      <c r="D2862" t="n">
        <v>1.714</v>
      </c>
      <c r="E2862" t="n">
        <v/>
      </c>
    </row>
    <row r="2863">
      <c r="A2863" s="27" t="n">
        <v>43772</v>
      </c>
      <c r="B2863" t="n">
        <v/>
      </c>
      <c r="C2863" t="n">
        <v>1.554</v>
      </c>
      <c r="D2863" t="n">
        <v>1.714</v>
      </c>
      <c r="E2863" t="n">
        <v/>
      </c>
    </row>
    <row r="2864">
      <c r="A2864" s="27" t="n">
        <v>43773</v>
      </c>
      <c r="B2864" t="n">
        <v/>
      </c>
      <c r="C2864" t="n">
        <v>1.588</v>
      </c>
      <c r="D2864" t="n">
        <v>1.78</v>
      </c>
      <c r="E2864" t="n">
        <v/>
      </c>
    </row>
    <row r="2865">
      <c r="A2865" s="27" t="n">
        <v>43774</v>
      </c>
      <c r="B2865" t="n">
        <v/>
      </c>
      <c r="C2865" t="n">
        <v>1.623</v>
      </c>
      <c r="D2865" t="n">
        <v>1.857</v>
      </c>
      <c r="E2865" t="n">
        <v/>
      </c>
    </row>
    <row r="2866">
      <c r="A2866" s="27" t="n">
        <v>43775</v>
      </c>
      <c r="B2866" t="n">
        <v/>
      </c>
      <c r="C2866" t="n">
        <v>1.613</v>
      </c>
      <c r="D2866" t="n">
        <v>1.83</v>
      </c>
      <c r="E2866" t="n">
        <v/>
      </c>
    </row>
    <row r="2867">
      <c r="A2867" s="27" t="n">
        <v>43776</v>
      </c>
      <c r="B2867" t="n">
        <v/>
      </c>
      <c r="C2867" t="n">
        <v>1.679</v>
      </c>
      <c r="D2867" t="n">
        <v>1.929</v>
      </c>
      <c r="E2867" t="n">
        <v/>
      </c>
    </row>
    <row r="2868">
      <c r="A2868" s="27" t="n">
        <v>43777</v>
      </c>
      <c r="B2868" t="n">
        <v/>
      </c>
      <c r="C2868" t="n">
        <v>1.68</v>
      </c>
      <c r="D2868" t="n">
        <v>1.945</v>
      </c>
      <c r="E2868" t="n">
        <v/>
      </c>
    </row>
    <row r="2869">
      <c r="A2869" s="27" t="n">
        <v>43780</v>
      </c>
      <c r="B2869" t="n">
        <v/>
      </c>
      <c r="C2869" t="n">
        <v>1.676</v>
      </c>
      <c r="D2869" t="n">
        <v>1.923</v>
      </c>
      <c r="E2869" t="n">
        <v/>
      </c>
    </row>
    <row r="2870">
      <c r="A2870" s="27" t="n">
        <v>43781</v>
      </c>
      <c r="B2870" t="n">
        <v/>
      </c>
      <c r="C2870" t="n">
        <v>1.662</v>
      </c>
      <c r="D2870" t="n">
        <v>1.928</v>
      </c>
      <c r="E2870" t="n">
        <v/>
      </c>
    </row>
    <row r="2871">
      <c r="A2871" s="27" t="n">
        <v>43782</v>
      </c>
      <c r="B2871" t="n">
        <v/>
      </c>
      <c r="C2871" t="n">
        <v>1.646</v>
      </c>
      <c r="D2871" t="n">
        <v>1.891</v>
      </c>
      <c r="E2871" t="n">
        <v/>
      </c>
    </row>
    <row r="2872">
      <c r="A2872" s="27" t="n">
        <v>43783</v>
      </c>
      <c r="B2872" t="n">
        <v/>
      </c>
      <c r="C2872" t="n">
        <v>1.591</v>
      </c>
      <c r="D2872" t="n">
        <v>1.822</v>
      </c>
      <c r="E2872" t="n">
        <v/>
      </c>
    </row>
    <row r="2873">
      <c r="A2873" s="27" t="n">
        <v>43784</v>
      </c>
      <c r="B2873" t="n">
        <v/>
      </c>
      <c r="C2873" t="n">
        <v>1.614</v>
      </c>
      <c r="D2873" t="n">
        <v>1.836</v>
      </c>
      <c r="E2873" t="n">
        <v/>
      </c>
    </row>
    <row r="2874">
      <c r="A2874" s="27" t="n">
        <v>43786</v>
      </c>
      <c r="B2874" t="n">
        <v/>
      </c>
      <c r="C2874" t="n">
        <v>1.606</v>
      </c>
      <c r="D2874" t="n">
        <v>1.824</v>
      </c>
      <c r="E2874" t="n">
        <v/>
      </c>
    </row>
    <row r="2875">
      <c r="A2875" s="27" t="n">
        <v>43787</v>
      </c>
      <c r="B2875" t="n">
        <v/>
      </c>
      <c r="C2875" t="n">
        <v>1.6</v>
      </c>
      <c r="D2875" t="n">
        <v>1.815</v>
      </c>
      <c r="E2875" t="n">
        <v/>
      </c>
    </row>
    <row r="2876">
      <c r="A2876" s="27" t="n">
        <v>43788</v>
      </c>
      <c r="B2876" t="n">
        <v/>
      </c>
      <c r="C2876" t="n">
        <v>1.6</v>
      </c>
      <c r="D2876" t="n">
        <v>1.786</v>
      </c>
      <c r="E2876" t="n">
        <v/>
      </c>
    </row>
    <row r="2877">
      <c r="A2877" s="27" t="n">
        <v>43789</v>
      </c>
      <c r="B2877" t="n">
        <v/>
      </c>
      <c r="C2877" t="n">
        <v>1.582</v>
      </c>
      <c r="D2877" t="n">
        <v>1.747</v>
      </c>
      <c r="E2877" t="n">
        <v/>
      </c>
    </row>
    <row r="2878">
      <c r="A2878" s="27" t="n">
        <v>43790</v>
      </c>
      <c r="B2878" t="n">
        <v/>
      </c>
      <c r="C2878" t="n">
        <v>1.609</v>
      </c>
      <c r="D2878" t="n">
        <v>1.776</v>
      </c>
      <c r="E2878" t="n">
        <v/>
      </c>
    </row>
    <row r="2879">
      <c r="A2879" s="27" t="n">
        <v>43791</v>
      </c>
      <c r="B2879" t="n">
        <v/>
      </c>
      <c r="C2879" t="n">
        <v>1.626</v>
      </c>
      <c r="D2879" t="n">
        <v>1.771</v>
      </c>
      <c r="E2879" t="n">
        <v/>
      </c>
    </row>
    <row r="2880">
      <c r="A2880" s="27" t="n">
        <v>43793</v>
      </c>
      <c r="B2880" t="n">
        <v/>
      </c>
      <c r="C2880" t="n">
        <v>1.632</v>
      </c>
      <c r="D2880" t="n">
        <v>1.779</v>
      </c>
      <c r="E2880" t="n">
        <v/>
      </c>
    </row>
    <row r="2881">
      <c r="A2881" s="27" t="n">
        <v>43794</v>
      </c>
      <c r="B2881" t="n">
        <v/>
      </c>
      <c r="C2881" t="n">
        <v>1.611</v>
      </c>
      <c r="D2881" t="n">
        <v>1.752</v>
      </c>
      <c r="E2881" t="n">
        <v/>
      </c>
    </row>
    <row r="2882">
      <c r="A2882" s="27" t="n">
        <v>43795</v>
      </c>
      <c r="B2882" t="n">
        <v/>
      </c>
      <c r="C2882" t="n">
        <v>1.59</v>
      </c>
      <c r="D2882" t="n">
        <v>1.741</v>
      </c>
      <c r="E2882" t="n">
        <v/>
      </c>
    </row>
    <row r="2883">
      <c r="A2883" s="27" t="n">
        <v>43796</v>
      </c>
      <c r="B2883" t="n">
        <v/>
      </c>
      <c r="C2883" t="n">
        <v>1.626</v>
      </c>
      <c r="D2883" t="n">
        <v>1.767</v>
      </c>
      <c r="E2883" t="n">
        <v/>
      </c>
    </row>
    <row r="2884">
      <c r="A2884" s="27" t="n">
        <v>43797</v>
      </c>
      <c r="B2884" t="n">
        <v/>
      </c>
      <c r="C2884" t="n">
        <v>1.628</v>
      </c>
      <c r="D2884" t="n">
        <v>1.778</v>
      </c>
      <c r="E2884" t="n">
        <v/>
      </c>
    </row>
    <row r="2885">
      <c r="A2885" s="27" t="n">
        <v>43798</v>
      </c>
      <c r="B2885" t="n">
        <v/>
      </c>
      <c r="C2885" t="n">
        <v>1.612</v>
      </c>
      <c r="D2885" t="n">
        <v>1.774</v>
      </c>
      <c r="E2885" t="n">
        <v/>
      </c>
    </row>
    <row r="2886">
      <c r="A2886" s="27" t="n">
        <v>43800</v>
      </c>
      <c r="B2886" t="n">
        <v/>
      </c>
      <c r="C2886" t="n">
        <v>1.622</v>
      </c>
      <c r="D2886" t="n">
        <v>1.795</v>
      </c>
      <c r="E2886" t="n">
        <v/>
      </c>
    </row>
    <row r="2887">
      <c r="A2887" s="27" t="n">
        <v>43801</v>
      </c>
      <c r="B2887" t="n">
        <v/>
      </c>
      <c r="C2887" t="n">
        <v>1.604</v>
      </c>
      <c r="D2887" t="n">
        <v>1.822</v>
      </c>
      <c r="E2887" t="n">
        <v/>
      </c>
    </row>
    <row r="2888">
      <c r="A2888" s="27" t="n">
        <v>43802</v>
      </c>
      <c r="B2888" t="n">
        <v/>
      </c>
      <c r="C2888" t="n">
        <v>1.542</v>
      </c>
      <c r="D2888" t="n">
        <v>1.717</v>
      </c>
      <c r="E2888" t="n">
        <v/>
      </c>
    </row>
    <row r="2889">
      <c r="A2889" s="27" t="n">
        <v>43803</v>
      </c>
      <c r="B2889" t="n">
        <v/>
      </c>
      <c r="C2889" t="n">
        <v>1.578</v>
      </c>
      <c r="D2889" t="n">
        <v>1.778</v>
      </c>
      <c r="E2889" t="n">
        <v/>
      </c>
    </row>
    <row r="2890">
      <c r="A2890" s="27" t="n">
        <v>43804</v>
      </c>
      <c r="B2890" t="n">
        <v/>
      </c>
      <c r="C2890" t="n">
        <v>1.592</v>
      </c>
      <c r="D2890" t="n">
        <v>1.809</v>
      </c>
      <c r="E2890" t="n">
        <v/>
      </c>
    </row>
    <row r="2891">
      <c r="A2891" s="27" t="n">
        <v>43805</v>
      </c>
      <c r="B2891" t="n">
        <v/>
      </c>
      <c r="C2891" t="n">
        <v>1.619</v>
      </c>
      <c r="D2891" t="n">
        <v>1.843</v>
      </c>
      <c r="E2891" t="n">
        <v/>
      </c>
    </row>
    <row r="2892">
      <c r="A2892" s="27" t="n">
        <v>43807</v>
      </c>
      <c r="B2892" t="n">
        <v/>
      </c>
      <c r="C2892" t="n">
        <v>1.623</v>
      </c>
      <c r="D2892" t="n">
        <v>1.843</v>
      </c>
      <c r="E2892" t="n">
        <v/>
      </c>
    </row>
    <row r="2893">
      <c r="A2893" s="27" t="n">
        <v>43808</v>
      </c>
      <c r="B2893" t="n">
        <v/>
      </c>
      <c r="C2893" t="n">
        <v>1.619</v>
      </c>
      <c r="D2893" t="n">
        <v>1.821</v>
      </c>
      <c r="E2893" t="n">
        <v/>
      </c>
    </row>
    <row r="2894">
      <c r="A2894" s="27" t="n">
        <v>43809</v>
      </c>
      <c r="B2894" t="n">
        <v/>
      </c>
      <c r="C2894" t="n">
        <v>1.654</v>
      </c>
      <c r="D2894" t="n">
        <v>1.842</v>
      </c>
      <c r="E2894" t="n">
        <v/>
      </c>
    </row>
    <row r="2895">
      <c r="A2895" s="27" t="n">
        <v>43810</v>
      </c>
      <c r="B2895" t="n">
        <v/>
      </c>
      <c r="C2895" t="n">
        <v>1.615</v>
      </c>
      <c r="D2895" t="n">
        <v>1.793</v>
      </c>
      <c r="E2895" t="n">
        <v/>
      </c>
    </row>
    <row r="2896">
      <c r="A2896" s="27" t="n">
        <v>43811</v>
      </c>
      <c r="B2896" t="n">
        <v/>
      </c>
      <c r="C2896" t="n">
        <v>1.664</v>
      </c>
      <c r="D2896" t="n">
        <v>1.896</v>
      </c>
      <c r="E2896" t="n">
        <v/>
      </c>
    </row>
    <row r="2897">
      <c r="A2897" s="27" t="n">
        <v>43812</v>
      </c>
      <c r="B2897" t="n">
        <v/>
      </c>
      <c r="C2897" t="n">
        <v>1.608</v>
      </c>
      <c r="D2897" t="n">
        <v>1.824</v>
      </c>
      <c r="E2897" t="n">
        <v/>
      </c>
    </row>
    <row r="2898">
      <c r="A2898" s="27" t="n">
        <v>43814</v>
      </c>
      <c r="B2898" t="n">
        <v/>
      </c>
      <c r="C2898" t="n">
        <v>1.616</v>
      </c>
      <c r="D2898" t="n">
        <v>1.833</v>
      </c>
      <c r="E2898" t="n">
        <v/>
      </c>
    </row>
    <row r="2899">
      <c r="A2899" s="27" t="n">
        <v>43815</v>
      </c>
      <c r="B2899" t="n">
        <v/>
      </c>
      <c r="C2899" t="n">
        <v>1.63</v>
      </c>
      <c r="D2899" t="n">
        <v>1.873</v>
      </c>
      <c r="E2899" t="n">
        <v/>
      </c>
    </row>
    <row r="2900">
      <c r="A2900" s="27" t="n">
        <v>43816</v>
      </c>
      <c r="B2900" t="n">
        <v/>
      </c>
      <c r="C2900" t="n">
        <v>1.625</v>
      </c>
      <c r="D2900" t="n">
        <v>1.875</v>
      </c>
      <c r="E2900" t="n">
        <v/>
      </c>
    </row>
    <row r="2901">
      <c r="A2901" s="27" t="n">
        <v>43817</v>
      </c>
      <c r="B2901" t="n">
        <v/>
      </c>
      <c r="C2901" t="n">
        <v>1.635</v>
      </c>
      <c r="D2901" t="n">
        <v>1.922</v>
      </c>
      <c r="E2901" t="n">
        <v/>
      </c>
    </row>
    <row r="2902">
      <c r="A2902" s="27" t="n">
        <v>43818</v>
      </c>
      <c r="B2902" t="n">
        <v/>
      </c>
      <c r="C2902" t="n">
        <v>1.631</v>
      </c>
      <c r="D2902" t="n">
        <v>1.922</v>
      </c>
      <c r="E2902" t="n">
        <v/>
      </c>
    </row>
    <row r="2903">
      <c r="A2903" s="27" t="n">
        <v>43819</v>
      </c>
      <c r="B2903" t="n">
        <v/>
      </c>
      <c r="C2903" t="n">
        <v>1.631</v>
      </c>
      <c r="D2903" t="n">
        <v>1.919</v>
      </c>
      <c r="E2903" t="n">
        <v/>
      </c>
    </row>
    <row r="2904">
      <c r="A2904" s="27" t="n">
        <v>43821</v>
      </c>
      <c r="B2904" t="n">
        <v/>
      </c>
      <c r="C2904" t="n">
        <v>1.636</v>
      </c>
      <c r="D2904" t="n">
        <v>1.921</v>
      </c>
      <c r="E2904" t="n">
        <v/>
      </c>
    </row>
    <row r="2905">
      <c r="A2905" s="27" t="n">
        <v>43822</v>
      </c>
      <c r="B2905" t="n">
        <v/>
      </c>
      <c r="C2905" t="n">
        <v>1.65</v>
      </c>
      <c r="D2905" t="n">
        <v>1.928</v>
      </c>
      <c r="E2905" t="n">
        <v/>
      </c>
    </row>
    <row r="2906">
      <c r="A2906" s="27" t="n">
        <v>43823</v>
      </c>
      <c r="B2906" t="n">
        <v/>
      </c>
      <c r="C2906" t="n">
        <v>1.629</v>
      </c>
      <c r="D2906" t="n">
        <v>1.903</v>
      </c>
      <c r="E2906" t="n">
        <v/>
      </c>
    </row>
    <row r="2907">
      <c r="A2907" s="27" t="n">
        <v>43824</v>
      </c>
      <c r="B2907" t="n">
        <v/>
      </c>
      <c r="C2907" t="n">
        <v>1.631</v>
      </c>
      <c r="D2907" t="n">
        <v>1.907</v>
      </c>
      <c r="E2907" t="n">
        <v/>
      </c>
    </row>
    <row r="2908">
      <c r="A2908" s="27" t="n">
        <v>43825</v>
      </c>
      <c r="B2908" t="n">
        <v/>
      </c>
      <c r="C2908" t="n">
        <v>1.635</v>
      </c>
      <c r="D2908" t="n">
        <v>1.894</v>
      </c>
      <c r="E2908" t="n">
        <v/>
      </c>
    </row>
    <row r="2909">
      <c r="A2909" s="27" t="n">
        <v>43826</v>
      </c>
      <c r="B2909" t="n">
        <v/>
      </c>
      <c r="C2909" t="n">
        <v>1.587</v>
      </c>
      <c r="D2909" t="n">
        <v>1.877</v>
      </c>
      <c r="E2909" t="n">
        <v/>
      </c>
    </row>
    <row r="2910">
      <c r="A2910" s="27" t="n">
        <v>43828</v>
      </c>
      <c r="B2910" t="n">
        <v/>
      </c>
      <c r="C2910" t="n">
        <v>1.583</v>
      </c>
      <c r="D2910" t="n">
        <v>1.873</v>
      </c>
      <c r="E2910" t="n">
        <v/>
      </c>
    </row>
    <row r="2911">
      <c r="A2911" s="27" t="n">
        <v>43829</v>
      </c>
      <c r="B2911" t="n">
        <v/>
      </c>
      <c r="C2911" t="n">
        <v>1.571</v>
      </c>
      <c r="D2911" t="n">
        <v>1.886</v>
      </c>
      <c r="E2911" t="n">
        <v/>
      </c>
    </row>
    <row r="2912">
      <c r="A2912" s="27" t="n">
        <v>43830</v>
      </c>
      <c r="B2912" t="n">
        <v/>
      </c>
      <c r="C2912" t="n">
        <v>1.571</v>
      </c>
      <c r="D2912" t="n">
        <v>1.919</v>
      </c>
      <c r="E2912" t="n">
        <v/>
      </c>
    </row>
    <row r="2913">
      <c r="A2913" s="27" t="n">
        <v>43831</v>
      </c>
      <c r="B2913" t="n">
        <v/>
      </c>
      <c r="C2913" t="n">
        <v>1.571</v>
      </c>
      <c r="D2913" t="n">
        <v>1.921</v>
      </c>
      <c r="E2913" t="n">
        <v/>
      </c>
    </row>
    <row r="2914">
      <c r="A2914" s="27" t="n">
        <v>43832</v>
      </c>
      <c r="B2914" t="n">
        <v/>
      </c>
      <c r="C2914" t="n">
        <v>1.571</v>
      </c>
      <c r="D2914" t="n">
        <v>1.877</v>
      </c>
      <c r="E2914" t="n">
        <v/>
      </c>
    </row>
    <row r="2915">
      <c r="A2915" s="27" t="n">
        <v>43833</v>
      </c>
      <c r="B2915" t="n">
        <v/>
      </c>
      <c r="C2915" t="n">
        <v>1.533</v>
      </c>
      <c r="D2915" t="n">
        <v>1.793</v>
      </c>
      <c r="E2915" t="n">
        <v/>
      </c>
    </row>
    <row r="2916">
      <c r="A2916" s="27" t="n">
        <v>43835</v>
      </c>
      <c r="B2916" t="n">
        <v/>
      </c>
      <c r="C2916" t="n">
        <v>1.515</v>
      </c>
      <c r="D2916" t="n">
        <v>1.767</v>
      </c>
      <c r="E2916" t="n">
        <v/>
      </c>
    </row>
    <row r="2917">
      <c r="A2917" s="27" t="n">
        <v>43836</v>
      </c>
      <c r="B2917" t="n">
        <v/>
      </c>
      <c r="C2917" t="n">
        <v>1.5466</v>
      </c>
      <c r="D2917" t="n">
        <v>1.809</v>
      </c>
      <c r="E2917" t="n">
        <v/>
      </c>
    </row>
    <row r="2918">
      <c r="A2918" s="27" t="n">
        <v>43837</v>
      </c>
      <c r="B2918" t="n">
        <v/>
      </c>
      <c r="C2918" t="n">
        <v>1.5384</v>
      </c>
      <c r="D2918" t="n">
        <v>1.811</v>
      </c>
      <c r="E2918" t="n">
        <v/>
      </c>
    </row>
    <row r="2919">
      <c r="A2919" s="27" t="n">
        <v>43838</v>
      </c>
      <c r="B2919" t="n">
        <v/>
      </c>
      <c r="C2919" t="n">
        <v>1.5846</v>
      </c>
      <c r="D2919" t="n">
        <v>1.874</v>
      </c>
      <c r="E2919" t="n">
        <v/>
      </c>
    </row>
    <row r="2920">
      <c r="A2920" s="27" t="n">
        <v>43839</v>
      </c>
      <c r="B2920" t="n">
        <v/>
      </c>
      <c r="C2920" t="n">
        <v>1.581</v>
      </c>
      <c r="D2920" t="n">
        <v>1.855</v>
      </c>
      <c r="E2920" t="n">
        <v/>
      </c>
    </row>
    <row r="2921">
      <c r="A2921" s="27" t="n">
        <v>43840</v>
      </c>
      <c r="B2921" t="n">
        <v/>
      </c>
      <c r="C2921" t="n">
        <v>1.57</v>
      </c>
      <c r="D2921" t="n">
        <v>1.82</v>
      </c>
      <c r="E2921" t="n">
        <v/>
      </c>
    </row>
    <row r="2922">
      <c r="A2922" s="27" t="n">
        <v>43842</v>
      </c>
      <c r="B2922" t="n">
        <v/>
      </c>
      <c r="C2922" t="n">
        <v>1.57</v>
      </c>
      <c r="D2922" t="n">
        <v>1.82</v>
      </c>
      <c r="E2922" t="n">
        <v/>
      </c>
    </row>
    <row r="2923">
      <c r="A2923" s="27" t="n">
        <v>43843</v>
      </c>
      <c r="B2923" t="n">
        <v/>
      </c>
      <c r="C2923" t="n">
        <v>1.588</v>
      </c>
      <c r="D2923" t="n">
        <v>1.848</v>
      </c>
      <c r="E2923" t="n">
        <v/>
      </c>
    </row>
    <row r="2924">
      <c r="A2924" s="27" t="n">
        <v>43844</v>
      </c>
      <c r="B2924" t="n">
        <v/>
      </c>
      <c r="C2924" t="n">
        <v>1.57</v>
      </c>
      <c r="D2924" t="n">
        <v>1.813</v>
      </c>
      <c r="E2924" t="n">
        <v/>
      </c>
    </row>
    <row r="2925">
      <c r="A2925" s="27" t="n">
        <v>43845</v>
      </c>
      <c r="B2925" t="n">
        <v/>
      </c>
      <c r="C2925" t="n">
        <v>1.56</v>
      </c>
      <c r="D2925" t="n">
        <v>1.786</v>
      </c>
      <c r="E2925" t="n">
        <v/>
      </c>
    </row>
    <row r="2926">
      <c r="A2926" s="27" t="n">
        <v>43846</v>
      </c>
      <c r="B2926" t="n">
        <v/>
      </c>
      <c r="C2926" t="n">
        <v>1.566</v>
      </c>
      <c r="D2926" t="n">
        <v>1.809</v>
      </c>
      <c r="E2926" t="n">
        <v/>
      </c>
    </row>
    <row r="2927">
      <c r="A2927" s="27" t="n">
        <v>43847</v>
      </c>
      <c r="B2927" t="n">
        <v/>
      </c>
      <c r="C2927" t="n">
        <v>1.565</v>
      </c>
      <c r="D2927" t="n">
        <v>1.825</v>
      </c>
      <c r="E2927" t="n">
        <v/>
      </c>
    </row>
    <row r="2928">
      <c r="A2928" s="27" t="n">
        <v>43850</v>
      </c>
      <c r="B2928" t="n">
        <v/>
      </c>
      <c r="C2928" t="n">
        <v>1.561</v>
      </c>
      <c r="D2928" t="n">
        <v>1.823</v>
      </c>
      <c r="E2928" t="n">
        <v/>
      </c>
    </row>
    <row r="2929">
      <c r="A2929" s="27" t="n">
        <v>43851</v>
      </c>
      <c r="B2929" t="n">
        <v/>
      </c>
      <c r="C2929" t="n">
        <v>1.532</v>
      </c>
      <c r="D2929" t="n">
        <v>1.774</v>
      </c>
      <c r="E2929" t="n">
        <v/>
      </c>
    </row>
    <row r="2930">
      <c r="A2930" s="27" t="n">
        <v>43852</v>
      </c>
      <c r="B2930" t="n">
        <v/>
      </c>
      <c r="C2930" t="n">
        <v>1.528</v>
      </c>
      <c r="D2930" t="n">
        <v>1.769</v>
      </c>
      <c r="E2930" t="n">
        <v/>
      </c>
    </row>
    <row r="2931">
      <c r="A2931" s="27" t="n">
        <v>43853</v>
      </c>
      <c r="B2931" t="n">
        <v/>
      </c>
      <c r="C2931" t="n">
        <v>1.514</v>
      </c>
      <c r="D2931" t="n">
        <v>1.731</v>
      </c>
      <c r="E2931" t="n">
        <v/>
      </c>
    </row>
    <row r="2932">
      <c r="A2932" s="27" t="n">
        <v>43854</v>
      </c>
      <c r="B2932" t="n">
        <v/>
      </c>
      <c r="C2932" t="n">
        <v>1.495</v>
      </c>
      <c r="D2932" t="n">
        <v>1.686</v>
      </c>
      <c r="E2932" t="n">
        <v/>
      </c>
    </row>
    <row r="2933">
      <c r="A2933" s="27" t="n">
        <v>43856</v>
      </c>
      <c r="B2933" t="n">
        <v/>
      </c>
      <c r="C2933" t="n">
        <v>1.451</v>
      </c>
      <c r="D2933" t="n">
        <v>1.629</v>
      </c>
      <c r="E2933" t="n">
        <v/>
      </c>
    </row>
    <row r="2934">
      <c r="A2934" s="27" t="n">
        <v>43857</v>
      </c>
      <c r="B2934" t="n">
        <v/>
      </c>
      <c r="C2934" t="n">
        <v>1.433</v>
      </c>
      <c r="D2934" t="n">
        <v>1.612</v>
      </c>
      <c r="E2934" t="n">
        <v/>
      </c>
    </row>
    <row r="2935">
      <c r="A2935" s="27" t="n">
        <v>43858</v>
      </c>
      <c r="B2935" t="n">
        <v/>
      </c>
      <c r="C2935" t="n">
        <v>1.461</v>
      </c>
      <c r="D2935" t="n">
        <v>1.649</v>
      </c>
      <c r="E2935" t="n">
        <v/>
      </c>
    </row>
    <row r="2936">
      <c r="A2936" s="27" t="n">
        <v>43859</v>
      </c>
      <c r="B2936" t="n">
        <v/>
      </c>
      <c r="C2936" t="n">
        <v>1.417</v>
      </c>
      <c r="D2936" t="n">
        <v>1.587</v>
      </c>
      <c r="E2936" t="n">
        <v/>
      </c>
    </row>
    <row r="2937">
      <c r="A2937" s="27" t="n">
        <v>43860</v>
      </c>
      <c r="B2937" t="n">
        <v/>
      </c>
      <c r="C2937" t="n">
        <v>1.411</v>
      </c>
      <c r="D2937" t="n">
        <v>1.58</v>
      </c>
      <c r="E2937" t="n">
        <v/>
      </c>
    </row>
    <row r="2938">
      <c r="A2938" s="27" t="n">
        <v>43861</v>
      </c>
      <c r="B2938" t="n">
        <v/>
      </c>
      <c r="C2938" t="n">
        <v>1.319</v>
      </c>
      <c r="D2938" t="n">
        <v>1.505</v>
      </c>
      <c r="E2938" t="n">
        <v/>
      </c>
    </row>
    <row r="2939">
      <c r="A2939" s="27" t="n">
        <v>43863</v>
      </c>
      <c r="B2939" t="n">
        <v/>
      </c>
      <c r="C2939" t="n">
        <v>1.323</v>
      </c>
      <c r="D2939" t="n">
        <v>1.515</v>
      </c>
      <c r="E2939" t="n">
        <v/>
      </c>
    </row>
    <row r="2940">
      <c r="A2940" s="27" t="n">
        <v>43864</v>
      </c>
      <c r="B2940" t="n">
        <v/>
      </c>
      <c r="C2940" t="n">
        <v>1.355</v>
      </c>
      <c r="D2940" t="n">
        <v>1.52</v>
      </c>
      <c r="E2940" t="n">
        <v/>
      </c>
    </row>
    <row r="2941">
      <c r="A2941" s="27" t="n">
        <v>43865</v>
      </c>
      <c r="B2941" t="n">
        <v/>
      </c>
      <c r="C2941" t="n">
        <v>1.415</v>
      </c>
      <c r="D2941" t="n">
        <v>1.603</v>
      </c>
      <c r="E2941" t="n">
        <v/>
      </c>
    </row>
    <row r="2942">
      <c r="A2942" s="27" t="n">
        <v>43866</v>
      </c>
      <c r="B2942" t="n">
        <v/>
      </c>
      <c r="C2942" t="n">
        <v>1.443</v>
      </c>
      <c r="D2942" t="n">
        <v>1.649</v>
      </c>
      <c r="E2942" t="n">
        <v/>
      </c>
    </row>
    <row r="2943">
      <c r="A2943" s="27" t="n">
        <v>43867</v>
      </c>
      <c r="B2943" t="n">
        <v/>
      </c>
      <c r="C2943" t="n">
        <v>1.449</v>
      </c>
      <c r="D2943" t="n">
        <v>1.644</v>
      </c>
      <c r="E2943" t="n">
        <v/>
      </c>
    </row>
    <row r="2944">
      <c r="A2944" s="27" t="n">
        <v>43868</v>
      </c>
      <c r="B2944" t="n">
        <v/>
      </c>
      <c r="C2944" t="n">
        <v>1.401</v>
      </c>
      <c r="D2944" t="n">
        <v>1.582</v>
      </c>
      <c r="E2944" t="n">
        <v/>
      </c>
    </row>
    <row r="2945">
      <c r="A2945" s="27" t="n">
        <v>43870</v>
      </c>
      <c r="B2945" t="n">
        <v/>
      </c>
      <c r="C2945" t="n">
        <v>1.383</v>
      </c>
      <c r="D2945" t="n">
        <v>1.559</v>
      </c>
      <c r="E2945" t="n">
        <v/>
      </c>
    </row>
    <row r="2946">
      <c r="A2946" s="27" t="n">
        <v>43871</v>
      </c>
      <c r="B2946" t="n">
        <v/>
      </c>
      <c r="C2946" t="n">
        <v>1.385</v>
      </c>
      <c r="D2946" t="n">
        <v>1.563</v>
      </c>
      <c r="E2946" t="n">
        <v/>
      </c>
    </row>
    <row r="2947">
      <c r="A2947" s="27" t="n">
        <v>43872</v>
      </c>
      <c r="B2947" t="n">
        <v/>
      </c>
      <c r="C2947" t="n">
        <v>1.425</v>
      </c>
      <c r="D2947" t="n">
        <v>1.602</v>
      </c>
      <c r="E2947" t="n">
        <v/>
      </c>
    </row>
    <row r="2948">
      <c r="A2948" s="27" t="n">
        <v>43873</v>
      </c>
      <c r="B2948" t="n">
        <v/>
      </c>
      <c r="C2948" t="n">
        <v>1.446</v>
      </c>
      <c r="D2948" t="n">
        <v>1.637</v>
      </c>
      <c r="E2948" t="n">
        <v/>
      </c>
    </row>
    <row r="2949">
      <c r="A2949" s="27" t="n">
        <v>43874</v>
      </c>
      <c r="B2949" t="n">
        <v/>
      </c>
      <c r="C2949" t="n">
        <v>1.446</v>
      </c>
      <c r="D2949" t="n">
        <v>1.619</v>
      </c>
      <c r="E2949" t="n">
        <v/>
      </c>
    </row>
    <row r="2950">
      <c r="A2950" s="27" t="n">
        <v>43875</v>
      </c>
      <c r="B2950" t="n">
        <v/>
      </c>
      <c r="C2950" t="n">
        <v>1.43</v>
      </c>
      <c r="D2950" t="n">
        <v>1.588</v>
      </c>
      <c r="E2950" t="n">
        <v/>
      </c>
    </row>
    <row r="2951">
      <c r="A2951" s="27" t="n">
        <v>43878</v>
      </c>
      <c r="B2951" t="n">
        <v/>
      </c>
      <c r="C2951" t="n">
        <v>1.426</v>
      </c>
      <c r="D2951" t="n">
        <v>1.578</v>
      </c>
      <c r="E2951" t="n">
        <v/>
      </c>
    </row>
    <row r="2952">
      <c r="A2952" s="27" t="n">
        <v>43879</v>
      </c>
      <c r="B2952" t="n">
        <v/>
      </c>
      <c r="C2952" t="n">
        <v>1.414</v>
      </c>
      <c r="D2952" t="n">
        <v>1.559</v>
      </c>
      <c r="E2952" t="n">
        <v/>
      </c>
    </row>
    <row r="2953">
      <c r="A2953" s="27" t="n">
        <v>43880</v>
      </c>
      <c r="B2953" t="n">
        <v/>
      </c>
      <c r="C2953" t="n">
        <v>1.426</v>
      </c>
      <c r="D2953" t="n">
        <v>1.568</v>
      </c>
      <c r="E2953" t="n">
        <v/>
      </c>
    </row>
    <row r="2954">
      <c r="A2954" s="27" t="n">
        <v>43881</v>
      </c>
      <c r="B2954" t="n">
        <v/>
      </c>
      <c r="C2954" t="n">
        <v>1.391</v>
      </c>
      <c r="D2954" t="n">
        <v>1.519</v>
      </c>
      <c r="E2954" t="n">
        <v/>
      </c>
    </row>
    <row r="2955">
      <c r="A2955" s="27" t="n">
        <v>43882</v>
      </c>
      <c r="B2955" t="n">
        <v/>
      </c>
      <c r="C2955" t="n">
        <v>1.354</v>
      </c>
      <c r="D2955" t="n">
        <v>1.473</v>
      </c>
      <c r="E2955" t="n">
        <v/>
      </c>
    </row>
    <row r="2956">
      <c r="A2956" s="27" t="n">
        <v>43884</v>
      </c>
      <c r="B2956" t="n">
        <v/>
      </c>
      <c r="C2956" t="n">
        <v>1.354</v>
      </c>
      <c r="D2956" t="n">
        <v>1.473</v>
      </c>
      <c r="E2956" t="n">
        <v/>
      </c>
    </row>
    <row r="2957">
      <c r="A2957" s="27" t="n">
        <v>43885</v>
      </c>
      <c r="B2957" t="n">
        <v/>
      </c>
      <c r="C2957" t="n">
        <v>1.25</v>
      </c>
      <c r="D2957" t="n">
        <v>1.371</v>
      </c>
      <c r="E2957" t="n">
        <v/>
      </c>
    </row>
    <row r="2958">
      <c r="A2958" s="27" t="n">
        <v>43886</v>
      </c>
      <c r="B2958" t="n">
        <v/>
      </c>
      <c r="C2958" t="n">
        <v>1.229</v>
      </c>
      <c r="D2958" t="n">
        <v>1.355</v>
      </c>
      <c r="E2958" t="n">
        <v/>
      </c>
    </row>
    <row r="2959">
      <c r="A2959" s="27" t="n">
        <v>43887</v>
      </c>
      <c r="B2959" t="n">
        <v/>
      </c>
      <c r="C2959" t="n">
        <v>1.165</v>
      </c>
      <c r="D2959" t="n">
        <v>1.335</v>
      </c>
      <c r="E2959" t="n">
        <v/>
      </c>
    </row>
    <row r="2960">
      <c r="A2960" s="27" t="n">
        <v>43888</v>
      </c>
      <c r="B2960" t="n">
        <v/>
      </c>
      <c r="C2960" t="n">
        <v>1.071</v>
      </c>
      <c r="D2960" t="n">
        <v>1.274</v>
      </c>
      <c r="E2960" t="n">
        <v/>
      </c>
    </row>
    <row r="2961">
      <c r="A2961" s="27" t="n">
        <v>43889</v>
      </c>
      <c r="B2961" t="n">
        <v/>
      </c>
      <c r="C2961" t="n">
        <v>0.931</v>
      </c>
      <c r="D2961" t="n">
        <v>1.163</v>
      </c>
      <c r="E2961" t="n">
        <v/>
      </c>
    </row>
    <row r="2962">
      <c r="A2962" s="27" t="n">
        <v>43892</v>
      </c>
      <c r="B2962" t="n">
        <v/>
      </c>
      <c r="C2962" t="n">
        <v>0.895</v>
      </c>
      <c r="D2962" t="n">
        <v>1.152</v>
      </c>
      <c r="E2962" t="n">
        <v/>
      </c>
    </row>
    <row r="2963">
      <c r="A2963" s="27" t="n">
        <v>43893</v>
      </c>
      <c r="B2963" t="n">
        <v/>
      </c>
      <c r="C2963" t="n">
        <v>0.701</v>
      </c>
      <c r="D2963" t="n">
        <v>0.999</v>
      </c>
      <c r="E2963" t="n">
        <v/>
      </c>
    </row>
    <row r="2964">
      <c r="A2964" s="27" t="n">
        <v>43894</v>
      </c>
      <c r="B2964" t="n">
        <v/>
      </c>
      <c r="C2964" t="n">
        <v>0.6909999999999999</v>
      </c>
      <c r="D2964" t="n">
        <v>1.055</v>
      </c>
      <c r="E2964" t="n">
        <v/>
      </c>
    </row>
    <row r="2965">
      <c r="A2965" s="27" t="n">
        <v>43895</v>
      </c>
      <c r="B2965" t="n">
        <v/>
      </c>
      <c r="C2965" t="n">
        <v>0.601</v>
      </c>
      <c r="D2965" t="n">
        <v>0.917</v>
      </c>
      <c r="E2965" t="n">
        <v/>
      </c>
    </row>
    <row r="2966">
      <c r="A2966" s="27" t="n">
        <v>43896</v>
      </c>
      <c r="B2966" t="n">
        <v/>
      </c>
      <c r="C2966" t="n">
        <v>0.51</v>
      </c>
      <c r="D2966" t="n">
        <v>0.773</v>
      </c>
      <c r="E2966" t="n">
        <v/>
      </c>
    </row>
    <row r="2967">
      <c r="A2967" s="27" t="n">
        <v>43897</v>
      </c>
      <c r="B2967" t="n">
        <v/>
      </c>
      <c r="C2967" t="n">
        <v/>
      </c>
      <c r="D2967" t="n">
        <v/>
      </c>
      <c r="E2967" t="n">
        <v/>
      </c>
    </row>
    <row r="2968">
      <c r="A2968" s="27" t="n">
        <v>43899</v>
      </c>
      <c r="B2968" t="n">
        <v/>
      </c>
      <c r="C2968" t="n">
        <v>0.408</v>
      </c>
      <c r="D2968" t="n">
        <v>0.5590000000000001</v>
      </c>
      <c r="E2968" t="n">
        <v/>
      </c>
    </row>
    <row r="2969">
      <c r="A2969" s="27" t="n">
        <v>43900</v>
      </c>
      <c r="B2969" t="n">
        <v/>
      </c>
      <c r="C2969" t="n">
        <v>0.546</v>
      </c>
      <c r="D2969" t="n">
        <v>0.8</v>
      </c>
      <c r="E2969" t="n">
        <v/>
      </c>
    </row>
    <row r="2970">
      <c r="A2970" s="27" t="n">
        <v>43901</v>
      </c>
      <c r="B2970" t="n">
        <v/>
      </c>
      <c r="C2970" t="n">
        <v>0.521</v>
      </c>
      <c r="D2970" t="n">
        <v>0.877</v>
      </c>
      <c r="E2970" t="n">
        <v/>
      </c>
    </row>
    <row r="2971">
      <c r="A2971" s="27" t="n">
        <v>43902</v>
      </c>
      <c r="B2971" t="n">
        <v/>
      </c>
      <c r="C2971" t="n">
        <v>0.471</v>
      </c>
      <c r="D2971" t="n">
        <v>0.8120000000000001</v>
      </c>
      <c r="E2971" t="n">
        <v/>
      </c>
    </row>
    <row r="2972">
      <c r="A2972" s="27" t="n">
        <v>43903</v>
      </c>
      <c r="B2972" t="n">
        <v/>
      </c>
      <c r="C2972" t="n">
        <v>0.508</v>
      </c>
      <c r="D2972" t="n">
        <v>0.983</v>
      </c>
      <c r="E2972" t="n">
        <v/>
      </c>
    </row>
    <row r="2973">
      <c r="A2973" s="27" t="n">
        <v>43906</v>
      </c>
      <c r="B2973" t="n">
        <v/>
      </c>
      <c r="C2973" t="n">
        <v>0.374</v>
      </c>
      <c r="D2973" t="n">
        <v>0.74</v>
      </c>
      <c r="E2973" t="n">
        <v/>
      </c>
    </row>
    <row r="2974">
      <c r="A2974" s="27" t="n">
        <v>43907</v>
      </c>
      <c r="B2974" t="n">
        <v/>
      </c>
      <c r="C2974" t="n">
        <v>0.498</v>
      </c>
      <c r="D2974" t="n">
        <v>1.069</v>
      </c>
      <c r="E2974" t="n">
        <v/>
      </c>
    </row>
    <row r="2975">
      <c r="A2975" s="27" t="n">
        <v>43908</v>
      </c>
      <c r="B2975" t="n">
        <v/>
      </c>
      <c r="C2975" t="n">
        <v>0.54</v>
      </c>
      <c r="D2975" t="n">
        <v>1.183</v>
      </c>
      <c r="E2975" t="n">
        <v/>
      </c>
    </row>
    <row r="2976">
      <c r="A2976" s="27" t="n">
        <v>43909</v>
      </c>
      <c r="B2976" t="n">
        <v/>
      </c>
      <c r="C2976" t="n">
        <v>0.459</v>
      </c>
      <c r="D2976" t="n">
        <v>1.158</v>
      </c>
      <c r="E2976" t="n">
        <v/>
      </c>
    </row>
    <row r="2977">
      <c r="A2977" s="27" t="n">
        <v>43910</v>
      </c>
      <c r="B2977" t="n">
        <v/>
      </c>
      <c r="C2977" t="n">
        <v>0.325</v>
      </c>
      <c r="D2977" t="n">
        <v>0.885</v>
      </c>
      <c r="E2977" t="n">
        <v/>
      </c>
    </row>
    <row r="2978">
      <c r="A2978" s="27" t="n">
        <v>43913</v>
      </c>
      <c r="B2978" t="n">
        <v/>
      </c>
      <c r="C2978" t="n">
        <v>0.32</v>
      </c>
      <c r="D2978" t="n">
        <v>0.763</v>
      </c>
      <c r="E2978" t="n">
        <v/>
      </c>
    </row>
    <row r="2979">
      <c r="A2979" s="27" t="n">
        <v>43914</v>
      </c>
      <c r="B2979" t="n">
        <v/>
      </c>
      <c r="C2979" t="n">
        <v>0.382</v>
      </c>
      <c r="D2979" t="n">
        <v>0.858</v>
      </c>
      <c r="E2979" t="n">
        <v/>
      </c>
    </row>
    <row r="2980">
      <c r="A2980" s="27" t="n">
        <v>43915</v>
      </c>
      <c r="B2980" t="n">
        <v/>
      </c>
      <c r="C2980" t="n">
        <v>0.34</v>
      </c>
      <c r="D2980" t="n">
        <v>0.869</v>
      </c>
      <c r="E2980" t="n">
        <v/>
      </c>
    </row>
    <row r="2981">
      <c r="A2981" s="27" t="n">
        <v>43916</v>
      </c>
      <c r="B2981" t="n">
        <v/>
      </c>
      <c r="C2981" t="n">
        <v>0.299</v>
      </c>
      <c r="D2981" t="n">
        <v>0.848</v>
      </c>
      <c r="E2981" t="n">
        <v/>
      </c>
    </row>
    <row r="2982">
      <c r="A2982" s="27" t="n">
        <v>43917</v>
      </c>
      <c r="B2982" t="n">
        <v/>
      </c>
      <c r="C2982" t="n">
        <v>0.273</v>
      </c>
      <c r="D2982" t="n">
        <v>0.774</v>
      </c>
      <c r="E2982" t="n">
        <v/>
      </c>
    </row>
    <row r="2983">
      <c r="A2983" s="27" t="n">
        <v>43919</v>
      </c>
      <c r="B2983" t="n">
        <v/>
      </c>
      <c r="C2983" t="n">
        <v>0.2516</v>
      </c>
      <c r="D2983" t="n">
        <v>0.665</v>
      </c>
      <c r="E2983" t="n">
        <v/>
      </c>
    </row>
    <row r="2984">
      <c r="A2984" s="27" t="n">
        <v>43920</v>
      </c>
      <c r="B2984" t="n">
        <v/>
      </c>
      <c r="C2984" t="n">
        <v>0.23</v>
      </c>
      <c r="D2984" t="n">
        <v>0.726</v>
      </c>
      <c r="E2984" t="n">
        <v/>
      </c>
    </row>
    <row r="2985">
      <c r="A2985" s="27" t="n">
        <v>43921</v>
      </c>
      <c r="B2985" t="n">
        <v/>
      </c>
      <c r="C2985" t="n">
        <v>0.2534</v>
      </c>
      <c r="D2985" t="n">
        <v>0.668</v>
      </c>
      <c r="E2985" t="n">
        <v/>
      </c>
    </row>
    <row r="2986">
      <c r="A2986" s="27" t="n">
        <v>43922</v>
      </c>
      <c r="B2986" t="n">
        <v/>
      </c>
      <c r="C2986" t="n">
        <v>0.2434</v>
      </c>
      <c r="D2986" t="n">
        <v>0.602</v>
      </c>
      <c r="E2986" t="n">
        <v/>
      </c>
    </row>
    <row r="2987">
      <c r="A2987" s="27" t="n">
        <v>43923</v>
      </c>
      <c r="B2987" t="n">
        <v/>
      </c>
      <c r="C2987" t="n">
        <v>0.2275</v>
      </c>
      <c r="D2987" t="n">
        <v>0.611</v>
      </c>
      <c r="E2987" t="n">
        <v/>
      </c>
    </row>
    <row r="2988">
      <c r="A2988" s="27" t="n">
        <v>43924</v>
      </c>
      <c r="B2988" t="n">
        <v/>
      </c>
      <c r="C2988" t="n">
        <v>0.2269</v>
      </c>
      <c r="D2988" t="n">
        <v>0.599</v>
      </c>
      <c r="E2988" t="n">
        <v/>
      </c>
    </row>
    <row r="2989">
      <c r="A2989" s="27" t="n">
        <v>43925</v>
      </c>
      <c r="B2989" t="n">
        <v/>
      </c>
      <c r="C2989" t="n">
        <v/>
      </c>
      <c r="D2989" t="n">
        <v/>
      </c>
      <c r="E2989" t="n">
        <v/>
      </c>
    </row>
    <row r="2990">
      <c r="A2990" s="27" t="n">
        <v>43926</v>
      </c>
      <c r="B2990" t="n">
        <v/>
      </c>
      <c r="C2990" t="n">
        <v>0.2368</v>
      </c>
      <c r="D2990" t="n">
        <v>0.613</v>
      </c>
      <c r="E2990" t="n">
        <v/>
      </c>
    </row>
    <row r="2991">
      <c r="A2991" s="27" t="n">
        <v>43927</v>
      </c>
      <c r="B2991" t="n">
        <v/>
      </c>
      <c r="C2991" t="n">
        <v>0.2682</v>
      </c>
      <c r="D2991" t="n">
        <v>0.678</v>
      </c>
      <c r="E2991" t="n">
        <v/>
      </c>
    </row>
    <row r="2992">
      <c r="A2992" s="27" t="n">
        <v>43928</v>
      </c>
      <c r="B2992" t="n">
        <v/>
      </c>
      <c r="C2992" t="n">
        <v>0.268</v>
      </c>
      <c r="D2992" t="n">
        <v>0.726</v>
      </c>
      <c r="E2992" t="n">
        <v/>
      </c>
    </row>
    <row r="2993">
      <c r="A2993" s="27" t="n">
        <v>43929</v>
      </c>
      <c r="B2993" t="n">
        <v/>
      </c>
      <c r="C2993" t="n">
        <v>0.256</v>
      </c>
      <c r="D2993" t="n">
        <v>0.771</v>
      </c>
      <c r="E2993" t="n">
        <v/>
      </c>
    </row>
    <row r="2994">
      <c r="A2994" s="27" t="n">
        <v>43930</v>
      </c>
      <c r="B2994" t="n">
        <v/>
      </c>
      <c r="C2994" t="n">
        <v>0.2314</v>
      </c>
      <c r="D2994" t="n">
        <v>0.729</v>
      </c>
      <c r="E2994" t="n">
        <v/>
      </c>
    </row>
    <row r="2995">
      <c r="A2995" s="27" t="n">
        <v>43931</v>
      </c>
      <c r="B2995" t="n">
        <v/>
      </c>
      <c r="C2995" t="n">
        <v/>
      </c>
      <c r="D2995" t="n">
        <v/>
      </c>
      <c r="E2995" t="n">
        <v/>
      </c>
    </row>
    <row r="2996">
      <c r="A2996" s="27" t="n">
        <v>43932</v>
      </c>
      <c r="B2996" t="n">
        <v/>
      </c>
      <c r="C2996" t="n">
        <v/>
      </c>
      <c r="D2996" t="n">
        <v/>
      </c>
      <c r="E2996" t="n">
        <v/>
      </c>
    </row>
    <row r="2997">
      <c r="A2997" s="27" t="n">
        <v>43933</v>
      </c>
      <c r="B2997" t="n">
        <v/>
      </c>
      <c r="C2997" t="n">
        <v>0.2294</v>
      </c>
      <c r="D2997" t="n">
        <v>0.725</v>
      </c>
      <c r="E2997" t="n">
        <v/>
      </c>
    </row>
    <row r="2998">
      <c r="A2998" s="27" t="n">
        <v>43934</v>
      </c>
      <c r="B2998" t="n">
        <v/>
      </c>
      <c r="C2998" t="n">
        <v>0.2492</v>
      </c>
      <c r="D2998" t="n">
        <v>0.77</v>
      </c>
      <c r="E2998" t="n">
        <v/>
      </c>
    </row>
    <row r="2999">
      <c r="A2999" s="27" t="n">
        <v>43935</v>
      </c>
      <c r="B2999" t="n">
        <v/>
      </c>
      <c r="C2999" t="n">
        <v>0.221</v>
      </c>
      <c r="D2999" t="n">
        <v>0.75</v>
      </c>
      <c r="E2999" t="n">
        <v/>
      </c>
    </row>
    <row r="3000">
      <c r="A3000" s="27" t="n">
        <v>43936</v>
      </c>
      <c r="B3000" t="n">
        <v/>
      </c>
      <c r="C3000" t="n">
        <v>0.2009</v>
      </c>
      <c r="D3000" t="n">
        <v>0.635</v>
      </c>
      <c r="E3000" t="n">
        <v/>
      </c>
    </row>
    <row r="3001">
      <c r="A3001" s="27" t="n">
        <v>43937</v>
      </c>
      <c r="B3001" t="n">
        <v/>
      </c>
      <c r="C3001" t="n">
        <v>0.2106</v>
      </c>
      <c r="D3001" t="n">
        <v>0.617</v>
      </c>
      <c r="E3001" t="n">
        <v/>
      </c>
    </row>
    <row r="3002">
      <c r="A3002" s="27" t="n">
        <v>43938</v>
      </c>
      <c r="B3002" t="n">
        <v/>
      </c>
      <c r="C3002" t="n">
        <v>0.2019</v>
      </c>
      <c r="D3002" t="n">
        <v>0.642</v>
      </c>
      <c r="E3002" t="n">
        <v/>
      </c>
    </row>
    <row r="3003">
      <c r="A3003" s="27" t="n">
        <v>43939</v>
      </c>
      <c r="B3003" t="n">
        <v/>
      </c>
      <c r="C3003" t="n">
        <v/>
      </c>
      <c r="D3003" t="n">
        <v/>
      </c>
      <c r="E3003" t="n">
        <v/>
      </c>
    </row>
    <row r="3004">
      <c r="A3004" s="27" t="n">
        <v>43940</v>
      </c>
      <c r="B3004" t="n">
        <v/>
      </c>
      <c r="C3004" t="n">
        <v>0.2099</v>
      </c>
      <c r="D3004" t="n">
        <v>0.643</v>
      </c>
      <c r="E3004" t="n">
        <v/>
      </c>
    </row>
    <row r="3005">
      <c r="A3005" s="27" t="n">
        <v>43941</v>
      </c>
      <c r="B3005" t="n">
        <v/>
      </c>
      <c r="C3005" t="n">
        <v>0.2057</v>
      </c>
      <c r="D3005" t="n">
        <v>0.616</v>
      </c>
      <c r="E3005" t="n">
        <v/>
      </c>
    </row>
    <row r="3006">
      <c r="A3006" s="27" t="n">
        <v>43942</v>
      </c>
      <c r="B3006" t="n">
        <v/>
      </c>
      <c r="C3006" t="n">
        <v>0.2014</v>
      </c>
      <c r="D3006" t="n">
        <v>0.5659999999999999</v>
      </c>
      <c r="E3006" t="n">
        <v/>
      </c>
    </row>
    <row r="3007">
      <c r="A3007" s="27" t="n">
        <v>43943</v>
      </c>
      <c r="B3007" t="n">
        <v/>
      </c>
      <c r="C3007" t="n">
        <v>0.2153</v>
      </c>
      <c r="D3007" t="n">
        <v>0.618</v>
      </c>
      <c r="E3007" t="n">
        <v/>
      </c>
    </row>
    <row r="3008">
      <c r="A3008" s="27" t="n">
        <v>43944</v>
      </c>
      <c r="B3008" t="n">
        <v/>
      </c>
      <c r="C3008" t="n">
        <v>0.2211</v>
      </c>
      <c r="D3008" t="n">
        <v>0.603</v>
      </c>
      <c r="E3008" t="n">
        <v/>
      </c>
    </row>
    <row r="3009">
      <c r="A3009" s="27" t="n">
        <v>43945</v>
      </c>
      <c r="B3009" t="n">
        <v/>
      </c>
      <c r="C3009" t="n">
        <v>0.2225</v>
      </c>
      <c r="D3009" t="n">
        <v>0.605</v>
      </c>
      <c r="E3009" t="n">
        <v/>
      </c>
    </row>
    <row r="3010">
      <c r="A3010" s="27" t="n">
        <v>43946</v>
      </c>
      <c r="B3010" t="n">
        <v/>
      </c>
      <c r="C3010" t="n">
        <v/>
      </c>
      <c r="D3010" t="n">
        <v/>
      </c>
      <c r="E3010" t="n">
        <v/>
      </c>
    </row>
    <row r="3011">
      <c r="A3011" s="27" t="n">
        <v>43947</v>
      </c>
      <c r="B3011" t="n">
        <v/>
      </c>
      <c r="C3011" t="n">
        <v>0.2245</v>
      </c>
      <c r="D3011" t="n">
        <v>0.605</v>
      </c>
      <c r="E3011" t="n">
        <v/>
      </c>
    </row>
    <row r="3012">
      <c r="A3012" s="27" t="n">
        <v>43948</v>
      </c>
      <c r="B3012" t="n">
        <v/>
      </c>
      <c r="C3012" t="n">
        <v>0.2243</v>
      </c>
      <c r="D3012" t="n">
        <v>0.664</v>
      </c>
      <c r="E3012" t="n">
        <v/>
      </c>
    </row>
    <row r="3013">
      <c r="A3013" s="27" t="n">
        <v>43949</v>
      </c>
      <c r="B3013" t="n">
        <v/>
      </c>
      <c r="C3013" t="n">
        <v>0.2151</v>
      </c>
      <c r="D3013" t="n">
        <v>0.616</v>
      </c>
      <c r="E3013" t="n">
        <v/>
      </c>
    </row>
    <row r="3014">
      <c r="A3014" s="27" t="n">
        <v>43950</v>
      </c>
      <c r="B3014" t="n">
        <v/>
      </c>
      <c r="C3014" t="n">
        <v>0.2053</v>
      </c>
      <c r="D3014" t="n">
        <v>0.628</v>
      </c>
      <c r="E3014" t="n">
        <v/>
      </c>
    </row>
    <row r="3015">
      <c r="A3015" s="27" t="n">
        <v>43951</v>
      </c>
      <c r="B3015" t="n">
        <v/>
      </c>
      <c r="C3015" t="n">
        <v>0.2014</v>
      </c>
      <c r="D3015" t="n">
        <v>0.646</v>
      </c>
      <c r="E3015" t="n">
        <v/>
      </c>
    </row>
    <row r="3016">
      <c r="A3016" s="27" t="n">
        <v>43952</v>
      </c>
      <c r="B3016" t="n">
        <v/>
      </c>
      <c r="C3016" t="n">
        <v>0.1978</v>
      </c>
      <c r="D3016" t="n">
        <v>0.618</v>
      </c>
      <c r="E3016" t="n">
        <v/>
      </c>
    </row>
    <row r="3017">
      <c r="A3017" s="27" t="n">
        <v>43953</v>
      </c>
      <c r="B3017" t="n">
        <v/>
      </c>
      <c r="C3017" t="n">
        <v/>
      </c>
      <c r="D3017" t="n">
        <v/>
      </c>
      <c r="E3017" t="n">
        <v/>
      </c>
    </row>
    <row r="3018">
      <c r="A3018" s="27" t="n">
        <v>43954</v>
      </c>
      <c r="B3018" t="n">
        <v/>
      </c>
      <c r="C3018" t="n">
        <v>0.1978</v>
      </c>
      <c r="D3018" t="n">
        <v>0.618</v>
      </c>
      <c r="E3018" t="n">
        <v/>
      </c>
    </row>
    <row r="3019">
      <c r="A3019" s="27" t="n">
        <v>43955</v>
      </c>
      <c r="B3019" t="n">
        <v/>
      </c>
      <c r="C3019" t="n">
        <v>0.1841</v>
      </c>
      <c r="D3019" t="n">
        <v>0.631</v>
      </c>
      <c r="E3019" t="n">
        <v/>
      </c>
    </row>
    <row r="3020">
      <c r="A3020" s="27" t="n">
        <v>43956</v>
      </c>
      <c r="B3020" t="n">
        <v/>
      </c>
      <c r="C3020" t="n">
        <v>0.1901</v>
      </c>
      <c r="D3020" t="n">
        <v>0.662</v>
      </c>
      <c r="E3020" t="n">
        <v/>
      </c>
    </row>
    <row r="3021">
      <c r="A3021" s="27" t="n">
        <v>43957</v>
      </c>
      <c r="B3021" t="n">
        <v/>
      </c>
      <c r="C3021" t="n">
        <v>0.1803</v>
      </c>
      <c r="D3021" t="n">
        <v>0.709</v>
      </c>
      <c r="E3021" t="n">
        <v/>
      </c>
    </row>
    <row r="3022">
      <c r="A3022" s="27" t="n">
        <v>43958</v>
      </c>
      <c r="B3022" t="n">
        <v/>
      </c>
      <c r="C3022" t="n">
        <v>0.1388</v>
      </c>
      <c r="D3022" t="n">
        <v>0.639</v>
      </c>
      <c r="E3022" t="n">
        <v/>
      </c>
    </row>
    <row r="3023">
      <c r="A3023" s="27" t="n">
        <v>43959</v>
      </c>
      <c r="B3023" t="n">
        <v/>
      </c>
      <c r="C3023" t="n">
        <v>0.1608</v>
      </c>
      <c r="D3023" t="n">
        <v>0.6850000000000001</v>
      </c>
      <c r="E3023" t="n">
        <v/>
      </c>
    </row>
    <row r="3024">
      <c r="A3024" s="27" t="n">
        <v>43960</v>
      </c>
      <c r="B3024" t="n">
        <v/>
      </c>
      <c r="C3024" t="n">
        <v/>
      </c>
      <c r="D3024" t="n">
        <v/>
      </c>
      <c r="E3024" t="n">
        <v/>
      </c>
    </row>
    <row r="3025">
      <c r="A3025" s="27" t="n">
        <v>43961</v>
      </c>
      <c r="B3025" t="n">
        <v/>
      </c>
      <c r="C3025" t="n">
        <v>0.1608</v>
      </c>
      <c r="D3025" t="n">
        <v>0.6929999999999999</v>
      </c>
      <c r="E3025" t="n">
        <v/>
      </c>
    </row>
    <row r="3026">
      <c r="A3026" s="27" t="n">
        <v>43962</v>
      </c>
      <c r="B3026" t="n">
        <v/>
      </c>
      <c r="C3026" t="n">
        <v>0.1768</v>
      </c>
      <c r="D3026" t="n">
        <v>0.707</v>
      </c>
      <c r="E3026" t="n">
        <v/>
      </c>
    </row>
    <row r="3027">
      <c r="A3027" s="27" t="n">
        <v>43963</v>
      </c>
      <c r="B3027" t="n">
        <v/>
      </c>
      <c r="C3027" t="n">
        <v>0.1668</v>
      </c>
      <c r="D3027" t="n">
        <v>0.667</v>
      </c>
      <c r="E3027" t="n">
        <v/>
      </c>
    </row>
    <row r="3028">
      <c r="A3028" s="27" t="n">
        <v>43964</v>
      </c>
      <c r="B3028" t="n">
        <v/>
      </c>
      <c r="C3028" t="n">
        <v>0.1649</v>
      </c>
      <c r="D3028" t="n">
        <v>0.654</v>
      </c>
      <c r="E3028" t="n">
        <v/>
      </c>
    </row>
    <row r="3029">
      <c r="A3029" s="27" t="n">
        <v>43965</v>
      </c>
      <c r="B3029" t="n">
        <v/>
      </c>
      <c r="C3029" t="n">
        <v>0.149</v>
      </c>
      <c r="D3029" t="n">
        <v>0.617</v>
      </c>
      <c r="E3029" t="n">
        <v/>
      </c>
    </row>
    <row r="3030">
      <c r="A3030" s="27" t="n">
        <v>43966</v>
      </c>
      <c r="B3030" t="n">
        <v/>
      </c>
      <c r="C3030" t="n">
        <v>0.1511</v>
      </c>
      <c r="D3030" t="n">
        <v>0.644</v>
      </c>
      <c r="E3030" t="n">
        <v/>
      </c>
    </row>
    <row r="3031">
      <c r="A3031" s="27" t="n">
        <v>43967</v>
      </c>
      <c r="B3031" t="n">
        <v/>
      </c>
      <c r="C3031" t="n">
        <v/>
      </c>
      <c r="D3031" t="n">
        <v/>
      </c>
      <c r="E3031" t="n">
        <v/>
      </c>
    </row>
    <row r="3032">
      <c r="A3032" s="27" t="n">
        <v>43968</v>
      </c>
      <c r="B3032" t="n">
        <v/>
      </c>
      <c r="C3032" t="n">
        <v>0.1431</v>
      </c>
      <c r="D3032" t="n">
        <v>0.643</v>
      </c>
      <c r="E3032" t="n">
        <v/>
      </c>
    </row>
    <row r="3033">
      <c r="A3033" s="27" t="n">
        <v>43969</v>
      </c>
      <c r="B3033" t="n">
        <v/>
      </c>
      <c r="C3033" t="n">
        <v>0.1813</v>
      </c>
      <c r="D3033" t="n">
        <v>0.726</v>
      </c>
      <c r="E3033" t="n">
        <v/>
      </c>
    </row>
    <row r="3034">
      <c r="A3034" s="27" t="n">
        <v>43970</v>
      </c>
      <c r="B3034" t="n">
        <v/>
      </c>
      <c r="C3034" t="n">
        <v>0.1672</v>
      </c>
      <c r="D3034" t="n">
        <v>0.6919999999999999</v>
      </c>
      <c r="E3034" t="n">
        <v/>
      </c>
    </row>
    <row r="3035">
      <c r="A3035" s="27" t="n">
        <v>43971</v>
      </c>
      <c r="B3035" t="n">
        <v/>
      </c>
      <c r="C3035" t="n">
        <v>0.1693</v>
      </c>
      <c r="D3035" t="n">
        <v>0.6899999999999999</v>
      </c>
      <c r="E3035" t="n">
        <v/>
      </c>
    </row>
    <row r="3036">
      <c r="A3036" s="27" t="n">
        <v>43972</v>
      </c>
      <c r="B3036" t="n">
        <v/>
      </c>
      <c r="C3036" t="n">
        <v>0.1673</v>
      </c>
      <c r="D3036" t="n">
        <v>0.68</v>
      </c>
      <c r="E3036" t="n">
        <v/>
      </c>
    </row>
    <row r="3037">
      <c r="A3037" s="27" t="n">
        <v>43973</v>
      </c>
      <c r="B3037" t="n">
        <v/>
      </c>
      <c r="C3037" t="n">
        <v>0.1696</v>
      </c>
      <c r="D3037" t="n">
        <v>0.657</v>
      </c>
      <c r="E3037" t="n">
        <v/>
      </c>
    </row>
    <row r="3038">
      <c r="A3038" s="27" t="n">
        <v>43974</v>
      </c>
      <c r="B3038" t="n">
        <v/>
      </c>
      <c r="C3038" t="n">
        <v/>
      </c>
      <c r="D3038" t="n">
        <v/>
      </c>
      <c r="E3038" t="n">
        <v/>
      </c>
    </row>
    <row r="3039">
      <c r="A3039" s="27" t="n">
        <v>43975</v>
      </c>
      <c r="B3039" t="n">
        <v/>
      </c>
      <c r="C3039" t="n">
        <v/>
      </c>
      <c r="D3039" t="n">
        <v/>
      </c>
      <c r="E3039" t="n">
        <v/>
      </c>
    </row>
    <row r="3040">
      <c r="A3040" s="27" t="n">
        <v>43976</v>
      </c>
      <c r="B3040" t="n">
        <v/>
      </c>
      <c r="C3040" t="n">
        <v>0.1716</v>
      </c>
      <c r="D3040" t="n">
        <v>0.659</v>
      </c>
      <c r="E3040" t="n">
        <v/>
      </c>
    </row>
    <row r="3041">
      <c r="A3041" s="27" t="n">
        <v>43977</v>
      </c>
      <c r="B3041" t="n">
        <v/>
      </c>
      <c r="C3041" t="n">
        <v>0.1737</v>
      </c>
      <c r="D3041" t="n">
        <v>0.695</v>
      </c>
      <c r="E3041" t="n">
        <v/>
      </c>
    </row>
    <row r="3042">
      <c r="A3042" s="27" t="n">
        <v>43978</v>
      </c>
      <c r="B3042" t="n">
        <v/>
      </c>
      <c r="C3042" t="n">
        <v>0.1838</v>
      </c>
      <c r="D3042" t="n">
        <v>0.695</v>
      </c>
      <c r="E3042" t="n">
        <v/>
      </c>
    </row>
    <row r="3043">
      <c r="A3043" s="27" t="n">
        <v>43979</v>
      </c>
      <c r="B3043" t="n">
        <v/>
      </c>
      <c r="C3043" t="n">
        <v>0.174</v>
      </c>
      <c r="D3043" t="n">
        <v>0.697</v>
      </c>
      <c r="E3043" t="n">
        <v/>
      </c>
    </row>
    <row r="3044">
      <c r="A3044" s="27" t="n">
        <v>43980</v>
      </c>
      <c r="B3044" t="n">
        <v/>
      </c>
      <c r="C3044" t="n">
        <v>0.1642</v>
      </c>
      <c r="D3044" t="n">
        <v>0.653</v>
      </c>
      <c r="E3044" t="n">
        <v/>
      </c>
    </row>
    <row r="3045">
      <c r="A3045" s="27" t="n">
        <v>43981</v>
      </c>
      <c r="B3045" t="n">
        <v/>
      </c>
      <c r="C3045" t="n">
        <v/>
      </c>
      <c r="D3045" t="n">
        <v/>
      </c>
      <c r="E3045" t="n">
        <v/>
      </c>
    </row>
    <row r="3046">
      <c r="A3046" s="27" t="n">
        <v>43982</v>
      </c>
      <c r="B3046" t="n">
        <v/>
      </c>
      <c r="C3046" t="n">
        <v>0.1583</v>
      </c>
      <c r="D3046" t="n">
        <v>0.641</v>
      </c>
      <c r="E3046" t="n">
        <v/>
      </c>
    </row>
    <row r="3047">
      <c r="A3047" s="27" t="n">
        <v>43983</v>
      </c>
      <c r="B3047" t="n">
        <v/>
      </c>
      <c r="C3047" t="n">
        <v>0.1603</v>
      </c>
      <c r="D3047" t="n">
        <v>0.667</v>
      </c>
      <c r="E3047" t="n">
        <v/>
      </c>
    </row>
    <row r="3048">
      <c r="A3048" s="27" t="n">
        <v>43984</v>
      </c>
      <c r="B3048" t="n">
        <v/>
      </c>
      <c r="C3048" t="n">
        <v>0.1663</v>
      </c>
      <c r="D3048" t="n">
        <v>0.6870000000000001</v>
      </c>
      <c r="E3048" t="n">
        <v/>
      </c>
    </row>
    <row r="3049">
      <c r="A3049" s="27" t="n">
        <v>43985</v>
      </c>
      <c r="B3049" t="n">
        <v/>
      </c>
      <c r="C3049" t="n">
        <v>0.1919</v>
      </c>
      <c r="D3049" t="n">
        <v>0.746</v>
      </c>
      <c r="E3049" t="n">
        <v/>
      </c>
    </row>
    <row r="3050">
      <c r="A3050" s="27" t="n">
        <v>43986</v>
      </c>
      <c r="B3050" t="n">
        <v/>
      </c>
      <c r="C3050" t="n">
        <v>0.1979</v>
      </c>
      <c r="D3050" t="n">
        <v>0.825</v>
      </c>
      <c r="E3050" t="n">
        <v/>
      </c>
    </row>
    <row r="3051">
      <c r="A3051" s="27" t="n">
        <v>43987</v>
      </c>
      <c r="B3051" t="n">
        <v/>
      </c>
      <c r="C3051" t="n">
        <v>0.2101</v>
      </c>
      <c r="D3051" t="n">
        <v>0.893</v>
      </c>
      <c r="E3051" t="n">
        <v/>
      </c>
    </row>
    <row r="3052">
      <c r="A3052" s="27" t="n">
        <v>43988</v>
      </c>
      <c r="B3052" t="n">
        <v/>
      </c>
      <c r="C3052" t="n">
        <v/>
      </c>
      <c r="D3052" t="n">
        <v/>
      </c>
      <c r="E3052" t="n">
        <v/>
      </c>
    </row>
    <row r="3053">
      <c r="A3053" s="27" t="n">
        <v>43989</v>
      </c>
      <c r="B3053" t="n">
        <v/>
      </c>
      <c r="C3053" t="n">
        <v>0.2121</v>
      </c>
      <c r="D3053" t="n">
        <v>0.9</v>
      </c>
      <c r="E3053" t="n">
        <v/>
      </c>
    </row>
    <row r="3054">
      <c r="A3054" s="27" t="n">
        <v>43990</v>
      </c>
      <c r="B3054" t="n">
        <v/>
      </c>
      <c r="C3054" t="n">
        <v>0.2301</v>
      </c>
      <c r="D3054" t="n">
        <v>0.878</v>
      </c>
      <c r="E3054" t="n">
        <v/>
      </c>
    </row>
    <row r="3055">
      <c r="A3055" s="27" t="n">
        <v>43991</v>
      </c>
      <c r="B3055" t="n">
        <v/>
      </c>
      <c r="C3055" t="n">
        <v>0.2044</v>
      </c>
      <c r="D3055" t="n">
        <v>0.824</v>
      </c>
      <c r="E3055" t="n">
        <v/>
      </c>
    </row>
    <row r="3056">
      <c r="A3056" s="27" t="n">
        <v>43992</v>
      </c>
      <c r="B3056" t="n">
        <v/>
      </c>
      <c r="C3056" t="n">
        <v>0.1727</v>
      </c>
      <c r="D3056" t="n">
        <v>0.736</v>
      </c>
      <c r="E3056" t="n">
        <v/>
      </c>
    </row>
    <row r="3057">
      <c r="A3057" s="27" t="n">
        <v>43993</v>
      </c>
      <c r="B3057" t="n">
        <v/>
      </c>
      <c r="C3057" t="n">
        <v>0.2006</v>
      </c>
      <c r="D3057" t="n">
        <v>0.666</v>
      </c>
      <c r="E3057" t="n">
        <v/>
      </c>
    </row>
    <row r="3058">
      <c r="A3058" s="27" t="n">
        <v>43994</v>
      </c>
      <c r="B3058" t="n">
        <v/>
      </c>
      <c r="C3058" t="n">
        <v>0.1949</v>
      </c>
      <c r="D3058" t="n">
        <v>0.71</v>
      </c>
      <c r="E3058" t="n">
        <v/>
      </c>
    </row>
    <row r="3059">
      <c r="A3059" s="27" t="n">
        <v>43995</v>
      </c>
      <c r="B3059" t="n">
        <v/>
      </c>
      <c r="C3059" t="n">
        <v/>
      </c>
      <c r="D3059" t="n">
        <v/>
      </c>
      <c r="E3059" t="n">
        <v/>
      </c>
    </row>
    <row r="3060">
      <c r="A3060" s="27" t="n">
        <v>43996</v>
      </c>
      <c r="B3060" t="n">
        <v/>
      </c>
      <c r="C3060" t="n">
        <v/>
      </c>
      <c r="D3060" t="n">
        <v/>
      </c>
      <c r="E3060" t="n">
        <v/>
      </c>
    </row>
    <row r="3061">
      <c r="A3061" s="27" t="n">
        <v>43997</v>
      </c>
      <c r="B3061" t="n">
        <v/>
      </c>
      <c r="C3061" t="n">
        <v>0.193</v>
      </c>
      <c r="D3061" t="n">
        <v>0.72</v>
      </c>
      <c r="E3061" t="n">
        <v/>
      </c>
    </row>
    <row r="3062">
      <c r="A3062" s="27" t="n">
        <v>43998</v>
      </c>
      <c r="B3062" t="n">
        <v/>
      </c>
      <c r="C3062" t="n">
        <v>0.1971</v>
      </c>
      <c r="D3062" t="n">
        <v>0.741</v>
      </c>
      <c r="E3062" t="n">
        <v/>
      </c>
    </row>
    <row r="3063">
      <c r="A3063" s="27" t="n">
        <v>43999</v>
      </c>
      <c r="B3063" t="n">
        <v/>
      </c>
      <c r="C3063" t="n">
        <v>0.1952</v>
      </c>
      <c r="D3063" t="n">
        <v>0.733</v>
      </c>
      <c r="E3063" t="n">
        <v/>
      </c>
    </row>
    <row r="3064">
      <c r="A3064" s="27" t="n">
        <v>44000</v>
      </c>
      <c r="B3064" t="n">
        <v/>
      </c>
      <c r="C3064" t="n">
        <v>0.1953</v>
      </c>
      <c r="D3064" t="n">
        <v>0.707</v>
      </c>
      <c r="E3064" t="n">
        <v/>
      </c>
    </row>
    <row r="3065">
      <c r="A3065" s="27" t="n">
        <v>44001</v>
      </c>
      <c r="B3065" t="n">
        <v/>
      </c>
      <c r="C3065" t="n">
        <v>0.1896</v>
      </c>
      <c r="D3065" t="n">
        <v>0.694</v>
      </c>
      <c r="E3065" t="n">
        <v/>
      </c>
    </row>
    <row r="3066">
      <c r="A3066" s="27" t="n">
        <v>44002</v>
      </c>
      <c r="B3066" t="n">
        <v/>
      </c>
      <c r="C3066" t="n">
        <v/>
      </c>
      <c r="D3066" t="n">
        <v/>
      </c>
      <c r="E3066" t="n">
        <v/>
      </c>
    </row>
    <row r="3067">
      <c r="A3067" s="27" t="n">
        <v>44003</v>
      </c>
      <c r="B3067" t="n">
        <v/>
      </c>
      <c r="C3067" t="n">
        <v>0.1896</v>
      </c>
      <c r="D3067" t="n">
        <v>0.694</v>
      </c>
      <c r="E3067" t="n">
        <v/>
      </c>
    </row>
    <row r="3068">
      <c r="A3068" s="27" t="n">
        <v>44004</v>
      </c>
      <c r="B3068" t="n">
        <v/>
      </c>
      <c r="C3068" t="n">
        <v>0.1957</v>
      </c>
      <c r="D3068" t="n">
        <v>0.71</v>
      </c>
      <c r="E3068" t="n">
        <v/>
      </c>
    </row>
    <row r="3069">
      <c r="A3069" s="27" t="n">
        <v>44005</v>
      </c>
      <c r="B3069" t="n">
        <v/>
      </c>
      <c r="C3069" t="n">
        <v>0.1898</v>
      </c>
      <c r="D3069" t="n">
        <v>0.715</v>
      </c>
      <c r="E3069" t="n">
        <v/>
      </c>
    </row>
    <row r="3070">
      <c r="A3070" s="27" t="n">
        <v>44006</v>
      </c>
      <c r="B3070" t="n">
        <v/>
      </c>
      <c r="C3070" t="n">
        <v>0.1876</v>
      </c>
      <c r="D3070" t="n">
        <v>0.679</v>
      </c>
      <c r="E3070" t="n">
        <v/>
      </c>
    </row>
    <row r="3071">
      <c r="A3071" s="27" t="n">
        <v>44007</v>
      </c>
      <c r="B3071" t="n">
        <v/>
      </c>
      <c r="C3071" t="n">
        <v>0.1876</v>
      </c>
      <c r="D3071" t="n">
        <v>0.6820000000000001</v>
      </c>
      <c r="E3071" t="n">
        <v/>
      </c>
    </row>
    <row r="3072">
      <c r="A3072" s="27" t="n">
        <v>44008</v>
      </c>
      <c r="B3072" t="n">
        <v/>
      </c>
      <c r="C3072" t="n">
        <v>0.168</v>
      </c>
      <c r="D3072" t="n">
        <v>0.64</v>
      </c>
      <c r="E3072" t="n">
        <v/>
      </c>
    </row>
    <row r="3073">
      <c r="A3073" s="27" t="n">
        <v>44009</v>
      </c>
      <c r="B3073" t="n">
        <v/>
      </c>
      <c r="C3073" t="n">
        <v/>
      </c>
      <c r="D3073" t="n">
        <v/>
      </c>
      <c r="E3073" t="n">
        <v/>
      </c>
    </row>
    <row r="3074">
      <c r="A3074" s="27" t="n">
        <v>44010</v>
      </c>
      <c r="B3074" t="n">
        <v/>
      </c>
      <c r="C3074" t="n">
        <v>0.1641</v>
      </c>
      <c r="D3074" t="n">
        <v>0.632</v>
      </c>
      <c r="E3074" t="n">
        <v/>
      </c>
    </row>
    <row r="3075">
      <c r="A3075" s="27" t="n">
        <v>44011</v>
      </c>
      <c r="B3075" t="n">
        <v/>
      </c>
      <c r="C3075" t="n">
        <v>0.1524</v>
      </c>
      <c r="D3075" t="n">
        <v>0.627</v>
      </c>
      <c r="E3075" t="n">
        <v/>
      </c>
    </row>
    <row r="3076">
      <c r="A3076" s="27" t="n">
        <v>44012</v>
      </c>
      <c r="B3076" t="n">
        <v/>
      </c>
      <c r="C3076" t="n">
        <v>0.1544</v>
      </c>
      <c r="D3076" t="n">
        <v>0.658</v>
      </c>
      <c r="E3076" t="n">
        <v/>
      </c>
    </row>
    <row r="3077">
      <c r="A3077" s="27" t="n">
        <v>44013</v>
      </c>
      <c r="B3077" t="n">
        <v/>
      </c>
      <c r="C3077" t="n">
        <v>0.1642</v>
      </c>
      <c r="D3077" t="n">
        <v>0.676</v>
      </c>
      <c r="E3077" t="n">
        <v/>
      </c>
    </row>
    <row r="3078">
      <c r="A3078" s="27" t="n">
        <v>44014</v>
      </c>
      <c r="B3078" t="n">
        <v/>
      </c>
      <c r="C3078" t="n">
        <v>0.1546</v>
      </c>
      <c r="D3078" t="n">
        <v>0.669</v>
      </c>
      <c r="E3078" t="n">
        <v/>
      </c>
    </row>
    <row r="3079">
      <c r="A3079" s="27" t="n">
        <v>44015</v>
      </c>
      <c r="B3079" t="n">
        <v/>
      </c>
      <c r="C3079" t="n">
        <v/>
      </c>
      <c r="D3079" t="n">
        <v/>
      </c>
      <c r="E3079" t="n">
        <v/>
      </c>
    </row>
    <row r="3080">
      <c r="A3080" s="27" t="n">
        <v>44016</v>
      </c>
      <c r="B3080" t="n">
        <v/>
      </c>
      <c r="C3080" t="n">
        <v/>
      </c>
      <c r="D3080" t="n">
        <v/>
      </c>
      <c r="E3080" t="n">
        <v/>
      </c>
    </row>
    <row r="3081">
      <c r="A3081" s="27" t="n">
        <v>44017</v>
      </c>
      <c r="B3081" t="n">
        <v/>
      </c>
      <c r="C3081" t="n">
        <v>0.1546</v>
      </c>
      <c r="D3081" t="n">
        <v>0.676</v>
      </c>
      <c r="E3081" t="n">
        <v/>
      </c>
    </row>
    <row r="3082">
      <c r="A3082" s="27" t="n">
        <v>44018</v>
      </c>
      <c r="B3082" t="n">
        <v/>
      </c>
      <c r="C3082" t="n">
        <v>0.1586</v>
      </c>
      <c r="D3082" t="n">
        <v>0.678</v>
      </c>
      <c r="E3082" t="n">
        <v/>
      </c>
    </row>
    <row r="3083">
      <c r="A3083" s="27" t="n">
        <v>44019</v>
      </c>
      <c r="B3083" t="n">
        <v/>
      </c>
      <c r="C3083" t="n">
        <v>0.1606</v>
      </c>
      <c r="D3083" t="n">
        <v>0.64</v>
      </c>
      <c r="E3083" t="n">
        <v/>
      </c>
    </row>
    <row r="3084">
      <c r="A3084" s="27" t="n">
        <v>44020</v>
      </c>
      <c r="B3084" t="n">
        <v/>
      </c>
      <c r="C3084" t="n">
        <v>0.1626</v>
      </c>
      <c r="D3084" t="n">
        <v>0.666</v>
      </c>
      <c r="E3084" t="n">
        <v/>
      </c>
    </row>
    <row r="3085">
      <c r="A3085" s="27" t="n">
        <v>44021</v>
      </c>
      <c r="B3085" t="n">
        <v/>
      </c>
      <c r="C3085" t="n">
        <v>0.1528</v>
      </c>
      <c r="D3085" t="n">
        <v>0.613</v>
      </c>
      <c r="E3085" t="n">
        <v/>
      </c>
    </row>
    <row r="3086">
      <c r="A3086" s="27" t="n">
        <v>44022</v>
      </c>
      <c r="B3086" t="n">
        <v/>
      </c>
      <c r="C3086" t="n">
        <v>0.1569</v>
      </c>
      <c r="D3086" t="n">
        <v>0.643</v>
      </c>
      <c r="E3086" t="n">
        <v/>
      </c>
    </row>
    <row r="3087">
      <c r="A3087" s="27" t="n">
        <v>44023</v>
      </c>
      <c r="B3087" t="n">
        <v/>
      </c>
      <c r="C3087" t="n">
        <v/>
      </c>
      <c r="D3087" t="n">
        <v/>
      </c>
      <c r="E3087" t="n">
        <v/>
      </c>
    </row>
    <row r="3088">
      <c r="A3088" s="27" t="n">
        <v>44024</v>
      </c>
      <c r="B3088" t="n">
        <v/>
      </c>
      <c r="C3088" t="n">
        <v>0.1489</v>
      </c>
      <c r="D3088" t="n">
        <v/>
      </c>
      <c r="E3088" t="n">
        <v/>
      </c>
    </row>
    <row r="3089">
      <c r="A3089" s="27" t="n">
        <v>44025</v>
      </c>
      <c r="B3089" t="n">
        <v/>
      </c>
      <c r="C3089" t="n">
        <v>0.1549</v>
      </c>
      <c r="D3089" t="n">
        <v>0.618</v>
      </c>
      <c r="E3089" t="n">
        <v/>
      </c>
    </row>
    <row r="3090">
      <c r="A3090" s="27" t="n">
        <v>44026</v>
      </c>
      <c r="B3090" t="n">
        <v/>
      </c>
      <c r="C3090" t="n">
        <v>0.159</v>
      </c>
      <c r="D3090" t="n">
        <v>0.625</v>
      </c>
      <c r="E3090" t="n">
        <v/>
      </c>
    </row>
    <row r="3091">
      <c r="A3091" s="27" t="n">
        <v>44027</v>
      </c>
      <c r="B3091" t="n">
        <v/>
      </c>
      <c r="C3091" t="n">
        <v>0.157</v>
      </c>
      <c r="D3091" t="n">
        <v>0.633</v>
      </c>
      <c r="E3091" t="n">
        <v/>
      </c>
    </row>
    <row r="3092">
      <c r="A3092" s="27" t="n">
        <v>44028</v>
      </c>
      <c r="B3092" t="n">
        <v/>
      </c>
      <c r="C3092" t="n">
        <v>0.147</v>
      </c>
      <c r="D3092" t="n">
        <v>0.618</v>
      </c>
      <c r="E3092" t="n">
        <v/>
      </c>
    </row>
    <row r="3093">
      <c r="A3093" s="27" t="n">
        <v>44029</v>
      </c>
      <c r="B3093" t="n">
        <v/>
      </c>
      <c r="C3093" t="n">
        <v>0.1431</v>
      </c>
      <c r="D3093" t="n">
        <v>0.623</v>
      </c>
      <c r="E3093" t="n">
        <v/>
      </c>
    </row>
    <row r="3094">
      <c r="A3094" s="27" t="n">
        <v>44030</v>
      </c>
      <c r="B3094" t="n">
        <v/>
      </c>
      <c r="C3094" t="n">
        <v/>
      </c>
      <c r="D3094" t="n">
        <v/>
      </c>
      <c r="E3094" t="n">
        <v/>
      </c>
    </row>
    <row r="3095">
      <c r="A3095" s="27" t="n">
        <v>44031</v>
      </c>
      <c r="B3095" t="n">
        <v/>
      </c>
      <c r="C3095" t="n">
        <v/>
      </c>
      <c r="D3095" t="n">
        <v/>
      </c>
      <c r="E3095" t="n">
        <v/>
      </c>
    </row>
    <row r="3096">
      <c r="A3096" s="27" t="n">
        <v>44032</v>
      </c>
      <c r="B3096" t="n">
        <v/>
      </c>
      <c r="C3096" t="n">
        <v>0.1492</v>
      </c>
      <c r="D3096" t="n">
        <v>0.613</v>
      </c>
      <c r="E3096" t="n">
        <v/>
      </c>
    </row>
    <row r="3097">
      <c r="A3097" s="27" t="n">
        <v>44033</v>
      </c>
      <c r="B3097" t="n">
        <v/>
      </c>
      <c r="C3097" t="n">
        <v>0.1432</v>
      </c>
      <c r="D3097" t="n">
        <v>0.605</v>
      </c>
      <c r="E3097" t="n">
        <v/>
      </c>
    </row>
    <row r="3098">
      <c r="A3098" s="27" t="n">
        <v>44034</v>
      </c>
      <c r="B3098" t="n">
        <v/>
      </c>
      <c r="C3098" t="n">
        <v>0.1533</v>
      </c>
      <c r="D3098" t="n">
        <v>0.6</v>
      </c>
      <c r="E3098" t="n">
        <v/>
      </c>
    </row>
    <row r="3099">
      <c r="A3099" s="27" t="n">
        <v>44035</v>
      </c>
      <c r="B3099" t="n">
        <v/>
      </c>
      <c r="C3099" t="n">
        <v>0.1533</v>
      </c>
      <c r="D3099" t="n">
        <v>0.577</v>
      </c>
      <c r="E3099" t="n">
        <v/>
      </c>
    </row>
    <row r="3100">
      <c r="A3100" s="27" t="n">
        <v>44036</v>
      </c>
      <c r="B3100" t="n">
        <v/>
      </c>
      <c r="C3100" t="n">
        <v>0.1494</v>
      </c>
      <c r="D3100" t="n">
        <v>0.587</v>
      </c>
      <c r="E3100" t="n">
        <v/>
      </c>
    </row>
    <row r="3101">
      <c r="A3101" s="27" t="n">
        <v>44037</v>
      </c>
      <c r="B3101" t="n">
        <v/>
      </c>
      <c r="C3101" t="n">
        <v/>
      </c>
      <c r="D3101" t="n">
        <v/>
      </c>
      <c r="E3101" t="n">
        <v/>
      </c>
    </row>
    <row r="3102">
      <c r="A3102" s="27" t="n">
        <v>44038</v>
      </c>
      <c r="B3102" t="n">
        <v/>
      </c>
      <c r="C3102" t="n">
        <v>0.1494</v>
      </c>
      <c r="D3102" t="n">
        <v>0.594</v>
      </c>
      <c r="E3102" t="n">
        <v/>
      </c>
    </row>
    <row r="3103">
      <c r="A3103" s="27" t="n">
        <v>44039</v>
      </c>
      <c r="B3103" t="n">
        <v/>
      </c>
      <c r="C3103" t="n">
        <v>0.1535</v>
      </c>
      <c r="D3103" t="n">
        <v>0.615</v>
      </c>
      <c r="E3103" t="n">
        <v/>
      </c>
    </row>
    <row r="3104">
      <c r="A3104" s="27" t="n">
        <v>44040</v>
      </c>
      <c r="B3104" t="n">
        <v/>
      </c>
      <c r="C3104" t="n">
        <v>0.1426</v>
      </c>
      <c r="D3104" t="n">
        <v>0.579</v>
      </c>
      <c r="E3104" t="n">
        <v/>
      </c>
    </row>
    <row r="3105">
      <c r="A3105" s="27" t="n">
        <v>44041</v>
      </c>
      <c r="B3105" t="n">
        <v/>
      </c>
      <c r="C3105" t="n">
        <v>0.1328</v>
      </c>
      <c r="D3105" t="n">
        <v>0.577</v>
      </c>
      <c r="E3105" t="n">
        <v/>
      </c>
    </row>
    <row r="3106">
      <c r="A3106" s="27" t="n">
        <v>44042</v>
      </c>
      <c r="B3106" t="n">
        <v/>
      </c>
      <c r="C3106" t="n">
        <v>0.1211</v>
      </c>
      <c r="D3106" t="n">
        <v>0.545</v>
      </c>
      <c r="E3106" t="n">
        <v/>
      </c>
    </row>
    <row r="3107">
      <c r="A3107" s="27" t="n">
        <v>44043</v>
      </c>
      <c r="B3107" t="n">
        <v/>
      </c>
      <c r="C3107" t="n">
        <v>0.1093</v>
      </c>
      <c r="D3107" t="n">
        <v>0.533</v>
      </c>
      <c r="E3107" t="n">
        <v/>
      </c>
    </row>
    <row r="3108">
      <c r="A3108" s="27" t="n">
        <v>44044</v>
      </c>
      <c r="B3108" t="n">
        <v/>
      </c>
      <c r="C3108" t="n">
        <v/>
      </c>
      <c r="D3108" t="n">
        <v/>
      </c>
      <c r="E3108" t="n">
        <v/>
      </c>
    </row>
    <row r="3109">
      <c r="A3109" s="27" t="n">
        <v>44045</v>
      </c>
      <c r="B3109" t="n">
        <v/>
      </c>
      <c r="C3109" t="n">
        <v>0.1073</v>
      </c>
      <c r="D3109" t="n">
        <v>0.533</v>
      </c>
      <c r="E3109" t="n">
        <v/>
      </c>
    </row>
    <row r="3110">
      <c r="A3110" s="27" t="n">
        <v>44046</v>
      </c>
      <c r="B3110" t="n">
        <v/>
      </c>
      <c r="C3110" t="n">
        <v>0.1132</v>
      </c>
      <c r="D3110" t="n">
        <v>0.554</v>
      </c>
      <c r="E3110" t="n">
        <v/>
      </c>
    </row>
    <row r="3111">
      <c r="A3111" s="27" t="n">
        <v>44047</v>
      </c>
      <c r="B3111" t="n">
        <v/>
      </c>
      <c r="C3111" t="n">
        <v>0.1092</v>
      </c>
      <c r="D3111" t="n">
        <v>0.512</v>
      </c>
      <c r="E3111" t="n">
        <v/>
      </c>
    </row>
    <row r="3112">
      <c r="A3112" s="27" t="n">
        <v>44048</v>
      </c>
      <c r="B3112" t="n">
        <v/>
      </c>
      <c r="C3112" t="n">
        <v>0.1191</v>
      </c>
      <c r="D3112" t="n">
        <v>0.549</v>
      </c>
      <c r="E3112" t="n">
        <v/>
      </c>
    </row>
    <row r="3113">
      <c r="A3113" s="27" t="n">
        <v>44049</v>
      </c>
      <c r="B3113" t="n">
        <v/>
      </c>
      <c r="C3113" t="n">
        <v>0.1171</v>
      </c>
      <c r="D3113" t="n">
        <v>0.538</v>
      </c>
      <c r="E3113" t="n">
        <v/>
      </c>
    </row>
    <row r="3114">
      <c r="A3114" s="27" t="n">
        <v>44050</v>
      </c>
      <c r="B3114" t="n">
        <v/>
      </c>
      <c r="C3114" t="n">
        <v>0.129</v>
      </c>
      <c r="D3114" t="n">
        <v>0.5659999999999999</v>
      </c>
      <c r="E3114" t="n">
        <v/>
      </c>
    </row>
    <row r="3115">
      <c r="A3115" s="27" t="n">
        <v>44051</v>
      </c>
      <c r="B3115" t="n">
        <v/>
      </c>
      <c r="C3115" t="n">
        <v/>
      </c>
      <c r="D3115" t="n">
        <v/>
      </c>
      <c r="E3115" t="n">
        <v/>
      </c>
    </row>
    <row r="3116">
      <c r="A3116" s="27" t="n">
        <v>44052</v>
      </c>
      <c r="B3116" t="n">
        <v/>
      </c>
      <c r="C3116" t="n">
        <v>0.129</v>
      </c>
      <c r="D3116" t="n">
        <v>0.5659999999999999</v>
      </c>
      <c r="E3116" t="n">
        <v/>
      </c>
    </row>
    <row r="3117">
      <c r="A3117" s="27" t="n">
        <v>44053</v>
      </c>
      <c r="B3117" t="n">
        <v/>
      </c>
      <c r="C3117" t="n">
        <v>0.1309</v>
      </c>
      <c r="D3117" t="n">
        <v>0.581</v>
      </c>
      <c r="E3117" t="n">
        <v/>
      </c>
    </row>
    <row r="3118">
      <c r="A3118" s="27" t="n">
        <v>44054</v>
      </c>
      <c r="B3118" t="n">
        <v/>
      </c>
      <c r="C3118" t="n">
        <v>0.1529</v>
      </c>
      <c r="D3118" t="n">
        <v>0.643</v>
      </c>
      <c r="E3118" t="n">
        <v/>
      </c>
    </row>
    <row r="3119">
      <c r="A3119" s="27" t="n">
        <v>44055</v>
      </c>
      <c r="B3119" t="n">
        <v/>
      </c>
      <c r="C3119" t="n">
        <v>0.1609</v>
      </c>
      <c r="D3119" t="n">
        <v>0.673</v>
      </c>
      <c r="E3119" t="n">
        <v/>
      </c>
    </row>
    <row r="3120">
      <c r="A3120" s="27" t="n">
        <v>44056</v>
      </c>
      <c r="B3120" t="n">
        <v/>
      </c>
      <c r="C3120" t="n">
        <v>0.1649</v>
      </c>
      <c r="D3120" t="n">
        <v>0.717</v>
      </c>
      <c r="E3120" t="n">
        <v/>
      </c>
    </row>
    <row r="3121">
      <c r="A3121" s="27" t="n">
        <v>44057</v>
      </c>
      <c r="B3121" t="n">
        <v/>
      </c>
      <c r="C3121" t="n">
        <v>0.147</v>
      </c>
      <c r="D3121" t="n">
        <v>0.709</v>
      </c>
      <c r="E3121" t="n">
        <v/>
      </c>
    </row>
    <row r="3122">
      <c r="A3122" s="27" t="n">
        <v>44058</v>
      </c>
      <c r="B3122" t="n">
        <v/>
      </c>
      <c r="C3122" t="n">
        <v/>
      </c>
      <c r="D3122" t="n">
        <v/>
      </c>
      <c r="E3122" t="n">
        <v/>
      </c>
    </row>
    <row r="3123">
      <c r="A3123" s="27" t="n">
        <v>44059</v>
      </c>
      <c r="B3123" t="n">
        <v/>
      </c>
      <c r="C3123" t="n">
        <v>0.147</v>
      </c>
      <c r="D3123" t="n">
        <v>0.713</v>
      </c>
      <c r="E3123" t="n">
        <v/>
      </c>
    </row>
    <row r="3124">
      <c r="A3124" s="27" t="n">
        <v>44060</v>
      </c>
      <c r="B3124" t="n">
        <v/>
      </c>
      <c r="C3124" t="n">
        <v>0.1531</v>
      </c>
      <c r="D3124" t="n">
        <v>0.6919999999999999</v>
      </c>
      <c r="E3124" t="n">
        <v/>
      </c>
    </row>
    <row r="3125">
      <c r="A3125" s="27" t="n">
        <v>44061</v>
      </c>
      <c r="B3125" t="n">
        <v/>
      </c>
      <c r="C3125" t="n">
        <v>0.1451</v>
      </c>
      <c r="D3125" t="n">
        <v>0.67</v>
      </c>
      <c r="E3125" t="n">
        <v/>
      </c>
    </row>
    <row r="3126">
      <c r="A3126" s="27" t="n">
        <v>44062</v>
      </c>
      <c r="B3126" t="n">
        <v/>
      </c>
      <c r="C3126" t="n">
        <v>0.1451</v>
      </c>
      <c r="D3126" t="n">
        <v>0.6850000000000001</v>
      </c>
      <c r="E3126" t="n">
        <v/>
      </c>
    </row>
    <row r="3127">
      <c r="A3127" s="27" t="n">
        <v>44063</v>
      </c>
      <c r="B3127" t="n">
        <v/>
      </c>
      <c r="C3127" t="n">
        <v>0.1431</v>
      </c>
      <c r="D3127" t="n">
        <v>0.652</v>
      </c>
      <c r="E3127" t="n">
        <v/>
      </c>
    </row>
    <row r="3128">
      <c r="A3128" s="27" t="n">
        <v>44064</v>
      </c>
      <c r="B3128" t="n">
        <v/>
      </c>
      <c r="C3128" t="n">
        <v>0.1473</v>
      </c>
      <c r="D3128" t="n">
        <v>0.636</v>
      </c>
      <c r="E3128" t="n">
        <v/>
      </c>
    </row>
    <row r="3129">
      <c r="A3129" s="27" t="n">
        <v>44065</v>
      </c>
      <c r="B3129" t="n">
        <v/>
      </c>
      <c r="C3129" t="n">
        <v/>
      </c>
      <c r="D3129" t="n">
        <v/>
      </c>
      <c r="E3129" t="n">
        <v/>
      </c>
    </row>
    <row r="3130">
      <c r="A3130" s="27" t="n">
        <v>44066</v>
      </c>
      <c r="B3130" t="n">
        <v/>
      </c>
      <c r="C3130" t="n">
        <v>0.1452</v>
      </c>
      <c r="D3130" t="n">
        <v>0.632</v>
      </c>
      <c r="E3130" t="n">
        <v/>
      </c>
    </row>
    <row r="3131">
      <c r="A3131" s="27" t="n">
        <v>44067</v>
      </c>
      <c r="B3131" t="n">
        <v/>
      </c>
      <c r="C3131" t="n">
        <v>0.1554</v>
      </c>
      <c r="D3131" t="n">
        <v>0.654</v>
      </c>
      <c r="E3131" t="n">
        <v/>
      </c>
    </row>
    <row r="3132">
      <c r="A3132" s="27" t="n">
        <v>44068</v>
      </c>
      <c r="B3132" t="n">
        <v/>
      </c>
      <c r="C3132" t="n">
        <v>0.1534</v>
      </c>
      <c r="D3132" t="n">
        <v>0.6879999999999999</v>
      </c>
      <c r="E3132" t="n">
        <v/>
      </c>
    </row>
    <row r="3133">
      <c r="A3133" s="27" t="n">
        <v>44069</v>
      </c>
      <c r="B3133" t="n">
        <v/>
      </c>
      <c r="C3133" t="n">
        <v>0.1524</v>
      </c>
      <c r="D3133" t="n">
        <v>0.6879999999999999</v>
      </c>
      <c r="E3133" t="n">
        <v/>
      </c>
    </row>
    <row r="3134">
      <c r="A3134" s="27" t="n">
        <v>44070</v>
      </c>
      <c r="B3134" t="n">
        <v/>
      </c>
      <c r="C3134" t="n">
        <v>0.1602</v>
      </c>
      <c r="D3134" t="n">
        <v>0.754</v>
      </c>
      <c r="E3134" t="n">
        <v/>
      </c>
    </row>
    <row r="3135">
      <c r="A3135" s="27" t="n">
        <v>44071</v>
      </c>
      <c r="B3135" t="n">
        <v/>
      </c>
      <c r="C3135" t="n">
        <v>0.1328</v>
      </c>
      <c r="D3135" t="n">
        <v>0.724</v>
      </c>
      <c r="E3135" t="n">
        <v/>
      </c>
    </row>
    <row r="3136">
      <c r="A3136" s="27" t="n">
        <v>44072</v>
      </c>
      <c r="B3136" t="n">
        <v/>
      </c>
      <c r="C3136" t="n">
        <v/>
      </c>
      <c r="D3136" t="n">
        <v/>
      </c>
      <c r="E3136" t="n">
        <v/>
      </c>
    </row>
    <row r="3137">
      <c r="A3137" s="27" t="n">
        <v>44073</v>
      </c>
      <c r="B3137" t="n">
        <v/>
      </c>
      <c r="C3137" t="n">
        <v>0.1289</v>
      </c>
      <c r="D3137" t="n">
        <v>0.724</v>
      </c>
      <c r="E3137" t="n">
        <v/>
      </c>
    </row>
    <row r="3138">
      <c r="A3138" s="27" t="n">
        <v>44074</v>
      </c>
      <c r="B3138" t="n">
        <v/>
      </c>
      <c r="C3138" t="n">
        <v>0.1328</v>
      </c>
      <c r="D3138" t="n">
        <v>0.706</v>
      </c>
      <c r="E3138" t="n">
        <v/>
      </c>
    </row>
    <row r="3139">
      <c r="A3139" s="27" t="n">
        <v>44075</v>
      </c>
      <c r="B3139" t="n">
        <v/>
      </c>
      <c r="C3139" t="n">
        <v>0.1328</v>
      </c>
      <c r="D3139" t="n">
        <v>0.672</v>
      </c>
      <c r="E3139" t="n">
        <v/>
      </c>
    </row>
    <row r="3140">
      <c r="A3140" s="27" t="n">
        <v>44076</v>
      </c>
      <c r="B3140" t="n">
        <v/>
      </c>
      <c r="C3140" t="n">
        <v>0.1348</v>
      </c>
      <c r="D3140" t="n">
        <v>0.648</v>
      </c>
      <c r="E3140" t="n">
        <v/>
      </c>
    </row>
    <row r="3141">
      <c r="A3141" s="27" t="n">
        <v>44077</v>
      </c>
      <c r="B3141" t="n">
        <v/>
      </c>
      <c r="C3141" t="n">
        <v>0.127</v>
      </c>
      <c r="D3141" t="n">
        <v>0.636</v>
      </c>
      <c r="E3141" t="n">
        <v/>
      </c>
    </row>
    <row r="3142">
      <c r="A3142" s="27" t="n">
        <v>44078</v>
      </c>
      <c r="B3142" t="n">
        <v/>
      </c>
      <c r="C3142" t="n">
        <v>0.1468</v>
      </c>
      <c r="D3142" t="n">
        <v>0.721</v>
      </c>
      <c r="E3142" t="n">
        <v/>
      </c>
    </row>
    <row r="3143">
      <c r="A3143" s="27" t="n">
        <v>44079</v>
      </c>
      <c r="B3143" t="n">
        <v/>
      </c>
      <c r="C3143" t="n">
        <v/>
      </c>
      <c r="D3143" t="n">
        <v/>
      </c>
      <c r="E3143" t="n">
        <v/>
      </c>
    </row>
    <row r="3144">
      <c r="A3144" s="27" t="n">
        <v>44080</v>
      </c>
      <c r="B3144" t="n">
        <v/>
      </c>
      <c r="C3144" t="n">
        <v/>
      </c>
      <c r="D3144" t="n">
        <v/>
      </c>
      <c r="E3144" t="n">
        <v/>
      </c>
    </row>
    <row r="3145">
      <c r="A3145" s="27" t="n">
        <v>44081</v>
      </c>
      <c r="B3145" t="n">
        <v/>
      </c>
      <c r="C3145" t="n">
        <v>0.1408</v>
      </c>
      <c r="D3145" t="n">
        <v>0.72</v>
      </c>
      <c r="E3145" t="n">
        <v/>
      </c>
    </row>
    <row r="3146">
      <c r="A3146" s="27" t="n">
        <v>44082</v>
      </c>
      <c r="B3146" t="n">
        <v/>
      </c>
      <c r="C3146" t="n">
        <v>0.1429</v>
      </c>
      <c r="D3146" t="n">
        <v>0.6820000000000001</v>
      </c>
      <c r="E3146" t="n">
        <v/>
      </c>
    </row>
    <row r="3147">
      <c r="A3147" s="27" t="n">
        <v>44083</v>
      </c>
      <c r="B3147" t="n">
        <v/>
      </c>
      <c r="C3147" t="n">
        <v>0.1468</v>
      </c>
      <c r="D3147" t="n">
        <v>0.698</v>
      </c>
      <c r="E3147" t="n">
        <v/>
      </c>
    </row>
    <row r="3148">
      <c r="A3148" s="27" t="n">
        <v>44084</v>
      </c>
      <c r="B3148" t="n">
        <v/>
      </c>
      <c r="C3148" t="n">
        <v>0.1389</v>
      </c>
      <c r="D3148" t="n">
        <v>0.6820000000000001</v>
      </c>
      <c r="E3148" t="n">
        <v/>
      </c>
    </row>
    <row r="3149">
      <c r="A3149" s="27" t="n">
        <v>44085</v>
      </c>
      <c r="B3149" t="n">
        <v/>
      </c>
      <c r="C3149" t="n">
        <v>0.129</v>
      </c>
      <c r="D3149" t="n">
        <v>0.669</v>
      </c>
      <c r="E3149" t="n">
        <v/>
      </c>
    </row>
    <row r="3150">
      <c r="A3150" s="27" t="n">
        <v>44086</v>
      </c>
      <c r="B3150" t="n">
        <v/>
      </c>
      <c r="C3150" t="n">
        <v/>
      </c>
      <c r="D3150" t="n">
        <v/>
      </c>
      <c r="E3150" t="n">
        <v/>
      </c>
    </row>
    <row r="3151">
      <c r="A3151" s="27" t="n">
        <v>44087</v>
      </c>
      <c r="B3151" t="n">
        <v/>
      </c>
      <c r="C3151" t="n">
        <v>0.131</v>
      </c>
      <c r="D3151" t="n">
        <v>0.671</v>
      </c>
      <c r="E3151" t="n">
        <v/>
      </c>
    </row>
    <row r="3152">
      <c r="A3152" s="27" t="n">
        <v>44088</v>
      </c>
      <c r="B3152" t="n">
        <v/>
      </c>
      <c r="C3152" t="n">
        <v>0.137</v>
      </c>
      <c r="D3152" t="n">
        <v>0.676</v>
      </c>
      <c r="E3152" t="n">
        <v/>
      </c>
    </row>
    <row r="3153">
      <c r="A3153" s="27" t="n">
        <v>44089</v>
      </c>
      <c r="B3153" t="n">
        <v/>
      </c>
      <c r="C3153" t="n">
        <v>0.141</v>
      </c>
      <c r="D3153" t="n">
        <v>0.68</v>
      </c>
      <c r="E3153" t="n">
        <v/>
      </c>
    </row>
    <row r="3154">
      <c r="A3154" s="27" t="n">
        <v>44090</v>
      </c>
      <c r="B3154" t="n">
        <v/>
      </c>
      <c r="C3154" t="n">
        <v>0.139</v>
      </c>
      <c r="D3154" t="n">
        <v>0.698</v>
      </c>
      <c r="E3154" t="n">
        <v/>
      </c>
    </row>
    <row r="3155">
      <c r="A3155" s="27" t="n">
        <v>44091</v>
      </c>
      <c r="B3155" t="n">
        <v/>
      </c>
      <c r="C3155" t="n">
        <v>0.139</v>
      </c>
      <c r="D3155" t="n">
        <v>0.6889999999999999</v>
      </c>
      <c r="E3155" t="n">
        <v/>
      </c>
    </row>
    <row r="3156">
      <c r="A3156" s="27" t="n">
        <v>44092</v>
      </c>
      <c r="B3156" t="n">
        <v/>
      </c>
      <c r="C3156" t="n">
        <v>0.1411</v>
      </c>
      <c r="D3156" t="n">
        <v>0.697</v>
      </c>
      <c r="E3156" t="n">
        <v/>
      </c>
    </row>
    <row r="3157">
      <c r="A3157" s="27" t="n">
        <v>44093</v>
      </c>
      <c r="B3157" t="n">
        <v/>
      </c>
      <c r="C3157" t="n">
        <v/>
      </c>
      <c r="D3157" t="n">
        <v/>
      </c>
      <c r="E3157" t="n">
        <v/>
      </c>
    </row>
    <row r="3158">
      <c r="A3158" s="27" t="n">
        <v>44094</v>
      </c>
      <c r="B3158" t="n">
        <v/>
      </c>
      <c r="C3158" t="n">
        <v/>
      </c>
      <c r="D3158" t="n">
        <v/>
      </c>
      <c r="E3158" t="n">
        <v/>
      </c>
    </row>
    <row r="3159">
      <c r="A3159" s="27" t="n">
        <v>44095</v>
      </c>
      <c r="B3159" t="n">
        <v/>
      </c>
      <c r="C3159" t="n">
        <v>0.1391</v>
      </c>
      <c r="D3159" t="n">
        <v>0.669</v>
      </c>
      <c r="E3159" t="n">
        <v/>
      </c>
    </row>
    <row r="3160">
      <c r="A3160" s="27" t="n">
        <v>44096</v>
      </c>
      <c r="B3160" t="n">
        <v/>
      </c>
      <c r="C3160" t="n">
        <v>0.1371</v>
      </c>
      <c r="D3160" t="n">
        <v>0.671</v>
      </c>
      <c r="E3160" t="n">
        <v/>
      </c>
    </row>
    <row r="3161">
      <c r="A3161" s="27" t="n">
        <v>44097</v>
      </c>
      <c r="B3161" t="n">
        <v/>
      </c>
      <c r="C3161" t="n">
        <v>0.1406</v>
      </c>
      <c r="D3161" t="n">
        <v>0.677</v>
      </c>
      <c r="E3161" t="n">
        <v/>
      </c>
    </row>
    <row r="3162">
      <c r="A3162" s="27" t="n">
        <v>44098</v>
      </c>
      <c r="B3162" t="n">
        <v/>
      </c>
      <c r="C3162" t="n">
        <v>0.1367</v>
      </c>
      <c r="D3162" t="n">
        <v>0.668</v>
      </c>
      <c r="E3162" t="n">
        <v/>
      </c>
    </row>
    <row r="3163">
      <c r="A3163" s="27" t="n">
        <v>44099</v>
      </c>
      <c r="B3163" t="n">
        <v/>
      </c>
      <c r="C3163" t="n">
        <v>0.1309</v>
      </c>
      <c r="D3163" t="n">
        <v>0.656</v>
      </c>
      <c r="E3163" t="n">
        <v/>
      </c>
    </row>
    <row r="3164">
      <c r="A3164" s="27" t="n">
        <v>44100</v>
      </c>
      <c r="B3164" t="n">
        <v/>
      </c>
      <c r="C3164" t="n">
        <v/>
      </c>
      <c r="D3164" t="n">
        <v/>
      </c>
      <c r="E3164" t="n">
        <v/>
      </c>
    </row>
    <row r="3165">
      <c r="A3165" s="27" t="n">
        <v>44101</v>
      </c>
      <c r="B3165" t="n">
        <v/>
      </c>
      <c r="C3165" t="n">
        <v>0.1328</v>
      </c>
      <c r="D3165" t="n">
        <v>0.658</v>
      </c>
      <c r="E3165" t="n">
        <v/>
      </c>
    </row>
    <row r="3166">
      <c r="A3166" s="27" t="n">
        <v>44102</v>
      </c>
      <c r="B3166" t="n">
        <v/>
      </c>
      <c r="C3166" t="n">
        <v>0.1289</v>
      </c>
      <c r="D3166" t="n">
        <v>0.658</v>
      </c>
      <c r="E3166" t="n">
        <v/>
      </c>
    </row>
    <row r="3167">
      <c r="A3167" s="27" t="n">
        <v>44103</v>
      </c>
      <c r="B3167" t="n">
        <v/>
      </c>
      <c r="C3167" t="n">
        <v>0.127</v>
      </c>
      <c r="D3167" t="n">
        <v>0.651</v>
      </c>
      <c r="E3167" t="n">
        <v/>
      </c>
    </row>
    <row r="3168">
      <c r="A3168" s="27" t="n">
        <v>44104</v>
      </c>
      <c r="B3168" t="n">
        <v/>
      </c>
      <c r="C3168" t="n">
        <v>0.1309</v>
      </c>
      <c r="D3168" t="n">
        <v>0.6860000000000001</v>
      </c>
      <c r="E3168" t="n">
        <v/>
      </c>
    </row>
    <row r="3169">
      <c r="A3169" s="27" t="n">
        <v>44105</v>
      </c>
      <c r="B3169" t="n">
        <v/>
      </c>
      <c r="C3169" t="n">
        <v>0.1289</v>
      </c>
      <c r="D3169" t="n">
        <v>0.679</v>
      </c>
      <c r="E3169" t="n">
        <v/>
      </c>
    </row>
    <row r="3170">
      <c r="A3170" s="27" t="n">
        <v>44106</v>
      </c>
      <c r="B3170" t="n">
        <v/>
      </c>
      <c r="C3170" t="n">
        <v>0.1329</v>
      </c>
      <c r="D3170" t="n">
        <v>0.704</v>
      </c>
      <c r="E3170" t="n">
        <v/>
      </c>
    </row>
    <row r="3171">
      <c r="A3171" s="27" t="n">
        <v>44107</v>
      </c>
      <c r="B3171" t="n">
        <v/>
      </c>
      <c r="C3171" t="n">
        <v/>
      </c>
      <c r="D3171" t="n">
        <v/>
      </c>
      <c r="E3171" t="n">
        <v/>
      </c>
    </row>
    <row r="3172">
      <c r="A3172" s="27" t="n">
        <v>44108</v>
      </c>
      <c r="B3172" t="n">
        <v/>
      </c>
      <c r="C3172" t="n">
        <v>0.1348</v>
      </c>
      <c r="D3172" t="n">
        <v>0.706</v>
      </c>
      <c r="E3172" t="n">
        <v/>
      </c>
    </row>
    <row r="3173">
      <c r="A3173" s="27" t="n">
        <v>44109</v>
      </c>
      <c r="B3173" t="n">
        <v/>
      </c>
      <c r="C3173" t="n">
        <v>0.1487</v>
      </c>
      <c r="D3173" t="n">
        <v>0.778</v>
      </c>
      <c r="E3173" t="n">
        <v/>
      </c>
    </row>
    <row r="3174">
      <c r="A3174" s="27" t="n">
        <v>44110</v>
      </c>
      <c r="B3174" t="n">
        <v/>
      </c>
      <c r="C3174" t="n">
        <v>0.1467</v>
      </c>
      <c r="D3174" t="n">
        <v>0.734</v>
      </c>
      <c r="E3174" t="n">
        <v/>
      </c>
    </row>
    <row r="3175">
      <c r="A3175" s="27" t="n">
        <v>44111</v>
      </c>
      <c r="B3175" t="n">
        <v/>
      </c>
      <c r="C3175" t="n">
        <v>0.1527</v>
      </c>
      <c r="D3175" t="n">
        <v>0.784</v>
      </c>
      <c r="E3175" t="n">
        <v/>
      </c>
    </row>
    <row r="3176">
      <c r="A3176" s="27" t="n">
        <v>44112</v>
      </c>
      <c r="B3176" t="n">
        <v/>
      </c>
      <c r="C3176" t="n">
        <v>0.1488</v>
      </c>
      <c r="D3176" t="n">
        <v>0.779</v>
      </c>
      <c r="E3176" t="n">
        <v/>
      </c>
    </row>
    <row r="3177">
      <c r="A3177" s="27" t="n">
        <v>44113</v>
      </c>
      <c r="B3177" t="n">
        <v/>
      </c>
      <c r="C3177" t="n">
        <v>0.1569</v>
      </c>
      <c r="D3177" t="n">
        <v>0.779</v>
      </c>
      <c r="E3177" t="n">
        <v/>
      </c>
    </row>
    <row r="3178">
      <c r="A3178" s="27" t="n">
        <v>44114</v>
      </c>
      <c r="B3178" t="n">
        <v/>
      </c>
      <c r="C3178" t="n">
        <v/>
      </c>
      <c r="D3178" t="n">
        <v/>
      </c>
      <c r="E3178" t="n">
        <v/>
      </c>
    </row>
    <row r="3179">
      <c r="A3179" s="27" t="n">
        <v>44115</v>
      </c>
      <c r="B3179" t="n">
        <v/>
      </c>
      <c r="C3179" t="n">
        <v/>
      </c>
      <c r="D3179" t="n">
        <v/>
      </c>
      <c r="E3179" t="n">
        <v/>
      </c>
    </row>
    <row r="3180">
      <c r="A3180" s="27" t="n">
        <v>44116</v>
      </c>
      <c r="B3180" t="n">
        <v/>
      </c>
      <c r="C3180" t="n">
        <v/>
      </c>
      <c r="D3180" t="n">
        <v>0.764</v>
      </c>
      <c r="E3180" t="n">
        <v/>
      </c>
    </row>
    <row r="3181">
      <c r="A3181" s="27" t="n">
        <v>44117</v>
      </c>
      <c r="B3181" t="n">
        <v/>
      </c>
      <c r="C3181" t="n">
        <v>0.1409</v>
      </c>
      <c r="D3181" t="n">
        <v>0.729</v>
      </c>
      <c r="E3181" t="n">
        <v/>
      </c>
    </row>
    <row r="3182">
      <c r="A3182" s="27" t="n">
        <v>44118</v>
      </c>
      <c r="B3182" t="n">
        <v/>
      </c>
      <c r="C3182" t="n">
        <v>0.141</v>
      </c>
      <c r="D3182" t="n">
        <v>0.727</v>
      </c>
      <c r="E3182" t="n">
        <v/>
      </c>
    </row>
    <row r="3183">
      <c r="A3183" s="27" t="n">
        <v>44119</v>
      </c>
      <c r="B3183" t="n">
        <v/>
      </c>
      <c r="C3183" t="n">
        <v>0.143</v>
      </c>
      <c r="D3183" t="n">
        <v>0.739</v>
      </c>
      <c r="E3183" t="n">
        <v/>
      </c>
    </row>
    <row r="3184">
      <c r="A3184" s="27" t="n">
        <v>44120</v>
      </c>
      <c r="B3184" t="n">
        <v/>
      </c>
      <c r="C3184" t="n">
        <v>0.1471</v>
      </c>
      <c r="D3184" t="n">
        <v>0.749</v>
      </c>
      <c r="E3184" t="n">
        <v/>
      </c>
    </row>
    <row r="3185">
      <c r="A3185" s="27" t="n">
        <v>44121</v>
      </c>
      <c r="B3185" t="n">
        <v/>
      </c>
      <c r="C3185" t="n">
        <v/>
      </c>
      <c r="D3185" t="n">
        <v/>
      </c>
      <c r="E3185" t="n">
        <v/>
      </c>
    </row>
    <row r="3186">
      <c r="A3186" s="27" t="n">
        <v>44122</v>
      </c>
      <c r="B3186" t="n">
        <v/>
      </c>
      <c r="C3186" t="n">
        <v>0.1491</v>
      </c>
      <c r="D3186" t="n">
        <v>0.761</v>
      </c>
      <c r="E3186" t="n">
        <v/>
      </c>
    </row>
    <row r="3187">
      <c r="A3187" s="27" t="n">
        <v>44123</v>
      </c>
      <c r="B3187" t="n">
        <v/>
      </c>
      <c r="C3187" t="n">
        <v>0.1471</v>
      </c>
      <c r="D3187" t="n">
        <v>0.772</v>
      </c>
      <c r="E3187" t="n">
        <v/>
      </c>
    </row>
    <row r="3188">
      <c r="A3188" s="27" t="n">
        <v>44124</v>
      </c>
      <c r="B3188" t="n">
        <v/>
      </c>
      <c r="C3188" t="n">
        <v>0.1472</v>
      </c>
      <c r="D3188" t="n">
        <v>0.786</v>
      </c>
      <c r="E3188" t="n">
        <v/>
      </c>
    </row>
    <row r="3189">
      <c r="A3189" s="27" t="n">
        <v>44125</v>
      </c>
      <c r="B3189" t="n">
        <v/>
      </c>
      <c r="C3189" t="n">
        <v>0.1492</v>
      </c>
      <c r="D3189" t="n">
        <v>0.821</v>
      </c>
      <c r="E3189" t="n">
        <v/>
      </c>
    </row>
    <row r="3190">
      <c r="A3190" s="27" t="n">
        <v>44126</v>
      </c>
      <c r="B3190" t="n">
        <v/>
      </c>
      <c r="C3190" t="n">
        <v>0.1553</v>
      </c>
      <c r="D3190" t="n">
        <v>0.861</v>
      </c>
      <c r="E3190" t="n">
        <v/>
      </c>
    </row>
    <row r="3191">
      <c r="A3191" s="27" t="n">
        <v>44127</v>
      </c>
      <c r="B3191" t="n">
        <v/>
      </c>
      <c r="C3191" t="n">
        <v>0.1554</v>
      </c>
      <c r="D3191" t="n">
        <v>0.841</v>
      </c>
      <c r="E3191" t="n">
        <v/>
      </c>
    </row>
    <row r="3192">
      <c r="A3192" s="27" t="n">
        <v>44128</v>
      </c>
      <c r="B3192" t="n">
        <v/>
      </c>
      <c r="C3192" t="n">
        <v/>
      </c>
      <c r="D3192" t="n">
        <v/>
      </c>
      <c r="E3192" t="n">
        <v/>
      </c>
    </row>
    <row r="3193">
      <c r="A3193" s="27" t="n">
        <v>44129</v>
      </c>
      <c r="B3193" t="n">
        <v/>
      </c>
      <c r="C3193" t="n">
        <v/>
      </c>
      <c r="D3193" t="n">
        <v/>
      </c>
      <c r="E3193" t="n">
        <v/>
      </c>
    </row>
    <row r="3194">
      <c r="A3194" s="27" t="n">
        <v>44130</v>
      </c>
      <c r="B3194" t="n">
        <v/>
      </c>
      <c r="C3194" t="n">
        <v>0.1514</v>
      </c>
      <c r="D3194" t="n">
        <v>0.803</v>
      </c>
      <c r="E3194" t="n">
        <v/>
      </c>
    </row>
    <row r="3195">
      <c r="A3195" s="27" t="n">
        <v>44131</v>
      </c>
      <c r="B3195" t="n">
        <v/>
      </c>
      <c r="C3195" t="n">
        <v>0.1494</v>
      </c>
      <c r="D3195" t="n">
        <v>0.771</v>
      </c>
      <c r="E3195" t="n">
        <v/>
      </c>
    </row>
    <row r="3196">
      <c r="A3196" s="27" t="n">
        <v>44132</v>
      </c>
      <c r="B3196" t="n">
        <v/>
      </c>
      <c r="C3196" t="n">
        <v>0.1505</v>
      </c>
      <c r="D3196" t="n">
        <v>0.774</v>
      </c>
      <c r="E3196" t="n">
        <v/>
      </c>
    </row>
    <row r="3197">
      <c r="A3197" s="27" t="n">
        <v>44133</v>
      </c>
      <c r="B3197" t="n">
        <v/>
      </c>
      <c r="C3197" t="n">
        <v>0.1525</v>
      </c>
      <c r="D3197" t="n">
        <v>0.831</v>
      </c>
      <c r="E3197" t="n">
        <v/>
      </c>
    </row>
    <row r="3198">
      <c r="A3198" s="27" t="n">
        <v>44134</v>
      </c>
      <c r="B3198" t="n">
        <v/>
      </c>
      <c r="C3198" t="n">
        <v>0.1564</v>
      </c>
      <c r="D3198" t="n">
        <v>0.874</v>
      </c>
      <c r="E3198" t="n">
        <v/>
      </c>
    </row>
    <row r="3199">
      <c r="A3199" s="27" t="n">
        <v>44135</v>
      </c>
      <c r="B3199" t="n">
        <v/>
      </c>
      <c r="C3199" t="n">
        <v/>
      </c>
      <c r="D3199" t="n">
        <v/>
      </c>
      <c r="E3199" t="n">
        <v/>
      </c>
    </row>
    <row r="3200">
      <c r="A3200" s="27" t="n">
        <v>44136</v>
      </c>
      <c r="B3200" t="n">
        <v/>
      </c>
      <c r="C3200" t="n">
        <v>0.1544</v>
      </c>
      <c r="D3200" t="n">
        <v>0.859</v>
      </c>
      <c r="E3200" t="n">
        <v/>
      </c>
    </row>
    <row r="3201">
      <c r="A3201" s="27" t="n">
        <v>44137</v>
      </c>
      <c r="B3201" t="n">
        <v/>
      </c>
      <c r="C3201" t="n">
        <v>0.1584</v>
      </c>
      <c r="D3201" t="n">
        <v>0.852</v>
      </c>
      <c r="E3201" t="n">
        <v/>
      </c>
    </row>
    <row r="3202">
      <c r="A3202" s="27" t="n">
        <v>44138</v>
      </c>
      <c r="B3202" t="n">
        <v/>
      </c>
      <c r="C3202" t="n">
        <v>0.1702</v>
      </c>
      <c r="D3202" t="n">
        <v>0.896</v>
      </c>
      <c r="E3202" t="n">
        <v/>
      </c>
    </row>
    <row r="3203">
      <c r="A3203" s="27" t="n">
        <v>44139</v>
      </c>
      <c r="B3203" t="n">
        <v/>
      </c>
      <c r="C3203" t="n">
        <v>0.1487</v>
      </c>
      <c r="D3203" t="n">
        <v>0.771</v>
      </c>
      <c r="E3203" t="n">
        <v/>
      </c>
    </row>
    <row r="3204">
      <c r="A3204" s="27" t="n">
        <v>44140</v>
      </c>
      <c r="B3204" t="n">
        <v/>
      </c>
      <c r="C3204" t="n">
        <v>0.1487</v>
      </c>
      <c r="D3204" t="n">
        <v>0.766</v>
      </c>
      <c r="E3204" t="n">
        <v/>
      </c>
    </row>
    <row r="3205">
      <c r="A3205" s="27" t="n">
        <v>44141</v>
      </c>
      <c r="B3205" t="n">
        <v/>
      </c>
      <c r="C3205" t="n">
        <v>0.1547</v>
      </c>
      <c r="D3205" t="n">
        <v>0.82</v>
      </c>
      <c r="E3205" t="n">
        <v/>
      </c>
    </row>
    <row r="3206">
      <c r="A3206" s="27" t="n">
        <v>44142</v>
      </c>
      <c r="B3206" t="n">
        <v/>
      </c>
      <c r="C3206" t="n">
        <v/>
      </c>
      <c r="D3206" t="n">
        <v/>
      </c>
      <c r="E3206" t="n">
        <v/>
      </c>
    </row>
    <row r="3207">
      <c r="A3207" s="27" t="n">
        <v>44143</v>
      </c>
      <c r="B3207" t="n">
        <v/>
      </c>
      <c r="C3207" t="n">
        <v>0.1567</v>
      </c>
      <c r="D3207" t="n">
        <v>0.83</v>
      </c>
      <c r="E3207" t="n">
        <v/>
      </c>
    </row>
    <row r="3208">
      <c r="A3208" s="27" t="n">
        <v>44144</v>
      </c>
      <c r="B3208" t="n">
        <v/>
      </c>
      <c r="C3208" t="n">
        <v>0.1746</v>
      </c>
      <c r="D3208" t="n">
        <v>0.924</v>
      </c>
      <c r="E3208" t="n">
        <v/>
      </c>
    </row>
    <row r="3209">
      <c r="A3209" s="27" t="n">
        <v>44145</v>
      </c>
      <c r="B3209" t="n">
        <v/>
      </c>
      <c r="C3209" t="n">
        <v>0.1847</v>
      </c>
      <c r="D3209" t="n">
        <v>0.96</v>
      </c>
      <c r="E3209" t="n">
        <v/>
      </c>
    </row>
    <row r="3210">
      <c r="A3210" s="27" t="n">
        <v>44146</v>
      </c>
      <c r="B3210" t="n">
        <v/>
      </c>
      <c r="C3210" t="n">
        <v>0.1867</v>
      </c>
      <c r="D3210" t="n">
        <v>0.977</v>
      </c>
      <c r="E3210" t="n">
        <v/>
      </c>
    </row>
    <row r="3211">
      <c r="A3211" s="27" t="n">
        <v>44147</v>
      </c>
      <c r="B3211" t="n">
        <v/>
      </c>
      <c r="C3211" t="n">
        <v>0.1768</v>
      </c>
      <c r="D3211" t="n">
        <v>0.883</v>
      </c>
      <c r="E3211" t="n">
        <v/>
      </c>
    </row>
    <row r="3212">
      <c r="A3212" s="27" t="n">
        <v>44148</v>
      </c>
      <c r="B3212" t="n">
        <v/>
      </c>
      <c r="C3212" t="n">
        <v>0.1811</v>
      </c>
      <c r="D3212" t="n">
        <v>0.898</v>
      </c>
      <c r="E3212" t="n">
        <v/>
      </c>
    </row>
    <row r="3213">
      <c r="A3213" s="27" t="n">
        <v>44149</v>
      </c>
      <c r="B3213" t="n">
        <v/>
      </c>
      <c r="C3213" t="n">
        <v/>
      </c>
      <c r="D3213" t="n">
        <v/>
      </c>
      <c r="E3213" t="n">
        <v/>
      </c>
    </row>
    <row r="3214">
      <c r="A3214" s="27" t="n">
        <v>44150</v>
      </c>
      <c r="B3214" t="n">
        <v/>
      </c>
      <c r="C3214" t="n">
        <v>0.1831</v>
      </c>
      <c r="D3214" t="n">
        <v>0.901</v>
      </c>
      <c r="E3214" t="n">
        <v/>
      </c>
    </row>
    <row r="3215">
      <c r="A3215" s="27" t="n">
        <v>44151</v>
      </c>
      <c r="B3215" t="n">
        <v/>
      </c>
      <c r="C3215" t="n">
        <v>0.1791</v>
      </c>
      <c r="D3215" t="n">
        <v>0.911</v>
      </c>
      <c r="E3215" t="n">
        <v/>
      </c>
    </row>
    <row r="3216">
      <c r="A3216" s="27" t="n">
        <v>44152</v>
      </c>
      <c r="B3216" t="n">
        <v/>
      </c>
      <c r="C3216" t="n">
        <v>0.1752</v>
      </c>
      <c r="D3216" t="n">
        <v>0.862</v>
      </c>
      <c r="E3216" t="n">
        <v/>
      </c>
    </row>
    <row r="3217">
      <c r="A3217" s="27" t="n">
        <v>44153</v>
      </c>
      <c r="B3217" t="n">
        <v/>
      </c>
      <c r="C3217" t="n">
        <v>0.1753</v>
      </c>
      <c r="D3217" t="n">
        <v>0.87</v>
      </c>
      <c r="E3217" t="n">
        <v/>
      </c>
    </row>
    <row r="3218">
      <c r="A3218" s="27" t="n">
        <v>44154</v>
      </c>
      <c r="B3218" t="n">
        <v/>
      </c>
      <c r="C3218" t="n">
        <v>0.1672</v>
      </c>
      <c r="D3218" t="n">
        <v>0.842</v>
      </c>
      <c r="E3218" t="n">
        <v/>
      </c>
    </row>
    <row r="3219">
      <c r="A3219" s="27" t="n">
        <v>44155</v>
      </c>
      <c r="B3219" t="n">
        <v/>
      </c>
      <c r="C3219" t="n">
        <v>0.1614</v>
      </c>
      <c r="D3219" t="n">
        <v>0.824</v>
      </c>
      <c r="E3219" t="n">
        <v/>
      </c>
    </row>
    <row r="3220">
      <c r="A3220" s="27" t="n">
        <v>44156</v>
      </c>
      <c r="B3220" t="n">
        <v/>
      </c>
      <c r="C3220" t="n">
        <v/>
      </c>
      <c r="D3220" t="n">
        <v/>
      </c>
      <c r="E3220" t="n">
        <v/>
      </c>
    </row>
    <row r="3221">
      <c r="A3221" s="27" t="n">
        <v>44157</v>
      </c>
      <c r="B3221" t="n">
        <v/>
      </c>
      <c r="C3221" t="n">
        <v>0.1614</v>
      </c>
      <c r="D3221" t="n">
        <v>0.824</v>
      </c>
      <c r="E3221" t="n">
        <v/>
      </c>
    </row>
    <row r="3222">
      <c r="A3222" s="27" t="n">
        <v>44158</v>
      </c>
      <c r="B3222" t="n">
        <v/>
      </c>
      <c r="C3222" t="n">
        <v>0.1634</v>
      </c>
      <c r="D3222" t="n">
        <v>0.859</v>
      </c>
      <c r="E3222" t="n">
        <v/>
      </c>
    </row>
    <row r="3223">
      <c r="A3223" s="27" t="n">
        <v>44159</v>
      </c>
      <c r="B3223" t="n">
        <v/>
      </c>
      <c r="C3223" t="n">
        <v>0.1641</v>
      </c>
      <c r="D3223" t="n">
        <v>0.885</v>
      </c>
      <c r="E3223" t="n">
        <v/>
      </c>
    </row>
    <row r="3224">
      <c r="A3224" s="27" t="n">
        <v>44160</v>
      </c>
      <c r="B3224" t="n">
        <v/>
      </c>
      <c r="C3224" t="n">
        <v>0.1622</v>
      </c>
      <c r="D3224" t="n">
        <v>0.882</v>
      </c>
      <c r="E3224" t="n">
        <v/>
      </c>
    </row>
    <row r="3225">
      <c r="A3225" s="27" t="n">
        <v>44161</v>
      </c>
      <c r="B3225" t="n">
        <v/>
      </c>
      <c r="C3225" t="n">
        <v>0.1563</v>
      </c>
      <c r="D3225" t="n">
        <v>0.859</v>
      </c>
      <c r="E3225" t="n">
        <v/>
      </c>
    </row>
    <row r="3226">
      <c r="A3226" s="27" t="n">
        <v>44162</v>
      </c>
      <c r="B3226" t="n">
        <v/>
      </c>
      <c r="C3226" t="n">
        <v>0.1544</v>
      </c>
      <c r="D3226" t="n">
        <v>0.842</v>
      </c>
      <c r="E3226" t="n">
        <v/>
      </c>
    </row>
    <row r="3227">
      <c r="A3227" s="27" t="n">
        <v>44163</v>
      </c>
      <c r="B3227" t="n">
        <v/>
      </c>
      <c r="C3227" t="n">
        <v/>
      </c>
      <c r="D3227" t="n">
        <v/>
      </c>
      <c r="E3227" t="n">
        <v/>
      </c>
    </row>
    <row r="3228">
      <c r="A3228" s="27" t="n">
        <v>44164</v>
      </c>
      <c r="B3228" t="n">
        <v/>
      </c>
      <c r="C3228" t="n">
        <v>0.1563</v>
      </c>
      <c r="D3228" t="n">
        <v>0.844</v>
      </c>
      <c r="E3228" t="n">
        <v/>
      </c>
    </row>
    <row r="3229">
      <c r="A3229" s="27" t="n">
        <v>44165</v>
      </c>
      <c r="B3229" t="n">
        <v/>
      </c>
      <c r="C3229" t="n">
        <v>0.1505</v>
      </c>
      <c r="D3229" t="n">
        <v>0.842</v>
      </c>
      <c r="E3229" t="n">
        <v/>
      </c>
    </row>
    <row r="3230">
      <c r="A3230" s="27" t="n">
        <v>44166</v>
      </c>
      <c r="B3230" t="n">
        <v/>
      </c>
      <c r="C3230" t="n">
        <v>0.1701</v>
      </c>
      <c r="D3230" t="n">
        <v>0.929</v>
      </c>
      <c r="E3230" t="n">
        <v/>
      </c>
    </row>
    <row r="3231">
      <c r="A3231" s="27" t="n">
        <v>44167</v>
      </c>
      <c r="B3231" t="n">
        <v/>
      </c>
      <c r="C3231" t="n">
        <v>0.1623</v>
      </c>
      <c r="D3231" t="n">
        <v>0.9379999999999999</v>
      </c>
      <c r="E3231" t="n">
        <v/>
      </c>
    </row>
    <row r="3232">
      <c r="A3232" s="27" t="n">
        <v>44168</v>
      </c>
      <c r="B3232" t="n">
        <v/>
      </c>
      <c r="C3232" t="n">
        <v>0.1526</v>
      </c>
      <c r="D3232" t="n">
        <v>0.911</v>
      </c>
      <c r="E3232" t="n">
        <v/>
      </c>
    </row>
    <row r="3233">
      <c r="A3233" s="27" t="n">
        <v>44169</v>
      </c>
      <c r="B3233" t="n">
        <v/>
      </c>
      <c r="C3233" t="n">
        <v>0.1527</v>
      </c>
      <c r="D3233" t="n">
        <v>0.973</v>
      </c>
      <c r="E3233" t="n">
        <v/>
      </c>
    </row>
    <row r="3234">
      <c r="A3234" s="27" t="n">
        <v>44170</v>
      </c>
      <c r="B3234" t="n">
        <v/>
      </c>
      <c r="C3234" t="n">
        <v/>
      </c>
      <c r="D3234" t="n">
        <v/>
      </c>
      <c r="E3234" t="n">
        <v/>
      </c>
    </row>
    <row r="3235">
      <c r="A3235" s="27" t="n">
        <v>44171</v>
      </c>
      <c r="B3235" t="n">
        <v/>
      </c>
      <c r="C3235" t="n">
        <v/>
      </c>
      <c r="D3235" t="n">
        <v/>
      </c>
      <c r="E3235" t="n">
        <v/>
      </c>
    </row>
    <row r="3236">
      <c r="A3236" s="27" t="n">
        <v>44172</v>
      </c>
      <c r="B3236" t="n">
        <v/>
      </c>
      <c r="C3236" t="n">
        <v>0.1448</v>
      </c>
      <c r="D3236" t="n">
        <v>0.928</v>
      </c>
      <c r="E3236" t="n">
        <v/>
      </c>
    </row>
    <row r="3237">
      <c r="A3237" s="27" t="n">
        <v>44173</v>
      </c>
      <c r="B3237" t="n">
        <v/>
      </c>
      <c r="C3237" t="n">
        <v>0.1508</v>
      </c>
      <c r="D3237" t="n">
        <v>0.921</v>
      </c>
      <c r="E3237" t="n">
        <v/>
      </c>
    </row>
    <row r="3238">
      <c r="A3238" s="27" t="n">
        <v>44174</v>
      </c>
      <c r="B3238" t="n">
        <v/>
      </c>
      <c r="C3238" t="n">
        <v>0.1508</v>
      </c>
      <c r="D3238" t="n">
        <v>0.9379999999999999</v>
      </c>
      <c r="E3238" t="n">
        <v/>
      </c>
    </row>
    <row r="3239">
      <c r="A3239" s="27" t="n">
        <v>44175</v>
      </c>
      <c r="B3239" t="n">
        <v/>
      </c>
      <c r="C3239" t="n">
        <v>0.1389</v>
      </c>
      <c r="D3239" t="n">
        <v>0.906</v>
      </c>
      <c r="E3239" t="n">
        <v/>
      </c>
    </row>
    <row r="3240">
      <c r="A3240" s="27" t="n">
        <v>44176</v>
      </c>
      <c r="B3240" t="n">
        <v/>
      </c>
      <c r="C3240" t="n">
        <v>0.121</v>
      </c>
      <c r="D3240" t="n">
        <v>0.896</v>
      </c>
      <c r="E3240" t="n">
        <v/>
      </c>
    </row>
    <row r="3241">
      <c r="A3241" s="27" t="n">
        <v>44177</v>
      </c>
      <c r="B3241" t="n">
        <v/>
      </c>
      <c r="C3241" t="n">
        <v/>
      </c>
      <c r="D3241" t="n">
        <v/>
      </c>
      <c r="E3241" t="n">
        <v/>
      </c>
    </row>
    <row r="3242">
      <c r="A3242" s="27" t="n">
        <v>44178</v>
      </c>
      <c r="B3242" t="n">
        <v/>
      </c>
      <c r="C3242" t="n">
        <v>0.123</v>
      </c>
      <c r="D3242" t="n">
        <v>0.91</v>
      </c>
      <c r="E3242" t="n">
        <v/>
      </c>
    </row>
    <row r="3243">
      <c r="A3243" s="27" t="n">
        <v>44179</v>
      </c>
      <c r="B3243" t="n">
        <v/>
      </c>
      <c r="C3243" t="n">
        <v>0.119</v>
      </c>
      <c r="D3243" t="n">
        <v>0.898</v>
      </c>
      <c r="E3243" t="n">
        <v/>
      </c>
    </row>
    <row r="3244">
      <c r="A3244" s="27" t="n">
        <v>44180</v>
      </c>
      <c r="B3244" t="n">
        <v/>
      </c>
      <c r="C3244" t="n">
        <v>0.119</v>
      </c>
      <c r="D3244" t="n">
        <v>0.911</v>
      </c>
      <c r="E3244" t="n">
        <v/>
      </c>
    </row>
    <row r="3245">
      <c r="A3245" s="27" t="n">
        <v>44181</v>
      </c>
      <c r="B3245" t="n">
        <v/>
      </c>
      <c r="C3245" t="n">
        <v>0.119</v>
      </c>
      <c r="D3245" t="n">
        <v>0.92</v>
      </c>
      <c r="E3245" t="n">
        <v/>
      </c>
    </row>
    <row r="3246">
      <c r="A3246" s="27" t="n">
        <v>44182</v>
      </c>
      <c r="B3246" t="n">
        <v/>
      </c>
      <c r="C3246" t="n">
        <v>0.123</v>
      </c>
      <c r="D3246" t="n">
        <v>0.9350000000000001</v>
      </c>
      <c r="E3246" t="n">
        <v/>
      </c>
    </row>
    <row r="3247">
      <c r="A3247" s="27" t="n">
        <v>44183</v>
      </c>
      <c r="B3247" t="n">
        <v/>
      </c>
      <c r="C3247" t="n">
        <v>0.123</v>
      </c>
      <c r="D3247" t="n">
        <v>0.945</v>
      </c>
      <c r="E3247" t="n">
        <v/>
      </c>
    </row>
    <row r="3248">
      <c r="A3248" s="27" t="n">
        <v>44184</v>
      </c>
      <c r="B3248" t="n">
        <v/>
      </c>
      <c r="C3248" t="n">
        <v/>
      </c>
      <c r="D3248" t="n">
        <v/>
      </c>
      <c r="E3248" t="n">
        <v/>
      </c>
    </row>
    <row r="3249">
      <c r="A3249" s="27" t="n">
        <v>44185</v>
      </c>
      <c r="B3249" t="n">
        <v/>
      </c>
      <c r="C3249" t="n">
        <v>0.121</v>
      </c>
      <c r="D3249" t="n">
        <v>0.9379999999999999</v>
      </c>
      <c r="E3249" t="n">
        <v/>
      </c>
    </row>
    <row r="3250">
      <c r="A3250" s="27" t="n">
        <v>44186</v>
      </c>
      <c r="B3250" t="n">
        <v/>
      </c>
      <c r="C3250" t="n">
        <v>0.123</v>
      </c>
      <c r="D3250" t="n">
        <v>0.9379999999999999</v>
      </c>
      <c r="E3250" t="n">
        <v/>
      </c>
    </row>
    <row r="3251">
      <c r="A3251" s="27" t="n">
        <v>44187</v>
      </c>
      <c r="B3251" t="n">
        <v/>
      </c>
      <c r="C3251" t="n">
        <v>0.1189</v>
      </c>
      <c r="D3251" t="n">
        <v>0.921</v>
      </c>
      <c r="E3251" t="n">
        <v/>
      </c>
    </row>
    <row r="3252">
      <c r="A3252" s="27" t="n">
        <v>44188</v>
      </c>
      <c r="B3252" t="n">
        <v/>
      </c>
      <c r="C3252" t="n">
        <v>0.121</v>
      </c>
      <c r="D3252" t="n">
        <v>0.945</v>
      </c>
      <c r="E3252" t="n">
        <v/>
      </c>
    </row>
    <row r="3253">
      <c r="A3253" s="27" t="n">
        <v>44189</v>
      </c>
      <c r="B3253" t="n">
        <v/>
      </c>
      <c r="C3253" t="n">
        <v>0.123</v>
      </c>
      <c r="D3253" t="n">
        <v>0.926</v>
      </c>
      <c r="E3253" t="n">
        <v/>
      </c>
    </row>
    <row r="3254">
      <c r="A3254" s="27" t="n">
        <v>44190</v>
      </c>
      <c r="B3254" t="n">
        <v/>
      </c>
      <c r="C3254" t="n">
        <v/>
      </c>
      <c r="D3254" t="n">
        <v/>
      </c>
      <c r="E3254" t="n">
        <v/>
      </c>
    </row>
    <row r="3255">
      <c r="A3255" s="27" t="n">
        <v>44191</v>
      </c>
      <c r="B3255" t="n">
        <v/>
      </c>
      <c r="C3255" t="n">
        <v/>
      </c>
      <c r="D3255" t="n">
        <v/>
      </c>
      <c r="E3255" t="n">
        <v/>
      </c>
    </row>
    <row r="3256">
      <c r="A3256" s="27" t="n">
        <v>44192</v>
      </c>
      <c r="B3256" t="n">
        <v/>
      </c>
      <c r="C3256" t="n">
        <v>0.125</v>
      </c>
      <c r="D3256" t="n">
        <v>0.9379999999999999</v>
      </c>
      <c r="E3256" t="n">
        <v/>
      </c>
    </row>
    <row r="3257">
      <c r="A3257" s="27" t="n">
        <v>44193</v>
      </c>
      <c r="B3257" t="n">
        <v/>
      </c>
      <c r="C3257" t="n">
        <v>0.123</v>
      </c>
      <c r="D3257" t="n">
        <v>0.923</v>
      </c>
      <c r="E3257" t="n">
        <v/>
      </c>
    </row>
    <row r="3258">
      <c r="A3258" s="27" t="n">
        <v>44194</v>
      </c>
      <c r="B3258" t="n">
        <v/>
      </c>
      <c r="C3258" t="n">
        <v>0.1289</v>
      </c>
      <c r="D3258" t="n">
        <v>0.9399999999999999</v>
      </c>
      <c r="E3258" t="n">
        <v/>
      </c>
    </row>
    <row r="3259">
      <c r="A3259" s="27" t="n">
        <v>44195</v>
      </c>
      <c r="B3259" t="n">
        <v/>
      </c>
      <c r="C3259" t="n">
        <v>0.125</v>
      </c>
      <c r="D3259" t="n">
        <v>0.926</v>
      </c>
      <c r="E3259" t="n">
        <v/>
      </c>
    </row>
    <row r="3260">
      <c r="A3260" s="27" t="n">
        <v>44196</v>
      </c>
      <c r="B3260" t="n">
        <v/>
      </c>
      <c r="C3260" t="n">
        <v>0.123</v>
      </c>
      <c r="D3260" t="n">
        <v>0.916</v>
      </c>
      <c r="E3260" t="n">
        <v/>
      </c>
    </row>
    <row r="3261">
      <c r="A3261" s="27" t="n">
        <v>44197</v>
      </c>
      <c r="B3261" t="n">
        <v/>
      </c>
      <c r="C3261" t="n">
        <v/>
      </c>
      <c r="D3261" t="n">
        <v/>
      </c>
      <c r="E3261" t="n">
        <v/>
      </c>
    </row>
    <row r="3262">
      <c r="A3262" s="27" t="n">
        <v>44198</v>
      </c>
      <c r="B3262" t="n">
        <v/>
      </c>
      <c r="C3262" t="n">
        <v/>
      </c>
      <c r="D3262" t="n">
        <v/>
      </c>
      <c r="E3262" t="n">
        <v/>
      </c>
    </row>
    <row r="3263">
      <c r="A3263" s="27" t="n">
        <v>44199</v>
      </c>
      <c r="B3263" t="n">
        <v/>
      </c>
      <c r="C3263" t="n">
        <v>0.125</v>
      </c>
      <c r="D3263" t="n">
        <v>0.93</v>
      </c>
      <c r="E3263" t="n">
        <v/>
      </c>
    </row>
    <row r="3264">
      <c r="A3264" s="27" t="n">
        <v>44200</v>
      </c>
      <c r="B3264" t="n">
        <v/>
      </c>
      <c r="C3264" t="n">
        <v>0.1171</v>
      </c>
      <c r="D3264" t="n">
        <v>0.918</v>
      </c>
      <c r="E3264" t="n">
        <v/>
      </c>
    </row>
    <row r="3265">
      <c r="A3265" s="27" t="n">
        <v>44201</v>
      </c>
      <c r="B3265" t="n">
        <v/>
      </c>
      <c r="C3265" t="n">
        <v>0.123</v>
      </c>
      <c r="D3265" t="n">
        <v>0.955</v>
      </c>
      <c r="E3265" t="n">
        <v/>
      </c>
    </row>
    <row r="3266">
      <c r="A3266" s="27" t="n">
        <v>44202</v>
      </c>
      <c r="B3266" t="n">
        <v/>
      </c>
      <c r="C3266" t="n">
        <v>0.1388</v>
      </c>
      <c r="D3266" t="n">
        <v>1.039</v>
      </c>
      <c r="E3266" t="n">
        <v/>
      </c>
    </row>
    <row r="3267">
      <c r="A3267" s="27" t="n">
        <v>44203</v>
      </c>
      <c r="B3267" t="n">
        <v/>
      </c>
      <c r="C3267" t="n">
        <v>0.1408</v>
      </c>
      <c r="D3267" t="n">
        <v>1.081</v>
      </c>
      <c r="E3267" t="n">
        <v/>
      </c>
    </row>
    <row r="3268">
      <c r="A3268" s="27" t="n">
        <v>44204</v>
      </c>
      <c r="B3268" t="n">
        <v/>
      </c>
      <c r="C3268" t="n">
        <v>0.1369</v>
      </c>
      <c r="D3268" t="n">
        <v>1.119</v>
      </c>
      <c r="E3268" t="n">
        <v/>
      </c>
    </row>
    <row r="3269">
      <c r="A3269" s="27" t="n">
        <v>44205</v>
      </c>
      <c r="B3269" t="n">
        <v/>
      </c>
      <c r="C3269" t="n">
        <v/>
      </c>
      <c r="D3269" t="n">
        <v/>
      </c>
      <c r="E3269" t="n">
        <v/>
      </c>
    </row>
    <row r="3270">
      <c r="A3270" s="27" t="n">
        <v>44206</v>
      </c>
      <c r="B3270" t="n">
        <v/>
      </c>
      <c r="C3270" t="n">
        <v>0.1369</v>
      </c>
      <c r="D3270" t="n">
        <v>1.119</v>
      </c>
      <c r="E3270" t="n">
        <v/>
      </c>
    </row>
    <row r="3271">
      <c r="A3271" s="27" t="n">
        <v>44207</v>
      </c>
      <c r="B3271" t="n">
        <v/>
      </c>
      <c r="C3271" t="n">
        <v>0.1489</v>
      </c>
      <c r="D3271" t="n">
        <v>1.144</v>
      </c>
      <c r="E3271" t="n">
        <v/>
      </c>
    </row>
    <row r="3272">
      <c r="A3272" s="27" t="n">
        <v>44208</v>
      </c>
      <c r="B3272" t="n">
        <v/>
      </c>
      <c r="C3272" t="n">
        <v>0.1469</v>
      </c>
      <c r="D3272" t="n">
        <v>1.129</v>
      </c>
      <c r="E3272" t="n">
        <v/>
      </c>
    </row>
    <row r="3273">
      <c r="A3273" s="27" t="n">
        <v>44209</v>
      </c>
      <c r="B3273" t="n">
        <v/>
      </c>
      <c r="C3273" t="n">
        <v>0.145</v>
      </c>
      <c r="D3273" t="n">
        <v>1.092</v>
      </c>
      <c r="E3273" t="n">
        <v/>
      </c>
    </row>
    <row r="3274">
      <c r="A3274" s="27" t="n">
        <v>44210</v>
      </c>
      <c r="B3274" t="n">
        <v/>
      </c>
      <c r="C3274" t="n">
        <v>0.145</v>
      </c>
      <c r="D3274" t="n">
        <v>1.129</v>
      </c>
      <c r="E3274" t="n">
        <v/>
      </c>
    </row>
    <row r="3275">
      <c r="A3275" s="27" t="n">
        <v>44211</v>
      </c>
      <c r="B3275" t="n">
        <v/>
      </c>
      <c r="C3275" t="n">
        <v>0.135</v>
      </c>
      <c r="D3275" t="n">
        <v>1.087</v>
      </c>
      <c r="E3275" t="n">
        <v/>
      </c>
    </row>
    <row r="3276">
      <c r="A3276" s="27" t="n">
        <v>44212</v>
      </c>
      <c r="B3276" t="n">
        <v/>
      </c>
      <c r="C3276" t="n">
        <v/>
      </c>
      <c r="D3276" t="n">
        <v/>
      </c>
      <c r="E3276" t="n">
        <v/>
      </c>
    </row>
    <row r="3277">
      <c r="A3277" s="27" t="n">
        <v>44213</v>
      </c>
      <c r="B3277" t="n">
        <v/>
      </c>
      <c r="C3277" t="n">
        <v/>
      </c>
      <c r="D3277" t="n">
        <v/>
      </c>
      <c r="E3277" t="n">
        <v/>
      </c>
    </row>
    <row r="3278">
      <c r="A3278" s="27" t="n">
        <v>44214</v>
      </c>
      <c r="B3278" t="n">
        <v/>
      </c>
      <c r="C3278" t="n">
        <v>0.137</v>
      </c>
      <c r="D3278" t="n">
        <v>1.1</v>
      </c>
      <c r="E3278" t="n">
        <v/>
      </c>
    </row>
    <row r="3279">
      <c r="A3279" s="27" t="n">
        <v>44215</v>
      </c>
      <c r="B3279" t="n">
        <v/>
      </c>
      <c r="C3279" t="n">
        <v>0.133</v>
      </c>
      <c r="D3279" t="n">
        <v>1.092</v>
      </c>
      <c r="E3279" t="n">
        <v/>
      </c>
    </row>
    <row r="3280">
      <c r="A3280" s="27" t="n">
        <v>44216</v>
      </c>
      <c r="B3280" t="n">
        <v/>
      </c>
      <c r="C3280" t="n">
        <v>0.129</v>
      </c>
      <c r="D3280" t="n">
        <v>1.077</v>
      </c>
      <c r="E3280" t="n">
        <v/>
      </c>
    </row>
    <row r="3281">
      <c r="A3281" s="27" t="n">
        <v>44217</v>
      </c>
      <c r="B3281" t="n">
        <v/>
      </c>
      <c r="C3281" t="n">
        <v>0.125</v>
      </c>
      <c r="D3281" t="n">
        <v>1.109</v>
      </c>
      <c r="E3281" t="n">
        <v/>
      </c>
    </row>
    <row r="3282">
      <c r="A3282" s="27" t="n">
        <v>44218</v>
      </c>
      <c r="B3282" t="n">
        <v/>
      </c>
      <c r="C3282" t="n">
        <v>0.125</v>
      </c>
      <c r="D3282" t="n">
        <v>1.086</v>
      </c>
      <c r="E3282" t="n">
        <v/>
      </c>
    </row>
    <row r="3283">
      <c r="A3283" s="27" t="n">
        <v>44219</v>
      </c>
      <c r="B3283" t="n">
        <v/>
      </c>
      <c r="C3283" t="n">
        <v/>
      </c>
      <c r="D3283" t="n">
        <v/>
      </c>
      <c r="E3283" t="n">
        <v/>
      </c>
    </row>
    <row r="3284">
      <c r="A3284" s="27" t="n">
        <v>44220</v>
      </c>
      <c r="B3284" t="n">
        <v/>
      </c>
      <c r="C3284" t="n">
        <v>0.125</v>
      </c>
      <c r="D3284" t="n">
        <v>1.096</v>
      </c>
      <c r="E3284" t="n">
        <v/>
      </c>
    </row>
    <row r="3285">
      <c r="A3285" s="27" t="n">
        <v>44221</v>
      </c>
      <c r="B3285" t="n">
        <v/>
      </c>
      <c r="C3285" t="n">
        <v>0.1209</v>
      </c>
      <c r="D3285" t="n">
        <v>1.033</v>
      </c>
      <c r="E3285" t="n">
        <v/>
      </c>
    </row>
    <row r="3286">
      <c r="A3286" s="27" t="n">
        <v>44222</v>
      </c>
      <c r="B3286" t="n">
        <v/>
      </c>
      <c r="C3286" t="n">
        <v>0.123</v>
      </c>
      <c r="D3286" t="n">
        <v>1.033</v>
      </c>
      <c r="E3286" t="n">
        <v/>
      </c>
    </row>
    <row r="3287">
      <c r="A3287" s="27" t="n">
        <v>44223</v>
      </c>
      <c r="B3287" t="n">
        <v/>
      </c>
      <c r="C3287" t="n">
        <v>0.1191</v>
      </c>
      <c r="D3287" t="n">
        <v>1.013</v>
      </c>
      <c r="E3287" t="n">
        <v/>
      </c>
    </row>
    <row r="3288">
      <c r="A3288" s="27" t="n">
        <v>44224</v>
      </c>
      <c r="B3288" t="n">
        <v/>
      </c>
      <c r="C3288" t="n">
        <v>0.1211</v>
      </c>
      <c r="D3288" t="n">
        <v>1.052</v>
      </c>
      <c r="E3288" t="n">
        <v/>
      </c>
    </row>
    <row r="3289">
      <c r="A3289" s="27" t="n">
        <v>44225</v>
      </c>
      <c r="B3289" t="n">
        <v/>
      </c>
      <c r="C3289" t="n">
        <v>0.1113</v>
      </c>
      <c r="D3289" t="n">
        <v>1.071</v>
      </c>
      <c r="E3289" t="n">
        <v/>
      </c>
    </row>
    <row r="3290">
      <c r="A3290" s="27" t="n">
        <v>44226</v>
      </c>
      <c r="B3290" t="n">
        <v/>
      </c>
      <c r="C3290" t="n">
        <v/>
      </c>
      <c r="D3290" t="n">
        <v/>
      </c>
      <c r="E3290" t="n">
        <v/>
      </c>
    </row>
    <row r="3291">
      <c r="A3291" s="27" t="n">
        <v>44227</v>
      </c>
      <c r="B3291" t="n">
        <v/>
      </c>
      <c r="C3291" t="n">
        <v>0.1093</v>
      </c>
      <c r="D3291" t="n">
        <v>1.071</v>
      </c>
      <c r="E3291" t="n">
        <v/>
      </c>
    </row>
    <row r="3292">
      <c r="A3292" s="27" t="n">
        <v>44228</v>
      </c>
      <c r="B3292" t="n">
        <v/>
      </c>
      <c r="C3292" t="n">
        <v>0.1113</v>
      </c>
      <c r="D3292" t="n">
        <v>1.079</v>
      </c>
      <c r="E3292" t="n">
        <v/>
      </c>
    </row>
    <row r="3293">
      <c r="A3293" s="27" t="n">
        <v>44229</v>
      </c>
      <c r="B3293" t="n">
        <v/>
      </c>
      <c r="C3293" t="n">
        <v>0.1132</v>
      </c>
      <c r="D3293" t="n">
        <v>1.095</v>
      </c>
      <c r="E3293" t="n">
        <v/>
      </c>
    </row>
    <row r="3294">
      <c r="A3294" s="27" t="n">
        <v>44230</v>
      </c>
      <c r="B3294" t="n">
        <v/>
      </c>
      <c r="C3294" t="n">
        <v>0.1191</v>
      </c>
      <c r="D3294" t="n">
        <v>1.139</v>
      </c>
      <c r="E3294" t="n">
        <v/>
      </c>
    </row>
    <row r="3295">
      <c r="A3295" s="27" t="n">
        <v>44231</v>
      </c>
      <c r="B3295" t="n">
        <v/>
      </c>
      <c r="C3295" t="n">
        <v>0.1132</v>
      </c>
      <c r="D3295" t="n">
        <v>1.136</v>
      </c>
      <c r="E3295" t="n">
        <v/>
      </c>
    </row>
    <row r="3296">
      <c r="A3296" s="27" t="n">
        <v>44232</v>
      </c>
      <c r="B3296" t="n">
        <v/>
      </c>
      <c r="C3296" t="n">
        <v>0.1052</v>
      </c>
      <c r="D3296" t="n">
        <v>1.169</v>
      </c>
      <c r="E3296" t="n">
        <v/>
      </c>
    </row>
    <row r="3297">
      <c r="A3297" s="27" t="n">
        <v>44233</v>
      </c>
      <c r="B3297" t="n">
        <v/>
      </c>
      <c r="C3297" t="n">
        <v/>
      </c>
      <c r="D3297" t="n">
        <v/>
      </c>
      <c r="E3297" t="n">
        <v/>
      </c>
    </row>
    <row r="3298">
      <c r="A3298" s="27" t="n">
        <v>44234</v>
      </c>
      <c r="B3298" t="n">
        <v/>
      </c>
      <c r="C3298" t="n">
        <v>0.1052</v>
      </c>
      <c r="D3298" t="n">
        <v>1.174</v>
      </c>
      <c r="E3298" t="n">
        <v/>
      </c>
    </row>
    <row r="3299">
      <c r="A3299" s="27" t="n">
        <v>44235</v>
      </c>
      <c r="B3299" t="n">
        <v/>
      </c>
      <c r="C3299" t="n">
        <v>0.1131</v>
      </c>
      <c r="D3299" t="n">
        <v>1.176</v>
      </c>
      <c r="E3299" t="n">
        <v/>
      </c>
    </row>
    <row r="3300">
      <c r="A3300" s="27" t="n">
        <v>44236</v>
      </c>
      <c r="B3300" t="n">
        <v/>
      </c>
      <c r="C3300" t="n">
        <v>0.1171</v>
      </c>
      <c r="D3300" t="n">
        <v>1.16</v>
      </c>
      <c r="E3300" t="n">
        <v/>
      </c>
    </row>
    <row r="3301">
      <c r="A3301" s="27" t="n">
        <v>44237</v>
      </c>
      <c r="B3301" t="n">
        <v/>
      </c>
      <c r="C3301" t="n">
        <v>0.1111</v>
      </c>
      <c r="D3301" t="n">
        <v>1.124</v>
      </c>
      <c r="E3301" t="n">
        <v/>
      </c>
    </row>
    <row r="3302">
      <c r="A3302" s="27" t="n">
        <v>44238</v>
      </c>
      <c r="B3302" t="n">
        <v/>
      </c>
      <c r="C3302" t="n">
        <v>0.1091</v>
      </c>
      <c r="D3302" t="n">
        <v>1.165</v>
      </c>
      <c r="E3302" t="n">
        <v/>
      </c>
    </row>
    <row r="3303">
      <c r="A3303" s="27" t="n">
        <v>44239</v>
      </c>
      <c r="B3303" t="n">
        <v/>
      </c>
      <c r="C3303" t="n">
        <v>0.111</v>
      </c>
      <c r="D3303" t="n">
        <v>1.21</v>
      </c>
      <c r="E3303" t="n">
        <v/>
      </c>
    </row>
    <row r="3304">
      <c r="A3304" s="27" t="n">
        <v>44240</v>
      </c>
      <c r="B3304" t="n">
        <v/>
      </c>
      <c r="C3304" t="n">
        <v/>
      </c>
      <c r="D3304" t="n">
        <v/>
      </c>
      <c r="E3304" t="n">
        <v/>
      </c>
    </row>
    <row r="3305">
      <c r="A3305" s="27" t="n">
        <v>44241</v>
      </c>
      <c r="B3305" t="n">
        <v/>
      </c>
      <c r="C3305" t="n">
        <v/>
      </c>
      <c r="D3305" t="n">
        <v/>
      </c>
      <c r="E3305" t="n">
        <v/>
      </c>
    </row>
    <row r="3306">
      <c r="A3306" s="27" t="n">
        <v>44242</v>
      </c>
      <c r="B3306" t="n">
        <v/>
      </c>
      <c r="C3306" t="n">
        <v>0.115</v>
      </c>
      <c r="D3306" t="n">
        <v>1.25</v>
      </c>
      <c r="E3306" t="n">
        <v/>
      </c>
    </row>
    <row r="3307">
      <c r="A3307" s="27" t="n">
        <v>44243</v>
      </c>
      <c r="B3307" t="n">
        <v/>
      </c>
      <c r="C3307" t="n">
        <v>0.123</v>
      </c>
      <c r="D3307" t="n">
        <v>1.311</v>
      </c>
      <c r="E3307" t="n">
        <v/>
      </c>
    </row>
    <row r="3308">
      <c r="A3308" s="27" t="n">
        <v>44244</v>
      </c>
      <c r="B3308" t="n">
        <v/>
      </c>
      <c r="C3308" t="n">
        <v>0.1089</v>
      </c>
      <c r="D3308" t="n">
        <v>1.282</v>
      </c>
      <c r="E3308" t="n">
        <v/>
      </c>
    </row>
    <row r="3309">
      <c r="A3309" s="27" t="n">
        <v>44245</v>
      </c>
      <c r="B3309" t="n">
        <v/>
      </c>
      <c r="C3309" t="n">
        <v>0.1089</v>
      </c>
      <c r="D3309" t="n">
        <v>1.297</v>
      </c>
      <c r="E3309" t="n">
        <v/>
      </c>
    </row>
    <row r="3310">
      <c r="A3310" s="27" t="n">
        <v>44246</v>
      </c>
      <c r="B3310" t="n">
        <v/>
      </c>
      <c r="C3310" t="n">
        <v>0.1088</v>
      </c>
      <c r="D3310" t="n">
        <v>1.34</v>
      </c>
      <c r="E3310" t="n">
        <v/>
      </c>
    </row>
    <row r="3311">
      <c r="A3311" s="27" t="n">
        <v>44247</v>
      </c>
      <c r="B3311" t="n">
        <v/>
      </c>
      <c r="C3311" t="n">
        <v/>
      </c>
      <c r="D3311" t="n">
        <v/>
      </c>
      <c r="E3311" t="n">
        <v/>
      </c>
    </row>
    <row r="3312">
      <c r="A3312" s="27" t="n">
        <v>44248</v>
      </c>
      <c r="B3312" t="n">
        <v/>
      </c>
      <c r="C3312" t="n">
        <v>0.1109</v>
      </c>
      <c r="D3312" t="n">
        <v>1.362</v>
      </c>
      <c r="E3312" t="n">
        <v/>
      </c>
    </row>
    <row r="3313">
      <c r="A3313" s="27" t="n">
        <v>44249</v>
      </c>
      <c r="B3313" t="n">
        <v/>
      </c>
      <c r="C3313" t="n">
        <v>0.1149</v>
      </c>
      <c r="D3313" t="n">
        <v>1.369</v>
      </c>
      <c r="E3313" t="n">
        <v/>
      </c>
    </row>
    <row r="3314">
      <c r="A3314" s="27" t="n">
        <v>44250</v>
      </c>
      <c r="B3314" t="n">
        <v/>
      </c>
      <c r="C3314" t="n">
        <v>0.1109</v>
      </c>
      <c r="D3314" t="n">
        <v>1.343</v>
      </c>
      <c r="E3314" t="n">
        <v/>
      </c>
    </row>
    <row r="3315">
      <c r="A3315" s="27" t="n">
        <v>44251</v>
      </c>
      <c r="B3315" t="n">
        <v/>
      </c>
      <c r="C3315" t="n">
        <v>0.125</v>
      </c>
      <c r="D3315" t="n">
        <v>1.372</v>
      </c>
      <c r="E3315" t="n">
        <v/>
      </c>
    </row>
    <row r="3316">
      <c r="A3316" s="27" t="n">
        <v>44252</v>
      </c>
      <c r="B3316" t="n">
        <v/>
      </c>
      <c r="C3316" t="n">
        <v>0.1779</v>
      </c>
      <c r="D3316" t="n">
        <v>1.53</v>
      </c>
      <c r="E3316" t="n">
        <v/>
      </c>
    </row>
    <row r="3317">
      <c r="A3317" s="27" t="n">
        <v>44253</v>
      </c>
      <c r="B3317" t="n">
        <v/>
      </c>
      <c r="C3317" t="n">
        <v>0.1289</v>
      </c>
      <c r="D3317" t="n">
        <v>1.407</v>
      </c>
      <c r="E3317" t="n">
        <v/>
      </c>
    </row>
    <row r="3318">
      <c r="A3318" s="27" t="n">
        <v>44254</v>
      </c>
      <c r="B3318" t="n">
        <v/>
      </c>
      <c r="C3318" t="n">
        <v/>
      </c>
      <c r="D3318" t="n">
        <v/>
      </c>
      <c r="E3318" t="n">
        <v/>
      </c>
    </row>
    <row r="3319">
      <c r="A3319" s="27" t="n">
        <v>44255</v>
      </c>
      <c r="B3319" t="n">
        <v/>
      </c>
      <c r="C3319" t="n">
        <v>0.125</v>
      </c>
      <c r="D3319" t="n">
        <v>1.395</v>
      </c>
      <c r="E3319" t="n">
        <v/>
      </c>
    </row>
    <row r="3320">
      <c r="A3320" s="27" t="n">
        <v>44256</v>
      </c>
      <c r="B3320" t="n">
        <v/>
      </c>
      <c r="C3320" t="n">
        <v>0.1211</v>
      </c>
      <c r="D3320" t="n">
        <v>1.426</v>
      </c>
      <c r="E3320" t="n">
        <v/>
      </c>
    </row>
    <row r="3321">
      <c r="A3321" s="27" t="n">
        <v>44257</v>
      </c>
      <c r="B3321" t="n">
        <v/>
      </c>
      <c r="C3321" t="n">
        <v>0.123</v>
      </c>
      <c r="D3321" t="n">
        <v>1.398</v>
      </c>
      <c r="E3321" t="n">
        <v/>
      </c>
    </row>
    <row r="3322">
      <c r="A3322" s="27" t="n">
        <v>44258</v>
      </c>
      <c r="B3322" t="n">
        <v/>
      </c>
      <c r="C3322" t="n">
        <v>0.1427</v>
      </c>
      <c r="D3322" t="n">
        <v>1.484</v>
      </c>
      <c r="E3322" t="n">
        <v/>
      </c>
    </row>
    <row r="3323">
      <c r="A3323" s="27" t="n">
        <v>44259</v>
      </c>
      <c r="B3323" t="n">
        <v/>
      </c>
      <c r="C3323" t="n">
        <v>0.1467</v>
      </c>
      <c r="D3323" t="n">
        <v>1.557</v>
      </c>
      <c r="E3323" t="n">
        <v/>
      </c>
    </row>
    <row r="3324">
      <c r="A3324" s="27" t="n">
        <v>44260</v>
      </c>
      <c r="B3324" t="n">
        <v/>
      </c>
      <c r="C3324" t="n">
        <v>0.1408</v>
      </c>
      <c r="D3324" t="n">
        <v>1.577</v>
      </c>
      <c r="E3324" t="n">
        <v/>
      </c>
    </row>
    <row r="3325">
      <c r="A3325" s="27" t="n">
        <v>44261</v>
      </c>
      <c r="B3325" t="n">
        <v/>
      </c>
      <c r="C3325" t="n">
        <v/>
      </c>
      <c r="D3325" t="n">
        <v/>
      </c>
      <c r="E3325" t="n">
        <v/>
      </c>
    </row>
    <row r="3326">
      <c r="A3326" s="27" t="n">
        <v>44262</v>
      </c>
      <c r="B3326" t="n">
        <v/>
      </c>
      <c r="C3326" t="n">
        <v>0.1468</v>
      </c>
      <c r="D3326" t="n">
        <v>1.599</v>
      </c>
      <c r="E3326" t="n">
        <v/>
      </c>
    </row>
    <row r="3327">
      <c r="A3327" s="27" t="n">
        <v>44263</v>
      </c>
      <c r="B3327" t="n">
        <v/>
      </c>
      <c r="C3327" t="n">
        <v>0.1646</v>
      </c>
      <c r="D3327" t="n">
        <v>1.603</v>
      </c>
      <c r="E3327" t="n">
        <v/>
      </c>
    </row>
    <row r="3328">
      <c r="A3328" s="27" t="n">
        <v>44264</v>
      </c>
      <c r="B3328" t="n">
        <v/>
      </c>
      <c r="C3328" t="n">
        <v>0.1627</v>
      </c>
      <c r="D3328" t="n">
        <v>1.528</v>
      </c>
      <c r="E3328" t="n">
        <v/>
      </c>
    </row>
    <row r="3329">
      <c r="A3329" s="27" t="n">
        <v>44265</v>
      </c>
      <c r="B3329" t="n">
        <v/>
      </c>
      <c r="C3329" t="n">
        <v>0.1548</v>
      </c>
      <c r="D3329" t="n">
        <v>1.521</v>
      </c>
      <c r="E3329" t="n">
        <v/>
      </c>
    </row>
    <row r="3330">
      <c r="A3330" s="27" t="n">
        <v>44266</v>
      </c>
      <c r="B3330" t="n">
        <v/>
      </c>
      <c r="C3330" t="n">
        <v>0.1429</v>
      </c>
      <c r="D3330" t="n">
        <v>1.535</v>
      </c>
      <c r="E3330" t="n">
        <v/>
      </c>
    </row>
    <row r="3331">
      <c r="A3331" s="27" t="n">
        <v>44267</v>
      </c>
      <c r="B3331" t="n">
        <v/>
      </c>
      <c r="C3331" t="n">
        <v>0.149</v>
      </c>
      <c r="D3331" t="n">
        <v>1.625</v>
      </c>
      <c r="E3331" t="n">
        <v/>
      </c>
    </row>
    <row r="3332">
      <c r="A3332" s="27" t="n">
        <v>44268</v>
      </c>
      <c r="B3332" t="n">
        <v/>
      </c>
      <c r="C3332" t="n">
        <v/>
      </c>
      <c r="D3332" t="n">
        <v/>
      </c>
      <c r="E3332" t="n">
        <v/>
      </c>
    </row>
    <row r="3333">
      <c r="A3333" s="27" t="n">
        <v>44269</v>
      </c>
      <c r="B3333" t="n">
        <v/>
      </c>
      <c r="C3333" t="n">
        <v>0.153</v>
      </c>
      <c r="D3333" t="n">
        <v>1.637</v>
      </c>
      <c r="E3333" t="n">
        <v/>
      </c>
    </row>
    <row r="3334">
      <c r="A3334" s="27" t="n">
        <v>44270</v>
      </c>
      <c r="B3334" t="n">
        <v/>
      </c>
      <c r="C3334" t="n">
        <v>0.153</v>
      </c>
      <c r="D3334" t="n">
        <v>1.607</v>
      </c>
      <c r="E3334" t="n">
        <v/>
      </c>
    </row>
    <row r="3335">
      <c r="A3335" s="27" t="n">
        <v>44271</v>
      </c>
      <c r="B3335" t="n">
        <v/>
      </c>
      <c r="C3335" t="n">
        <v>0.151</v>
      </c>
      <c r="D3335" t="n">
        <v>1.621</v>
      </c>
      <c r="E3335" t="n">
        <v/>
      </c>
    </row>
    <row r="3336">
      <c r="A3336" s="27" t="n">
        <v>44272</v>
      </c>
      <c r="B3336" t="n">
        <v/>
      </c>
      <c r="C3336" t="n">
        <v>0.137</v>
      </c>
      <c r="D3336" t="n">
        <v>1.646</v>
      </c>
      <c r="E3336" t="n">
        <v/>
      </c>
    </row>
    <row r="3337">
      <c r="A3337" s="27" t="n">
        <v>44273</v>
      </c>
      <c r="B3337" t="n">
        <v/>
      </c>
      <c r="C3337" t="n">
        <v>0.1571</v>
      </c>
      <c r="D3337" t="n">
        <v>1.706</v>
      </c>
      <c r="E3337" t="n">
        <v/>
      </c>
    </row>
    <row r="3338">
      <c r="A3338" s="27" t="n">
        <v>44274</v>
      </c>
      <c r="B3338" t="n">
        <v/>
      </c>
      <c r="C3338" t="n">
        <v>0.1532</v>
      </c>
      <c r="D3338" t="n">
        <v>1.73</v>
      </c>
      <c r="E3338" t="n">
        <v/>
      </c>
    </row>
    <row r="3339">
      <c r="A3339" s="27" t="n">
        <v>44275</v>
      </c>
      <c r="B3339" t="n">
        <v/>
      </c>
      <c r="C3339" t="n">
        <v/>
      </c>
      <c r="D3339" t="n">
        <v/>
      </c>
      <c r="E3339" t="n">
        <v/>
      </c>
    </row>
    <row r="3340">
      <c r="A3340" s="27" t="n">
        <v>44276</v>
      </c>
      <c r="B3340" t="n">
        <v/>
      </c>
      <c r="C3340" t="n">
        <v>0.1512</v>
      </c>
      <c r="D3340" t="n">
        <v>1.707</v>
      </c>
      <c r="E3340" t="n">
        <v/>
      </c>
    </row>
    <row r="3341">
      <c r="A3341" s="27" t="n">
        <v>44277</v>
      </c>
      <c r="B3341" t="n">
        <v/>
      </c>
      <c r="C3341" t="n">
        <v>0.1513</v>
      </c>
      <c r="D3341" t="n">
        <v>1.695</v>
      </c>
      <c r="E3341" t="n">
        <v/>
      </c>
    </row>
    <row r="3342">
      <c r="A3342" s="27" t="n">
        <v>44278</v>
      </c>
      <c r="B3342" t="n">
        <v/>
      </c>
      <c r="C3342" t="n">
        <v>0.1473</v>
      </c>
      <c r="D3342" t="n">
        <v>1.622</v>
      </c>
      <c r="E3342" t="n">
        <v/>
      </c>
    </row>
    <row r="3343">
      <c r="A3343" s="27" t="n">
        <v>44279</v>
      </c>
      <c r="B3343" t="n">
        <v/>
      </c>
      <c r="C3343" t="n">
        <v>0.1504</v>
      </c>
      <c r="D3343" t="n">
        <v>1.614</v>
      </c>
      <c r="E3343" t="n">
        <v/>
      </c>
    </row>
    <row r="3344">
      <c r="A3344" s="27" t="n">
        <v>44280</v>
      </c>
      <c r="B3344" t="n">
        <v/>
      </c>
      <c r="C3344" t="n">
        <v>0.1387</v>
      </c>
      <c r="D3344" t="n">
        <v>1.633</v>
      </c>
      <c r="E3344" t="n">
        <v/>
      </c>
    </row>
    <row r="3345">
      <c r="A3345" s="27" t="n">
        <v>44281</v>
      </c>
      <c r="B3345" t="n">
        <v/>
      </c>
      <c r="C3345" t="n">
        <v>0.1406</v>
      </c>
      <c r="D3345" t="n">
        <v>1.674</v>
      </c>
      <c r="E3345" t="n">
        <v/>
      </c>
    </row>
    <row r="3346">
      <c r="A3346" s="27" t="n">
        <v>44282</v>
      </c>
      <c r="B3346" t="n">
        <v/>
      </c>
      <c r="C3346" t="n">
        <v/>
      </c>
      <c r="D3346" t="n">
        <v/>
      </c>
      <c r="E3346" t="n">
        <v/>
      </c>
    </row>
    <row r="3347">
      <c r="A3347" s="27" t="n">
        <v>44283</v>
      </c>
      <c r="B3347" t="n">
        <v/>
      </c>
      <c r="C3347" t="n">
        <v>0.1406</v>
      </c>
      <c r="D3347" t="n">
        <v>1.672</v>
      </c>
      <c r="E3347" t="n">
        <v/>
      </c>
    </row>
    <row r="3348">
      <c r="A3348" s="27" t="n">
        <v>44284</v>
      </c>
      <c r="B3348" t="n">
        <v/>
      </c>
      <c r="C3348" t="n">
        <v>0.1426</v>
      </c>
      <c r="D3348" t="n">
        <v>1.717</v>
      </c>
      <c r="E3348" t="n">
        <v/>
      </c>
    </row>
    <row r="3349">
      <c r="A3349" s="27" t="n">
        <v>44285</v>
      </c>
      <c r="B3349" t="n">
        <v/>
      </c>
      <c r="C3349" t="n">
        <v>0.1485</v>
      </c>
      <c r="D3349" t="n">
        <v>1.71</v>
      </c>
      <c r="E3349" t="n">
        <v/>
      </c>
    </row>
    <row r="3350">
      <c r="A3350" s="27" t="n">
        <v>44286</v>
      </c>
      <c r="B3350" t="n">
        <v/>
      </c>
      <c r="C3350" t="n">
        <v>0.1622</v>
      </c>
      <c r="D3350" t="n">
        <v>1.744</v>
      </c>
      <c r="E3350" t="n">
        <v/>
      </c>
    </row>
    <row r="3351">
      <c r="A3351" s="27" t="n">
        <v>44287</v>
      </c>
      <c r="B3351" t="n">
        <v/>
      </c>
      <c r="C3351" t="n">
        <v>0.1624</v>
      </c>
      <c r="D3351" t="n">
        <v>1.673</v>
      </c>
      <c r="E3351" t="n">
        <v/>
      </c>
    </row>
    <row r="3352">
      <c r="A3352" s="27" t="n">
        <v>44288</v>
      </c>
      <c r="B3352" t="n">
        <v/>
      </c>
      <c r="C3352" t="n">
        <v>0.162</v>
      </c>
      <c r="D3352" t="n">
        <v>1.673</v>
      </c>
      <c r="E3352" t="n">
        <v/>
      </c>
    </row>
    <row r="3353">
      <c r="A3353" s="27" t="n">
        <v>44289</v>
      </c>
      <c r="B3353" t="n">
        <v/>
      </c>
      <c r="C3353" t="n">
        <v/>
      </c>
      <c r="D3353" t="n">
        <v/>
      </c>
      <c r="E3353" t="n">
        <v/>
      </c>
    </row>
    <row r="3354">
      <c r="A3354" s="27" t="n">
        <v>44290</v>
      </c>
      <c r="B3354" t="n">
        <v/>
      </c>
      <c r="C3354" t="n">
        <v>0.1841</v>
      </c>
      <c r="D3354" t="n">
        <v>1.705</v>
      </c>
      <c r="E3354" t="n">
        <v/>
      </c>
    </row>
    <row r="3355">
      <c r="A3355" s="27" t="n">
        <v>44291</v>
      </c>
      <c r="B3355" t="n">
        <v/>
      </c>
      <c r="C3355" t="n">
        <v>0.1704</v>
      </c>
      <c r="D3355" t="n">
        <v>1.707</v>
      </c>
      <c r="E3355" t="n">
        <v/>
      </c>
    </row>
    <row r="3356">
      <c r="A3356" s="27" t="n">
        <v>44292</v>
      </c>
      <c r="B3356" t="n">
        <v/>
      </c>
      <c r="C3356" t="n">
        <v>0.1625</v>
      </c>
      <c r="D3356" t="n">
        <v>1.658</v>
      </c>
      <c r="E3356" t="n">
        <v/>
      </c>
    </row>
    <row r="3357">
      <c r="A3357" s="27" t="n">
        <v>44293</v>
      </c>
      <c r="B3357" t="n">
        <v/>
      </c>
      <c r="C3357" t="n">
        <v>0.1547</v>
      </c>
      <c r="D3357" t="n">
        <v>1.679</v>
      </c>
      <c r="E3357" t="n">
        <v/>
      </c>
    </row>
    <row r="3358">
      <c r="A3358" s="27" t="n">
        <v>44294</v>
      </c>
      <c r="B3358" t="n">
        <v/>
      </c>
      <c r="C3358" t="n">
        <v>0.1508</v>
      </c>
      <c r="D3358" t="n">
        <v>1.626</v>
      </c>
      <c r="E3358" t="n">
        <v/>
      </c>
    </row>
    <row r="3359">
      <c r="A3359" s="27" t="n">
        <v>44295</v>
      </c>
      <c r="B3359" t="n">
        <v/>
      </c>
      <c r="C3359" t="n">
        <v>0.1588</v>
      </c>
      <c r="D3359" t="n">
        <v>1.662</v>
      </c>
      <c r="E3359" t="n">
        <v/>
      </c>
    </row>
    <row r="3360">
      <c r="A3360" s="27" t="n">
        <v>44296</v>
      </c>
      <c r="B3360" t="n">
        <v/>
      </c>
      <c r="C3360" t="n">
        <v/>
      </c>
      <c r="D3360" t="n">
        <v/>
      </c>
      <c r="E3360" t="n">
        <v/>
      </c>
    </row>
    <row r="3361">
      <c r="A3361" s="27" t="n">
        <v>44297</v>
      </c>
      <c r="B3361" t="n">
        <v/>
      </c>
      <c r="C3361" t="n">
        <v>0.1628</v>
      </c>
      <c r="D3361" t="n">
        <v>1.674</v>
      </c>
      <c r="E3361" t="n">
        <v/>
      </c>
    </row>
    <row r="3362">
      <c r="A3362" s="27" t="n">
        <v>44298</v>
      </c>
      <c r="B3362" t="n">
        <v/>
      </c>
      <c r="C3362" t="n">
        <v>0.1688</v>
      </c>
      <c r="D3362" t="n">
        <v>1.669</v>
      </c>
      <c r="E3362" t="n">
        <v/>
      </c>
    </row>
    <row r="3363">
      <c r="A3363" s="27" t="n">
        <v>44299</v>
      </c>
      <c r="B3363" t="n">
        <v/>
      </c>
      <c r="C3363" t="n">
        <v>0.1609</v>
      </c>
      <c r="D3363" t="n">
        <v>1.62</v>
      </c>
      <c r="E3363" t="n">
        <v/>
      </c>
    </row>
    <row r="3364">
      <c r="A3364" s="27" t="n">
        <v>44300</v>
      </c>
      <c r="B3364" t="n">
        <v/>
      </c>
      <c r="C3364" t="n">
        <v>0.163</v>
      </c>
      <c r="D3364" t="n">
        <v>1.634</v>
      </c>
      <c r="E3364" t="n">
        <v/>
      </c>
    </row>
    <row r="3365">
      <c r="A3365" s="27" t="n">
        <v>44301</v>
      </c>
      <c r="B3365" t="n">
        <v/>
      </c>
      <c r="C3365" t="n">
        <v>0.161</v>
      </c>
      <c r="D3365" t="n">
        <v>1.574</v>
      </c>
      <c r="E3365" t="n">
        <v/>
      </c>
    </row>
    <row r="3366">
      <c r="A3366" s="27" t="n">
        <v>44302</v>
      </c>
      <c r="B3366" t="n">
        <v/>
      </c>
      <c r="C3366" t="n">
        <v>0.1632</v>
      </c>
      <c r="D3366" t="n">
        <v>1.59</v>
      </c>
      <c r="E3366" t="n">
        <v/>
      </c>
    </row>
    <row r="3367">
      <c r="A3367" s="27" t="n">
        <v>44303</v>
      </c>
      <c r="B3367" t="n">
        <v/>
      </c>
      <c r="C3367" t="n">
        <v/>
      </c>
      <c r="D3367" t="n">
        <v/>
      </c>
      <c r="E3367" t="n">
        <v/>
      </c>
    </row>
    <row r="3368">
      <c r="A3368" s="27" t="n">
        <v>44304</v>
      </c>
      <c r="B3368" t="n">
        <v/>
      </c>
      <c r="C3368" t="n">
        <v>0.1612</v>
      </c>
      <c r="D3368" t="n">
        <v>1.578</v>
      </c>
      <c r="E3368" t="n">
        <v/>
      </c>
    </row>
    <row r="3369">
      <c r="A3369" s="27" t="n">
        <v>44305</v>
      </c>
      <c r="B3369" t="n">
        <v/>
      </c>
      <c r="C3369" t="n">
        <v>0.1612</v>
      </c>
      <c r="D3369" t="n">
        <v>1.61</v>
      </c>
      <c r="E3369" t="n">
        <v/>
      </c>
    </row>
    <row r="3370">
      <c r="A3370" s="27" t="n">
        <v>44306</v>
      </c>
      <c r="B3370" t="n">
        <v/>
      </c>
      <c r="C3370" t="n">
        <v>0.1532</v>
      </c>
      <c r="D3370" t="n">
        <v>1.566</v>
      </c>
      <c r="E3370" t="n">
        <v/>
      </c>
    </row>
    <row r="3371">
      <c r="A3371" s="27" t="n">
        <v>44307</v>
      </c>
      <c r="B3371" t="n">
        <v/>
      </c>
      <c r="C3371" t="n">
        <v>0.1492</v>
      </c>
      <c r="D3371" t="n">
        <v>1.559</v>
      </c>
      <c r="E3371" t="n">
        <v/>
      </c>
    </row>
    <row r="3372">
      <c r="A3372" s="27" t="n">
        <v>44308</v>
      </c>
      <c r="B3372" t="n">
        <v/>
      </c>
      <c r="C3372" t="n">
        <v>0.1513</v>
      </c>
      <c r="D3372" t="n">
        <v>1.542</v>
      </c>
      <c r="E3372" t="n">
        <v/>
      </c>
    </row>
    <row r="3373">
      <c r="A3373" s="27" t="n">
        <v>44309</v>
      </c>
      <c r="B3373" t="n">
        <v/>
      </c>
      <c r="C3373" t="n">
        <v>0.1595</v>
      </c>
      <c r="D3373" t="n">
        <v>1.559</v>
      </c>
      <c r="E3373" t="n">
        <v/>
      </c>
    </row>
    <row r="3374">
      <c r="A3374" s="27" t="n">
        <v>44310</v>
      </c>
      <c r="B3374" t="n">
        <v/>
      </c>
      <c r="C3374" t="n">
        <v/>
      </c>
      <c r="D3374" t="n">
        <v/>
      </c>
      <c r="E3374" t="n">
        <v/>
      </c>
    </row>
    <row r="3375">
      <c r="A3375" s="27" t="n">
        <v>44311</v>
      </c>
      <c r="B3375" t="n">
        <v/>
      </c>
      <c r="C3375" t="n">
        <v>0.1595</v>
      </c>
      <c r="D3375" t="n">
        <v>1.563</v>
      </c>
      <c r="E3375" t="n">
        <v/>
      </c>
    </row>
    <row r="3376">
      <c r="A3376" s="27" t="n">
        <v>44312</v>
      </c>
      <c r="B3376" t="n">
        <v/>
      </c>
      <c r="C3376" t="n">
        <v>0.1697</v>
      </c>
      <c r="D3376" t="n">
        <v>1.568</v>
      </c>
      <c r="E3376" t="n">
        <v/>
      </c>
    </row>
    <row r="3377">
      <c r="A3377" s="27" t="n">
        <v>44313</v>
      </c>
      <c r="B3377" t="n">
        <v/>
      </c>
      <c r="C3377" t="n">
        <v>0.1818</v>
      </c>
      <c r="D3377" t="n">
        <v>1.625</v>
      </c>
      <c r="E3377" t="n">
        <v/>
      </c>
    </row>
    <row r="3378">
      <c r="A3378" s="27" t="n">
        <v>44314</v>
      </c>
      <c r="B3378" t="n">
        <v/>
      </c>
      <c r="C3378" t="n">
        <v>0.1661</v>
      </c>
      <c r="D3378" t="n">
        <v>1.611</v>
      </c>
      <c r="E3378" t="n">
        <v/>
      </c>
    </row>
    <row r="3379">
      <c r="A3379" s="27" t="n">
        <v>44315</v>
      </c>
      <c r="B3379" t="n">
        <v/>
      </c>
      <c r="C3379" t="n">
        <v>0.1641</v>
      </c>
      <c r="D3379" t="n">
        <v>1.641</v>
      </c>
      <c r="E3379" t="n">
        <v/>
      </c>
    </row>
    <row r="3380">
      <c r="A3380" s="27" t="n">
        <v>44316</v>
      </c>
      <c r="B3380" t="n">
        <v/>
      </c>
      <c r="C3380" t="n">
        <v>0.1623</v>
      </c>
      <c r="D3380" t="n">
        <v>1.626</v>
      </c>
      <c r="E3380" t="n">
        <v/>
      </c>
    </row>
    <row r="3381">
      <c r="A3381" s="27" t="n">
        <v>44317</v>
      </c>
      <c r="B3381" t="n">
        <v/>
      </c>
      <c r="C3381" t="n">
        <v/>
      </c>
      <c r="D3381" t="n">
        <v/>
      </c>
      <c r="E3381" t="n">
        <v/>
      </c>
    </row>
    <row r="3382">
      <c r="A3382" s="27" t="n">
        <v>44318</v>
      </c>
      <c r="B3382" t="n">
        <v/>
      </c>
      <c r="C3382" t="n">
        <v>0.1623</v>
      </c>
      <c r="D3382" t="n">
        <v>1.626</v>
      </c>
      <c r="E3382" t="n">
        <v/>
      </c>
    </row>
    <row r="3383">
      <c r="A3383" s="27" t="n">
        <v>44319</v>
      </c>
      <c r="B3383" t="n">
        <v/>
      </c>
      <c r="C3383" t="n">
        <v>0.1624</v>
      </c>
      <c r="D3383" t="n">
        <v>1.599</v>
      </c>
      <c r="E3383" t="n">
        <v/>
      </c>
    </row>
    <row r="3384">
      <c r="A3384" s="27" t="n">
        <v>44320</v>
      </c>
      <c r="B3384" t="n">
        <v/>
      </c>
      <c r="C3384" t="n">
        <v>0.1624</v>
      </c>
      <c r="D3384" t="n">
        <v>1.591</v>
      </c>
      <c r="E3384" t="n">
        <v/>
      </c>
    </row>
    <row r="3385">
      <c r="A3385" s="27" t="n">
        <v>44321</v>
      </c>
      <c r="B3385" t="n">
        <v/>
      </c>
      <c r="C3385" t="n">
        <v>0.1546</v>
      </c>
      <c r="D3385" t="n">
        <v>1.571</v>
      </c>
      <c r="E3385" t="n">
        <v/>
      </c>
    </row>
    <row r="3386">
      <c r="A3386" s="27" t="n">
        <v>44322</v>
      </c>
      <c r="B3386" t="n">
        <v/>
      </c>
      <c r="C3386" t="n">
        <v>0.1566</v>
      </c>
      <c r="D3386" t="n">
        <v>1.57</v>
      </c>
      <c r="E3386" t="n">
        <v/>
      </c>
    </row>
    <row r="3387">
      <c r="A3387" s="27" t="n">
        <v>44323</v>
      </c>
      <c r="B3387" t="n">
        <v/>
      </c>
      <c r="C3387" t="n">
        <v>0.1468</v>
      </c>
      <c r="D3387" t="n">
        <v>1.579</v>
      </c>
      <c r="E3387" t="n">
        <v/>
      </c>
    </row>
    <row r="3388">
      <c r="A3388" s="27" t="n">
        <v>44324</v>
      </c>
      <c r="B3388" t="n">
        <v/>
      </c>
      <c r="C3388" t="n">
        <v/>
      </c>
      <c r="D3388" t="n">
        <v/>
      </c>
      <c r="E3388" t="n">
        <v/>
      </c>
    </row>
    <row r="3389">
      <c r="A3389" s="27" t="n">
        <v>44325</v>
      </c>
      <c r="B3389" t="n">
        <v/>
      </c>
      <c r="C3389" t="n">
        <v>0.1468</v>
      </c>
      <c r="D3389" t="n">
        <v>1.584</v>
      </c>
      <c r="E3389" t="n">
        <v/>
      </c>
    </row>
    <row r="3390">
      <c r="A3390" s="27" t="n">
        <v>44326</v>
      </c>
      <c r="B3390" t="n">
        <v/>
      </c>
      <c r="C3390" t="n">
        <v>0.1548</v>
      </c>
      <c r="D3390" t="n">
        <v>1.604</v>
      </c>
      <c r="E3390" t="n">
        <v/>
      </c>
    </row>
    <row r="3391">
      <c r="A3391" s="27" t="n">
        <v>44327</v>
      </c>
      <c r="B3391" t="n">
        <v/>
      </c>
      <c r="C3391" t="n">
        <v>0.1608</v>
      </c>
      <c r="D3391" t="n">
        <v>1.622</v>
      </c>
      <c r="E3391" t="n">
        <v/>
      </c>
    </row>
    <row r="3392">
      <c r="A3392" s="27" t="n">
        <v>44328</v>
      </c>
      <c r="B3392" t="n">
        <v/>
      </c>
      <c r="C3392" t="n">
        <v>0.1668</v>
      </c>
      <c r="D3392" t="n">
        <v>1.693</v>
      </c>
      <c r="E3392" t="n">
        <v/>
      </c>
    </row>
    <row r="3393">
      <c r="A3393" s="27" t="n">
        <v>44329</v>
      </c>
      <c r="B3393" t="n">
        <v/>
      </c>
      <c r="C3393" t="n">
        <v>0.1569</v>
      </c>
      <c r="D3393" t="n">
        <v>1.659</v>
      </c>
      <c r="E3393" t="n">
        <v/>
      </c>
    </row>
    <row r="3394">
      <c r="A3394" s="27" t="n">
        <v>44330</v>
      </c>
      <c r="B3394" t="n">
        <v/>
      </c>
      <c r="C3394" t="n">
        <v>0.149</v>
      </c>
      <c r="D3394" t="n">
        <v>1.635</v>
      </c>
      <c r="E3394" t="n">
        <v/>
      </c>
    </row>
    <row r="3395">
      <c r="A3395" s="27" t="n">
        <v>44331</v>
      </c>
      <c r="B3395" t="n">
        <v/>
      </c>
      <c r="C3395" t="n">
        <v/>
      </c>
      <c r="D3395" t="n">
        <v/>
      </c>
      <c r="E3395" t="n">
        <v/>
      </c>
    </row>
    <row r="3396">
      <c r="A3396" s="27" t="n">
        <v>44332</v>
      </c>
      <c r="B3396" t="n">
        <v/>
      </c>
      <c r="C3396" t="n">
        <v>0.149</v>
      </c>
      <c r="D3396" t="n">
        <v>1.633</v>
      </c>
      <c r="E3396" t="n">
        <v/>
      </c>
    </row>
    <row r="3397">
      <c r="A3397" s="27" t="n">
        <v>44333</v>
      </c>
      <c r="B3397" t="n">
        <v/>
      </c>
      <c r="C3397" t="n">
        <v>0.1551</v>
      </c>
      <c r="D3397" t="n">
        <v>1.652</v>
      </c>
      <c r="E3397" t="n">
        <v/>
      </c>
    </row>
    <row r="3398">
      <c r="A3398" s="27" t="n">
        <v>44334</v>
      </c>
      <c r="B3398" t="n">
        <v/>
      </c>
      <c r="C3398" t="n">
        <v>0.1511</v>
      </c>
      <c r="D3398" t="n">
        <v>1.64</v>
      </c>
      <c r="E3398" t="n">
        <v/>
      </c>
    </row>
    <row r="3399">
      <c r="A3399" s="27" t="n">
        <v>44335</v>
      </c>
      <c r="B3399" t="n">
        <v/>
      </c>
      <c r="C3399" t="n">
        <v>0.1592</v>
      </c>
      <c r="D3399" t="n">
        <v>1.676</v>
      </c>
      <c r="E3399" t="n">
        <v/>
      </c>
    </row>
    <row r="3400">
      <c r="A3400" s="27" t="n">
        <v>44336</v>
      </c>
      <c r="B3400" t="n">
        <v/>
      </c>
      <c r="C3400" t="n">
        <v>0.1472</v>
      </c>
      <c r="D3400" t="n">
        <v>1.628</v>
      </c>
      <c r="E3400" t="n">
        <v/>
      </c>
    </row>
    <row r="3401">
      <c r="A3401" s="27" t="n">
        <v>44337</v>
      </c>
      <c r="B3401" t="n">
        <v/>
      </c>
      <c r="C3401" t="n">
        <v>0.1553</v>
      </c>
      <c r="D3401" t="n">
        <v>1.623</v>
      </c>
      <c r="E3401" t="n">
        <v/>
      </c>
    </row>
    <row r="3402">
      <c r="A3402" s="27" t="n">
        <v>44338</v>
      </c>
      <c r="B3402" t="n">
        <v/>
      </c>
      <c r="C3402" t="n">
        <v/>
      </c>
      <c r="D3402" t="n">
        <v/>
      </c>
      <c r="E3402" t="n">
        <v/>
      </c>
    </row>
    <row r="3403">
      <c r="A3403" s="27" t="n">
        <v>44339</v>
      </c>
      <c r="B3403" t="n">
        <v/>
      </c>
      <c r="C3403" t="n">
        <v>0.1553</v>
      </c>
      <c r="D3403" t="n">
        <v>1.62</v>
      </c>
      <c r="E3403" t="n">
        <v/>
      </c>
    </row>
    <row r="3404">
      <c r="A3404" s="27" t="n">
        <v>44340</v>
      </c>
      <c r="B3404" t="n">
        <v/>
      </c>
      <c r="C3404" t="n">
        <v>0.1513</v>
      </c>
      <c r="D3404" t="n">
        <v>1.603</v>
      </c>
      <c r="E3404" t="n">
        <v/>
      </c>
    </row>
    <row r="3405">
      <c r="A3405" s="27" t="n">
        <v>44341</v>
      </c>
      <c r="B3405" t="n">
        <v/>
      </c>
      <c r="C3405" t="n">
        <v>0.1453</v>
      </c>
      <c r="D3405" t="n">
        <v>1.56</v>
      </c>
      <c r="E3405" t="n">
        <v/>
      </c>
    </row>
    <row r="3406">
      <c r="A3406" s="27" t="n">
        <v>44342</v>
      </c>
      <c r="B3406" t="n">
        <v/>
      </c>
      <c r="C3406" t="n">
        <v>0.1485</v>
      </c>
      <c r="D3406" t="n">
        <v>1.581</v>
      </c>
      <c r="E3406" t="n">
        <v/>
      </c>
    </row>
    <row r="3407">
      <c r="A3407" s="27" t="n">
        <v>44343</v>
      </c>
      <c r="B3407" t="n">
        <v/>
      </c>
      <c r="C3407" t="n">
        <v>0.1466</v>
      </c>
      <c r="D3407" t="n">
        <v>1.606</v>
      </c>
      <c r="E3407" t="n">
        <v/>
      </c>
    </row>
    <row r="3408">
      <c r="A3408" s="27" t="n">
        <v>44344</v>
      </c>
      <c r="B3408" t="n">
        <v/>
      </c>
      <c r="C3408" t="n">
        <v>0.1406</v>
      </c>
      <c r="D3408" t="n">
        <v>1.581</v>
      </c>
      <c r="E3408" t="n">
        <v/>
      </c>
    </row>
    <row r="3409">
      <c r="A3409" s="27" t="n">
        <v>44345</v>
      </c>
      <c r="B3409" t="n">
        <v/>
      </c>
      <c r="C3409" t="n">
        <v/>
      </c>
      <c r="D3409" t="n">
        <v/>
      </c>
      <c r="E3409" t="n">
        <v/>
      </c>
    </row>
    <row r="3410">
      <c r="A3410" s="27" t="n">
        <v>44346</v>
      </c>
      <c r="B3410" t="n">
        <v/>
      </c>
      <c r="C3410" t="n">
        <v/>
      </c>
      <c r="D3410" t="n">
        <v/>
      </c>
      <c r="E3410" t="n">
        <v/>
      </c>
    </row>
    <row r="3411">
      <c r="A3411" s="27" t="n">
        <v>44347</v>
      </c>
      <c r="B3411" t="n">
        <v/>
      </c>
      <c r="C3411" t="n">
        <v>0.1446</v>
      </c>
      <c r="D3411" t="n">
        <v>1.61</v>
      </c>
      <c r="E3411" t="n">
        <v/>
      </c>
    </row>
    <row r="3412">
      <c r="A3412" s="27" t="n">
        <v>44348</v>
      </c>
      <c r="B3412" t="n">
        <v/>
      </c>
      <c r="C3412" t="n">
        <v>0.1486</v>
      </c>
      <c r="D3412" t="n">
        <v>1.606</v>
      </c>
      <c r="E3412" t="n">
        <v/>
      </c>
    </row>
    <row r="3413">
      <c r="A3413" s="27" t="n">
        <v>44349</v>
      </c>
      <c r="B3413" t="n">
        <v/>
      </c>
      <c r="C3413" t="n">
        <v>0.1466</v>
      </c>
      <c r="D3413" t="n">
        <v>1.589</v>
      </c>
      <c r="E3413" t="n">
        <v/>
      </c>
    </row>
    <row r="3414">
      <c r="A3414" s="27" t="n">
        <v>44350</v>
      </c>
      <c r="B3414" t="n">
        <v/>
      </c>
      <c r="C3414" t="n">
        <v>0.1584</v>
      </c>
      <c r="D3414" t="n">
        <v>1.625</v>
      </c>
      <c r="E3414" t="n">
        <v/>
      </c>
    </row>
    <row r="3415">
      <c r="A3415" s="27" t="n">
        <v>44351</v>
      </c>
      <c r="B3415" t="n">
        <v/>
      </c>
      <c r="C3415" t="n">
        <v>0.1487</v>
      </c>
      <c r="D3415" t="n">
        <v>1.557</v>
      </c>
      <c r="E3415" t="n">
        <v/>
      </c>
    </row>
    <row r="3416">
      <c r="A3416" s="27" t="n">
        <v>44352</v>
      </c>
      <c r="B3416" t="n">
        <v/>
      </c>
      <c r="C3416" t="n">
        <v/>
      </c>
      <c r="D3416" t="n">
        <v/>
      </c>
      <c r="E3416" t="n">
        <v/>
      </c>
    </row>
    <row r="3417">
      <c r="A3417" s="27" t="n">
        <v>44353</v>
      </c>
      <c r="B3417" t="n">
        <v/>
      </c>
      <c r="C3417" t="n">
        <v>0.1507</v>
      </c>
      <c r="D3417" t="n">
        <v>1.569</v>
      </c>
      <c r="E3417" t="n">
        <v/>
      </c>
    </row>
    <row r="3418">
      <c r="A3418" s="27" t="n">
        <v>44354</v>
      </c>
      <c r="B3418" t="n">
        <v/>
      </c>
      <c r="C3418" t="n">
        <v>0.1567</v>
      </c>
      <c r="D3418" t="n">
        <v>1.569</v>
      </c>
      <c r="E3418" t="n">
        <v/>
      </c>
    </row>
    <row r="3419">
      <c r="A3419" s="27" t="n">
        <v>44355</v>
      </c>
      <c r="B3419" t="n">
        <v/>
      </c>
      <c r="C3419" t="n">
        <v>0.1547</v>
      </c>
      <c r="D3419" t="n">
        <v>1.538</v>
      </c>
      <c r="E3419" t="n">
        <v/>
      </c>
    </row>
    <row r="3420">
      <c r="A3420" s="27" t="n">
        <v>44356</v>
      </c>
      <c r="B3420" t="n">
        <v/>
      </c>
      <c r="C3420" t="n">
        <v>0.1567</v>
      </c>
      <c r="D3420" t="n">
        <v>1.492</v>
      </c>
      <c r="E3420" t="n">
        <v/>
      </c>
    </row>
    <row r="3421">
      <c r="A3421" s="27" t="n">
        <v>44357</v>
      </c>
      <c r="B3421" t="n">
        <v/>
      </c>
      <c r="C3421" t="n">
        <v>0.1469</v>
      </c>
      <c r="D3421" t="n">
        <v>1.437</v>
      </c>
      <c r="E3421" t="n">
        <v/>
      </c>
    </row>
    <row r="3422">
      <c r="A3422" s="27" t="n">
        <v>44358</v>
      </c>
      <c r="B3422" t="n">
        <v/>
      </c>
      <c r="C3422" t="n">
        <v>0.149</v>
      </c>
      <c r="D3422" t="n">
        <v>1.454</v>
      </c>
      <c r="E3422" t="n">
        <v/>
      </c>
    </row>
    <row r="3423">
      <c r="A3423" s="27" t="n">
        <v>44359</v>
      </c>
      <c r="B3423" t="n">
        <v/>
      </c>
      <c r="C3423" t="n">
        <v/>
      </c>
      <c r="D3423" t="n">
        <v/>
      </c>
      <c r="E3423" t="n">
        <v/>
      </c>
    </row>
    <row r="3424">
      <c r="A3424" s="27" t="n">
        <v>44360</v>
      </c>
      <c r="B3424" t="n">
        <v/>
      </c>
      <c r="C3424" t="n">
        <v>0.1509</v>
      </c>
      <c r="D3424" t="n">
        <v>1.46</v>
      </c>
      <c r="E3424" t="n">
        <v/>
      </c>
    </row>
    <row r="3425">
      <c r="A3425" s="27" t="n">
        <v>44361</v>
      </c>
      <c r="B3425" t="n">
        <v/>
      </c>
      <c r="C3425" t="n">
        <v>0.161</v>
      </c>
      <c r="D3425" t="n">
        <v>1.497</v>
      </c>
      <c r="E3425" t="n">
        <v/>
      </c>
    </row>
    <row r="3426">
      <c r="A3426" s="27" t="n">
        <v>44362</v>
      </c>
      <c r="B3426" t="n">
        <v/>
      </c>
      <c r="C3426" t="n">
        <v>0.165</v>
      </c>
      <c r="D3426" t="n">
        <v>1.489</v>
      </c>
      <c r="E3426" t="n">
        <v/>
      </c>
    </row>
    <row r="3427">
      <c r="A3427" s="27" t="n">
        <v>44363</v>
      </c>
      <c r="B3427" t="n">
        <v/>
      </c>
      <c r="C3427" t="n">
        <v>0.2072</v>
      </c>
      <c r="D3427" t="n">
        <v>1.581</v>
      </c>
      <c r="E3427" t="n">
        <v/>
      </c>
    </row>
    <row r="3428">
      <c r="A3428" s="27" t="n">
        <v>44364</v>
      </c>
      <c r="B3428" t="n">
        <v/>
      </c>
      <c r="C3428" t="n">
        <v>0.2133</v>
      </c>
      <c r="D3428" t="n">
        <v>1.511</v>
      </c>
      <c r="E3428" t="n">
        <v/>
      </c>
    </row>
    <row r="3429">
      <c r="A3429" s="27" t="n">
        <v>44365</v>
      </c>
      <c r="B3429" t="n">
        <v/>
      </c>
      <c r="C3429" t="n">
        <v>0.2521</v>
      </c>
      <c r="D3429" t="n">
        <v>1.443</v>
      </c>
      <c r="E3429" t="n">
        <v/>
      </c>
    </row>
    <row r="3430">
      <c r="A3430" s="27" t="n">
        <v>44366</v>
      </c>
      <c r="B3430" t="n">
        <v/>
      </c>
      <c r="C3430" t="n">
        <v/>
      </c>
      <c r="D3430" t="n">
        <v/>
      </c>
      <c r="E3430" t="n">
        <v/>
      </c>
    </row>
    <row r="3431">
      <c r="A3431" s="27" t="n">
        <v>44367</v>
      </c>
      <c r="B3431" t="n">
        <v/>
      </c>
      <c r="C3431" t="n">
        <v>0.2642</v>
      </c>
      <c r="D3431" t="n">
        <v>1.441</v>
      </c>
      <c r="E3431" t="n">
        <v/>
      </c>
    </row>
    <row r="3432">
      <c r="A3432" s="27" t="n">
        <v>44368</v>
      </c>
      <c r="B3432" t="n">
        <v/>
      </c>
      <c r="C3432" t="n">
        <v>0.2563</v>
      </c>
      <c r="D3432" t="n">
        <v>1.497</v>
      </c>
      <c r="E3432" t="n">
        <v/>
      </c>
    </row>
    <row r="3433">
      <c r="A3433" s="27" t="n">
        <v>44369</v>
      </c>
      <c r="B3433" t="n">
        <v/>
      </c>
      <c r="C3433" t="n">
        <v>0.2301</v>
      </c>
      <c r="D3433" t="n">
        <v>1.467</v>
      </c>
      <c r="E3433" t="n">
        <v/>
      </c>
    </row>
    <row r="3434">
      <c r="A3434" s="27" t="n">
        <v>44370</v>
      </c>
      <c r="B3434" t="n">
        <v/>
      </c>
      <c r="C3434" t="n">
        <v>0.2641</v>
      </c>
      <c r="D3434" t="n">
        <v>1.485</v>
      </c>
      <c r="E3434" t="n">
        <v/>
      </c>
    </row>
    <row r="3435">
      <c r="A3435" s="27" t="n">
        <v>44371</v>
      </c>
      <c r="B3435" t="n">
        <v/>
      </c>
      <c r="C3435" t="n">
        <v>0.27</v>
      </c>
      <c r="D3435" t="n">
        <v>1.499</v>
      </c>
      <c r="E3435" t="n">
        <v/>
      </c>
    </row>
    <row r="3436">
      <c r="A3436" s="27" t="n">
        <v>44372</v>
      </c>
      <c r="B3436" t="n">
        <v/>
      </c>
      <c r="C3436" t="n">
        <v>0.2681</v>
      </c>
      <c r="D3436" t="n">
        <v>1.524</v>
      </c>
      <c r="E3436" t="n">
        <v/>
      </c>
    </row>
    <row r="3437">
      <c r="A3437" s="27" t="n">
        <v>44373</v>
      </c>
      <c r="B3437" t="n">
        <v/>
      </c>
      <c r="C3437" t="n">
        <v/>
      </c>
      <c r="D3437" t="n">
        <v/>
      </c>
      <c r="E3437" t="n">
        <v/>
      </c>
    </row>
    <row r="3438">
      <c r="A3438" s="27" t="n">
        <v>44374</v>
      </c>
      <c r="B3438" t="n">
        <v/>
      </c>
      <c r="C3438" t="n">
        <v>0.2681</v>
      </c>
      <c r="D3438" t="n">
        <v>1.528</v>
      </c>
      <c r="E3438" t="n">
        <v/>
      </c>
    </row>
    <row r="3439">
      <c r="A3439" s="27" t="n">
        <v>44375</v>
      </c>
      <c r="B3439" t="n">
        <v/>
      </c>
      <c r="C3439" t="n">
        <v>0.2563</v>
      </c>
      <c r="D3439" t="n">
        <v>1.482</v>
      </c>
      <c r="E3439" t="n">
        <v/>
      </c>
    </row>
    <row r="3440">
      <c r="A3440" s="27" t="n">
        <v>44376</v>
      </c>
      <c r="B3440" t="n">
        <v/>
      </c>
      <c r="C3440" t="n">
        <v>0.2524</v>
      </c>
      <c r="D3440" t="n">
        <v>1.475</v>
      </c>
      <c r="E3440" t="n">
        <v/>
      </c>
    </row>
    <row r="3441">
      <c r="A3441" s="27" t="n">
        <v>44377</v>
      </c>
      <c r="B3441" t="n">
        <v/>
      </c>
      <c r="C3441" t="n">
        <v>0.2525</v>
      </c>
      <c r="D3441" t="n">
        <v>1.468</v>
      </c>
      <c r="E3441" t="n">
        <v/>
      </c>
    </row>
    <row r="3442">
      <c r="A3442" s="27" t="n">
        <v>44378</v>
      </c>
      <c r="B3442" t="n">
        <v/>
      </c>
      <c r="C3442" t="n">
        <v>0.2547</v>
      </c>
      <c r="D3442" t="n">
        <v>1.459</v>
      </c>
      <c r="E3442" t="n">
        <v/>
      </c>
    </row>
    <row r="3443">
      <c r="A3443" s="27" t="n">
        <v>44379</v>
      </c>
      <c r="B3443" t="n">
        <v/>
      </c>
      <c r="C3443" t="n">
        <v>0.2376</v>
      </c>
      <c r="D3443" t="n">
        <v>1.431</v>
      </c>
      <c r="E3443" t="n">
        <v/>
      </c>
    </row>
    <row r="3444">
      <c r="A3444" s="27" t="n">
        <v>44380</v>
      </c>
      <c r="B3444" t="n">
        <v/>
      </c>
      <c r="C3444" t="n">
        <v/>
      </c>
      <c r="D3444" t="n">
        <v/>
      </c>
      <c r="E3444" t="n">
        <v/>
      </c>
    </row>
    <row r="3445">
      <c r="A3445" s="27" t="n">
        <v>44381</v>
      </c>
      <c r="B3445" t="n">
        <v/>
      </c>
      <c r="C3445" t="n">
        <v/>
      </c>
      <c r="D3445" t="n">
        <v/>
      </c>
      <c r="E3445" t="n">
        <v/>
      </c>
    </row>
    <row r="3446">
      <c r="A3446" s="27" t="n">
        <v>44382</v>
      </c>
      <c r="B3446" t="n">
        <v/>
      </c>
      <c r="C3446" t="n">
        <v>0.2336</v>
      </c>
      <c r="D3446" t="n">
        <v>1.436</v>
      </c>
      <c r="E3446" t="n">
        <v/>
      </c>
    </row>
    <row r="3447">
      <c r="A3447" s="27" t="n">
        <v>44383</v>
      </c>
      <c r="B3447" t="n">
        <v/>
      </c>
      <c r="C3447" t="n">
        <v>0.2199</v>
      </c>
      <c r="D3447" t="n">
        <v>1.352</v>
      </c>
      <c r="E3447" t="n">
        <v/>
      </c>
    </row>
    <row r="3448">
      <c r="A3448" s="27" t="n">
        <v>44384</v>
      </c>
      <c r="B3448" t="n">
        <v/>
      </c>
      <c r="C3448" t="n">
        <v>0.2181</v>
      </c>
      <c r="D3448" t="n">
        <v>1.323</v>
      </c>
      <c r="E3448" t="n">
        <v/>
      </c>
    </row>
    <row r="3449">
      <c r="A3449" s="27" t="n">
        <v>44385</v>
      </c>
      <c r="B3449" t="n">
        <v/>
      </c>
      <c r="C3449" t="n">
        <v>0.1963</v>
      </c>
      <c r="D3449" t="n">
        <v>1.294</v>
      </c>
      <c r="E3449" t="n">
        <v/>
      </c>
    </row>
    <row r="3450">
      <c r="A3450" s="27" t="n">
        <v>44386</v>
      </c>
      <c r="B3450" t="n">
        <v/>
      </c>
      <c r="C3450" t="n">
        <v>0.2146</v>
      </c>
      <c r="D3450" t="n">
        <v>1.361</v>
      </c>
      <c r="E3450" t="n">
        <v/>
      </c>
    </row>
    <row r="3451">
      <c r="A3451" s="27" t="n">
        <v>44387</v>
      </c>
      <c r="B3451" t="n">
        <v/>
      </c>
      <c r="C3451" t="n">
        <v/>
      </c>
      <c r="D3451" t="n">
        <v/>
      </c>
      <c r="E3451" t="n">
        <v/>
      </c>
    </row>
    <row r="3452">
      <c r="A3452" s="27" t="n">
        <v>44388</v>
      </c>
      <c r="B3452" t="n">
        <v/>
      </c>
      <c r="C3452" t="n">
        <v>0.2166</v>
      </c>
      <c r="D3452" t="n">
        <v>1.363</v>
      </c>
      <c r="E3452" t="n">
        <v/>
      </c>
    </row>
    <row r="3453">
      <c r="A3453" s="27" t="n">
        <v>44389</v>
      </c>
      <c r="B3453" t="n">
        <v/>
      </c>
      <c r="C3453" t="n">
        <v>0.2267</v>
      </c>
      <c r="D3453" t="n">
        <v>1.368</v>
      </c>
      <c r="E3453" t="n">
        <v/>
      </c>
    </row>
    <row r="3454">
      <c r="A3454" s="27" t="n">
        <v>44390</v>
      </c>
      <c r="B3454" t="n">
        <v/>
      </c>
      <c r="C3454" t="n">
        <v>0.2548</v>
      </c>
      <c r="D3454" t="n">
        <v>1.418</v>
      </c>
      <c r="E3454" t="n">
        <v/>
      </c>
    </row>
    <row r="3455">
      <c r="A3455" s="27" t="n">
        <v>44391</v>
      </c>
      <c r="B3455" t="n">
        <v/>
      </c>
      <c r="C3455" t="n">
        <v>0.225</v>
      </c>
      <c r="D3455" t="n">
        <v>1.349</v>
      </c>
      <c r="E3455" t="n">
        <v/>
      </c>
    </row>
    <row r="3456">
      <c r="A3456" s="27" t="n">
        <v>44392</v>
      </c>
      <c r="B3456" t="n">
        <v/>
      </c>
      <c r="C3456" t="n">
        <v>0.2271</v>
      </c>
      <c r="D3456" t="n">
        <v>1.301</v>
      </c>
      <c r="E3456" t="n">
        <v/>
      </c>
    </row>
    <row r="3457">
      <c r="A3457" s="27" t="n">
        <v>44393</v>
      </c>
      <c r="B3457" t="n">
        <v/>
      </c>
      <c r="C3457" t="n">
        <v>0.2275</v>
      </c>
      <c r="D3457" t="n">
        <v>1.3</v>
      </c>
      <c r="E3457" t="n">
        <v/>
      </c>
    </row>
    <row r="3458">
      <c r="A3458" s="27" t="n">
        <v>44394</v>
      </c>
      <c r="B3458" t="n">
        <v/>
      </c>
      <c r="C3458" t="n">
        <v/>
      </c>
      <c r="D3458" t="n">
        <v/>
      </c>
      <c r="E3458" t="n">
        <v/>
      </c>
    </row>
    <row r="3459">
      <c r="A3459" s="27" t="n">
        <v>44395</v>
      </c>
      <c r="B3459" t="n">
        <v/>
      </c>
      <c r="C3459" t="n">
        <v>0.2195</v>
      </c>
      <c r="D3459" t="n">
        <v>1.269</v>
      </c>
      <c r="E3459" t="n">
        <v/>
      </c>
    </row>
    <row r="3460">
      <c r="A3460" s="27" t="n">
        <v>44396</v>
      </c>
      <c r="B3460" t="n">
        <v/>
      </c>
      <c r="C3460" t="n">
        <v>0.2176</v>
      </c>
      <c r="D3460" t="n">
        <v>1.199</v>
      </c>
      <c r="E3460" t="n">
        <v/>
      </c>
    </row>
    <row r="3461">
      <c r="A3461" s="27" t="n">
        <v>44397</v>
      </c>
      <c r="B3461" t="n">
        <v/>
      </c>
      <c r="C3461" t="n">
        <v>0.2016</v>
      </c>
      <c r="D3461" t="n">
        <v>1.222</v>
      </c>
      <c r="E3461" t="n">
        <v/>
      </c>
    </row>
    <row r="3462">
      <c r="A3462" s="27" t="n">
        <v>44398</v>
      </c>
      <c r="B3462" t="n">
        <v/>
      </c>
      <c r="C3462" t="n">
        <v>0.2098</v>
      </c>
      <c r="D3462" t="n">
        <v>1.292</v>
      </c>
      <c r="E3462" t="n">
        <v/>
      </c>
    </row>
    <row r="3463">
      <c r="A3463" s="27" t="n">
        <v>44399</v>
      </c>
      <c r="B3463" t="n">
        <v/>
      </c>
      <c r="C3463" t="n">
        <v>0.2018</v>
      </c>
      <c r="D3463" t="n">
        <v>1.277</v>
      </c>
      <c r="E3463" t="n">
        <v/>
      </c>
    </row>
    <row r="3464">
      <c r="A3464" s="27" t="n">
        <v>44400</v>
      </c>
      <c r="B3464" t="n">
        <v/>
      </c>
      <c r="C3464" t="n">
        <v>0.2001</v>
      </c>
      <c r="D3464" t="n">
        <v>1.281</v>
      </c>
      <c r="E3464" t="n">
        <v/>
      </c>
    </row>
    <row r="3465">
      <c r="A3465" s="27" t="n">
        <v>44401</v>
      </c>
      <c r="B3465" t="n">
        <v/>
      </c>
      <c r="C3465" t="n">
        <v/>
      </c>
      <c r="D3465" t="n">
        <v/>
      </c>
      <c r="E3465" t="n">
        <v/>
      </c>
    </row>
    <row r="3466">
      <c r="A3466" s="27" t="n">
        <v>44402</v>
      </c>
      <c r="B3466" t="n">
        <v/>
      </c>
      <c r="C3466" t="n">
        <v>0.2021</v>
      </c>
      <c r="D3466" t="n">
        <v>1.283</v>
      </c>
      <c r="E3466" t="n">
        <v/>
      </c>
    </row>
    <row r="3467">
      <c r="A3467" s="27" t="n">
        <v>44403</v>
      </c>
      <c r="B3467" t="n">
        <v/>
      </c>
      <c r="C3467" t="n">
        <v>0.1961</v>
      </c>
      <c r="D3467" t="n">
        <v>1.295</v>
      </c>
      <c r="E3467" t="n">
        <v/>
      </c>
    </row>
    <row r="3468">
      <c r="A3468" s="27" t="n">
        <v>44404</v>
      </c>
      <c r="B3468" t="n">
        <v/>
      </c>
      <c r="C3468" t="n">
        <v>0.2075</v>
      </c>
      <c r="D3468" t="n">
        <v>1.239</v>
      </c>
      <c r="E3468" t="n">
        <v/>
      </c>
    </row>
    <row r="3469">
      <c r="A3469" s="27" t="n">
        <v>44405</v>
      </c>
      <c r="B3469" t="n">
        <v/>
      </c>
      <c r="C3469" t="n">
        <v>0.2035</v>
      </c>
      <c r="D3469" t="n">
        <v>1.238</v>
      </c>
      <c r="E3469" t="n">
        <v/>
      </c>
    </row>
    <row r="3470">
      <c r="A3470" s="27" t="n">
        <v>44406</v>
      </c>
      <c r="B3470" t="n">
        <v/>
      </c>
      <c r="C3470" t="n">
        <v>0.2035</v>
      </c>
      <c r="D3470" t="n">
        <v>1.266</v>
      </c>
      <c r="E3470" t="n">
        <v/>
      </c>
    </row>
    <row r="3471">
      <c r="A3471" s="27" t="n">
        <v>44407</v>
      </c>
      <c r="B3471" t="n">
        <v/>
      </c>
      <c r="C3471" t="n">
        <v>0.1878</v>
      </c>
      <c r="D3471" t="n">
        <v>1.226</v>
      </c>
      <c r="E3471" t="n">
        <v/>
      </c>
    </row>
    <row r="3472">
      <c r="A3472" s="27" t="n">
        <v>44408</v>
      </c>
      <c r="B3472" t="n">
        <v/>
      </c>
      <c r="C3472" t="n">
        <v/>
      </c>
      <c r="D3472" t="n">
        <v/>
      </c>
      <c r="E3472" t="n">
        <v/>
      </c>
    </row>
    <row r="3473">
      <c r="A3473" s="27" t="n">
        <v>44410</v>
      </c>
      <c r="B3473" t="n">
        <v/>
      </c>
      <c r="C3473" t="n">
        <v>0.1742</v>
      </c>
      <c r="D3473" t="n">
        <v>1.179</v>
      </c>
      <c r="E3473" t="n">
        <v/>
      </c>
    </row>
    <row r="3474">
      <c r="A3474" s="27" t="n">
        <v>44411</v>
      </c>
      <c r="B3474" t="n">
        <v/>
      </c>
      <c r="C3474" t="n">
        <v>0.1722</v>
      </c>
      <c r="D3474" t="n">
        <v>1.174</v>
      </c>
      <c r="E3474" t="n">
        <v/>
      </c>
    </row>
    <row r="3475">
      <c r="A3475" s="27" t="n">
        <v>44412</v>
      </c>
      <c r="B3475" t="n">
        <v/>
      </c>
      <c r="C3475" t="n">
        <v>0.1822</v>
      </c>
      <c r="D3475" t="n">
        <v>1.18</v>
      </c>
      <c r="E3475" t="n">
        <v/>
      </c>
    </row>
    <row r="3476">
      <c r="A3476" s="27" t="n">
        <v>44413</v>
      </c>
      <c r="B3476" t="n">
        <v/>
      </c>
      <c r="C3476" t="n">
        <v>0.202</v>
      </c>
      <c r="D3476" t="n">
        <v>1.225</v>
      </c>
      <c r="E3476" t="n">
        <v/>
      </c>
    </row>
    <row r="3477">
      <c r="A3477" s="27" t="n">
        <v>44414</v>
      </c>
      <c r="B3477" t="n">
        <v/>
      </c>
      <c r="C3477" t="n">
        <v>0.2122</v>
      </c>
      <c r="D3477" t="n">
        <v>1.305</v>
      </c>
      <c r="E3477" t="n">
        <v/>
      </c>
    </row>
    <row r="3478">
      <c r="A3478" s="27" t="n">
        <v>44415</v>
      </c>
      <c r="B3478" t="n">
        <v/>
      </c>
      <c r="C3478" t="n">
        <v/>
      </c>
      <c r="D3478" t="n">
        <v/>
      </c>
      <c r="E3478" t="n">
        <v/>
      </c>
    </row>
    <row r="3479">
      <c r="A3479" s="27" t="n">
        <v>44417</v>
      </c>
      <c r="B3479" t="n">
        <v/>
      </c>
      <c r="C3479" t="n">
        <v>0.2223</v>
      </c>
      <c r="D3479" t="n">
        <v>1.325</v>
      </c>
      <c r="E3479" t="n">
        <v/>
      </c>
    </row>
    <row r="3480">
      <c r="A3480" s="27" t="n">
        <v>44418</v>
      </c>
      <c r="B3480" t="n">
        <v/>
      </c>
      <c r="C3480" t="n">
        <v>0.2384</v>
      </c>
      <c r="D3480" t="n">
        <v>1.354</v>
      </c>
      <c r="E3480" t="n">
        <v/>
      </c>
    </row>
    <row r="3481">
      <c r="A3481" s="27" t="n">
        <v>44419</v>
      </c>
      <c r="B3481" t="n">
        <v/>
      </c>
      <c r="C3481" t="n">
        <v>0.2206</v>
      </c>
      <c r="D3481" t="n">
        <v>1.335</v>
      </c>
      <c r="E3481" t="n">
        <v/>
      </c>
    </row>
    <row r="3482">
      <c r="A3482" s="27" t="n">
        <v>44420</v>
      </c>
      <c r="B3482" t="n">
        <v/>
      </c>
      <c r="C3482" t="n">
        <v>0.2247</v>
      </c>
      <c r="D3482" t="n">
        <v>1.361</v>
      </c>
      <c r="E3482" t="n">
        <v/>
      </c>
    </row>
    <row r="3483">
      <c r="A3483" s="27" t="n">
        <v>44421</v>
      </c>
      <c r="B3483" t="n">
        <v/>
      </c>
      <c r="C3483" t="n">
        <v>0.2091</v>
      </c>
      <c r="D3483" t="n">
        <v>1.283</v>
      </c>
      <c r="E3483" t="n">
        <v/>
      </c>
    </row>
    <row r="3484">
      <c r="A3484" s="27" t="n">
        <v>44422</v>
      </c>
      <c r="B3484" t="n">
        <v/>
      </c>
      <c r="C3484" t="n">
        <v/>
      </c>
      <c r="D3484" t="n">
        <v/>
      </c>
      <c r="E3484" t="n">
        <v/>
      </c>
    </row>
    <row r="3485">
      <c r="A3485" s="27" t="n">
        <v>44423</v>
      </c>
      <c r="B3485" t="n">
        <v/>
      </c>
      <c r="C3485" t="n">
        <v>0.2111</v>
      </c>
      <c r="D3485" t="n">
        <v>1.283</v>
      </c>
      <c r="E3485" t="n">
        <v/>
      </c>
    </row>
    <row r="3486">
      <c r="A3486" s="27" t="n">
        <v>44424</v>
      </c>
      <c r="B3486" t="n">
        <v/>
      </c>
      <c r="C3486" t="n">
        <v>0.2132</v>
      </c>
      <c r="D3486" t="n">
        <v>1.268</v>
      </c>
      <c r="E3486" t="n">
        <v/>
      </c>
    </row>
    <row r="3487">
      <c r="A3487" s="27" t="n">
        <v>44425</v>
      </c>
      <c r="B3487" t="n">
        <v/>
      </c>
      <c r="C3487" t="n">
        <v>0.2173</v>
      </c>
      <c r="D3487" t="n">
        <v>1.267</v>
      </c>
      <c r="E3487" t="n">
        <v/>
      </c>
    </row>
    <row r="3488">
      <c r="A3488" s="27" t="n">
        <v>44426</v>
      </c>
      <c r="B3488" t="n">
        <v/>
      </c>
      <c r="C3488" t="n">
        <v>0.2175</v>
      </c>
      <c r="D3488" t="n">
        <v>1.26</v>
      </c>
      <c r="E3488" t="n">
        <v/>
      </c>
    </row>
    <row r="3489">
      <c r="A3489" s="27" t="n">
        <v>44427</v>
      </c>
      <c r="B3489" t="n">
        <v/>
      </c>
      <c r="C3489" t="n">
        <v>0.2216</v>
      </c>
      <c r="D3489" t="n">
        <v>1.243</v>
      </c>
      <c r="E3489" t="n">
        <v/>
      </c>
    </row>
    <row r="3490">
      <c r="A3490" s="27" t="n">
        <v>44428</v>
      </c>
      <c r="B3490" t="n">
        <v/>
      </c>
      <c r="C3490" t="n">
        <v>0.2261</v>
      </c>
      <c r="D3490" t="n">
        <v>1.255</v>
      </c>
      <c r="E3490" t="n">
        <v/>
      </c>
    </row>
    <row r="3491">
      <c r="A3491" s="27" t="n">
        <v>44429</v>
      </c>
      <c r="B3491" t="n">
        <v/>
      </c>
      <c r="C3491" t="n">
        <v/>
      </c>
      <c r="D3491" t="n">
        <v/>
      </c>
      <c r="E3491" t="n">
        <v/>
      </c>
    </row>
    <row r="3492">
      <c r="A3492" s="27" t="n">
        <v>44430</v>
      </c>
      <c r="B3492" t="n">
        <v/>
      </c>
      <c r="C3492" t="n">
        <v>0.2261</v>
      </c>
      <c r="D3492" t="n">
        <v>1.26</v>
      </c>
      <c r="E3492" t="n">
        <v/>
      </c>
    </row>
    <row r="3493">
      <c r="A3493" s="27" t="n">
        <v>44431</v>
      </c>
      <c r="B3493" t="n">
        <v/>
      </c>
      <c r="C3493" t="n">
        <v>0.2262</v>
      </c>
      <c r="D3493" t="n">
        <v>1.253</v>
      </c>
      <c r="E3493" t="n">
        <v/>
      </c>
    </row>
    <row r="3494">
      <c r="A3494" s="27" t="n">
        <v>44432</v>
      </c>
      <c r="B3494" t="n">
        <v/>
      </c>
      <c r="C3494" t="n">
        <v>0.2243</v>
      </c>
      <c r="D3494" t="n">
        <v>1.297</v>
      </c>
      <c r="E3494" t="n">
        <v/>
      </c>
    </row>
    <row r="3495">
      <c r="A3495" s="27" t="n">
        <v>44433</v>
      </c>
      <c r="B3495" t="n">
        <v/>
      </c>
      <c r="C3495" t="n">
        <v>0.2406</v>
      </c>
      <c r="D3495" t="n">
        <v>1.349</v>
      </c>
      <c r="E3495" t="n">
        <v/>
      </c>
    </row>
    <row r="3496">
      <c r="A3496" s="27" t="n">
        <v>44434</v>
      </c>
      <c r="B3496" t="n">
        <v/>
      </c>
      <c r="C3496" t="n">
        <v>0.2426</v>
      </c>
      <c r="D3496" t="n">
        <v>1.354</v>
      </c>
      <c r="E3496" t="n">
        <v/>
      </c>
    </row>
    <row r="3497">
      <c r="A3497" s="27" t="n">
        <v>44435</v>
      </c>
      <c r="B3497" t="n">
        <v/>
      </c>
      <c r="C3497" t="n">
        <v>0.219</v>
      </c>
      <c r="D3497" t="n">
        <v>1.31</v>
      </c>
      <c r="E3497" t="n">
        <v/>
      </c>
    </row>
    <row r="3498">
      <c r="A3498" s="27" t="n">
        <v>44436</v>
      </c>
      <c r="B3498" t="n">
        <v/>
      </c>
      <c r="C3498" t="n">
        <v/>
      </c>
      <c r="D3498" t="n">
        <v/>
      </c>
      <c r="E3498" t="n">
        <v/>
      </c>
    </row>
    <row r="3499">
      <c r="A3499" s="27" t="n">
        <v>44437</v>
      </c>
      <c r="B3499" t="n">
        <v/>
      </c>
      <c r="C3499" t="n">
        <v>0.219</v>
      </c>
      <c r="D3499" t="n">
        <v>1.309</v>
      </c>
      <c r="E3499" t="n">
        <v/>
      </c>
    </row>
    <row r="3500">
      <c r="A3500" s="27" t="n">
        <v>44438</v>
      </c>
      <c r="B3500" t="n">
        <v/>
      </c>
      <c r="C3500" t="n">
        <v>0.2033</v>
      </c>
      <c r="D3500" t="n">
        <v>1.28</v>
      </c>
      <c r="E3500" t="n">
        <v/>
      </c>
    </row>
    <row r="3501">
      <c r="A3501" s="27" t="n">
        <v>44439</v>
      </c>
      <c r="B3501" t="n">
        <v/>
      </c>
      <c r="C3501" t="n">
        <v>0.2113</v>
      </c>
      <c r="D3501" t="n">
        <v>1.307</v>
      </c>
      <c r="E3501" t="n">
        <v/>
      </c>
    </row>
    <row r="3502">
      <c r="A3502" s="27" t="n">
        <v>44440</v>
      </c>
      <c r="B3502" t="n">
        <v/>
      </c>
      <c r="C3502" t="n">
        <v>0.2114</v>
      </c>
      <c r="D3502" t="n">
        <v>1.299</v>
      </c>
      <c r="E3502" t="n">
        <v/>
      </c>
    </row>
    <row r="3503">
      <c r="A3503" s="27" t="n">
        <v>44441</v>
      </c>
      <c r="B3503" t="n">
        <v/>
      </c>
      <c r="C3503" t="n">
        <v>0.2096</v>
      </c>
      <c r="D3503" t="n">
        <v>1.285</v>
      </c>
      <c r="E3503" t="n">
        <v/>
      </c>
    </row>
    <row r="3504">
      <c r="A3504" s="27" t="n">
        <v>44442</v>
      </c>
      <c r="B3504" t="n">
        <v/>
      </c>
      <c r="C3504" t="n">
        <v>0.2081</v>
      </c>
      <c r="D3504" t="n">
        <v>1.326</v>
      </c>
      <c r="E3504" t="n">
        <v/>
      </c>
    </row>
    <row r="3505">
      <c r="A3505" s="27" t="n">
        <v>44443</v>
      </c>
      <c r="B3505" t="n">
        <v/>
      </c>
      <c r="C3505" t="n">
        <v/>
      </c>
      <c r="D3505" t="n">
        <v/>
      </c>
      <c r="E3505" t="n">
        <v/>
      </c>
    </row>
    <row r="3506">
      <c r="A3506" s="27" t="n">
        <v>44444</v>
      </c>
      <c r="B3506" t="n">
        <v/>
      </c>
      <c r="C3506" t="n">
        <v/>
      </c>
      <c r="D3506" t="n">
        <v/>
      </c>
      <c r="E3506" t="n">
        <v/>
      </c>
    </row>
    <row r="3507">
      <c r="A3507" s="27" t="n">
        <v>44445</v>
      </c>
      <c r="B3507" t="n">
        <v/>
      </c>
      <c r="C3507" t="n">
        <v>0.2041</v>
      </c>
      <c r="D3507" t="n">
        <v>1.336</v>
      </c>
      <c r="E3507" t="n">
        <v/>
      </c>
    </row>
    <row r="3508">
      <c r="A3508" s="27" t="n">
        <v>44446</v>
      </c>
      <c r="B3508" t="n">
        <v/>
      </c>
      <c r="C3508" t="n">
        <v>0.222</v>
      </c>
      <c r="D3508" t="n">
        <v>1.377</v>
      </c>
      <c r="E3508" t="n">
        <v/>
      </c>
    </row>
    <row r="3509">
      <c r="A3509" s="27" t="n">
        <v>44447</v>
      </c>
      <c r="B3509" t="n">
        <v/>
      </c>
      <c r="C3509" t="n">
        <v>0.2182</v>
      </c>
      <c r="D3509" t="n">
        <v>1.336</v>
      </c>
      <c r="E3509" t="n">
        <v/>
      </c>
    </row>
    <row r="3510">
      <c r="A3510" s="27" t="n">
        <v>44448</v>
      </c>
      <c r="B3510" t="n">
        <v/>
      </c>
      <c r="C3510" t="n">
        <v>0.2144</v>
      </c>
      <c r="D3510" t="n">
        <v>1.297</v>
      </c>
      <c r="E3510" t="n">
        <v/>
      </c>
    </row>
    <row r="3511">
      <c r="A3511" s="27" t="n">
        <v>44449</v>
      </c>
      <c r="B3511" t="n">
        <v/>
      </c>
      <c r="C3511" t="n">
        <v>0.2147</v>
      </c>
      <c r="D3511" t="n">
        <v>1.343</v>
      </c>
      <c r="E3511" t="n">
        <v/>
      </c>
    </row>
    <row r="3512">
      <c r="A3512" s="27" t="n">
        <v>44450</v>
      </c>
      <c r="B3512" t="n">
        <v/>
      </c>
      <c r="C3512" t="n">
        <v/>
      </c>
      <c r="D3512" t="n">
        <v/>
      </c>
      <c r="E3512" t="n">
        <v/>
      </c>
    </row>
    <row r="3513">
      <c r="A3513" s="27" t="n">
        <v>44451</v>
      </c>
      <c r="B3513" t="n">
        <v/>
      </c>
      <c r="C3513" t="n">
        <v>0.2167</v>
      </c>
      <c r="D3513" t="n">
        <v>1.341</v>
      </c>
      <c r="E3513" t="n">
        <v/>
      </c>
    </row>
    <row r="3514">
      <c r="A3514" s="27" t="n">
        <v>44452</v>
      </c>
      <c r="B3514" t="n">
        <v/>
      </c>
      <c r="C3514" t="n">
        <v>0.2129</v>
      </c>
      <c r="D3514" t="n">
        <v>1.326</v>
      </c>
      <c r="E3514" t="n">
        <v/>
      </c>
    </row>
    <row r="3515">
      <c r="A3515" s="27" t="n">
        <v>44453</v>
      </c>
      <c r="B3515" t="n">
        <v/>
      </c>
      <c r="C3515" t="n">
        <v>0.209</v>
      </c>
      <c r="D3515" t="n">
        <v>1.284</v>
      </c>
      <c r="E3515" t="n">
        <v/>
      </c>
    </row>
    <row r="3516">
      <c r="A3516" s="27" t="n">
        <v>44454</v>
      </c>
      <c r="B3516" t="n">
        <v/>
      </c>
      <c r="C3516" t="n">
        <v>0.2131</v>
      </c>
      <c r="D3516" t="n">
        <v>1.304</v>
      </c>
      <c r="E3516" t="n">
        <v/>
      </c>
    </row>
    <row r="3517">
      <c r="A3517" s="27" t="n">
        <v>44455</v>
      </c>
      <c r="B3517" t="n">
        <v/>
      </c>
      <c r="C3517" t="n">
        <v>0.2213</v>
      </c>
      <c r="D3517" t="n">
        <v>1.336</v>
      </c>
      <c r="E3517" t="n">
        <v/>
      </c>
    </row>
    <row r="3518">
      <c r="A3518" s="27" t="n">
        <v>44456</v>
      </c>
      <c r="B3518" t="n">
        <v/>
      </c>
      <c r="C3518" t="n">
        <v>0.2257</v>
      </c>
      <c r="D3518" t="n">
        <v>1.363</v>
      </c>
      <c r="E3518" t="n">
        <v/>
      </c>
    </row>
    <row r="3519">
      <c r="A3519" s="27" t="n">
        <v>44457</v>
      </c>
      <c r="B3519" t="n">
        <v/>
      </c>
      <c r="C3519" t="n">
        <v/>
      </c>
      <c r="D3519" t="n">
        <v/>
      </c>
      <c r="E3519" t="n">
        <v/>
      </c>
    </row>
    <row r="3520">
      <c r="A3520" s="27" t="n">
        <v>44458</v>
      </c>
      <c r="B3520" t="n">
        <v/>
      </c>
      <c r="C3520" t="n">
        <v>0.2257</v>
      </c>
      <c r="D3520" t="n">
        <v>1.363</v>
      </c>
      <c r="E3520" t="n">
        <v/>
      </c>
    </row>
    <row r="3521">
      <c r="A3521" s="27" t="n">
        <v>44459</v>
      </c>
      <c r="B3521" t="n">
        <v/>
      </c>
      <c r="C3521" t="n">
        <v>0.2158</v>
      </c>
      <c r="D3521" t="n">
        <v>1.312</v>
      </c>
      <c r="E3521" t="n">
        <v/>
      </c>
    </row>
    <row r="3522">
      <c r="A3522" s="27" t="n">
        <v>44460</v>
      </c>
      <c r="B3522" t="n">
        <v/>
      </c>
      <c r="C3522" t="n">
        <v>0.2179</v>
      </c>
      <c r="D3522" t="n">
        <v>1.328</v>
      </c>
      <c r="E3522" t="n">
        <v/>
      </c>
    </row>
    <row r="3523">
      <c r="A3523" s="27" t="n">
        <v>44461</v>
      </c>
      <c r="B3523" t="n">
        <v/>
      </c>
      <c r="C3523" t="n">
        <v>0.2403</v>
      </c>
      <c r="D3523" t="n">
        <v>1.304</v>
      </c>
      <c r="E3523" t="n">
        <v/>
      </c>
    </row>
    <row r="3524">
      <c r="A3524" s="27" t="n">
        <v>44462</v>
      </c>
      <c r="B3524" t="n">
        <v/>
      </c>
      <c r="C3524" t="n">
        <v>0.2608</v>
      </c>
      <c r="D3524" t="n">
        <v>1.435</v>
      </c>
      <c r="E3524" t="n">
        <v/>
      </c>
    </row>
    <row r="3525">
      <c r="A3525" s="27" t="n">
        <v>44463</v>
      </c>
      <c r="B3525" t="n">
        <v/>
      </c>
      <c r="C3525" t="n">
        <v>0.2715</v>
      </c>
      <c r="D3525" t="n">
        <v>1.453</v>
      </c>
      <c r="E3525" t="n">
        <v/>
      </c>
    </row>
    <row r="3526">
      <c r="A3526" s="27" t="n">
        <v>44464</v>
      </c>
      <c r="B3526" t="n">
        <v/>
      </c>
      <c r="C3526" t="n">
        <v/>
      </c>
      <c r="D3526" t="n">
        <v/>
      </c>
      <c r="E3526" t="n">
        <v/>
      </c>
    </row>
    <row r="3527">
      <c r="A3527" s="27" t="n">
        <v>44465</v>
      </c>
      <c r="B3527" t="n">
        <v/>
      </c>
      <c r="C3527" t="n">
        <v>0.2756</v>
      </c>
      <c r="D3527" t="n">
        <v>1.465</v>
      </c>
      <c r="E3527" t="n">
        <v/>
      </c>
    </row>
    <row r="3528">
      <c r="A3528" s="27" t="n">
        <v>44466</v>
      </c>
      <c r="B3528" t="n">
        <v/>
      </c>
      <c r="C3528" t="n">
        <v>0.2799</v>
      </c>
      <c r="D3528" t="n">
        <v>1.491</v>
      </c>
      <c r="E3528" t="n">
        <v/>
      </c>
    </row>
    <row r="3529">
      <c r="A3529" s="27" t="n">
        <v>44467</v>
      </c>
      <c r="B3529" t="n">
        <v/>
      </c>
      <c r="C3529" t="n">
        <v>0.3049</v>
      </c>
      <c r="D3529" t="n">
        <v>1.546</v>
      </c>
      <c r="E3529" t="n">
        <v/>
      </c>
    </row>
    <row r="3530">
      <c r="A3530" s="27" t="n">
        <v>44468</v>
      </c>
      <c r="B3530" t="n">
        <v/>
      </c>
      <c r="C3530" t="n">
        <v>0.2931</v>
      </c>
      <c r="D3530" t="n">
        <v>1.524</v>
      </c>
      <c r="E3530" t="n">
        <v/>
      </c>
    </row>
    <row r="3531">
      <c r="A3531" s="27" t="n">
        <v>44469</v>
      </c>
      <c r="B3531" t="n">
        <v/>
      </c>
      <c r="C3531" t="n">
        <v>0.2814</v>
      </c>
      <c r="D3531" t="n">
        <v>1.492</v>
      </c>
      <c r="E3531" t="n">
        <v/>
      </c>
    </row>
    <row r="3532">
      <c r="A3532" s="27" t="n">
        <v>44470</v>
      </c>
      <c r="B3532" t="n">
        <v/>
      </c>
      <c r="C3532" t="n">
        <v>0.2657</v>
      </c>
      <c r="D3532" t="n">
        <v>1.465</v>
      </c>
      <c r="E3532" t="n">
        <v/>
      </c>
    </row>
    <row r="3533">
      <c r="A3533" s="27" t="n">
        <v>44471</v>
      </c>
      <c r="B3533" t="n">
        <v/>
      </c>
      <c r="C3533" t="n">
        <v/>
      </c>
      <c r="D3533" t="n">
        <v/>
      </c>
      <c r="E3533" t="n">
        <v/>
      </c>
    </row>
    <row r="3534">
      <c r="A3534" s="27" t="n">
        <v>44472</v>
      </c>
      <c r="B3534" t="n">
        <v/>
      </c>
      <c r="C3534" t="n">
        <v>0.2618</v>
      </c>
      <c r="D3534" t="n">
        <v>1.46</v>
      </c>
      <c r="E3534" t="n">
        <v/>
      </c>
    </row>
    <row r="3535">
      <c r="A3535" s="27" t="n">
        <v>44473</v>
      </c>
      <c r="B3535" t="n">
        <v/>
      </c>
      <c r="C3535" t="n">
        <v>0.2796</v>
      </c>
      <c r="D3535" t="n">
        <v>1.481</v>
      </c>
      <c r="E3535" t="n">
        <v/>
      </c>
    </row>
    <row r="3536">
      <c r="A3536" s="27" t="n">
        <v>44474</v>
      </c>
      <c r="B3536" t="n">
        <v/>
      </c>
      <c r="C3536" t="n">
        <v>0.2856</v>
      </c>
      <c r="D3536" t="n">
        <v>1.528</v>
      </c>
      <c r="E3536" t="n">
        <v/>
      </c>
    </row>
    <row r="3537">
      <c r="A3537" s="27" t="n">
        <v>44475</v>
      </c>
      <c r="B3537" t="n">
        <v/>
      </c>
      <c r="C3537" t="n">
        <v>0.2975</v>
      </c>
      <c r="D3537" t="n">
        <v>1.528</v>
      </c>
      <c r="E3537" t="n">
        <v/>
      </c>
    </row>
    <row r="3538">
      <c r="A3538" s="27" t="n">
        <v>44476</v>
      </c>
      <c r="B3538" t="n">
        <v/>
      </c>
      <c r="C3538" t="n">
        <v>0.3095</v>
      </c>
      <c r="D3538" t="n">
        <v>1.576</v>
      </c>
      <c r="E3538" t="n">
        <v/>
      </c>
    </row>
    <row r="3539">
      <c r="A3539" s="27" t="n">
        <v>44477</v>
      </c>
      <c r="B3539" t="n">
        <v/>
      </c>
      <c r="C3539" t="n">
        <v>0.3198</v>
      </c>
      <c r="D3539" t="n">
        <v>1.612</v>
      </c>
      <c r="E3539" t="n">
        <v/>
      </c>
    </row>
    <row r="3540">
      <c r="A3540" s="27" t="n">
        <v>44478</v>
      </c>
      <c r="B3540" t="n">
        <v/>
      </c>
      <c r="C3540" t="n">
        <v/>
      </c>
      <c r="D3540" t="n">
        <v/>
      </c>
      <c r="E3540" t="n">
        <v/>
      </c>
    </row>
    <row r="3541">
      <c r="A3541" s="27" t="n">
        <v>44479</v>
      </c>
      <c r="B3541" t="n">
        <v/>
      </c>
      <c r="C3541" t="n">
        <v/>
      </c>
      <c r="D3541" t="n">
        <v/>
      </c>
      <c r="E3541" t="n">
        <v/>
      </c>
    </row>
    <row r="3542">
      <c r="A3542" s="27" t="n">
        <v>44480</v>
      </c>
      <c r="B3542" t="n">
        <v/>
      </c>
      <c r="C3542" t="n">
        <v>0.3537</v>
      </c>
      <c r="D3542" t="n">
        <v>1.628</v>
      </c>
      <c r="E3542" t="n">
        <v/>
      </c>
    </row>
    <row r="3543">
      <c r="A3543" s="27" t="n">
        <v>44481</v>
      </c>
      <c r="B3543" t="n">
        <v/>
      </c>
      <c r="C3543" t="n">
        <v>0.3419</v>
      </c>
      <c r="D3543" t="n">
        <v>1.572</v>
      </c>
      <c r="E3543" t="n">
        <v/>
      </c>
    </row>
    <row r="3544">
      <c r="A3544" s="27" t="n">
        <v>44482</v>
      </c>
      <c r="B3544" t="n">
        <v/>
      </c>
      <c r="C3544" t="n">
        <v>0.36</v>
      </c>
      <c r="D3544" t="n">
        <v>1.542</v>
      </c>
      <c r="E3544" t="n">
        <v/>
      </c>
    </row>
    <row r="3545">
      <c r="A3545" s="27" t="n">
        <v>44483</v>
      </c>
      <c r="B3545" t="n">
        <v/>
      </c>
      <c r="C3545" t="n">
        <v>0.3642</v>
      </c>
      <c r="D3545" t="n">
        <v>1.516</v>
      </c>
      <c r="E3545" t="n">
        <v/>
      </c>
    </row>
    <row r="3546">
      <c r="A3546" s="27" t="n">
        <v>44484</v>
      </c>
      <c r="B3546" t="n">
        <v/>
      </c>
      <c r="C3546" t="n">
        <v>0.3949</v>
      </c>
      <c r="D3546" t="n">
        <v>1.574</v>
      </c>
      <c r="E3546" t="n">
        <v/>
      </c>
    </row>
    <row r="3547">
      <c r="A3547" s="27" t="n">
        <v>44485</v>
      </c>
      <c r="B3547" t="n">
        <v/>
      </c>
      <c r="C3547" t="n">
        <v/>
      </c>
      <c r="D3547" t="n">
        <v/>
      </c>
      <c r="E3547" t="n">
        <v/>
      </c>
    </row>
    <row r="3548">
      <c r="A3548" s="27" t="n">
        <v>44486</v>
      </c>
      <c r="B3548" t="n">
        <v/>
      </c>
      <c r="C3548" t="n">
        <v>0.411</v>
      </c>
      <c r="D3548" t="n">
        <v>1.589</v>
      </c>
      <c r="E3548" t="n">
        <v/>
      </c>
    </row>
    <row r="3549">
      <c r="A3549" s="27" t="n">
        <v>44487</v>
      </c>
      <c r="B3549" t="n">
        <v/>
      </c>
      <c r="C3549" t="n">
        <v>0.4213</v>
      </c>
      <c r="D3549" t="n">
        <v>1.591</v>
      </c>
      <c r="E3549" t="n">
        <v/>
      </c>
    </row>
    <row r="3550">
      <c r="A3550" s="27" t="n">
        <v>44488</v>
      </c>
      <c r="B3550" t="n">
        <v/>
      </c>
      <c r="C3550" t="n">
        <v>0.3994</v>
      </c>
      <c r="D3550" t="n">
        <v>1.641</v>
      </c>
      <c r="E3550" t="n">
        <v/>
      </c>
    </row>
    <row r="3551">
      <c r="A3551" s="27" t="n">
        <v>44489</v>
      </c>
      <c r="B3551" t="n">
        <v/>
      </c>
      <c r="C3551" t="n">
        <v>0.3874</v>
      </c>
      <c r="D3551" t="n">
        <v>1.66</v>
      </c>
      <c r="E3551" t="n">
        <v/>
      </c>
    </row>
    <row r="3552">
      <c r="A3552" s="27" t="n">
        <v>44490</v>
      </c>
      <c r="B3552" t="n">
        <v/>
      </c>
      <c r="C3552" t="n">
        <v>0.4525</v>
      </c>
      <c r="D3552" t="n">
        <v>1.696</v>
      </c>
      <c r="E3552" t="n">
        <v/>
      </c>
    </row>
    <row r="3553">
      <c r="A3553" s="27" t="n">
        <v>44491</v>
      </c>
      <c r="B3553" t="n">
        <v/>
      </c>
      <c r="C3553" t="n">
        <v>0.4595</v>
      </c>
      <c r="D3553" t="n">
        <v>1.638</v>
      </c>
      <c r="E3553" t="n">
        <v/>
      </c>
    </row>
    <row r="3554">
      <c r="A3554" s="27" t="n">
        <v>44492</v>
      </c>
      <c r="B3554" t="n">
        <v/>
      </c>
      <c r="C3554" t="n">
        <v/>
      </c>
      <c r="D3554" t="n">
        <v/>
      </c>
      <c r="E3554" t="n">
        <v/>
      </c>
    </row>
    <row r="3555">
      <c r="A3555" s="27" t="n">
        <v>44493</v>
      </c>
      <c r="B3555" t="n">
        <v/>
      </c>
      <c r="C3555" t="n">
        <v>0.4595</v>
      </c>
      <c r="D3555" t="n">
        <v>1.648</v>
      </c>
      <c r="E3555" t="n">
        <v/>
      </c>
    </row>
    <row r="3556">
      <c r="A3556" s="27" t="n">
        <v>44494</v>
      </c>
      <c r="B3556" t="n">
        <v/>
      </c>
      <c r="C3556" t="n">
        <v>0.4353</v>
      </c>
      <c r="D3556" t="n">
        <v>1.633</v>
      </c>
      <c r="E3556" t="n">
        <v/>
      </c>
    </row>
    <row r="3557">
      <c r="A3557" s="27" t="n">
        <v>44495</v>
      </c>
      <c r="B3557" t="n">
        <v/>
      </c>
      <c r="C3557" t="n">
        <v>0.4478</v>
      </c>
      <c r="D3557" t="n">
        <v>1.61</v>
      </c>
      <c r="E3557" t="n">
        <v/>
      </c>
    </row>
    <row r="3558">
      <c r="A3558" s="27" t="n">
        <v>44496</v>
      </c>
      <c r="B3558" t="n">
        <v/>
      </c>
      <c r="C3558" t="n">
        <v>0.5029</v>
      </c>
      <c r="D3558" t="n">
        <v>1.55</v>
      </c>
      <c r="E3558" t="n">
        <v/>
      </c>
    </row>
    <row r="3559">
      <c r="A3559" s="27" t="n">
        <v>44497</v>
      </c>
      <c r="B3559" t="n">
        <v/>
      </c>
      <c r="C3559" t="n">
        <v>0.4891</v>
      </c>
      <c r="D3559" t="n">
        <v>1.578</v>
      </c>
      <c r="E3559" t="n">
        <v/>
      </c>
    </row>
    <row r="3560">
      <c r="A3560" s="27" t="n">
        <v>44498</v>
      </c>
      <c r="B3560" t="n">
        <v/>
      </c>
      <c r="C3560" t="n">
        <v>0.501</v>
      </c>
      <c r="D3560" t="n">
        <v>1.561</v>
      </c>
      <c r="E3560" t="n">
        <v/>
      </c>
    </row>
    <row r="3561">
      <c r="A3561" s="27" t="n">
        <v>44499</v>
      </c>
      <c r="B3561" t="n">
        <v/>
      </c>
      <c r="C3561" t="n">
        <v/>
      </c>
      <c r="D3561" t="n">
        <v/>
      </c>
      <c r="E3561" t="n">
        <v/>
      </c>
    </row>
    <row r="3562">
      <c r="A3562" s="27" t="n">
        <v>44500</v>
      </c>
      <c r="B3562" t="n">
        <v/>
      </c>
      <c r="C3562" t="n">
        <v>0.5266</v>
      </c>
      <c r="D3562" t="n">
        <v>1.577</v>
      </c>
      <c r="E3562" t="n">
        <v/>
      </c>
    </row>
    <row r="3563">
      <c r="A3563" s="27" t="n">
        <v>44501</v>
      </c>
      <c r="B3563" t="n">
        <v/>
      </c>
      <c r="C3563" t="n">
        <v>0.5011</v>
      </c>
      <c r="D3563" t="n">
        <v>1.561</v>
      </c>
      <c r="E3563" t="n">
        <v/>
      </c>
    </row>
    <row r="3564">
      <c r="A3564" s="27" t="n">
        <v>44502</v>
      </c>
      <c r="B3564" t="n">
        <v/>
      </c>
      <c r="C3564" t="n">
        <v>0.448</v>
      </c>
      <c r="D3564" t="n">
        <v>1.547</v>
      </c>
      <c r="E3564" t="n">
        <v/>
      </c>
    </row>
    <row r="3565">
      <c r="A3565" s="27" t="n">
        <v>44503</v>
      </c>
      <c r="B3565" t="n">
        <v/>
      </c>
      <c r="C3565" t="n">
        <v>0.4757</v>
      </c>
      <c r="D3565" t="n">
        <v>1.603</v>
      </c>
      <c r="E3565" t="n">
        <v/>
      </c>
    </row>
    <row r="3566">
      <c r="A3566" s="27" t="n">
        <v>44504</v>
      </c>
      <c r="B3566" t="n">
        <v/>
      </c>
      <c r="C3566" t="n">
        <v>0.4264</v>
      </c>
      <c r="D3566" t="n">
        <v>1.53</v>
      </c>
      <c r="E3566" t="n">
        <v/>
      </c>
    </row>
    <row r="3567">
      <c r="A3567" s="27" t="n">
        <v>44505</v>
      </c>
      <c r="B3567" t="n">
        <v/>
      </c>
      <c r="C3567" t="n">
        <v>0.4048</v>
      </c>
      <c r="D3567" t="n">
        <v>1.455</v>
      </c>
      <c r="E3567" t="n">
        <v/>
      </c>
    </row>
    <row r="3568">
      <c r="A3568" s="27" t="n">
        <v>44506</v>
      </c>
      <c r="B3568" t="n">
        <v/>
      </c>
      <c r="C3568" t="n">
        <v/>
      </c>
      <c r="D3568" t="n">
        <v/>
      </c>
      <c r="E3568" t="n">
        <v/>
      </c>
    </row>
    <row r="3569">
      <c r="A3569" s="27" t="n">
        <v>44507</v>
      </c>
      <c r="B3569" t="n">
        <v/>
      </c>
      <c r="C3569" t="n">
        <v>0.4068</v>
      </c>
      <c r="D3569" t="n">
        <v>1.462</v>
      </c>
      <c r="E3569" t="n">
        <v/>
      </c>
    </row>
    <row r="3570">
      <c r="A3570" s="27" t="n">
        <v>44508</v>
      </c>
      <c r="B3570" t="n">
        <v/>
      </c>
      <c r="C3570" t="n">
        <v>0.4466</v>
      </c>
      <c r="D3570" t="n">
        <v>1.493</v>
      </c>
      <c r="E3570" t="n">
        <v/>
      </c>
    </row>
    <row r="3571">
      <c r="A3571" s="27" t="n">
        <v>44509</v>
      </c>
      <c r="B3571" t="n">
        <v/>
      </c>
      <c r="C3571" t="n">
        <v>0.4227</v>
      </c>
      <c r="D3571" t="n">
        <v>1.439</v>
      </c>
      <c r="E3571" t="n">
        <v/>
      </c>
    </row>
    <row r="3572">
      <c r="A3572" s="27" t="n">
        <v>44510</v>
      </c>
      <c r="B3572" t="n">
        <v/>
      </c>
      <c r="C3572" t="n">
        <v>0.5189</v>
      </c>
      <c r="D3572" t="n">
        <v>1.57</v>
      </c>
      <c r="E3572" t="n">
        <v/>
      </c>
    </row>
    <row r="3573">
      <c r="A3573" s="27" t="n">
        <v>44511</v>
      </c>
      <c r="B3573" t="n">
        <v/>
      </c>
      <c r="C3573" t="n">
        <v>0.5409</v>
      </c>
      <c r="D3573" t="n">
        <v>1.578</v>
      </c>
      <c r="E3573" t="n">
        <v/>
      </c>
    </row>
    <row r="3574">
      <c r="A3574" s="27" t="n">
        <v>44512</v>
      </c>
      <c r="B3574" t="n">
        <v/>
      </c>
      <c r="C3574" t="n">
        <v>0.5175</v>
      </c>
      <c r="D3574" t="n">
        <v>1.57</v>
      </c>
      <c r="E3574" t="n">
        <v/>
      </c>
    </row>
    <row r="3575">
      <c r="A3575" s="27" t="n">
        <v>44513</v>
      </c>
      <c r="B3575" t="n">
        <v/>
      </c>
      <c r="C3575" t="n">
        <v/>
      </c>
      <c r="D3575" t="n">
        <v/>
      </c>
      <c r="E3575" t="n">
        <v/>
      </c>
    </row>
    <row r="3576">
      <c r="A3576" s="27" t="n">
        <v>44514</v>
      </c>
      <c r="B3576" t="n">
        <v/>
      </c>
      <c r="C3576" t="n">
        <v>0.5235</v>
      </c>
      <c r="D3576" t="n">
        <v>1.573</v>
      </c>
      <c r="E3576" t="n">
        <v/>
      </c>
    </row>
    <row r="3577">
      <c r="A3577" s="27" t="n">
        <v>44515</v>
      </c>
      <c r="B3577" t="n">
        <v/>
      </c>
      <c r="C3577" t="n">
        <v>0.5197000000000001</v>
      </c>
      <c r="D3577" t="n">
        <v>1.618</v>
      </c>
      <c r="E3577" t="n">
        <v/>
      </c>
    </row>
    <row r="3578">
      <c r="A3578" s="27" t="n">
        <v>44516</v>
      </c>
      <c r="B3578" t="n">
        <v/>
      </c>
      <c r="C3578" t="n">
        <v>0.522</v>
      </c>
      <c r="D3578" t="n">
        <v>1.64</v>
      </c>
      <c r="E3578" t="n">
        <v/>
      </c>
    </row>
    <row r="3579">
      <c r="A3579" s="27" t="n">
        <v>44517</v>
      </c>
      <c r="B3579" t="n">
        <v/>
      </c>
      <c r="C3579" t="n">
        <v>0.4979</v>
      </c>
      <c r="D3579" t="n">
        <v>1.585</v>
      </c>
      <c r="E3579" t="n">
        <v/>
      </c>
    </row>
    <row r="3580">
      <c r="A3580" s="27" t="n">
        <v>44518</v>
      </c>
      <c r="B3580" t="n">
        <v/>
      </c>
      <c r="C3580" t="n">
        <v>0.5021</v>
      </c>
      <c r="D3580" t="n">
        <v>1.587</v>
      </c>
      <c r="E3580" t="n">
        <v/>
      </c>
    </row>
    <row r="3581">
      <c r="A3581" s="27" t="n">
        <v>44519</v>
      </c>
      <c r="B3581" t="n">
        <v/>
      </c>
      <c r="C3581" t="n">
        <v>0.5128</v>
      </c>
      <c r="D3581" t="n">
        <v>1.548</v>
      </c>
      <c r="E3581" t="n">
        <v/>
      </c>
    </row>
    <row r="3582">
      <c r="A3582" s="27" t="n">
        <v>44520</v>
      </c>
      <c r="B3582" t="n">
        <v/>
      </c>
      <c r="C3582" t="n">
        <v/>
      </c>
      <c r="D3582" t="n">
        <v/>
      </c>
      <c r="E3582" t="n">
        <v/>
      </c>
    </row>
    <row r="3583">
      <c r="A3583" s="27" t="n">
        <v>44521</v>
      </c>
      <c r="B3583" t="n">
        <v/>
      </c>
      <c r="C3583" t="n">
        <v>0.527</v>
      </c>
      <c r="D3583" t="n">
        <v>1.558</v>
      </c>
      <c r="E3583" t="n">
        <v/>
      </c>
    </row>
    <row r="3584">
      <c r="A3584" s="27" t="n">
        <v>44522</v>
      </c>
      <c r="B3584" t="n">
        <v/>
      </c>
      <c r="C3584" t="n">
        <v>0.5924</v>
      </c>
      <c r="D3584" t="n">
        <v>1.632</v>
      </c>
      <c r="E3584" t="n">
        <v/>
      </c>
    </row>
    <row r="3585">
      <c r="A3585" s="27" t="n">
        <v>44523</v>
      </c>
      <c r="B3585" t="n">
        <v/>
      </c>
      <c r="C3585" t="n">
        <v>0.6142</v>
      </c>
      <c r="D3585" t="n">
        <v>1.676</v>
      </c>
      <c r="E3585" t="n">
        <v/>
      </c>
    </row>
    <row r="3586">
      <c r="A3586" s="27" t="n">
        <v>44524</v>
      </c>
      <c r="B3586" t="n">
        <v/>
      </c>
      <c r="C3586" t="n">
        <v>0.6437</v>
      </c>
      <c r="D3586" t="n">
        <v>1.643</v>
      </c>
      <c r="E3586" t="n">
        <v/>
      </c>
    </row>
    <row r="3587">
      <c r="A3587" s="27" t="n">
        <v>44525</v>
      </c>
      <c r="B3587" t="n">
        <v/>
      </c>
      <c r="C3587" t="n">
        <v>0.6181</v>
      </c>
      <c r="D3587" t="n">
        <v>1.596</v>
      </c>
      <c r="E3587" t="n">
        <v/>
      </c>
    </row>
    <row r="3588">
      <c r="A3588" s="27" t="n">
        <v>44526</v>
      </c>
      <c r="B3588" t="n">
        <v/>
      </c>
      <c r="C3588" t="n">
        <v>0.5078</v>
      </c>
      <c r="D3588" t="n">
        <v>1.482</v>
      </c>
      <c r="E3588" t="n">
        <v/>
      </c>
    </row>
    <row r="3589">
      <c r="A3589" s="27" t="n">
        <v>44527</v>
      </c>
      <c r="B3589" t="n">
        <v/>
      </c>
      <c r="C3589" t="n">
        <v/>
      </c>
      <c r="D3589" t="n">
        <v/>
      </c>
      <c r="E3589" t="n">
        <v/>
      </c>
    </row>
    <row r="3590">
      <c r="A3590" s="27" t="n">
        <v>44528</v>
      </c>
      <c r="B3590" t="n">
        <v/>
      </c>
      <c r="C3590" t="n">
        <v>0.5393</v>
      </c>
      <c r="D3590" t="n">
        <v>1.531</v>
      </c>
      <c r="E3590" t="n">
        <v/>
      </c>
    </row>
    <row r="3591">
      <c r="A3591" s="27" t="n">
        <v>44529</v>
      </c>
      <c r="B3591" t="n">
        <v/>
      </c>
      <c r="C3591" t="n">
        <v>0.4961</v>
      </c>
      <c r="D3591" t="n">
        <v>1.502</v>
      </c>
      <c r="E3591" t="n">
        <v/>
      </c>
    </row>
    <row r="3592">
      <c r="A3592" s="27" t="n">
        <v>44530</v>
      </c>
      <c r="B3592" t="n">
        <v/>
      </c>
      <c r="C3592" t="n">
        <v>0.5669999999999999</v>
      </c>
      <c r="D3592" t="n">
        <v>1.456</v>
      </c>
      <c r="E3592" t="n">
        <v/>
      </c>
    </row>
    <row r="3593">
      <c r="A3593" s="27" t="n">
        <v>44531</v>
      </c>
      <c r="B3593" t="n">
        <v/>
      </c>
      <c r="C3593" t="n">
        <v>0.5513</v>
      </c>
      <c r="D3593" t="n">
        <v>1.404</v>
      </c>
      <c r="E3593" t="n">
        <v/>
      </c>
    </row>
    <row r="3594">
      <c r="A3594" s="27" t="n">
        <v>44532</v>
      </c>
      <c r="B3594" t="n">
        <v/>
      </c>
      <c r="C3594" t="n">
        <v>0.6146</v>
      </c>
      <c r="D3594" t="n">
        <v>1.444</v>
      </c>
      <c r="E3594" t="n">
        <v/>
      </c>
    </row>
    <row r="3595">
      <c r="A3595" s="27" t="n">
        <v>44533</v>
      </c>
      <c r="B3595" t="n">
        <v/>
      </c>
      <c r="C3595" t="n">
        <v>0.5931999999999999</v>
      </c>
      <c r="D3595" t="n">
        <v>1.356</v>
      </c>
      <c r="E3595" t="n">
        <v/>
      </c>
    </row>
    <row r="3596">
      <c r="A3596" s="27" t="n">
        <v>44534</v>
      </c>
      <c r="B3596" t="n">
        <v/>
      </c>
      <c r="C3596" t="n">
        <v/>
      </c>
      <c r="D3596" t="n">
        <v/>
      </c>
      <c r="E3596" t="n">
        <v/>
      </c>
    </row>
    <row r="3597">
      <c r="A3597" s="27" t="n">
        <v>44535</v>
      </c>
      <c r="B3597" t="n">
        <v/>
      </c>
      <c r="C3597" t="n">
        <v>0.6131</v>
      </c>
      <c r="D3597" t="n">
        <v>1.38</v>
      </c>
      <c r="E3597" t="n">
        <v/>
      </c>
    </row>
    <row r="3598">
      <c r="A3598" s="27" t="n">
        <v>44536</v>
      </c>
      <c r="B3598" t="n">
        <v/>
      </c>
      <c r="C3598" t="n">
        <v>0.6312</v>
      </c>
      <c r="D3598" t="n">
        <v>1.433</v>
      </c>
      <c r="E3598" t="n">
        <v/>
      </c>
    </row>
    <row r="3599">
      <c r="A3599" s="27" t="n">
        <v>44537</v>
      </c>
      <c r="B3599" t="n">
        <v/>
      </c>
      <c r="C3599" t="n">
        <v>0.6932</v>
      </c>
      <c r="D3599" t="n">
        <v>1.482</v>
      </c>
      <c r="E3599" t="n">
        <v/>
      </c>
    </row>
    <row r="3600">
      <c r="A3600" s="27" t="n">
        <v>44538</v>
      </c>
      <c r="B3600" t="n">
        <v/>
      </c>
      <c r="C3600" t="n">
        <v>0.6855</v>
      </c>
      <c r="D3600" t="n">
        <v>1.528</v>
      </c>
      <c r="E3600" t="n">
        <v/>
      </c>
    </row>
    <row r="3601">
      <c r="A3601" s="27" t="n">
        <v>44539</v>
      </c>
      <c r="B3601" t="n">
        <v/>
      </c>
      <c r="C3601" t="n">
        <v>0.6917</v>
      </c>
      <c r="D3601" t="n">
        <v>1.497</v>
      </c>
      <c r="E3601" t="n">
        <v/>
      </c>
    </row>
    <row r="3602">
      <c r="A3602" s="27" t="n">
        <v>44540</v>
      </c>
      <c r="B3602" t="n">
        <v/>
      </c>
      <c r="C3602" t="n">
        <v>0.6544</v>
      </c>
      <c r="D3602" t="n">
        <v>1.482</v>
      </c>
      <c r="E3602" t="n">
        <v/>
      </c>
    </row>
    <row r="3603">
      <c r="A3603" s="27" t="n">
        <v>44541</v>
      </c>
      <c r="B3603" t="n">
        <v/>
      </c>
      <c r="C3603" t="n">
        <v/>
      </c>
      <c r="D3603" t="n">
        <v/>
      </c>
      <c r="E3603" t="n">
        <v/>
      </c>
    </row>
    <row r="3604">
      <c r="A3604" s="27" t="n">
        <v>44542</v>
      </c>
      <c r="B3604" t="n">
        <v/>
      </c>
      <c r="C3604" t="n">
        <v>0.6664</v>
      </c>
      <c r="D3604" t="n">
        <v>1.492</v>
      </c>
      <c r="E3604" t="n">
        <v/>
      </c>
    </row>
    <row r="3605">
      <c r="A3605" s="27" t="n">
        <v>44543</v>
      </c>
      <c r="B3605" t="n">
        <v/>
      </c>
      <c r="C3605" t="n">
        <v>0.6324</v>
      </c>
      <c r="D3605" t="n">
        <v>1.414</v>
      </c>
      <c r="E3605" t="n">
        <v/>
      </c>
    </row>
    <row r="3606">
      <c r="A3606" s="27" t="n">
        <v>44544</v>
      </c>
      <c r="B3606" t="n">
        <v/>
      </c>
      <c r="C3606" t="n">
        <v>0.6568000000000001</v>
      </c>
      <c r="D3606" t="n">
        <v>1.441</v>
      </c>
      <c r="E3606" t="n">
        <v/>
      </c>
    </row>
    <row r="3607">
      <c r="A3607" s="27" t="n">
        <v>44545</v>
      </c>
      <c r="B3607" t="n">
        <v/>
      </c>
      <c r="C3607" t="n">
        <v>0.6651</v>
      </c>
      <c r="D3607" t="n">
        <v>1.458</v>
      </c>
      <c r="E3607" t="n">
        <v/>
      </c>
    </row>
    <row r="3608">
      <c r="A3608" s="27" t="n">
        <v>44546</v>
      </c>
      <c r="B3608" t="n">
        <v/>
      </c>
      <c r="C3608" t="n">
        <v>0.6169</v>
      </c>
      <c r="D3608" t="n">
        <v>1.424</v>
      </c>
      <c r="E3608" t="n">
        <v/>
      </c>
    </row>
    <row r="3609">
      <c r="A3609" s="27" t="n">
        <v>44547</v>
      </c>
      <c r="B3609" t="n">
        <v/>
      </c>
      <c r="C3609" t="n">
        <v>0.6395999999999999</v>
      </c>
      <c r="D3609" t="n">
        <v>1.407</v>
      </c>
      <c r="E3609" t="n">
        <v/>
      </c>
    </row>
    <row r="3610">
      <c r="A3610" s="27" t="n">
        <v>44548</v>
      </c>
      <c r="B3610" t="n">
        <v/>
      </c>
      <c r="C3610" t="n">
        <v/>
      </c>
      <c r="D3610" t="n">
        <v/>
      </c>
      <c r="E3610" t="n">
        <v/>
      </c>
    </row>
    <row r="3611">
      <c r="A3611" s="27" t="n">
        <v>44549</v>
      </c>
      <c r="B3611" t="n">
        <v/>
      </c>
      <c r="C3611" t="n">
        <v>0.6234</v>
      </c>
      <c r="D3611" t="n">
        <v>1.377</v>
      </c>
      <c r="E3611" t="n">
        <v/>
      </c>
    </row>
    <row r="3612">
      <c r="A3612" s="27" t="n">
        <v>44550</v>
      </c>
      <c r="B3612" t="n">
        <v/>
      </c>
      <c r="C3612" t="n">
        <v>0.6358</v>
      </c>
      <c r="D3612" t="n">
        <v>1.428</v>
      </c>
      <c r="E3612" t="n">
        <v/>
      </c>
    </row>
    <row r="3613">
      <c r="A3613" s="27" t="n">
        <v>44551</v>
      </c>
      <c r="B3613" t="n">
        <v/>
      </c>
      <c r="C3613" t="n">
        <v>0.6685</v>
      </c>
      <c r="D3613" t="n">
        <v>1.467</v>
      </c>
      <c r="E3613" t="n">
        <v/>
      </c>
    </row>
    <row r="3614">
      <c r="A3614" s="27" t="n">
        <v>44552</v>
      </c>
      <c r="B3614" t="n">
        <v/>
      </c>
      <c r="C3614" t="n">
        <v>0.6647</v>
      </c>
      <c r="D3614" t="n">
        <v>1.453</v>
      </c>
      <c r="E3614" t="n">
        <v/>
      </c>
    </row>
    <row r="3615">
      <c r="A3615" s="27" t="n">
        <v>44553</v>
      </c>
      <c r="B3615" t="n">
        <v/>
      </c>
      <c r="C3615" t="n">
        <v>0.6914</v>
      </c>
      <c r="D3615" t="n">
        <v>1.493</v>
      </c>
      <c r="E3615" t="n">
        <v/>
      </c>
    </row>
    <row r="3616">
      <c r="A3616" s="27" t="n">
        <v>44554</v>
      </c>
      <c r="B3616" t="n">
        <v/>
      </c>
      <c r="C3616" t="n">
        <v/>
      </c>
      <c r="D3616" t="n">
        <v/>
      </c>
      <c r="E3616" t="n">
        <v/>
      </c>
    </row>
    <row r="3617">
      <c r="A3617" s="27" t="n">
        <v>44555</v>
      </c>
      <c r="B3617" t="n">
        <v/>
      </c>
      <c r="C3617" t="n">
        <v/>
      </c>
      <c r="D3617" t="n">
        <v/>
      </c>
      <c r="E3617" t="n">
        <v/>
      </c>
    </row>
    <row r="3618">
      <c r="A3618" s="27" t="n">
        <v>44556</v>
      </c>
      <c r="B3618" t="n">
        <v/>
      </c>
      <c r="C3618" t="n">
        <v>0.6902</v>
      </c>
      <c r="D3618" t="n">
        <v>1.486</v>
      </c>
      <c r="E3618" t="n">
        <v/>
      </c>
    </row>
    <row r="3619">
      <c r="A3619" s="27" t="n">
        <v>44557</v>
      </c>
      <c r="B3619" t="n">
        <v/>
      </c>
      <c r="C3619" t="n">
        <v>0.7048</v>
      </c>
      <c r="D3619" t="n">
        <v>1.477</v>
      </c>
      <c r="E3619" t="n">
        <v/>
      </c>
    </row>
    <row r="3620">
      <c r="A3620" s="27" t="n">
        <v>44558</v>
      </c>
      <c r="B3620" t="n">
        <v/>
      </c>
      <c r="C3620" t="n">
        <v>0.7559</v>
      </c>
      <c r="D3620" t="n">
        <v>1.484</v>
      </c>
      <c r="E3620" t="n">
        <v/>
      </c>
    </row>
    <row r="3621">
      <c r="A3621" s="27" t="n">
        <v>44559</v>
      </c>
      <c r="B3621" t="n">
        <v/>
      </c>
      <c r="C3621" t="n">
        <v>0.752</v>
      </c>
      <c r="D3621" t="n">
        <v>1.556</v>
      </c>
      <c r="E3621" t="n">
        <v/>
      </c>
    </row>
    <row r="3622">
      <c r="A3622" s="27" t="n">
        <v>44560</v>
      </c>
      <c r="B3622" t="n">
        <v/>
      </c>
      <c r="C3622" t="n">
        <v>0.7302999999999999</v>
      </c>
      <c r="D3622" t="n">
        <v>1.507</v>
      </c>
      <c r="E3622" t="n">
        <v/>
      </c>
    </row>
    <row r="3623">
      <c r="A3623" s="27" t="n">
        <v>44561</v>
      </c>
      <c r="B3623" t="n">
        <v/>
      </c>
      <c r="C3623" t="n">
        <v>0.7341</v>
      </c>
      <c r="D3623" t="n">
        <v>1.512</v>
      </c>
      <c r="E3623" t="n">
        <v/>
      </c>
    </row>
    <row r="3624">
      <c r="A3624" s="27" t="n">
        <v>44562</v>
      </c>
      <c r="B3624" t="n">
        <v/>
      </c>
      <c r="C3624" t="n">
        <v/>
      </c>
      <c r="D3624" t="n">
        <v/>
      </c>
      <c r="E3624" t="n">
        <v/>
      </c>
    </row>
    <row r="3625">
      <c r="A3625" s="27" t="n">
        <v>44563</v>
      </c>
      <c r="B3625" t="n">
        <v/>
      </c>
      <c r="C3625" t="n">
        <v>0.7341</v>
      </c>
      <c r="D3625" t="n">
        <v>1.512</v>
      </c>
      <c r="E3625" t="n">
        <v/>
      </c>
    </row>
    <row r="3626">
      <c r="A3626" s="27" t="n">
        <v>44564</v>
      </c>
      <c r="B3626" t="n">
        <v/>
      </c>
      <c r="C3626" t="n">
        <v>0.7758</v>
      </c>
      <c r="D3626" t="n">
        <v>1.637</v>
      </c>
      <c r="E3626" t="n">
        <v/>
      </c>
    </row>
    <row r="3627">
      <c r="A3627" s="27" t="n">
        <v>44565</v>
      </c>
      <c r="B3627" t="n">
        <v/>
      </c>
      <c r="C3627" t="n">
        <v>0.7599</v>
      </c>
      <c r="D3627" t="n">
        <v>1.649</v>
      </c>
      <c r="E3627" t="n">
        <v/>
      </c>
    </row>
    <row r="3628">
      <c r="A3628" s="27" t="n">
        <v>44566</v>
      </c>
      <c r="B3628" t="n">
        <v/>
      </c>
      <c r="C3628" t="n">
        <v>0.8296</v>
      </c>
      <c r="D3628" t="n">
        <v>1.7</v>
      </c>
      <c r="E3628" t="n">
        <v/>
      </c>
    </row>
    <row r="3629">
      <c r="A3629" s="27" t="n">
        <v>44567</v>
      </c>
      <c r="B3629" t="n">
        <v/>
      </c>
      <c r="C3629" t="n">
        <v>0.8736</v>
      </c>
      <c r="D3629" t="n">
        <v>1.728</v>
      </c>
      <c r="E3629" t="n">
        <v/>
      </c>
    </row>
    <row r="3630">
      <c r="A3630" s="27" t="n">
        <v>44568</v>
      </c>
      <c r="B3630" t="n">
        <v/>
      </c>
      <c r="C3630" t="n">
        <v>0.8701</v>
      </c>
      <c r="D3630" t="n">
        <v>1.765</v>
      </c>
      <c r="E3630" t="n">
        <v/>
      </c>
    </row>
    <row r="3631">
      <c r="A3631" s="27" t="n">
        <v>44569</v>
      </c>
      <c r="B3631" t="n">
        <v/>
      </c>
      <c r="C3631" t="n">
        <v/>
      </c>
      <c r="D3631" t="n">
        <v/>
      </c>
      <c r="E3631" t="n">
        <v/>
      </c>
    </row>
    <row r="3632">
      <c r="A3632" s="27" t="n">
        <v>44570</v>
      </c>
      <c r="B3632" t="n">
        <v/>
      </c>
      <c r="C3632" t="n">
        <v>0.8701</v>
      </c>
      <c r="D3632" t="n">
        <v>1.765</v>
      </c>
      <c r="E3632" t="n">
        <v/>
      </c>
    </row>
    <row r="3633">
      <c r="A3633" s="27" t="n">
        <v>44571</v>
      </c>
      <c r="B3633" t="n">
        <v/>
      </c>
      <c r="C3633" t="n">
        <v>0.8984</v>
      </c>
      <c r="D3633" t="n">
        <v>1.755</v>
      </c>
      <c r="E3633" t="n">
        <v/>
      </c>
    </row>
    <row r="3634">
      <c r="A3634" s="27" t="n">
        <v>44572</v>
      </c>
      <c r="B3634" t="n">
        <v/>
      </c>
      <c r="C3634" t="n">
        <v>0.8885</v>
      </c>
      <c r="D3634" t="n">
        <v>1.746</v>
      </c>
      <c r="E3634" t="n">
        <v/>
      </c>
    </row>
    <row r="3635">
      <c r="A3635" s="27" t="n">
        <v>44573</v>
      </c>
      <c r="B3635" t="n">
        <v/>
      </c>
      <c r="C3635" t="n">
        <v>0.9229000000000001</v>
      </c>
      <c r="D3635" t="n">
        <v>1.752</v>
      </c>
      <c r="E3635" t="n">
        <v/>
      </c>
    </row>
    <row r="3636">
      <c r="A3636" s="27" t="n">
        <v>44574</v>
      </c>
      <c r="B3636" t="n">
        <v/>
      </c>
      <c r="C3636" t="n">
        <v>0.8949</v>
      </c>
      <c r="D3636" t="n">
        <v>1.701</v>
      </c>
      <c r="E3636" t="n">
        <v/>
      </c>
    </row>
    <row r="3637">
      <c r="A3637" s="27" t="n">
        <v>44575</v>
      </c>
      <c r="B3637" t="n">
        <v/>
      </c>
      <c r="C3637" t="n">
        <v>0.9689</v>
      </c>
      <c r="D3637" t="n">
        <v>1.793</v>
      </c>
      <c r="E3637" t="n">
        <v/>
      </c>
    </row>
    <row r="3638">
      <c r="A3638" s="27" t="n">
        <v>44576</v>
      </c>
      <c r="B3638" t="n">
        <v/>
      </c>
      <c r="C3638" t="n">
        <v/>
      </c>
      <c r="D3638" t="n">
        <v/>
      </c>
      <c r="E3638" t="n">
        <v/>
      </c>
    </row>
    <row r="3639">
      <c r="A3639" s="27" t="n">
        <v>44577</v>
      </c>
      <c r="B3639" t="n">
        <v/>
      </c>
      <c r="C3639" t="n">
        <v/>
      </c>
      <c r="D3639" t="n">
        <v/>
      </c>
      <c r="E3639" t="n">
        <v/>
      </c>
    </row>
    <row r="3640">
      <c r="A3640" s="27" t="n">
        <v>44578</v>
      </c>
      <c r="B3640" t="n">
        <v/>
      </c>
      <c r="C3640" t="n">
        <v>1.0034</v>
      </c>
      <c r="D3640" t="n">
        <v>1.809</v>
      </c>
      <c r="E3640" t="n">
        <v/>
      </c>
    </row>
    <row r="3641">
      <c r="A3641" s="27" t="n">
        <v>44579</v>
      </c>
      <c r="B3641" t="n">
        <v/>
      </c>
      <c r="C3641" t="n">
        <v>1.0465</v>
      </c>
      <c r="D3641" t="n">
        <v>1.875</v>
      </c>
      <c r="E3641" t="n">
        <v/>
      </c>
    </row>
    <row r="3642">
      <c r="A3642" s="27" t="n">
        <v>44580</v>
      </c>
      <c r="B3642" t="n">
        <v/>
      </c>
      <c r="C3642" t="n">
        <v>1.051</v>
      </c>
      <c r="D3642" t="n">
        <v>1.854</v>
      </c>
      <c r="E3642" t="n">
        <v/>
      </c>
    </row>
    <row r="3643">
      <c r="A3643" s="27" t="n">
        <v>44581</v>
      </c>
      <c r="B3643" t="n">
        <v/>
      </c>
      <c r="C3643" t="n">
        <v>1.0269</v>
      </c>
      <c r="D3643" t="n">
        <v>1.811</v>
      </c>
      <c r="E3643" t="n">
        <v/>
      </c>
    </row>
    <row r="3644">
      <c r="A3644" s="27" t="n">
        <v>44582</v>
      </c>
      <c r="B3644" t="n">
        <v/>
      </c>
      <c r="C3644" t="n">
        <v>1.0158</v>
      </c>
      <c r="D3644" t="n">
        <v>1.77</v>
      </c>
      <c r="E3644" t="n">
        <v/>
      </c>
    </row>
    <row r="3645">
      <c r="A3645" s="27" t="n">
        <v>44583</v>
      </c>
      <c r="B3645" t="n">
        <v/>
      </c>
      <c r="C3645" t="n">
        <v/>
      </c>
      <c r="D3645" t="n">
        <v/>
      </c>
      <c r="E3645" t="n">
        <v/>
      </c>
    </row>
    <row r="3646">
      <c r="A3646" s="27" t="n">
        <v>44584</v>
      </c>
      <c r="B3646" t="n">
        <v/>
      </c>
      <c r="C3646" t="n">
        <v>1.026</v>
      </c>
      <c r="D3646" t="n">
        <v>1.772</v>
      </c>
      <c r="E3646" t="n">
        <v/>
      </c>
    </row>
    <row r="3647">
      <c r="A3647" s="27" t="n">
        <v>44585</v>
      </c>
      <c r="B3647" t="n">
        <v/>
      </c>
      <c r="C3647" t="n">
        <v>0.971</v>
      </c>
      <c r="D3647" t="n">
        <v>1.776</v>
      </c>
      <c r="E3647" t="n">
        <v/>
      </c>
    </row>
    <row r="3648">
      <c r="A3648" s="27" t="n">
        <v>44586</v>
      </c>
      <c r="B3648" t="n">
        <v/>
      </c>
      <c r="C3648" t="n">
        <v>1.0273</v>
      </c>
      <c r="D3648" t="n">
        <v>1.776</v>
      </c>
      <c r="E3648" t="n">
        <v/>
      </c>
    </row>
    <row r="3649">
      <c r="A3649" s="27" t="n">
        <v>44587</v>
      </c>
      <c r="B3649" t="n">
        <v/>
      </c>
      <c r="C3649" t="n">
        <v>1.0333</v>
      </c>
      <c r="D3649" t="n">
        <v>1.783</v>
      </c>
      <c r="E3649" t="n">
        <v/>
      </c>
    </row>
    <row r="3650">
      <c r="A3650" s="27" t="n">
        <v>44588</v>
      </c>
      <c r="B3650" t="n">
        <v/>
      </c>
      <c r="C3650" t="n">
        <v>1.1882</v>
      </c>
      <c r="D3650" t="n">
        <v>1.803</v>
      </c>
      <c r="E3650" t="n">
        <v/>
      </c>
    </row>
    <row r="3651">
      <c r="A3651" s="27" t="n">
        <v>44589</v>
      </c>
      <c r="B3651" t="n">
        <v/>
      </c>
      <c r="C3651" t="n">
        <v>1.1723</v>
      </c>
      <c r="D3651" t="n">
        <v>1.778</v>
      </c>
      <c r="E3651" t="n">
        <v/>
      </c>
    </row>
    <row r="3652">
      <c r="A3652" s="27" t="n">
        <v>44590</v>
      </c>
      <c r="B3652" t="n">
        <v/>
      </c>
      <c r="C3652" t="n">
        <v/>
      </c>
      <c r="D3652" t="n">
        <v/>
      </c>
      <c r="E3652" t="n">
        <v/>
      </c>
    </row>
    <row r="3653">
      <c r="A3653" s="27" t="n">
        <v>44591</v>
      </c>
      <c r="B3653" t="n">
        <v/>
      </c>
      <c r="C3653" t="n">
        <v>1.2001</v>
      </c>
      <c r="D3653" t="n">
        <v>1.791</v>
      </c>
      <c r="E3653" t="n">
        <v/>
      </c>
    </row>
    <row r="3654">
      <c r="A3654" s="27" t="n">
        <v>44592</v>
      </c>
      <c r="B3654" t="n">
        <v/>
      </c>
      <c r="C3654" t="n">
        <v>1.1846</v>
      </c>
      <c r="D3654" t="n">
        <v>1.784</v>
      </c>
      <c r="E3654" t="n">
        <v/>
      </c>
    </row>
    <row r="3655">
      <c r="A3655" s="27" t="n">
        <v>44593</v>
      </c>
      <c r="B3655" t="n">
        <v>0.19</v>
      </c>
      <c r="C3655" t="n">
        <v>1.18</v>
      </c>
      <c r="D3655" t="n">
        <v>1.81</v>
      </c>
      <c r="E3655" t="n">
        <v>2.12</v>
      </c>
    </row>
    <row r="3656">
      <c r="A3656" s="27" t="n">
        <v>44594</v>
      </c>
      <c r="B3656" t="n">
        <v>0.19</v>
      </c>
      <c r="C3656" t="n">
        <v>1.16</v>
      </c>
      <c r="D3656" t="n">
        <v>1.78</v>
      </c>
      <c r="E3656" t="n">
        <v>2.11</v>
      </c>
    </row>
    <row r="3657">
      <c r="A3657" s="27" t="n">
        <v>44595</v>
      </c>
      <c r="B3657" t="n">
        <v>0.2</v>
      </c>
      <c r="C3657" t="n">
        <v>1.19</v>
      </c>
      <c r="D3657" t="n">
        <v>1.82</v>
      </c>
      <c r="E3657" t="n">
        <v>2.14</v>
      </c>
    </row>
    <row r="3658">
      <c r="A3658" s="27" t="n">
        <v>44596</v>
      </c>
      <c r="B3658" t="n">
        <v>0.23</v>
      </c>
      <c r="C3658" t="n">
        <v>1.31</v>
      </c>
      <c r="D3658" t="n">
        <v>1.93</v>
      </c>
      <c r="E3658" t="n">
        <v>2.23</v>
      </c>
    </row>
    <row r="3659">
      <c r="A3659" s="27" t="n">
        <v>44599</v>
      </c>
      <c r="B3659" t="n">
        <v>0.27</v>
      </c>
      <c r="C3659" t="n">
        <v>1.3</v>
      </c>
      <c r="D3659" t="n">
        <v>1.92</v>
      </c>
      <c r="E3659" t="n">
        <v>2.22</v>
      </c>
    </row>
    <row r="3660">
      <c r="A3660" s="27" t="n">
        <v>44600</v>
      </c>
      <c r="B3660" t="n">
        <v>0.25</v>
      </c>
      <c r="C3660" t="n">
        <v>1.35</v>
      </c>
      <c r="D3660" t="n">
        <v>1.96</v>
      </c>
      <c r="E3660" t="n">
        <v>2.25</v>
      </c>
    </row>
    <row r="3661">
      <c r="A3661" s="27" t="n">
        <v>44601</v>
      </c>
      <c r="B3661" t="n">
        <v>0.26</v>
      </c>
      <c r="C3661" t="n">
        <v>1.36</v>
      </c>
      <c r="D3661" t="n">
        <v>1.94</v>
      </c>
      <c r="E3661" t="n">
        <v>2.25</v>
      </c>
    </row>
    <row r="3662">
      <c r="A3662" s="27" t="n">
        <v>44602</v>
      </c>
      <c r="B3662" t="n">
        <v>0.4</v>
      </c>
      <c r="C3662" t="n">
        <v>1.61</v>
      </c>
      <c r="D3662" t="n">
        <v>2.03</v>
      </c>
      <c r="E3662" t="n">
        <v>2.3</v>
      </c>
    </row>
    <row r="3663">
      <c r="A3663" s="27" t="n">
        <v>44603</v>
      </c>
      <c r="B3663" t="n">
        <v>0.36</v>
      </c>
      <c r="C3663" t="n">
        <v>1.5</v>
      </c>
      <c r="D3663" t="n">
        <v>1.92</v>
      </c>
      <c r="E3663" t="n">
        <v>2.24</v>
      </c>
    </row>
    <row r="3664">
      <c r="A3664" s="27" t="n">
        <v>44606</v>
      </c>
      <c r="B3664" t="n">
        <v>0.43</v>
      </c>
      <c r="C3664" t="n">
        <v>1.58</v>
      </c>
      <c r="D3664" t="n">
        <v>1.98</v>
      </c>
      <c r="E3664" t="n">
        <v>2.29</v>
      </c>
    </row>
    <row r="3665">
      <c r="A3665" s="27" t="n">
        <v>44607</v>
      </c>
      <c r="B3665" t="n">
        <v>0.4</v>
      </c>
      <c r="C3665" t="n">
        <v>1.58</v>
      </c>
      <c r="D3665" t="n">
        <v>2.05</v>
      </c>
      <c r="E3665" t="n">
        <v>2.37</v>
      </c>
    </row>
    <row r="3666">
      <c r="A3666" s="27" t="n">
        <v>44608</v>
      </c>
      <c r="B3666" t="n">
        <v>0.38</v>
      </c>
      <c r="C3666" t="n">
        <v>1.52</v>
      </c>
      <c r="D3666" t="n">
        <v>2.03</v>
      </c>
      <c r="E3666" t="n">
        <v>2.34</v>
      </c>
    </row>
    <row r="3667">
      <c r="A3667" s="27" t="n">
        <v>44609</v>
      </c>
      <c r="B3667" t="n">
        <v>0.36</v>
      </c>
      <c r="C3667" t="n">
        <v>1.49</v>
      </c>
      <c r="D3667" t="n">
        <v>1.97</v>
      </c>
      <c r="E3667" t="n">
        <v>2.31</v>
      </c>
    </row>
    <row r="3668">
      <c r="A3668" s="27" t="n">
        <v>44610</v>
      </c>
      <c r="B3668" t="n">
        <v>0.35</v>
      </c>
      <c r="C3668" t="n">
        <v>1.47</v>
      </c>
      <c r="D3668" t="n">
        <v>1.92</v>
      </c>
      <c r="E3668" t="n">
        <v>2.24</v>
      </c>
    </row>
    <row r="3669">
      <c r="A3669" s="27" t="n">
        <v>44614</v>
      </c>
      <c r="B3669" t="n">
        <v>0.37</v>
      </c>
      <c r="C3669" t="n">
        <v>1.56</v>
      </c>
      <c r="D3669" t="n">
        <v>1.94</v>
      </c>
      <c r="E3669" t="n">
        <v>2.24</v>
      </c>
    </row>
    <row r="3670">
      <c r="A3670" s="27" t="n">
        <v>44615</v>
      </c>
      <c r="B3670" t="n">
        <v>0.34</v>
      </c>
      <c r="C3670" t="n">
        <v>1.58</v>
      </c>
      <c r="D3670" t="n">
        <v>1.99</v>
      </c>
      <c r="E3670" t="n">
        <v>2.29</v>
      </c>
    </row>
    <row r="3671">
      <c r="A3671" s="27" t="n">
        <v>44616</v>
      </c>
      <c r="B3671" t="n">
        <v>0.32</v>
      </c>
      <c r="C3671" t="n">
        <v>1.54</v>
      </c>
      <c r="D3671" t="n">
        <v>1.96</v>
      </c>
      <c r="E3671" t="n">
        <v>2.28</v>
      </c>
    </row>
    <row r="3672">
      <c r="A3672" s="27" t="n">
        <v>44617</v>
      </c>
      <c r="B3672" t="n">
        <v>0.33</v>
      </c>
      <c r="C3672" t="n">
        <v>1.55</v>
      </c>
      <c r="D3672" t="n">
        <v>1.97</v>
      </c>
      <c r="E3672" t="n">
        <v>2.29</v>
      </c>
    </row>
    <row r="3673">
      <c r="A3673" s="27" t="n">
        <v>44620</v>
      </c>
      <c r="B3673" t="n">
        <v>0.35</v>
      </c>
      <c r="C3673" t="n">
        <v>1.44</v>
      </c>
      <c r="D3673" t="n">
        <v>1.83</v>
      </c>
      <c r="E3673" t="n">
        <v>2.17</v>
      </c>
    </row>
    <row r="3674">
      <c r="A3674" s="27" t="n">
        <v>44621</v>
      </c>
      <c r="B3674" t="n">
        <v>0.32</v>
      </c>
      <c r="C3674" t="n">
        <v>1.31</v>
      </c>
      <c r="D3674" t="n">
        <v>1.72</v>
      </c>
      <c r="E3674" t="n">
        <v>2.11</v>
      </c>
    </row>
    <row r="3675">
      <c r="A3675" s="27" t="n">
        <v>44622</v>
      </c>
      <c r="B3675" t="n">
        <v>0.34</v>
      </c>
      <c r="C3675" t="n">
        <v>1.5</v>
      </c>
      <c r="D3675" t="n">
        <v>1.86</v>
      </c>
      <c r="E3675" t="n">
        <v>2.24</v>
      </c>
    </row>
    <row r="3676">
      <c r="A3676" s="27" t="n">
        <v>44623</v>
      </c>
      <c r="B3676" t="n">
        <v>0.38</v>
      </c>
      <c r="C3676" t="n">
        <v>1.53</v>
      </c>
      <c r="D3676" t="n">
        <v>1.86</v>
      </c>
      <c r="E3676" t="n">
        <v>2.24</v>
      </c>
    </row>
    <row r="3677">
      <c r="A3677" s="27" t="n">
        <v>44624</v>
      </c>
      <c r="B3677" t="n">
        <v>0.34</v>
      </c>
      <c r="C3677" t="n">
        <v>1.5</v>
      </c>
      <c r="D3677" t="n">
        <v>1.74</v>
      </c>
      <c r="E3677" t="n">
        <v>2.16</v>
      </c>
    </row>
    <row r="3678">
      <c r="A3678" s="27" t="n">
        <v>44627</v>
      </c>
      <c r="B3678" t="n">
        <v>0.38</v>
      </c>
      <c r="C3678" t="n">
        <v>1.55</v>
      </c>
      <c r="D3678" t="n">
        <v>1.78</v>
      </c>
      <c r="E3678" t="n">
        <v>2.19</v>
      </c>
    </row>
    <row r="3679">
      <c r="A3679" s="27" t="n">
        <v>44628</v>
      </c>
      <c r="B3679" t="n">
        <v>0.36</v>
      </c>
      <c r="C3679" t="n">
        <v>1.63</v>
      </c>
      <c r="D3679" t="n">
        <v>1.86</v>
      </c>
      <c r="E3679" t="n">
        <v>2.24</v>
      </c>
    </row>
    <row r="3680">
      <c r="A3680" s="27" t="n">
        <v>44629</v>
      </c>
      <c r="B3680" t="n">
        <v>0.38</v>
      </c>
      <c r="C3680" t="n">
        <v>1.68</v>
      </c>
      <c r="D3680" t="n">
        <v>1.94</v>
      </c>
      <c r="E3680" t="n">
        <v>2.29</v>
      </c>
    </row>
    <row r="3681">
      <c r="A3681" s="27" t="n">
        <v>44630</v>
      </c>
      <c r="B3681" t="n">
        <v>0.39</v>
      </c>
      <c r="C3681" t="n">
        <v>1.72</v>
      </c>
      <c r="D3681" t="n">
        <v>1.98</v>
      </c>
      <c r="E3681" t="n">
        <v>2.38</v>
      </c>
    </row>
    <row r="3682">
      <c r="A3682" s="27" t="n">
        <v>44631</v>
      </c>
      <c r="B3682" t="n">
        <v>0.4</v>
      </c>
      <c r="C3682" t="n">
        <v>1.75</v>
      </c>
      <c r="D3682" t="n">
        <v>2</v>
      </c>
      <c r="E3682" t="n">
        <v>2.36</v>
      </c>
    </row>
    <row r="3683">
      <c r="A3683" s="27" t="n">
        <v>44634</v>
      </c>
      <c r="B3683" t="n">
        <v>0.45</v>
      </c>
      <c r="C3683" t="n">
        <v>1.87</v>
      </c>
      <c r="D3683" t="n">
        <v>2.14</v>
      </c>
      <c r="E3683" t="n">
        <v>2.47</v>
      </c>
    </row>
    <row r="3684">
      <c r="A3684" s="27" t="n">
        <v>44635</v>
      </c>
      <c r="B3684" t="n">
        <v>0.46</v>
      </c>
      <c r="C3684" t="n">
        <v>1.85</v>
      </c>
      <c r="D3684" t="n">
        <v>2.15</v>
      </c>
      <c r="E3684" t="n">
        <v>2.49</v>
      </c>
    </row>
    <row r="3685">
      <c r="A3685" s="27" t="n">
        <v>44636</v>
      </c>
      <c r="B3685" t="n">
        <v>0.44</v>
      </c>
      <c r="C3685" t="n">
        <v>1.95</v>
      </c>
      <c r="D3685" t="n">
        <v>2.19</v>
      </c>
      <c r="E3685" t="n">
        <v>2.46</v>
      </c>
    </row>
    <row r="3686">
      <c r="A3686" s="27" t="n">
        <v>44637</v>
      </c>
      <c r="B3686" t="n">
        <v>0.4</v>
      </c>
      <c r="C3686" t="n">
        <v>1.94</v>
      </c>
      <c r="D3686" t="n">
        <v>2.2</v>
      </c>
      <c r="E3686" t="n">
        <v>2.5</v>
      </c>
    </row>
    <row r="3687">
      <c r="A3687" s="27" t="n">
        <v>44638</v>
      </c>
      <c r="B3687" t="n">
        <v>0.42</v>
      </c>
      <c r="C3687" t="n">
        <v>1.97</v>
      </c>
      <c r="D3687" t="n">
        <v>2.14</v>
      </c>
      <c r="E3687" t="n">
        <v>2.42</v>
      </c>
    </row>
    <row r="3688">
      <c r="A3688" s="27" t="n">
        <v>44641</v>
      </c>
      <c r="B3688" t="n">
        <v>0.54</v>
      </c>
      <c r="C3688" t="n">
        <v>2.14</v>
      </c>
      <c r="D3688" t="n">
        <v>2.32</v>
      </c>
      <c r="E3688" t="n">
        <v>2.55</v>
      </c>
    </row>
    <row r="3689">
      <c r="A3689" s="27" t="n">
        <v>44642</v>
      </c>
      <c r="B3689" t="n">
        <v>0.51</v>
      </c>
      <c r="C3689" t="n">
        <v>2.18</v>
      </c>
      <c r="D3689" t="n">
        <v>2.38</v>
      </c>
      <c r="E3689" t="n">
        <v>2.6</v>
      </c>
    </row>
    <row r="3690">
      <c r="A3690" s="27" t="n">
        <v>44643</v>
      </c>
      <c r="B3690" t="n">
        <v>0.5</v>
      </c>
      <c r="C3690" t="n">
        <v>2.13</v>
      </c>
      <c r="D3690" t="n">
        <v>2.32</v>
      </c>
      <c r="E3690" t="n">
        <v>2.52</v>
      </c>
    </row>
    <row r="3691">
      <c r="A3691" s="27" t="n">
        <v>44644</v>
      </c>
      <c r="B3691" t="n">
        <v>0.52</v>
      </c>
      <c r="C3691" t="n">
        <v>2.13</v>
      </c>
      <c r="D3691" t="n">
        <v>2.34</v>
      </c>
      <c r="E3691" t="n">
        <v>2.51</v>
      </c>
    </row>
    <row r="3692">
      <c r="A3692" s="27" t="n">
        <v>44645</v>
      </c>
      <c r="B3692" t="n">
        <v>0.55</v>
      </c>
      <c r="C3692" t="n">
        <v>2.3</v>
      </c>
      <c r="D3692" t="n">
        <v>2.48</v>
      </c>
      <c r="E3692" t="n">
        <v>2.6</v>
      </c>
    </row>
    <row r="3693">
      <c r="A3693" s="27" t="n">
        <v>44648</v>
      </c>
      <c r="B3693" t="n">
        <v>0.59</v>
      </c>
      <c r="C3693" t="n">
        <v>2.35</v>
      </c>
      <c r="D3693" t="n">
        <v>2.46</v>
      </c>
      <c r="E3693" t="n">
        <v>2.57</v>
      </c>
    </row>
    <row r="3694">
      <c r="A3694" s="27" t="n">
        <v>44649</v>
      </c>
      <c r="B3694" t="n">
        <v>0.55</v>
      </c>
      <c r="C3694" t="n">
        <v>2.35</v>
      </c>
      <c r="D3694" t="n">
        <v>2.41</v>
      </c>
      <c r="E3694" t="n">
        <v>2.53</v>
      </c>
    </row>
    <row r="3695">
      <c r="A3695" s="27" t="n">
        <v>44652</v>
      </c>
      <c r="B3695" t="n">
        <v>0.53</v>
      </c>
      <c r="C3695" t="n">
        <v>2.44</v>
      </c>
      <c r="D3695" t="n">
        <v>2.38</v>
      </c>
      <c r="E3695" t="n">
        <v>2.44</v>
      </c>
    </row>
    <row r="3696">
      <c r="A3696" s="27" t="n">
        <v>44655</v>
      </c>
      <c r="B3696" t="n">
        <v>0.66</v>
      </c>
      <c r="C3696" t="n">
        <v>2.43</v>
      </c>
      <c r="D3696" t="n">
        <v>2.42</v>
      </c>
      <c r="E3696" t="n">
        <v>2.48</v>
      </c>
    </row>
    <row r="3697">
      <c r="A3697" s="27" t="n">
        <v>44656</v>
      </c>
      <c r="B3697" t="n">
        <v>0.65</v>
      </c>
      <c r="C3697" t="n">
        <v>2.51</v>
      </c>
      <c r="D3697" t="n">
        <v>2.54</v>
      </c>
      <c r="E3697" t="n">
        <v>2.57</v>
      </c>
    </row>
    <row r="3698">
      <c r="A3698" s="27" t="n">
        <v>44657</v>
      </c>
      <c r="B3698" t="n">
        <v>0.67</v>
      </c>
      <c r="C3698" t="n">
        <v>2.5</v>
      </c>
      <c r="D3698" t="n">
        <v>2.61</v>
      </c>
      <c r="E3698" t="n">
        <v>2.63</v>
      </c>
    </row>
    <row r="3699">
      <c r="A3699" s="27" t="n">
        <v>44658</v>
      </c>
      <c r="B3699" t="n">
        <v>0.68</v>
      </c>
      <c r="C3699" t="n">
        <v>2.47</v>
      </c>
      <c r="D3699" t="n">
        <v>2.66</v>
      </c>
      <c r="E3699" t="n">
        <v>2.69</v>
      </c>
    </row>
    <row r="3700">
      <c r="A3700" s="27" t="n">
        <v>44659</v>
      </c>
      <c r="B3700" t="n">
        <v>0.7</v>
      </c>
      <c r="C3700" t="n">
        <v>2.53</v>
      </c>
      <c r="D3700" t="n">
        <v>2.72</v>
      </c>
      <c r="E3700" t="n">
        <v>2.76</v>
      </c>
    </row>
    <row r="3701">
      <c r="A3701" s="27" t="n">
        <v>44662</v>
      </c>
      <c r="B3701" t="n">
        <v>0.77</v>
      </c>
      <c r="C3701" t="n">
        <v>2.5</v>
      </c>
      <c r="D3701" t="n">
        <v>2.79</v>
      </c>
      <c r="E3701" t="n">
        <v>2.84</v>
      </c>
    </row>
    <row r="3702">
      <c r="A3702" s="27" t="n">
        <v>44663</v>
      </c>
      <c r="B3702" t="n">
        <v>0.74</v>
      </c>
      <c r="C3702" t="n">
        <v>2.39</v>
      </c>
      <c r="D3702" t="n">
        <v>2.72</v>
      </c>
      <c r="E3702" t="n">
        <v>2.82</v>
      </c>
    </row>
    <row r="3703">
      <c r="A3703" s="27" t="n">
        <v>44664</v>
      </c>
      <c r="B3703" t="n">
        <v>0.75</v>
      </c>
      <c r="C3703" t="n">
        <v>2.37</v>
      </c>
      <c r="D3703" t="n">
        <v>2.7</v>
      </c>
      <c r="E3703" t="n">
        <v>2.81</v>
      </c>
    </row>
    <row r="3704">
      <c r="A3704" s="27" t="n">
        <v>44665</v>
      </c>
      <c r="B3704" t="n">
        <v>0.79</v>
      </c>
      <c r="C3704" t="n">
        <v>2.47</v>
      </c>
      <c r="D3704" t="n">
        <v>2.83</v>
      </c>
      <c r="E3704" t="n">
        <v>2.92</v>
      </c>
    </row>
    <row r="3705">
      <c r="A3705" s="27" t="n">
        <v>44683</v>
      </c>
      <c r="B3705" t="n">
        <v>0.9</v>
      </c>
      <c r="C3705" t="n">
        <v>2.73</v>
      </c>
      <c r="D3705" t="n">
        <v>2.99</v>
      </c>
      <c r="E3705" t="n">
        <v>3.07</v>
      </c>
    </row>
    <row r="3706">
      <c r="A3706" s="27" t="n">
        <v>44684</v>
      </c>
      <c r="B3706" t="n">
        <v>0.91</v>
      </c>
      <c r="C3706" t="n">
        <v>2.78</v>
      </c>
      <c r="D3706" t="n">
        <v>2.97</v>
      </c>
      <c r="E3706" t="n">
        <v>3.03</v>
      </c>
    </row>
    <row r="3707">
      <c r="A3707" s="27" t="n">
        <v>44685</v>
      </c>
      <c r="B3707" t="n">
        <v>0.89</v>
      </c>
      <c r="C3707" t="n">
        <v>2.66</v>
      </c>
      <c r="D3707" t="n">
        <v>2.93</v>
      </c>
      <c r="E3707" t="n">
        <v>3.01</v>
      </c>
    </row>
    <row r="3708">
      <c r="A3708" s="27" t="n">
        <v>44686</v>
      </c>
      <c r="B3708" t="n">
        <v>0.85</v>
      </c>
      <c r="C3708" t="n">
        <v>2.71</v>
      </c>
      <c r="D3708" t="n">
        <v>3.05</v>
      </c>
      <c r="E3708" t="n">
        <v>3.15</v>
      </c>
    </row>
    <row r="3709">
      <c r="A3709" s="27" t="n">
        <v>44687</v>
      </c>
      <c r="B3709" t="n">
        <v>0.85</v>
      </c>
      <c r="C3709" t="n">
        <v>2.72</v>
      </c>
      <c r="D3709" t="n">
        <v>3.12</v>
      </c>
      <c r="E3709" t="n">
        <v>3.23</v>
      </c>
    </row>
    <row r="3710">
      <c r="A3710" s="27" t="n">
        <v>44690</v>
      </c>
      <c r="B3710" t="n">
        <v>0.92</v>
      </c>
      <c r="C3710" t="n">
        <v>2.61</v>
      </c>
      <c r="D3710" t="n">
        <v>3.05</v>
      </c>
      <c r="E3710" t="n">
        <v>3.19</v>
      </c>
    </row>
    <row r="3711">
      <c r="A3711" s="27" t="n">
        <v>44691</v>
      </c>
      <c r="B3711" t="n">
        <v>0.89</v>
      </c>
      <c r="C3711" t="n">
        <v>2.62</v>
      </c>
      <c r="D3711" t="n">
        <v>2.99</v>
      </c>
      <c r="E3711" t="n">
        <v>3.12</v>
      </c>
    </row>
    <row r="3712">
      <c r="A3712" s="27" t="n">
        <v>44692</v>
      </c>
      <c r="B3712" t="n">
        <v>0.91</v>
      </c>
      <c r="C3712" t="n">
        <v>2.66</v>
      </c>
      <c r="D3712" t="n">
        <v>2.91</v>
      </c>
      <c r="E3712" t="n">
        <v>3.05</v>
      </c>
    </row>
    <row r="3713">
      <c r="A3713" s="27" t="n">
        <v>44693</v>
      </c>
      <c r="B3713" t="n">
        <v>0.96</v>
      </c>
      <c r="C3713" t="n">
        <v>2.56</v>
      </c>
      <c r="D3713" t="n">
        <v>2.84</v>
      </c>
      <c r="E3713" t="n">
        <v>3</v>
      </c>
    </row>
    <row r="3714">
      <c r="A3714" s="27" t="n">
        <v>44694</v>
      </c>
      <c r="B3714" t="n">
        <v>1.03</v>
      </c>
      <c r="C3714" t="n">
        <v>2.61</v>
      </c>
      <c r="D3714" t="n">
        <v>2.93</v>
      </c>
      <c r="E3714" t="n">
        <v>3.1</v>
      </c>
    </row>
    <row r="3715">
      <c r="A3715" s="27" t="n">
        <v>44697</v>
      </c>
      <c r="B3715" t="n">
        <v>1.07</v>
      </c>
      <c r="C3715" t="n">
        <v>2.58</v>
      </c>
      <c r="D3715" t="n">
        <v>2.88</v>
      </c>
      <c r="E3715" t="n">
        <v>3.09</v>
      </c>
    </row>
    <row r="3716">
      <c r="A3716" s="27" t="n">
        <v>44698</v>
      </c>
      <c r="B3716" t="n">
        <v>1.06</v>
      </c>
      <c r="C3716" t="n">
        <v>2.71</v>
      </c>
      <c r="D3716" t="n">
        <v>2.98</v>
      </c>
      <c r="E3716" t="n">
        <v>3.17</v>
      </c>
    </row>
    <row r="3717">
      <c r="A3717" s="27" t="n">
        <v>44699</v>
      </c>
      <c r="B3717" t="n">
        <v>1.03</v>
      </c>
      <c r="C3717" t="n">
        <v>2.68</v>
      </c>
      <c r="D3717" t="n">
        <v>2.89</v>
      </c>
      <c r="E3717" t="n">
        <v>3.07</v>
      </c>
    </row>
    <row r="3718">
      <c r="A3718" s="27" t="n">
        <v>44700</v>
      </c>
      <c r="B3718" t="n">
        <v>1.05</v>
      </c>
      <c r="C3718" t="n">
        <v>2.63</v>
      </c>
      <c r="D3718" t="n">
        <v>2.84</v>
      </c>
      <c r="E3718" t="n">
        <v>3.05</v>
      </c>
    </row>
    <row r="3719">
      <c r="A3719" s="27" t="n">
        <v>44701</v>
      </c>
      <c r="B3719" t="n">
        <v>1.03</v>
      </c>
      <c r="C3719" t="n">
        <v>2.6</v>
      </c>
      <c r="D3719" t="n">
        <v>2.78</v>
      </c>
      <c r="E3719" t="n">
        <v>2.99</v>
      </c>
    </row>
    <row r="3720">
      <c r="A3720" s="27" t="n">
        <v>44704</v>
      </c>
      <c r="B3720" t="n">
        <v>1.07</v>
      </c>
      <c r="C3720" t="n">
        <v>2.65</v>
      </c>
      <c r="D3720" t="n">
        <v>2.86</v>
      </c>
      <c r="E3720" t="n">
        <v>3.08</v>
      </c>
    </row>
    <row r="3721">
      <c r="A3721" s="27" t="n">
        <v>44705</v>
      </c>
      <c r="B3721" t="n">
        <v>1.06</v>
      </c>
      <c r="C3721" t="n">
        <v>2.5</v>
      </c>
      <c r="D3721" t="n">
        <v>2.76</v>
      </c>
      <c r="E3721" t="n">
        <v>2.98</v>
      </c>
    </row>
    <row r="3722">
      <c r="A3722" s="27" t="n">
        <v>44706</v>
      </c>
      <c r="B3722" t="n">
        <v>1.06</v>
      </c>
      <c r="C3722" t="n">
        <v>2.48</v>
      </c>
      <c r="D3722" t="n">
        <v>2.75</v>
      </c>
      <c r="E3722" t="n">
        <v>2.97</v>
      </c>
    </row>
    <row r="3723">
      <c r="A3723" s="27" t="n">
        <v>44707</v>
      </c>
      <c r="B3723" t="n">
        <v>1.07</v>
      </c>
      <c r="C3723" t="n">
        <v>2.46</v>
      </c>
      <c r="D3723" t="n">
        <v>2.75</v>
      </c>
      <c r="E3723" t="n">
        <v>2.99</v>
      </c>
    </row>
    <row r="3724">
      <c r="A3724" s="27" t="n">
        <v>44708</v>
      </c>
      <c r="B3724" t="n">
        <v>1.08</v>
      </c>
      <c r="C3724" t="n">
        <v>2.47</v>
      </c>
      <c r="D3724" t="n">
        <v>2.74</v>
      </c>
      <c r="E3724" t="n">
        <v>2.97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rgb="FF92D050"/>
    <outlinePr summaryBelow="1" summaryRight="1"/>
    <pageSetUpPr/>
  </sheetPr>
  <dimension ref="A1:D3696"/>
  <sheetViews>
    <sheetView tabSelected="1" zoomScale="170" zoomScaleNormal="170" workbookViewId="0">
      <pane ySplit="2" topLeftCell="A3677" activePane="bottomLeft" state="frozen"/>
      <selection activeCell="I3683" sqref="I3683"/>
      <selection pane="bottomLeft" activeCell="G3699" sqref="G3699"/>
    </sheetView>
  </sheetViews>
  <sheetFormatPr baseColWidth="10" defaultRowHeight="15"/>
  <cols>
    <col width="10.83203125" customWidth="1" style="6" min="1" max="1"/>
    <col width="16.6640625" customWidth="1" style="7" min="2" max="2"/>
    <col width="15.6640625" customWidth="1" style="7" min="3" max="3"/>
    <col width="15" customWidth="1" style="7" min="4" max="4"/>
    <col width="10.83203125" customWidth="1" style="7" min="5" max="15"/>
    <col width="10.83203125" customWidth="1" style="7" min="16" max="16384"/>
  </cols>
  <sheetData>
    <row r="1">
      <c r="B1" t="inlineStr">
        <is>
          <t>10Y</t>
        </is>
      </c>
      <c r="C1" t="inlineStr">
        <is>
          <t>2Y</t>
        </is>
      </c>
    </row>
    <row r="2">
      <c r="A2" s="6" t="inlineStr">
        <is>
          <t>Date</t>
        </is>
      </c>
      <c r="B2" t="inlineStr">
        <is>
          <t>United States 10y</t>
        </is>
      </c>
      <c r="C2" t="inlineStr">
        <is>
          <t>United States 2y</t>
        </is>
      </c>
      <c r="D2" t="inlineStr">
        <is>
          <t>U.S 10y - U.S 2y</t>
        </is>
      </c>
    </row>
    <row r="3">
      <c r="A3" s="6">
        <f>Database!A2</f>
        <v/>
      </c>
      <c r="B3">
        <f>IF(VLOOKUP(Table73[[#This Row],[Date]],Database!$A:$E,MATCH($B$1,Database!$A$1:$E$1,),)=0,#N/A,VLOOKUP(Table73[[#This Row],[Date]],Database!$A:$E,MATCH($B$1,Database!$A$1:$E$1,),))</f>
        <v/>
      </c>
      <c r="C3">
        <f>IF(VLOOKUP(Table73[[#This Row],[Date]],Database!$A:$C,MATCH($C$1,Database!$A$1:$C$1,),)=0,#N/A,VLOOKUP(Table73[[#This Row],[Date]],Database!$A:$C,MATCH($C$1,Database!$A$1:$C$1,),))</f>
        <v/>
      </c>
      <c r="D3">
        <f>IFERROR(Table73[[#This Row],[United States 10y]]-Table73[[#This Row],[United States 2y]],#N/A)</f>
        <v/>
      </c>
    </row>
    <row r="4">
      <c r="A4" s="6">
        <f>Database!A3</f>
        <v/>
      </c>
      <c r="B4">
        <f>IF(VLOOKUP(Table73[[#This Row],[Date]],Database!$A:$E,MATCH($B$1,Database!$A$1:$E$1,),)=0,#N/A,VLOOKUP(Table73[[#This Row],[Date]],Database!$A:$E,MATCH($B$1,Database!$A$1:$E$1,),))</f>
        <v/>
      </c>
      <c r="C4">
        <f>IF(VLOOKUP(Table73[[#This Row],[Date]],Database!$A:$C,MATCH($C$1,Database!$A$1:$C$1,),)=0,#N/A,VLOOKUP(Table73[[#This Row],[Date]],Database!$A:$C,MATCH($C$1,Database!$A$1:$C$1,),))</f>
        <v/>
      </c>
      <c r="D4">
        <f>IFERROR(Table73[[#This Row],[United States 10y]]-Table73[[#This Row],[United States 2y]],#N/A)</f>
        <v/>
      </c>
    </row>
    <row r="5">
      <c r="A5" s="6">
        <f>Database!A4</f>
        <v/>
      </c>
      <c r="B5">
        <f>IF(VLOOKUP(Table73[[#This Row],[Date]],Database!$A:$E,MATCH($B$1,Database!$A$1:$E$1,),)=0,#N/A,VLOOKUP(Table73[[#This Row],[Date]],Database!$A:$E,MATCH($B$1,Database!$A$1:$E$1,),))</f>
        <v/>
      </c>
      <c r="C5">
        <f>IF(VLOOKUP(Table73[[#This Row],[Date]],Database!$A:$C,MATCH($C$1,Database!$A$1:$C$1,),)=0,#N/A,VLOOKUP(Table73[[#This Row],[Date]],Database!$A:$C,MATCH($C$1,Database!$A$1:$C$1,),))</f>
        <v/>
      </c>
      <c r="D5">
        <f>IFERROR(Table73[[#This Row],[United States 10y]]-Table73[[#This Row],[United States 2y]],#N/A)</f>
        <v/>
      </c>
    </row>
    <row r="6">
      <c r="A6" s="6">
        <f>Database!A5</f>
        <v/>
      </c>
      <c r="B6">
        <f>IF(VLOOKUP(Table73[[#This Row],[Date]],Database!$A:$E,MATCH($B$1,Database!$A$1:$E$1,),)=0,#N/A,VLOOKUP(Table73[[#This Row],[Date]],Database!$A:$E,MATCH($B$1,Database!$A$1:$E$1,),))</f>
        <v/>
      </c>
      <c r="C6">
        <f>IF(VLOOKUP(Table73[[#This Row],[Date]],Database!$A:$C,MATCH($C$1,Database!$A$1:$C$1,),)=0,#N/A,VLOOKUP(Table73[[#This Row],[Date]],Database!$A:$C,MATCH($C$1,Database!$A$1:$C$1,),))</f>
        <v/>
      </c>
      <c r="D6">
        <f>IFERROR(Table73[[#This Row],[United States 10y]]-Table73[[#This Row],[United States 2y]],#N/A)</f>
        <v/>
      </c>
    </row>
    <row r="7">
      <c r="A7" s="6">
        <f>Database!A6</f>
        <v/>
      </c>
      <c r="B7">
        <f>IF(VLOOKUP(Table73[[#This Row],[Date]],Database!$A:$E,MATCH($B$1,Database!$A$1:$E$1,),)=0,#N/A,VLOOKUP(Table73[[#This Row],[Date]],Database!$A:$E,MATCH($B$1,Database!$A$1:$E$1,),))</f>
        <v/>
      </c>
      <c r="C7">
        <f>IF(VLOOKUP(Table73[[#This Row],[Date]],Database!$A:$C,MATCH($C$1,Database!$A$1:$C$1,),)=0,#N/A,VLOOKUP(Table73[[#This Row],[Date]],Database!$A:$C,MATCH($C$1,Database!$A$1:$C$1,),))</f>
        <v/>
      </c>
      <c r="D7">
        <f>IFERROR(Table73[[#This Row],[United States 10y]]-Table73[[#This Row],[United States 2y]],#N/A)</f>
        <v/>
      </c>
    </row>
    <row r="8">
      <c r="A8" s="6">
        <f>Database!A7</f>
        <v/>
      </c>
      <c r="B8">
        <f>IF(VLOOKUP(Table73[[#This Row],[Date]],Database!$A:$E,MATCH($B$1,Database!$A$1:$E$1,),)=0,#N/A,VLOOKUP(Table73[[#This Row],[Date]],Database!$A:$E,MATCH($B$1,Database!$A$1:$E$1,),))</f>
        <v/>
      </c>
      <c r="C8">
        <f>IF(VLOOKUP(Table73[[#This Row],[Date]],Database!$A:$C,MATCH($C$1,Database!$A$1:$C$1,),)=0,#N/A,VLOOKUP(Table73[[#This Row],[Date]],Database!$A:$C,MATCH($C$1,Database!$A$1:$C$1,),))</f>
        <v/>
      </c>
      <c r="D8">
        <f>IFERROR(Table73[[#This Row],[United States 10y]]-Table73[[#This Row],[United States 2y]],#N/A)</f>
        <v/>
      </c>
    </row>
    <row r="9">
      <c r="A9" s="6">
        <f>Database!A8</f>
        <v/>
      </c>
      <c r="B9">
        <f>IF(VLOOKUP(Table73[[#This Row],[Date]],Database!$A:$E,MATCH($B$1,Database!$A$1:$E$1,),)=0,#N/A,VLOOKUP(Table73[[#This Row],[Date]],Database!$A:$E,MATCH($B$1,Database!$A$1:$E$1,),))</f>
        <v/>
      </c>
      <c r="C9">
        <f>IF(VLOOKUP(Table73[[#This Row],[Date]],Database!$A:$C,MATCH($C$1,Database!$A$1:$C$1,),)=0,#N/A,VLOOKUP(Table73[[#This Row],[Date]],Database!$A:$C,MATCH($C$1,Database!$A$1:$C$1,),))</f>
        <v/>
      </c>
      <c r="D9">
        <f>IFERROR(Table73[[#This Row],[United States 10y]]-Table73[[#This Row],[United States 2y]],#N/A)</f>
        <v/>
      </c>
    </row>
    <row r="10">
      <c r="A10" s="6">
        <f>Database!A9</f>
        <v/>
      </c>
      <c r="B10">
        <f>IF(VLOOKUP(Table73[[#This Row],[Date]],Database!$A:$E,MATCH($B$1,Database!$A$1:$E$1,),)=0,#N/A,VLOOKUP(Table73[[#This Row],[Date]],Database!$A:$E,MATCH($B$1,Database!$A$1:$E$1,),))</f>
        <v/>
      </c>
      <c r="C10">
        <f>IF(VLOOKUP(Table73[[#This Row],[Date]],Database!$A:$C,MATCH($C$1,Database!$A$1:$C$1,),)=0,#N/A,VLOOKUP(Table73[[#This Row],[Date]],Database!$A:$C,MATCH($C$1,Database!$A$1:$C$1,),))</f>
        <v/>
      </c>
      <c r="D10">
        <f>IFERROR(Table73[[#This Row],[United States 10y]]-Table73[[#This Row],[United States 2y]],#N/A)</f>
        <v/>
      </c>
    </row>
    <row r="11">
      <c r="A11" s="6">
        <f>Database!A10</f>
        <v/>
      </c>
      <c r="B11">
        <f>IF(VLOOKUP(Table73[[#This Row],[Date]],Database!$A:$E,MATCH($B$1,Database!$A$1:$E$1,),)=0,#N/A,VLOOKUP(Table73[[#This Row],[Date]],Database!$A:$E,MATCH($B$1,Database!$A$1:$E$1,),))</f>
        <v/>
      </c>
      <c r="C11">
        <f>IF(VLOOKUP(Table73[[#This Row],[Date]],Database!$A:$C,MATCH($C$1,Database!$A$1:$C$1,),)=0,#N/A,VLOOKUP(Table73[[#This Row],[Date]],Database!$A:$C,MATCH($C$1,Database!$A$1:$C$1,),))</f>
        <v/>
      </c>
      <c r="D11">
        <f>IFERROR(Table73[[#This Row],[United States 10y]]-Table73[[#This Row],[United States 2y]],#N/A)</f>
        <v/>
      </c>
    </row>
    <row r="12">
      <c r="A12" s="6">
        <f>Database!A11</f>
        <v/>
      </c>
      <c r="B12">
        <f>IF(VLOOKUP(Table73[[#This Row],[Date]],Database!$A:$E,MATCH($B$1,Database!$A$1:$E$1,),)=0,#N/A,VLOOKUP(Table73[[#This Row],[Date]],Database!$A:$E,MATCH($B$1,Database!$A$1:$E$1,),))</f>
        <v/>
      </c>
      <c r="C12">
        <f>IF(VLOOKUP(Table73[[#This Row],[Date]],Database!$A:$C,MATCH($C$1,Database!$A$1:$C$1,),)=0,#N/A,VLOOKUP(Table73[[#This Row],[Date]],Database!$A:$C,MATCH($C$1,Database!$A$1:$C$1,),))</f>
        <v/>
      </c>
      <c r="D12">
        <f>IFERROR(Table73[[#This Row],[United States 10y]]-Table73[[#This Row],[United States 2y]],#N/A)</f>
        <v/>
      </c>
    </row>
    <row r="13">
      <c r="A13" s="6">
        <f>Database!A12</f>
        <v/>
      </c>
      <c r="B13">
        <f>IF(VLOOKUP(Table73[[#This Row],[Date]],Database!$A:$E,MATCH($B$1,Database!$A$1:$E$1,),)=0,#N/A,VLOOKUP(Table73[[#This Row],[Date]],Database!$A:$E,MATCH($B$1,Database!$A$1:$E$1,),))</f>
        <v/>
      </c>
      <c r="C13">
        <f>IF(VLOOKUP(Table73[[#This Row],[Date]],Database!$A:$C,MATCH($C$1,Database!$A$1:$C$1,),)=0,#N/A,VLOOKUP(Table73[[#This Row],[Date]],Database!$A:$C,MATCH($C$1,Database!$A$1:$C$1,),))</f>
        <v/>
      </c>
      <c r="D13">
        <f>IFERROR(Table73[[#This Row],[United States 10y]]-Table73[[#This Row],[United States 2y]],#N/A)</f>
        <v/>
      </c>
    </row>
    <row r="14">
      <c r="A14" s="6">
        <f>Database!A13</f>
        <v/>
      </c>
      <c r="B14">
        <f>IF(VLOOKUP(Table73[[#This Row],[Date]],Database!$A:$E,MATCH($B$1,Database!$A$1:$E$1,),)=0,#N/A,VLOOKUP(Table73[[#This Row],[Date]],Database!$A:$E,MATCH($B$1,Database!$A$1:$E$1,),))</f>
        <v/>
      </c>
      <c r="C14">
        <f>IF(VLOOKUP(Table73[[#This Row],[Date]],Database!$A:$C,MATCH($C$1,Database!$A$1:$C$1,),)=0,#N/A,VLOOKUP(Table73[[#This Row],[Date]],Database!$A:$C,MATCH($C$1,Database!$A$1:$C$1,),))</f>
        <v/>
      </c>
      <c r="D14">
        <f>IFERROR(Table73[[#This Row],[United States 10y]]-Table73[[#This Row],[United States 2y]],#N/A)</f>
        <v/>
      </c>
    </row>
    <row r="15">
      <c r="A15" s="6">
        <f>Database!A14</f>
        <v/>
      </c>
      <c r="B15">
        <f>IF(VLOOKUP(Table73[[#This Row],[Date]],Database!$A:$E,MATCH($B$1,Database!$A$1:$E$1,),)=0,#N/A,VLOOKUP(Table73[[#This Row],[Date]],Database!$A:$E,MATCH($B$1,Database!$A$1:$E$1,),))</f>
        <v/>
      </c>
      <c r="C15">
        <f>IF(VLOOKUP(Table73[[#This Row],[Date]],Database!$A:$C,MATCH($C$1,Database!$A$1:$C$1,),)=0,#N/A,VLOOKUP(Table73[[#This Row],[Date]],Database!$A:$C,MATCH($C$1,Database!$A$1:$C$1,),))</f>
        <v/>
      </c>
      <c r="D15">
        <f>IFERROR(Table73[[#This Row],[United States 10y]]-Table73[[#This Row],[United States 2y]],#N/A)</f>
        <v/>
      </c>
    </row>
    <row r="16">
      <c r="A16" s="6">
        <f>Database!A15</f>
        <v/>
      </c>
      <c r="B16">
        <f>IF(VLOOKUP(Table73[[#This Row],[Date]],Database!$A:$E,MATCH($B$1,Database!$A$1:$E$1,),)=0,#N/A,VLOOKUP(Table73[[#This Row],[Date]],Database!$A:$E,MATCH($B$1,Database!$A$1:$E$1,),))</f>
        <v/>
      </c>
      <c r="C16">
        <f>IF(VLOOKUP(Table73[[#This Row],[Date]],Database!$A:$C,MATCH($C$1,Database!$A$1:$C$1,),)=0,#N/A,VLOOKUP(Table73[[#This Row],[Date]],Database!$A:$C,MATCH($C$1,Database!$A$1:$C$1,),))</f>
        <v/>
      </c>
      <c r="D16">
        <f>IFERROR(Table73[[#This Row],[United States 10y]]-Table73[[#This Row],[United States 2y]],#N/A)</f>
        <v/>
      </c>
    </row>
    <row r="17">
      <c r="A17" s="6">
        <f>Database!A16</f>
        <v/>
      </c>
      <c r="B17">
        <f>IF(VLOOKUP(Table73[[#This Row],[Date]],Database!$A:$E,MATCH($B$1,Database!$A$1:$E$1,),)=0,#N/A,VLOOKUP(Table73[[#This Row],[Date]],Database!$A:$E,MATCH($B$1,Database!$A$1:$E$1,),))</f>
        <v/>
      </c>
      <c r="C17">
        <f>IF(VLOOKUP(Table73[[#This Row],[Date]],Database!$A:$C,MATCH($C$1,Database!$A$1:$C$1,),)=0,#N/A,VLOOKUP(Table73[[#This Row],[Date]],Database!$A:$C,MATCH($C$1,Database!$A$1:$C$1,),))</f>
        <v/>
      </c>
      <c r="D17">
        <f>IFERROR(Table73[[#This Row],[United States 10y]]-Table73[[#This Row],[United States 2y]],#N/A)</f>
        <v/>
      </c>
    </row>
    <row r="18">
      <c r="A18" s="6">
        <f>Database!A17</f>
        <v/>
      </c>
      <c r="B18">
        <f>IF(VLOOKUP(Table73[[#This Row],[Date]],Database!$A:$E,MATCH($B$1,Database!$A$1:$E$1,),)=0,#N/A,VLOOKUP(Table73[[#This Row],[Date]],Database!$A:$E,MATCH($B$1,Database!$A$1:$E$1,),))</f>
        <v/>
      </c>
      <c r="C18">
        <f>IF(VLOOKUP(Table73[[#This Row],[Date]],Database!$A:$C,MATCH($C$1,Database!$A$1:$C$1,),)=0,#N/A,VLOOKUP(Table73[[#This Row],[Date]],Database!$A:$C,MATCH($C$1,Database!$A$1:$C$1,),))</f>
        <v/>
      </c>
      <c r="D18">
        <f>IFERROR(Table73[[#This Row],[United States 10y]]-Table73[[#This Row],[United States 2y]],#N/A)</f>
        <v/>
      </c>
    </row>
    <row r="19">
      <c r="A19" s="6">
        <f>Database!A18</f>
        <v/>
      </c>
      <c r="B19">
        <f>IF(VLOOKUP(Table73[[#This Row],[Date]],Database!$A:$E,MATCH($B$1,Database!$A$1:$E$1,),)=0,#N/A,VLOOKUP(Table73[[#This Row],[Date]],Database!$A:$E,MATCH($B$1,Database!$A$1:$E$1,),))</f>
        <v/>
      </c>
      <c r="C19">
        <f>IF(VLOOKUP(Table73[[#This Row],[Date]],Database!$A:$C,MATCH($C$1,Database!$A$1:$C$1,),)=0,#N/A,VLOOKUP(Table73[[#This Row],[Date]],Database!$A:$C,MATCH($C$1,Database!$A$1:$C$1,),))</f>
        <v/>
      </c>
      <c r="D19">
        <f>IFERROR(Table73[[#This Row],[United States 10y]]-Table73[[#This Row],[United States 2y]],#N/A)</f>
        <v/>
      </c>
    </row>
    <row r="20">
      <c r="A20" s="6">
        <f>Database!A19</f>
        <v/>
      </c>
      <c r="B20">
        <f>IF(VLOOKUP(Table73[[#This Row],[Date]],Database!$A:$E,MATCH($B$1,Database!$A$1:$E$1,),)=0,#N/A,VLOOKUP(Table73[[#This Row],[Date]],Database!$A:$E,MATCH($B$1,Database!$A$1:$E$1,),))</f>
        <v/>
      </c>
      <c r="C20">
        <f>IF(VLOOKUP(Table73[[#This Row],[Date]],Database!$A:$C,MATCH($C$1,Database!$A$1:$C$1,),)=0,#N/A,VLOOKUP(Table73[[#This Row],[Date]],Database!$A:$C,MATCH($C$1,Database!$A$1:$C$1,),))</f>
        <v/>
      </c>
      <c r="D20">
        <f>IFERROR(Table73[[#This Row],[United States 10y]]-Table73[[#This Row],[United States 2y]],#N/A)</f>
        <v/>
      </c>
    </row>
    <row r="21">
      <c r="A21" s="6">
        <f>Database!A20</f>
        <v/>
      </c>
      <c r="B21">
        <f>IF(VLOOKUP(Table73[[#This Row],[Date]],Database!$A:$E,MATCH($B$1,Database!$A$1:$E$1,),)=0,#N/A,VLOOKUP(Table73[[#This Row],[Date]],Database!$A:$E,MATCH($B$1,Database!$A$1:$E$1,),))</f>
        <v/>
      </c>
      <c r="C21">
        <f>IF(VLOOKUP(Table73[[#This Row],[Date]],Database!$A:$C,MATCH($C$1,Database!$A$1:$C$1,),)=0,#N/A,VLOOKUP(Table73[[#This Row],[Date]],Database!$A:$C,MATCH($C$1,Database!$A$1:$C$1,),))</f>
        <v/>
      </c>
      <c r="D21">
        <f>IFERROR(Table73[[#This Row],[United States 10y]]-Table73[[#This Row],[United States 2y]],#N/A)</f>
        <v/>
      </c>
    </row>
    <row r="22">
      <c r="A22" s="6">
        <f>Database!A21</f>
        <v/>
      </c>
      <c r="B22">
        <f>IF(VLOOKUP(Table73[[#This Row],[Date]],Database!$A:$E,MATCH($B$1,Database!$A$1:$E$1,),)=0,#N/A,VLOOKUP(Table73[[#This Row],[Date]],Database!$A:$E,MATCH($B$1,Database!$A$1:$E$1,),))</f>
        <v/>
      </c>
      <c r="C22">
        <f>IF(VLOOKUP(Table73[[#This Row],[Date]],Database!$A:$C,MATCH($C$1,Database!$A$1:$C$1,),)=0,#N/A,VLOOKUP(Table73[[#This Row],[Date]],Database!$A:$C,MATCH($C$1,Database!$A$1:$C$1,),))</f>
        <v/>
      </c>
      <c r="D22">
        <f>IFERROR(Table73[[#This Row],[United States 10y]]-Table73[[#This Row],[United States 2y]],#N/A)</f>
        <v/>
      </c>
    </row>
    <row r="23">
      <c r="A23" s="6">
        <f>Database!A22</f>
        <v/>
      </c>
      <c r="B23">
        <f>IF(VLOOKUP(Table73[[#This Row],[Date]],Database!$A:$E,MATCH($B$1,Database!$A$1:$E$1,),)=0,#N/A,VLOOKUP(Table73[[#This Row],[Date]],Database!$A:$E,MATCH($B$1,Database!$A$1:$E$1,),))</f>
        <v/>
      </c>
      <c r="C23">
        <f>IF(VLOOKUP(Table73[[#This Row],[Date]],Database!$A:$C,MATCH($C$1,Database!$A$1:$C$1,),)=0,#N/A,VLOOKUP(Table73[[#This Row],[Date]],Database!$A:$C,MATCH($C$1,Database!$A$1:$C$1,),))</f>
        <v/>
      </c>
      <c r="D23">
        <f>IFERROR(Table73[[#This Row],[United States 10y]]-Table73[[#This Row],[United States 2y]],#N/A)</f>
        <v/>
      </c>
    </row>
    <row r="24">
      <c r="A24" s="6">
        <f>Database!A23</f>
        <v/>
      </c>
      <c r="B24">
        <f>IF(VLOOKUP(Table73[[#This Row],[Date]],Database!$A:$E,MATCH($B$1,Database!$A$1:$E$1,),)=0,#N/A,VLOOKUP(Table73[[#This Row],[Date]],Database!$A:$E,MATCH($B$1,Database!$A$1:$E$1,),))</f>
        <v/>
      </c>
      <c r="C24">
        <f>IF(VLOOKUP(Table73[[#This Row],[Date]],Database!$A:$C,MATCH($C$1,Database!$A$1:$C$1,),)=0,#N/A,VLOOKUP(Table73[[#This Row],[Date]],Database!$A:$C,MATCH($C$1,Database!$A$1:$C$1,),))</f>
        <v/>
      </c>
      <c r="D24">
        <f>IFERROR(Table73[[#This Row],[United States 10y]]-Table73[[#This Row],[United States 2y]],#N/A)</f>
        <v/>
      </c>
    </row>
    <row r="25">
      <c r="A25" s="6">
        <f>Database!A24</f>
        <v/>
      </c>
      <c r="B25">
        <f>IF(VLOOKUP(Table73[[#This Row],[Date]],Database!$A:$E,MATCH($B$1,Database!$A$1:$E$1,),)=0,#N/A,VLOOKUP(Table73[[#This Row],[Date]],Database!$A:$E,MATCH($B$1,Database!$A$1:$E$1,),))</f>
        <v/>
      </c>
      <c r="C25">
        <f>IF(VLOOKUP(Table73[[#This Row],[Date]],Database!$A:$C,MATCH($C$1,Database!$A$1:$C$1,),)=0,#N/A,VLOOKUP(Table73[[#This Row],[Date]],Database!$A:$C,MATCH($C$1,Database!$A$1:$C$1,),))</f>
        <v/>
      </c>
      <c r="D25">
        <f>IFERROR(Table73[[#This Row],[United States 10y]]-Table73[[#This Row],[United States 2y]],#N/A)</f>
        <v/>
      </c>
    </row>
    <row r="26">
      <c r="A26" s="6">
        <f>Database!A25</f>
        <v/>
      </c>
      <c r="B26">
        <f>IF(VLOOKUP(Table73[[#This Row],[Date]],Database!$A:$E,MATCH($B$1,Database!$A$1:$E$1,),)=0,#N/A,VLOOKUP(Table73[[#This Row],[Date]],Database!$A:$E,MATCH($B$1,Database!$A$1:$E$1,),))</f>
        <v/>
      </c>
      <c r="C26">
        <f>IF(VLOOKUP(Table73[[#This Row],[Date]],Database!$A:$C,MATCH($C$1,Database!$A$1:$C$1,),)=0,#N/A,VLOOKUP(Table73[[#This Row],[Date]],Database!$A:$C,MATCH($C$1,Database!$A$1:$C$1,),))</f>
        <v/>
      </c>
      <c r="D26">
        <f>IFERROR(Table73[[#This Row],[United States 10y]]-Table73[[#This Row],[United States 2y]],#N/A)</f>
        <v/>
      </c>
    </row>
    <row r="27">
      <c r="A27" s="6">
        <f>Database!A26</f>
        <v/>
      </c>
      <c r="B27">
        <f>IF(VLOOKUP(Table73[[#This Row],[Date]],Database!$A:$E,MATCH($B$1,Database!$A$1:$E$1,),)=0,#N/A,VLOOKUP(Table73[[#This Row],[Date]],Database!$A:$E,MATCH($B$1,Database!$A$1:$E$1,),))</f>
        <v/>
      </c>
      <c r="C27">
        <f>IF(VLOOKUP(Table73[[#This Row],[Date]],Database!$A:$C,MATCH($C$1,Database!$A$1:$C$1,),)=0,#N/A,VLOOKUP(Table73[[#This Row],[Date]],Database!$A:$C,MATCH($C$1,Database!$A$1:$C$1,),))</f>
        <v/>
      </c>
      <c r="D27">
        <f>IFERROR(Table73[[#This Row],[United States 10y]]-Table73[[#This Row],[United States 2y]],#N/A)</f>
        <v/>
      </c>
    </row>
    <row r="28">
      <c r="A28" s="6">
        <f>Database!A27</f>
        <v/>
      </c>
      <c r="B28">
        <f>IF(VLOOKUP(Table73[[#This Row],[Date]],Database!$A:$E,MATCH($B$1,Database!$A$1:$E$1,),)=0,#N/A,VLOOKUP(Table73[[#This Row],[Date]],Database!$A:$E,MATCH($B$1,Database!$A$1:$E$1,),))</f>
        <v/>
      </c>
      <c r="C28">
        <f>IF(VLOOKUP(Table73[[#This Row],[Date]],Database!$A:$C,MATCH($C$1,Database!$A$1:$C$1,),)=0,#N/A,VLOOKUP(Table73[[#This Row],[Date]],Database!$A:$C,MATCH($C$1,Database!$A$1:$C$1,),))</f>
        <v/>
      </c>
      <c r="D28">
        <f>IFERROR(Table73[[#This Row],[United States 10y]]-Table73[[#This Row],[United States 2y]],#N/A)</f>
        <v/>
      </c>
    </row>
    <row r="29">
      <c r="A29" s="6">
        <f>Database!A28</f>
        <v/>
      </c>
      <c r="B29">
        <f>IF(VLOOKUP(Table73[[#This Row],[Date]],Database!$A:$E,MATCH($B$1,Database!$A$1:$E$1,),)=0,#N/A,VLOOKUP(Table73[[#This Row],[Date]],Database!$A:$E,MATCH($B$1,Database!$A$1:$E$1,),))</f>
        <v/>
      </c>
      <c r="C29">
        <f>IF(VLOOKUP(Table73[[#This Row],[Date]],Database!$A:$C,MATCH($C$1,Database!$A$1:$C$1,),)=0,#N/A,VLOOKUP(Table73[[#This Row],[Date]],Database!$A:$C,MATCH($C$1,Database!$A$1:$C$1,),))</f>
        <v/>
      </c>
      <c r="D29">
        <f>IFERROR(Table73[[#This Row],[United States 10y]]-Table73[[#This Row],[United States 2y]],#N/A)</f>
        <v/>
      </c>
    </row>
    <row r="30">
      <c r="A30" s="6">
        <f>Database!A29</f>
        <v/>
      </c>
      <c r="B30">
        <f>IF(VLOOKUP(Table73[[#This Row],[Date]],Database!$A:$E,MATCH($B$1,Database!$A$1:$E$1,),)=0,#N/A,VLOOKUP(Table73[[#This Row],[Date]],Database!$A:$E,MATCH($B$1,Database!$A$1:$E$1,),))</f>
        <v/>
      </c>
      <c r="C30">
        <f>IF(VLOOKUP(Table73[[#This Row],[Date]],Database!$A:$C,MATCH($C$1,Database!$A$1:$C$1,),)=0,#N/A,VLOOKUP(Table73[[#This Row],[Date]],Database!$A:$C,MATCH($C$1,Database!$A$1:$C$1,),))</f>
        <v/>
      </c>
      <c r="D30">
        <f>IFERROR(Table73[[#This Row],[United States 10y]]-Table73[[#This Row],[United States 2y]],#N/A)</f>
        <v/>
      </c>
    </row>
    <row r="31">
      <c r="A31" s="6">
        <f>Database!A30</f>
        <v/>
      </c>
      <c r="B31">
        <f>IF(VLOOKUP(Table73[[#This Row],[Date]],Database!$A:$E,MATCH($B$1,Database!$A$1:$E$1,),)=0,#N/A,VLOOKUP(Table73[[#This Row],[Date]],Database!$A:$E,MATCH($B$1,Database!$A$1:$E$1,),))</f>
        <v/>
      </c>
      <c r="C31">
        <f>IF(VLOOKUP(Table73[[#This Row],[Date]],Database!$A:$C,MATCH($C$1,Database!$A$1:$C$1,),)=0,#N/A,VLOOKUP(Table73[[#This Row],[Date]],Database!$A:$C,MATCH($C$1,Database!$A$1:$C$1,),))</f>
        <v/>
      </c>
      <c r="D31">
        <f>IFERROR(Table73[[#This Row],[United States 10y]]-Table73[[#This Row],[United States 2y]],#N/A)</f>
        <v/>
      </c>
    </row>
    <row r="32">
      <c r="A32" s="6">
        <f>Database!A31</f>
        <v/>
      </c>
      <c r="B32">
        <f>IF(VLOOKUP(Table73[[#This Row],[Date]],Database!$A:$E,MATCH($B$1,Database!$A$1:$E$1,),)=0,#N/A,VLOOKUP(Table73[[#This Row],[Date]],Database!$A:$E,MATCH($B$1,Database!$A$1:$E$1,),))</f>
        <v/>
      </c>
      <c r="C32">
        <f>IF(VLOOKUP(Table73[[#This Row],[Date]],Database!$A:$C,MATCH($C$1,Database!$A$1:$C$1,),)=0,#N/A,VLOOKUP(Table73[[#This Row],[Date]],Database!$A:$C,MATCH($C$1,Database!$A$1:$C$1,),))</f>
        <v/>
      </c>
      <c r="D32">
        <f>IFERROR(Table73[[#This Row],[United States 10y]]-Table73[[#This Row],[United States 2y]],#N/A)</f>
        <v/>
      </c>
    </row>
    <row r="33">
      <c r="A33" s="6">
        <f>Database!A32</f>
        <v/>
      </c>
      <c r="B33">
        <f>IF(VLOOKUP(Table73[[#This Row],[Date]],Database!$A:$E,MATCH($B$1,Database!$A$1:$E$1,),)=0,#N/A,VLOOKUP(Table73[[#This Row],[Date]],Database!$A:$E,MATCH($B$1,Database!$A$1:$E$1,),))</f>
        <v/>
      </c>
      <c r="C33">
        <f>IF(VLOOKUP(Table73[[#This Row],[Date]],Database!$A:$C,MATCH($C$1,Database!$A$1:$C$1,),)=0,#N/A,VLOOKUP(Table73[[#This Row],[Date]],Database!$A:$C,MATCH($C$1,Database!$A$1:$C$1,),))</f>
        <v/>
      </c>
      <c r="D33">
        <f>IFERROR(Table73[[#This Row],[United States 10y]]-Table73[[#This Row],[United States 2y]],#N/A)</f>
        <v/>
      </c>
    </row>
    <row r="34">
      <c r="A34" s="6">
        <f>Database!A33</f>
        <v/>
      </c>
      <c r="B34">
        <f>IF(VLOOKUP(Table73[[#This Row],[Date]],Database!$A:$E,MATCH($B$1,Database!$A$1:$E$1,),)=0,#N/A,VLOOKUP(Table73[[#This Row],[Date]],Database!$A:$E,MATCH($B$1,Database!$A$1:$E$1,),))</f>
        <v/>
      </c>
      <c r="C34">
        <f>IF(VLOOKUP(Table73[[#This Row],[Date]],Database!$A:$C,MATCH($C$1,Database!$A$1:$C$1,),)=0,#N/A,VLOOKUP(Table73[[#This Row],[Date]],Database!$A:$C,MATCH($C$1,Database!$A$1:$C$1,),))</f>
        <v/>
      </c>
      <c r="D34">
        <f>IFERROR(Table73[[#This Row],[United States 10y]]-Table73[[#This Row],[United States 2y]],#N/A)</f>
        <v/>
      </c>
    </row>
    <row r="35">
      <c r="A35" s="6">
        <f>Database!A34</f>
        <v/>
      </c>
      <c r="B35">
        <f>IF(VLOOKUP(Table73[[#This Row],[Date]],Database!$A:$E,MATCH($B$1,Database!$A$1:$E$1,),)=0,#N/A,VLOOKUP(Table73[[#This Row],[Date]],Database!$A:$E,MATCH($B$1,Database!$A$1:$E$1,),))</f>
        <v/>
      </c>
      <c r="C35">
        <f>IF(VLOOKUP(Table73[[#This Row],[Date]],Database!$A:$C,MATCH($C$1,Database!$A$1:$C$1,),)=0,#N/A,VLOOKUP(Table73[[#This Row],[Date]],Database!$A:$C,MATCH($C$1,Database!$A$1:$C$1,),))</f>
        <v/>
      </c>
      <c r="D35">
        <f>IFERROR(Table73[[#This Row],[United States 10y]]-Table73[[#This Row],[United States 2y]],#N/A)</f>
        <v/>
      </c>
    </row>
    <row r="36">
      <c r="A36" s="6">
        <f>Database!A35</f>
        <v/>
      </c>
      <c r="B36">
        <f>IF(VLOOKUP(Table73[[#This Row],[Date]],Database!$A:$E,MATCH($B$1,Database!$A$1:$E$1,),)=0,#N/A,VLOOKUP(Table73[[#This Row],[Date]],Database!$A:$E,MATCH($B$1,Database!$A$1:$E$1,),))</f>
        <v/>
      </c>
      <c r="C36">
        <f>IF(VLOOKUP(Table73[[#This Row],[Date]],Database!$A:$C,MATCH($C$1,Database!$A$1:$C$1,),)=0,#N/A,VLOOKUP(Table73[[#This Row],[Date]],Database!$A:$C,MATCH($C$1,Database!$A$1:$C$1,),))</f>
        <v/>
      </c>
      <c r="D36">
        <f>IFERROR(Table73[[#This Row],[United States 10y]]-Table73[[#This Row],[United States 2y]],#N/A)</f>
        <v/>
      </c>
    </row>
    <row r="37">
      <c r="A37" s="6">
        <f>Database!A36</f>
        <v/>
      </c>
      <c r="B37">
        <f>IF(VLOOKUP(Table73[[#This Row],[Date]],Database!$A:$E,MATCH($B$1,Database!$A$1:$E$1,),)=0,#N/A,VLOOKUP(Table73[[#This Row],[Date]],Database!$A:$E,MATCH($B$1,Database!$A$1:$E$1,),))</f>
        <v/>
      </c>
      <c r="C37">
        <f>IF(VLOOKUP(Table73[[#This Row],[Date]],Database!$A:$C,MATCH($C$1,Database!$A$1:$C$1,),)=0,#N/A,VLOOKUP(Table73[[#This Row],[Date]],Database!$A:$C,MATCH($C$1,Database!$A$1:$C$1,),))</f>
        <v/>
      </c>
      <c r="D37">
        <f>IFERROR(Table73[[#This Row],[United States 10y]]-Table73[[#This Row],[United States 2y]],#N/A)</f>
        <v/>
      </c>
    </row>
    <row r="38">
      <c r="A38" s="6">
        <f>Database!A37</f>
        <v/>
      </c>
      <c r="B38">
        <f>IF(VLOOKUP(Table73[[#This Row],[Date]],Database!$A:$E,MATCH($B$1,Database!$A$1:$E$1,),)=0,#N/A,VLOOKUP(Table73[[#This Row],[Date]],Database!$A:$E,MATCH($B$1,Database!$A$1:$E$1,),))</f>
        <v/>
      </c>
      <c r="C38">
        <f>IF(VLOOKUP(Table73[[#This Row],[Date]],Database!$A:$C,MATCH($C$1,Database!$A$1:$C$1,),)=0,#N/A,VLOOKUP(Table73[[#This Row],[Date]],Database!$A:$C,MATCH($C$1,Database!$A$1:$C$1,),))</f>
        <v/>
      </c>
      <c r="D38">
        <f>IFERROR(Table73[[#This Row],[United States 10y]]-Table73[[#This Row],[United States 2y]],#N/A)</f>
        <v/>
      </c>
    </row>
    <row r="39">
      <c r="A39" s="6">
        <f>Database!A38</f>
        <v/>
      </c>
      <c r="B39">
        <f>IF(VLOOKUP(Table73[[#This Row],[Date]],Database!$A:$E,MATCH($B$1,Database!$A$1:$E$1,),)=0,#N/A,VLOOKUP(Table73[[#This Row],[Date]],Database!$A:$E,MATCH($B$1,Database!$A$1:$E$1,),))</f>
        <v/>
      </c>
      <c r="C39">
        <f>IF(VLOOKUP(Table73[[#This Row],[Date]],Database!$A:$C,MATCH($C$1,Database!$A$1:$C$1,),)=0,#N/A,VLOOKUP(Table73[[#This Row],[Date]],Database!$A:$C,MATCH($C$1,Database!$A$1:$C$1,),))</f>
        <v/>
      </c>
      <c r="D39">
        <f>IFERROR(Table73[[#This Row],[United States 10y]]-Table73[[#This Row],[United States 2y]],#N/A)</f>
        <v/>
      </c>
    </row>
    <row r="40">
      <c r="A40" s="6">
        <f>Database!A39</f>
        <v/>
      </c>
      <c r="B40">
        <f>IF(VLOOKUP(Table73[[#This Row],[Date]],Database!$A:$E,MATCH($B$1,Database!$A$1:$E$1,),)=0,#N/A,VLOOKUP(Table73[[#This Row],[Date]],Database!$A:$E,MATCH($B$1,Database!$A$1:$E$1,),))</f>
        <v/>
      </c>
      <c r="C40">
        <f>IF(VLOOKUP(Table73[[#This Row],[Date]],Database!$A:$C,MATCH($C$1,Database!$A$1:$C$1,),)=0,#N/A,VLOOKUP(Table73[[#This Row],[Date]],Database!$A:$C,MATCH($C$1,Database!$A$1:$C$1,),))</f>
        <v/>
      </c>
      <c r="D40">
        <f>IFERROR(Table73[[#This Row],[United States 10y]]-Table73[[#This Row],[United States 2y]],#N/A)</f>
        <v/>
      </c>
    </row>
    <row r="41">
      <c r="A41" s="6">
        <f>Database!A40</f>
        <v/>
      </c>
      <c r="B41">
        <f>IF(VLOOKUP(Table73[[#This Row],[Date]],Database!$A:$E,MATCH($B$1,Database!$A$1:$E$1,),)=0,#N/A,VLOOKUP(Table73[[#This Row],[Date]],Database!$A:$E,MATCH($B$1,Database!$A$1:$E$1,),))</f>
        <v/>
      </c>
      <c r="C41">
        <f>IF(VLOOKUP(Table73[[#This Row],[Date]],Database!$A:$C,MATCH($C$1,Database!$A$1:$C$1,),)=0,#N/A,VLOOKUP(Table73[[#This Row],[Date]],Database!$A:$C,MATCH($C$1,Database!$A$1:$C$1,),))</f>
        <v/>
      </c>
      <c r="D41">
        <f>IFERROR(Table73[[#This Row],[United States 10y]]-Table73[[#This Row],[United States 2y]],#N/A)</f>
        <v/>
      </c>
    </row>
    <row r="42">
      <c r="A42" s="6">
        <f>Database!A41</f>
        <v/>
      </c>
      <c r="B42">
        <f>IF(VLOOKUP(Table73[[#This Row],[Date]],Database!$A:$E,MATCH($B$1,Database!$A$1:$E$1,),)=0,#N/A,VLOOKUP(Table73[[#This Row],[Date]],Database!$A:$E,MATCH($B$1,Database!$A$1:$E$1,),))</f>
        <v/>
      </c>
      <c r="C42">
        <f>IF(VLOOKUP(Table73[[#This Row],[Date]],Database!$A:$C,MATCH($C$1,Database!$A$1:$C$1,),)=0,#N/A,VLOOKUP(Table73[[#This Row],[Date]],Database!$A:$C,MATCH($C$1,Database!$A$1:$C$1,),))</f>
        <v/>
      </c>
      <c r="D42">
        <f>IFERROR(Table73[[#This Row],[United States 10y]]-Table73[[#This Row],[United States 2y]],#N/A)</f>
        <v/>
      </c>
    </row>
    <row r="43">
      <c r="A43" s="6">
        <f>Database!A42</f>
        <v/>
      </c>
      <c r="B43">
        <f>IF(VLOOKUP(Table73[[#This Row],[Date]],Database!$A:$E,MATCH($B$1,Database!$A$1:$E$1,),)=0,#N/A,VLOOKUP(Table73[[#This Row],[Date]],Database!$A:$E,MATCH($B$1,Database!$A$1:$E$1,),))</f>
        <v/>
      </c>
      <c r="C43">
        <f>IF(VLOOKUP(Table73[[#This Row],[Date]],Database!$A:$C,MATCH($C$1,Database!$A$1:$C$1,),)=0,#N/A,VLOOKUP(Table73[[#This Row],[Date]],Database!$A:$C,MATCH($C$1,Database!$A$1:$C$1,),))</f>
        <v/>
      </c>
      <c r="D43">
        <f>IFERROR(Table73[[#This Row],[United States 10y]]-Table73[[#This Row],[United States 2y]],#N/A)</f>
        <v/>
      </c>
    </row>
    <row r="44">
      <c r="A44" s="6">
        <f>Database!A43</f>
        <v/>
      </c>
      <c r="B44">
        <f>IF(VLOOKUP(Table73[[#This Row],[Date]],Database!$A:$E,MATCH($B$1,Database!$A$1:$E$1,),)=0,#N/A,VLOOKUP(Table73[[#This Row],[Date]],Database!$A:$E,MATCH($B$1,Database!$A$1:$E$1,),))</f>
        <v/>
      </c>
      <c r="C44">
        <f>IF(VLOOKUP(Table73[[#This Row],[Date]],Database!$A:$C,MATCH($C$1,Database!$A$1:$C$1,),)=0,#N/A,VLOOKUP(Table73[[#This Row],[Date]],Database!$A:$C,MATCH($C$1,Database!$A$1:$C$1,),))</f>
        <v/>
      </c>
      <c r="D44">
        <f>IFERROR(Table73[[#This Row],[United States 10y]]-Table73[[#This Row],[United States 2y]],#N/A)</f>
        <v/>
      </c>
    </row>
    <row r="45">
      <c r="A45" s="6">
        <f>Database!A44</f>
        <v/>
      </c>
      <c r="B45">
        <f>IF(VLOOKUP(Table73[[#This Row],[Date]],Database!$A:$E,MATCH($B$1,Database!$A$1:$E$1,),)=0,#N/A,VLOOKUP(Table73[[#This Row],[Date]],Database!$A:$E,MATCH($B$1,Database!$A$1:$E$1,),))</f>
        <v/>
      </c>
      <c r="C45">
        <f>IF(VLOOKUP(Table73[[#This Row],[Date]],Database!$A:$C,MATCH($C$1,Database!$A$1:$C$1,),)=0,#N/A,VLOOKUP(Table73[[#This Row],[Date]],Database!$A:$C,MATCH($C$1,Database!$A$1:$C$1,),))</f>
        <v/>
      </c>
      <c r="D45">
        <f>IFERROR(Table73[[#This Row],[United States 10y]]-Table73[[#This Row],[United States 2y]],#N/A)</f>
        <v/>
      </c>
    </row>
    <row r="46">
      <c r="A46" s="6">
        <f>Database!A45</f>
        <v/>
      </c>
      <c r="B46">
        <f>IF(VLOOKUP(Table73[[#This Row],[Date]],Database!$A:$E,MATCH($B$1,Database!$A$1:$E$1,),)=0,#N/A,VLOOKUP(Table73[[#This Row],[Date]],Database!$A:$E,MATCH($B$1,Database!$A$1:$E$1,),))</f>
        <v/>
      </c>
      <c r="C46">
        <f>IF(VLOOKUP(Table73[[#This Row],[Date]],Database!$A:$C,MATCH($C$1,Database!$A$1:$C$1,),)=0,#N/A,VLOOKUP(Table73[[#This Row],[Date]],Database!$A:$C,MATCH($C$1,Database!$A$1:$C$1,),))</f>
        <v/>
      </c>
      <c r="D46">
        <f>IFERROR(Table73[[#This Row],[United States 10y]]-Table73[[#This Row],[United States 2y]],#N/A)</f>
        <v/>
      </c>
    </row>
    <row r="47">
      <c r="A47" s="6">
        <f>Database!A46</f>
        <v/>
      </c>
      <c r="B47">
        <f>IF(VLOOKUP(Table73[[#This Row],[Date]],Database!$A:$E,MATCH($B$1,Database!$A$1:$E$1,),)=0,#N/A,VLOOKUP(Table73[[#This Row],[Date]],Database!$A:$E,MATCH($B$1,Database!$A$1:$E$1,),))</f>
        <v/>
      </c>
      <c r="C47">
        <f>IF(VLOOKUP(Table73[[#This Row],[Date]],Database!$A:$C,MATCH($C$1,Database!$A$1:$C$1,),)=0,#N/A,VLOOKUP(Table73[[#This Row],[Date]],Database!$A:$C,MATCH($C$1,Database!$A$1:$C$1,),))</f>
        <v/>
      </c>
      <c r="D47">
        <f>IFERROR(Table73[[#This Row],[United States 10y]]-Table73[[#This Row],[United States 2y]],#N/A)</f>
        <v/>
      </c>
    </row>
    <row r="48">
      <c r="A48" s="6">
        <f>Database!A47</f>
        <v/>
      </c>
      <c r="B48">
        <f>IF(VLOOKUP(Table73[[#This Row],[Date]],Database!$A:$E,MATCH($B$1,Database!$A$1:$E$1,),)=0,#N/A,VLOOKUP(Table73[[#This Row],[Date]],Database!$A:$E,MATCH($B$1,Database!$A$1:$E$1,),))</f>
        <v/>
      </c>
      <c r="C48">
        <f>IF(VLOOKUP(Table73[[#This Row],[Date]],Database!$A:$C,MATCH($C$1,Database!$A$1:$C$1,),)=0,#N/A,VLOOKUP(Table73[[#This Row],[Date]],Database!$A:$C,MATCH($C$1,Database!$A$1:$C$1,),))</f>
        <v/>
      </c>
      <c r="D48">
        <f>IFERROR(Table73[[#This Row],[United States 10y]]-Table73[[#This Row],[United States 2y]],#N/A)</f>
        <v/>
      </c>
    </row>
    <row r="49">
      <c r="A49" s="6">
        <f>Database!A48</f>
        <v/>
      </c>
      <c r="B49">
        <f>IF(VLOOKUP(Table73[[#This Row],[Date]],Database!$A:$E,MATCH($B$1,Database!$A$1:$E$1,),)=0,#N/A,VLOOKUP(Table73[[#This Row],[Date]],Database!$A:$E,MATCH($B$1,Database!$A$1:$E$1,),))</f>
        <v/>
      </c>
      <c r="C49">
        <f>IF(VLOOKUP(Table73[[#This Row],[Date]],Database!$A:$C,MATCH($C$1,Database!$A$1:$C$1,),)=0,#N/A,VLOOKUP(Table73[[#This Row],[Date]],Database!$A:$C,MATCH($C$1,Database!$A$1:$C$1,),))</f>
        <v/>
      </c>
      <c r="D49">
        <f>IFERROR(Table73[[#This Row],[United States 10y]]-Table73[[#This Row],[United States 2y]],#N/A)</f>
        <v/>
      </c>
    </row>
    <row r="50">
      <c r="A50" s="6">
        <f>Database!A49</f>
        <v/>
      </c>
      <c r="B50">
        <f>IF(VLOOKUP(Table73[[#This Row],[Date]],Database!$A:$E,MATCH($B$1,Database!$A$1:$E$1,),)=0,#N/A,VLOOKUP(Table73[[#This Row],[Date]],Database!$A:$E,MATCH($B$1,Database!$A$1:$E$1,),))</f>
        <v/>
      </c>
      <c r="C50">
        <f>IF(VLOOKUP(Table73[[#This Row],[Date]],Database!$A:$C,MATCH($C$1,Database!$A$1:$C$1,),)=0,#N/A,VLOOKUP(Table73[[#This Row],[Date]],Database!$A:$C,MATCH($C$1,Database!$A$1:$C$1,),))</f>
        <v/>
      </c>
      <c r="D50">
        <f>IFERROR(Table73[[#This Row],[United States 10y]]-Table73[[#This Row],[United States 2y]],#N/A)</f>
        <v/>
      </c>
    </row>
    <row r="51">
      <c r="A51" s="6">
        <f>Database!A50</f>
        <v/>
      </c>
      <c r="B51">
        <f>IF(VLOOKUP(Table73[[#This Row],[Date]],Database!$A:$E,MATCH($B$1,Database!$A$1:$E$1,),)=0,#N/A,VLOOKUP(Table73[[#This Row],[Date]],Database!$A:$E,MATCH($B$1,Database!$A$1:$E$1,),))</f>
        <v/>
      </c>
      <c r="C51">
        <f>IF(VLOOKUP(Table73[[#This Row],[Date]],Database!$A:$C,MATCH($C$1,Database!$A$1:$C$1,),)=0,#N/A,VLOOKUP(Table73[[#This Row],[Date]],Database!$A:$C,MATCH($C$1,Database!$A$1:$C$1,),))</f>
        <v/>
      </c>
      <c r="D51">
        <f>IFERROR(Table73[[#This Row],[United States 10y]]-Table73[[#This Row],[United States 2y]],#N/A)</f>
        <v/>
      </c>
    </row>
    <row r="52">
      <c r="A52" s="6">
        <f>Database!A51</f>
        <v/>
      </c>
      <c r="B52">
        <f>IF(VLOOKUP(Table73[[#This Row],[Date]],Database!$A:$E,MATCH($B$1,Database!$A$1:$E$1,),)=0,#N/A,VLOOKUP(Table73[[#This Row],[Date]],Database!$A:$E,MATCH($B$1,Database!$A$1:$E$1,),))</f>
        <v/>
      </c>
      <c r="C52">
        <f>IF(VLOOKUP(Table73[[#This Row],[Date]],Database!$A:$C,MATCH($C$1,Database!$A$1:$C$1,),)=0,#N/A,VLOOKUP(Table73[[#This Row],[Date]],Database!$A:$C,MATCH($C$1,Database!$A$1:$C$1,),))</f>
        <v/>
      </c>
      <c r="D52">
        <f>IFERROR(Table73[[#This Row],[United States 10y]]-Table73[[#This Row],[United States 2y]],#N/A)</f>
        <v/>
      </c>
    </row>
    <row r="53">
      <c r="A53" s="6">
        <f>Database!A52</f>
        <v/>
      </c>
      <c r="B53">
        <f>IF(VLOOKUP(Table73[[#This Row],[Date]],Database!$A:$E,MATCH($B$1,Database!$A$1:$E$1,),)=0,#N/A,VLOOKUP(Table73[[#This Row],[Date]],Database!$A:$E,MATCH($B$1,Database!$A$1:$E$1,),))</f>
        <v/>
      </c>
      <c r="C53">
        <f>IF(VLOOKUP(Table73[[#This Row],[Date]],Database!$A:$C,MATCH($C$1,Database!$A$1:$C$1,),)=0,#N/A,VLOOKUP(Table73[[#This Row],[Date]],Database!$A:$C,MATCH($C$1,Database!$A$1:$C$1,),))</f>
        <v/>
      </c>
      <c r="D53">
        <f>IFERROR(Table73[[#This Row],[United States 10y]]-Table73[[#This Row],[United States 2y]],#N/A)</f>
        <v/>
      </c>
    </row>
    <row r="54">
      <c r="A54" s="6">
        <f>Database!A53</f>
        <v/>
      </c>
      <c r="B54">
        <f>IF(VLOOKUP(Table73[[#This Row],[Date]],Database!$A:$E,MATCH($B$1,Database!$A$1:$E$1,),)=0,#N/A,VLOOKUP(Table73[[#This Row],[Date]],Database!$A:$E,MATCH($B$1,Database!$A$1:$E$1,),))</f>
        <v/>
      </c>
      <c r="C54">
        <f>IF(VLOOKUP(Table73[[#This Row],[Date]],Database!$A:$C,MATCH($C$1,Database!$A$1:$C$1,),)=0,#N/A,VLOOKUP(Table73[[#This Row],[Date]],Database!$A:$C,MATCH($C$1,Database!$A$1:$C$1,),))</f>
        <v/>
      </c>
      <c r="D54">
        <f>IFERROR(Table73[[#This Row],[United States 10y]]-Table73[[#This Row],[United States 2y]],#N/A)</f>
        <v/>
      </c>
    </row>
    <row r="55">
      <c r="A55" s="6">
        <f>Database!A54</f>
        <v/>
      </c>
      <c r="B55">
        <f>IF(VLOOKUP(Table73[[#This Row],[Date]],Database!$A:$E,MATCH($B$1,Database!$A$1:$E$1,),)=0,#N/A,VLOOKUP(Table73[[#This Row],[Date]],Database!$A:$E,MATCH($B$1,Database!$A$1:$E$1,),))</f>
        <v/>
      </c>
      <c r="C55">
        <f>IF(VLOOKUP(Table73[[#This Row],[Date]],Database!$A:$C,MATCH($C$1,Database!$A$1:$C$1,),)=0,#N/A,VLOOKUP(Table73[[#This Row],[Date]],Database!$A:$C,MATCH($C$1,Database!$A$1:$C$1,),))</f>
        <v/>
      </c>
      <c r="D55">
        <f>IFERROR(Table73[[#This Row],[United States 10y]]-Table73[[#This Row],[United States 2y]],#N/A)</f>
        <v/>
      </c>
    </row>
    <row r="56">
      <c r="A56" s="6">
        <f>Database!A55</f>
        <v/>
      </c>
      <c r="B56">
        <f>IF(VLOOKUP(Table73[[#This Row],[Date]],Database!$A:$E,MATCH($B$1,Database!$A$1:$E$1,),)=0,#N/A,VLOOKUP(Table73[[#This Row],[Date]],Database!$A:$E,MATCH($B$1,Database!$A$1:$E$1,),))</f>
        <v/>
      </c>
      <c r="C56">
        <f>IF(VLOOKUP(Table73[[#This Row],[Date]],Database!$A:$C,MATCH($C$1,Database!$A$1:$C$1,),)=0,#N/A,VLOOKUP(Table73[[#This Row],[Date]],Database!$A:$C,MATCH($C$1,Database!$A$1:$C$1,),))</f>
        <v/>
      </c>
      <c r="D56">
        <f>IFERROR(Table73[[#This Row],[United States 10y]]-Table73[[#This Row],[United States 2y]],#N/A)</f>
        <v/>
      </c>
    </row>
    <row r="57">
      <c r="A57" s="6">
        <f>Database!A56</f>
        <v/>
      </c>
      <c r="B57">
        <f>IF(VLOOKUP(Table73[[#This Row],[Date]],Database!$A:$E,MATCH($B$1,Database!$A$1:$E$1,),)=0,#N/A,VLOOKUP(Table73[[#This Row],[Date]],Database!$A:$E,MATCH($B$1,Database!$A$1:$E$1,),))</f>
        <v/>
      </c>
      <c r="C57">
        <f>IF(VLOOKUP(Table73[[#This Row],[Date]],Database!$A:$C,MATCH($C$1,Database!$A$1:$C$1,),)=0,#N/A,VLOOKUP(Table73[[#This Row],[Date]],Database!$A:$C,MATCH($C$1,Database!$A$1:$C$1,),))</f>
        <v/>
      </c>
      <c r="D57">
        <f>IFERROR(Table73[[#This Row],[United States 10y]]-Table73[[#This Row],[United States 2y]],#N/A)</f>
        <v/>
      </c>
    </row>
    <row r="58">
      <c r="A58" s="6">
        <f>Database!A57</f>
        <v/>
      </c>
      <c r="B58">
        <f>IF(VLOOKUP(Table73[[#This Row],[Date]],Database!$A:$E,MATCH($B$1,Database!$A$1:$E$1,),)=0,#N/A,VLOOKUP(Table73[[#This Row],[Date]],Database!$A:$E,MATCH($B$1,Database!$A$1:$E$1,),))</f>
        <v/>
      </c>
      <c r="C58">
        <f>IF(VLOOKUP(Table73[[#This Row],[Date]],Database!$A:$C,MATCH($C$1,Database!$A$1:$C$1,),)=0,#N/A,VLOOKUP(Table73[[#This Row],[Date]],Database!$A:$C,MATCH($C$1,Database!$A$1:$C$1,),))</f>
        <v/>
      </c>
      <c r="D58">
        <f>IFERROR(Table73[[#This Row],[United States 10y]]-Table73[[#This Row],[United States 2y]],#N/A)</f>
        <v/>
      </c>
    </row>
    <row r="59">
      <c r="A59" s="6">
        <f>Database!A58</f>
        <v/>
      </c>
      <c r="B59">
        <f>IF(VLOOKUP(Table73[[#This Row],[Date]],Database!$A:$E,MATCH($B$1,Database!$A$1:$E$1,),)=0,#N/A,VLOOKUP(Table73[[#This Row],[Date]],Database!$A:$E,MATCH($B$1,Database!$A$1:$E$1,),))</f>
        <v/>
      </c>
      <c r="C59">
        <f>IF(VLOOKUP(Table73[[#This Row],[Date]],Database!$A:$C,MATCH($C$1,Database!$A$1:$C$1,),)=0,#N/A,VLOOKUP(Table73[[#This Row],[Date]],Database!$A:$C,MATCH($C$1,Database!$A$1:$C$1,),))</f>
        <v/>
      </c>
      <c r="D59">
        <f>IFERROR(Table73[[#This Row],[United States 10y]]-Table73[[#This Row],[United States 2y]],#N/A)</f>
        <v/>
      </c>
    </row>
    <row r="60">
      <c r="A60" s="6">
        <f>Database!A59</f>
        <v/>
      </c>
      <c r="B60">
        <f>IF(VLOOKUP(Table73[[#This Row],[Date]],Database!$A:$E,MATCH($B$1,Database!$A$1:$E$1,),)=0,#N/A,VLOOKUP(Table73[[#This Row],[Date]],Database!$A:$E,MATCH($B$1,Database!$A$1:$E$1,),))</f>
        <v/>
      </c>
      <c r="C60">
        <f>IF(VLOOKUP(Table73[[#This Row],[Date]],Database!$A:$C,MATCH($C$1,Database!$A$1:$C$1,),)=0,#N/A,VLOOKUP(Table73[[#This Row],[Date]],Database!$A:$C,MATCH($C$1,Database!$A$1:$C$1,),))</f>
        <v/>
      </c>
      <c r="D60">
        <f>IFERROR(Table73[[#This Row],[United States 10y]]-Table73[[#This Row],[United States 2y]],#N/A)</f>
        <v/>
      </c>
    </row>
    <row r="61">
      <c r="A61" s="6">
        <f>Database!A60</f>
        <v/>
      </c>
      <c r="B61">
        <f>IF(VLOOKUP(Table73[[#This Row],[Date]],Database!$A:$E,MATCH($B$1,Database!$A$1:$E$1,),)=0,#N/A,VLOOKUP(Table73[[#This Row],[Date]],Database!$A:$E,MATCH($B$1,Database!$A$1:$E$1,),))</f>
        <v/>
      </c>
      <c r="C61">
        <f>IF(VLOOKUP(Table73[[#This Row],[Date]],Database!$A:$C,MATCH($C$1,Database!$A$1:$C$1,),)=0,#N/A,VLOOKUP(Table73[[#This Row],[Date]],Database!$A:$C,MATCH($C$1,Database!$A$1:$C$1,),))</f>
        <v/>
      </c>
      <c r="D61">
        <f>IFERROR(Table73[[#This Row],[United States 10y]]-Table73[[#This Row],[United States 2y]],#N/A)</f>
        <v/>
      </c>
    </row>
    <row r="62">
      <c r="A62" s="6">
        <f>Database!A61</f>
        <v/>
      </c>
      <c r="B62">
        <f>IF(VLOOKUP(Table73[[#This Row],[Date]],Database!$A:$E,MATCH($B$1,Database!$A$1:$E$1,),)=0,#N/A,VLOOKUP(Table73[[#This Row],[Date]],Database!$A:$E,MATCH($B$1,Database!$A$1:$E$1,),))</f>
        <v/>
      </c>
      <c r="C62">
        <f>IF(VLOOKUP(Table73[[#This Row],[Date]],Database!$A:$C,MATCH($C$1,Database!$A$1:$C$1,),)=0,#N/A,VLOOKUP(Table73[[#This Row],[Date]],Database!$A:$C,MATCH($C$1,Database!$A$1:$C$1,),))</f>
        <v/>
      </c>
      <c r="D62">
        <f>IFERROR(Table73[[#This Row],[United States 10y]]-Table73[[#This Row],[United States 2y]],#N/A)</f>
        <v/>
      </c>
    </row>
    <row r="63">
      <c r="A63" s="6">
        <f>Database!A62</f>
        <v/>
      </c>
      <c r="B63">
        <f>IF(VLOOKUP(Table73[[#This Row],[Date]],Database!$A:$E,MATCH($B$1,Database!$A$1:$E$1,),)=0,#N/A,VLOOKUP(Table73[[#This Row],[Date]],Database!$A:$E,MATCH($B$1,Database!$A$1:$E$1,),))</f>
        <v/>
      </c>
      <c r="C63">
        <f>IF(VLOOKUP(Table73[[#This Row],[Date]],Database!$A:$C,MATCH($C$1,Database!$A$1:$C$1,),)=0,#N/A,VLOOKUP(Table73[[#This Row],[Date]],Database!$A:$C,MATCH($C$1,Database!$A$1:$C$1,),))</f>
        <v/>
      </c>
      <c r="D63">
        <f>IFERROR(Table73[[#This Row],[United States 10y]]-Table73[[#This Row],[United States 2y]],#N/A)</f>
        <v/>
      </c>
    </row>
    <row r="64">
      <c r="A64" s="6">
        <f>Database!A63</f>
        <v/>
      </c>
      <c r="B64">
        <f>IF(VLOOKUP(Table73[[#This Row],[Date]],Database!$A:$E,MATCH($B$1,Database!$A$1:$E$1,),)=0,#N/A,VLOOKUP(Table73[[#This Row],[Date]],Database!$A:$E,MATCH($B$1,Database!$A$1:$E$1,),))</f>
        <v/>
      </c>
      <c r="C64">
        <f>IF(VLOOKUP(Table73[[#This Row],[Date]],Database!$A:$C,MATCH($C$1,Database!$A$1:$C$1,),)=0,#N/A,VLOOKUP(Table73[[#This Row],[Date]],Database!$A:$C,MATCH($C$1,Database!$A$1:$C$1,),))</f>
        <v/>
      </c>
      <c r="D64">
        <f>IFERROR(Table73[[#This Row],[United States 10y]]-Table73[[#This Row],[United States 2y]],#N/A)</f>
        <v/>
      </c>
    </row>
    <row r="65">
      <c r="A65" s="6">
        <f>Database!A64</f>
        <v/>
      </c>
      <c r="B65">
        <f>IF(VLOOKUP(Table73[[#This Row],[Date]],Database!$A:$E,MATCH($B$1,Database!$A$1:$E$1,),)=0,#N/A,VLOOKUP(Table73[[#This Row],[Date]],Database!$A:$E,MATCH($B$1,Database!$A$1:$E$1,),))</f>
        <v/>
      </c>
      <c r="C65">
        <f>IF(VLOOKUP(Table73[[#This Row],[Date]],Database!$A:$C,MATCH($C$1,Database!$A$1:$C$1,),)=0,#N/A,VLOOKUP(Table73[[#This Row],[Date]],Database!$A:$C,MATCH($C$1,Database!$A$1:$C$1,),))</f>
        <v/>
      </c>
      <c r="D65">
        <f>IFERROR(Table73[[#This Row],[United States 10y]]-Table73[[#This Row],[United States 2y]],#N/A)</f>
        <v/>
      </c>
    </row>
    <row r="66">
      <c r="A66" s="6">
        <f>Database!A65</f>
        <v/>
      </c>
      <c r="B66">
        <f>IF(VLOOKUP(Table73[[#This Row],[Date]],Database!$A:$E,MATCH($B$1,Database!$A$1:$E$1,),)=0,#N/A,VLOOKUP(Table73[[#This Row],[Date]],Database!$A:$E,MATCH($B$1,Database!$A$1:$E$1,),))</f>
        <v/>
      </c>
      <c r="C66">
        <f>IF(VLOOKUP(Table73[[#This Row],[Date]],Database!$A:$C,MATCH($C$1,Database!$A$1:$C$1,),)=0,#N/A,VLOOKUP(Table73[[#This Row],[Date]],Database!$A:$C,MATCH($C$1,Database!$A$1:$C$1,),))</f>
        <v/>
      </c>
      <c r="D66">
        <f>IFERROR(Table73[[#This Row],[United States 10y]]-Table73[[#This Row],[United States 2y]],#N/A)</f>
        <v/>
      </c>
    </row>
    <row r="67">
      <c r="A67" s="6">
        <f>Database!A66</f>
        <v/>
      </c>
      <c r="B67">
        <f>IF(VLOOKUP(Table73[[#This Row],[Date]],Database!$A:$E,MATCH($B$1,Database!$A$1:$E$1,),)=0,#N/A,VLOOKUP(Table73[[#This Row],[Date]],Database!$A:$E,MATCH($B$1,Database!$A$1:$E$1,),))</f>
        <v/>
      </c>
      <c r="C67">
        <f>IF(VLOOKUP(Table73[[#This Row],[Date]],Database!$A:$C,MATCH($C$1,Database!$A$1:$C$1,),)=0,#N/A,VLOOKUP(Table73[[#This Row],[Date]],Database!$A:$C,MATCH($C$1,Database!$A$1:$C$1,),))</f>
        <v/>
      </c>
      <c r="D67">
        <f>IFERROR(Table73[[#This Row],[United States 10y]]-Table73[[#This Row],[United States 2y]],#N/A)</f>
        <v/>
      </c>
    </row>
    <row r="68">
      <c r="A68" s="6">
        <f>Database!A67</f>
        <v/>
      </c>
      <c r="B68">
        <f>IF(VLOOKUP(Table73[[#This Row],[Date]],Database!$A:$E,MATCH($B$1,Database!$A$1:$E$1,),)=0,#N/A,VLOOKUP(Table73[[#This Row],[Date]],Database!$A:$E,MATCH($B$1,Database!$A$1:$E$1,),))</f>
        <v/>
      </c>
      <c r="C68">
        <f>IF(VLOOKUP(Table73[[#This Row],[Date]],Database!$A:$C,MATCH($C$1,Database!$A$1:$C$1,),)=0,#N/A,VLOOKUP(Table73[[#This Row],[Date]],Database!$A:$C,MATCH($C$1,Database!$A$1:$C$1,),))</f>
        <v/>
      </c>
      <c r="D68">
        <f>IFERROR(Table73[[#This Row],[United States 10y]]-Table73[[#This Row],[United States 2y]],#N/A)</f>
        <v/>
      </c>
    </row>
    <row r="69">
      <c r="A69" s="6">
        <f>Database!A68</f>
        <v/>
      </c>
      <c r="B69">
        <f>IF(VLOOKUP(Table73[[#This Row],[Date]],Database!$A:$E,MATCH($B$1,Database!$A$1:$E$1,),)=0,#N/A,VLOOKUP(Table73[[#This Row],[Date]],Database!$A:$E,MATCH($B$1,Database!$A$1:$E$1,),))</f>
        <v/>
      </c>
      <c r="C69">
        <f>IF(VLOOKUP(Table73[[#This Row],[Date]],Database!$A:$C,MATCH($C$1,Database!$A$1:$C$1,),)=0,#N/A,VLOOKUP(Table73[[#This Row],[Date]],Database!$A:$C,MATCH($C$1,Database!$A$1:$C$1,),))</f>
        <v/>
      </c>
      <c r="D69">
        <f>IFERROR(Table73[[#This Row],[United States 10y]]-Table73[[#This Row],[United States 2y]],#N/A)</f>
        <v/>
      </c>
    </row>
    <row r="70">
      <c r="A70" s="6">
        <f>Database!A69</f>
        <v/>
      </c>
      <c r="B70">
        <f>IF(VLOOKUP(Table73[[#This Row],[Date]],Database!$A:$E,MATCH($B$1,Database!$A$1:$E$1,),)=0,#N/A,VLOOKUP(Table73[[#This Row],[Date]],Database!$A:$E,MATCH($B$1,Database!$A$1:$E$1,),))</f>
        <v/>
      </c>
      <c r="C70">
        <f>IF(VLOOKUP(Table73[[#This Row],[Date]],Database!$A:$C,MATCH($C$1,Database!$A$1:$C$1,),)=0,#N/A,VLOOKUP(Table73[[#This Row],[Date]],Database!$A:$C,MATCH($C$1,Database!$A$1:$C$1,),))</f>
        <v/>
      </c>
      <c r="D70">
        <f>IFERROR(Table73[[#This Row],[United States 10y]]-Table73[[#This Row],[United States 2y]],#N/A)</f>
        <v/>
      </c>
    </row>
    <row r="71">
      <c r="A71" s="6">
        <f>Database!A70</f>
        <v/>
      </c>
      <c r="B71">
        <f>IF(VLOOKUP(Table73[[#This Row],[Date]],Database!$A:$E,MATCH($B$1,Database!$A$1:$E$1,),)=0,#N/A,VLOOKUP(Table73[[#This Row],[Date]],Database!$A:$E,MATCH($B$1,Database!$A$1:$E$1,),))</f>
        <v/>
      </c>
      <c r="C71">
        <f>IF(VLOOKUP(Table73[[#This Row],[Date]],Database!$A:$C,MATCH($C$1,Database!$A$1:$C$1,),)=0,#N/A,VLOOKUP(Table73[[#This Row],[Date]],Database!$A:$C,MATCH($C$1,Database!$A$1:$C$1,),))</f>
        <v/>
      </c>
      <c r="D71">
        <f>IFERROR(Table73[[#This Row],[United States 10y]]-Table73[[#This Row],[United States 2y]],#N/A)</f>
        <v/>
      </c>
    </row>
    <row r="72">
      <c r="A72" s="6">
        <f>Database!A71</f>
        <v/>
      </c>
      <c r="B72">
        <f>IF(VLOOKUP(Table73[[#This Row],[Date]],Database!$A:$E,MATCH($B$1,Database!$A$1:$E$1,),)=0,#N/A,VLOOKUP(Table73[[#This Row],[Date]],Database!$A:$E,MATCH($B$1,Database!$A$1:$E$1,),))</f>
        <v/>
      </c>
      <c r="C72">
        <f>IF(VLOOKUP(Table73[[#This Row],[Date]],Database!$A:$C,MATCH($C$1,Database!$A$1:$C$1,),)=0,#N/A,VLOOKUP(Table73[[#This Row],[Date]],Database!$A:$C,MATCH($C$1,Database!$A$1:$C$1,),))</f>
        <v/>
      </c>
      <c r="D72">
        <f>IFERROR(Table73[[#This Row],[United States 10y]]-Table73[[#This Row],[United States 2y]],#N/A)</f>
        <v/>
      </c>
    </row>
    <row r="73">
      <c r="A73" s="6">
        <f>Database!A72</f>
        <v/>
      </c>
      <c r="B73">
        <f>IF(VLOOKUP(Table73[[#This Row],[Date]],Database!$A:$E,MATCH($B$1,Database!$A$1:$E$1,),)=0,#N/A,VLOOKUP(Table73[[#This Row],[Date]],Database!$A:$E,MATCH($B$1,Database!$A$1:$E$1,),))</f>
        <v/>
      </c>
      <c r="C73">
        <f>IF(VLOOKUP(Table73[[#This Row],[Date]],Database!$A:$C,MATCH($C$1,Database!$A$1:$C$1,),)=0,#N/A,VLOOKUP(Table73[[#This Row],[Date]],Database!$A:$C,MATCH($C$1,Database!$A$1:$C$1,),))</f>
        <v/>
      </c>
      <c r="D73">
        <f>IFERROR(Table73[[#This Row],[United States 10y]]-Table73[[#This Row],[United States 2y]],#N/A)</f>
        <v/>
      </c>
    </row>
    <row r="74">
      <c r="A74" s="6">
        <f>Database!A73</f>
        <v/>
      </c>
      <c r="B74">
        <f>IF(VLOOKUP(Table73[[#This Row],[Date]],Database!$A:$E,MATCH($B$1,Database!$A$1:$E$1,),)=0,#N/A,VLOOKUP(Table73[[#This Row],[Date]],Database!$A:$E,MATCH($B$1,Database!$A$1:$E$1,),))</f>
        <v/>
      </c>
      <c r="C74">
        <f>IF(VLOOKUP(Table73[[#This Row],[Date]],Database!$A:$C,MATCH($C$1,Database!$A$1:$C$1,),)=0,#N/A,VLOOKUP(Table73[[#This Row],[Date]],Database!$A:$C,MATCH($C$1,Database!$A$1:$C$1,),))</f>
        <v/>
      </c>
      <c r="D74">
        <f>IFERROR(Table73[[#This Row],[United States 10y]]-Table73[[#This Row],[United States 2y]],#N/A)</f>
        <v/>
      </c>
    </row>
    <row r="75">
      <c r="A75" s="6">
        <f>Database!A74</f>
        <v/>
      </c>
      <c r="B75">
        <f>IF(VLOOKUP(Table73[[#This Row],[Date]],Database!$A:$E,MATCH($B$1,Database!$A$1:$E$1,),)=0,#N/A,VLOOKUP(Table73[[#This Row],[Date]],Database!$A:$E,MATCH($B$1,Database!$A$1:$E$1,),))</f>
        <v/>
      </c>
      <c r="C75">
        <f>IF(VLOOKUP(Table73[[#This Row],[Date]],Database!$A:$C,MATCH($C$1,Database!$A$1:$C$1,),)=0,#N/A,VLOOKUP(Table73[[#This Row],[Date]],Database!$A:$C,MATCH($C$1,Database!$A$1:$C$1,),))</f>
        <v/>
      </c>
      <c r="D75">
        <f>IFERROR(Table73[[#This Row],[United States 10y]]-Table73[[#This Row],[United States 2y]],#N/A)</f>
        <v/>
      </c>
    </row>
    <row r="76">
      <c r="A76" s="6">
        <f>Database!A75</f>
        <v/>
      </c>
      <c r="B76">
        <f>IF(VLOOKUP(Table73[[#This Row],[Date]],Database!$A:$E,MATCH($B$1,Database!$A$1:$E$1,),)=0,#N/A,VLOOKUP(Table73[[#This Row],[Date]],Database!$A:$E,MATCH($B$1,Database!$A$1:$E$1,),))</f>
        <v/>
      </c>
      <c r="C76">
        <f>IF(VLOOKUP(Table73[[#This Row],[Date]],Database!$A:$C,MATCH($C$1,Database!$A$1:$C$1,),)=0,#N/A,VLOOKUP(Table73[[#This Row],[Date]],Database!$A:$C,MATCH($C$1,Database!$A$1:$C$1,),))</f>
        <v/>
      </c>
      <c r="D76">
        <f>IFERROR(Table73[[#This Row],[United States 10y]]-Table73[[#This Row],[United States 2y]],#N/A)</f>
        <v/>
      </c>
    </row>
    <row r="77">
      <c r="A77" s="6">
        <f>Database!A76</f>
        <v/>
      </c>
      <c r="B77">
        <f>IF(VLOOKUP(Table73[[#This Row],[Date]],Database!$A:$E,MATCH($B$1,Database!$A$1:$E$1,),)=0,#N/A,VLOOKUP(Table73[[#This Row],[Date]],Database!$A:$E,MATCH($B$1,Database!$A$1:$E$1,),))</f>
        <v/>
      </c>
      <c r="C77">
        <f>IF(VLOOKUP(Table73[[#This Row],[Date]],Database!$A:$C,MATCH($C$1,Database!$A$1:$C$1,),)=0,#N/A,VLOOKUP(Table73[[#This Row],[Date]],Database!$A:$C,MATCH($C$1,Database!$A$1:$C$1,),))</f>
        <v/>
      </c>
      <c r="D77">
        <f>IFERROR(Table73[[#This Row],[United States 10y]]-Table73[[#This Row],[United States 2y]],#N/A)</f>
        <v/>
      </c>
    </row>
    <row r="78">
      <c r="A78" s="6">
        <f>Database!A77</f>
        <v/>
      </c>
      <c r="B78">
        <f>IF(VLOOKUP(Table73[[#This Row],[Date]],Database!$A:$E,MATCH($B$1,Database!$A$1:$E$1,),)=0,#N/A,VLOOKUP(Table73[[#This Row],[Date]],Database!$A:$E,MATCH($B$1,Database!$A$1:$E$1,),))</f>
        <v/>
      </c>
      <c r="C78">
        <f>IF(VLOOKUP(Table73[[#This Row],[Date]],Database!$A:$C,MATCH($C$1,Database!$A$1:$C$1,),)=0,#N/A,VLOOKUP(Table73[[#This Row],[Date]],Database!$A:$C,MATCH($C$1,Database!$A$1:$C$1,),))</f>
        <v/>
      </c>
      <c r="D78">
        <f>IFERROR(Table73[[#This Row],[United States 10y]]-Table73[[#This Row],[United States 2y]],#N/A)</f>
        <v/>
      </c>
    </row>
    <row r="79">
      <c r="A79" s="6">
        <f>Database!A78</f>
        <v/>
      </c>
      <c r="B79">
        <f>IF(VLOOKUP(Table73[[#This Row],[Date]],Database!$A:$E,MATCH($B$1,Database!$A$1:$E$1,),)=0,#N/A,VLOOKUP(Table73[[#This Row],[Date]],Database!$A:$E,MATCH($B$1,Database!$A$1:$E$1,),))</f>
        <v/>
      </c>
      <c r="C79">
        <f>IF(VLOOKUP(Table73[[#This Row],[Date]],Database!$A:$C,MATCH($C$1,Database!$A$1:$C$1,),)=0,#N/A,VLOOKUP(Table73[[#This Row],[Date]],Database!$A:$C,MATCH($C$1,Database!$A$1:$C$1,),))</f>
        <v/>
      </c>
      <c r="D79">
        <f>IFERROR(Table73[[#This Row],[United States 10y]]-Table73[[#This Row],[United States 2y]],#N/A)</f>
        <v/>
      </c>
    </row>
    <row r="80">
      <c r="A80" s="6">
        <f>Database!A79</f>
        <v/>
      </c>
      <c r="B80">
        <f>IF(VLOOKUP(Table73[[#This Row],[Date]],Database!$A:$E,MATCH($B$1,Database!$A$1:$E$1,),)=0,#N/A,VLOOKUP(Table73[[#This Row],[Date]],Database!$A:$E,MATCH($B$1,Database!$A$1:$E$1,),))</f>
        <v/>
      </c>
      <c r="C80">
        <f>IF(VLOOKUP(Table73[[#This Row],[Date]],Database!$A:$C,MATCH($C$1,Database!$A$1:$C$1,),)=0,#N/A,VLOOKUP(Table73[[#This Row],[Date]],Database!$A:$C,MATCH($C$1,Database!$A$1:$C$1,),))</f>
        <v/>
      </c>
      <c r="D80">
        <f>IFERROR(Table73[[#This Row],[United States 10y]]-Table73[[#This Row],[United States 2y]],#N/A)</f>
        <v/>
      </c>
    </row>
    <row r="81">
      <c r="A81" s="6">
        <f>Database!A80</f>
        <v/>
      </c>
      <c r="B81">
        <f>IF(VLOOKUP(Table73[[#This Row],[Date]],Database!$A:$E,MATCH($B$1,Database!$A$1:$E$1,),)=0,#N/A,VLOOKUP(Table73[[#This Row],[Date]],Database!$A:$E,MATCH($B$1,Database!$A$1:$E$1,),))</f>
        <v/>
      </c>
      <c r="C81">
        <f>IF(VLOOKUP(Table73[[#This Row],[Date]],Database!$A:$C,MATCH($C$1,Database!$A$1:$C$1,),)=0,#N/A,VLOOKUP(Table73[[#This Row],[Date]],Database!$A:$C,MATCH($C$1,Database!$A$1:$C$1,),))</f>
        <v/>
      </c>
      <c r="D81">
        <f>IFERROR(Table73[[#This Row],[United States 10y]]-Table73[[#This Row],[United States 2y]],#N/A)</f>
        <v/>
      </c>
    </row>
    <row r="82">
      <c r="A82" s="6">
        <f>Database!A81</f>
        <v/>
      </c>
      <c r="B82">
        <f>IF(VLOOKUP(Table73[[#This Row],[Date]],Database!$A:$E,MATCH($B$1,Database!$A$1:$E$1,),)=0,#N/A,VLOOKUP(Table73[[#This Row],[Date]],Database!$A:$E,MATCH($B$1,Database!$A$1:$E$1,),))</f>
        <v/>
      </c>
      <c r="C82">
        <f>IF(VLOOKUP(Table73[[#This Row],[Date]],Database!$A:$C,MATCH($C$1,Database!$A$1:$C$1,),)=0,#N/A,VLOOKUP(Table73[[#This Row],[Date]],Database!$A:$C,MATCH($C$1,Database!$A$1:$C$1,),))</f>
        <v/>
      </c>
      <c r="D82">
        <f>IFERROR(Table73[[#This Row],[United States 10y]]-Table73[[#This Row],[United States 2y]],#N/A)</f>
        <v/>
      </c>
    </row>
    <row r="83">
      <c r="A83" s="6">
        <f>Database!A82</f>
        <v/>
      </c>
      <c r="B83">
        <f>IF(VLOOKUP(Table73[[#This Row],[Date]],Database!$A:$E,MATCH($B$1,Database!$A$1:$E$1,),)=0,#N/A,VLOOKUP(Table73[[#This Row],[Date]],Database!$A:$E,MATCH($B$1,Database!$A$1:$E$1,),))</f>
        <v/>
      </c>
      <c r="C83">
        <f>IF(VLOOKUP(Table73[[#This Row],[Date]],Database!$A:$C,MATCH($C$1,Database!$A$1:$C$1,),)=0,#N/A,VLOOKUP(Table73[[#This Row],[Date]],Database!$A:$C,MATCH($C$1,Database!$A$1:$C$1,),))</f>
        <v/>
      </c>
      <c r="D83">
        <f>IFERROR(Table73[[#This Row],[United States 10y]]-Table73[[#This Row],[United States 2y]],#N/A)</f>
        <v/>
      </c>
    </row>
    <row r="84">
      <c r="A84" s="6">
        <f>Database!A83</f>
        <v/>
      </c>
      <c r="B84">
        <f>IF(VLOOKUP(Table73[[#This Row],[Date]],Database!$A:$E,MATCH($B$1,Database!$A$1:$E$1,),)=0,#N/A,VLOOKUP(Table73[[#This Row],[Date]],Database!$A:$E,MATCH($B$1,Database!$A$1:$E$1,),))</f>
        <v/>
      </c>
      <c r="C84">
        <f>IF(VLOOKUP(Table73[[#This Row],[Date]],Database!$A:$C,MATCH($C$1,Database!$A$1:$C$1,),)=0,#N/A,VLOOKUP(Table73[[#This Row],[Date]],Database!$A:$C,MATCH($C$1,Database!$A$1:$C$1,),))</f>
        <v/>
      </c>
      <c r="D84">
        <f>IFERROR(Table73[[#This Row],[United States 10y]]-Table73[[#This Row],[United States 2y]],#N/A)</f>
        <v/>
      </c>
    </row>
    <row r="85">
      <c r="A85" s="6">
        <f>Database!A84</f>
        <v/>
      </c>
      <c r="B85">
        <f>IF(VLOOKUP(Table73[[#This Row],[Date]],Database!$A:$E,MATCH($B$1,Database!$A$1:$E$1,),)=0,#N/A,VLOOKUP(Table73[[#This Row],[Date]],Database!$A:$E,MATCH($B$1,Database!$A$1:$E$1,),))</f>
        <v/>
      </c>
      <c r="C85">
        <f>IF(VLOOKUP(Table73[[#This Row],[Date]],Database!$A:$C,MATCH($C$1,Database!$A$1:$C$1,),)=0,#N/A,VLOOKUP(Table73[[#This Row],[Date]],Database!$A:$C,MATCH($C$1,Database!$A$1:$C$1,),))</f>
        <v/>
      </c>
      <c r="D85">
        <f>IFERROR(Table73[[#This Row],[United States 10y]]-Table73[[#This Row],[United States 2y]],#N/A)</f>
        <v/>
      </c>
    </row>
    <row r="86">
      <c r="A86" s="6">
        <f>Database!A85</f>
        <v/>
      </c>
      <c r="B86">
        <f>IF(VLOOKUP(Table73[[#This Row],[Date]],Database!$A:$E,MATCH($B$1,Database!$A$1:$E$1,),)=0,#N/A,VLOOKUP(Table73[[#This Row],[Date]],Database!$A:$E,MATCH($B$1,Database!$A$1:$E$1,),))</f>
        <v/>
      </c>
      <c r="C86">
        <f>IF(VLOOKUP(Table73[[#This Row],[Date]],Database!$A:$C,MATCH($C$1,Database!$A$1:$C$1,),)=0,#N/A,VLOOKUP(Table73[[#This Row],[Date]],Database!$A:$C,MATCH($C$1,Database!$A$1:$C$1,),))</f>
        <v/>
      </c>
      <c r="D86">
        <f>IFERROR(Table73[[#This Row],[United States 10y]]-Table73[[#This Row],[United States 2y]],#N/A)</f>
        <v/>
      </c>
    </row>
    <row r="87">
      <c r="A87" s="6">
        <f>Database!A86</f>
        <v/>
      </c>
      <c r="B87">
        <f>IF(VLOOKUP(Table73[[#This Row],[Date]],Database!$A:$E,MATCH($B$1,Database!$A$1:$E$1,),)=0,#N/A,VLOOKUP(Table73[[#This Row],[Date]],Database!$A:$E,MATCH($B$1,Database!$A$1:$E$1,),))</f>
        <v/>
      </c>
      <c r="C87">
        <f>IF(VLOOKUP(Table73[[#This Row],[Date]],Database!$A:$C,MATCH($C$1,Database!$A$1:$C$1,),)=0,#N/A,VLOOKUP(Table73[[#This Row],[Date]],Database!$A:$C,MATCH($C$1,Database!$A$1:$C$1,),))</f>
        <v/>
      </c>
      <c r="D87">
        <f>IFERROR(Table73[[#This Row],[United States 10y]]-Table73[[#This Row],[United States 2y]],#N/A)</f>
        <v/>
      </c>
    </row>
    <row r="88">
      <c r="A88" s="6">
        <f>Database!A87</f>
        <v/>
      </c>
      <c r="B88">
        <f>IF(VLOOKUP(Table73[[#This Row],[Date]],Database!$A:$E,MATCH($B$1,Database!$A$1:$E$1,),)=0,#N/A,VLOOKUP(Table73[[#This Row],[Date]],Database!$A:$E,MATCH($B$1,Database!$A$1:$E$1,),))</f>
        <v/>
      </c>
      <c r="C88">
        <f>IF(VLOOKUP(Table73[[#This Row],[Date]],Database!$A:$C,MATCH($C$1,Database!$A$1:$C$1,),)=0,#N/A,VLOOKUP(Table73[[#This Row],[Date]],Database!$A:$C,MATCH($C$1,Database!$A$1:$C$1,),))</f>
        <v/>
      </c>
      <c r="D88">
        <f>IFERROR(Table73[[#This Row],[United States 10y]]-Table73[[#This Row],[United States 2y]],#N/A)</f>
        <v/>
      </c>
    </row>
    <row r="89">
      <c r="A89" s="6">
        <f>Database!A88</f>
        <v/>
      </c>
      <c r="B89">
        <f>IF(VLOOKUP(Table73[[#This Row],[Date]],Database!$A:$E,MATCH($B$1,Database!$A$1:$E$1,),)=0,#N/A,VLOOKUP(Table73[[#This Row],[Date]],Database!$A:$E,MATCH($B$1,Database!$A$1:$E$1,),))</f>
        <v/>
      </c>
      <c r="C89">
        <f>IF(VLOOKUP(Table73[[#This Row],[Date]],Database!$A:$C,MATCH($C$1,Database!$A$1:$C$1,),)=0,#N/A,VLOOKUP(Table73[[#This Row],[Date]],Database!$A:$C,MATCH($C$1,Database!$A$1:$C$1,),))</f>
        <v/>
      </c>
      <c r="D89">
        <f>IFERROR(Table73[[#This Row],[United States 10y]]-Table73[[#This Row],[United States 2y]],#N/A)</f>
        <v/>
      </c>
    </row>
    <row r="90">
      <c r="A90" s="6">
        <f>Database!A89</f>
        <v/>
      </c>
      <c r="B90">
        <f>IF(VLOOKUP(Table73[[#This Row],[Date]],Database!$A:$E,MATCH($B$1,Database!$A$1:$E$1,),)=0,#N/A,VLOOKUP(Table73[[#This Row],[Date]],Database!$A:$E,MATCH($B$1,Database!$A$1:$E$1,),))</f>
        <v/>
      </c>
      <c r="C90">
        <f>IF(VLOOKUP(Table73[[#This Row],[Date]],Database!$A:$C,MATCH($C$1,Database!$A$1:$C$1,),)=0,#N/A,VLOOKUP(Table73[[#This Row],[Date]],Database!$A:$C,MATCH($C$1,Database!$A$1:$C$1,),))</f>
        <v/>
      </c>
      <c r="D90">
        <f>IFERROR(Table73[[#This Row],[United States 10y]]-Table73[[#This Row],[United States 2y]],#N/A)</f>
        <v/>
      </c>
    </row>
    <row r="91">
      <c r="A91" s="6">
        <f>Database!A90</f>
        <v/>
      </c>
      <c r="B91">
        <f>IF(VLOOKUP(Table73[[#This Row],[Date]],Database!$A:$E,MATCH($B$1,Database!$A$1:$E$1,),)=0,#N/A,VLOOKUP(Table73[[#This Row],[Date]],Database!$A:$E,MATCH($B$1,Database!$A$1:$E$1,),))</f>
        <v/>
      </c>
      <c r="C91">
        <f>IF(VLOOKUP(Table73[[#This Row],[Date]],Database!$A:$C,MATCH($C$1,Database!$A$1:$C$1,),)=0,#N/A,VLOOKUP(Table73[[#This Row],[Date]],Database!$A:$C,MATCH($C$1,Database!$A$1:$C$1,),))</f>
        <v/>
      </c>
      <c r="D91">
        <f>IFERROR(Table73[[#This Row],[United States 10y]]-Table73[[#This Row],[United States 2y]],#N/A)</f>
        <v/>
      </c>
    </row>
    <row r="92">
      <c r="A92" s="6">
        <f>Database!A91</f>
        <v/>
      </c>
      <c r="B92">
        <f>IF(VLOOKUP(Table73[[#This Row],[Date]],Database!$A:$E,MATCH($B$1,Database!$A$1:$E$1,),)=0,#N/A,VLOOKUP(Table73[[#This Row],[Date]],Database!$A:$E,MATCH($B$1,Database!$A$1:$E$1,),))</f>
        <v/>
      </c>
      <c r="C92">
        <f>IF(VLOOKUP(Table73[[#This Row],[Date]],Database!$A:$C,MATCH($C$1,Database!$A$1:$C$1,),)=0,#N/A,VLOOKUP(Table73[[#This Row],[Date]],Database!$A:$C,MATCH($C$1,Database!$A$1:$C$1,),))</f>
        <v/>
      </c>
      <c r="D92">
        <f>IFERROR(Table73[[#This Row],[United States 10y]]-Table73[[#This Row],[United States 2y]],#N/A)</f>
        <v/>
      </c>
    </row>
    <row r="93">
      <c r="A93" s="6">
        <f>Database!A92</f>
        <v/>
      </c>
      <c r="B93">
        <f>IF(VLOOKUP(Table73[[#This Row],[Date]],Database!$A:$E,MATCH($B$1,Database!$A$1:$E$1,),)=0,#N/A,VLOOKUP(Table73[[#This Row],[Date]],Database!$A:$E,MATCH($B$1,Database!$A$1:$E$1,),))</f>
        <v/>
      </c>
      <c r="C93">
        <f>IF(VLOOKUP(Table73[[#This Row],[Date]],Database!$A:$C,MATCH($C$1,Database!$A$1:$C$1,),)=0,#N/A,VLOOKUP(Table73[[#This Row],[Date]],Database!$A:$C,MATCH($C$1,Database!$A$1:$C$1,),))</f>
        <v/>
      </c>
      <c r="D93">
        <f>IFERROR(Table73[[#This Row],[United States 10y]]-Table73[[#This Row],[United States 2y]],#N/A)</f>
        <v/>
      </c>
    </row>
    <row r="94">
      <c r="A94" s="6">
        <f>Database!A93</f>
        <v/>
      </c>
      <c r="B94">
        <f>IF(VLOOKUP(Table73[[#This Row],[Date]],Database!$A:$E,MATCH($B$1,Database!$A$1:$E$1,),)=0,#N/A,VLOOKUP(Table73[[#This Row],[Date]],Database!$A:$E,MATCH($B$1,Database!$A$1:$E$1,),))</f>
        <v/>
      </c>
      <c r="C94">
        <f>IF(VLOOKUP(Table73[[#This Row],[Date]],Database!$A:$C,MATCH($C$1,Database!$A$1:$C$1,),)=0,#N/A,VLOOKUP(Table73[[#This Row],[Date]],Database!$A:$C,MATCH($C$1,Database!$A$1:$C$1,),))</f>
        <v/>
      </c>
      <c r="D94">
        <f>IFERROR(Table73[[#This Row],[United States 10y]]-Table73[[#This Row],[United States 2y]],#N/A)</f>
        <v/>
      </c>
    </row>
    <row r="95">
      <c r="A95" s="6">
        <f>Database!A94</f>
        <v/>
      </c>
      <c r="B95">
        <f>IF(VLOOKUP(Table73[[#This Row],[Date]],Database!$A:$E,MATCH($B$1,Database!$A$1:$E$1,),)=0,#N/A,VLOOKUP(Table73[[#This Row],[Date]],Database!$A:$E,MATCH($B$1,Database!$A$1:$E$1,),))</f>
        <v/>
      </c>
      <c r="C95">
        <f>IF(VLOOKUP(Table73[[#This Row],[Date]],Database!$A:$C,MATCH($C$1,Database!$A$1:$C$1,),)=0,#N/A,VLOOKUP(Table73[[#This Row],[Date]],Database!$A:$C,MATCH($C$1,Database!$A$1:$C$1,),))</f>
        <v/>
      </c>
      <c r="D95">
        <f>IFERROR(Table73[[#This Row],[United States 10y]]-Table73[[#This Row],[United States 2y]],#N/A)</f>
        <v/>
      </c>
    </row>
    <row r="96">
      <c r="A96" s="6">
        <f>Database!A95</f>
        <v/>
      </c>
      <c r="B96">
        <f>IF(VLOOKUP(Table73[[#This Row],[Date]],Database!$A:$E,MATCH($B$1,Database!$A$1:$E$1,),)=0,#N/A,VLOOKUP(Table73[[#This Row],[Date]],Database!$A:$E,MATCH($B$1,Database!$A$1:$E$1,),))</f>
        <v/>
      </c>
      <c r="C96">
        <f>IF(VLOOKUP(Table73[[#This Row],[Date]],Database!$A:$C,MATCH($C$1,Database!$A$1:$C$1,),)=0,#N/A,VLOOKUP(Table73[[#This Row],[Date]],Database!$A:$C,MATCH($C$1,Database!$A$1:$C$1,),))</f>
        <v/>
      </c>
      <c r="D96">
        <f>IFERROR(Table73[[#This Row],[United States 10y]]-Table73[[#This Row],[United States 2y]],#N/A)</f>
        <v/>
      </c>
    </row>
    <row r="97">
      <c r="A97" s="6">
        <f>Database!A96</f>
        <v/>
      </c>
      <c r="B97">
        <f>IF(VLOOKUP(Table73[[#This Row],[Date]],Database!$A:$E,MATCH($B$1,Database!$A$1:$E$1,),)=0,#N/A,VLOOKUP(Table73[[#This Row],[Date]],Database!$A:$E,MATCH($B$1,Database!$A$1:$E$1,),))</f>
        <v/>
      </c>
      <c r="C97">
        <f>IF(VLOOKUP(Table73[[#This Row],[Date]],Database!$A:$C,MATCH($C$1,Database!$A$1:$C$1,),)=0,#N/A,VLOOKUP(Table73[[#This Row],[Date]],Database!$A:$C,MATCH($C$1,Database!$A$1:$C$1,),))</f>
        <v/>
      </c>
      <c r="D97">
        <f>IFERROR(Table73[[#This Row],[United States 10y]]-Table73[[#This Row],[United States 2y]],#N/A)</f>
        <v/>
      </c>
    </row>
    <row r="98">
      <c r="A98" s="6">
        <f>Database!A97</f>
        <v/>
      </c>
      <c r="B98">
        <f>IF(VLOOKUP(Table73[[#This Row],[Date]],Database!$A:$E,MATCH($B$1,Database!$A$1:$E$1,),)=0,#N/A,VLOOKUP(Table73[[#This Row],[Date]],Database!$A:$E,MATCH($B$1,Database!$A$1:$E$1,),))</f>
        <v/>
      </c>
      <c r="C98">
        <f>IF(VLOOKUP(Table73[[#This Row],[Date]],Database!$A:$C,MATCH($C$1,Database!$A$1:$C$1,),)=0,#N/A,VLOOKUP(Table73[[#This Row],[Date]],Database!$A:$C,MATCH($C$1,Database!$A$1:$C$1,),))</f>
        <v/>
      </c>
      <c r="D98">
        <f>IFERROR(Table73[[#This Row],[United States 10y]]-Table73[[#This Row],[United States 2y]],#N/A)</f>
        <v/>
      </c>
    </row>
    <row r="99">
      <c r="A99" s="6">
        <f>Database!A98</f>
        <v/>
      </c>
      <c r="B99">
        <f>IF(VLOOKUP(Table73[[#This Row],[Date]],Database!$A:$E,MATCH($B$1,Database!$A$1:$E$1,),)=0,#N/A,VLOOKUP(Table73[[#This Row],[Date]],Database!$A:$E,MATCH($B$1,Database!$A$1:$E$1,),))</f>
        <v/>
      </c>
      <c r="C99">
        <f>IF(VLOOKUP(Table73[[#This Row],[Date]],Database!$A:$C,MATCH($C$1,Database!$A$1:$C$1,),)=0,#N/A,VLOOKUP(Table73[[#This Row],[Date]],Database!$A:$C,MATCH($C$1,Database!$A$1:$C$1,),))</f>
        <v/>
      </c>
      <c r="D99">
        <f>IFERROR(Table73[[#This Row],[United States 10y]]-Table73[[#This Row],[United States 2y]],#N/A)</f>
        <v/>
      </c>
    </row>
    <row r="100">
      <c r="A100" s="6">
        <f>Database!A99</f>
        <v/>
      </c>
      <c r="B100">
        <f>IF(VLOOKUP(Table73[[#This Row],[Date]],Database!$A:$E,MATCH($B$1,Database!$A$1:$E$1,),)=0,#N/A,VLOOKUP(Table73[[#This Row],[Date]],Database!$A:$E,MATCH($B$1,Database!$A$1:$E$1,),))</f>
        <v/>
      </c>
      <c r="C100">
        <f>IF(VLOOKUP(Table73[[#This Row],[Date]],Database!$A:$C,MATCH($C$1,Database!$A$1:$C$1,),)=0,#N/A,VLOOKUP(Table73[[#This Row],[Date]],Database!$A:$C,MATCH($C$1,Database!$A$1:$C$1,),))</f>
        <v/>
      </c>
      <c r="D100">
        <f>IFERROR(Table73[[#This Row],[United States 10y]]-Table73[[#This Row],[United States 2y]],#N/A)</f>
        <v/>
      </c>
    </row>
    <row r="101">
      <c r="A101" s="6">
        <f>Database!A100</f>
        <v/>
      </c>
      <c r="B101">
        <f>IF(VLOOKUP(Table73[[#This Row],[Date]],Database!$A:$E,MATCH($B$1,Database!$A$1:$E$1,),)=0,#N/A,VLOOKUP(Table73[[#This Row],[Date]],Database!$A:$E,MATCH($B$1,Database!$A$1:$E$1,),))</f>
        <v/>
      </c>
      <c r="C101">
        <f>IF(VLOOKUP(Table73[[#This Row],[Date]],Database!$A:$C,MATCH($C$1,Database!$A$1:$C$1,),)=0,#N/A,VLOOKUP(Table73[[#This Row],[Date]],Database!$A:$C,MATCH($C$1,Database!$A$1:$C$1,),))</f>
        <v/>
      </c>
      <c r="D101">
        <f>IFERROR(Table73[[#This Row],[United States 10y]]-Table73[[#This Row],[United States 2y]],#N/A)</f>
        <v/>
      </c>
    </row>
    <row r="102">
      <c r="A102" s="6">
        <f>Database!A101</f>
        <v/>
      </c>
      <c r="B102">
        <f>IF(VLOOKUP(Table73[[#This Row],[Date]],Database!$A:$E,MATCH($B$1,Database!$A$1:$E$1,),)=0,#N/A,VLOOKUP(Table73[[#This Row],[Date]],Database!$A:$E,MATCH($B$1,Database!$A$1:$E$1,),))</f>
        <v/>
      </c>
      <c r="C102">
        <f>IF(VLOOKUP(Table73[[#This Row],[Date]],Database!$A:$C,MATCH($C$1,Database!$A$1:$C$1,),)=0,#N/A,VLOOKUP(Table73[[#This Row],[Date]],Database!$A:$C,MATCH($C$1,Database!$A$1:$C$1,),))</f>
        <v/>
      </c>
      <c r="D102">
        <f>IFERROR(Table73[[#This Row],[United States 10y]]-Table73[[#This Row],[United States 2y]],#N/A)</f>
        <v/>
      </c>
    </row>
    <row r="103">
      <c r="A103" s="6">
        <f>Database!A102</f>
        <v/>
      </c>
      <c r="B103">
        <f>IF(VLOOKUP(Table73[[#This Row],[Date]],Database!$A:$E,MATCH($B$1,Database!$A$1:$E$1,),)=0,#N/A,VLOOKUP(Table73[[#This Row],[Date]],Database!$A:$E,MATCH($B$1,Database!$A$1:$E$1,),))</f>
        <v/>
      </c>
      <c r="C103">
        <f>IF(VLOOKUP(Table73[[#This Row],[Date]],Database!$A:$C,MATCH($C$1,Database!$A$1:$C$1,),)=0,#N/A,VLOOKUP(Table73[[#This Row],[Date]],Database!$A:$C,MATCH($C$1,Database!$A$1:$C$1,),))</f>
        <v/>
      </c>
      <c r="D103">
        <f>IFERROR(Table73[[#This Row],[United States 10y]]-Table73[[#This Row],[United States 2y]],#N/A)</f>
        <v/>
      </c>
    </row>
    <row r="104">
      <c r="A104" s="6">
        <f>Database!A103</f>
        <v/>
      </c>
      <c r="B104">
        <f>IF(VLOOKUP(Table73[[#This Row],[Date]],Database!$A:$E,MATCH($B$1,Database!$A$1:$E$1,),)=0,#N/A,VLOOKUP(Table73[[#This Row],[Date]],Database!$A:$E,MATCH($B$1,Database!$A$1:$E$1,),))</f>
        <v/>
      </c>
      <c r="C104">
        <f>IF(VLOOKUP(Table73[[#This Row],[Date]],Database!$A:$C,MATCH($C$1,Database!$A$1:$C$1,),)=0,#N/A,VLOOKUP(Table73[[#This Row],[Date]],Database!$A:$C,MATCH($C$1,Database!$A$1:$C$1,),))</f>
        <v/>
      </c>
      <c r="D104">
        <f>IFERROR(Table73[[#This Row],[United States 10y]]-Table73[[#This Row],[United States 2y]],#N/A)</f>
        <v/>
      </c>
    </row>
    <row r="105">
      <c r="A105" s="6">
        <f>Database!A104</f>
        <v/>
      </c>
      <c r="B105">
        <f>IF(VLOOKUP(Table73[[#This Row],[Date]],Database!$A:$E,MATCH($B$1,Database!$A$1:$E$1,),)=0,#N/A,VLOOKUP(Table73[[#This Row],[Date]],Database!$A:$E,MATCH($B$1,Database!$A$1:$E$1,),))</f>
        <v/>
      </c>
      <c r="C105">
        <f>IF(VLOOKUP(Table73[[#This Row],[Date]],Database!$A:$C,MATCH($C$1,Database!$A$1:$C$1,),)=0,#N/A,VLOOKUP(Table73[[#This Row],[Date]],Database!$A:$C,MATCH($C$1,Database!$A$1:$C$1,),))</f>
        <v/>
      </c>
      <c r="D105">
        <f>IFERROR(Table73[[#This Row],[United States 10y]]-Table73[[#This Row],[United States 2y]],#N/A)</f>
        <v/>
      </c>
    </row>
    <row r="106">
      <c r="A106" s="6">
        <f>Database!A105</f>
        <v/>
      </c>
      <c r="B106">
        <f>IF(VLOOKUP(Table73[[#This Row],[Date]],Database!$A:$E,MATCH($B$1,Database!$A$1:$E$1,),)=0,#N/A,VLOOKUP(Table73[[#This Row],[Date]],Database!$A:$E,MATCH($B$1,Database!$A$1:$E$1,),))</f>
        <v/>
      </c>
      <c r="C106">
        <f>IF(VLOOKUP(Table73[[#This Row],[Date]],Database!$A:$C,MATCH($C$1,Database!$A$1:$C$1,),)=0,#N/A,VLOOKUP(Table73[[#This Row],[Date]],Database!$A:$C,MATCH($C$1,Database!$A$1:$C$1,),))</f>
        <v/>
      </c>
      <c r="D106">
        <f>IFERROR(Table73[[#This Row],[United States 10y]]-Table73[[#This Row],[United States 2y]],#N/A)</f>
        <v/>
      </c>
    </row>
    <row r="107">
      <c r="A107" s="6">
        <f>Database!A106</f>
        <v/>
      </c>
      <c r="B107">
        <f>IF(VLOOKUP(Table73[[#This Row],[Date]],Database!$A:$E,MATCH($B$1,Database!$A$1:$E$1,),)=0,#N/A,VLOOKUP(Table73[[#This Row],[Date]],Database!$A:$E,MATCH($B$1,Database!$A$1:$E$1,),))</f>
        <v/>
      </c>
      <c r="C107">
        <f>IF(VLOOKUP(Table73[[#This Row],[Date]],Database!$A:$C,MATCH($C$1,Database!$A$1:$C$1,),)=0,#N/A,VLOOKUP(Table73[[#This Row],[Date]],Database!$A:$C,MATCH($C$1,Database!$A$1:$C$1,),))</f>
        <v/>
      </c>
      <c r="D107">
        <f>IFERROR(Table73[[#This Row],[United States 10y]]-Table73[[#This Row],[United States 2y]],#N/A)</f>
        <v/>
      </c>
    </row>
    <row r="108">
      <c r="A108" s="6">
        <f>Database!A107</f>
        <v/>
      </c>
      <c r="B108">
        <f>IF(VLOOKUP(Table73[[#This Row],[Date]],Database!$A:$E,MATCH($B$1,Database!$A$1:$E$1,),)=0,#N/A,VLOOKUP(Table73[[#This Row],[Date]],Database!$A:$E,MATCH($B$1,Database!$A$1:$E$1,),))</f>
        <v/>
      </c>
      <c r="C108">
        <f>IF(VLOOKUP(Table73[[#This Row],[Date]],Database!$A:$C,MATCH($C$1,Database!$A$1:$C$1,),)=0,#N/A,VLOOKUP(Table73[[#This Row],[Date]],Database!$A:$C,MATCH($C$1,Database!$A$1:$C$1,),))</f>
        <v/>
      </c>
      <c r="D108">
        <f>IFERROR(Table73[[#This Row],[United States 10y]]-Table73[[#This Row],[United States 2y]],#N/A)</f>
        <v/>
      </c>
    </row>
    <row r="109">
      <c r="A109" s="6">
        <f>Database!A108</f>
        <v/>
      </c>
      <c r="B109">
        <f>IF(VLOOKUP(Table73[[#This Row],[Date]],Database!$A:$E,MATCH($B$1,Database!$A$1:$E$1,),)=0,#N/A,VLOOKUP(Table73[[#This Row],[Date]],Database!$A:$E,MATCH($B$1,Database!$A$1:$E$1,),))</f>
        <v/>
      </c>
      <c r="C109">
        <f>IF(VLOOKUP(Table73[[#This Row],[Date]],Database!$A:$C,MATCH($C$1,Database!$A$1:$C$1,),)=0,#N/A,VLOOKUP(Table73[[#This Row],[Date]],Database!$A:$C,MATCH($C$1,Database!$A$1:$C$1,),))</f>
        <v/>
      </c>
      <c r="D109">
        <f>IFERROR(Table73[[#This Row],[United States 10y]]-Table73[[#This Row],[United States 2y]],#N/A)</f>
        <v/>
      </c>
    </row>
    <row r="110">
      <c r="A110" s="6">
        <f>Database!A109</f>
        <v/>
      </c>
      <c r="B110">
        <f>IF(VLOOKUP(Table73[[#This Row],[Date]],Database!$A:$E,MATCH($B$1,Database!$A$1:$E$1,),)=0,#N/A,VLOOKUP(Table73[[#This Row],[Date]],Database!$A:$E,MATCH($B$1,Database!$A$1:$E$1,),))</f>
        <v/>
      </c>
      <c r="C110">
        <f>IF(VLOOKUP(Table73[[#This Row],[Date]],Database!$A:$C,MATCH($C$1,Database!$A$1:$C$1,),)=0,#N/A,VLOOKUP(Table73[[#This Row],[Date]],Database!$A:$C,MATCH($C$1,Database!$A$1:$C$1,),))</f>
        <v/>
      </c>
      <c r="D110">
        <f>IFERROR(Table73[[#This Row],[United States 10y]]-Table73[[#This Row],[United States 2y]],#N/A)</f>
        <v/>
      </c>
    </row>
    <row r="111">
      <c r="A111" s="6">
        <f>Database!A110</f>
        <v/>
      </c>
      <c r="B111">
        <f>IF(VLOOKUP(Table73[[#This Row],[Date]],Database!$A:$E,MATCH($B$1,Database!$A$1:$E$1,),)=0,#N/A,VLOOKUP(Table73[[#This Row],[Date]],Database!$A:$E,MATCH($B$1,Database!$A$1:$E$1,),))</f>
        <v/>
      </c>
      <c r="C111">
        <f>IF(VLOOKUP(Table73[[#This Row],[Date]],Database!$A:$C,MATCH($C$1,Database!$A$1:$C$1,),)=0,#N/A,VLOOKUP(Table73[[#This Row],[Date]],Database!$A:$C,MATCH($C$1,Database!$A$1:$C$1,),))</f>
        <v/>
      </c>
      <c r="D111">
        <f>IFERROR(Table73[[#This Row],[United States 10y]]-Table73[[#This Row],[United States 2y]],#N/A)</f>
        <v/>
      </c>
    </row>
    <row r="112">
      <c r="A112" s="6">
        <f>Database!A111</f>
        <v/>
      </c>
      <c r="B112">
        <f>IF(VLOOKUP(Table73[[#This Row],[Date]],Database!$A:$E,MATCH($B$1,Database!$A$1:$E$1,),)=0,#N/A,VLOOKUP(Table73[[#This Row],[Date]],Database!$A:$E,MATCH($B$1,Database!$A$1:$E$1,),))</f>
        <v/>
      </c>
      <c r="C112">
        <f>IF(VLOOKUP(Table73[[#This Row],[Date]],Database!$A:$C,MATCH($C$1,Database!$A$1:$C$1,),)=0,#N/A,VLOOKUP(Table73[[#This Row],[Date]],Database!$A:$C,MATCH($C$1,Database!$A$1:$C$1,),))</f>
        <v/>
      </c>
      <c r="D112">
        <f>IFERROR(Table73[[#This Row],[United States 10y]]-Table73[[#This Row],[United States 2y]],#N/A)</f>
        <v/>
      </c>
    </row>
    <row r="113">
      <c r="A113" s="6">
        <f>Database!A112</f>
        <v/>
      </c>
      <c r="B113">
        <f>IF(VLOOKUP(Table73[[#This Row],[Date]],Database!$A:$E,MATCH($B$1,Database!$A$1:$E$1,),)=0,#N/A,VLOOKUP(Table73[[#This Row],[Date]],Database!$A:$E,MATCH($B$1,Database!$A$1:$E$1,),))</f>
        <v/>
      </c>
      <c r="C113">
        <f>IF(VLOOKUP(Table73[[#This Row],[Date]],Database!$A:$C,MATCH($C$1,Database!$A$1:$C$1,),)=0,#N/A,VLOOKUP(Table73[[#This Row],[Date]],Database!$A:$C,MATCH($C$1,Database!$A$1:$C$1,),))</f>
        <v/>
      </c>
      <c r="D113">
        <f>IFERROR(Table73[[#This Row],[United States 10y]]-Table73[[#This Row],[United States 2y]],#N/A)</f>
        <v/>
      </c>
    </row>
    <row r="114">
      <c r="A114" s="6">
        <f>Database!A113</f>
        <v/>
      </c>
      <c r="B114">
        <f>IF(VLOOKUP(Table73[[#This Row],[Date]],Database!$A:$E,MATCH($B$1,Database!$A$1:$E$1,),)=0,#N/A,VLOOKUP(Table73[[#This Row],[Date]],Database!$A:$E,MATCH($B$1,Database!$A$1:$E$1,),))</f>
        <v/>
      </c>
      <c r="C114">
        <f>IF(VLOOKUP(Table73[[#This Row],[Date]],Database!$A:$C,MATCH($C$1,Database!$A$1:$C$1,),)=0,#N/A,VLOOKUP(Table73[[#This Row],[Date]],Database!$A:$C,MATCH($C$1,Database!$A$1:$C$1,),))</f>
        <v/>
      </c>
      <c r="D114">
        <f>IFERROR(Table73[[#This Row],[United States 10y]]-Table73[[#This Row],[United States 2y]],#N/A)</f>
        <v/>
      </c>
    </row>
    <row r="115">
      <c r="A115" s="6">
        <f>Database!A114</f>
        <v/>
      </c>
      <c r="B115">
        <f>IF(VLOOKUP(Table73[[#This Row],[Date]],Database!$A:$E,MATCH($B$1,Database!$A$1:$E$1,),)=0,#N/A,VLOOKUP(Table73[[#This Row],[Date]],Database!$A:$E,MATCH($B$1,Database!$A$1:$E$1,),))</f>
        <v/>
      </c>
      <c r="C115">
        <f>IF(VLOOKUP(Table73[[#This Row],[Date]],Database!$A:$C,MATCH($C$1,Database!$A$1:$C$1,),)=0,#N/A,VLOOKUP(Table73[[#This Row],[Date]],Database!$A:$C,MATCH($C$1,Database!$A$1:$C$1,),))</f>
        <v/>
      </c>
      <c r="D115">
        <f>IFERROR(Table73[[#This Row],[United States 10y]]-Table73[[#This Row],[United States 2y]],#N/A)</f>
        <v/>
      </c>
    </row>
    <row r="116">
      <c r="A116" s="6">
        <f>Database!A115</f>
        <v/>
      </c>
      <c r="B116">
        <f>IF(VLOOKUP(Table73[[#This Row],[Date]],Database!$A:$E,MATCH($B$1,Database!$A$1:$E$1,),)=0,#N/A,VLOOKUP(Table73[[#This Row],[Date]],Database!$A:$E,MATCH($B$1,Database!$A$1:$E$1,),))</f>
        <v/>
      </c>
      <c r="C116">
        <f>IF(VLOOKUP(Table73[[#This Row],[Date]],Database!$A:$C,MATCH($C$1,Database!$A$1:$C$1,),)=0,#N/A,VLOOKUP(Table73[[#This Row],[Date]],Database!$A:$C,MATCH($C$1,Database!$A$1:$C$1,),))</f>
        <v/>
      </c>
      <c r="D116">
        <f>IFERROR(Table73[[#This Row],[United States 10y]]-Table73[[#This Row],[United States 2y]],#N/A)</f>
        <v/>
      </c>
    </row>
    <row r="117">
      <c r="A117" s="6">
        <f>Database!A116</f>
        <v/>
      </c>
      <c r="B117">
        <f>IF(VLOOKUP(Table73[[#This Row],[Date]],Database!$A:$E,MATCH($B$1,Database!$A$1:$E$1,),)=0,#N/A,VLOOKUP(Table73[[#This Row],[Date]],Database!$A:$E,MATCH($B$1,Database!$A$1:$E$1,),))</f>
        <v/>
      </c>
      <c r="C117">
        <f>IF(VLOOKUP(Table73[[#This Row],[Date]],Database!$A:$C,MATCH($C$1,Database!$A$1:$C$1,),)=0,#N/A,VLOOKUP(Table73[[#This Row],[Date]],Database!$A:$C,MATCH($C$1,Database!$A$1:$C$1,),))</f>
        <v/>
      </c>
      <c r="D117">
        <f>IFERROR(Table73[[#This Row],[United States 10y]]-Table73[[#This Row],[United States 2y]],#N/A)</f>
        <v/>
      </c>
    </row>
    <row r="118">
      <c r="A118" s="6">
        <f>Database!A117</f>
        <v/>
      </c>
      <c r="B118">
        <f>IF(VLOOKUP(Table73[[#This Row],[Date]],Database!$A:$E,MATCH($B$1,Database!$A$1:$E$1,),)=0,#N/A,VLOOKUP(Table73[[#This Row],[Date]],Database!$A:$E,MATCH($B$1,Database!$A$1:$E$1,),))</f>
        <v/>
      </c>
      <c r="C118">
        <f>IF(VLOOKUP(Table73[[#This Row],[Date]],Database!$A:$C,MATCH($C$1,Database!$A$1:$C$1,),)=0,#N/A,VLOOKUP(Table73[[#This Row],[Date]],Database!$A:$C,MATCH($C$1,Database!$A$1:$C$1,),))</f>
        <v/>
      </c>
      <c r="D118">
        <f>IFERROR(Table73[[#This Row],[United States 10y]]-Table73[[#This Row],[United States 2y]],#N/A)</f>
        <v/>
      </c>
    </row>
    <row r="119">
      <c r="A119" s="6">
        <f>Database!A118</f>
        <v/>
      </c>
      <c r="B119">
        <f>IF(VLOOKUP(Table73[[#This Row],[Date]],Database!$A:$E,MATCH($B$1,Database!$A$1:$E$1,),)=0,#N/A,VLOOKUP(Table73[[#This Row],[Date]],Database!$A:$E,MATCH($B$1,Database!$A$1:$E$1,),))</f>
        <v/>
      </c>
      <c r="C119">
        <f>IF(VLOOKUP(Table73[[#This Row],[Date]],Database!$A:$C,MATCH($C$1,Database!$A$1:$C$1,),)=0,#N/A,VLOOKUP(Table73[[#This Row],[Date]],Database!$A:$C,MATCH($C$1,Database!$A$1:$C$1,),))</f>
        <v/>
      </c>
      <c r="D119">
        <f>IFERROR(Table73[[#This Row],[United States 10y]]-Table73[[#This Row],[United States 2y]],#N/A)</f>
        <v/>
      </c>
    </row>
    <row r="120">
      <c r="A120" s="6">
        <f>Database!A119</f>
        <v/>
      </c>
      <c r="B120">
        <f>IF(VLOOKUP(Table73[[#This Row],[Date]],Database!$A:$E,MATCH($B$1,Database!$A$1:$E$1,),)=0,#N/A,VLOOKUP(Table73[[#This Row],[Date]],Database!$A:$E,MATCH($B$1,Database!$A$1:$E$1,),))</f>
        <v/>
      </c>
      <c r="C120">
        <f>IF(VLOOKUP(Table73[[#This Row],[Date]],Database!$A:$C,MATCH($C$1,Database!$A$1:$C$1,),)=0,#N/A,VLOOKUP(Table73[[#This Row],[Date]],Database!$A:$C,MATCH($C$1,Database!$A$1:$C$1,),))</f>
        <v/>
      </c>
      <c r="D120">
        <f>IFERROR(Table73[[#This Row],[United States 10y]]-Table73[[#This Row],[United States 2y]],#N/A)</f>
        <v/>
      </c>
    </row>
    <row r="121">
      <c r="A121" s="6">
        <f>Database!A120</f>
        <v/>
      </c>
      <c r="B121">
        <f>IF(VLOOKUP(Table73[[#This Row],[Date]],Database!$A:$E,MATCH($B$1,Database!$A$1:$E$1,),)=0,#N/A,VLOOKUP(Table73[[#This Row],[Date]],Database!$A:$E,MATCH($B$1,Database!$A$1:$E$1,),))</f>
        <v/>
      </c>
      <c r="C121">
        <f>IF(VLOOKUP(Table73[[#This Row],[Date]],Database!$A:$C,MATCH($C$1,Database!$A$1:$C$1,),)=0,#N/A,VLOOKUP(Table73[[#This Row],[Date]],Database!$A:$C,MATCH($C$1,Database!$A$1:$C$1,),))</f>
        <v/>
      </c>
      <c r="D121">
        <f>IFERROR(Table73[[#This Row],[United States 10y]]-Table73[[#This Row],[United States 2y]],#N/A)</f>
        <v/>
      </c>
    </row>
    <row r="122">
      <c r="A122" s="6">
        <f>Database!A121</f>
        <v/>
      </c>
      <c r="B122">
        <f>IF(VLOOKUP(Table73[[#This Row],[Date]],Database!$A:$E,MATCH($B$1,Database!$A$1:$E$1,),)=0,#N/A,VLOOKUP(Table73[[#This Row],[Date]],Database!$A:$E,MATCH($B$1,Database!$A$1:$E$1,),))</f>
        <v/>
      </c>
      <c r="C122">
        <f>IF(VLOOKUP(Table73[[#This Row],[Date]],Database!$A:$C,MATCH($C$1,Database!$A$1:$C$1,),)=0,#N/A,VLOOKUP(Table73[[#This Row],[Date]],Database!$A:$C,MATCH($C$1,Database!$A$1:$C$1,),))</f>
        <v/>
      </c>
      <c r="D122">
        <f>IFERROR(Table73[[#This Row],[United States 10y]]-Table73[[#This Row],[United States 2y]],#N/A)</f>
        <v/>
      </c>
    </row>
    <row r="123">
      <c r="A123" s="6">
        <f>Database!A122</f>
        <v/>
      </c>
      <c r="B123">
        <f>IF(VLOOKUP(Table73[[#This Row],[Date]],Database!$A:$E,MATCH($B$1,Database!$A$1:$E$1,),)=0,#N/A,VLOOKUP(Table73[[#This Row],[Date]],Database!$A:$E,MATCH($B$1,Database!$A$1:$E$1,),))</f>
        <v/>
      </c>
      <c r="C123">
        <f>IF(VLOOKUP(Table73[[#This Row],[Date]],Database!$A:$C,MATCH($C$1,Database!$A$1:$C$1,),)=0,#N/A,VLOOKUP(Table73[[#This Row],[Date]],Database!$A:$C,MATCH($C$1,Database!$A$1:$C$1,),))</f>
        <v/>
      </c>
      <c r="D123">
        <f>IFERROR(Table73[[#This Row],[United States 10y]]-Table73[[#This Row],[United States 2y]],#N/A)</f>
        <v/>
      </c>
    </row>
    <row r="124">
      <c r="A124" s="6">
        <f>Database!A123</f>
        <v/>
      </c>
      <c r="B124">
        <f>IF(VLOOKUP(Table73[[#This Row],[Date]],Database!$A:$E,MATCH($B$1,Database!$A$1:$E$1,),)=0,#N/A,VLOOKUP(Table73[[#This Row],[Date]],Database!$A:$E,MATCH($B$1,Database!$A$1:$E$1,),))</f>
        <v/>
      </c>
      <c r="C124">
        <f>IF(VLOOKUP(Table73[[#This Row],[Date]],Database!$A:$C,MATCH($C$1,Database!$A$1:$C$1,),)=0,#N/A,VLOOKUP(Table73[[#This Row],[Date]],Database!$A:$C,MATCH($C$1,Database!$A$1:$C$1,),))</f>
        <v/>
      </c>
      <c r="D124">
        <f>IFERROR(Table73[[#This Row],[United States 10y]]-Table73[[#This Row],[United States 2y]],#N/A)</f>
        <v/>
      </c>
    </row>
    <row r="125">
      <c r="A125" s="6">
        <f>Database!A124</f>
        <v/>
      </c>
      <c r="B125">
        <f>IF(VLOOKUP(Table73[[#This Row],[Date]],Database!$A:$E,MATCH($B$1,Database!$A$1:$E$1,),)=0,#N/A,VLOOKUP(Table73[[#This Row],[Date]],Database!$A:$E,MATCH($B$1,Database!$A$1:$E$1,),))</f>
        <v/>
      </c>
      <c r="C125">
        <f>IF(VLOOKUP(Table73[[#This Row],[Date]],Database!$A:$C,MATCH($C$1,Database!$A$1:$C$1,),)=0,#N/A,VLOOKUP(Table73[[#This Row],[Date]],Database!$A:$C,MATCH($C$1,Database!$A$1:$C$1,),))</f>
        <v/>
      </c>
      <c r="D125">
        <f>IFERROR(Table73[[#This Row],[United States 10y]]-Table73[[#This Row],[United States 2y]],#N/A)</f>
        <v/>
      </c>
    </row>
    <row r="126">
      <c r="A126" s="6">
        <f>Database!A125</f>
        <v/>
      </c>
      <c r="B126">
        <f>IF(VLOOKUP(Table73[[#This Row],[Date]],Database!$A:$E,MATCH($B$1,Database!$A$1:$E$1,),)=0,#N/A,VLOOKUP(Table73[[#This Row],[Date]],Database!$A:$E,MATCH($B$1,Database!$A$1:$E$1,),))</f>
        <v/>
      </c>
      <c r="C126">
        <f>IF(VLOOKUP(Table73[[#This Row],[Date]],Database!$A:$C,MATCH($C$1,Database!$A$1:$C$1,),)=0,#N/A,VLOOKUP(Table73[[#This Row],[Date]],Database!$A:$C,MATCH($C$1,Database!$A$1:$C$1,),))</f>
        <v/>
      </c>
      <c r="D126">
        <f>IFERROR(Table73[[#This Row],[United States 10y]]-Table73[[#This Row],[United States 2y]],#N/A)</f>
        <v/>
      </c>
    </row>
    <row r="127">
      <c r="A127" s="6">
        <f>Database!A126</f>
        <v/>
      </c>
      <c r="B127">
        <f>IF(VLOOKUP(Table73[[#This Row],[Date]],Database!$A:$E,MATCH($B$1,Database!$A$1:$E$1,),)=0,#N/A,VLOOKUP(Table73[[#This Row],[Date]],Database!$A:$E,MATCH($B$1,Database!$A$1:$E$1,),))</f>
        <v/>
      </c>
      <c r="C127">
        <f>IF(VLOOKUP(Table73[[#This Row],[Date]],Database!$A:$C,MATCH($C$1,Database!$A$1:$C$1,),)=0,#N/A,VLOOKUP(Table73[[#This Row],[Date]],Database!$A:$C,MATCH($C$1,Database!$A$1:$C$1,),))</f>
        <v/>
      </c>
      <c r="D127">
        <f>IFERROR(Table73[[#This Row],[United States 10y]]-Table73[[#This Row],[United States 2y]],#N/A)</f>
        <v/>
      </c>
    </row>
    <row r="128">
      <c r="A128" s="6">
        <f>Database!A127</f>
        <v/>
      </c>
      <c r="B128">
        <f>IF(VLOOKUP(Table73[[#This Row],[Date]],Database!$A:$E,MATCH($B$1,Database!$A$1:$E$1,),)=0,#N/A,VLOOKUP(Table73[[#This Row],[Date]],Database!$A:$E,MATCH($B$1,Database!$A$1:$E$1,),))</f>
        <v/>
      </c>
      <c r="C128">
        <f>IF(VLOOKUP(Table73[[#This Row],[Date]],Database!$A:$C,MATCH($C$1,Database!$A$1:$C$1,),)=0,#N/A,VLOOKUP(Table73[[#This Row],[Date]],Database!$A:$C,MATCH($C$1,Database!$A$1:$C$1,),))</f>
        <v/>
      </c>
      <c r="D128">
        <f>IFERROR(Table73[[#This Row],[United States 10y]]-Table73[[#This Row],[United States 2y]],#N/A)</f>
        <v/>
      </c>
    </row>
    <row r="129">
      <c r="A129" s="6">
        <f>Database!A128</f>
        <v/>
      </c>
      <c r="B129">
        <f>IF(VLOOKUP(Table73[[#This Row],[Date]],Database!$A:$E,MATCH($B$1,Database!$A$1:$E$1,),)=0,#N/A,VLOOKUP(Table73[[#This Row],[Date]],Database!$A:$E,MATCH($B$1,Database!$A$1:$E$1,),))</f>
        <v/>
      </c>
      <c r="C129">
        <f>IF(VLOOKUP(Table73[[#This Row],[Date]],Database!$A:$C,MATCH($C$1,Database!$A$1:$C$1,),)=0,#N/A,VLOOKUP(Table73[[#This Row],[Date]],Database!$A:$C,MATCH($C$1,Database!$A$1:$C$1,),))</f>
        <v/>
      </c>
      <c r="D129">
        <f>IFERROR(Table73[[#This Row],[United States 10y]]-Table73[[#This Row],[United States 2y]],#N/A)</f>
        <v/>
      </c>
    </row>
    <row r="130">
      <c r="A130" s="6">
        <f>Database!A129</f>
        <v/>
      </c>
      <c r="B130">
        <f>IF(VLOOKUP(Table73[[#This Row],[Date]],Database!$A:$E,MATCH($B$1,Database!$A$1:$E$1,),)=0,#N/A,VLOOKUP(Table73[[#This Row],[Date]],Database!$A:$E,MATCH($B$1,Database!$A$1:$E$1,),))</f>
        <v/>
      </c>
      <c r="C130">
        <f>IF(VLOOKUP(Table73[[#This Row],[Date]],Database!$A:$C,MATCH($C$1,Database!$A$1:$C$1,),)=0,#N/A,VLOOKUP(Table73[[#This Row],[Date]],Database!$A:$C,MATCH($C$1,Database!$A$1:$C$1,),))</f>
        <v/>
      </c>
      <c r="D130">
        <f>IFERROR(Table73[[#This Row],[United States 10y]]-Table73[[#This Row],[United States 2y]],#N/A)</f>
        <v/>
      </c>
    </row>
    <row r="131">
      <c r="A131" s="6">
        <f>Database!A130</f>
        <v/>
      </c>
      <c r="B131">
        <f>IF(VLOOKUP(Table73[[#This Row],[Date]],Database!$A:$E,MATCH($B$1,Database!$A$1:$E$1,),)=0,#N/A,VLOOKUP(Table73[[#This Row],[Date]],Database!$A:$E,MATCH($B$1,Database!$A$1:$E$1,),))</f>
        <v/>
      </c>
      <c r="C131">
        <f>IF(VLOOKUP(Table73[[#This Row],[Date]],Database!$A:$C,MATCH($C$1,Database!$A$1:$C$1,),)=0,#N/A,VLOOKUP(Table73[[#This Row],[Date]],Database!$A:$C,MATCH($C$1,Database!$A$1:$C$1,),))</f>
        <v/>
      </c>
      <c r="D131">
        <f>IFERROR(Table73[[#This Row],[United States 10y]]-Table73[[#This Row],[United States 2y]],#N/A)</f>
        <v/>
      </c>
    </row>
    <row r="132">
      <c r="A132" s="6">
        <f>Database!A131</f>
        <v/>
      </c>
      <c r="B132">
        <f>IF(VLOOKUP(Table73[[#This Row],[Date]],Database!$A:$E,MATCH($B$1,Database!$A$1:$E$1,),)=0,#N/A,VLOOKUP(Table73[[#This Row],[Date]],Database!$A:$E,MATCH($B$1,Database!$A$1:$E$1,),))</f>
        <v/>
      </c>
      <c r="C132">
        <f>IF(VLOOKUP(Table73[[#This Row],[Date]],Database!$A:$C,MATCH($C$1,Database!$A$1:$C$1,),)=0,#N/A,VLOOKUP(Table73[[#This Row],[Date]],Database!$A:$C,MATCH($C$1,Database!$A$1:$C$1,),))</f>
        <v/>
      </c>
      <c r="D132">
        <f>IFERROR(Table73[[#This Row],[United States 10y]]-Table73[[#This Row],[United States 2y]],#N/A)</f>
        <v/>
      </c>
    </row>
    <row r="133">
      <c r="A133" s="6">
        <f>Database!A132</f>
        <v/>
      </c>
      <c r="B133">
        <f>IF(VLOOKUP(Table73[[#This Row],[Date]],Database!$A:$E,MATCH($B$1,Database!$A$1:$E$1,),)=0,#N/A,VLOOKUP(Table73[[#This Row],[Date]],Database!$A:$E,MATCH($B$1,Database!$A$1:$E$1,),))</f>
        <v/>
      </c>
      <c r="C133">
        <f>IF(VLOOKUP(Table73[[#This Row],[Date]],Database!$A:$C,MATCH($C$1,Database!$A$1:$C$1,),)=0,#N/A,VLOOKUP(Table73[[#This Row],[Date]],Database!$A:$C,MATCH($C$1,Database!$A$1:$C$1,),))</f>
        <v/>
      </c>
      <c r="D133">
        <f>IFERROR(Table73[[#This Row],[United States 10y]]-Table73[[#This Row],[United States 2y]],#N/A)</f>
        <v/>
      </c>
    </row>
    <row r="134">
      <c r="A134" s="6">
        <f>Database!A133</f>
        <v/>
      </c>
      <c r="B134">
        <f>IF(VLOOKUP(Table73[[#This Row],[Date]],Database!$A:$E,MATCH($B$1,Database!$A$1:$E$1,),)=0,#N/A,VLOOKUP(Table73[[#This Row],[Date]],Database!$A:$E,MATCH($B$1,Database!$A$1:$E$1,),))</f>
        <v/>
      </c>
      <c r="C134">
        <f>IF(VLOOKUP(Table73[[#This Row],[Date]],Database!$A:$C,MATCH($C$1,Database!$A$1:$C$1,),)=0,#N/A,VLOOKUP(Table73[[#This Row],[Date]],Database!$A:$C,MATCH($C$1,Database!$A$1:$C$1,),))</f>
        <v/>
      </c>
      <c r="D134">
        <f>IFERROR(Table73[[#This Row],[United States 10y]]-Table73[[#This Row],[United States 2y]],#N/A)</f>
        <v/>
      </c>
    </row>
    <row r="135">
      <c r="A135" s="6">
        <f>Database!A134</f>
        <v/>
      </c>
      <c r="B135">
        <f>IF(VLOOKUP(Table73[[#This Row],[Date]],Database!$A:$E,MATCH($B$1,Database!$A$1:$E$1,),)=0,#N/A,VLOOKUP(Table73[[#This Row],[Date]],Database!$A:$E,MATCH($B$1,Database!$A$1:$E$1,),))</f>
        <v/>
      </c>
      <c r="C135">
        <f>IF(VLOOKUP(Table73[[#This Row],[Date]],Database!$A:$C,MATCH($C$1,Database!$A$1:$C$1,),)=0,#N/A,VLOOKUP(Table73[[#This Row],[Date]],Database!$A:$C,MATCH($C$1,Database!$A$1:$C$1,),))</f>
        <v/>
      </c>
      <c r="D135">
        <f>IFERROR(Table73[[#This Row],[United States 10y]]-Table73[[#This Row],[United States 2y]],#N/A)</f>
        <v/>
      </c>
    </row>
    <row r="136">
      <c r="A136" s="6">
        <f>Database!A135</f>
        <v/>
      </c>
      <c r="B136">
        <f>IF(VLOOKUP(Table73[[#This Row],[Date]],Database!$A:$E,MATCH($B$1,Database!$A$1:$E$1,),)=0,#N/A,VLOOKUP(Table73[[#This Row],[Date]],Database!$A:$E,MATCH($B$1,Database!$A$1:$E$1,),))</f>
        <v/>
      </c>
      <c r="C136">
        <f>IF(VLOOKUP(Table73[[#This Row],[Date]],Database!$A:$C,MATCH($C$1,Database!$A$1:$C$1,),)=0,#N/A,VLOOKUP(Table73[[#This Row],[Date]],Database!$A:$C,MATCH($C$1,Database!$A$1:$C$1,),))</f>
        <v/>
      </c>
      <c r="D136">
        <f>IFERROR(Table73[[#This Row],[United States 10y]]-Table73[[#This Row],[United States 2y]],#N/A)</f>
        <v/>
      </c>
    </row>
    <row r="137">
      <c r="A137" s="6">
        <f>Database!A136</f>
        <v/>
      </c>
      <c r="B137">
        <f>IF(VLOOKUP(Table73[[#This Row],[Date]],Database!$A:$E,MATCH($B$1,Database!$A$1:$E$1,),)=0,#N/A,VLOOKUP(Table73[[#This Row],[Date]],Database!$A:$E,MATCH($B$1,Database!$A$1:$E$1,),))</f>
        <v/>
      </c>
      <c r="C137">
        <f>IF(VLOOKUP(Table73[[#This Row],[Date]],Database!$A:$C,MATCH($C$1,Database!$A$1:$C$1,),)=0,#N/A,VLOOKUP(Table73[[#This Row],[Date]],Database!$A:$C,MATCH($C$1,Database!$A$1:$C$1,),))</f>
        <v/>
      </c>
      <c r="D137">
        <f>IFERROR(Table73[[#This Row],[United States 10y]]-Table73[[#This Row],[United States 2y]],#N/A)</f>
        <v/>
      </c>
    </row>
    <row r="138">
      <c r="A138" s="6">
        <f>Database!A137</f>
        <v/>
      </c>
      <c r="B138">
        <f>IF(VLOOKUP(Table73[[#This Row],[Date]],Database!$A:$E,MATCH($B$1,Database!$A$1:$E$1,),)=0,#N/A,VLOOKUP(Table73[[#This Row],[Date]],Database!$A:$E,MATCH($B$1,Database!$A$1:$E$1,),))</f>
        <v/>
      </c>
      <c r="C138">
        <f>IF(VLOOKUP(Table73[[#This Row],[Date]],Database!$A:$C,MATCH($C$1,Database!$A$1:$C$1,),)=0,#N/A,VLOOKUP(Table73[[#This Row],[Date]],Database!$A:$C,MATCH($C$1,Database!$A$1:$C$1,),))</f>
        <v/>
      </c>
      <c r="D138">
        <f>IFERROR(Table73[[#This Row],[United States 10y]]-Table73[[#This Row],[United States 2y]],#N/A)</f>
        <v/>
      </c>
    </row>
    <row r="139">
      <c r="A139" s="6">
        <f>Database!A138</f>
        <v/>
      </c>
      <c r="B139">
        <f>IF(VLOOKUP(Table73[[#This Row],[Date]],Database!$A:$E,MATCH($B$1,Database!$A$1:$E$1,),)=0,#N/A,VLOOKUP(Table73[[#This Row],[Date]],Database!$A:$E,MATCH($B$1,Database!$A$1:$E$1,),))</f>
        <v/>
      </c>
      <c r="C139">
        <f>IF(VLOOKUP(Table73[[#This Row],[Date]],Database!$A:$C,MATCH($C$1,Database!$A$1:$C$1,),)=0,#N/A,VLOOKUP(Table73[[#This Row],[Date]],Database!$A:$C,MATCH($C$1,Database!$A$1:$C$1,),))</f>
        <v/>
      </c>
      <c r="D139">
        <f>IFERROR(Table73[[#This Row],[United States 10y]]-Table73[[#This Row],[United States 2y]],#N/A)</f>
        <v/>
      </c>
    </row>
    <row r="140">
      <c r="A140" s="6">
        <f>Database!A139</f>
        <v/>
      </c>
      <c r="B140">
        <f>IF(VLOOKUP(Table73[[#This Row],[Date]],Database!$A:$E,MATCH($B$1,Database!$A$1:$E$1,),)=0,#N/A,VLOOKUP(Table73[[#This Row],[Date]],Database!$A:$E,MATCH($B$1,Database!$A$1:$E$1,),))</f>
        <v/>
      </c>
      <c r="C140">
        <f>IF(VLOOKUP(Table73[[#This Row],[Date]],Database!$A:$C,MATCH($C$1,Database!$A$1:$C$1,),)=0,#N/A,VLOOKUP(Table73[[#This Row],[Date]],Database!$A:$C,MATCH($C$1,Database!$A$1:$C$1,),))</f>
        <v/>
      </c>
      <c r="D140">
        <f>IFERROR(Table73[[#This Row],[United States 10y]]-Table73[[#This Row],[United States 2y]],#N/A)</f>
        <v/>
      </c>
    </row>
    <row r="141">
      <c r="A141" s="6">
        <f>Database!A140</f>
        <v/>
      </c>
      <c r="B141">
        <f>IF(VLOOKUP(Table73[[#This Row],[Date]],Database!$A:$E,MATCH($B$1,Database!$A$1:$E$1,),)=0,#N/A,VLOOKUP(Table73[[#This Row],[Date]],Database!$A:$E,MATCH($B$1,Database!$A$1:$E$1,),))</f>
        <v/>
      </c>
      <c r="C141">
        <f>IF(VLOOKUP(Table73[[#This Row],[Date]],Database!$A:$C,MATCH($C$1,Database!$A$1:$C$1,),)=0,#N/A,VLOOKUP(Table73[[#This Row],[Date]],Database!$A:$C,MATCH($C$1,Database!$A$1:$C$1,),))</f>
        <v/>
      </c>
      <c r="D141">
        <f>IFERROR(Table73[[#This Row],[United States 10y]]-Table73[[#This Row],[United States 2y]],#N/A)</f>
        <v/>
      </c>
    </row>
    <row r="142">
      <c r="A142" s="6">
        <f>Database!A141</f>
        <v/>
      </c>
      <c r="B142">
        <f>IF(VLOOKUP(Table73[[#This Row],[Date]],Database!$A:$E,MATCH($B$1,Database!$A$1:$E$1,),)=0,#N/A,VLOOKUP(Table73[[#This Row],[Date]],Database!$A:$E,MATCH($B$1,Database!$A$1:$E$1,),))</f>
        <v/>
      </c>
      <c r="C142">
        <f>IF(VLOOKUP(Table73[[#This Row],[Date]],Database!$A:$C,MATCH($C$1,Database!$A$1:$C$1,),)=0,#N/A,VLOOKUP(Table73[[#This Row],[Date]],Database!$A:$C,MATCH($C$1,Database!$A$1:$C$1,),))</f>
        <v/>
      </c>
      <c r="D142">
        <f>IFERROR(Table73[[#This Row],[United States 10y]]-Table73[[#This Row],[United States 2y]],#N/A)</f>
        <v/>
      </c>
    </row>
    <row r="143">
      <c r="A143" s="6">
        <f>Database!A142</f>
        <v/>
      </c>
      <c r="B143">
        <f>IF(VLOOKUP(Table73[[#This Row],[Date]],Database!$A:$E,MATCH($B$1,Database!$A$1:$E$1,),)=0,#N/A,VLOOKUP(Table73[[#This Row],[Date]],Database!$A:$E,MATCH($B$1,Database!$A$1:$E$1,),))</f>
        <v/>
      </c>
      <c r="C143">
        <f>IF(VLOOKUP(Table73[[#This Row],[Date]],Database!$A:$C,MATCH($C$1,Database!$A$1:$C$1,),)=0,#N/A,VLOOKUP(Table73[[#This Row],[Date]],Database!$A:$C,MATCH($C$1,Database!$A$1:$C$1,),))</f>
        <v/>
      </c>
      <c r="D143">
        <f>IFERROR(Table73[[#This Row],[United States 10y]]-Table73[[#This Row],[United States 2y]],#N/A)</f>
        <v/>
      </c>
    </row>
    <row r="144">
      <c r="A144" s="6">
        <f>Database!A143</f>
        <v/>
      </c>
      <c r="B144">
        <f>IF(VLOOKUP(Table73[[#This Row],[Date]],Database!$A:$E,MATCH($B$1,Database!$A$1:$E$1,),)=0,#N/A,VLOOKUP(Table73[[#This Row],[Date]],Database!$A:$E,MATCH($B$1,Database!$A$1:$E$1,),))</f>
        <v/>
      </c>
      <c r="C144">
        <f>IF(VLOOKUP(Table73[[#This Row],[Date]],Database!$A:$C,MATCH($C$1,Database!$A$1:$C$1,),)=0,#N/A,VLOOKUP(Table73[[#This Row],[Date]],Database!$A:$C,MATCH($C$1,Database!$A$1:$C$1,),))</f>
        <v/>
      </c>
      <c r="D144">
        <f>IFERROR(Table73[[#This Row],[United States 10y]]-Table73[[#This Row],[United States 2y]],#N/A)</f>
        <v/>
      </c>
    </row>
    <row r="145">
      <c r="A145" s="6">
        <f>Database!A144</f>
        <v/>
      </c>
      <c r="B145">
        <f>IF(VLOOKUP(Table73[[#This Row],[Date]],Database!$A:$E,MATCH($B$1,Database!$A$1:$E$1,),)=0,#N/A,VLOOKUP(Table73[[#This Row],[Date]],Database!$A:$E,MATCH($B$1,Database!$A$1:$E$1,),))</f>
        <v/>
      </c>
      <c r="C145">
        <f>IF(VLOOKUP(Table73[[#This Row],[Date]],Database!$A:$C,MATCH($C$1,Database!$A$1:$C$1,),)=0,#N/A,VLOOKUP(Table73[[#This Row],[Date]],Database!$A:$C,MATCH($C$1,Database!$A$1:$C$1,),))</f>
        <v/>
      </c>
      <c r="D145">
        <f>IFERROR(Table73[[#This Row],[United States 10y]]-Table73[[#This Row],[United States 2y]],#N/A)</f>
        <v/>
      </c>
    </row>
    <row r="146">
      <c r="A146" s="6">
        <f>Database!A145</f>
        <v/>
      </c>
      <c r="B146">
        <f>IF(VLOOKUP(Table73[[#This Row],[Date]],Database!$A:$E,MATCH($B$1,Database!$A$1:$E$1,),)=0,#N/A,VLOOKUP(Table73[[#This Row],[Date]],Database!$A:$E,MATCH($B$1,Database!$A$1:$E$1,),))</f>
        <v/>
      </c>
      <c r="C146">
        <f>IF(VLOOKUP(Table73[[#This Row],[Date]],Database!$A:$C,MATCH($C$1,Database!$A$1:$C$1,),)=0,#N/A,VLOOKUP(Table73[[#This Row],[Date]],Database!$A:$C,MATCH($C$1,Database!$A$1:$C$1,),))</f>
        <v/>
      </c>
      <c r="D146">
        <f>IFERROR(Table73[[#This Row],[United States 10y]]-Table73[[#This Row],[United States 2y]],#N/A)</f>
        <v/>
      </c>
    </row>
    <row r="147">
      <c r="A147" s="6">
        <f>Database!A146</f>
        <v/>
      </c>
      <c r="B147">
        <f>IF(VLOOKUP(Table73[[#This Row],[Date]],Database!$A:$E,MATCH($B$1,Database!$A$1:$E$1,),)=0,#N/A,VLOOKUP(Table73[[#This Row],[Date]],Database!$A:$E,MATCH($B$1,Database!$A$1:$E$1,),))</f>
        <v/>
      </c>
      <c r="C147">
        <f>IF(VLOOKUP(Table73[[#This Row],[Date]],Database!$A:$C,MATCH($C$1,Database!$A$1:$C$1,),)=0,#N/A,VLOOKUP(Table73[[#This Row],[Date]],Database!$A:$C,MATCH($C$1,Database!$A$1:$C$1,),))</f>
        <v/>
      </c>
      <c r="D147">
        <f>IFERROR(Table73[[#This Row],[United States 10y]]-Table73[[#This Row],[United States 2y]],#N/A)</f>
        <v/>
      </c>
    </row>
    <row r="148">
      <c r="A148" s="6">
        <f>Database!A147</f>
        <v/>
      </c>
      <c r="B148">
        <f>IF(VLOOKUP(Table73[[#This Row],[Date]],Database!$A:$E,MATCH($B$1,Database!$A$1:$E$1,),)=0,#N/A,VLOOKUP(Table73[[#This Row],[Date]],Database!$A:$E,MATCH($B$1,Database!$A$1:$E$1,),))</f>
        <v/>
      </c>
      <c r="C148">
        <f>IF(VLOOKUP(Table73[[#This Row],[Date]],Database!$A:$C,MATCH($C$1,Database!$A$1:$C$1,),)=0,#N/A,VLOOKUP(Table73[[#This Row],[Date]],Database!$A:$C,MATCH($C$1,Database!$A$1:$C$1,),))</f>
        <v/>
      </c>
      <c r="D148">
        <f>IFERROR(Table73[[#This Row],[United States 10y]]-Table73[[#This Row],[United States 2y]],#N/A)</f>
        <v/>
      </c>
    </row>
    <row r="149">
      <c r="A149" s="6">
        <f>Database!A148</f>
        <v/>
      </c>
      <c r="B149">
        <f>IF(VLOOKUP(Table73[[#This Row],[Date]],Database!$A:$E,MATCH($B$1,Database!$A$1:$E$1,),)=0,#N/A,VLOOKUP(Table73[[#This Row],[Date]],Database!$A:$E,MATCH($B$1,Database!$A$1:$E$1,),))</f>
        <v/>
      </c>
      <c r="C149">
        <f>IF(VLOOKUP(Table73[[#This Row],[Date]],Database!$A:$C,MATCH($C$1,Database!$A$1:$C$1,),)=0,#N/A,VLOOKUP(Table73[[#This Row],[Date]],Database!$A:$C,MATCH($C$1,Database!$A$1:$C$1,),))</f>
        <v/>
      </c>
      <c r="D149">
        <f>IFERROR(Table73[[#This Row],[United States 10y]]-Table73[[#This Row],[United States 2y]],#N/A)</f>
        <v/>
      </c>
    </row>
    <row r="150">
      <c r="A150" s="6">
        <f>Database!A149</f>
        <v/>
      </c>
      <c r="B150">
        <f>IF(VLOOKUP(Table73[[#This Row],[Date]],Database!$A:$E,MATCH($B$1,Database!$A$1:$E$1,),)=0,#N/A,VLOOKUP(Table73[[#This Row],[Date]],Database!$A:$E,MATCH($B$1,Database!$A$1:$E$1,),))</f>
        <v/>
      </c>
      <c r="C150">
        <f>IF(VLOOKUP(Table73[[#This Row],[Date]],Database!$A:$C,MATCH($C$1,Database!$A$1:$C$1,),)=0,#N/A,VLOOKUP(Table73[[#This Row],[Date]],Database!$A:$C,MATCH($C$1,Database!$A$1:$C$1,),))</f>
        <v/>
      </c>
      <c r="D150">
        <f>IFERROR(Table73[[#This Row],[United States 10y]]-Table73[[#This Row],[United States 2y]],#N/A)</f>
        <v/>
      </c>
    </row>
    <row r="151">
      <c r="A151" s="6">
        <f>Database!A150</f>
        <v/>
      </c>
      <c r="B151">
        <f>IF(VLOOKUP(Table73[[#This Row],[Date]],Database!$A:$E,MATCH($B$1,Database!$A$1:$E$1,),)=0,#N/A,VLOOKUP(Table73[[#This Row],[Date]],Database!$A:$E,MATCH($B$1,Database!$A$1:$E$1,),))</f>
        <v/>
      </c>
      <c r="C151">
        <f>IF(VLOOKUP(Table73[[#This Row],[Date]],Database!$A:$C,MATCH($C$1,Database!$A$1:$C$1,),)=0,#N/A,VLOOKUP(Table73[[#This Row],[Date]],Database!$A:$C,MATCH($C$1,Database!$A$1:$C$1,),))</f>
        <v/>
      </c>
      <c r="D151">
        <f>IFERROR(Table73[[#This Row],[United States 10y]]-Table73[[#This Row],[United States 2y]],#N/A)</f>
        <v/>
      </c>
    </row>
    <row r="152">
      <c r="A152" s="6">
        <f>Database!A151</f>
        <v/>
      </c>
      <c r="B152">
        <f>IF(VLOOKUP(Table73[[#This Row],[Date]],Database!$A:$E,MATCH($B$1,Database!$A$1:$E$1,),)=0,#N/A,VLOOKUP(Table73[[#This Row],[Date]],Database!$A:$E,MATCH($B$1,Database!$A$1:$E$1,),))</f>
        <v/>
      </c>
      <c r="C152">
        <f>IF(VLOOKUP(Table73[[#This Row],[Date]],Database!$A:$C,MATCH($C$1,Database!$A$1:$C$1,),)=0,#N/A,VLOOKUP(Table73[[#This Row],[Date]],Database!$A:$C,MATCH($C$1,Database!$A$1:$C$1,),))</f>
        <v/>
      </c>
      <c r="D152">
        <f>IFERROR(Table73[[#This Row],[United States 10y]]-Table73[[#This Row],[United States 2y]],#N/A)</f>
        <v/>
      </c>
    </row>
    <row r="153">
      <c r="A153" s="6">
        <f>Database!A152</f>
        <v/>
      </c>
      <c r="B153">
        <f>IF(VLOOKUP(Table73[[#This Row],[Date]],Database!$A:$E,MATCH($B$1,Database!$A$1:$E$1,),)=0,#N/A,VLOOKUP(Table73[[#This Row],[Date]],Database!$A:$E,MATCH($B$1,Database!$A$1:$E$1,),))</f>
        <v/>
      </c>
      <c r="C153">
        <f>IF(VLOOKUP(Table73[[#This Row],[Date]],Database!$A:$C,MATCH($C$1,Database!$A$1:$C$1,),)=0,#N/A,VLOOKUP(Table73[[#This Row],[Date]],Database!$A:$C,MATCH($C$1,Database!$A$1:$C$1,),))</f>
        <v/>
      </c>
      <c r="D153">
        <f>IFERROR(Table73[[#This Row],[United States 10y]]-Table73[[#This Row],[United States 2y]],#N/A)</f>
        <v/>
      </c>
    </row>
    <row r="154">
      <c r="A154" s="6">
        <f>Database!A153</f>
        <v/>
      </c>
      <c r="B154">
        <f>IF(VLOOKUP(Table73[[#This Row],[Date]],Database!$A:$E,MATCH($B$1,Database!$A$1:$E$1,),)=0,#N/A,VLOOKUP(Table73[[#This Row],[Date]],Database!$A:$E,MATCH($B$1,Database!$A$1:$E$1,),))</f>
        <v/>
      </c>
      <c r="C154">
        <f>IF(VLOOKUP(Table73[[#This Row],[Date]],Database!$A:$C,MATCH($C$1,Database!$A$1:$C$1,),)=0,#N/A,VLOOKUP(Table73[[#This Row],[Date]],Database!$A:$C,MATCH($C$1,Database!$A$1:$C$1,),))</f>
        <v/>
      </c>
      <c r="D154">
        <f>IFERROR(Table73[[#This Row],[United States 10y]]-Table73[[#This Row],[United States 2y]],#N/A)</f>
        <v/>
      </c>
    </row>
    <row r="155">
      <c r="A155" s="6">
        <f>Database!A154</f>
        <v/>
      </c>
      <c r="B155">
        <f>IF(VLOOKUP(Table73[[#This Row],[Date]],Database!$A:$E,MATCH($B$1,Database!$A$1:$E$1,),)=0,#N/A,VLOOKUP(Table73[[#This Row],[Date]],Database!$A:$E,MATCH($B$1,Database!$A$1:$E$1,),))</f>
        <v/>
      </c>
      <c r="C155">
        <f>IF(VLOOKUP(Table73[[#This Row],[Date]],Database!$A:$C,MATCH($C$1,Database!$A$1:$C$1,),)=0,#N/A,VLOOKUP(Table73[[#This Row],[Date]],Database!$A:$C,MATCH($C$1,Database!$A$1:$C$1,),))</f>
        <v/>
      </c>
      <c r="D155">
        <f>IFERROR(Table73[[#This Row],[United States 10y]]-Table73[[#This Row],[United States 2y]],#N/A)</f>
        <v/>
      </c>
    </row>
    <row r="156">
      <c r="A156" s="6">
        <f>Database!A155</f>
        <v/>
      </c>
      <c r="B156">
        <f>IF(VLOOKUP(Table73[[#This Row],[Date]],Database!$A:$E,MATCH($B$1,Database!$A$1:$E$1,),)=0,#N/A,VLOOKUP(Table73[[#This Row],[Date]],Database!$A:$E,MATCH($B$1,Database!$A$1:$E$1,),))</f>
        <v/>
      </c>
      <c r="C156">
        <f>IF(VLOOKUP(Table73[[#This Row],[Date]],Database!$A:$C,MATCH($C$1,Database!$A$1:$C$1,),)=0,#N/A,VLOOKUP(Table73[[#This Row],[Date]],Database!$A:$C,MATCH($C$1,Database!$A$1:$C$1,),))</f>
        <v/>
      </c>
      <c r="D156">
        <f>IFERROR(Table73[[#This Row],[United States 10y]]-Table73[[#This Row],[United States 2y]],#N/A)</f>
        <v/>
      </c>
    </row>
    <row r="157">
      <c r="A157" s="6">
        <f>Database!A156</f>
        <v/>
      </c>
      <c r="B157">
        <f>IF(VLOOKUP(Table73[[#This Row],[Date]],Database!$A:$E,MATCH($B$1,Database!$A$1:$E$1,),)=0,#N/A,VLOOKUP(Table73[[#This Row],[Date]],Database!$A:$E,MATCH($B$1,Database!$A$1:$E$1,),))</f>
        <v/>
      </c>
      <c r="C157">
        <f>IF(VLOOKUP(Table73[[#This Row],[Date]],Database!$A:$C,MATCH($C$1,Database!$A$1:$C$1,),)=0,#N/A,VLOOKUP(Table73[[#This Row],[Date]],Database!$A:$C,MATCH($C$1,Database!$A$1:$C$1,),))</f>
        <v/>
      </c>
      <c r="D157">
        <f>IFERROR(Table73[[#This Row],[United States 10y]]-Table73[[#This Row],[United States 2y]],#N/A)</f>
        <v/>
      </c>
    </row>
    <row r="158">
      <c r="A158" s="6">
        <f>Database!A157</f>
        <v/>
      </c>
      <c r="B158">
        <f>IF(VLOOKUP(Table73[[#This Row],[Date]],Database!$A:$E,MATCH($B$1,Database!$A$1:$E$1,),)=0,#N/A,VLOOKUP(Table73[[#This Row],[Date]],Database!$A:$E,MATCH($B$1,Database!$A$1:$E$1,),))</f>
        <v/>
      </c>
      <c r="C158">
        <f>IF(VLOOKUP(Table73[[#This Row],[Date]],Database!$A:$C,MATCH($C$1,Database!$A$1:$C$1,),)=0,#N/A,VLOOKUP(Table73[[#This Row],[Date]],Database!$A:$C,MATCH($C$1,Database!$A$1:$C$1,),))</f>
        <v/>
      </c>
      <c r="D158">
        <f>IFERROR(Table73[[#This Row],[United States 10y]]-Table73[[#This Row],[United States 2y]],#N/A)</f>
        <v/>
      </c>
    </row>
    <row r="159">
      <c r="A159" s="6">
        <f>Database!A158</f>
        <v/>
      </c>
      <c r="B159">
        <f>IF(VLOOKUP(Table73[[#This Row],[Date]],Database!$A:$E,MATCH($B$1,Database!$A$1:$E$1,),)=0,#N/A,VLOOKUP(Table73[[#This Row],[Date]],Database!$A:$E,MATCH($B$1,Database!$A$1:$E$1,),))</f>
        <v/>
      </c>
      <c r="C159">
        <f>IF(VLOOKUP(Table73[[#This Row],[Date]],Database!$A:$C,MATCH($C$1,Database!$A$1:$C$1,),)=0,#N/A,VLOOKUP(Table73[[#This Row],[Date]],Database!$A:$C,MATCH($C$1,Database!$A$1:$C$1,),))</f>
        <v/>
      </c>
      <c r="D159">
        <f>IFERROR(Table73[[#This Row],[United States 10y]]-Table73[[#This Row],[United States 2y]],#N/A)</f>
        <v/>
      </c>
    </row>
    <row r="160">
      <c r="A160" s="6">
        <f>Database!A159</f>
        <v/>
      </c>
      <c r="B160">
        <f>IF(VLOOKUP(Table73[[#This Row],[Date]],Database!$A:$E,MATCH($B$1,Database!$A$1:$E$1,),)=0,#N/A,VLOOKUP(Table73[[#This Row],[Date]],Database!$A:$E,MATCH($B$1,Database!$A$1:$E$1,),))</f>
        <v/>
      </c>
      <c r="C160">
        <f>IF(VLOOKUP(Table73[[#This Row],[Date]],Database!$A:$C,MATCH($C$1,Database!$A$1:$C$1,),)=0,#N/A,VLOOKUP(Table73[[#This Row],[Date]],Database!$A:$C,MATCH($C$1,Database!$A$1:$C$1,),))</f>
        <v/>
      </c>
      <c r="D160">
        <f>IFERROR(Table73[[#This Row],[United States 10y]]-Table73[[#This Row],[United States 2y]],#N/A)</f>
        <v/>
      </c>
    </row>
    <row r="161">
      <c r="A161" s="6">
        <f>Database!A160</f>
        <v/>
      </c>
      <c r="B161">
        <f>IF(VLOOKUP(Table73[[#This Row],[Date]],Database!$A:$E,MATCH($B$1,Database!$A$1:$E$1,),)=0,#N/A,VLOOKUP(Table73[[#This Row],[Date]],Database!$A:$E,MATCH($B$1,Database!$A$1:$E$1,),))</f>
        <v/>
      </c>
      <c r="C161">
        <f>IF(VLOOKUP(Table73[[#This Row],[Date]],Database!$A:$C,MATCH($C$1,Database!$A$1:$C$1,),)=0,#N/A,VLOOKUP(Table73[[#This Row],[Date]],Database!$A:$C,MATCH($C$1,Database!$A$1:$C$1,),))</f>
        <v/>
      </c>
      <c r="D161">
        <f>IFERROR(Table73[[#This Row],[United States 10y]]-Table73[[#This Row],[United States 2y]],#N/A)</f>
        <v/>
      </c>
    </row>
    <row r="162">
      <c r="A162" s="6">
        <f>Database!A161</f>
        <v/>
      </c>
      <c r="B162">
        <f>IF(VLOOKUP(Table73[[#This Row],[Date]],Database!$A:$E,MATCH($B$1,Database!$A$1:$E$1,),)=0,#N/A,VLOOKUP(Table73[[#This Row],[Date]],Database!$A:$E,MATCH($B$1,Database!$A$1:$E$1,),))</f>
        <v/>
      </c>
      <c r="C162">
        <f>IF(VLOOKUP(Table73[[#This Row],[Date]],Database!$A:$C,MATCH($C$1,Database!$A$1:$C$1,),)=0,#N/A,VLOOKUP(Table73[[#This Row],[Date]],Database!$A:$C,MATCH($C$1,Database!$A$1:$C$1,),))</f>
        <v/>
      </c>
      <c r="D162">
        <f>IFERROR(Table73[[#This Row],[United States 10y]]-Table73[[#This Row],[United States 2y]],#N/A)</f>
        <v/>
      </c>
    </row>
    <row r="163">
      <c r="A163" s="6">
        <f>Database!A162</f>
        <v/>
      </c>
      <c r="B163">
        <f>IF(VLOOKUP(Table73[[#This Row],[Date]],Database!$A:$E,MATCH($B$1,Database!$A$1:$E$1,),)=0,#N/A,VLOOKUP(Table73[[#This Row],[Date]],Database!$A:$E,MATCH($B$1,Database!$A$1:$E$1,),))</f>
        <v/>
      </c>
      <c r="C163">
        <f>IF(VLOOKUP(Table73[[#This Row],[Date]],Database!$A:$C,MATCH($C$1,Database!$A$1:$C$1,),)=0,#N/A,VLOOKUP(Table73[[#This Row],[Date]],Database!$A:$C,MATCH($C$1,Database!$A$1:$C$1,),))</f>
        <v/>
      </c>
      <c r="D163">
        <f>IFERROR(Table73[[#This Row],[United States 10y]]-Table73[[#This Row],[United States 2y]],#N/A)</f>
        <v/>
      </c>
    </row>
    <row r="164">
      <c r="A164" s="6">
        <f>Database!A163</f>
        <v/>
      </c>
      <c r="B164">
        <f>IF(VLOOKUP(Table73[[#This Row],[Date]],Database!$A:$E,MATCH($B$1,Database!$A$1:$E$1,),)=0,#N/A,VLOOKUP(Table73[[#This Row],[Date]],Database!$A:$E,MATCH($B$1,Database!$A$1:$E$1,),))</f>
        <v/>
      </c>
      <c r="C164">
        <f>IF(VLOOKUP(Table73[[#This Row],[Date]],Database!$A:$C,MATCH($C$1,Database!$A$1:$C$1,),)=0,#N/A,VLOOKUP(Table73[[#This Row],[Date]],Database!$A:$C,MATCH($C$1,Database!$A$1:$C$1,),))</f>
        <v/>
      </c>
      <c r="D164">
        <f>IFERROR(Table73[[#This Row],[United States 10y]]-Table73[[#This Row],[United States 2y]],#N/A)</f>
        <v/>
      </c>
    </row>
    <row r="165">
      <c r="A165" s="6">
        <f>Database!A164</f>
        <v/>
      </c>
      <c r="B165">
        <f>IF(VLOOKUP(Table73[[#This Row],[Date]],Database!$A:$E,MATCH($B$1,Database!$A$1:$E$1,),)=0,#N/A,VLOOKUP(Table73[[#This Row],[Date]],Database!$A:$E,MATCH($B$1,Database!$A$1:$E$1,),))</f>
        <v/>
      </c>
      <c r="C165">
        <f>IF(VLOOKUP(Table73[[#This Row],[Date]],Database!$A:$C,MATCH($C$1,Database!$A$1:$C$1,),)=0,#N/A,VLOOKUP(Table73[[#This Row],[Date]],Database!$A:$C,MATCH($C$1,Database!$A$1:$C$1,),))</f>
        <v/>
      </c>
      <c r="D165">
        <f>IFERROR(Table73[[#This Row],[United States 10y]]-Table73[[#This Row],[United States 2y]],#N/A)</f>
        <v/>
      </c>
    </row>
    <row r="166">
      <c r="A166" s="6">
        <f>Database!A165</f>
        <v/>
      </c>
      <c r="B166">
        <f>IF(VLOOKUP(Table73[[#This Row],[Date]],Database!$A:$E,MATCH($B$1,Database!$A$1:$E$1,),)=0,#N/A,VLOOKUP(Table73[[#This Row],[Date]],Database!$A:$E,MATCH($B$1,Database!$A$1:$E$1,),))</f>
        <v/>
      </c>
      <c r="C166">
        <f>IF(VLOOKUP(Table73[[#This Row],[Date]],Database!$A:$C,MATCH($C$1,Database!$A$1:$C$1,),)=0,#N/A,VLOOKUP(Table73[[#This Row],[Date]],Database!$A:$C,MATCH($C$1,Database!$A$1:$C$1,),))</f>
        <v/>
      </c>
      <c r="D166">
        <f>IFERROR(Table73[[#This Row],[United States 10y]]-Table73[[#This Row],[United States 2y]],#N/A)</f>
        <v/>
      </c>
    </row>
    <row r="167">
      <c r="A167" s="6">
        <f>Database!A166</f>
        <v/>
      </c>
      <c r="B167">
        <f>IF(VLOOKUP(Table73[[#This Row],[Date]],Database!$A:$E,MATCH($B$1,Database!$A$1:$E$1,),)=0,#N/A,VLOOKUP(Table73[[#This Row],[Date]],Database!$A:$E,MATCH($B$1,Database!$A$1:$E$1,),))</f>
        <v/>
      </c>
      <c r="C167">
        <f>IF(VLOOKUP(Table73[[#This Row],[Date]],Database!$A:$C,MATCH($C$1,Database!$A$1:$C$1,),)=0,#N/A,VLOOKUP(Table73[[#This Row],[Date]],Database!$A:$C,MATCH($C$1,Database!$A$1:$C$1,),))</f>
        <v/>
      </c>
      <c r="D167">
        <f>IFERROR(Table73[[#This Row],[United States 10y]]-Table73[[#This Row],[United States 2y]],#N/A)</f>
        <v/>
      </c>
    </row>
    <row r="168">
      <c r="A168" s="6">
        <f>Database!A167</f>
        <v/>
      </c>
      <c r="B168">
        <f>IF(VLOOKUP(Table73[[#This Row],[Date]],Database!$A:$E,MATCH($B$1,Database!$A$1:$E$1,),)=0,#N/A,VLOOKUP(Table73[[#This Row],[Date]],Database!$A:$E,MATCH($B$1,Database!$A$1:$E$1,),))</f>
        <v/>
      </c>
      <c r="C168">
        <f>IF(VLOOKUP(Table73[[#This Row],[Date]],Database!$A:$C,MATCH($C$1,Database!$A$1:$C$1,),)=0,#N/A,VLOOKUP(Table73[[#This Row],[Date]],Database!$A:$C,MATCH($C$1,Database!$A$1:$C$1,),))</f>
        <v/>
      </c>
      <c r="D168">
        <f>IFERROR(Table73[[#This Row],[United States 10y]]-Table73[[#This Row],[United States 2y]],#N/A)</f>
        <v/>
      </c>
    </row>
    <row r="169">
      <c r="A169" s="6">
        <f>Database!A168</f>
        <v/>
      </c>
      <c r="B169">
        <f>IF(VLOOKUP(Table73[[#This Row],[Date]],Database!$A:$E,MATCH($B$1,Database!$A$1:$E$1,),)=0,#N/A,VLOOKUP(Table73[[#This Row],[Date]],Database!$A:$E,MATCH($B$1,Database!$A$1:$E$1,),))</f>
        <v/>
      </c>
      <c r="C169">
        <f>IF(VLOOKUP(Table73[[#This Row],[Date]],Database!$A:$C,MATCH($C$1,Database!$A$1:$C$1,),)=0,#N/A,VLOOKUP(Table73[[#This Row],[Date]],Database!$A:$C,MATCH($C$1,Database!$A$1:$C$1,),))</f>
        <v/>
      </c>
      <c r="D169">
        <f>IFERROR(Table73[[#This Row],[United States 10y]]-Table73[[#This Row],[United States 2y]],#N/A)</f>
        <v/>
      </c>
    </row>
    <row r="170">
      <c r="A170" s="6">
        <f>Database!A169</f>
        <v/>
      </c>
      <c r="B170">
        <f>IF(VLOOKUP(Table73[[#This Row],[Date]],Database!$A:$E,MATCH($B$1,Database!$A$1:$E$1,),)=0,#N/A,VLOOKUP(Table73[[#This Row],[Date]],Database!$A:$E,MATCH($B$1,Database!$A$1:$E$1,),))</f>
        <v/>
      </c>
      <c r="C170">
        <f>IF(VLOOKUP(Table73[[#This Row],[Date]],Database!$A:$C,MATCH($C$1,Database!$A$1:$C$1,),)=0,#N/A,VLOOKUP(Table73[[#This Row],[Date]],Database!$A:$C,MATCH($C$1,Database!$A$1:$C$1,),))</f>
        <v/>
      </c>
      <c r="D170">
        <f>IFERROR(Table73[[#This Row],[United States 10y]]-Table73[[#This Row],[United States 2y]],#N/A)</f>
        <v/>
      </c>
    </row>
    <row r="171">
      <c r="A171" s="6">
        <f>Database!A170</f>
        <v/>
      </c>
      <c r="B171">
        <f>IF(VLOOKUP(Table73[[#This Row],[Date]],Database!$A:$E,MATCH($B$1,Database!$A$1:$E$1,),)=0,#N/A,VLOOKUP(Table73[[#This Row],[Date]],Database!$A:$E,MATCH($B$1,Database!$A$1:$E$1,),))</f>
        <v/>
      </c>
      <c r="C171">
        <f>IF(VLOOKUP(Table73[[#This Row],[Date]],Database!$A:$C,MATCH($C$1,Database!$A$1:$C$1,),)=0,#N/A,VLOOKUP(Table73[[#This Row],[Date]],Database!$A:$C,MATCH($C$1,Database!$A$1:$C$1,),))</f>
        <v/>
      </c>
      <c r="D171">
        <f>IFERROR(Table73[[#This Row],[United States 10y]]-Table73[[#This Row],[United States 2y]],#N/A)</f>
        <v/>
      </c>
    </row>
    <row r="172">
      <c r="A172" s="6">
        <f>Database!A171</f>
        <v/>
      </c>
      <c r="B172">
        <f>IF(VLOOKUP(Table73[[#This Row],[Date]],Database!$A:$E,MATCH($B$1,Database!$A$1:$E$1,),)=0,#N/A,VLOOKUP(Table73[[#This Row],[Date]],Database!$A:$E,MATCH($B$1,Database!$A$1:$E$1,),))</f>
        <v/>
      </c>
      <c r="C172">
        <f>IF(VLOOKUP(Table73[[#This Row],[Date]],Database!$A:$C,MATCH($C$1,Database!$A$1:$C$1,),)=0,#N/A,VLOOKUP(Table73[[#This Row],[Date]],Database!$A:$C,MATCH($C$1,Database!$A$1:$C$1,),))</f>
        <v/>
      </c>
      <c r="D172">
        <f>IFERROR(Table73[[#This Row],[United States 10y]]-Table73[[#This Row],[United States 2y]],#N/A)</f>
        <v/>
      </c>
    </row>
    <row r="173">
      <c r="A173" s="6">
        <f>Database!A172</f>
        <v/>
      </c>
      <c r="B173">
        <f>IF(VLOOKUP(Table73[[#This Row],[Date]],Database!$A:$E,MATCH($B$1,Database!$A$1:$E$1,),)=0,#N/A,VLOOKUP(Table73[[#This Row],[Date]],Database!$A:$E,MATCH($B$1,Database!$A$1:$E$1,),))</f>
        <v/>
      </c>
      <c r="C173">
        <f>IF(VLOOKUP(Table73[[#This Row],[Date]],Database!$A:$C,MATCH($C$1,Database!$A$1:$C$1,),)=0,#N/A,VLOOKUP(Table73[[#This Row],[Date]],Database!$A:$C,MATCH($C$1,Database!$A$1:$C$1,),))</f>
        <v/>
      </c>
      <c r="D173">
        <f>IFERROR(Table73[[#This Row],[United States 10y]]-Table73[[#This Row],[United States 2y]],#N/A)</f>
        <v/>
      </c>
    </row>
    <row r="174">
      <c r="A174" s="6">
        <f>Database!A173</f>
        <v/>
      </c>
      <c r="B174">
        <f>IF(VLOOKUP(Table73[[#This Row],[Date]],Database!$A:$E,MATCH($B$1,Database!$A$1:$E$1,),)=0,#N/A,VLOOKUP(Table73[[#This Row],[Date]],Database!$A:$E,MATCH($B$1,Database!$A$1:$E$1,),))</f>
        <v/>
      </c>
      <c r="C174">
        <f>IF(VLOOKUP(Table73[[#This Row],[Date]],Database!$A:$C,MATCH($C$1,Database!$A$1:$C$1,),)=0,#N/A,VLOOKUP(Table73[[#This Row],[Date]],Database!$A:$C,MATCH($C$1,Database!$A$1:$C$1,),))</f>
        <v/>
      </c>
      <c r="D174">
        <f>IFERROR(Table73[[#This Row],[United States 10y]]-Table73[[#This Row],[United States 2y]],#N/A)</f>
        <v/>
      </c>
    </row>
    <row r="175">
      <c r="A175" s="6">
        <f>Database!A174</f>
        <v/>
      </c>
      <c r="B175">
        <f>IF(VLOOKUP(Table73[[#This Row],[Date]],Database!$A:$E,MATCH($B$1,Database!$A$1:$E$1,),)=0,#N/A,VLOOKUP(Table73[[#This Row],[Date]],Database!$A:$E,MATCH($B$1,Database!$A$1:$E$1,),))</f>
        <v/>
      </c>
      <c r="C175">
        <f>IF(VLOOKUP(Table73[[#This Row],[Date]],Database!$A:$C,MATCH($C$1,Database!$A$1:$C$1,),)=0,#N/A,VLOOKUP(Table73[[#This Row],[Date]],Database!$A:$C,MATCH($C$1,Database!$A$1:$C$1,),))</f>
        <v/>
      </c>
      <c r="D175">
        <f>IFERROR(Table73[[#This Row],[United States 10y]]-Table73[[#This Row],[United States 2y]],#N/A)</f>
        <v/>
      </c>
    </row>
    <row r="176">
      <c r="A176" s="6">
        <f>Database!A175</f>
        <v/>
      </c>
      <c r="B176">
        <f>IF(VLOOKUP(Table73[[#This Row],[Date]],Database!$A:$E,MATCH($B$1,Database!$A$1:$E$1,),)=0,#N/A,VLOOKUP(Table73[[#This Row],[Date]],Database!$A:$E,MATCH($B$1,Database!$A$1:$E$1,),))</f>
        <v/>
      </c>
      <c r="C176">
        <f>IF(VLOOKUP(Table73[[#This Row],[Date]],Database!$A:$C,MATCH($C$1,Database!$A$1:$C$1,),)=0,#N/A,VLOOKUP(Table73[[#This Row],[Date]],Database!$A:$C,MATCH($C$1,Database!$A$1:$C$1,),))</f>
        <v/>
      </c>
      <c r="D176">
        <f>IFERROR(Table73[[#This Row],[United States 10y]]-Table73[[#This Row],[United States 2y]],#N/A)</f>
        <v/>
      </c>
    </row>
    <row r="177">
      <c r="A177" s="6">
        <f>Database!A176</f>
        <v/>
      </c>
      <c r="B177">
        <f>IF(VLOOKUP(Table73[[#This Row],[Date]],Database!$A:$E,MATCH($B$1,Database!$A$1:$E$1,),)=0,#N/A,VLOOKUP(Table73[[#This Row],[Date]],Database!$A:$E,MATCH($B$1,Database!$A$1:$E$1,),))</f>
        <v/>
      </c>
      <c r="C177">
        <f>IF(VLOOKUP(Table73[[#This Row],[Date]],Database!$A:$C,MATCH($C$1,Database!$A$1:$C$1,),)=0,#N/A,VLOOKUP(Table73[[#This Row],[Date]],Database!$A:$C,MATCH($C$1,Database!$A$1:$C$1,),))</f>
        <v/>
      </c>
      <c r="D177">
        <f>IFERROR(Table73[[#This Row],[United States 10y]]-Table73[[#This Row],[United States 2y]],#N/A)</f>
        <v/>
      </c>
    </row>
    <row r="178">
      <c r="A178" s="6">
        <f>Database!A177</f>
        <v/>
      </c>
      <c r="B178">
        <f>IF(VLOOKUP(Table73[[#This Row],[Date]],Database!$A:$E,MATCH($B$1,Database!$A$1:$E$1,),)=0,#N/A,VLOOKUP(Table73[[#This Row],[Date]],Database!$A:$E,MATCH($B$1,Database!$A$1:$E$1,),))</f>
        <v/>
      </c>
      <c r="C178">
        <f>IF(VLOOKUP(Table73[[#This Row],[Date]],Database!$A:$C,MATCH($C$1,Database!$A$1:$C$1,),)=0,#N/A,VLOOKUP(Table73[[#This Row],[Date]],Database!$A:$C,MATCH($C$1,Database!$A$1:$C$1,),))</f>
        <v/>
      </c>
      <c r="D178">
        <f>IFERROR(Table73[[#This Row],[United States 10y]]-Table73[[#This Row],[United States 2y]],#N/A)</f>
        <v/>
      </c>
    </row>
    <row r="179">
      <c r="A179" s="6">
        <f>Database!A178</f>
        <v/>
      </c>
      <c r="B179">
        <f>IF(VLOOKUP(Table73[[#This Row],[Date]],Database!$A:$E,MATCH($B$1,Database!$A$1:$E$1,),)=0,#N/A,VLOOKUP(Table73[[#This Row],[Date]],Database!$A:$E,MATCH($B$1,Database!$A$1:$E$1,),))</f>
        <v/>
      </c>
      <c r="C179">
        <f>IF(VLOOKUP(Table73[[#This Row],[Date]],Database!$A:$C,MATCH($C$1,Database!$A$1:$C$1,),)=0,#N/A,VLOOKUP(Table73[[#This Row],[Date]],Database!$A:$C,MATCH($C$1,Database!$A$1:$C$1,),))</f>
        <v/>
      </c>
      <c r="D179">
        <f>IFERROR(Table73[[#This Row],[United States 10y]]-Table73[[#This Row],[United States 2y]],#N/A)</f>
        <v/>
      </c>
    </row>
    <row r="180">
      <c r="A180" s="6">
        <f>Database!A179</f>
        <v/>
      </c>
      <c r="B180">
        <f>IF(VLOOKUP(Table73[[#This Row],[Date]],Database!$A:$E,MATCH($B$1,Database!$A$1:$E$1,),)=0,#N/A,VLOOKUP(Table73[[#This Row],[Date]],Database!$A:$E,MATCH($B$1,Database!$A$1:$E$1,),))</f>
        <v/>
      </c>
      <c r="C180">
        <f>IF(VLOOKUP(Table73[[#This Row],[Date]],Database!$A:$C,MATCH($C$1,Database!$A$1:$C$1,),)=0,#N/A,VLOOKUP(Table73[[#This Row],[Date]],Database!$A:$C,MATCH($C$1,Database!$A$1:$C$1,),))</f>
        <v/>
      </c>
      <c r="D180">
        <f>IFERROR(Table73[[#This Row],[United States 10y]]-Table73[[#This Row],[United States 2y]],#N/A)</f>
        <v/>
      </c>
    </row>
    <row r="181">
      <c r="A181" s="6">
        <f>Database!A180</f>
        <v/>
      </c>
      <c r="B181">
        <f>IF(VLOOKUP(Table73[[#This Row],[Date]],Database!$A:$E,MATCH($B$1,Database!$A$1:$E$1,),)=0,#N/A,VLOOKUP(Table73[[#This Row],[Date]],Database!$A:$E,MATCH($B$1,Database!$A$1:$E$1,),))</f>
        <v/>
      </c>
      <c r="C181">
        <f>IF(VLOOKUP(Table73[[#This Row],[Date]],Database!$A:$C,MATCH($C$1,Database!$A$1:$C$1,),)=0,#N/A,VLOOKUP(Table73[[#This Row],[Date]],Database!$A:$C,MATCH($C$1,Database!$A$1:$C$1,),))</f>
        <v/>
      </c>
      <c r="D181">
        <f>IFERROR(Table73[[#This Row],[United States 10y]]-Table73[[#This Row],[United States 2y]],#N/A)</f>
        <v/>
      </c>
    </row>
    <row r="182">
      <c r="A182" s="6">
        <f>Database!A181</f>
        <v/>
      </c>
      <c r="B182">
        <f>IF(VLOOKUP(Table73[[#This Row],[Date]],Database!$A:$E,MATCH($B$1,Database!$A$1:$E$1,),)=0,#N/A,VLOOKUP(Table73[[#This Row],[Date]],Database!$A:$E,MATCH($B$1,Database!$A$1:$E$1,),))</f>
        <v/>
      </c>
      <c r="C182">
        <f>IF(VLOOKUP(Table73[[#This Row],[Date]],Database!$A:$C,MATCH($C$1,Database!$A$1:$C$1,),)=0,#N/A,VLOOKUP(Table73[[#This Row],[Date]],Database!$A:$C,MATCH($C$1,Database!$A$1:$C$1,),))</f>
        <v/>
      </c>
      <c r="D182">
        <f>IFERROR(Table73[[#This Row],[United States 10y]]-Table73[[#This Row],[United States 2y]],#N/A)</f>
        <v/>
      </c>
    </row>
    <row r="183">
      <c r="A183" s="6">
        <f>Database!A182</f>
        <v/>
      </c>
      <c r="B183">
        <f>IF(VLOOKUP(Table73[[#This Row],[Date]],Database!$A:$E,MATCH($B$1,Database!$A$1:$E$1,),)=0,#N/A,VLOOKUP(Table73[[#This Row],[Date]],Database!$A:$E,MATCH($B$1,Database!$A$1:$E$1,),))</f>
        <v/>
      </c>
      <c r="C183">
        <f>IF(VLOOKUP(Table73[[#This Row],[Date]],Database!$A:$C,MATCH($C$1,Database!$A$1:$C$1,),)=0,#N/A,VLOOKUP(Table73[[#This Row],[Date]],Database!$A:$C,MATCH($C$1,Database!$A$1:$C$1,),))</f>
        <v/>
      </c>
      <c r="D183">
        <f>IFERROR(Table73[[#This Row],[United States 10y]]-Table73[[#This Row],[United States 2y]],#N/A)</f>
        <v/>
      </c>
    </row>
    <row r="184">
      <c r="A184" s="6">
        <f>Database!A183</f>
        <v/>
      </c>
      <c r="B184">
        <f>IF(VLOOKUP(Table73[[#This Row],[Date]],Database!$A:$E,MATCH($B$1,Database!$A$1:$E$1,),)=0,#N/A,VLOOKUP(Table73[[#This Row],[Date]],Database!$A:$E,MATCH($B$1,Database!$A$1:$E$1,),))</f>
        <v/>
      </c>
      <c r="C184">
        <f>IF(VLOOKUP(Table73[[#This Row],[Date]],Database!$A:$C,MATCH($C$1,Database!$A$1:$C$1,),)=0,#N/A,VLOOKUP(Table73[[#This Row],[Date]],Database!$A:$C,MATCH($C$1,Database!$A$1:$C$1,),))</f>
        <v/>
      </c>
      <c r="D184">
        <f>IFERROR(Table73[[#This Row],[United States 10y]]-Table73[[#This Row],[United States 2y]],#N/A)</f>
        <v/>
      </c>
    </row>
    <row r="185">
      <c r="A185" s="6">
        <f>Database!A184</f>
        <v/>
      </c>
      <c r="B185">
        <f>IF(VLOOKUP(Table73[[#This Row],[Date]],Database!$A:$E,MATCH($B$1,Database!$A$1:$E$1,),)=0,#N/A,VLOOKUP(Table73[[#This Row],[Date]],Database!$A:$E,MATCH($B$1,Database!$A$1:$E$1,),))</f>
        <v/>
      </c>
      <c r="C185">
        <f>IF(VLOOKUP(Table73[[#This Row],[Date]],Database!$A:$C,MATCH($C$1,Database!$A$1:$C$1,),)=0,#N/A,VLOOKUP(Table73[[#This Row],[Date]],Database!$A:$C,MATCH($C$1,Database!$A$1:$C$1,),))</f>
        <v/>
      </c>
      <c r="D185">
        <f>IFERROR(Table73[[#This Row],[United States 10y]]-Table73[[#This Row],[United States 2y]],#N/A)</f>
        <v/>
      </c>
    </row>
    <row r="186">
      <c r="A186" s="6">
        <f>Database!A185</f>
        <v/>
      </c>
      <c r="B186">
        <f>IF(VLOOKUP(Table73[[#This Row],[Date]],Database!$A:$E,MATCH($B$1,Database!$A$1:$E$1,),)=0,#N/A,VLOOKUP(Table73[[#This Row],[Date]],Database!$A:$E,MATCH($B$1,Database!$A$1:$E$1,),))</f>
        <v/>
      </c>
      <c r="C186">
        <f>IF(VLOOKUP(Table73[[#This Row],[Date]],Database!$A:$C,MATCH($C$1,Database!$A$1:$C$1,),)=0,#N/A,VLOOKUP(Table73[[#This Row],[Date]],Database!$A:$C,MATCH($C$1,Database!$A$1:$C$1,),))</f>
        <v/>
      </c>
      <c r="D186">
        <f>IFERROR(Table73[[#This Row],[United States 10y]]-Table73[[#This Row],[United States 2y]],#N/A)</f>
        <v/>
      </c>
    </row>
    <row r="187">
      <c r="A187" s="6">
        <f>Database!A186</f>
        <v/>
      </c>
      <c r="B187">
        <f>IF(VLOOKUP(Table73[[#This Row],[Date]],Database!$A:$E,MATCH($B$1,Database!$A$1:$E$1,),)=0,#N/A,VLOOKUP(Table73[[#This Row],[Date]],Database!$A:$E,MATCH($B$1,Database!$A$1:$E$1,),))</f>
        <v/>
      </c>
      <c r="C187">
        <f>IF(VLOOKUP(Table73[[#This Row],[Date]],Database!$A:$C,MATCH($C$1,Database!$A$1:$C$1,),)=0,#N/A,VLOOKUP(Table73[[#This Row],[Date]],Database!$A:$C,MATCH($C$1,Database!$A$1:$C$1,),))</f>
        <v/>
      </c>
      <c r="D187">
        <f>IFERROR(Table73[[#This Row],[United States 10y]]-Table73[[#This Row],[United States 2y]],#N/A)</f>
        <v/>
      </c>
    </row>
    <row r="188">
      <c r="A188" s="6">
        <f>Database!A187</f>
        <v/>
      </c>
      <c r="B188">
        <f>IF(VLOOKUP(Table73[[#This Row],[Date]],Database!$A:$E,MATCH($B$1,Database!$A$1:$E$1,),)=0,#N/A,VLOOKUP(Table73[[#This Row],[Date]],Database!$A:$E,MATCH($B$1,Database!$A$1:$E$1,),))</f>
        <v/>
      </c>
      <c r="C188">
        <f>IF(VLOOKUP(Table73[[#This Row],[Date]],Database!$A:$C,MATCH($C$1,Database!$A$1:$C$1,),)=0,#N/A,VLOOKUP(Table73[[#This Row],[Date]],Database!$A:$C,MATCH($C$1,Database!$A$1:$C$1,),))</f>
        <v/>
      </c>
      <c r="D188">
        <f>IFERROR(Table73[[#This Row],[United States 10y]]-Table73[[#This Row],[United States 2y]],#N/A)</f>
        <v/>
      </c>
    </row>
    <row r="189">
      <c r="A189" s="6">
        <f>Database!A188</f>
        <v/>
      </c>
      <c r="B189">
        <f>IF(VLOOKUP(Table73[[#This Row],[Date]],Database!$A:$E,MATCH($B$1,Database!$A$1:$E$1,),)=0,#N/A,VLOOKUP(Table73[[#This Row],[Date]],Database!$A:$E,MATCH($B$1,Database!$A$1:$E$1,),))</f>
        <v/>
      </c>
      <c r="C189">
        <f>IF(VLOOKUP(Table73[[#This Row],[Date]],Database!$A:$C,MATCH($C$1,Database!$A$1:$C$1,),)=0,#N/A,VLOOKUP(Table73[[#This Row],[Date]],Database!$A:$C,MATCH($C$1,Database!$A$1:$C$1,),))</f>
        <v/>
      </c>
      <c r="D189">
        <f>IFERROR(Table73[[#This Row],[United States 10y]]-Table73[[#This Row],[United States 2y]],#N/A)</f>
        <v/>
      </c>
    </row>
    <row r="190">
      <c r="A190" s="6">
        <f>Database!A189</f>
        <v/>
      </c>
      <c r="B190">
        <f>IF(VLOOKUP(Table73[[#This Row],[Date]],Database!$A:$E,MATCH($B$1,Database!$A$1:$E$1,),)=0,#N/A,VLOOKUP(Table73[[#This Row],[Date]],Database!$A:$E,MATCH($B$1,Database!$A$1:$E$1,),))</f>
        <v/>
      </c>
      <c r="C190">
        <f>IF(VLOOKUP(Table73[[#This Row],[Date]],Database!$A:$C,MATCH($C$1,Database!$A$1:$C$1,),)=0,#N/A,VLOOKUP(Table73[[#This Row],[Date]],Database!$A:$C,MATCH($C$1,Database!$A$1:$C$1,),))</f>
        <v/>
      </c>
      <c r="D190">
        <f>IFERROR(Table73[[#This Row],[United States 10y]]-Table73[[#This Row],[United States 2y]],#N/A)</f>
        <v/>
      </c>
    </row>
    <row r="191">
      <c r="A191" s="6">
        <f>Database!A190</f>
        <v/>
      </c>
      <c r="B191">
        <f>IF(VLOOKUP(Table73[[#This Row],[Date]],Database!$A:$E,MATCH($B$1,Database!$A$1:$E$1,),)=0,#N/A,VLOOKUP(Table73[[#This Row],[Date]],Database!$A:$E,MATCH($B$1,Database!$A$1:$E$1,),))</f>
        <v/>
      </c>
      <c r="C191">
        <f>IF(VLOOKUP(Table73[[#This Row],[Date]],Database!$A:$C,MATCH($C$1,Database!$A$1:$C$1,),)=0,#N/A,VLOOKUP(Table73[[#This Row],[Date]],Database!$A:$C,MATCH($C$1,Database!$A$1:$C$1,),))</f>
        <v/>
      </c>
      <c r="D191">
        <f>IFERROR(Table73[[#This Row],[United States 10y]]-Table73[[#This Row],[United States 2y]],#N/A)</f>
        <v/>
      </c>
    </row>
    <row r="192">
      <c r="A192" s="6">
        <f>Database!A191</f>
        <v/>
      </c>
      <c r="B192">
        <f>IF(VLOOKUP(Table73[[#This Row],[Date]],Database!$A:$E,MATCH($B$1,Database!$A$1:$E$1,),)=0,#N/A,VLOOKUP(Table73[[#This Row],[Date]],Database!$A:$E,MATCH($B$1,Database!$A$1:$E$1,),))</f>
        <v/>
      </c>
      <c r="C192">
        <f>IF(VLOOKUP(Table73[[#This Row],[Date]],Database!$A:$C,MATCH($C$1,Database!$A$1:$C$1,),)=0,#N/A,VLOOKUP(Table73[[#This Row],[Date]],Database!$A:$C,MATCH($C$1,Database!$A$1:$C$1,),))</f>
        <v/>
      </c>
      <c r="D192">
        <f>IFERROR(Table73[[#This Row],[United States 10y]]-Table73[[#This Row],[United States 2y]],#N/A)</f>
        <v/>
      </c>
    </row>
    <row r="193">
      <c r="A193" s="6">
        <f>Database!A192</f>
        <v/>
      </c>
      <c r="B193">
        <f>IF(VLOOKUP(Table73[[#This Row],[Date]],Database!$A:$E,MATCH($B$1,Database!$A$1:$E$1,),)=0,#N/A,VLOOKUP(Table73[[#This Row],[Date]],Database!$A:$E,MATCH($B$1,Database!$A$1:$E$1,),))</f>
        <v/>
      </c>
      <c r="C193">
        <f>IF(VLOOKUP(Table73[[#This Row],[Date]],Database!$A:$C,MATCH($C$1,Database!$A$1:$C$1,),)=0,#N/A,VLOOKUP(Table73[[#This Row],[Date]],Database!$A:$C,MATCH($C$1,Database!$A$1:$C$1,),))</f>
        <v/>
      </c>
      <c r="D193">
        <f>IFERROR(Table73[[#This Row],[United States 10y]]-Table73[[#This Row],[United States 2y]],#N/A)</f>
        <v/>
      </c>
    </row>
    <row r="194">
      <c r="A194" s="6">
        <f>Database!A193</f>
        <v/>
      </c>
      <c r="B194">
        <f>IF(VLOOKUP(Table73[[#This Row],[Date]],Database!$A:$E,MATCH($B$1,Database!$A$1:$E$1,),)=0,#N/A,VLOOKUP(Table73[[#This Row],[Date]],Database!$A:$E,MATCH($B$1,Database!$A$1:$E$1,),))</f>
        <v/>
      </c>
      <c r="C194">
        <f>IF(VLOOKUP(Table73[[#This Row],[Date]],Database!$A:$C,MATCH($C$1,Database!$A$1:$C$1,),)=0,#N/A,VLOOKUP(Table73[[#This Row],[Date]],Database!$A:$C,MATCH($C$1,Database!$A$1:$C$1,),))</f>
        <v/>
      </c>
      <c r="D194">
        <f>IFERROR(Table73[[#This Row],[United States 10y]]-Table73[[#This Row],[United States 2y]],#N/A)</f>
        <v/>
      </c>
    </row>
    <row r="195">
      <c r="A195" s="6">
        <f>Database!A194</f>
        <v/>
      </c>
      <c r="B195">
        <f>IF(VLOOKUP(Table73[[#This Row],[Date]],Database!$A:$E,MATCH($B$1,Database!$A$1:$E$1,),)=0,#N/A,VLOOKUP(Table73[[#This Row],[Date]],Database!$A:$E,MATCH($B$1,Database!$A$1:$E$1,),))</f>
        <v/>
      </c>
      <c r="C195">
        <f>IF(VLOOKUP(Table73[[#This Row],[Date]],Database!$A:$C,MATCH($C$1,Database!$A$1:$C$1,),)=0,#N/A,VLOOKUP(Table73[[#This Row],[Date]],Database!$A:$C,MATCH($C$1,Database!$A$1:$C$1,),))</f>
        <v/>
      </c>
      <c r="D195">
        <f>IFERROR(Table73[[#This Row],[United States 10y]]-Table73[[#This Row],[United States 2y]],#N/A)</f>
        <v/>
      </c>
    </row>
    <row r="196">
      <c r="A196" s="6">
        <f>Database!A195</f>
        <v/>
      </c>
      <c r="B196">
        <f>IF(VLOOKUP(Table73[[#This Row],[Date]],Database!$A:$E,MATCH($B$1,Database!$A$1:$E$1,),)=0,#N/A,VLOOKUP(Table73[[#This Row],[Date]],Database!$A:$E,MATCH($B$1,Database!$A$1:$E$1,),))</f>
        <v/>
      </c>
      <c r="C196">
        <f>IF(VLOOKUP(Table73[[#This Row],[Date]],Database!$A:$C,MATCH($C$1,Database!$A$1:$C$1,),)=0,#N/A,VLOOKUP(Table73[[#This Row],[Date]],Database!$A:$C,MATCH($C$1,Database!$A$1:$C$1,),))</f>
        <v/>
      </c>
      <c r="D196">
        <f>IFERROR(Table73[[#This Row],[United States 10y]]-Table73[[#This Row],[United States 2y]],#N/A)</f>
        <v/>
      </c>
    </row>
    <row r="197">
      <c r="A197" s="6">
        <f>Database!A196</f>
        <v/>
      </c>
      <c r="B197">
        <f>IF(VLOOKUP(Table73[[#This Row],[Date]],Database!$A:$E,MATCH($B$1,Database!$A$1:$E$1,),)=0,#N/A,VLOOKUP(Table73[[#This Row],[Date]],Database!$A:$E,MATCH($B$1,Database!$A$1:$E$1,),))</f>
        <v/>
      </c>
      <c r="C197">
        <f>IF(VLOOKUP(Table73[[#This Row],[Date]],Database!$A:$C,MATCH($C$1,Database!$A$1:$C$1,),)=0,#N/A,VLOOKUP(Table73[[#This Row],[Date]],Database!$A:$C,MATCH($C$1,Database!$A$1:$C$1,),))</f>
        <v/>
      </c>
      <c r="D197">
        <f>IFERROR(Table73[[#This Row],[United States 10y]]-Table73[[#This Row],[United States 2y]],#N/A)</f>
        <v/>
      </c>
    </row>
    <row r="198">
      <c r="A198" s="6">
        <f>Database!A197</f>
        <v/>
      </c>
      <c r="B198">
        <f>IF(VLOOKUP(Table73[[#This Row],[Date]],Database!$A:$E,MATCH($B$1,Database!$A$1:$E$1,),)=0,#N/A,VLOOKUP(Table73[[#This Row],[Date]],Database!$A:$E,MATCH($B$1,Database!$A$1:$E$1,),))</f>
        <v/>
      </c>
      <c r="C198">
        <f>IF(VLOOKUP(Table73[[#This Row],[Date]],Database!$A:$C,MATCH($C$1,Database!$A$1:$C$1,),)=0,#N/A,VLOOKUP(Table73[[#This Row],[Date]],Database!$A:$C,MATCH($C$1,Database!$A$1:$C$1,),))</f>
        <v/>
      </c>
      <c r="D198">
        <f>IFERROR(Table73[[#This Row],[United States 10y]]-Table73[[#This Row],[United States 2y]],#N/A)</f>
        <v/>
      </c>
    </row>
    <row r="199">
      <c r="A199" s="6">
        <f>Database!A198</f>
        <v/>
      </c>
      <c r="B199">
        <f>IF(VLOOKUP(Table73[[#This Row],[Date]],Database!$A:$E,MATCH($B$1,Database!$A$1:$E$1,),)=0,#N/A,VLOOKUP(Table73[[#This Row],[Date]],Database!$A:$E,MATCH($B$1,Database!$A$1:$E$1,),))</f>
        <v/>
      </c>
      <c r="C199">
        <f>IF(VLOOKUP(Table73[[#This Row],[Date]],Database!$A:$C,MATCH($C$1,Database!$A$1:$C$1,),)=0,#N/A,VLOOKUP(Table73[[#This Row],[Date]],Database!$A:$C,MATCH($C$1,Database!$A$1:$C$1,),))</f>
        <v/>
      </c>
      <c r="D199">
        <f>IFERROR(Table73[[#This Row],[United States 10y]]-Table73[[#This Row],[United States 2y]],#N/A)</f>
        <v/>
      </c>
    </row>
    <row r="200">
      <c r="A200" s="6">
        <f>Database!A199</f>
        <v/>
      </c>
      <c r="B200">
        <f>IF(VLOOKUP(Table73[[#This Row],[Date]],Database!$A:$E,MATCH($B$1,Database!$A$1:$E$1,),)=0,#N/A,VLOOKUP(Table73[[#This Row],[Date]],Database!$A:$E,MATCH($B$1,Database!$A$1:$E$1,),))</f>
        <v/>
      </c>
      <c r="C200">
        <f>IF(VLOOKUP(Table73[[#This Row],[Date]],Database!$A:$C,MATCH($C$1,Database!$A$1:$C$1,),)=0,#N/A,VLOOKUP(Table73[[#This Row],[Date]],Database!$A:$C,MATCH($C$1,Database!$A$1:$C$1,),))</f>
        <v/>
      </c>
      <c r="D200">
        <f>IFERROR(Table73[[#This Row],[United States 10y]]-Table73[[#This Row],[United States 2y]],#N/A)</f>
        <v/>
      </c>
    </row>
    <row r="201">
      <c r="A201" s="6">
        <f>Database!A200</f>
        <v/>
      </c>
      <c r="B201">
        <f>IF(VLOOKUP(Table73[[#This Row],[Date]],Database!$A:$E,MATCH($B$1,Database!$A$1:$E$1,),)=0,#N/A,VLOOKUP(Table73[[#This Row],[Date]],Database!$A:$E,MATCH($B$1,Database!$A$1:$E$1,),))</f>
        <v/>
      </c>
      <c r="C201">
        <f>IF(VLOOKUP(Table73[[#This Row],[Date]],Database!$A:$C,MATCH($C$1,Database!$A$1:$C$1,),)=0,#N/A,VLOOKUP(Table73[[#This Row],[Date]],Database!$A:$C,MATCH($C$1,Database!$A$1:$C$1,),))</f>
        <v/>
      </c>
      <c r="D201">
        <f>IFERROR(Table73[[#This Row],[United States 10y]]-Table73[[#This Row],[United States 2y]],#N/A)</f>
        <v/>
      </c>
    </row>
    <row r="202">
      <c r="A202" s="6">
        <f>Database!A201</f>
        <v/>
      </c>
      <c r="B202">
        <f>IF(VLOOKUP(Table73[[#This Row],[Date]],Database!$A:$E,MATCH($B$1,Database!$A$1:$E$1,),)=0,#N/A,VLOOKUP(Table73[[#This Row],[Date]],Database!$A:$E,MATCH($B$1,Database!$A$1:$E$1,),))</f>
        <v/>
      </c>
      <c r="C202">
        <f>IF(VLOOKUP(Table73[[#This Row],[Date]],Database!$A:$C,MATCH($C$1,Database!$A$1:$C$1,),)=0,#N/A,VLOOKUP(Table73[[#This Row],[Date]],Database!$A:$C,MATCH($C$1,Database!$A$1:$C$1,),))</f>
        <v/>
      </c>
      <c r="D202">
        <f>IFERROR(Table73[[#This Row],[United States 10y]]-Table73[[#This Row],[United States 2y]],#N/A)</f>
        <v/>
      </c>
    </row>
    <row r="203">
      <c r="A203" s="6">
        <f>Database!A202</f>
        <v/>
      </c>
      <c r="B203">
        <f>IF(VLOOKUP(Table73[[#This Row],[Date]],Database!$A:$E,MATCH($B$1,Database!$A$1:$E$1,),)=0,#N/A,VLOOKUP(Table73[[#This Row],[Date]],Database!$A:$E,MATCH($B$1,Database!$A$1:$E$1,),))</f>
        <v/>
      </c>
      <c r="C203">
        <f>IF(VLOOKUP(Table73[[#This Row],[Date]],Database!$A:$C,MATCH($C$1,Database!$A$1:$C$1,),)=0,#N/A,VLOOKUP(Table73[[#This Row],[Date]],Database!$A:$C,MATCH($C$1,Database!$A$1:$C$1,),))</f>
        <v/>
      </c>
      <c r="D203">
        <f>IFERROR(Table73[[#This Row],[United States 10y]]-Table73[[#This Row],[United States 2y]],#N/A)</f>
        <v/>
      </c>
    </row>
    <row r="204">
      <c r="A204" s="6">
        <f>Database!A203</f>
        <v/>
      </c>
      <c r="B204">
        <f>IF(VLOOKUP(Table73[[#This Row],[Date]],Database!$A:$E,MATCH($B$1,Database!$A$1:$E$1,),)=0,#N/A,VLOOKUP(Table73[[#This Row],[Date]],Database!$A:$E,MATCH($B$1,Database!$A$1:$E$1,),))</f>
        <v/>
      </c>
      <c r="C204">
        <f>IF(VLOOKUP(Table73[[#This Row],[Date]],Database!$A:$C,MATCH($C$1,Database!$A$1:$C$1,),)=0,#N/A,VLOOKUP(Table73[[#This Row],[Date]],Database!$A:$C,MATCH($C$1,Database!$A$1:$C$1,),))</f>
        <v/>
      </c>
      <c r="D204">
        <f>IFERROR(Table73[[#This Row],[United States 10y]]-Table73[[#This Row],[United States 2y]],#N/A)</f>
        <v/>
      </c>
    </row>
    <row r="205">
      <c r="A205" s="6">
        <f>Database!A204</f>
        <v/>
      </c>
      <c r="B205">
        <f>IF(VLOOKUP(Table73[[#This Row],[Date]],Database!$A:$E,MATCH($B$1,Database!$A$1:$E$1,),)=0,#N/A,VLOOKUP(Table73[[#This Row],[Date]],Database!$A:$E,MATCH($B$1,Database!$A$1:$E$1,),))</f>
        <v/>
      </c>
      <c r="C205">
        <f>IF(VLOOKUP(Table73[[#This Row],[Date]],Database!$A:$C,MATCH($C$1,Database!$A$1:$C$1,),)=0,#N/A,VLOOKUP(Table73[[#This Row],[Date]],Database!$A:$C,MATCH($C$1,Database!$A$1:$C$1,),))</f>
        <v/>
      </c>
      <c r="D205">
        <f>IFERROR(Table73[[#This Row],[United States 10y]]-Table73[[#This Row],[United States 2y]],#N/A)</f>
        <v/>
      </c>
    </row>
    <row r="206">
      <c r="A206" s="6">
        <f>Database!A205</f>
        <v/>
      </c>
      <c r="B206">
        <f>IF(VLOOKUP(Table73[[#This Row],[Date]],Database!$A:$E,MATCH($B$1,Database!$A$1:$E$1,),)=0,#N/A,VLOOKUP(Table73[[#This Row],[Date]],Database!$A:$E,MATCH($B$1,Database!$A$1:$E$1,),))</f>
        <v/>
      </c>
      <c r="C206">
        <f>IF(VLOOKUP(Table73[[#This Row],[Date]],Database!$A:$C,MATCH($C$1,Database!$A$1:$C$1,),)=0,#N/A,VLOOKUP(Table73[[#This Row],[Date]],Database!$A:$C,MATCH($C$1,Database!$A$1:$C$1,),))</f>
        <v/>
      </c>
      <c r="D206">
        <f>IFERROR(Table73[[#This Row],[United States 10y]]-Table73[[#This Row],[United States 2y]],#N/A)</f>
        <v/>
      </c>
    </row>
    <row r="207">
      <c r="A207" s="6">
        <f>Database!A206</f>
        <v/>
      </c>
      <c r="B207">
        <f>IF(VLOOKUP(Table73[[#This Row],[Date]],Database!$A:$E,MATCH($B$1,Database!$A$1:$E$1,),)=0,#N/A,VLOOKUP(Table73[[#This Row],[Date]],Database!$A:$E,MATCH($B$1,Database!$A$1:$E$1,),))</f>
        <v/>
      </c>
      <c r="C207">
        <f>IF(VLOOKUP(Table73[[#This Row],[Date]],Database!$A:$C,MATCH($C$1,Database!$A$1:$C$1,),)=0,#N/A,VLOOKUP(Table73[[#This Row],[Date]],Database!$A:$C,MATCH($C$1,Database!$A$1:$C$1,),))</f>
        <v/>
      </c>
      <c r="D207">
        <f>IFERROR(Table73[[#This Row],[United States 10y]]-Table73[[#This Row],[United States 2y]],#N/A)</f>
        <v/>
      </c>
    </row>
    <row r="208">
      <c r="A208" s="6">
        <f>Database!A207</f>
        <v/>
      </c>
      <c r="B208">
        <f>IF(VLOOKUP(Table73[[#This Row],[Date]],Database!$A:$E,MATCH($B$1,Database!$A$1:$E$1,),)=0,#N/A,VLOOKUP(Table73[[#This Row],[Date]],Database!$A:$E,MATCH($B$1,Database!$A$1:$E$1,),))</f>
        <v/>
      </c>
      <c r="C208">
        <f>IF(VLOOKUP(Table73[[#This Row],[Date]],Database!$A:$C,MATCH($C$1,Database!$A$1:$C$1,),)=0,#N/A,VLOOKUP(Table73[[#This Row],[Date]],Database!$A:$C,MATCH($C$1,Database!$A$1:$C$1,),))</f>
        <v/>
      </c>
      <c r="D208">
        <f>IFERROR(Table73[[#This Row],[United States 10y]]-Table73[[#This Row],[United States 2y]],#N/A)</f>
        <v/>
      </c>
    </row>
    <row r="209">
      <c r="A209" s="6">
        <f>Database!A208</f>
        <v/>
      </c>
      <c r="B209">
        <f>IF(VLOOKUP(Table73[[#This Row],[Date]],Database!$A:$E,MATCH($B$1,Database!$A$1:$E$1,),)=0,#N/A,VLOOKUP(Table73[[#This Row],[Date]],Database!$A:$E,MATCH($B$1,Database!$A$1:$E$1,),))</f>
        <v/>
      </c>
      <c r="C209">
        <f>IF(VLOOKUP(Table73[[#This Row],[Date]],Database!$A:$C,MATCH($C$1,Database!$A$1:$C$1,),)=0,#N/A,VLOOKUP(Table73[[#This Row],[Date]],Database!$A:$C,MATCH($C$1,Database!$A$1:$C$1,),))</f>
        <v/>
      </c>
      <c r="D209">
        <f>IFERROR(Table73[[#This Row],[United States 10y]]-Table73[[#This Row],[United States 2y]],#N/A)</f>
        <v/>
      </c>
    </row>
    <row r="210">
      <c r="A210" s="6">
        <f>Database!A209</f>
        <v/>
      </c>
      <c r="B210">
        <f>IF(VLOOKUP(Table73[[#This Row],[Date]],Database!$A:$E,MATCH($B$1,Database!$A$1:$E$1,),)=0,#N/A,VLOOKUP(Table73[[#This Row],[Date]],Database!$A:$E,MATCH($B$1,Database!$A$1:$E$1,),))</f>
        <v/>
      </c>
      <c r="C210">
        <f>IF(VLOOKUP(Table73[[#This Row],[Date]],Database!$A:$C,MATCH($C$1,Database!$A$1:$C$1,),)=0,#N/A,VLOOKUP(Table73[[#This Row],[Date]],Database!$A:$C,MATCH($C$1,Database!$A$1:$C$1,),))</f>
        <v/>
      </c>
      <c r="D210">
        <f>IFERROR(Table73[[#This Row],[United States 10y]]-Table73[[#This Row],[United States 2y]],#N/A)</f>
        <v/>
      </c>
    </row>
    <row r="211">
      <c r="A211" s="6">
        <f>Database!A210</f>
        <v/>
      </c>
      <c r="B211">
        <f>IF(VLOOKUP(Table73[[#This Row],[Date]],Database!$A:$E,MATCH($B$1,Database!$A$1:$E$1,),)=0,#N/A,VLOOKUP(Table73[[#This Row],[Date]],Database!$A:$E,MATCH($B$1,Database!$A$1:$E$1,),))</f>
        <v/>
      </c>
      <c r="C211">
        <f>IF(VLOOKUP(Table73[[#This Row],[Date]],Database!$A:$C,MATCH($C$1,Database!$A$1:$C$1,),)=0,#N/A,VLOOKUP(Table73[[#This Row],[Date]],Database!$A:$C,MATCH($C$1,Database!$A$1:$C$1,),))</f>
        <v/>
      </c>
      <c r="D211">
        <f>IFERROR(Table73[[#This Row],[United States 10y]]-Table73[[#This Row],[United States 2y]],#N/A)</f>
        <v/>
      </c>
    </row>
    <row r="212">
      <c r="A212" s="6">
        <f>Database!A211</f>
        <v/>
      </c>
      <c r="B212">
        <f>IF(VLOOKUP(Table73[[#This Row],[Date]],Database!$A:$E,MATCH($B$1,Database!$A$1:$E$1,),)=0,#N/A,VLOOKUP(Table73[[#This Row],[Date]],Database!$A:$E,MATCH($B$1,Database!$A$1:$E$1,),))</f>
        <v/>
      </c>
      <c r="C212">
        <f>IF(VLOOKUP(Table73[[#This Row],[Date]],Database!$A:$C,MATCH($C$1,Database!$A$1:$C$1,),)=0,#N/A,VLOOKUP(Table73[[#This Row],[Date]],Database!$A:$C,MATCH($C$1,Database!$A$1:$C$1,),))</f>
        <v/>
      </c>
      <c r="D212">
        <f>IFERROR(Table73[[#This Row],[United States 10y]]-Table73[[#This Row],[United States 2y]],#N/A)</f>
        <v/>
      </c>
    </row>
    <row r="213">
      <c r="A213" s="6">
        <f>Database!A212</f>
        <v/>
      </c>
      <c r="B213">
        <f>IF(VLOOKUP(Table73[[#This Row],[Date]],Database!$A:$E,MATCH($B$1,Database!$A$1:$E$1,),)=0,#N/A,VLOOKUP(Table73[[#This Row],[Date]],Database!$A:$E,MATCH($B$1,Database!$A$1:$E$1,),))</f>
        <v/>
      </c>
      <c r="C213">
        <f>IF(VLOOKUP(Table73[[#This Row],[Date]],Database!$A:$C,MATCH($C$1,Database!$A$1:$C$1,),)=0,#N/A,VLOOKUP(Table73[[#This Row],[Date]],Database!$A:$C,MATCH($C$1,Database!$A$1:$C$1,),))</f>
        <v/>
      </c>
      <c r="D213">
        <f>IFERROR(Table73[[#This Row],[United States 10y]]-Table73[[#This Row],[United States 2y]],#N/A)</f>
        <v/>
      </c>
    </row>
    <row r="214">
      <c r="A214" s="6">
        <f>Database!A213</f>
        <v/>
      </c>
      <c r="B214">
        <f>IF(VLOOKUP(Table73[[#This Row],[Date]],Database!$A:$E,MATCH($B$1,Database!$A$1:$E$1,),)=0,#N/A,VLOOKUP(Table73[[#This Row],[Date]],Database!$A:$E,MATCH($B$1,Database!$A$1:$E$1,),))</f>
        <v/>
      </c>
      <c r="C214">
        <f>IF(VLOOKUP(Table73[[#This Row],[Date]],Database!$A:$C,MATCH($C$1,Database!$A$1:$C$1,),)=0,#N/A,VLOOKUP(Table73[[#This Row],[Date]],Database!$A:$C,MATCH($C$1,Database!$A$1:$C$1,),))</f>
        <v/>
      </c>
      <c r="D214">
        <f>IFERROR(Table73[[#This Row],[United States 10y]]-Table73[[#This Row],[United States 2y]],#N/A)</f>
        <v/>
      </c>
    </row>
    <row r="215">
      <c r="A215" s="6">
        <f>Database!A214</f>
        <v/>
      </c>
      <c r="B215">
        <f>IF(VLOOKUP(Table73[[#This Row],[Date]],Database!$A:$E,MATCH($B$1,Database!$A$1:$E$1,),)=0,#N/A,VLOOKUP(Table73[[#This Row],[Date]],Database!$A:$E,MATCH($B$1,Database!$A$1:$E$1,),))</f>
        <v/>
      </c>
      <c r="C215">
        <f>IF(VLOOKUP(Table73[[#This Row],[Date]],Database!$A:$C,MATCH($C$1,Database!$A$1:$C$1,),)=0,#N/A,VLOOKUP(Table73[[#This Row],[Date]],Database!$A:$C,MATCH($C$1,Database!$A$1:$C$1,),))</f>
        <v/>
      </c>
      <c r="D215">
        <f>IFERROR(Table73[[#This Row],[United States 10y]]-Table73[[#This Row],[United States 2y]],#N/A)</f>
        <v/>
      </c>
    </row>
    <row r="216">
      <c r="A216" s="6">
        <f>Database!A215</f>
        <v/>
      </c>
      <c r="B216">
        <f>IF(VLOOKUP(Table73[[#This Row],[Date]],Database!$A:$E,MATCH($B$1,Database!$A$1:$E$1,),)=0,#N/A,VLOOKUP(Table73[[#This Row],[Date]],Database!$A:$E,MATCH($B$1,Database!$A$1:$E$1,),))</f>
        <v/>
      </c>
      <c r="C216">
        <f>IF(VLOOKUP(Table73[[#This Row],[Date]],Database!$A:$C,MATCH($C$1,Database!$A$1:$C$1,),)=0,#N/A,VLOOKUP(Table73[[#This Row],[Date]],Database!$A:$C,MATCH($C$1,Database!$A$1:$C$1,),))</f>
        <v/>
      </c>
      <c r="D216">
        <f>IFERROR(Table73[[#This Row],[United States 10y]]-Table73[[#This Row],[United States 2y]],#N/A)</f>
        <v/>
      </c>
    </row>
    <row r="217">
      <c r="A217" s="6">
        <f>Database!A216</f>
        <v/>
      </c>
      <c r="B217">
        <f>IF(VLOOKUP(Table73[[#This Row],[Date]],Database!$A:$E,MATCH($B$1,Database!$A$1:$E$1,),)=0,#N/A,VLOOKUP(Table73[[#This Row],[Date]],Database!$A:$E,MATCH($B$1,Database!$A$1:$E$1,),))</f>
        <v/>
      </c>
      <c r="C217">
        <f>IF(VLOOKUP(Table73[[#This Row],[Date]],Database!$A:$C,MATCH($C$1,Database!$A$1:$C$1,),)=0,#N/A,VLOOKUP(Table73[[#This Row],[Date]],Database!$A:$C,MATCH($C$1,Database!$A$1:$C$1,),))</f>
        <v/>
      </c>
      <c r="D217">
        <f>IFERROR(Table73[[#This Row],[United States 10y]]-Table73[[#This Row],[United States 2y]],#N/A)</f>
        <v/>
      </c>
    </row>
    <row r="218">
      <c r="A218" s="6">
        <f>Database!A217</f>
        <v/>
      </c>
      <c r="B218">
        <f>IF(VLOOKUP(Table73[[#This Row],[Date]],Database!$A:$E,MATCH($B$1,Database!$A$1:$E$1,),)=0,#N/A,VLOOKUP(Table73[[#This Row],[Date]],Database!$A:$E,MATCH($B$1,Database!$A$1:$E$1,),))</f>
        <v/>
      </c>
      <c r="C218">
        <f>IF(VLOOKUP(Table73[[#This Row],[Date]],Database!$A:$C,MATCH($C$1,Database!$A$1:$C$1,),)=0,#N/A,VLOOKUP(Table73[[#This Row],[Date]],Database!$A:$C,MATCH($C$1,Database!$A$1:$C$1,),))</f>
        <v/>
      </c>
      <c r="D218">
        <f>IFERROR(Table73[[#This Row],[United States 10y]]-Table73[[#This Row],[United States 2y]],#N/A)</f>
        <v/>
      </c>
    </row>
    <row r="219">
      <c r="A219" s="6">
        <f>Database!A218</f>
        <v/>
      </c>
      <c r="B219">
        <f>IF(VLOOKUP(Table73[[#This Row],[Date]],Database!$A:$E,MATCH($B$1,Database!$A$1:$E$1,),)=0,#N/A,VLOOKUP(Table73[[#This Row],[Date]],Database!$A:$E,MATCH($B$1,Database!$A$1:$E$1,),))</f>
        <v/>
      </c>
      <c r="C219">
        <f>IF(VLOOKUP(Table73[[#This Row],[Date]],Database!$A:$C,MATCH($C$1,Database!$A$1:$C$1,),)=0,#N/A,VLOOKUP(Table73[[#This Row],[Date]],Database!$A:$C,MATCH($C$1,Database!$A$1:$C$1,),))</f>
        <v/>
      </c>
      <c r="D219">
        <f>IFERROR(Table73[[#This Row],[United States 10y]]-Table73[[#This Row],[United States 2y]],#N/A)</f>
        <v/>
      </c>
    </row>
    <row r="220">
      <c r="A220" s="6">
        <f>Database!A219</f>
        <v/>
      </c>
      <c r="B220">
        <f>IF(VLOOKUP(Table73[[#This Row],[Date]],Database!$A:$E,MATCH($B$1,Database!$A$1:$E$1,),)=0,#N/A,VLOOKUP(Table73[[#This Row],[Date]],Database!$A:$E,MATCH($B$1,Database!$A$1:$E$1,),))</f>
        <v/>
      </c>
      <c r="C220">
        <f>IF(VLOOKUP(Table73[[#This Row],[Date]],Database!$A:$C,MATCH($C$1,Database!$A$1:$C$1,),)=0,#N/A,VLOOKUP(Table73[[#This Row],[Date]],Database!$A:$C,MATCH($C$1,Database!$A$1:$C$1,),))</f>
        <v/>
      </c>
      <c r="D220">
        <f>IFERROR(Table73[[#This Row],[United States 10y]]-Table73[[#This Row],[United States 2y]],#N/A)</f>
        <v/>
      </c>
    </row>
    <row r="221">
      <c r="A221" s="6">
        <f>Database!A220</f>
        <v/>
      </c>
      <c r="B221">
        <f>IF(VLOOKUP(Table73[[#This Row],[Date]],Database!$A:$E,MATCH($B$1,Database!$A$1:$E$1,),)=0,#N/A,VLOOKUP(Table73[[#This Row],[Date]],Database!$A:$E,MATCH($B$1,Database!$A$1:$E$1,),))</f>
        <v/>
      </c>
      <c r="C221">
        <f>IF(VLOOKUP(Table73[[#This Row],[Date]],Database!$A:$C,MATCH($C$1,Database!$A$1:$C$1,),)=0,#N/A,VLOOKUP(Table73[[#This Row],[Date]],Database!$A:$C,MATCH($C$1,Database!$A$1:$C$1,),))</f>
        <v/>
      </c>
      <c r="D221">
        <f>IFERROR(Table73[[#This Row],[United States 10y]]-Table73[[#This Row],[United States 2y]],#N/A)</f>
        <v/>
      </c>
    </row>
    <row r="222">
      <c r="A222" s="6">
        <f>Database!A221</f>
        <v/>
      </c>
      <c r="B222">
        <f>IF(VLOOKUP(Table73[[#This Row],[Date]],Database!$A:$E,MATCH($B$1,Database!$A$1:$E$1,),)=0,#N/A,VLOOKUP(Table73[[#This Row],[Date]],Database!$A:$E,MATCH($B$1,Database!$A$1:$E$1,),))</f>
        <v/>
      </c>
      <c r="C222">
        <f>IF(VLOOKUP(Table73[[#This Row],[Date]],Database!$A:$C,MATCH($C$1,Database!$A$1:$C$1,),)=0,#N/A,VLOOKUP(Table73[[#This Row],[Date]],Database!$A:$C,MATCH($C$1,Database!$A$1:$C$1,),))</f>
        <v/>
      </c>
      <c r="D222">
        <f>IFERROR(Table73[[#This Row],[United States 10y]]-Table73[[#This Row],[United States 2y]],#N/A)</f>
        <v/>
      </c>
    </row>
    <row r="223">
      <c r="A223" s="6">
        <f>Database!A222</f>
        <v/>
      </c>
      <c r="B223">
        <f>IF(VLOOKUP(Table73[[#This Row],[Date]],Database!$A:$E,MATCH($B$1,Database!$A$1:$E$1,),)=0,#N/A,VLOOKUP(Table73[[#This Row],[Date]],Database!$A:$E,MATCH($B$1,Database!$A$1:$E$1,),))</f>
        <v/>
      </c>
      <c r="C223">
        <f>IF(VLOOKUP(Table73[[#This Row],[Date]],Database!$A:$C,MATCH($C$1,Database!$A$1:$C$1,),)=0,#N/A,VLOOKUP(Table73[[#This Row],[Date]],Database!$A:$C,MATCH($C$1,Database!$A$1:$C$1,),))</f>
        <v/>
      </c>
      <c r="D223">
        <f>IFERROR(Table73[[#This Row],[United States 10y]]-Table73[[#This Row],[United States 2y]],#N/A)</f>
        <v/>
      </c>
    </row>
    <row r="224">
      <c r="A224" s="6">
        <f>Database!A223</f>
        <v/>
      </c>
      <c r="B224">
        <f>IF(VLOOKUP(Table73[[#This Row],[Date]],Database!$A:$E,MATCH($B$1,Database!$A$1:$E$1,),)=0,#N/A,VLOOKUP(Table73[[#This Row],[Date]],Database!$A:$E,MATCH($B$1,Database!$A$1:$E$1,),))</f>
        <v/>
      </c>
      <c r="C224">
        <f>IF(VLOOKUP(Table73[[#This Row],[Date]],Database!$A:$C,MATCH($C$1,Database!$A$1:$C$1,),)=0,#N/A,VLOOKUP(Table73[[#This Row],[Date]],Database!$A:$C,MATCH($C$1,Database!$A$1:$C$1,),))</f>
        <v/>
      </c>
      <c r="D224">
        <f>IFERROR(Table73[[#This Row],[United States 10y]]-Table73[[#This Row],[United States 2y]],#N/A)</f>
        <v/>
      </c>
    </row>
    <row r="225">
      <c r="A225" s="6">
        <f>Database!A224</f>
        <v/>
      </c>
      <c r="B225">
        <f>IF(VLOOKUP(Table73[[#This Row],[Date]],Database!$A:$E,MATCH($B$1,Database!$A$1:$E$1,),)=0,#N/A,VLOOKUP(Table73[[#This Row],[Date]],Database!$A:$E,MATCH($B$1,Database!$A$1:$E$1,),))</f>
        <v/>
      </c>
      <c r="C225">
        <f>IF(VLOOKUP(Table73[[#This Row],[Date]],Database!$A:$C,MATCH($C$1,Database!$A$1:$C$1,),)=0,#N/A,VLOOKUP(Table73[[#This Row],[Date]],Database!$A:$C,MATCH($C$1,Database!$A$1:$C$1,),))</f>
        <v/>
      </c>
      <c r="D225">
        <f>IFERROR(Table73[[#This Row],[United States 10y]]-Table73[[#This Row],[United States 2y]],#N/A)</f>
        <v/>
      </c>
    </row>
    <row r="226">
      <c r="A226" s="6">
        <f>Database!A225</f>
        <v/>
      </c>
      <c r="B226">
        <f>IF(VLOOKUP(Table73[[#This Row],[Date]],Database!$A:$E,MATCH($B$1,Database!$A$1:$E$1,),)=0,#N/A,VLOOKUP(Table73[[#This Row],[Date]],Database!$A:$E,MATCH($B$1,Database!$A$1:$E$1,),))</f>
        <v/>
      </c>
      <c r="C226">
        <f>IF(VLOOKUP(Table73[[#This Row],[Date]],Database!$A:$C,MATCH($C$1,Database!$A$1:$C$1,),)=0,#N/A,VLOOKUP(Table73[[#This Row],[Date]],Database!$A:$C,MATCH($C$1,Database!$A$1:$C$1,),))</f>
        <v/>
      </c>
      <c r="D226">
        <f>IFERROR(Table73[[#This Row],[United States 10y]]-Table73[[#This Row],[United States 2y]],#N/A)</f>
        <v/>
      </c>
    </row>
    <row r="227">
      <c r="A227" s="6">
        <f>Database!A226</f>
        <v/>
      </c>
      <c r="B227">
        <f>IF(VLOOKUP(Table73[[#This Row],[Date]],Database!$A:$E,MATCH($B$1,Database!$A$1:$E$1,),)=0,#N/A,VLOOKUP(Table73[[#This Row],[Date]],Database!$A:$E,MATCH($B$1,Database!$A$1:$E$1,),))</f>
        <v/>
      </c>
      <c r="C227">
        <f>IF(VLOOKUP(Table73[[#This Row],[Date]],Database!$A:$C,MATCH($C$1,Database!$A$1:$C$1,),)=0,#N/A,VLOOKUP(Table73[[#This Row],[Date]],Database!$A:$C,MATCH($C$1,Database!$A$1:$C$1,),))</f>
        <v/>
      </c>
      <c r="D227">
        <f>IFERROR(Table73[[#This Row],[United States 10y]]-Table73[[#This Row],[United States 2y]],#N/A)</f>
        <v/>
      </c>
    </row>
    <row r="228">
      <c r="A228" s="6">
        <f>Database!A227</f>
        <v/>
      </c>
      <c r="B228">
        <f>IF(VLOOKUP(Table73[[#This Row],[Date]],Database!$A:$E,MATCH($B$1,Database!$A$1:$E$1,),)=0,#N/A,VLOOKUP(Table73[[#This Row],[Date]],Database!$A:$E,MATCH($B$1,Database!$A$1:$E$1,),))</f>
        <v/>
      </c>
      <c r="C228">
        <f>IF(VLOOKUP(Table73[[#This Row],[Date]],Database!$A:$C,MATCH($C$1,Database!$A$1:$C$1,),)=0,#N/A,VLOOKUP(Table73[[#This Row],[Date]],Database!$A:$C,MATCH($C$1,Database!$A$1:$C$1,),))</f>
        <v/>
      </c>
      <c r="D228">
        <f>IFERROR(Table73[[#This Row],[United States 10y]]-Table73[[#This Row],[United States 2y]],#N/A)</f>
        <v/>
      </c>
    </row>
    <row r="229">
      <c r="A229" s="6">
        <f>Database!A228</f>
        <v/>
      </c>
      <c r="B229">
        <f>IF(VLOOKUP(Table73[[#This Row],[Date]],Database!$A:$E,MATCH($B$1,Database!$A$1:$E$1,),)=0,#N/A,VLOOKUP(Table73[[#This Row],[Date]],Database!$A:$E,MATCH($B$1,Database!$A$1:$E$1,),))</f>
        <v/>
      </c>
      <c r="C229">
        <f>IF(VLOOKUP(Table73[[#This Row],[Date]],Database!$A:$C,MATCH($C$1,Database!$A$1:$C$1,),)=0,#N/A,VLOOKUP(Table73[[#This Row],[Date]],Database!$A:$C,MATCH($C$1,Database!$A$1:$C$1,),))</f>
        <v/>
      </c>
      <c r="D229">
        <f>IFERROR(Table73[[#This Row],[United States 10y]]-Table73[[#This Row],[United States 2y]],#N/A)</f>
        <v/>
      </c>
    </row>
    <row r="230">
      <c r="A230" s="6">
        <f>Database!A229</f>
        <v/>
      </c>
      <c r="B230">
        <f>IF(VLOOKUP(Table73[[#This Row],[Date]],Database!$A:$E,MATCH($B$1,Database!$A$1:$E$1,),)=0,#N/A,VLOOKUP(Table73[[#This Row],[Date]],Database!$A:$E,MATCH($B$1,Database!$A$1:$E$1,),))</f>
        <v/>
      </c>
      <c r="C230">
        <f>IF(VLOOKUP(Table73[[#This Row],[Date]],Database!$A:$C,MATCH($C$1,Database!$A$1:$C$1,),)=0,#N/A,VLOOKUP(Table73[[#This Row],[Date]],Database!$A:$C,MATCH($C$1,Database!$A$1:$C$1,),))</f>
        <v/>
      </c>
      <c r="D230">
        <f>IFERROR(Table73[[#This Row],[United States 10y]]-Table73[[#This Row],[United States 2y]],#N/A)</f>
        <v/>
      </c>
    </row>
    <row r="231">
      <c r="A231" s="6">
        <f>Database!A230</f>
        <v/>
      </c>
      <c r="B231">
        <f>IF(VLOOKUP(Table73[[#This Row],[Date]],Database!$A:$E,MATCH($B$1,Database!$A$1:$E$1,),)=0,#N/A,VLOOKUP(Table73[[#This Row],[Date]],Database!$A:$E,MATCH($B$1,Database!$A$1:$E$1,),))</f>
        <v/>
      </c>
      <c r="C231">
        <f>IF(VLOOKUP(Table73[[#This Row],[Date]],Database!$A:$C,MATCH($C$1,Database!$A$1:$C$1,),)=0,#N/A,VLOOKUP(Table73[[#This Row],[Date]],Database!$A:$C,MATCH($C$1,Database!$A$1:$C$1,),))</f>
        <v/>
      </c>
      <c r="D231">
        <f>IFERROR(Table73[[#This Row],[United States 10y]]-Table73[[#This Row],[United States 2y]],#N/A)</f>
        <v/>
      </c>
    </row>
    <row r="232">
      <c r="A232" s="6">
        <f>Database!A231</f>
        <v/>
      </c>
      <c r="B232">
        <f>IF(VLOOKUP(Table73[[#This Row],[Date]],Database!$A:$E,MATCH($B$1,Database!$A$1:$E$1,),)=0,#N/A,VLOOKUP(Table73[[#This Row],[Date]],Database!$A:$E,MATCH($B$1,Database!$A$1:$E$1,),))</f>
        <v/>
      </c>
      <c r="C232">
        <f>IF(VLOOKUP(Table73[[#This Row],[Date]],Database!$A:$C,MATCH($C$1,Database!$A$1:$C$1,),)=0,#N/A,VLOOKUP(Table73[[#This Row],[Date]],Database!$A:$C,MATCH($C$1,Database!$A$1:$C$1,),))</f>
        <v/>
      </c>
      <c r="D232">
        <f>IFERROR(Table73[[#This Row],[United States 10y]]-Table73[[#This Row],[United States 2y]],#N/A)</f>
        <v/>
      </c>
    </row>
    <row r="233">
      <c r="A233" s="6">
        <f>Database!A232</f>
        <v/>
      </c>
      <c r="B233">
        <f>IF(VLOOKUP(Table73[[#This Row],[Date]],Database!$A:$E,MATCH($B$1,Database!$A$1:$E$1,),)=0,#N/A,VLOOKUP(Table73[[#This Row],[Date]],Database!$A:$E,MATCH($B$1,Database!$A$1:$E$1,),))</f>
        <v/>
      </c>
      <c r="C233">
        <f>IF(VLOOKUP(Table73[[#This Row],[Date]],Database!$A:$C,MATCH($C$1,Database!$A$1:$C$1,),)=0,#N/A,VLOOKUP(Table73[[#This Row],[Date]],Database!$A:$C,MATCH($C$1,Database!$A$1:$C$1,),))</f>
        <v/>
      </c>
      <c r="D233">
        <f>IFERROR(Table73[[#This Row],[United States 10y]]-Table73[[#This Row],[United States 2y]],#N/A)</f>
        <v/>
      </c>
    </row>
    <row r="234">
      <c r="A234" s="6">
        <f>Database!A233</f>
        <v/>
      </c>
      <c r="B234">
        <f>IF(VLOOKUP(Table73[[#This Row],[Date]],Database!$A:$E,MATCH($B$1,Database!$A$1:$E$1,),)=0,#N/A,VLOOKUP(Table73[[#This Row],[Date]],Database!$A:$E,MATCH($B$1,Database!$A$1:$E$1,),))</f>
        <v/>
      </c>
      <c r="C234">
        <f>IF(VLOOKUP(Table73[[#This Row],[Date]],Database!$A:$C,MATCH($C$1,Database!$A$1:$C$1,),)=0,#N/A,VLOOKUP(Table73[[#This Row],[Date]],Database!$A:$C,MATCH($C$1,Database!$A$1:$C$1,),))</f>
        <v/>
      </c>
      <c r="D234">
        <f>IFERROR(Table73[[#This Row],[United States 10y]]-Table73[[#This Row],[United States 2y]],#N/A)</f>
        <v/>
      </c>
    </row>
    <row r="235">
      <c r="A235" s="6">
        <f>Database!A234</f>
        <v/>
      </c>
      <c r="B235">
        <f>IF(VLOOKUP(Table73[[#This Row],[Date]],Database!$A:$E,MATCH($B$1,Database!$A$1:$E$1,),)=0,#N/A,VLOOKUP(Table73[[#This Row],[Date]],Database!$A:$E,MATCH($B$1,Database!$A$1:$E$1,),))</f>
        <v/>
      </c>
      <c r="C235">
        <f>IF(VLOOKUP(Table73[[#This Row],[Date]],Database!$A:$C,MATCH($C$1,Database!$A$1:$C$1,),)=0,#N/A,VLOOKUP(Table73[[#This Row],[Date]],Database!$A:$C,MATCH($C$1,Database!$A$1:$C$1,),))</f>
        <v/>
      </c>
      <c r="D235">
        <f>IFERROR(Table73[[#This Row],[United States 10y]]-Table73[[#This Row],[United States 2y]],#N/A)</f>
        <v/>
      </c>
    </row>
    <row r="236">
      <c r="A236" s="6">
        <f>Database!A235</f>
        <v/>
      </c>
      <c r="B236">
        <f>IF(VLOOKUP(Table73[[#This Row],[Date]],Database!$A:$E,MATCH($B$1,Database!$A$1:$E$1,),)=0,#N/A,VLOOKUP(Table73[[#This Row],[Date]],Database!$A:$E,MATCH($B$1,Database!$A$1:$E$1,),))</f>
        <v/>
      </c>
      <c r="C236">
        <f>IF(VLOOKUP(Table73[[#This Row],[Date]],Database!$A:$C,MATCH($C$1,Database!$A$1:$C$1,),)=0,#N/A,VLOOKUP(Table73[[#This Row],[Date]],Database!$A:$C,MATCH($C$1,Database!$A$1:$C$1,),))</f>
        <v/>
      </c>
      <c r="D236">
        <f>IFERROR(Table73[[#This Row],[United States 10y]]-Table73[[#This Row],[United States 2y]],#N/A)</f>
        <v/>
      </c>
    </row>
    <row r="237">
      <c r="A237" s="6">
        <f>Database!A236</f>
        <v/>
      </c>
      <c r="B237">
        <f>IF(VLOOKUP(Table73[[#This Row],[Date]],Database!$A:$E,MATCH($B$1,Database!$A$1:$E$1,),)=0,#N/A,VLOOKUP(Table73[[#This Row],[Date]],Database!$A:$E,MATCH($B$1,Database!$A$1:$E$1,),))</f>
        <v/>
      </c>
      <c r="C237">
        <f>IF(VLOOKUP(Table73[[#This Row],[Date]],Database!$A:$C,MATCH($C$1,Database!$A$1:$C$1,),)=0,#N/A,VLOOKUP(Table73[[#This Row],[Date]],Database!$A:$C,MATCH($C$1,Database!$A$1:$C$1,),))</f>
        <v/>
      </c>
      <c r="D237">
        <f>IFERROR(Table73[[#This Row],[United States 10y]]-Table73[[#This Row],[United States 2y]],#N/A)</f>
        <v/>
      </c>
    </row>
    <row r="238">
      <c r="A238" s="6">
        <f>Database!A237</f>
        <v/>
      </c>
      <c r="B238">
        <f>IF(VLOOKUP(Table73[[#This Row],[Date]],Database!$A:$E,MATCH($B$1,Database!$A$1:$E$1,),)=0,#N/A,VLOOKUP(Table73[[#This Row],[Date]],Database!$A:$E,MATCH($B$1,Database!$A$1:$E$1,),))</f>
        <v/>
      </c>
      <c r="C238">
        <f>IF(VLOOKUP(Table73[[#This Row],[Date]],Database!$A:$C,MATCH($C$1,Database!$A$1:$C$1,),)=0,#N/A,VLOOKUP(Table73[[#This Row],[Date]],Database!$A:$C,MATCH($C$1,Database!$A$1:$C$1,),))</f>
        <v/>
      </c>
      <c r="D238">
        <f>IFERROR(Table73[[#This Row],[United States 10y]]-Table73[[#This Row],[United States 2y]],#N/A)</f>
        <v/>
      </c>
    </row>
    <row r="239">
      <c r="A239" s="6">
        <f>Database!A238</f>
        <v/>
      </c>
      <c r="B239">
        <f>IF(VLOOKUP(Table73[[#This Row],[Date]],Database!$A:$E,MATCH($B$1,Database!$A$1:$E$1,),)=0,#N/A,VLOOKUP(Table73[[#This Row],[Date]],Database!$A:$E,MATCH($B$1,Database!$A$1:$E$1,),))</f>
        <v/>
      </c>
      <c r="C239">
        <f>IF(VLOOKUP(Table73[[#This Row],[Date]],Database!$A:$C,MATCH($C$1,Database!$A$1:$C$1,),)=0,#N/A,VLOOKUP(Table73[[#This Row],[Date]],Database!$A:$C,MATCH($C$1,Database!$A$1:$C$1,),))</f>
        <v/>
      </c>
      <c r="D239">
        <f>IFERROR(Table73[[#This Row],[United States 10y]]-Table73[[#This Row],[United States 2y]],#N/A)</f>
        <v/>
      </c>
    </row>
    <row r="240">
      <c r="A240" s="6">
        <f>Database!A239</f>
        <v/>
      </c>
      <c r="B240">
        <f>IF(VLOOKUP(Table73[[#This Row],[Date]],Database!$A:$E,MATCH($B$1,Database!$A$1:$E$1,),)=0,#N/A,VLOOKUP(Table73[[#This Row],[Date]],Database!$A:$E,MATCH($B$1,Database!$A$1:$E$1,),))</f>
        <v/>
      </c>
      <c r="C240">
        <f>IF(VLOOKUP(Table73[[#This Row],[Date]],Database!$A:$C,MATCH($C$1,Database!$A$1:$C$1,),)=0,#N/A,VLOOKUP(Table73[[#This Row],[Date]],Database!$A:$C,MATCH($C$1,Database!$A$1:$C$1,),))</f>
        <v/>
      </c>
      <c r="D240">
        <f>IFERROR(Table73[[#This Row],[United States 10y]]-Table73[[#This Row],[United States 2y]],#N/A)</f>
        <v/>
      </c>
    </row>
    <row r="241">
      <c r="A241" s="6">
        <f>Database!A240</f>
        <v/>
      </c>
      <c r="B241">
        <f>IF(VLOOKUP(Table73[[#This Row],[Date]],Database!$A:$E,MATCH($B$1,Database!$A$1:$E$1,),)=0,#N/A,VLOOKUP(Table73[[#This Row],[Date]],Database!$A:$E,MATCH($B$1,Database!$A$1:$E$1,),))</f>
        <v/>
      </c>
      <c r="C241">
        <f>IF(VLOOKUP(Table73[[#This Row],[Date]],Database!$A:$C,MATCH($C$1,Database!$A$1:$C$1,),)=0,#N/A,VLOOKUP(Table73[[#This Row],[Date]],Database!$A:$C,MATCH($C$1,Database!$A$1:$C$1,),))</f>
        <v/>
      </c>
      <c r="D241">
        <f>IFERROR(Table73[[#This Row],[United States 10y]]-Table73[[#This Row],[United States 2y]],#N/A)</f>
        <v/>
      </c>
    </row>
    <row r="242">
      <c r="A242" s="6">
        <f>Database!A241</f>
        <v/>
      </c>
      <c r="B242">
        <f>IF(VLOOKUP(Table73[[#This Row],[Date]],Database!$A:$E,MATCH($B$1,Database!$A$1:$E$1,),)=0,#N/A,VLOOKUP(Table73[[#This Row],[Date]],Database!$A:$E,MATCH($B$1,Database!$A$1:$E$1,),))</f>
        <v/>
      </c>
      <c r="C242">
        <f>IF(VLOOKUP(Table73[[#This Row],[Date]],Database!$A:$C,MATCH($C$1,Database!$A$1:$C$1,),)=0,#N/A,VLOOKUP(Table73[[#This Row],[Date]],Database!$A:$C,MATCH($C$1,Database!$A$1:$C$1,),))</f>
        <v/>
      </c>
      <c r="D242">
        <f>IFERROR(Table73[[#This Row],[United States 10y]]-Table73[[#This Row],[United States 2y]],#N/A)</f>
        <v/>
      </c>
    </row>
    <row r="243">
      <c r="A243" s="6">
        <f>Database!A242</f>
        <v/>
      </c>
      <c r="B243">
        <f>IF(VLOOKUP(Table73[[#This Row],[Date]],Database!$A:$E,MATCH($B$1,Database!$A$1:$E$1,),)=0,#N/A,VLOOKUP(Table73[[#This Row],[Date]],Database!$A:$E,MATCH($B$1,Database!$A$1:$E$1,),))</f>
        <v/>
      </c>
      <c r="C243">
        <f>IF(VLOOKUP(Table73[[#This Row],[Date]],Database!$A:$C,MATCH($C$1,Database!$A$1:$C$1,),)=0,#N/A,VLOOKUP(Table73[[#This Row],[Date]],Database!$A:$C,MATCH($C$1,Database!$A$1:$C$1,),))</f>
        <v/>
      </c>
      <c r="D243">
        <f>IFERROR(Table73[[#This Row],[United States 10y]]-Table73[[#This Row],[United States 2y]],#N/A)</f>
        <v/>
      </c>
    </row>
    <row r="244">
      <c r="A244" s="6">
        <f>Database!A243</f>
        <v/>
      </c>
      <c r="B244">
        <f>IF(VLOOKUP(Table73[[#This Row],[Date]],Database!$A:$E,MATCH($B$1,Database!$A$1:$E$1,),)=0,#N/A,VLOOKUP(Table73[[#This Row],[Date]],Database!$A:$E,MATCH($B$1,Database!$A$1:$E$1,),))</f>
        <v/>
      </c>
      <c r="C244">
        <f>IF(VLOOKUP(Table73[[#This Row],[Date]],Database!$A:$C,MATCH($C$1,Database!$A$1:$C$1,),)=0,#N/A,VLOOKUP(Table73[[#This Row],[Date]],Database!$A:$C,MATCH($C$1,Database!$A$1:$C$1,),))</f>
        <v/>
      </c>
      <c r="D244">
        <f>IFERROR(Table73[[#This Row],[United States 10y]]-Table73[[#This Row],[United States 2y]],#N/A)</f>
        <v/>
      </c>
    </row>
    <row r="245">
      <c r="A245" s="6">
        <f>Database!A244</f>
        <v/>
      </c>
      <c r="B245">
        <f>IF(VLOOKUP(Table73[[#This Row],[Date]],Database!$A:$E,MATCH($B$1,Database!$A$1:$E$1,),)=0,#N/A,VLOOKUP(Table73[[#This Row],[Date]],Database!$A:$E,MATCH($B$1,Database!$A$1:$E$1,),))</f>
        <v/>
      </c>
      <c r="C245">
        <f>IF(VLOOKUP(Table73[[#This Row],[Date]],Database!$A:$C,MATCH($C$1,Database!$A$1:$C$1,),)=0,#N/A,VLOOKUP(Table73[[#This Row],[Date]],Database!$A:$C,MATCH($C$1,Database!$A$1:$C$1,),))</f>
        <v/>
      </c>
      <c r="D245">
        <f>IFERROR(Table73[[#This Row],[United States 10y]]-Table73[[#This Row],[United States 2y]],#N/A)</f>
        <v/>
      </c>
    </row>
    <row r="246">
      <c r="A246" s="6">
        <f>Database!A245</f>
        <v/>
      </c>
      <c r="B246">
        <f>IF(VLOOKUP(Table73[[#This Row],[Date]],Database!$A:$E,MATCH($B$1,Database!$A$1:$E$1,),)=0,#N/A,VLOOKUP(Table73[[#This Row],[Date]],Database!$A:$E,MATCH($B$1,Database!$A$1:$E$1,),))</f>
        <v/>
      </c>
      <c r="C246">
        <f>IF(VLOOKUP(Table73[[#This Row],[Date]],Database!$A:$C,MATCH($C$1,Database!$A$1:$C$1,),)=0,#N/A,VLOOKUP(Table73[[#This Row],[Date]],Database!$A:$C,MATCH($C$1,Database!$A$1:$C$1,),))</f>
        <v/>
      </c>
      <c r="D246">
        <f>IFERROR(Table73[[#This Row],[United States 10y]]-Table73[[#This Row],[United States 2y]],#N/A)</f>
        <v/>
      </c>
    </row>
    <row r="247">
      <c r="A247" s="6">
        <f>Database!A246</f>
        <v/>
      </c>
      <c r="B247">
        <f>IF(VLOOKUP(Table73[[#This Row],[Date]],Database!$A:$E,MATCH($B$1,Database!$A$1:$E$1,),)=0,#N/A,VLOOKUP(Table73[[#This Row],[Date]],Database!$A:$E,MATCH($B$1,Database!$A$1:$E$1,),))</f>
        <v/>
      </c>
      <c r="C247">
        <f>IF(VLOOKUP(Table73[[#This Row],[Date]],Database!$A:$C,MATCH($C$1,Database!$A$1:$C$1,),)=0,#N/A,VLOOKUP(Table73[[#This Row],[Date]],Database!$A:$C,MATCH($C$1,Database!$A$1:$C$1,),))</f>
        <v/>
      </c>
      <c r="D247">
        <f>IFERROR(Table73[[#This Row],[United States 10y]]-Table73[[#This Row],[United States 2y]],#N/A)</f>
        <v/>
      </c>
    </row>
    <row r="248">
      <c r="A248" s="6">
        <f>Database!A247</f>
        <v/>
      </c>
      <c r="B248">
        <f>IF(VLOOKUP(Table73[[#This Row],[Date]],Database!$A:$E,MATCH($B$1,Database!$A$1:$E$1,),)=0,#N/A,VLOOKUP(Table73[[#This Row],[Date]],Database!$A:$E,MATCH($B$1,Database!$A$1:$E$1,),))</f>
        <v/>
      </c>
      <c r="C248">
        <f>IF(VLOOKUP(Table73[[#This Row],[Date]],Database!$A:$C,MATCH($C$1,Database!$A$1:$C$1,),)=0,#N/A,VLOOKUP(Table73[[#This Row],[Date]],Database!$A:$C,MATCH($C$1,Database!$A$1:$C$1,),))</f>
        <v/>
      </c>
      <c r="D248">
        <f>IFERROR(Table73[[#This Row],[United States 10y]]-Table73[[#This Row],[United States 2y]],#N/A)</f>
        <v/>
      </c>
    </row>
    <row r="249">
      <c r="A249" s="6">
        <f>Database!A248</f>
        <v/>
      </c>
      <c r="B249">
        <f>IF(VLOOKUP(Table73[[#This Row],[Date]],Database!$A:$E,MATCH($B$1,Database!$A$1:$E$1,),)=0,#N/A,VLOOKUP(Table73[[#This Row],[Date]],Database!$A:$E,MATCH($B$1,Database!$A$1:$E$1,),))</f>
        <v/>
      </c>
      <c r="C249">
        <f>IF(VLOOKUP(Table73[[#This Row],[Date]],Database!$A:$C,MATCH($C$1,Database!$A$1:$C$1,),)=0,#N/A,VLOOKUP(Table73[[#This Row],[Date]],Database!$A:$C,MATCH($C$1,Database!$A$1:$C$1,),))</f>
        <v/>
      </c>
      <c r="D249">
        <f>IFERROR(Table73[[#This Row],[United States 10y]]-Table73[[#This Row],[United States 2y]],#N/A)</f>
        <v/>
      </c>
    </row>
    <row r="250">
      <c r="A250" s="6">
        <f>Database!A249</f>
        <v/>
      </c>
      <c r="B250">
        <f>IF(VLOOKUP(Table73[[#This Row],[Date]],Database!$A:$E,MATCH($B$1,Database!$A$1:$E$1,),)=0,#N/A,VLOOKUP(Table73[[#This Row],[Date]],Database!$A:$E,MATCH($B$1,Database!$A$1:$E$1,),))</f>
        <v/>
      </c>
      <c r="C250">
        <f>IF(VLOOKUP(Table73[[#This Row],[Date]],Database!$A:$C,MATCH($C$1,Database!$A$1:$C$1,),)=0,#N/A,VLOOKUP(Table73[[#This Row],[Date]],Database!$A:$C,MATCH($C$1,Database!$A$1:$C$1,),))</f>
        <v/>
      </c>
      <c r="D250">
        <f>IFERROR(Table73[[#This Row],[United States 10y]]-Table73[[#This Row],[United States 2y]],#N/A)</f>
        <v/>
      </c>
    </row>
    <row r="251">
      <c r="A251" s="6">
        <f>Database!A250</f>
        <v/>
      </c>
      <c r="B251">
        <f>IF(VLOOKUP(Table73[[#This Row],[Date]],Database!$A:$E,MATCH($B$1,Database!$A$1:$E$1,),)=0,#N/A,VLOOKUP(Table73[[#This Row],[Date]],Database!$A:$E,MATCH($B$1,Database!$A$1:$E$1,),))</f>
        <v/>
      </c>
      <c r="C251">
        <f>IF(VLOOKUP(Table73[[#This Row],[Date]],Database!$A:$C,MATCH($C$1,Database!$A$1:$C$1,),)=0,#N/A,VLOOKUP(Table73[[#This Row],[Date]],Database!$A:$C,MATCH($C$1,Database!$A$1:$C$1,),))</f>
        <v/>
      </c>
      <c r="D251">
        <f>IFERROR(Table73[[#This Row],[United States 10y]]-Table73[[#This Row],[United States 2y]],#N/A)</f>
        <v/>
      </c>
    </row>
    <row r="252">
      <c r="A252" s="6">
        <f>Database!A251</f>
        <v/>
      </c>
      <c r="B252">
        <f>IF(VLOOKUP(Table73[[#This Row],[Date]],Database!$A:$E,MATCH($B$1,Database!$A$1:$E$1,),)=0,#N/A,VLOOKUP(Table73[[#This Row],[Date]],Database!$A:$E,MATCH($B$1,Database!$A$1:$E$1,),))</f>
        <v/>
      </c>
      <c r="C252">
        <f>IF(VLOOKUP(Table73[[#This Row],[Date]],Database!$A:$C,MATCH($C$1,Database!$A$1:$C$1,),)=0,#N/A,VLOOKUP(Table73[[#This Row],[Date]],Database!$A:$C,MATCH($C$1,Database!$A$1:$C$1,),))</f>
        <v/>
      </c>
      <c r="D252">
        <f>IFERROR(Table73[[#This Row],[United States 10y]]-Table73[[#This Row],[United States 2y]],#N/A)</f>
        <v/>
      </c>
    </row>
    <row r="253">
      <c r="A253" s="6">
        <f>Database!A252</f>
        <v/>
      </c>
      <c r="B253">
        <f>IF(VLOOKUP(Table73[[#This Row],[Date]],Database!$A:$E,MATCH($B$1,Database!$A$1:$E$1,),)=0,#N/A,VLOOKUP(Table73[[#This Row],[Date]],Database!$A:$E,MATCH($B$1,Database!$A$1:$E$1,),))</f>
        <v/>
      </c>
      <c r="C253">
        <f>IF(VLOOKUP(Table73[[#This Row],[Date]],Database!$A:$C,MATCH($C$1,Database!$A$1:$C$1,),)=0,#N/A,VLOOKUP(Table73[[#This Row],[Date]],Database!$A:$C,MATCH($C$1,Database!$A$1:$C$1,),))</f>
        <v/>
      </c>
      <c r="D253">
        <f>IFERROR(Table73[[#This Row],[United States 10y]]-Table73[[#This Row],[United States 2y]],#N/A)</f>
        <v/>
      </c>
    </row>
    <row r="254">
      <c r="A254" s="6">
        <f>Database!A253</f>
        <v/>
      </c>
      <c r="B254">
        <f>IF(VLOOKUP(Table73[[#This Row],[Date]],Database!$A:$E,MATCH($B$1,Database!$A$1:$E$1,),)=0,#N/A,VLOOKUP(Table73[[#This Row],[Date]],Database!$A:$E,MATCH($B$1,Database!$A$1:$E$1,),))</f>
        <v/>
      </c>
      <c r="C254">
        <f>IF(VLOOKUP(Table73[[#This Row],[Date]],Database!$A:$C,MATCH($C$1,Database!$A$1:$C$1,),)=0,#N/A,VLOOKUP(Table73[[#This Row],[Date]],Database!$A:$C,MATCH($C$1,Database!$A$1:$C$1,),))</f>
        <v/>
      </c>
      <c r="D254">
        <f>IFERROR(Table73[[#This Row],[United States 10y]]-Table73[[#This Row],[United States 2y]],#N/A)</f>
        <v/>
      </c>
    </row>
    <row r="255">
      <c r="A255" s="6">
        <f>Database!A254</f>
        <v/>
      </c>
      <c r="B255">
        <f>IF(VLOOKUP(Table73[[#This Row],[Date]],Database!$A:$E,MATCH($B$1,Database!$A$1:$E$1,),)=0,#N/A,VLOOKUP(Table73[[#This Row],[Date]],Database!$A:$E,MATCH($B$1,Database!$A$1:$E$1,),))</f>
        <v/>
      </c>
      <c r="C255">
        <f>IF(VLOOKUP(Table73[[#This Row],[Date]],Database!$A:$C,MATCH($C$1,Database!$A$1:$C$1,),)=0,#N/A,VLOOKUP(Table73[[#This Row],[Date]],Database!$A:$C,MATCH($C$1,Database!$A$1:$C$1,),))</f>
        <v/>
      </c>
      <c r="D255">
        <f>IFERROR(Table73[[#This Row],[United States 10y]]-Table73[[#This Row],[United States 2y]],#N/A)</f>
        <v/>
      </c>
    </row>
    <row r="256">
      <c r="A256" s="6">
        <f>Database!A255</f>
        <v/>
      </c>
      <c r="B256">
        <f>IF(VLOOKUP(Table73[[#This Row],[Date]],Database!$A:$E,MATCH($B$1,Database!$A$1:$E$1,),)=0,#N/A,VLOOKUP(Table73[[#This Row],[Date]],Database!$A:$E,MATCH($B$1,Database!$A$1:$E$1,),))</f>
        <v/>
      </c>
      <c r="C256">
        <f>IF(VLOOKUP(Table73[[#This Row],[Date]],Database!$A:$C,MATCH($C$1,Database!$A$1:$C$1,),)=0,#N/A,VLOOKUP(Table73[[#This Row],[Date]],Database!$A:$C,MATCH($C$1,Database!$A$1:$C$1,),))</f>
        <v/>
      </c>
      <c r="D256">
        <f>IFERROR(Table73[[#This Row],[United States 10y]]-Table73[[#This Row],[United States 2y]],#N/A)</f>
        <v/>
      </c>
    </row>
    <row r="257">
      <c r="A257" s="6">
        <f>Database!A256</f>
        <v/>
      </c>
      <c r="B257">
        <f>IF(VLOOKUP(Table73[[#This Row],[Date]],Database!$A:$E,MATCH($B$1,Database!$A$1:$E$1,),)=0,#N/A,VLOOKUP(Table73[[#This Row],[Date]],Database!$A:$E,MATCH($B$1,Database!$A$1:$E$1,),))</f>
        <v/>
      </c>
      <c r="C257">
        <f>IF(VLOOKUP(Table73[[#This Row],[Date]],Database!$A:$C,MATCH($C$1,Database!$A$1:$C$1,),)=0,#N/A,VLOOKUP(Table73[[#This Row],[Date]],Database!$A:$C,MATCH($C$1,Database!$A$1:$C$1,),))</f>
        <v/>
      </c>
      <c r="D257">
        <f>IFERROR(Table73[[#This Row],[United States 10y]]-Table73[[#This Row],[United States 2y]],#N/A)</f>
        <v/>
      </c>
    </row>
    <row r="258">
      <c r="A258" s="6">
        <f>Database!A257</f>
        <v/>
      </c>
      <c r="B258">
        <f>IF(VLOOKUP(Table73[[#This Row],[Date]],Database!$A:$E,MATCH($B$1,Database!$A$1:$E$1,),)=0,#N/A,VLOOKUP(Table73[[#This Row],[Date]],Database!$A:$E,MATCH($B$1,Database!$A$1:$E$1,),))</f>
        <v/>
      </c>
      <c r="C258">
        <f>IF(VLOOKUP(Table73[[#This Row],[Date]],Database!$A:$C,MATCH($C$1,Database!$A$1:$C$1,),)=0,#N/A,VLOOKUP(Table73[[#This Row],[Date]],Database!$A:$C,MATCH($C$1,Database!$A$1:$C$1,),))</f>
        <v/>
      </c>
      <c r="D258">
        <f>IFERROR(Table73[[#This Row],[United States 10y]]-Table73[[#This Row],[United States 2y]],#N/A)</f>
        <v/>
      </c>
    </row>
    <row r="259">
      <c r="A259" s="6">
        <f>Database!A258</f>
        <v/>
      </c>
      <c r="B259">
        <f>IF(VLOOKUP(Table73[[#This Row],[Date]],Database!$A:$E,MATCH($B$1,Database!$A$1:$E$1,),)=0,#N/A,VLOOKUP(Table73[[#This Row],[Date]],Database!$A:$E,MATCH($B$1,Database!$A$1:$E$1,),))</f>
        <v/>
      </c>
      <c r="C259">
        <f>IF(VLOOKUP(Table73[[#This Row],[Date]],Database!$A:$C,MATCH($C$1,Database!$A$1:$C$1,),)=0,#N/A,VLOOKUP(Table73[[#This Row],[Date]],Database!$A:$C,MATCH($C$1,Database!$A$1:$C$1,),))</f>
        <v/>
      </c>
      <c r="D259">
        <f>IFERROR(Table73[[#This Row],[United States 10y]]-Table73[[#This Row],[United States 2y]],#N/A)</f>
        <v/>
      </c>
    </row>
    <row r="260">
      <c r="A260" s="6">
        <f>Database!A259</f>
        <v/>
      </c>
      <c r="B260">
        <f>IF(VLOOKUP(Table73[[#This Row],[Date]],Database!$A:$E,MATCH($B$1,Database!$A$1:$E$1,),)=0,#N/A,VLOOKUP(Table73[[#This Row],[Date]],Database!$A:$E,MATCH($B$1,Database!$A$1:$E$1,),))</f>
        <v/>
      </c>
      <c r="C260">
        <f>IF(VLOOKUP(Table73[[#This Row],[Date]],Database!$A:$C,MATCH($C$1,Database!$A$1:$C$1,),)=0,#N/A,VLOOKUP(Table73[[#This Row],[Date]],Database!$A:$C,MATCH($C$1,Database!$A$1:$C$1,),))</f>
        <v/>
      </c>
      <c r="D260">
        <f>IFERROR(Table73[[#This Row],[United States 10y]]-Table73[[#This Row],[United States 2y]],#N/A)</f>
        <v/>
      </c>
    </row>
    <row r="261">
      <c r="A261" s="6">
        <f>Database!A260</f>
        <v/>
      </c>
      <c r="B261">
        <f>IF(VLOOKUP(Table73[[#This Row],[Date]],Database!$A:$E,MATCH($B$1,Database!$A$1:$E$1,),)=0,#N/A,VLOOKUP(Table73[[#This Row],[Date]],Database!$A:$E,MATCH($B$1,Database!$A$1:$E$1,),))</f>
        <v/>
      </c>
      <c r="C261">
        <f>IF(VLOOKUP(Table73[[#This Row],[Date]],Database!$A:$C,MATCH($C$1,Database!$A$1:$C$1,),)=0,#N/A,VLOOKUP(Table73[[#This Row],[Date]],Database!$A:$C,MATCH($C$1,Database!$A$1:$C$1,),))</f>
        <v/>
      </c>
      <c r="D261">
        <f>IFERROR(Table73[[#This Row],[United States 10y]]-Table73[[#This Row],[United States 2y]],#N/A)</f>
        <v/>
      </c>
    </row>
    <row r="262">
      <c r="A262" s="6">
        <f>Database!A261</f>
        <v/>
      </c>
      <c r="B262">
        <f>IF(VLOOKUP(Table73[[#This Row],[Date]],Database!$A:$E,MATCH($B$1,Database!$A$1:$E$1,),)=0,#N/A,VLOOKUP(Table73[[#This Row],[Date]],Database!$A:$E,MATCH($B$1,Database!$A$1:$E$1,),))</f>
        <v/>
      </c>
      <c r="C262">
        <f>IF(VLOOKUP(Table73[[#This Row],[Date]],Database!$A:$C,MATCH($C$1,Database!$A$1:$C$1,),)=0,#N/A,VLOOKUP(Table73[[#This Row],[Date]],Database!$A:$C,MATCH($C$1,Database!$A$1:$C$1,),))</f>
        <v/>
      </c>
      <c r="D262">
        <f>IFERROR(Table73[[#This Row],[United States 10y]]-Table73[[#This Row],[United States 2y]],#N/A)</f>
        <v/>
      </c>
    </row>
    <row r="263">
      <c r="A263" s="6">
        <f>Database!A262</f>
        <v/>
      </c>
      <c r="B263">
        <f>IF(VLOOKUP(Table73[[#This Row],[Date]],Database!$A:$E,MATCH($B$1,Database!$A$1:$E$1,),)=0,#N/A,VLOOKUP(Table73[[#This Row],[Date]],Database!$A:$E,MATCH($B$1,Database!$A$1:$E$1,),))</f>
        <v/>
      </c>
      <c r="C263">
        <f>IF(VLOOKUP(Table73[[#This Row],[Date]],Database!$A:$C,MATCH($C$1,Database!$A$1:$C$1,),)=0,#N/A,VLOOKUP(Table73[[#This Row],[Date]],Database!$A:$C,MATCH($C$1,Database!$A$1:$C$1,),))</f>
        <v/>
      </c>
      <c r="D263">
        <f>IFERROR(Table73[[#This Row],[United States 10y]]-Table73[[#This Row],[United States 2y]],#N/A)</f>
        <v/>
      </c>
    </row>
    <row r="264">
      <c r="A264" s="6">
        <f>Database!A263</f>
        <v/>
      </c>
      <c r="B264">
        <f>IF(VLOOKUP(Table73[[#This Row],[Date]],Database!$A:$E,MATCH($B$1,Database!$A$1:$E$1,),)=0,#N/A,VLOOKUP(Table73[[#This Row],[Date]],Database!$A:$E,MATCH($B$1,Database!$A$1:$E$1,),))</f>
        <v/>
      </c>
      <c r="C264">
        <f>IF(VLOOKUP(Table73[[#This Row],[Date]],Database!$A:$C,MATCH($C$1,Database!$A$1:$C$1,),)=0,#N/A,VLOOKUP(Table73[[#This Row],[Date]],Database!$A:$C,MATCH($C$1,Database!$A$1:$C$1,),))</f>
        <v/>
      </c>
      <c r="D264">
        <f>IFERROR(Table73[[#This Row],[United States 10y]]-Table73[[#This Row],[United States 2y]],#N/A)</f>
        <v/>
      </c>
    </row>
    <row r="265">
      <c r="A265" s="6">
        <f>Database!A264</f>
        <v/>
      </c>
      <c r="B265">
        <f>IF(VLOOKUP(Table73[[#This Row],[Date]],Database!$A:$E,MATCH($B$1,Database!$A$1:$E$1,),)=0,#N/A,VLOOKUP(Table73[[#This Row],[Date]],Database!$A:$E,MATCH($B$1,Database!$A$1:$E$1,),))</f>
        <v/>
      </c>
      <c r="C265">
        <f>IF(VLOOKUP(Table73[[#This Row],[Date]],Database!$A:$C,MATCH($C$1,Database!$A$1:$C$1,),)=0,#N/A,VLOOKUP(Table73[[#This Row],[Date]],Database!$A:$C,MATCH($C$1,Database!$A$1:$C$1,),))</f>
        <v/>
      </c>
      <c r="D265">
        <f>IFERROR(Table73[[#This Row],[United States 10y]]-Table73[[#This Row],[United States 2y]],#N/A)</f>
        <v/>
      </c>
    </row>
    <row r="266">
      <c r="A266" s="6">
        <f>Database!A265</f>
        <v/>
      </c>
      <c r="B266">
        <f>IF(VLOOKUP(Table73[[#This Row],[Date]],Database!$A:$E,MATCH($B$1,Database!$A$1:$E$1,),)=0,#N/A,VLOOKUP(Table73[[#This Row],[Date]],Database!$A:$E,MATCH($B$1,Database!$A$1:$E$1,),))</f>
        <v/>
      </c>
      <c r="C266">
        <f>IF(VLOOKUP(Table73[[#This Row],[Date]],Database!$A:$C,MATCH($C$1,Database!$A$1:$C$1,),)=0,#N/A,VLOOKUP(Table73[[#This Row],[Date]],Database!$A:$C,MATCH($C$1,Database!$A$1:$C$1,),))</f>
        <v/>
      </c>
      <c r="D266">
        <f>IFERROR(Table73[[#This Row],[United States 10y]]-Table73[[#This Row],[United States 2y]],#N/A)</f>
        <v/>
      </c>
    </row>
    <row r="267">
      <c r="A267" s="6">
        <f>Database!A266</f>
        <v/>
      </c>
      <c r="B267">
        <f>IF(VLOOKUP(Table73[[#This Row],[Date]],Database!$A:$E,MATCH($B$1,Database!$A$1:$E$1,),)=0,#N/A,VLOOKUP(Table73[[#This Row],[Date]],Database!$A:$E,MATCH($B$1,Database!$A$1:$E$1,),))</f>
        <v/>
      </c>
      <c r="C267">
        <f>IF(VLOOKUP(Table73[[#This Row],[Date]],Database!$A:$C,MATCH($C$1,Database!$A$1:$C$1,),)=0,#N/A,VLOOKUP(Table73[[#This Row],[Date]],Database!$A:$C,MATCH($C$1,Database!$A$1:$C$1,),))</f>
        <v/>
      </c>
      <c r="D267">
        <f>IFERROR(Table73[[#This Row],[United States 10y]]-Table73[[#This Row],[United States 2y]],#N/A)</f>
        <v/>
      </c>
    </row>
    <row r="268">
      <c r="A268" s="6">
        <f>Database!A267</f>
        <v/>
      </c>
      <c r="B268">
        <f>IF(VLOOKUP(Table73[[#This Row],[Date]],Database!$A:$E,MATCH($B$1,Database!$A$1:$E$1,),)=0,#N/A,VLOOKUP(Table73[[#This Row],[Date]],Database!$A:$E,MATCH($B$1,Database!$A$1:$E$1,),))</f>
        <v/>
      </c>
      <c r="C268">
        <f>IF(VLOOKUP(Table73[[#This Row],[Date]],Database!$A:$C,MATCH($C$1,Database!$A$1:$C$1,),)=0,#N/A,VLOOKUP(Table73[[#This Row],[Date]],Database!$A:$C,MATCH($C$1,Database!$A$1:$C$1,),))</f>
        <v/>
      </c>
      <c r="D268">
        <f>IFERROR(Table73[[#This Row],[United States 10y]]-Table73[[#This Row],[United States 2y]],#N/A)</f>
        <v/>
      </c>
    </row>
    <row r="269">
      <c r="A269" s="6">
        <f>Database!A268</f>
        <v/>
      </c>
      <c r="B269">
        <f>IF(VLOOKUP(Table73[[#This Row],[Date]],Database!$A:$E,MATCH($B$1,Database!$A$1:$E$1,),)=0,#N/A,VLOOKUP(Table73[[#This Row],[Date]],Database!$A:$E,MATCH($B$1,Database!$A$1:$E$1,),))</f>
        <v/>
      </c>
      <c r="C269">
        <f>IF(VLOOKUP(Table73[[#This Row],[Date]],Database!$A:$C,MATCH($C$1,Database!$A$1:$C$1,),)=0,#N/A,VLOOKUP(Table73[[#This Row],[Date]],Database!$A:$C,MATCH($C$1,Database!$A$1:$C$1,),))</f>
        <v/>
      </c>
      <c r="D269">
        <f>IFERROR(Table73[[#This Row],[United States 10y]]-Table73[[#This Row],[United States 2y]],#N/A)</f>
        <v/>
      </c>
    </row>
    <row r="270">
      <c r="A270" s="6">
        <f>Database!A269</f>
        <v/>
      </c>
      <c r="B270">
        <f>IF(VLOOKUP(Table73[[#This Row],[Date]],Database!$A:$E,MATCH($B$1,Database!$A$1:$E$1,),)=0,#N/A,VLOOKUP(Table73[[#This Row],[Date]],Database!$A:$E,MATCH($B$1,Database!$A$1:$E$1,),))</f>
        <v/>
      </c>
      <c r="C270">
        <f>IF(VLOOKUP(Table73[[#This Row],[Date]],Database!$A:$C,MATCH($C$1,Database!$A$1:$C$1,),)=0,#N/A,VLOOKUP(Table73[[#This Row],[Date]],Database!$A:$C,MATCH($C$1,Database!$A$1:$C$1,),))</f>
        <v/>
      </c>
      <c r="D270">
        <f>IFERROR(Table73[[#This Row],[United States 10y]]-Table73[[#This Row],[United States 2y]],#N/A)</f>
        <v/>
      </c>
    </row>
    <row r="271">
      <c r="A271" s="6">
        <f>Database!A270</f>
        <v/>
      </c>
      <c r="B271">
        <f>IF(VLOOKUP(Table73[[#This Row],[Date]],Database!$A:$E,MATCH($B$1,Database!$A$1:$E$1,),)=0,#N/A,VLOOKUP(Table73[[#This Row],[Date]],Database!$A:$E,MATCH($B$1,Database!$A$1:$E$1,),))</f>
        <v/>
      </c>
      <c r="C271">
        <f>IF(VLOOKUP(Table73[[#This Row],[Date]],Database!$A:$C,MATCH($C$1,Database!$A$1:$C$1,),)=0,#N/A,VLOOKUP(Table73[[#This Row],[Date]],Database!$A:$C,MATCH($C$1,Database!$A$1:$C$1,),))</f>
        <v/>
      </c>
      <c r="D271">
        <f>IFERROR(Table73[[#This Row],[United States 10y]]-Table73[[#This Row],[United States 2y]],#N/A)</f>
        <v/>
      </c>
    </row>
    <row r="272">
      <c r="A272" s="6">
        <f>Database!A271</f>
        <v/>
      </c>
      <c r="B272">
        <f>IF(VLOOKUP(Table73[[#This Row],[Date]],Database!$A:$E,MATCH($B$1,Database!$A$1:$E$1,),)=0,#N/A,VLOOKUP(Table73[[#This Row],[Date]],Database!$A:$E,MATCH($B$1,Database!$A$1:$E$1,),))</f>
        <v/>
      </c>
      <c r="C272">
        <f>IF(VLOOKUP(Table73[[#This Row],[Date]],Database!$A:$C,MATCH($C$1,Database!$A$1:$C$1,),)=0,#N/A,VLOOKUP(Table73[[#This Row],[Date]],Database!$A:$C,MATCH($C$1,Database!$A$1:$C$1,),))</f>
        <v/>
      </c>
      <c r="D272">
        <f>IFERROR(Table73[[#This Row],[United States 10y]]-Table73[[#This Row],[United States 2y]],#N/A)</f>
        <v/>
      </c>
    </row>
    <row r="273">
      <c r="A273" s="6">
        <f>Database!A272</f>
        <v/>
      </c>
      <c r="B273">
        <f>IF(VLOOKUP(Table73[[#This Row],[Date]],Database!$A:$E,MATCH($B$1,Database!$A$1:$E$1,),)=0,#N/A,VLOOKUP(Table73[[#This Row],[Date]],Database!$A:$E,MATCH($B$1,Database!$A$1:$E$1,),))</f>
        <v/>
      </c>
      <c r="C273">
        <f>IF(VLOOKUP(Table73[[#This Row],[Date]],Database!$A:$C,MATCH($C$1,Database!$A$1:$C$1,),)=0,#N/A,VLOOKUP(Table73[[#This Row],[Date]],Database!$A:$C,MATCH($C$1,Database!$A$1:$C$1,),))</f>
        <v/>
      </c>
      <c r="D273">
        <f>IFERROR(Table73[[#This Row],[United States 10y]]-Table73[[#This Row],[United States 2y]],#N/A)</f>
        <v/>
      </c>
    </row>
    <row r="274">
      <c r="A274" s="6">
        <f>Database!A273</f>
        <v/>
      </c>
      <c r="B274">
        <f>IF(VLOOKUP(Table73[[#This Row],[Date]],Database!$A:$E,MATCH($B$1,Database!$A$1:$E$1,),)=0,#N/A,VLOOKUP(Table73[[#This Row],[Date]],Database!$A:$E,MATCH($B$1,Database!$A$1:$E$1,),))</f>
        <v/>
      </c>
      <c r="C274">
        <f>IF(VLOOKUP(Table73[[#This Row],[Date]],Database!$A:$C,MATCH($C$1,Database!$A$1:$C$1,),)=0,#N/A,VLOOKUP(Table73[[#This Row],[Date]],Database!$A:$C,MATCH($C$1,Database!$A$1:$C$1,),))</f>
        <v/>
      </c>
      <c r="D274">
        <f>IFERROR(Table73[[#This Row],[United States 10y]]-Table73[[#This Row],[United States 2y]],#N/A)</f>
        <v/>
      </c>
    </row>
    <row r="275">
      <c r="A275" s="6">
        <f>Database!A274</f>
        <v/>
      </c>
      <c r="B275">
        <f>IF(VLOOKUP(Table73[[#This Row],[Date]],Database!$A:$E,MATCH($B$1,Database!$A$1:$E$1,),)=0,#N/A,VLOOKUP(Table73[[#This Row],[Date]],Database!$A:$E,MATCH($B$1,Database!$A$1:$E$1,),))</f>
        <v/>
      </c>
      <c r="C275">
        <f>IF(VLOOKUP(Table73[[#This Row],[Date]],Database!$A:$C,MATCH($C$1,Database!$A$1:$C$1,),)=0,#N/A,VLOOKUP(Table73[[#This Row],[Date]],Database!$A:$C,MATCH($C$1,Database!$A$1:$C$1,),))</f>
        <v/>
      </c>
      <c r="D275">
        <f>IFERROR(Table73[[#This Row],[United States 10y]]-Table73[[#This Row],[United States 2y]],#N/A)</f>
        <v/>
      </c>
    </row>
    <row r="276">
      <c r="A276" s="6">
        <f>Database!A275</f>
        <v/>
      </c>
      <c r="B276">
        <f>IF(VLOOKUP(Table73[[#This Row],[Date]],Database!$A:$E,MATCH($B$1,Database!$A$1:$E$1,),)=0,#N/A,VLOOKUP(Table73[[#This Row],[Date]],Database!$A:$E,MATCH($B$1,Database!$A$1:$E$1,),))</f>
        <v/>
      </c>
      <c r="C276">
        <f>IF(VLOOKUP(Table73[[#This Row],[Date]],Database!$A:$C,MATCH($C$1,Database!$A$1:$C$1,),)=0,#N/A,VLOOKUP(Table73[[#This Row],[Date]],Database!$A:$C,MATCH($C$1,Database!$A$1:$C$1,),))</f>
        <v/>
      </c>
      <c r="D276">
        <f>IFERROR(Table73[[#This Row],[United States 10y]]-Table73[[#This Row],[United States 2y]],#N/A)</f>
        <v/>
      </c>
    </row>
    <row r="277">
      <c r="A277" s="6">
        <f>Database!A276</f>
        <v/>
      </c>
      <c r="B277">
        <f>IF(VLOOKUP(Table73[[#This Row],[Date]],Database!$A:$E,MATCH($B$1,Database!$A$1:$E$1,),)=0,#N/A,VLOOKUP(Table73[[#This Row],[Date]],Database!$A:$E,MATCH($B$1,Database!$A$1:$E$1,),))</f>
        <v/>
      </c>
      <c r="C277">
        <f>IF(VLOOKUP(Table73[[#This Row],[Date]],Database!$A:$C,MATCH($C$1,Database!$A$1:$C$1,),)=0,#N/A,VLOOKUP(Table73[[#This Row],[Date]],Database!$A:$C,MATCH($C$1,Database!$A$1:$C$1,),))</f>
        <v/>
      </c>
      <c r="D277">
        <f>IFERROR(Table73[[#This Row],[United States 10y]]-Table73[[#This Row],[United States 2y]],#N/A)</f>
        <v/>
      </c>
    </row>
    <row r="278">
      <c r="A278" s="6">
        <f>Database!A277</f>
        <v/>
      </c>
      <c r="B278">
        <f>IF(VLOOKUP(Table73[[#This Row],[Date]],Database!$A:$E,MATCH($B$1,Database!$A$1:$E$1,),)=0,#N/A,VLOOKUP(Table73[[#This Row],[Date]],Database!$A:$E,MATCH($B$1,Database!$A$1:$E$1,),))</f>
        <v/>
      </c>
      <c r="C278">
        <f>IF(VLOOKUP(Table73[[#This Row],[Date]],Database!$A:$C,MATCH($C$1,Database!$A$1:$C$1,),)=0,#N/A,VLOOKUP(Table73[[#This Row],[Date]],Database!$A:$C,MATCH($C$1,Database!$A$1:$C$1,),))</f>
        <v/>
      </c>
      <c r="D278">
        <f>IFERROR(Table73[[#This Row],[United States 10y]]-Table73[[#This Row],[United States 2y]],#N/A)</f>
        <v/>
      </c>
    </row>
    <row r="279">
      <c r="A279" s="6">
        <f>Database!A278</f>
        <v/>
      </c>
      <c r="B279">
        <f>IF(VLOOKUP(Table73[[#This Row],[Date]],Database!$A:$E,MATCH($B$1,Database!$A$1:$E$1,),)=0,#N/A,VLOOKUP(Table73[[#This Row],[Date]],Database!$A:$E,MATCH($B$1,Database!$A$1:$E$1,),))</f>
        <v/>
      </c>
      <c r="C279">
        <f>IF(VLOOKUP(Table73[[#This Row],[Date]],Database!$A:$C,MATCH($C$1,Database!$A$1:$C$1,),)=0,#N/A,VLOOKUP(Table73[[#This Row],[Date]],Database!$A:$C,MATCH($C$1,Database!$A$1:$C$1,),))</f>
        <v/>
      </c>
      <c r="D279">
        <f>IFERROR(Table73[[#This Row],[United States 10y]]-Table73[[#This Row],[United States 2y]],#N/A)</f>
        <v/>
      </c>
    </row>
    <row r="280">
      <c r="A280" s="6">
        <f>Database!A279</f>
        <v/>
      </c>
      <c r="B280">
        <f>IF(VLOOKUP(Table73[[#This Row],[Date]],Database!$A:$E,MATCH($B$1,Database!$A$1:$E$1,),)=0,#N/A,VLOOKUP(Table73[[#This Row],[Date]],Database!$A:$E,MATCH($B$1,Database!$A$1:$E$1,),))</f>
        <v/>
      </c>
      <c r="C280">
        <f>IF(VLOOKUP(Table73[[#This Row],[Date]],Database!$A:$C,MATCH($C$1,Database!$A$1:$C$1,),)=0,#N/A,VLOOKUP(Table73[[#This Row],[Date]],Database!$A:$C,MATCH($C$1,Database!$A$1:$C$1,),))</f>
        <v/>
      </c>
      <c r="D280">
        <f>IFERROR(Table73[[#This Row],[United States 10y]]-Table73[[#This Row],[United States 2y]],#N/A)</f>
        <v/>
      </c>
    </row>
    <row r="281">
      <c r="A281" s="6">
        <f>Database!A280</f>
        <v/>
      </c>
      <c r="B281">
        <f>IF(VLOOKUP(Table73[[#This Row],[Date]],Database!$A:$E,MATCH($B$1,Database!$A$1:$E$1,),)=0,#N/A,VLOOKUP(Table73[[#This Row],[Date]],Database!$A:$E,MATCH($B$1,Database!$A$1:$E$1,),))</f>
        <v/>
      </c>
      <c r="C281">
        <f>IF(VLOOKUP(Table73[[#This Row],[Date]],Database!$A:$C,MATCH($C$1,Database!$A$1:$C$1,),)=0,#N/A,VLOOKUP(Table73[[#This Row],[Date]],Database!$A:$C,MATCH($C$1,Database!$A$1:$C$1,),))</f>
        <v/>
      </c>
      <c r="D281">
        <f>IFERROR(Table73[[#This Row],[United States 10y]]-Table73[[#This Row],[United States 2y]],#N/A)</f>
        <v/>
      </c>
    </row>
    <row r="282">
      <c r="A282" s="6">
        <f>Database!A281</f>
        <v/>
      </c>
      <c r="B282">
        <f>IF(VLOOKUP(Table73[[#This Row],[Date]],Database!$A:$E,MATCH($B$1,Database!$A$1:$E$1,),)=0,#N/A,VLOOKUP(Table73[[#This Row],[Date]],Database!$A:$E,MATCH($B$1,Database!$A$1:$E$1,),))</f>
        <v/>
      </c>
      <c r="C282">
        <f>IF(VLOOKUP(Table73[[#This Row],[Date]],Database!$A:$C,MATCH($C$1,Database!$A$1:$C$1,),)=0,#N/A,VLOOKUP(Table73[[#This Row],[Date]],Database!$A:$C,MATCH($C$1,Database!$A$1:$C$1,),))</f>
        <v/>
      </c>
      <c r="D282">
        <f>IFERROR(Table73[[#This Row],[United States 10y]]-Table73[[#This Row],[United States 2y]],#N/A)</f>
        <v/>
      </c>
    </row>
    <row r="283">
      <c r="A283" s="6">
        <f>Database!A282</f>
        <v/>
      </c>
      <c r="B283">
        <f>IF(VLOOKUP(Table73[[#This Row],[Date]],Database!$A:$E,MATCH($B$1,Database!$A$1:$E$1,),)=0,#N/A,VLOOKUP(Table73[[#This Row],[Date]],Database!$A:$E,MATCH($B$1,Database!$A$1:$E$1,),))</f>
        <v/>
      </c>
      <c r="C283">
        <f>IF(VLOOKUP(Table73[[#This Row],[Date]],Database!$A:$C,MATCH($C$1,Database!$A$1:$C$1,),)=0,#N/A,VLOOKUP(Table73[[#This Row],[Date]],Database!$A:$C,MATCH($C$1,Database!$A$1:$C$1,),))</f>
        <v/>
      </c>
      <c r="D283">
        <f>IFERROR(Table73[[#This Row],[United States 10y]]-Table73[[#This Row],[United States 2y]],#N/A)</f>
        <v/>
      </c>
    </row>
    <row r="284">
      <c r="A284" s="6">
        <f>Database!A283</f>
        <v/>
      </c>
      <c r="B284">
        <f>IF(VLOOKUP(Table73[[#This Row],[Date]],Database!$A:$E,MATCH($B$1,Database!$A$1:$E$1,),)=0,#N/A,VLOOKUP(Table73[[#This Row],[Date]],Database!$A:$E,MATCH($B$1,Database!$A$1:$E$1,),))</f>
        <v/>
      </c>
      <c r="C284">
        <f>IF(VLOOKUP(Table73[[#This Row],[Date]],Database!$A:$C,MATCH($C$1,Database!$A$1:$C$1,),)=0,#N/A,VLOOKUP(Table73[[#This Row],[Date]],Database!$A:$C,MATCH($C$1,Database!$A$1:$C$1,),))</f>
        <v/>
      </c>
      <c r="D284">
        <f>IFERROR(Table73[[#This Row],[United States 10y]]-Table73[[#This Row],[United States 2y]],#N/A)</f>
        <v/>
      </c>
    </row>
    <row r="285">
      <c r="A285" s="6">
        <f>Database!A284</f>
        <v/>
      </c>
      <c r="B285">
        <f>IF(VLOOKUP(Table73[[#This Row],[Date]],Database!$A:$E,MATCH($B$1,Database!$A$1:$E$1,),)=0,#N/A,VLOOKUP(Table73[[#This Row],[Date]],Database!$A:$E,MATCH($B$1,Database!$A$1:$E$1,),))</f>
        <v/>
      </c>
      <c r="C285">
        <f>IF(VLOOKUP(Table73[[#This Row],[Date]],Database!$A:$C,MATCH($C$1,Database!$A$1:$C$1,),)=0,#N/A,VLOOKUP(Table73[[#This Row],[Date]],Database!$A:$C,MATCH($C$1,Database!$A$1:$C$1,),))</f>
        <v/>
      </c>
      <c r="D285">
        <f>IFERROR(Table73[[#This Row],[United States 10y]]-Table73[[#This Row],[United States 2y]],#N/A)</f>
        <v/>
      </c>
    </row>
    <row r="286">
      <c r="A286" s="6">
        <f>Database!A285</f>
        <v/>
      </c>
      <c r="B286">
        <f>IF(VLOOKUP(Table73[[#This Row],[Date]],Database!$A:$E,MATCH($B$1,Database!$A$1:$E$1,),)=0,#N/A,VLOOKUP(Table73[[#This Row],[Date]],Database!$A:$E,MATCH($B$1,Database!$A$1:$E$1,),))</f>
        <v/>
      </c>
      <c r="C286">
        <f>IF(VLOOKUP(Table73[[#This Row],[Date]],Database!$A:$C,MATCH($C$1,Database!$A$1:$C$1,),)=0,#N/A,VLOOKUP(Table73[[#This Row],[Date]],Database!$A:$C,MATCH($C$1,Database!$A$1:$C$1,),))</f>
        <v/>
      </c>
      <c r="D286">
        <f>IFERROR(Table73[[#This Row],[United States 10y]]-Table73[[#This Row],[United States 2y]],#N/A)</f>
        <v/>
      </c>
    </row>
    <row r="287">
      <c r="A287" s="6">
        <f>Database!A286</f>
        <v/>
      </c>
      <c r="B287">
        <f>IF(VLOOKUP(Table73[[#This Row],[Date]],Database!$A:$E,MATCH($B$1,Database!$A$1:$E$1,),)=0,#N/A,VLOOKUP(Table73[[#This Row],[Date]],Database!$A:$E,MATCH($B$1,Database!$A$1:$E$1,),))</f>
        <v/>
      </c>
      <c r="C287">
        <f>IF(VLOOKUP(Table73[[#This Row],[Date]],Database!$A:$C,MATCH($C$1,Database!$A$1:$C$1,),)=0,#N/A,VLOOKUP(Table73[[#This Row],[Date]],Database!$A:$C,MATCH($C$1,Database!$A$1:$C$1,),))</f>
        <v/>
      </c>
      <c r="D287">
        <f>IFERROR(Table73[[#This Row],[United States 10y]]-Table73[[#This Row],[United States 2y]],#N/A)</f>
        <v/>
      </c>
    </row>
    <row r="288">
      <c r="A288" s="6">
        <f>Database!A287</f>
        <v/>
      </c>
      <c r="B288">
        <f>IF(VLOOKUP(Table73[[#This Row],[Date]],Database!$A:$E,MATCH($B$1,Database!$A$1:$E$1,),)=0,#N/A,VLOOKUP(Table73[[#This Row],[Date]],Database!$A:$E,MATCH($B$1,Database!$A$1:$E$1,),))</f>
        <v/>
      </c>
      <c r="C288">
        <f>IF(VLOOKUP(Table73[[#This Row],[Date]],Database!$A:$C,MATCH($C$1,Database!$A$1:$C$1,),)=0,#N/A,VLOOKUP(Table73[[#This Row],[Date]],Database!$A:$C,MATCH($C$1,Database!$A$1:$C$1,),))</f>
        <v/>
      </c>
      <c r="D288">
        <f>IFERROR(Table73[[#This Row],[United States 10y]]-Table73[[#This Row],[United States 2y]],#N/A)</f>
        <v/>
      </c>
    </row>
    <row r="289">
      <c r="A289" s="6">
        <f>Database!A288</f>
        <v/>
      </c>
      <c r="B289">
        <f>IF(VLOOKUP(Table73[[#This Row],[Date]],Database!$A:$E,MATCH($B$1,Database!$A$1:$E$1,),)=0,#N/A,VLOOKUP(Table73[[#This Row],[Date]],Database!$A:$E,MATCH($B$1,Database!$A$1:$E$1,),))</f>
        <v/>
      </c>
      <c r="C289">
        <f>IF(VLOOKUP(Table73[[#This Row],[Date]],Database!$A:$C,MATCH($C$1,Database!$A$1:$C$1,),)=0,#N/A,VLOOKUP(Table73[[#This Row],[Date]],Database!$A:$C,MATCH($C$1,Database!$A$1:$C$1,),))</f>
        <v/>
      </c>
      <c r="D289">
        <f>IFERROR(Table73[[#This Row],[United States 10y]]-Table73[[#This Row],[United States 2y]],#N/A)</f>
        <v/>
      </c>
    </row>
    <row r="290">
      <c r="A290" s="6">
        <f>Database!A289</f>
        <v/>
      </c>
      <c r="B290">
        <f>IF(VLOOKUP(Table73[[#This Row],[Date]],Database!$A:$E,MATCH($B$1,Database!$A$1:$E$1,),)=0,#N/A,VLOOKUP(Table73[[#This Row],[Date]],Database!$A:$E,MATCH($B$1,Database!$A$1:$E$1,),))</f>
        <v/>
      </c>
      <c r="C290">
        <f>IF(VLOOKUP(Table73[[#This Row],[Date]],Database!$A:$C,MATCH($C$1,Database!$A$1:$C$1,),)=0,#N/A,VLOOKUP(Table73[[#This Row],[Date]],Database!$A:$C,MATCH($C$1,Database!$A$1:$C$1,),))</f>
        <v/>
      </c>
      <c r="D290">
        <f>IFERROR(Table73[[#This Row],[United States 10y]]-Table73[[#This Row],[United States 2y]],#N/A)</f>
        <v/>
      </c>
    </row>
    <row r="291">
      <c r="A291" s="6">
        <f>Database!A290</f>
        <v/>
      </c>
      <c r="B291">
        <f>IF(VLOOKUP(Table73[[#This Row],[Date]],Database!$A:$E,MATCH($B$1,Database!$A$1:$E$1,),)=0,#N/A,VLOOKUP(Table73[[#This Row],[Date]],Database!$A:$E,MATCH($B$1,Database!$A$1:$E$1,),))</f>
        <v/>
      </c>
      <c r="C291">
        <f>IF(VLOOKUP(Table73[[#This Row],[Date]],Database!$A:$C,MATCH($C$1,Database!$A$1:$C$1,),)=0,#N/A,VLOOKUP(Table73[[#This Row],[Date]],Database!$A:$C,MATCH($C$1,Database!$A$1:$C$1,),))</f>
        <v/>
      </c>
      <c r="D291">
        <f>IFERROR(Table73[[#This Row],[United States 10y]]-Table73[[#This Row],[United States 2y]],#N/A)</f>
        <v/>
      </c>
    </row>
    <row r="292">
      <c r="A292" s="6">
        <f>Database!A291</f>
        <v/>
      </c>
      <c r="B292">
        <f>IF(VLOOKUP(Table73[[#This Row],[Date]],Database!$A:$E,MATCH($B$1,Database!$A$1:$E$1,),)=0,#N/A,VLOOKUP(Table73[[#This Row],[Date]],Database!$A:$E,MATCH($B$1,Database!$A$1:$E$1,),))</f>
        <v/>
      </c>
      <c r="C292">
        <f>IF(VLOOKUP(Table73[[#This Row],[Date]],Database!$A:$C,MATCH($C$1,Database!$A$1:$C$1,),)=0,#N/A,VLOOKUP(Table73[[#This Row],[Date]],Database!$A:$C,MATCH($C$1,Database!$A$1:$C$1,),))</f>
        <v/>
      </c>
      <c r="D292">
        <f>IFERROR(Table73[[#This Row],[United States 10y]]-Table73[[#This Row],[United States 2y]],#N/A)</f>
        <v/>
      </c>
    </row>
    <row r="293">
      <c r="A293" s="6">
        <f>Database!A292</f>
        <v/>
      </c>
      <c r="B293">
        <f>IF(VLOOKUP(Table73[[#This Row],[Date]],Database!$A:$E,MATCH($B$1,Database!$A$1:$E$1,),)=0,#N/A,VLOOKUP(Table73[[#This Row],[Date]],Database!$A:$E,MATCH($B$1,Database!$A$1:$E$1,),))</f>
        <v/>
      </c>
      <c r="C293">
        <f>IF(VLOOKUP(Table73[[#This Row],[Date]],Database!$A:$C,MATCH($C$1,Database!$A$1:$C$1,),)=0,#N/A,VLOOKUP(Table73[[#This Row],[Date]],Database!$A:$C,MATCH($C$1,Database!$A$1:$C$1,),))</f>
        <v/>
      </c>
      <c r="D293">
        <f>IFERROR(Table73[[#This Row],[United States 10y]]-Table73[[#This Row],[United States 2y]],#N/A)</f>
        <v/>
      </c>
    </row>
    <row r="294">
      <c r="A294" s="6">
        <f>Database!A293</f>
        <v/>
      </c>
      <c r="B294">
        <f>IF(VLOOKUP(Table73[[#This Row],[Date]],Database!$A:$E,MATCH($B$1,Database!$A$1:$E$1,),)=0,#N/A,VLOOKUP(Table73[[#This Row],[Date]],Database!$A:$E,MATCH($B$1,Database!$A$1:$E$1,),))</f>
        <v/>
      </c>
      <c r="C294">
        <f>IF(VLOOKUP(Table73[[#This Row],[Date]],Database!$A:$C,MATCH($C$1,Database!$A$1:$C$1,),)=0,#N/A,VLOOKUP(Table73[[#This Row],[Date]],Database!$A:$C,MATCH($C$1,Database!$A$1:$C$1,),))</f>
        <v/>
      </c>
      <c r="D294">
        <f>IFERROR(Table73[[#This Row],[United States 10y]]-Table73[[#This Row],[United States 2y]],#N/A)</f>
        <v/>
      </c>
    </row>
    <row r="295">
      <c r="A295" s="6">
        <f>Database!A294</f>
        <v/>
      </c>
      <c r="B295">
        <f>IF(VLOOKUP(Table73[[#This Row],[Date]],Database!$A:$E,MATCH($B$1,Database!$A$1:$E$1,),)=0,#N/A,VLOOKUP(Table73[[#This Row],[Date]],Database!$A:$E,MATCH($B$1,Database!$A$1:$E$1,),))</f>
        <v/>
      </c>
      <c r="C295">
        <f>IF(VLOOKUP(Table73[[#This Row],[Date]],Database!$A:$C,MATCH($C$1,Database!$A$1:$C$1,),)=0,#N/A,VLOOKUP(Table73[[#This Row],[Date]],Database!$A:$C,MATCH($C$1,Database!$A$1:$C$1,),))</f>
        <v/>
      </c>
      <c r="D295">
        <f>IFERROR(Table73[[#This Row],[United States 10y]]-Table73[[#This Row],[United States 2y]],#N/A)</f>
        <v/>
      </c>
    </row>
    <row r="296">
      <c r="A296" s="6">
        <f>Database!A295</f>
        <v/>
      </c>
      <c r="B296">
        <f>IF(VLOOKUP(Table73[[#This Row],[Date]],Database!$A:$E,MATCH($B$1,Database!$A$1:$E$1,),)=0,#N/A,VLOOKUP(Table73[[#This Row],[Date]],Database!$A:$E,MATCH($B$1,Database!$A$1:$E$1,),))</f>
        <v/>
      </c>
      <c r="C296">
        <f>IF(VLOOKUP(Table73[[#This Row],[Date]],Database!$A:$C,MATCH($C$1,Database!$A$1:$C$1,),)=0,#N/A,VLOOKUP(Table73[[#This Row],[Date]],Database!$A:$C,MATCH($C$1,Database!$A$1:$C$1,),))</f>
        <v/>
      </c>
      <c r="D296">
        <f>IFERROR(Table73[[#This Row],[United States 10y]]-Table73[[#This Row],[United States 2y]],#N/A)</f>
        <v/>
      </c>
    </row>
    <row r="297">
      <c r="A297" s="6">
        <f>Database!A296</f>
        <v/>
      </c>
      <c r="B297">
        <f>IF(VLOOKUP(Table73[[#This Row],[Date]],Database!$A:$E,MATCH($B$1,Database!$A$1:$E$1,),)=0,#N/A,VLOOKUP(Table73[[#This Row],[Date]],Database!$A:$E,MATCH($B$1,Database!$A$1:$E$1,),))</f>
        <v/>
      </c>
      <c r="C297">
        <f>IF(VLOOKUP(Table73[[#This Row],[Date]],Database!$A:$C,MATCH($C$1,Database!$A$1:$C$1,),)=0,#N/A,VLOOKUP(Table73[[#This Row],[Date]],Database!$A:$C,MATCH($C$1,Database!$A$1:$C$1,),))</f>
        <v/>
      </c>
      <c r="D297">
        <f>IFERROR(Table73[[#This Row],[United States 10y]]-Table73[[#This Row],[United States 2y]],#N/A)</f>
        <v/>
      </c>
    </row>
    <row r="298">
      <c r="A298" s="6">
        <f>Database!A297</f>
        <v/>
      </c>
      <c r="B298">
        <f>IF(VLOOKUP(Table73[[#This Row],[Date]],Database!$A:$E,MATCH($B$1,Database!$A$1:$E$1,),)=0,#N/A,VLOOKUP(Table73[[#This Row],[Date]],Database!$A:$E,MATCH($B$1,Database!$A$1:$E$1,),))</f>
        <v/>
      </c>
      <c r="C298">
        <f>IF(VLOOKUP(Table73[[#This Row],[Date]],Database!$A:$C,MATCH($C$1,Database!$A$1:$C$1,),)=0,#N/A,VLOOKUP(Table73[[#This Row],[Date]],Database!$A:$C,MATCH($C$1,Database!$A$1:$C$1,),))</f>
        <v/>
      </c>
      <c r="D298">
        <f>IFERROR(Table73[[#This Row],[United States 10y]]-Table73[[#This Row],[United States 2y]],#N/A)</f>
        <v/>
      </c>
    </row>
    <row r="299">
      <c r="A299" s="6">
        <f>Database!A298</f>
        <v/>
      </c>
      <c r="B299">
        <f>IF(VLOOKUP(Table73[[#This Row],[Date]],Database!$A:$E,MATCH($B$1,Database!$A$1:$E$1,),)=0,#N/A,VLOOKUP(Table73[[#This Row],[Date]],Database!$A:$E,MATCH($B$1,Database!$A$1:$E$1,),))</f>
        <v/>
      </c>
      <c r="C299">
        <f>IF(VLOOKUP(Table73[[#This Row],[Date]],Database!$A:$C,MATCH($C$1,Database!$A$1:$C$1,),)=0,#N/A,VLOOKUP(Table73[[#This Row],[Date]],Database!$A:$C,MATCH($C$1,Database!$A$1:$C$1,),))</f>
        <v/>
      </c>
      <c r="D299">
        <f>IFERROR(Table73[[#This Row],[United States 10y]]-Table73[[#This Row],[United States 2y]],#N/A)</f>
        <v/>
      </c>
    </row>
    <row r="300">
      <c r="A300" s="6">
        <f>Database!A299</f>
        <v/>
      </c>
      <c r="B300">
        <f>IF(VLOOKUP(Table73[[#This Row],[Date]],Database!$A:$E,MATCH($B$1,Database!$A$1:$E$1,),)=0,#N/A,VLOOKUP(Table73[[#This Row],[Date]],Database!$A:$E,MATCH($B$1,Database!$A$1:$E$1,),))</f>
        <v/>
      </c>
      <c r="C300">
        <f>IF(VLOOKUP(Table73[[#This Row],[Date]],Database!$A:$C,MATCH($C$1,Database!$A$1:$C$1,),)=0,#N/A,VLOOKUP(Table73[[#This Row],[Date]],Database!$A:$C,MATCH($C$1,Database!$A$1:$C$1,),))</f>
        <v/>
      </c>
      <c r="D300">
        <f>IFERROR(Table73[[#This Row],[United States 10y]]-Table73[[#This Row],[United States 2y]],#N/A)</f>
        <v/>
      </c>
    </row>
    <row r="301">
      <c r="A301" s="6">
        <f>Database!A300</f>
        <v/>
      </c>
      <c r="B301">
        <f>IF(VLOOKUP(Table73[[#This Row],[Date]],Database!$A:$E,MATCH($B$1,Database!$A$1:$E$1,),)=0,#N/A,VLOOKUP(Table73[[#This Row],[Date]],Database!$A:$E,MATCH($B$1,Database!$A$1:$E$1,),))</f>
        <v/>
      </c>
      <c r="C301">
        <f>IF(VLOOKUP(Table73[[#This Row],[Date]],Database!$A:$C,MATCH($C$1,Database!$A$1:$C$1,),)=0,#N/A,VLOOKUP(Table73[[#This Row],[Date]],Database!$A:$C,MATCH($C$1,Database!$A$1:$C$1,),))</f>
        <v/>
      </c>
      <c r="D301">
        <f>IFERROR(Table73[[#This Row],[United States 10y]]-Table73[[#This Row],[United States 2y]],#N/A)</f>
        <v/>
      </c>
    </row>
    <row r="302">
      <c r="A302" s="6">
        <f>Database!A301</f>
        <v/>
      </c>
      <c r="B302">
        <f>IF(VLOOKUP(Table73[[#This Row],[Date]],Database!$A:$E,MATCH($B$1,Database!$A$1:$E$1,),)=0,#N/A,VLOOKUP(Table73[[#This Row],[Date]],Database!$A:$E,MATCH($B$1,Database!$A$1:$E$1,),))</f>
        <v/>
      </c>
      <c r="C302">
        <f>IF(VLOOKUP(Table73[[#This Row],[Date]],Database!$A:$C,MATCH($C$1,Database!$A$1:$C$1,),)=0,#N/A,VLOOKUP(Table73[[#This Row],[Date]],Database!$A:$C,MATCH($C$1,Database!$A$1:$C$1,),))</f>
        <v/>
      </c>
      <c r="D302">
        <f>IFERROR(Table73[[#This Row],[United States 10y]]-Table73[[#This Row],[United States 2y]],#N/A)</f>
        <v/>
      </c>
    </row>
    <row r="303">
      <c r="A303" s="6">
        <f>Database!A302</f>
        <v/>
      </c>
      <c r="B303">
        <f>IF(VLOOKUP(Table73[[#This Row],[Date]],Database!$A:$E,MATCH($B$1,Database!$A$1:$E$1,),)=0,#N/A,VLOOKUP(Table73[[#This Row],[Date]],Database!$A:$E,MATCH($B$1,Database!$A$1:$E$1,),))</f>
        <v/>
      </c>
      <c r="C303">
        <f>IF(VLOOKUP(Table73[[#This Row],[Date]],Database!$A:$C,MATCH($C$1,Database!$A$1:$C$1,),)=0,#N/A,VLOOKUP(Table73[[#This Row],[Date]],Database!$A:$C,MATCH($C$1,Database!$A$1:$C$1,),))</f>
        <v/>
      </c>
      <c r="D303">
        <f>IFERROR(Table73[[#This Row],[United States 10y]]-Table73[[#This Row],[United States 2y]],#N/A)</f>
        <v/>
      </c>
    </row>
    <row r="304">
      <c r="A304" s="6">
        <f>Database!A303</f>
        <v/>
      </c>
      <c r="B304">
        <f>IF(VLOOKUP(Table73[[#This Row],[Date]],Database!$A:$E,MATCH($B$1,Database!$A$1:$E$1,),)=0,#N/A,VLOOKUP(Table73[[#This Row],[Date]],Database!$A:$E,MATCH($B$1,Database!$A$1:$E$1,),))</f>
        <v/>
      </c>
      <c r="C304">
        <f>IF(VLOOKUP(Table73[[#This Row],[Date]],Database!$A:$C,MATCH($C$1,Database!$A$1:$C$1,),)=0,#N/A,VLOOKUP(Table73[[#This Row],[Date]],Database!$A:$C,MATCH($C$1,Database!$A$1:$C$1,),))</f>
        <v/>
      </c>
      <c r="D304">
        <f>IFERROR(Table73[[#This Row],[United States 10y]]-Table73[[#This Row],[United States 2y]],#N/A)</f>
        <v/>
      </c>
    </row>
    <row r="305">
      <c r="A305" s="6">
        <f>Database!A304</f>
        <v/>
      </c>
      <c r="B305">
        <f>IF(VLOOKUP(Table73[[#This Row],[Date]],Database!$A:$E,MATCH($B$1,Database!$A$1:$E$1,),)=0,#N/A,VLOOKUP(Table73[[#This Row],[Date]],Database!$A:$E,MATCH($B$1,Database!$A$1:$E$1,),))</f>
        <v/>
      </c>
      <c r="C305">
        <f>IF(VLOOKUP(Table73[[#This Row],[Date]],Database!$A:$C,MATCH($C$1,Database!$A$1:$C$1,),)=0,#N/A,VLOOKUP(Table73[[#This Row],[Date]],Database!$A:$C,MATCH($C$1,Database!$A$1:$C$1,),))</f>
        <v/>
      </c>
      <c r="D305">
        <f>IFERROR(Table73[[#This Row],[United States 10y]]-Table73[[#This Row],[United States 2y]],#N/A)</f>
        <v/>
      </c>
    </row>
    <row r="306">
      <c r="A306" s="6">
        <f>Database!A305</f>
        <v/>
      </c>
      <c r="B306">
        <f>IF(VLOOKUP(Table73[[#This Row],[Date]],Database!$A:$E,MATCH($B$1,Database!$A$1:$E$1,),)=0,#N/A,VLOOKUP(Table73[[#This Row],[Date]],Database!$A:$E,MATCH($B$1,Database!$A$1:$E$1,),))</f>
        <v/>
      </c>
      <c r="C306">
        <f>IF(VLOOKUP(Table73[[#This Row],[Date]],Database!$A:$C,MATCH($C$1,Database!$A$1:$C$1,),)=0,#N/A,VLOOKUP(Table73[[#This Row],[Date]],Database!$A:$C,MATCH($C$1,Database!$A$1:$C$1,),))</f>
        <v/>
      </c>
      <c r="D306">
        <f>IFERROR(Table73[[#This Row],[United States 10y]]-Table73[[#This Row],[United States 2y]],#N/A)</f>
        <v/>
      </c>
    </row>
    <row r="307">
      <c r="A307" s="6">
        <f>Database!A306</f>
        <v/>
      </c>
      <c r="B307">
        <f>IF(VLOOKUP(Table73[[#This Row],[Date]],Database!$A:$E,MATCH($B$1,Database!$A$1:$E$1,),)=0,#N/A,VLOOKUP(Table73[[#This Row],[Date]],Database!$A:$E,MATCH($B$1,Database!$A$1:$E$1,),))</f>
        <v/>
      </c>
      <c r="C307">
        <f>IF(VLOOKUP(Table73[[#This Row],[Date]],Database!$A:$C,MATCH($C$1,Database!$A$1:$C$1,),)=0,#N/A,VLOOKUP(Table73[[#This Row],[Date]],Database!$A:$C,MATCH($C$1,Database!$A$1:$C$1,),))</f>
        <v/>
      </c>
      <c r="D307">
        <f>IFERROR(Table73[[#This Row],[United States 10y]]-Table73[[#This Row],[United States 2y]],#N/A)</f>
        <v/>
      </c>
    </row>
    <row r="308">
      <c r="A308" s="6">
        <f>Database!A307</f>
        <v/>
      </c>
      <c r="B308">
        <f>IF(VLOOKUP(Table73[[#This Row],[Date]],Database!$A:$E,MATCH($B$1,Database!$A$1:$E$1,),)=0,#N/A,VLOOKUP(Table73[[#This Row],[Date]],Database!$A:$E,MATCH($B$1,Database!$A$1:$E$1,),))</f>
        <v/>
      </c>
      <c r="C308">
        <f>IF(VLOOKUP(Table73[[#This Row],[Date]],Database!$A:$C,MATCH($C$1,Database!$A$1:$C$1,),)=0,#N/A,VLOOKUP(Table73[[#This Row],[Date]],Database!$A:$C,MATCH($C$1,Database!$A$1:$C$1,),))</f>
        <v/>
      </c>
      <c r="D308">
        <f>IFERROR(Table73[[#This Row],[United States 10y]]-Table73[[#This Row],[United States 2y]],#N/A)</f>
        <v/>
      </c>
    </row>
    <row r="309">
      <c r="A309" s="6">
        <f>Database!A308</f>
        <v/>
      </c>
      <c r="B309">
        <f>IF(VLOOKUP(Table73[[#This Row],[Date]],Database!$A:$E,MATCH($B$1,Database!$A$1:$E$1,),)=0,#N/A,VLOOKUP(Table73[[#This Row],[Date]],Database!$A:$E,MATCH($B$1,Database!$A$1:$E$1,),))</f>
        <v/>
      </c>
      <c r="C309">
        <f>IF(VLOOKUP(Table73[[#This Row],[Date]],Database!$A:$C,MATCH($C$1,Database!$A$1:$C$1,),)=0,#N/A,VLOOKUP(Table73[[#This Row],[Date]],Database!$A:$C,MATCH($C$1,Database!$A$1:$C$1,),))</f>
        <v/>
      </c>
      <c r="D309">
        <f>IFERROR(Table73[[#This Row],[United States 10y]]-Table73[[#This Row],[United States 2y]],#N/A)</f>
        <v/>
      </c>
    </row>
    <row r="310">
      <c r="A310" s="6">
        <f>Database!A309</f>
        <v/>
      </c>
      <c r="B310">
        <f>IF(VLOOKUP(Table73[[#This Row],[Date]],Database!$A:$E,MATCH($B$1,Database!$A$1:$E$1,),)=0,#N/A,VLOOKUP(Table73[[#This Row],[Date]],Database!$A:$E,MATCH($B$1,Database!$A$1:$E$1,),))</f>
        <v/>
      </c>
      <c r="C310">
        <f>IF(VLOOKUP(Table73[[#This Row],[Date]],Database!$A:$C,MATCH($C$1,Database!$A$1:$C$1,),)=0,#N/A,VLOOKUP(Table73[[#This Row],[Date]],Database!$A:$C,MATCH($C$1,Database!$A$1:$C$1,),))</f>
        <v/>
      </c>
      <c r="D310">
        <f>IFERROR(Table73[[#This Row],[United States 10y]]-Table73[[#This Row],[United States 2y]],#N/A)</f>
        <v/>
      </c>
    </row>
    <row r="311">
      <c r="A311" s="6">
        <f>Database!A310</f>
        <v/>
      </c>
      <c r="B311">
        <f>IF(VLOOKUP(Table73[[#This Row],[Date]],Database!$A:$E,MATCH($B$1,Database!$A$1:$E$1,),)=0,#N/A,VLOOKUP(Table73[[#This Row],[Date]],Database!$A:$E,MATCH($B$1,Database!$A$1:$E$1,),))</f>
        <v/>
      </c>
      <c r="C311">
        <f>IF(VLOOKUP(Table73[[#This Row],[Date]],Database!$A:$C,MATCH($C$1,Database!$A$1:$C$1,),)=0,#N/A,VLOOKUP(Table73[[#This Row],[Date]],Database!$A:$C,MATCH($C$1,Database!$A$1:$C$1,),))</f>
        <v/>
      </c>
      <c r="D311">
        <f>IFERROR(Table73[[#This Row],[United States 10y]]-Table73[[#This Row],[United States 2y]],#N/A)</f>
        <v/>
      </c>
    </row>
    <row r="312">
      <c r="A312" s="6">
        <f>Database!A311</f>
        <v/>
      </c>
      <c r="B312">
        <f>IF(VLOOKUP(Table73[[#This Row],[Date]],Database!$A:$E,MATCH($B$1,Database!$A$1:$E$1,),)=0,#N/A,VLOOKUP(Table73[[#This Row],[Date]],Database!$A:$E,MATCH($B$1,Database!$A$1:$E$1,),))</f>
        <v/>
      </c>
      <c r="C312">
        <f>IF(VLOOKUP(Table73[[#This Row],[Date]],Database!$A:$C,MATCH($C$1,Database!$A$1:$C$1,),)=0,#N/A,VLOOKUP(Table73[[#This Row],[Date]],Database!$A:$C,MATCH($C$1,Database!$A$1:$C$1,),))</f>
        <v/>
      </c>
      <c r="D312">
        <f>IFERROR(Table73[[#This Row],[United States 10y]]-Table73[[#This Row],[United States 2y]],#N/A)</f>
        <v/>
      </c>
    </row>
    <row r="313">
      <c r="A313" s="6">
        <f>Database!A312</f>
        <v/>
      </c>
      <c r="B313">
        <f>IF(VLOOKUP(Table73[[#This Row],[Date]],Database!$A:$E,MATCH($B$1,Database!$A$1:$E$1,),)=0,#N/A,VLOOKUP(Table73[[#This Row],[Date]],Database!$A:$E,MATCH($B$1,Database!$A$1:$E$1,),))</f>
        <v/>
      </c>
      <c r="C313">
        <f>IF(VLOOKUP(Table73[[#This Row],[Date]],Database!$A:$C,MATCH($C$1,Database!$A$1:$C$1,),)=0,#N/A,VLOOKUP(Table73[[#This Row],[Date]],Database!$A:$C,MATCH($C$1,Database!$A$1:$C$1,),))</f>
        <v/>
      </c>
      <c r="D313">
        <f>IFERROR(Table73[[#This Row],[United States 10y]]-Table73[[#This Row],[United States 2y]],#N/A)</f>
        <v/>
      </c>
    </row>
    <row r="314">
      <c r="A314" s="6">
        <f>Database!A313</f>
        <v/>
      </c>
      <c r="B314">
        <f>IF(VLOOKUP(Table73[[#This Row],[Date]],Database!$A:$E,MATCH($B$1,Database!$A$1:$E$1,),)=0,#N/A,VLOOKUP(Table73[[#This Row],[Date]],Database!$A:$E,MATCH($B$1,Database!$A$1:$E$1,),))</f>
        <v/>
      </c>
      <c r="C314">
        <f>IF(VLOOKUP(Table73[[#This Row],[Date]],Database!$A:$C,MATCH($C$1,Database!$A$1:$C$1,),)=0,#N/A,VLOOKUP(Table73[[#This Row],[Date]],Database!$A:$C,MATCH($C$1,Database!$A$1:$C$1,),))</f>
        <v/>
      </c>
      <c r="D314">
        <f>IFERROR(Table73[[#This Row],[United States 10y]]-Table73[[#This Row],[United States 2y]],#N/A)</f>
        <v/>
      </c>
    </row>
    <row r="315">
      <c r="A315" s="6">
        <f>Database!A314</f>
        <v/>
      </c>
      <c r="B315">
        <f>IF(VLOOKUP(Table73[[#This Row],[Date]],Database!$A:$E,MATCH($B$1,Database!$A$1:$E$1,),)=0,#N/A,VLOOKUP(Table73[[#This Row],[Date]],Database!$A:$E,MATCH($B$1,Database!$A$1:$E$1,),))</f>
        <v/>
      </c>
      <c r="C315">
        <f>IF(VLOOKUP(Table73[[#This Row],[Date]],Database!$A:$C,MATCH($C$1,Database!$A$1:$C$1,),)=0,#N/A,VLOOKUP(Table73[[#This Row],[Date]],Database!$A:$C,MATCH($C$1,Database!$A$1:$C$1,),))</f>
        <v/>
      </c>
      <c r="D315">
        <f>IFERROR(Table73[[#This Row],[United States 10y]]-Table73[[#This Row],[United States 2y]],#N/A)</f>
        <v/>
      </c>
    </row>
    <row r="316">
      <c r="A316" s="6">
        <f>Database!A315</f>
        <v/>
      </c>
      <c r="B316">
        <f>IF(VLOOKUP(Table73[[#This Row],[Date]],Database!$A:$E,MATCH($B$1,Database!$A$1:$E$1,),)=0,#N/A,VLOOKUP(Table73[[#This Row],[Date]],Database!$A:$E,MATCH($B$1,Database!$A$1:$E$1,),))</f>
        <v/>
      </c>
      <c r="C316">
        <f>IF(VLOOKUP(Table73[[#This Row],[Date]],Database!$A:$C,MATCH($C$1,Database!$A$1:$C$1,),)=0,#N/A,VLOOKUP(Table73[[#This Row],[Date]],Database!$A:$C,MATCH($C$1,Database!$A$1:$C$1,),))</f>
        <v/>
      </c>
      <c r="D316">
        <f>IFERROR(Table73[[#This Row],[United States 10y]]-Table73[[#This Row],[United States 2y]],#N/A)</f>
        <v/>
      </c>
    </row>
    <row r="317">
      <c r="A317" s="6">
        <f>Database!A316</f>
        <v/>
      </c>
      <c r="B317">
        <f>IF(VLOOKUP(Table73[[#This Row],[Date]],Database!$A:$E,MATCH($B$1,Database!$A$1:$E$1,),)=0,#N/A,VLOOKUP(Table73[[#This Row],[Date]],Database!$A:$E,MATCH($B$1,Database!$A$1:$E$1,),))</f>
        <v/>
      </c>
      <c r="C317">
        <f>IF(VLOOKUP(Table73[[#This Row],[Date]],Database!$A:$C,MATCH($C$1,Database!$A$1:$C$1,),)=0,#N/A,VLOOKUP(Table73[[#This Row],[Date]],Database!$A:$C,MATCH($C$1,Database!$A$1:$C$1,),))</f>
        <v/>
      </c>
      <c r="D317">
        <f>IFERROR(Table73[[#This Row],[United States 10y]]-Table73[[#This Row],[United States 2y]],#N/A)</f>
        <v/>
      </c>
    </row>
    <row r="318">
      <c r="A318" s="6">
        <f>Database!A317</f>
        <v/>
      </c>
      <c r="B318">
        <f>IF(VLOOKUP(Table73[[#This Row],[Date]],Database!$A:$E,MATCH($B$1,Database!$A$1:$E$1,),)=0,#N/A,VLOOKUP(Table73[[#This Row],[Date]],Database!$A:$E,MATCH($B$1,Database!$A$1:$E$1,),))</f>
        <v/>
      </c>
      <c r="C318">
        <f>IF(VLOOKUP(Table73[[#This Row],[Date]],Database!$A:$C,MATCH($C$1,Database!$A$1:$C$1,),)=0,#N/A,VLOOKUP(Table73[[#This Row],[Date]],Database!$A:$C,MATCH($C$1,Database!$A$1:$C$1,),))</f>
        <v/>
      </c>
      <c r="D318">
        <f>IFERROR(Table73[[#This Row],[United States 10y]]-Table73[[#This Row],[United States 2y]],#N/A)</f>
        <v/>
      </c>
    </row>
    <row r="319">
      <c r="A319" s="6">
        <f>Database!A318</f>
        <v/>
      </c>
      <c r="B319">
        <f>IF(VLOOKUP(Table73[[#This Row],[Date]],Database!$A:$E,MATCH($B$1,Database!$A$1:$E$1,),)=0,#N/A,VLOOKUP(Table73[[#This Row],[Date]],Database!$A:$E,MATCH($B$1,Database!$A$1:$E$1,),))</f>
        <v/>
      </c>
      <c r="C319">
        <f>IF(VLOOKUP(Table73[[#This Row],[Date]],Database!$A:$C,MATCH($C$1,Database!$A$1:$C$1,),)=0,#N/A,VLOOKUP(Table73[[#This Row],[Date]],Database!$A:$C,MATCH($C$1,Database!$A$1:$C$1,),))</f>
        <v/>
      </c>
      <c r="D319">
        <f>IFERROR(Table73[[#This Row],[United States 10y]]-Table73[[#This Row],[United States 2y]],#N/A)</f>
        <v/>
      </c>
    </row>
    <row r="320">
      <c r="A320" s="6">
        <f>Database!A319</f>
        <v/>
      </c>
      <c r="B320">
        <f>IF(VLOOKUP(Table73[[#This Row],[Date]],Database!$A:$E,MATCH($B$1,Database!$A$1:$E$1,),)=0,#N/A,VLOOKUP(Table73[[#This Row],[Date]],Database!$A:$E,MATCH($B$1,Database!$A$1:$E$1,),))</f>
        <v/>
      </c>
      <c r="C320">
        <f>IF(VLOOKUP(Table73[[#This Row],[Date]],Database!$A:$C,MATCH($C$1,Database!$A$1:$C$1,),)=0,#N/A,VLOOKUP(Table73[[#This Row],[Date]],Database!$A:$C,MATCH($C$1,Database!$A$1:$C$1,),))</f>
        <v/>
      </c>
      <c r="D320">
        <f>IFERROR(Table73[[#This Row],[United States 10y]]-Table73[[#This Row],[United States 2y]],#N/A)</f>
        <v/>
      </c>
    </row>
    <row r="321">
      <c r="A321" s="6">
        <f>Database!A320</f>
        <v/>
      </c>
      <c r="B321">
        <f>IF(VLOOKUP(Table73[[#This Row],[Date]],Database!$A:$E,MATCH($B$1,Database!$A$1:$E$1,),)=0,#N/A,VLOOKUP(Table73[[#This Row],[Date]],Database!$A:$E,MATCH($B$1,Database!$A$1:$E$1,),))</f>
        <v/>
      </c>
      <c r="C321">
        <f>IF(VLOOKUP(Table73[[#This Row],[Date]],Database!$A:$C,MATCH($C$1,Database!$A$1:$C$1,),)=0,#N/A,VLOOKUP(Table73[[#This Row],[Date]],Database!$A:$C,MATCH($C$1,Database!$A$1:$C$1,),))</f>
        <v/>
      </c>
      <c r="D321">
        <f>IFERROR(Table73[[#This Row],[United States 10y]]-Table73[[#This Row],[United States 2y]],#N/A)</f>
        <v/>
      </c>
    </row>
    <row r="322">
      <c r="A322" s="6">
        <f>Database!A321</f>
        <v/>
      </c>
      <c r="B322">
        <f>IF(VLOOKUP(Table73[[#This Row],[Date]],Database!$A:$E,MATCH($B$1,Database!$A$1:$E$1,),)=0,#N/A,VLOOKUP(Table73[[#This Row],[Date]],Database!$A:$E,MATCH($B$1,Database!$A$1:$E$1,),))</f>
        <v/>
      </c>
      <c r="C322">
        <f>IF(VLOOKUP(Table73[[#This Row],[Date]],Database!$A:$C,MATCH($C$1,Database!$A$1:$C$1,),)=0,#N/A,VLOOKUP(Table73[[#This Row],[Date]],Database!$A:$C,MATCH($C$1,Database!$A$1:$C$1,),))</f>
        <v/>
      </c>
      <c r="D322">
        <f>IFERROR(Table73[[#This Row],[United States 10y]]-Table73[[#This Row],[United States 2y]],#N/A)</f>
        <v/>
      </c>
    </row>
    <row r="323">
      <c r="A323" s="6">
        <f>Database!A322</f>
        <v/>
      </c>
      <c r="B323">
        <f>IF(VLOOKUP(Table73[[#This Row],[Date]],Database!$A:$E,MATCH($B$1,Database!$A$1:$E$1,),)=0,#N/A,VLOOKUP(Table73[[#This Row],[Date]],Database!$A:$E,MATCH($B$1,Database!$A$1:$E$1,),))</f>
        <v/>
      </c>
      <c r="C323">
        <f>IF(VLOOKUP(Table73[[#This Row],[Date]],Database!$A:$C,MATCH($C$1,Database!$A$1:$C$1,),)=0,#N/A,VLOOKUP(Table73[[#This Row],[Date]],Database!$A:$C,MATCH($C$1,Database!$A$1:$C$1,),))</f>
        <v/>
      </c>
      <c r="D323">
        <f>IFERROR(Table73[[#This Row],[United States 10y]]-Table73[[#This Row],[United States 2y]],#N/A)</f>
        <v/>
      </c>
    </row>
    <row r="324">
      <c r="A324" s="6">
        <f>Database!A323</f>
        <v/>
      </c>
      <c r="B324">
        <f>IF(VLOOKUP(Table73[[#This Row],[Date]],Database!$A:$E,MATCH($B$1,Database!$A$1:$E$1,),)=0,#N/A,VLOOKUP(Table73[[#This Row],[Date]],Database!$A:$E,MATCH($B$1,Database!$A$1:$E$1,),))</f>
        <v/>
      </c>
      <c r="C324">
        <f>IF(VLOOKUP(Table73[[#This Row],[Date]],Database!$A:$C,MATCH($C$1,Database!$A$1:$C$1,),)=0,#N/A,VLOOKUP(Table73[[#This Row],[Date]],Database!$A:$C,MATCH($C$1,Database!$A$1:$C$1,),))</f>
        <v/>
      </c>
      <c r="D324">
        <f>IFERROR(Table73[[#This Row],[United States 10y]]-Table73[[#This Row],[United States 2y]],#N/A)</f>
        <v/>
      </c>
    </row>
    <row r="325">
      <c r="A325" s="6">
        <f>Database!A324</f>
        <v/>
      </c>
      <c r="B325">
        <f>IF(VLOOKUP(Table73[[#This Row],[Date]],Database!$A:$E,MATCH($B$1,Database!$A$1:$E$1,),)=0,#N/A,VLOOKUP(Table73[[#This Row],[Date]],Database!$A:$E,MATCH($B$1,Database!$A$1:$E$1,),))</f>
        <v/>
      </c>
      <c r="C325">
        <f>IF(VLOOKUP(Table73[[#This Row],[Date]],Database!$A:$C,MATCH($C$1,Database!$A$1:$C$1,),)=0,#N/A,VLOOKUP(Table73[[#This Row],[Date]],Database!$A:$C,MATCH($C$1,Database!$A$1:$C$1,),))</f>
        <v/>
      </c>
      <c r="D325">
        <f>IFERROR(Table73[[#This Row],[United States 10y]]-Table73[[#This Row],[United States 2y]],#N/A)</f>
        <v/>
      </c>
    </row>
    <row r="326">
      <c r="A326" s="6">
        <f>Database!A325</f>
        <v/>
      </c>
      <c r="B326">
        <f>IF(VLOOKUP(Table73[[#This Row],[Date]],Database!$A:$E,MATCH($B$1,Database!$A$1:$E$1,),)=0,#N/A,VLOOKUP(Table73[[#This Row],[Date]],Database!$A:$E,MATCH($B$1,Database!$A$1:$E$1,),))</f>
        <v/>
      </c>
      <c r="C326">
        <f>IF(VLOOKUP(Table73[[#This Row],[Date]],Database!$A:$C,MATCH($C$1,Database!$A$1:$C$1,),)=0,#N/A,VLOOKUP(Table73[[#This Row],[Date]],Database!$A:$C,MATCH($C$1,Database!$A$1:$C$1,),))</f>
        <v/>
      </c>
      <c r="D326">
        <f>IFERROR(Table73[[#This Row],[United States 10y]]-Table73[[#This Row],[United States 2y]],#N/A)</f>
        <v/>
      </c>
    </row>
    <row r="327">
      <c r="A327" s="6">
        <f>Database!A326</f>
        <v/>
      </c>
      <c r="B327">
        <f>IF(VLOOKUP(Table73[[#This Row],[Date]],Database!$A:$E,MATCH($B$1,Database!$A$1:$E$1,),)=0,#N/A,VLOOKUP(Table73[[#This Row],[Date]],Database!$A:$E,MATCH($B$1,Database!$A$1:$E$1,),))</f>
        <v/>
      </c>
      <c r="C327">
        <f>IF(VLOOKUP(Table73[[#This Row],[Date]],Database!$A:$C,MATCH($C$1,Database!$A$1:$C$1,),)=0,#N/A,VLOOKUP(Table73[[#This Row],[Date]],Database!$A:$C,MATCH($C$1,Database!$A$1:$C$1,),))</f>
        <v/>
      </c>
      <c r="D327">
        <f>IFERROR(Table73[[#This Row],[United States 10y]]-Table73[[#This Row],[United States 2y]],#N/A)</f>
        <v/>
      </c>
    </row>
    <row r="328">
      <c r="A328" s="6">
        <f>Database!A327</f>
        <v/>
      </c>
      <c r="B328">
        <f>IF(VLOOKUP(Table73[[#This Row],[Date]],Database!$A:$E,MATCH($B$1,Database!$A$1:$E$1,),)=0,#N/A,VLOOKUP(Table73[[#This Row],[Date]],Database!$A:$E,MATCH($B$1,Database!$A$1:$E$1,),))</f>
        <v/>
      </c>
      <c r="C328">
        <f>IF(VLOOKUP(Table73[[#This Row],[Date]],Database!$A:$C,MATCH($C$1,Database!$A$1:$C$1,),)=0,#N/A,VLOOKUP(Table73[[#This Row],[Date]],Database!$A:$C,MATCH($C$1,Database!$A$1:$C$1,),))</f>
        <v/>
      </c>
      <c r="D328">
        <f>IFERROR(Table73[[#This Row],[United States 10y]]-Table73[[#This Row],[United States 2y]],#N/A)</f>
        <v/>
      </c>
    </row>
    <row r="329">
      <c r="A329" s="6">
        <f>Database!A328</f>
        <v/>
      </c>
      <c r="B329">
        <f>IF(VLOOKUP(Table73[[#This Row],[Date]],Database!$A:$E,MATCH($B$1,Database!$A$1:$E$1,),)=0,#N/A,VLOOKUP(Table73[[#This Row],[Date]],Database!$A:$E,MATCH($B$1,Database!$A$1:$E$1,),))</f>
        <v/>
      </c>
      <c r="C329">
        <f>IF(VLOOKUP(Table73[[#This Row],[Date]],Database!$A:$C,MATCH($C$1,Database!$A$1:$C$1,),)=0,#N/A,VLOOKUP(Table73[[#This Row],[Date]],Database!$A:$C,MATCH($C$1,Database!$A$1:$C$1,),))</f>
        <v/>
      </c>
      <c r="D329">
        <f>IFERROR(Table73[[#This Row],[United States 10y]]-Table73[[#This Row],[United States 2y]],#N/A)</f>
        <v/>
      </c>
    </row>
    <row r="330">
      <c r="A330" s="6">
        <f>Database!A329</f>
        <v/>
      </c>
      <c r="B330">
        <f>IF(VLOOKUP(Table73[[#This Row],[Date]],Database!$A:$E,MATCH($B$1,Database!$A$1:$E$1,),)=0,#N/A,VLOOKUP(Table73[[#This Row],[Date]],Database!$A:$E,MATCH($B$1,Database!$A$1:$E$1,),))</f>
        <v/>
      </c>
      <c r="C330">
        <f>IF(VLOOKUP(Table73[[#This Row],[Date]],Database!$A:$C,MATCH($C$1,Database!$A$1:$C$1,),)=0,#N/A,VLOOKUP(Table73[[#This Row],[Date]],Database!$A:$C,MATCH($C$1,Database!$A$1:$C$1,),))</f>
        <v/>
      </c>
      <c r="D330">
        <f>IFERROR(Table73[[#This Row],[United States 10y]]-Table73[[#This Row],[United States 2y]],#N/A)</f>
        <v/>
      </c>
    </row>
    <row r="331">
      <c r="A331" s="6">
        <f>Database!A330</f>
        <v/>
      </c>
      <c r="B331">
        <f>IF(VLOOKUP(Table73[[#This Row],[Date]],Database!$A:$E,MATCH($B$1,Database!$A$1:$E$1,),)=0,#N/A,VLOOKUP(Table73[[#This Row],[Date]],Database!$A:$E,MATCH($B$1,Database!$A$1:$E$1,),))</f>
        <v/>
      </c>
      <c r="C331">
        <f>IF(VLOOKUP(Table73[[#This Row],[Date]],Database!$A:$C,MATCH($C$1,Database!$A$1:$C$1,),)=0,#N/A,VLOOKUP(Table73[[#This Row],[Date]],Database!$A:$C,MATCH($C$1,Database!$A$1:$C$1,),))</f>
        <v/>
      </c>
      <c r="D331">
        <f>IFERROR(Table73[[#This Row],[United States 10y]]-Table73[[#This Row],[United States 2y]],#N/A)</f>
        <v/>
      </c>
    </row>
    <row r="332">
      <c r="A332" s="6">
        <f>Database!A331</f>
        <v/>
      </c>
      <c r="B332">
        <f>IF(VLOOKUP(Table73[[#This Row],[Date]],Database!$A:$E,MATCH($B$1,Database!$A$1:$E$1,),)=0,#N/A,VLOOKUP(Table73[[#This Row],[Date]],Database!$A:$E,MATCH($B$1,Database!$A$1:$E$1,),))</f>
        <v/>
      </c>
      <c r="C332">
        <f>IF(VLOOKUP(Table73[[#This Row],[Date]],Database!$A:$C,MATCH($C$1,Database!$A$1:$C$1,),)=0,#N/A,VLOOKUP(Table73[[#This Row],[Date]],Database!$A:$C,MATCH($C$1,Database!$A$1:$C$1,),))</f>
        <v/>
      </c>
      <c r="D332">
        <f>IFERROR(Table73[[#This Row],[United States 10y]]-Table73[[#This Row],[United States 2y]],#N/A)</f>
        <v/>
      </c>
    </row>
    <row r="333">
      <c r="A333" s="6">
        <f>Database!A332</f>
        <v/>
      </c>
      <c r="B333">
        <f>IF(VLOOKUP(Table73[[#This Row],[Date]],Database!$A:$E,MATCH($B$1,Database!$A$1:$E$1,),)=0,#N/A,VLOOKUP(Table73[[#This Row],[Date]],Database!$A:$E,MATCH($B$1,Database!$A$1:$E$1,),))</f>
        <v/>
      </c>
      <c r="C333">
        <f>IF(VLOOKUP(Table73[[#This Row],[Date]],Database!$A:$C,MATCH($C$1,Database!$A$1:$C$1,),)=0,#N/A,VLOOKUP(Table73[[#This Row],[Date]],Database!$A:$C,MATCH($C$1,Database!$A$1:$C$1,),))</f>
        <v/>
      </c>
      <c r="D333">
        <f>IFERROR(Table73[[#This Row],[United States 10y]]-Table73[[#This Row],[United States 2y]],#N/A)</f>
        <v/>
      </c>
    </row>
    <row r="334">
      <c r="A334" s="6">
        <f>Database!A333</f>
        <v/>
      </c>
      <c r="B334">
        <f>IF(VLOOKUP(Table73[[#This Row],[Date]],Database!$A:$E,MATCH($B$1,Database!$A$1:$E$1,),)=0,#N/A,VLOOKUP(Table73[[#This Row],[Date]],Database!$A:$E,MATCH($B$1,Database!$A$1:$E$1,),))</f>
        <v/>
      </c>
      <c r="C334">
        <f>IF(VLOOKUP(Table73[[#This Row],[Date]],Database!$A:$C,MATCH($C$1,Database!$A$1:$C$1,),)=0,#N/A,VLOOKUP(Table73[[#This Row],[Date]],Database!$A:$C,MATCH($C$1,Database!$A$1:$C$1,),))</f>
        <v/>
      </c>
      <c r="D334">
        <f>IFERROR(Table73[[#This Row],[United States 10y]]-Table73[[#This Row],[United States 2y]],#N/A)</f>
        <v/>
      </c>
    </row>
    <row r="335">
      <c r="A335" s="6">
        <f>Database!A334</f>
        <v/>
      </c>
      <c r="B335">
        <f>IF(VLOOKUP(Table73[[#This Row],[Date]],Database!$A:$E,MATCH($B$1,Database!$A$1:$E$1,),)=0,#N/A,VLOOKUP(Table73[[#This Row],[Date]],Database!$A:$E,MATCH($B$1,Database!$A$1:$E$1,),))</f>
        <v/>
      </c>
      <c r="C335">
        <f>IF(VLOOKUP(Table73[[#This Row],[Date]],Database!$A:$C,MATCH($C$1,Database!$A$1:$C$1,),)=0,#N/A,VLOOKUP(Table73[[#This Row],[Date]],Database!$A:$C,MATCH($C$1,Database!$A$1:$C$1,),))</f>
        <v/>
      </c>
      <c r="D335">
        <f>IFERROR(Table73[[#This Row],[United States 10y]]-Table73[[#This Row],[United States 2y]],#N/A)</f>
        <v/>
      </c>
    </row>
    <row r="336">
      <c r="A336" s="6">
        <f>Database!A335</f>
        <v/>
      </c>
      <c r="B336">
        <f>IF(VLOOKUP(Table73[[#This Row],[Date]],Database!$A:$E,MATCH($B$1,Database!$A$1:$E$1,),)=0,#N/A,VLOOKUP(Table73[[#This Row],[Date]],Database!$A:$E,MATCH($B$1,Database!$A$1:$E$1,),))</f>
        <v/>
      </c>
      <c r="C336">
        <f>IF(VLOOKUP(Table73[[#This Row],[Date]],Database!$A:$C,MATCH($C$1,Database!$A$1:$C$1,),)=0,#N/A,VLOOKUP(Table73[[#This Row],[Date]],Database!$A:$C,MATCH($C$1,Database!$A$1:$C$1,),))</f>
        <v/>
      </c>
      <c r="D336">
        <f>IFERROR(Table73[[#This Row],[United States 10y]]-Table73[[#This Row],[United States 2y]],#N/A)</f>
        <v/>
      </c>
    </row>
    <row r="337">
      <c r="A337" s="6">
        <f>Database!A336</f>
        <v/>
      </c>
      <c r="B337">
        <f>IF(VLOOKUP(Table73[[#This Row],[Date]],Database!$A:$E,MATCH($B$1,Database!$A$1:$E$1,),)=0,#N/A,VLOOKUP(Table73[[#This Row],[Date]],Database!$A:$E,MATCH($B$1,Database!$A$1:$E$1,),))</f>
        <v/>
      </c>
      <c r="C337">
        <f>IF(VLOOKUP(Table73[[#This Row],[Date]],Database!$A:$C,MATCH($C$1,Database!$A$1:$C$1,),)=0,#N/A,VLOOKUP(Table73[[#This Row],[Date]],Database!$A:$C,MATCH($C$1,Database!$A$1:$C$1,),))</f>
        <v/>
      </c>
      <c r="D337">
        <f>IFERROR(Table73[[#This Row],[United States 10y]]-Table73[[#This Row],[United States 2y]],#N/A)</f>
        <v/>
      </c>
    </row>
    <row r="338">
      <c r="A338" s="6">
        <f>Database!A337</f>
        <v/>
      </c>
      <c r="B338">
        <f>IF(VLOOKUP(Table73[[#This Row],[Date]],Database!$A:$E,MATCH($B$1,Database!$A$1:$E$1,),)=0,#N/A,VLOOKUP(Table73[[#This Row],[Date]],Database!$A:$E,MATCH($B$1,Database!$A$1:$E$1,),))</f>
        <v/>
      </c>
      <c r="C338">
        <f>IF(VLOOKUP(Table73[[#This Row],[Date]],Database!$A:$C,MATCH($C$1,Database!$A$1:$C$1,),)=0,#N/A,VLOOKUP(Table73[[#This Row],[Date]],Database!$A:$C,MATCH($C$1,Database!$A$1:$C$1,),))</f>
        <v/>
      </c>
      <c r="D338">
        <f>IFERROR(Table73[[#This Row],[United States 10y]]-Table73[[#This Row],[United States 2y]],#N/A)</f>
        <v/>
      </c>
    </row>
    <row r="339">
      <c r="A339" s="6">
        <f>Database!A338</f>
        <v/>
      </c>
      <c r="B339">
        <f>IF(VLOOKUP(Table73[[#This Row],[Date]],Database!$A:$E,MATCH($B$1,Database!$A$1:$E$1,),)=0,#N/A,VLOOKUP(Table73[[#This Row],[Date]],Database!$A:$E,MATCH($B$1,Database!$A$1:$E$1,),))</f>
        <v/>
      </c>
      <c r="C339">
        <f>IF(VLOOKUP(Table73[[#This Row],[Date]],Database!$A:$C,MATCH($C$1,Database!$A$1:$C$1,),)=0,#N/A,VLOOKUP(Table73[[#This Row],[Date]],Database!$A:$C,MATCH($C$1,Database!$A$1:$C$1,),))</f>
        <v/>
      </c>
      <c r="D339">
        <f>IFERROR(Table73[[#This Row],[United States 10y]]-Table73[[#This Row],[United States 2y]],#N/A)</f>
        <v/>
      </c>
    </row>
    <row r="340">
      <c r="A340" s="6">
        <f>Database!A339</f>
        <v/>
      </c>
      <c r="B340">
        <f>IF(VLOOKUP(Table73[[#This Row],[Date]],Database!$A:$E,MATCH($B$1,Database!$A$1:$E$1,),)=0,#N/A,VLOOKUP(Table73[[#This Row],[Date]],Database!$A:$E,MATCH($B$1,Database!$A$1:$E$1,),))</f>
        <v/>
      </c>
      <c r="C340">
        <f>IF(VLOOKUP(Table73[[#This Row],[Date]],Database!$A:$C,MATCH($C$1,Database!$A$1:$C$1,),)=0,#N/A,VLOOKUP(Table73[[#This Row],[Date]],Database!$A:$C,MATCH($C$1,Database!$A$1:$C$1,),))</f>
        <v/>
      </c>
      <c r="D340">
        <f>IFERROR(Table73[[#This Row],[United States 10y]]-Table73[[#This Row],[United States 2y]],#N/A)</f>
        <v/>
      </c>
    </row>
    <row r="341">
      <c r="A341" s="6">
        <f>Database!A340</f>
        <v/>
      </c>
      <c r="B341">
        <f>IF(VLOOKUP(Table73[[#This Row],[Date]],Database!$A:$E,MATCH($B$1,Database!$A$1:$E$1,),)=0,#N/A,VLOOKUP(Table73[[#This Row],[Date]],Database!$A:$E,MATCH($B$1,Database!$A$1:$E$1,),))</f>
        <v/>
      </c>
      <c r="C341">
        <f>IF(VLOOKUP(Table73[[#This Row],[Date]],Database!$A:$C,MATCH($C$1,Database!$A$1:$C$1,),)=0,#N/A,VLOOKUP(Table73[[#This Row],[Date]],Database!$A:$C,MATCH($C$1,Database!$A$1:$C$1,),))</f>
        <v/>
      </c>
      <c r="D341">
        <f>IFERROR(Table73[[#This Row],[United States 10y]]-Table73[[#This Row],[United States 2y]],#N/A)</f>
        <v/>
      </c>
    </row>
    <row r="342">
      <c r="A342" s="6">
        <f>Database!A341</f>
        <v/>
      </c>
      <c r="B342">
        <f>IF(VLOOKUP(Table73[[#This Row],[Date]],Database!$A:$E,MATCH($B$1,Database!$A$1:$E$1,),)=0,#N/A,VLOOKUP(Table73[[#This Row],[Date]],Database!$A:$E,MATCH($B$1,Database!$A$1:$E$1,),))</f>
        <v/>
      </c>
      <c r="C342">
        <f>IF(VLOOKUP(Table73[[#This Row],[Date]],Database!$A:$C,MATCH($C$1,Database!$A$1:$C$1,),)=0,#N/A,VLOOKUP(Table73[[#This Row],[Date]],Database!$A:$C,MATCH($C$1,Database!$A$1:$C$1,),))</f>
        <v/>
      </c>
      <c r="D342">
        <f>IFERROR(Table73[[#This Row],[United States 10y]]-Table73[[#This Row],[United States 2y]],#N/A)</f>
        <v/>
      </c>
    </row>
    <row r="343">
      <c r="A343" s="6">
        <f>Database!A342</f>
        <v/>
      </c>
      <c r="B343">
        <f>IF(VLOOKUP(Table73[[#This Row],[Date]],Database!$A:$E,MATCH($B$1,Database!$A$1:$E$1,),)=0,#N/A,VLOOKUP(Table73[[#This Row],[Date]],Database!$A:$E,MATCH($B$1,Database!$A$1:$E$1,),))</f>
        <v/>
      </c>
      <c r="C343">
        <f>IF(VLOOKUP(Table73[[#This Row],[Date]],Database!$A:$C,MATCH($C$1,Database!$A$1:$C$1,),)=0,#N/A,VLOOKUP(Table73[[#This Row],[Date]],Database!$A:$C,MATCH($C$1,Database!$A$1:$C$1,),))</f>
        <v/>
      </c>
      <c r="D343">
        <f>IFERROR(Table73[[#This Row],[United States 10y]]-Table73[[#This Row],[United States 2y]],#N/A)</f>
        <v/>
      </c>
    </row>
    <row r="344">
      <c r="A344" s="6">
        <f>Database!A343</f>
        <v/>
      </c>
      <c r="B344">
        <f>IF(VLOOKUP(Table73[[#This Row],[Date]],Database!$A:$E,MATCH($B$1,Database!$A$1:$E$1,),)=0,#N/A,VLOOKUP(Table73[[#This Row],[Date]],Database!$A:$E,MATCH($B$1,Database!$A$1:$E$1,),))</f>
        <v/>
      </c>
      <c r="C344">
        <f>IF(VLOOKUP(Table73[[#This Row],[Date]],Database!$A:$C,MATCH($C$1,Database!$A$1:$C$1,),)=0,#N/A,VLOOKUP(Table73[[#This Row],[Date]],Database!$A:$C,MATCH($C$1,Database!$A$1:$C$1,),))</f>
        <v/>
      </c>
      <c r="D344">
        <f>IFERROR(Table73[[#This Row],[United States 10y]]-Table73[[#This Row],[United States 2y]],#N/A)</f>
        <v/>
      </c>
    </row>
    <row r="345">
      <c r="A345" s="6">
        <f>Database!A344</f>
        <v/>
      </c>
      <c r="B345">
        <f>IF(VLOOKUP(Table73[[#This Row],[Date]],Database!$A:$E,MATCH($B$1,Database!$A$1:$E$1,),)=0,#N/A,VLOOKUP(Table73[[#This Row],[Date]],Database!$A:$E,MATCH($B$1,Database!$A$1:$E$1,),))</f>
        <v/>
      </c>
      <c r="C345">
        <f>IF(VLOOKUP(Table73[[#This Row],[Date]],Database!$A:$C,MATCH($C$1,Database!$A$1:$C$1,),)=0,#N/A,VLOOKUP(Table73[[#This Row],[Date]],Database!$A:$C,MATCH($C$1,Database!$A$1:$C$1,),))</f>
        <v/>
      </c>
      <c r="D345">
        <f>IFERROR(Table73[[#This Row],[United States 10y]]-Table73[[#This Row],[United States 2y]],#N/A)</f>
        <v/>
      </c>
    </row>
    <row r="346">
      <c r="A346" s="6">
        <f>Database!A345</f>
        <v/>
      </c>
      <c r="B346">
        <f>IF(VLOOKUP(Table73[[#This Row],[Date]],Database!$A:$E,MATCH($B$1,Database!$A$1:$E$1,),)=0,#N/A,VLOOKUP(Table73[[#This Row],[Date]],Database!$A:$E,MATCH($B$1,Database!$A$1:$E$1,),))</f>
        <v/>
      </c>
      <c r="C346">
        <f>IF(VLOOKUP(Table73[[#This Row],[Date]],Database!$A:$C,MATCH($C$1,Database!$A$1:$C$1,),)=0,#N/A,VLOOKUP(Table73[[#This Row],[Date]],Database!$A:$C,MATCH($C$1,Database!$A$1:$C$1,),))</f>
        <v/>
      </c>
      <c r="D346">
        <f>IFERROR(Table73[[#This Row],[United States 10y]]-Table73[[#This Row],[United States 2y]],#N/A)</f>
        <v/>
      </c>
    </row>
    <row r="347">
      <c r="A347" s="6">
        <f>Database!A346</f>
        <v/>
      </c>
      <c r="B347">
        <f>IF(VLOOKUP(Table73[[#This Row],[Date]],Database!$A:$E,MATCH($B$1,Database!$A$1:$E$1,),)=0,#N/A,VLOOKUP(Table73[[#This Row],[Date]],Database!$A:$E,MATCH($B$1,Database!$A$1:$E$1,),))</f>
        <v/>
      </c>
      <c r="C347">
        <f>IF(VLOOKUP(Table73[[#This Row],[Date]],Database!$A:$C,MATCH($C$1,Database!$A$1:$C$1,),)=0,#N/A,VLOOKUP(Table73[[#This Row],[Date]],Database!$A:$C,MATCH($C$1,Database!$A$1:$C$1,),))</f>
        <v/>
      </c>
      <c r="D347">
        <f>IFERROR(Table73[[#This Row],[United States 10y]]-Table73[[#This Row],[United States 2y]],#N/A)</f>
        <v/>
      </c>
    </row>
    <row r="348">
      <c r="A348" s="6">
        <f>Database!A347</f>
        <v/>
      </c>
      <c r="B348">
        <f>IF(VLOOKUP(Table73[[#This Row],[Date]],Database!$A:$E,MATCH($B$1,Database!$A$1:$E$1,),)=0,#N/A,VLOOKUP(Table73[[#This Row],[Date]],Database!$A:$E,MATCH($B$1,Database!$A$1:$E$1,),))</f>
        <v/>
      </c>
      <c r="C348">
        <f>IF(VLOOKUP(Table73[[#This Row],[Date]],Database!$A:$C,MATCH($C$1,Database!$A$1:$C$1,),)=0,#N/A,VLOOKUP(Table73[[#This Row],[Date]],Database!$A:$C,MATCH($C$1,Database!$A$1:$C$1,),))</f>
        <v/>
      </c>
      <c r="D348">
        <f>IFERROR(Table73[[#This Row],[United States 10y]]-Table73[[#This Row],[United States 2y]],#N/A)</f>
        <v/>
      </c>
    </row>
    <row r="349">
      <c r="A349" s="6">
        <f>Database!A348</f>
        <v/>
      </c>
      <c r="B349">
        <f>IF(VLOOKUP(Table73[[#This Row],[Date]],Database!$A:$E,MATCH($B$1,Database!$A$1:$E$1,),)=0,#N/A,VLOOKUP(Table73[[#This Row],[Date]],Database!$A:$E,MATCH($B$1,Database!$A$1:$E$1,),))</f>
        <v/>
      </c>
      <c r="C349">
        <f>IF(VLOOKUP(Table73[[#This Row],[Date]],Database!$A:$C,MATCH($C$1,Database!$A$1:$C$1,),)=0,#N/A,VLOOKUP(Table73[[#This Row],[Date]],Database!$A:$C,MATCH($C$1,Database!$A$1:$C$1,),))</f>
        <v/>
      </c>
      <c r="D349">
        <f>IFERROR(Table73[[#This Row],[United States 10y]]-Table73[[#This Row],[United States 2y]],#N/A)</f>
        <v/>
      </c>
    </row>
    <row r="350">
      <c r="A350" s="6">
        <f>Database!A349</f>
        <v/>
      </c>
      <c r="B350">
        <f>IF(VLOOKUP(Table73[[#This Row],[Date]],Database!$A:$E,MATCH($B$1,Database!$A$1:$E$1,),)=0,#N/A,VLOOKUP(Table73[[#This Row],[Date]],Database!$A:$E,MATCH($B$1,Database!$A$1:$E$1,),))</f>
        <v/>
      </c>
      <c r="C350">
        <f>IF(VLOOKUP(Table73[[#This Row],[Date]],Database!$A:$C,MATCH($C$1,Database!$A$1:$C$1,),)=0,#N/A,VLOOKUP(Table73[[#This Row],[Date]],Database!$A:$C,MATCH($C$1,Database!$A$1:$C$1,),))</f>
        <v/>
      </c>
      <c r="D350">
        <f>IFERROR(Table73[[#This Row],[United States 10y]]-Table73[[#This Row],[United States 2y]],#N/A)</f>
        <v/>
      </c>
    </row>
    <row r="351">
      <c r="A351" s="6">
        <f>Database!A350</f>
        <v/>
      </c>
      <c r="B351">
        <f>IF(VLOOKUP(Table73[[#This Row],[Date]],Database!$A:$E,MATCH($B$1,Database!$A$1:$E$1,),)=0,#N/A,VLOOKUP(Table73[[#This Row],[Date]],Database!$A:$E,MATCH($B$1,Database!$A$1:$E$1,),))</f>
        <v/>
      </c>
      <c r="C351">
        <f>IF(VLOOKUP(Table73[[#This Row],[Date]],Database!$A:$C,MATCH($C$1,Database!$A$1:$C$1,),)=0,#N/A,VLOOKUP(Table73[[#This Row],[Date]],Database!$A:$C,MATCH($C$1,Database!$A$1:$C$1,),))</f>
        <v/>
      </c>
      <c r="D351">
        <f>IFERROR(Table73[[#This Row],[United States 10y]]-Table73[[#This Row],[United States 2y]],#N/A)</f>
        <v/>
      </c>
    </row>
    <row r="352">
      <c r="A352" s="6">
        <f>Database!A351</f>
        <v/>
      </c>
      <c r="B352">
        <f>IF(VLOOKUP(Table73[[#This Row],[Date]],Database!$A:$E,MATCH($B$1,Database!$A$1:$E$1,),)=0,#N/A,VLOOKUP(Table73[[#This Row],[Date]],Database!$A:$E,MATCH($B$1,Database!$A$1:$E$1,),))</f>
        <v/>
      </c>
      <c r="C352">
        <f>IF(VLOOKUP(Table73[[#This Row],[Date]],Database!$A:$C,MATCH($C$1,Database!$A$1:$C$1,),)=0,#N/A,VLOOKUP(Table73[[#This Row],[Date]],Database!$A:$C,MATCH($C$1,Database!$A$1:$C$1,),))</f>
        <v/>
      </c>
      <c r="D352">
        <f>IFERROR(Table73[[#This Row],[United States 10y]]-Table73[[#This Row],[United States 2y]],#N/A)</f>
        <v/>
      </c>
    </row>
    <row r="353">
      <c r="A353" s="6">
        <f>Database!A352</f>
        <v/>
      </c>
      <c r="B353">
        <f>IF(VLOOKUP(Table73[[#This Row],[Date]],Database!$A:$E,MATCH($B$1,Database!$A$1:$E$1,),)=0,#N/A,VLOOKUP(Table73[[#This Row],[Date]],Database!$A:$E,MATCH($B$1,Database!$A$1:$E$1,),))</f>
        <v/>
      </c>
      <c r="C353">
        <f>IF(VLOOKUP(Table73[[#This Row],[Date]],Database!$A:$C,MATCH($C$1,Database!$A$1:$C$1,),)=0,#N/A,VLOOKUP(Table73[[#This Row],[Date]],Database!$A:$C,MATCH($C$1,Database!$A$1:$C$1,),))</f>
        <v/>
      </c>
      <c r="D353">
        <f>IFERROR(Table73[[#This Row],[United States 10y]]-Table73[[#This Row],[United States 2y]],#N/A)</f>
        <v/>
      </c>
    </row>
    <row r="354">
      <c r="A354" s="6">
        <f>Database!A353</f>
        <v/>
      </c>
      <c r="B354">
        <f>IF(VLOOKUP(Table73[[#This Row],[Date]],Database!$A:$E,MATCH($B$1,Database!$A$1:$E$1,),)=0,#N/A,VLOOKUP(Table73[[#This Row],[Date]],Database!$A:$E,MATCH($B$1,Database!$A$1:$E$1,),))</f>
        <v/>
      </c>
      <c r="C354">
        <f>IF(VLOOKUP(Table73[[#This Row],[Date]],Database!$A:$C,MATCH($C$1,Database!$A$1:$C$1,),)=0,#N/A,VLOOKUP(Table73[[#This Row],[Date]],Database!$A:$C,MATCH($C$1,Database!$A$1:$C$1,),))</f>
        <v/>
      </c>
      <c r="D354">
        <f>IFERROR(Table73[[#This Row],[United States 10y]]-Table73[[#This Row],[United States 2y]],#N/A)</f>
        <v/>
      </c>
    </row>
    <row r="355">
      <c r="A355" s="6">
        <f>Database!A354</f>
        <v/>
      </c>
      <c r="B355">
        <f>IF(VLOOKUP(Table73[[#This Row],[Date]],Database!$A:$E,MATCH($B$1,Database!$A$1:$E$1,),)=0,#N/A,VLOOKUP(Table73[[#This Row],[Date]],Database!$A:$E,MATCH($B$1,Database!$A$1:$E$1,),))</f>
        <v/>
      </c>
      <c r="C355">
        <f>IF(VLOOKUP(Table73[[#This Row],[Date]],Database!$A:$C,MATCH($C$1,Database!$A$1:$C$1,),)=0,#N/A,VLOOKUP(Table73[[#This Row],[Date]],Database!$A:$C,MATCH($C$1,Database!$A$1:$C$1,),))</f>
        <v/>
      </c>
      <c r="D355">
        <f>IFERROR(Table73[[#This Row],[United States 10y]]-Table73[[#This Row],[United States 2y]],#N/A)</f>
        <v/>
      </c>
    </row>
    <row r="356">
      <c r="A356" s="6">
        <f>Database!A355</f>
        <v/>
      </c>
      <c r="B356">
        <f>IF(VLOOKUP(Table73[[#This Row],[Date]],Database!$A:$E,MATCH($B$1,Database!$A$1:$E$1,),)=0,#N/A,VLOOKUP(Table73[[#This Row],[Date]],Database!$A:$E,MATCH($B$1,Database!$A$1:$E$1,),))</f>
        <v/>
      </c>
      <c r="C356">
        <f>IF(VLOOKUP(Table73[[#This Row],[Date]],Database!$A:$C,MATCH($C$1,Database!$A$1:$C$1,),)=0,#N/A,VLOOKUP(Table73[[#This Row],[Date]],Database!$A:$C,MATCH($C$1,Database!$A$1:$C$1,),))</f>
        <v/>
      </c>
      <c r="D356">
        <f>IFERROR(Table73[[#This Row],[United States 10y]]-Table73[[#This Row],[United States 2y]],#N/A)</f>
        <v/>
      </c>
    </row>
    <row r="357">
      <c r="A357" s="6">
        <f>Database!A356</f>
        <v/>
      </c>
      <c r="B357">
        <f>IF(VLOOKUP(Table73[[#This Row],[Date]],Database!$A:$E,MATCH($B$1,Database!$A$1:$E$1,),)=0,#N/A,VLOOKUP(Table73[[#This Row],[Date]],Database!$A:$E,MATCH($B$1,Database!$A$1:$E$1,),))</f>
        <v/>
      </c>
      <c r="C357">
        <f>IF(VLOOKUP(Table73[[#This Row],[Date]],Database!$A:$C,MATCH($C$1,Database!$A$1:$C$1,),)=0,#N/A,VLOOKUP(Table73[[#This Row],[Date]],Database!$A:$C,MATCH($C$1,Database!$A$1:$C$1,),))</f>
        <v/>
      </c>
      <c r="D357">
        <f>IFERROR(Table73[[#This Row],[United States 10y]]-Table73[[#This Row],[United States 2y]],#N/A)</f>
        <v/>
      </c>
    </row>
    <row r="358">
      <c r="A358" s="6">
        <f>Database!A357</f>
        <v/>
      </c>
      <c r="B358">
        <f>IF(VLOOKUP(Table73[[#This Row],[Date]],Database!$A:$E,MATCH($B$1,Database!$A$1:$E$1,),)=0,#N/A,VLOOKUP(Table73[[#This Row],[Date]],Database!$A:$E,MATCH($B$1,Database!$A$1:$E$1,),))</f>
        <v/>
      </c>
      <c r="C358">
        <f>IF(VLOOKUP(Table73[[#This Row],[Date]],Database!$A:$C,MATCH($C$1,Database!$A$1:$C$1,),)=0,#N/A,VLOOKUP(Table73[[#This Row],[Date]],Database!$A:$C,MATCH($C$1,Database!$A$1:$C$1,),))</f>
        <v/>
      </c>
      <c r="D358">
        <f>IFERROR(Table73[[#This Row],[United States 10y]]-Table73[[#This Row],[United States 2y]],#N/A)</f>
        <v/>
      </c>
    </row>
    <row r="359">
      <c r="A359" s="6">
        <f>Database!A358</f>
        <v/>
      </c>
      <c r="B359">
        <f>IF(VLOOKUP(Table73[[#This Row],[Date]],Database!$A:$E,MATCH($B$1,Database!$A$1:$E$1,),)=0,#N/A,VLOOKUP(Table73[[#This Row],[Date]],Database!$A:$E,MATCH($B$1,Database!$A$1:$E$1,),))</f>
        <v/>
      </c>
      <c r="C359">
        <f>IF(VLOOKUP(Table73[[#This Row],[Date]],Database!$A:$C,MATCH($C$1,Database!$A$1:$C$1,),)=0,#N/A,VLOOKUP(Table73[[#This Row],[Date]],Database!$A:$C,MATCH($C$1,Database!$A$1:$C$1,),))</f>
        <v/>
      </c>
      <c r="D359">
        <f>IFERROR(Table73[[#This Row],[United States 10y]]-Table73[[#This Row],[United States 2y]],#N/A)</f>
        <v/>
      </c>
    </row>
    <row r="360">
      <c r="A360" s="6">
        <f>Database!A359</f>
        <v/>
      </c>
      <c r="B360">
        <f>IF(VLOOKUP(Table73[[#This Row],[Date]],Database!$A:$E,MATCH($B$1,Database!$A$1:$E$1,),)=0,#N/A,VLOOKUP(Table73[[#This Row],[Date]],Database!$A:$E,MATCH($B$1,Database!$A$1:$E$1,),))</f>
        <v/>
      </c>
      <c r="C360">
        <f>IF(VLOOKUP(Table73[[#This Row],[Date]],Database!$A:$C,MATCH($C$1,Database!$A$1:$C$1,),)=0,#N/A,VLOOKUP(Table73[[#This Row],[Date]],Database!$A:$C,MATCH($C$1,Database!$A$1:$C$1,),))</f>
        <v/>
      </c>
      <c r="D360">
        <f>IFERROR(Table73[[#This Row],[United States 10y]]-Table73[[#This Row],[United States 2y]],#N/A)</f>
        <v/>
      </c>
    </row>
    <row r="361">
      <c r="A361" s="6">
        <f>Database!A360</f>
        <v/>
      </c>
      <c r="B361">
        <f>IF(VLOOKUP(Table73[[#This Row],[Date]],Database!$A:$E,MATCH($B$1,Database!$A$1:$E$1,),)=0,#N/A,VLOOKUP(Table73[[#This Row],[Date]],Database!$A:$E,MATCH($B$1,Database!$A$1:$E$1,),))</f>
        <v/>
      </c>
      <c r="C361">
        <f>IF(VLOOKUP(Table73[[#This Row],[Date]],Database!$A:$C,MATCH($C$1,Database!$A$1:$C$1,),)=0,#N/A,VLOOKUP(Table73[[#This Row],[Date]],Database!$A:$C,MATCH($C$1,Database!$A$1:$C$1,),))</f>
        <v/>
      </c>
      <c r="D361">
        <f>IFERROR(Table73[[#This Row],[United States 10y]]-Table73[[#This Row],[United States 2y]],#N/A)</f>
        <v/>
      </c>
    </row>
    <row r="362">
      <c r="A362" s="6">
        <f>Database!A361</f>
        <v/>
      </c>
      <c r="B362">
        <f>IF(VLOOKUP(Table73[[#This Row],[Date]],Database!$A:$E,MATCH($B$1,Database!$A$1:$E$1,),)=0,#N/A,VLOOKUP(Table73[[#This Row],[Date]],Database!$A:$E,MATCH($B$1,Database!$A$1:$E$1,),))</f>
        <v/>
      </c>
      <c r="C362">
        <f>IF(VLOOKUP(Table73[[#This Row],[Date]],Database!$A:$C,MATCH($C$1,Database!$A$1:$C$1,),)=0,#N/A,VLOOKUP(Table73[[#This Row],[Date]],Database!$A:$C,MATCH($C$1,Database!$A$1:$C$1,),))</f>
        <v/>
      </c>
      <c r="D362">
        <f>IFERROR(Table73[[#This Row],[United States 10y]]-Table73[[#This Row],[United States 2y]],#N/A)</f>
        <v/>
      </c>
    </row>
    <row r="363">
      <c r="A363" s="6">
        <f>Database!A362</f>
        <v/>
      </c>
      <c r="B363">
        <f>IF(VLOOKUP(Table73[[#This Row],[Date]],Database!$A:$E,MATCH($B$1,Database!$A$1:$E$1,),)=0,#N/A,VLOOKUP(Table73[[#This Row],[Date]],Database!$A:$E,MATCH($B$1,Database!$A$1:$E$1,),))</f>
        <v/>
      </c>
      <c r="C363">
        <f>IF(VLOOKUP(Table73[[#This Row],[Date]],Database!$A:$C,MATCH($C$1,Database!$A$1:$C$1,),)=0,#N/A,VLOOKUP(Table73[[#This Row],[Date]],Database!$A:$C,MATCH($C$1,Database!$A$1:$C$1,),))</f>
        <v/>
      </c>
      <c r="D363">
        <f>IFERROR(Table73[[#This Row],[United States 10y]]-Table73[[#This Row],[United States 2y]],#N/A)</f>
        <v/>
      </c>
    </row>
    <row r="364">
      <c r="A364" s="6">
        <f>Database!A363</f>
        <v/>
      </c>
      <c r="B364">
        <f>IF(VLOOKUP(Table73[[#This Row],[Date]],Database!$A:$E,MATCH($B$1,Database!$A$1:$E$1,),)=0,#N/A,VLOOKUP(Table73[[#This Row],[Date]],Database!$A:$E,MATCH($B$1,Database!$A$1:$E$1,),))</f>
        <v/>
      </c>
      <c r="C364">
        <f>IF(VLOOKUP(Table73[[#This Row],[Date]],Database!$A:$C,MATCH($C$1,Database!$A$1:$C$1,),)=0,#N/A,VLOOKUP(Table73[[#This Row],[Date]],Database!$A:$C,MATCH($C$1,Database!$A$1:$C$1,),))</f>
        <v/>
      </c>
      <c r="D364">
        <f>IFERROR(Table73[[#This Row],[United States 10y]]-Table73[[#This Row],[United States 2y]],#N/A)</f>
        <v/>
      </c>
    </row>
    <row r="365">
      <c r="A365" s="6">
        <f>Database!A364</f>
        <v/>
      </c>
      <c r="B365">
        <f>IF(VLOOKUP(Table73[[#This Row],[Date]],Database!$A:$E,MATCH($B$1,Database!$A$1:$E$1,),)=0,#N/A,VLOOKUP(Table73[[#This Row],[Date]],Database!$A:$E,MATCH($B$1,Database!$A$1:$E$1,),))</f>
        <v/>
      </c>
      <c r="C365">
        <f>IF(VLOOKUP(Table73[[#This Row],[Date]],Database!$A:$C,MATCH($C$1,Database!$A$1:$C$1,),)=0,#N/A,VLOOKUP(Table73[[#This Row],[Date]],Database!$A:$C,MATCH($C$1,Database!$A$1:$C$1,),))</f>
        <v/>
      </c>
      <c r="D365">
        <f>IFERROR(Table73[[#This Row],[United States 10y]]-Table73[[#This Row],[United States 2y]],#N/A)</f>
        <v/>
      </c>
    </row>
    <row r="366">
      <c r="A366" s="6">
        <f>Database!A365</f>
        <v/>
      </c>
      <c r="B366">
        <f>IF(VLOOKUP(Table73[[#This Row],[Date]],Database!$A:$E,MATCH($B$1,Database!$A$1:$E$1,),)=0,#N/A,VLOOKUP(Table73[[#This Row],[Date]],Database!$A:$E,MATCH($B$1,Database!$A$1:$E$1,),))</f>
        <v/>
      </c>
      <c r="C366">
        <f>IF(VLOOKUP(Table73[[#This Row],[Date]],Database!$A:$C,MATCH($C$1,Database!$A$1:$C$1,),)=0,#N/A,VLOOKUP(Table73[[#This Row],[Date]],Database!$A:$C,MATCH($C$1,Database!$A$1:$C$1,),))</f>
        <v/>
      </c>
      <c r="D366">
        <f>IFERROR(Table73[[#This Row],[United States 10y]]-Table73[[#This Row],[United States 2y]],#N/A)</f>
        <v/>
      </c>
    </row>
    <row r="367">
      <c r="A367" s="6">
        <f>Database!A366</f>
        <v/>
      </c>
      <c r="B367">
        <f>IF(VLOOKUP(Table73[[#This Row],[Date]],Database!$A:$E,MATCH($B$1,Database!$A$1:$E$1,),)=0,#N/A,VLOOKUP(Table73[[#This Row],[Date]],Database!$A:$E,MATCH($B$1,Database!$A$1:$E$1,),))</f>
        <v/>
      </c>
      <c r="C367">
        <f>IF(VLOOKUP(Table73[[#This Row],[Date]],Database!$A:$C,MATCH($C$1,Database!$A$1:$C$1,),)=0,#N/A,VLOOKUP(Table73[[#This Row],[Date]],Database!$A:$C,MATCH($C$1,Database!$A$1:$C$1,),))</f>
        <v/>
      </c>
      <c r="D367">
        <f>IFERROR(Table73[[#This Row],[United States 10y]]-Table73[[#This Row],[United States 2y]],#N/A)</f>
        <v/>
      </c>
    </row>
    <row r="368">
      <c r="A368" s="6">
        <f>Database!A367</f>
        <v/>
      </c>
      <c r="B368">
        <f>IF(VLOOKUP(Table73[[#This Row],[Date]],Database!$A:$E,MATCH($B$1,Database!$A$1:$E$1,),)=0,#N/A,VLOOKUP(Table73[[#This Row],[Date]],Database!$A:$E,MATCH($B$1,Database!$A$1:$E$1,),))</f>
        <v/>
      </c>
      <c r="C368">
        <f>IF(VLOOKUP(Table73[[#This Row],[Date]],Database!$A:$C,MATCH($C$1,Database!$A$1:$C$1,),)=0,#N/A,VLOOKUP(Table73[[#This Row],[Date]],Database!$A:$C,MATCH($C$1,Database!$A$1:$C$1,),))</f>
        <v/>
      </c>
      <c r="D368">
        <f>IFERROR(Table73[[#This Row],[United States 10y]]-Table73[[#This Row],[United States 2y]],#N/A)</f>
        <v/>
      </c>
    </row>
    <row r="369">
      <c r="A369" s="6">
        <f>Database!A368</f>
        <v/>
      </c>
      <c r="B369">
        <f>IF(VLOOKUP(Table73[[#This Row],[Date]],Database!$A:$E,MATCH($B$1,Database!$A$1:$E$1,),)=0,#N/A,VLOOKUP(Table73[[#This Row],[Date]],Database!$A:$E,MATCH($B$1,Database!$A$1:$E$1,),))</f>
        <v/>
      </c>
      <c r="C369">
        <f>IF(VLOOKUP(Table73[[#This Row],[Date]],Database!$A:$C,MATCH($C$1,Database!$A$1:$C$1,),)=0,#N/A,VLOOKUP(Table73[[#This Row],[Date]],Database!$A:$C,MATCH($C$1,Database!$A$1:$C$1,),))</f>
        <v/>
      </c>
      <c r="D369">
        <f>IFERROR(Table73[[#This Row],[United States 10y]]-Table73[[#This Row],[United States 2y]],#N/A)</f>
        <v/>
      </c>
    </row>
    <row r="370">
      <c r="A370" s="6">
        <f>Database!A369</f>
        <v/>
      </c>
      <c r="B370">
        <f>IF(VLOOKUP(Table73[[#This Row],[Date]],Database!$A:$E,MATCH($B$1,Database!$A$1:$E$1,),)=0,#N/A,VLOOKUP(Table73[[#This Row],[Date]],Database!$A:$E,MATCH($B$1,Database!$A$1:$E$1,),))</f>
        <v/>
      </c>
      <c r="C370">
        <f>IF(VLOOKUP(Table73[[#This Row],[Date]],Database!$A:$C,MATCH($C$1,Database!$A$1:$C$1,),)=0,#N/A,VLOOKUP(Table73[[#This Row],[Date]],Database!$A:$C,MATCH($C$1,Database!$A$1:$C$1,),))</f>
        <v/>
      </c>
      <c r="D370">
        <f>IFERROR(Table73[[#This Row],[United States 10y]]-Table73[[#This Row],[United States 2y]],#N/A)</f>
        <v/>
      </c>
    </row>
    <row r="371">
      <c r="A371" s="6">
        <f>Database!A370</f>
        <v/>
      </c>
      <c r="B371">
        <f>IF(VLOOKUP(Table73[[#This Row],[Date]],Database!$A:$E,MATCH($B$1,Database!$A$1:$E$1,),)=0,#N/A,VLOOKUP(Table73[[#This Row],[Date]],Database!$A:$E,MATCH($B$1,Database!$A$1:$E$1,),))</f>
        <v/>
      </c>
      <c r="C371">
        <f>IF(VLOOKUP(Table73[[#This Row],[Date]],Database!$A:$C,MATCH($C$1,Database!$A$1:$C$1,),)=0,#N/A,VLOOKUP(Table73[[#This Row],[Date]],Database!$A:$C,MATCH($C$1,Database!$A$1:$C$1,),))</f>
        <v/>
      </c>
      <c r="D371">
        <f>IFERROR(Table73[[#This Row],[United States 10y]]-Table73[[#This Row],[United States 2y]],#N/A)</f>
        <v/>
      </c>
    </row>
    <row r="372">
      <c r="A372" s="6">
        <f>Database!A371</f>
        <v/>
      </c>
      <c r="B372">
        <f>IF(VLOOKUP(Table73[[#This Row],[Date]],Database!$A:$E,MATCH($B$1,Database!$A$1:$E$1,),)=0,#N/A,VLOOKUP(Table73[[#This Row],[Date]],Database!$A:$E,MATCH($B$1,Database!$A$1:$E$1,),))</f>
        <v/>
      </c>
      <c r="C372">
        <f>IF(VLOOKUP(Table73[[#This Row],[Date]],Database!$A:$C,MATCH($C$1,Database!$A$1:$C$1,),)=0,#N/A,VLOOKUP(Table73[[#This Row],[Date]],Database!$A:$C,MATCH($C$1,Database!$A$1:$C$1,),))</f>
        <v/>
      </c>
      <c r="D372">
        <f>IFERROR(Table73[[#This Row],[United States 10y]]-Table73[[#This Row],[United States 2y]],#N/A)</f>
        <v/>
      </c>
    </row>
    <row r="373">
      <c r="A373" s="6">
        <f>Database!A372</f>
        <v/>
      </c>
      <c r="B373">
        <f>IF(VLOOKUP(Table73[[#This Row],[Date]],Database!$A:$E,MATCH($B$1,Database!$A$1:$E$1,),)=0,#N/A,VLOOKUP(Table73[[#This Row],[Date]],Database!$A:$E,MATCH($B$1,Database!$A$1:$E$1,),))</f>
        <v/>
      </c>
      <c r="C373">
        <f>IF(VLOOKUP(Table73[[#This Row],[Date]],Database!$A:$C,MATCH($C$1,Database!$A$1:$C$1,),)=0,#N/A,VLOOKUP(Table73[[#This Row],[Date]],Database!$A:$C,MATCH($C$1,Database!$A$1:$C$1,),))</f>
        <v/>
      </c>
      <c r="D373">
        <f>IFERROR(Table73[[#This Row],[United States 10y]]-Table73[[#This Row],[United States 2y]],#N/A)</f>
        <v/>
      </c>
    </row>
    <row r="374">
      <c r="A374" s="6">
        <f>Database!A373</f>
        <v/>
      </c>
      <c r="B374">
        <f>IF(VLOOKUP(Table73[[#This Row],[Date]],Database!$A:$E,MATCH($B$1,Database!$A$1:$E$1,),)=0,#N/A,VLOOKUP(Table73[[#This Row],[Date]],Database!$A:$E,MATCH($B$1,Database!$A$1:$E$1,),))</f>
        <v/>
      </c>
      <c r="C374">
        <f>IF(VLOOKUP(Table73[[#This Row],[Date]],Database!$A:$C,MATCH($C$1,Database!$A$1:$C$1,),)=0,#N/A,VLOOKUP(Table73[[#This Row],[Date]],Database!$A:$C,MATCH($C$1,Database!$A$1:$C$1,),))</f>
        <v/>
      </c>
      <c r="D374">
        <f>IFERROR(Table73[[#This Row],[United States 10y]]-Table73[[#This Row],[United States 2y]],#N/A)</f>
        <v/>
      </c>
    </row>
    <row r="375">
      <c r="A375" s="6">
        <f>Database!A374</f>
        <v/>
      </c>
      <c r="B375">
        <f>IF(VLOOKUP(Table73[[#This Row],[Date]],Database!$A:$E,MATCH($B$1,Database!$A$1:$E$1,),)=0,#N/A,VLOOKUP(Table73[[#This Row],[Date]],Database!$A:$E,MATCH($B$1,Database!$A$1:$E$1,),))</f>
        <v/>
      </c>
      <c r="C375">
        <f>IF(VLOOKUP(Table73[[#This Row],[Date]],Database!$A:$C,MATCH($C$1,Database!$A$1:$C$1,),)=0,#N/A,VLOOKUP(Table73[[#This Row],[Date]],Database!$A:$C,MATCH($C$1,Database!$A$1:$C$1,),))</f>
        <v/>
      </c>
      <c r="D375">
        <f>IFERROR(Table73[[#This Row],[United States 10y]]-Table73[[#This Row],[United States 2y]],#N/A)</f>
        <v/>
      </c>
    </row>
    <row r="376">
      <c r="A376" s="6">
        <f>Database!A375</f>
        <v/>
      </c>
      <c r="B376">
        <f>IF(VLOOKUP(Table73[[#This Row],[Date]],Database!$A:$E,MATCH($B$1,Database!$A$1:$E$1,),)=0,#N/A,VLOOKUP(Table73[[#This Row],[Date]],Database!$A:$E,MATCH($B$1,Database!$A$1:$E$1,),))</f>
        <v/>
      </c>
      <c r="C376">
        <f>IF(VLOOKUP(Table73[[#This Row],[Date]],Database!$A:$C,MATCH($C$1,Database!$A$1:$C$1,),)=0,#N/A,VLOOKUP(Table73[[#This Row],[Date]],Database!$A:$C,MATCH($C$1,Database!$A$1:$C$1,),))</f>
        <v/>
      </c>
      <c r="D376">
        <f>IFERROR(Table73[[#This Row],[United States 10y]]-Table73[[#This Row],[United States 2y]],#N/A)</f>
        <v/>
      </c>
    </row>
    <row r="377">
      <c r="A377" s="6">
        <f>Database!A376</f>
        <v/>
      </c>
      <c r="B377">
        <f>IF(VLOOKUP(Table73[[#This Row],[Date]],Database!$A:$E,MATCH($B$1,Database!$A$1:$E$1,),)=0,#N/A,VLOOKUP(Table73[[#This Row],[Date]],Database!$A:$E,MATCH($B$1,Database!$A$1:$E$1,),))</f>
        <v/>
      </c>
      <c r="C377">
        <f>IF(VLOOKUP(Table73[[#This Row],[Date]],Database!$A:$C,MATCH($C$1,Database!$A$1:$C$1,),)=0,#N/A,VLOOKUP(Table73[[#This Row],[Date]],Database!$A:$C,MATCH($C$1,Database!$A$1:$C$1,),))</f>
        <v/>
      </c>
      <c r="D377">
        <f>IFERROR(Table73[[#This Row],[United States 10y]]-Table73[[#This Row],[United States 2y]],#N/A)</f>
        <v/>
      </c>
    </row>
    <row r="378">
      <c r="A378" s="6">
        <f>Database!A377</f>
        <v/>
      </c>
      <c r="B378">
        <f>IF(VLOOKUP(Table73[[#This Row],[Date]],Database!$A:$E,MATCH($B$1,Database!$A$1:$E$1,),)=0,#N/A,VLOOKUP(Table73[[#This Row],[Date]],Database!$A:$E,MATCH($B$1,Database!$A$1:$E$1,),))</f>
        <v/>
      </c>
      <c r="C378">
        <f>IF(VLOOKUP(Table73[[#This Row],[Date]],Database!$A:$C,MATCH($C$1,Database!$A$1:$C$1,),)=0,#N/A,VLOOKUP(Table73[[#This Row],[Date]],Database!$A:$C,MATCH($C$1,Database!$A$1:$C$1,),))</f>
        <v/>
      </c>
      <c r="D378">
        <f>IFERROR(Table73[[#This Row],[United States 10y]]-Table73[[#This Row],[United States 2y]],#N/A)</f>
        <v/>
      </c>
    </row>
    <row r="379">
      <c r="A379" s="6">
        <f>Database!A378</f>
        <v/>
      </c>
      <c r="B379">
        <f>IF(VLOOKUP(Table73[[#This Row],[Date]],Database!$A:$E,MATCH($B$1,Database!$A$1:$E$1,),)=0,#N/A,VLOOKUP(Table73[[#This Row],[Date]],Database!$A:$E,MATCH($B$1,Database!$A$1:$E$1,),))</f>
        <v/>
      </c>
      <c r="C379">
        <f>IF(VLOOKUP(Table73[[#This Row],[Date]],Database!$A:$C,MATCH($C$1,Database!$A$1:$C$1,),)=0,#N/A,VLOOKUP(Table73[[#This Row],[Date]],Database!$A:$C,MATCH($C$1,Database!$A$1:$C$1,),))</f>
        <v/>
      </c>
      <c r="D379">
        <f>IFERROR(Table73[[#This Row],[United States 10y]]-Table73[[#This Row],[United States 2y]],#N/A)</f>
        <v/>
      </c>
    </row>
    <row r="380">
      <c r="A380" s="6">
        <f>Database!A379</f>
        <v/>
      </c>
      <c r="B380">
        <f>IF(VLOOKUP(Table73[[#This Row],[Date]],Database!$A:$E,MATCH($B$1,Database!$A$1:$E$1,),)=0,#N/A,VLOOKUP(Table73[[#This Row],[Date]],Database!$A:$E,MATCH($B$1,Database!$A$1:$E$1,),))</f>
        <v/>
      </c>
      <c r="C380">
        <f>IF(VLOOKUP(Table73[[#This Row],[Date]],Database!$A:$C,MATCH($C$1,Database!$A$1:$C$1,),)=0,#N/A,VLOOKUP(Table73[[#This Row],[Date]],Database!$A:$C,MATCH($C$1,Database!$A$1:$C$1,),))</f>
        <v/>
      </c>
      <c r="D380">
        <f>IFERROR(Table73[[#This Row],[United States 10y]]-Table73[[#This Row],[United States 2y]],#N/A)</f>
        <v/>
      </c>
    </row>
    <row r="381">
      <c r="A381" s="6">
        <f>Database!A380</f>
        <v/>
      </c>
      <c r="B381">
        <f>IF(VLOOKUP(Table73[[#This Row],[Date]],Database!$A:$E,MATCH($B$1,Database!$A$1:$E$1,),)=0,#N/A,VLOOKUP(Table73[[#This Row],[Date]],Database!$A:$E,MATCH($B$1,Database!$A$1:$E$1,),))</f>
        <v/>
      </c>
      <c r="C381">
        <f>IF(VLOOKUP(Table73[[#This Row],[Date]],Database!$A:$C,MATCH($C$1,Database!$A$1:$C$1,),)=0,#N/A,VLOOKUP(Table73[[#This Row],[Date]],Database!$A:$C,MATCH($C$1,Database!$A$1:$C$1,),))</f>
        <v/>
      </c>
      <c r="D381">
        <f>IFERROR(Table73[[#This Row],[United States 10y]]-Table73[[#This Row],[United States 2y]],#N/A)</f>
        <v/>
      </c>
    </row>
    <row r="382">
      <c r="A382" s="6">
        <f>Database!A381</f>
        <v/>
      </c>
      <c r="B382">
        <f>IF(VLOOKUP(Table73[[#This Row],[Date]],Database!$A:$E,MATCH($B$1,Database!$A$1:$E$1,),)=0,#N/A,VLOOKUP(Table73[[#This Row],[Date]],Database!$A:$E,MATCH($B$1,Database!$A$1:$E$1,),))</f>
        <v/>
      </c>
      <c r="C382">
        <f>IF(VLOOKUP(Table73[[#This Row],[Date]],Database!$A:$C,MATCH($C$1,Database!$A$1:$C$1,),)=0,#N/A,VLOOKUP(Table73[[#This Row],[Date]],Database!$A:$C,MATCH($C$1,Database!$A$1:$C$1,),))</f>
        <v/>
      </c>
      <c r="D382">
        <f>IFERROR(Table73[[#This Row],[United States 10y]]-Table73[[#This Row],[United States 2y]],#N/A)</f>
        <v/>
      </c>
    </row>
    <row r="383">
      <c r="A383" s="6">
        <f>Database!A382</f>
        <v/>
      </c>
      <c r="B383">
        <f>IF(VLOOKUP(Table73[[#This Row],[Date]],Database!$A:$E,MATCH($B$1,Database!$A$1:$E$1,),)=0,#N/A,VLOOKUP(Table73[[#This Row],[Date]],Database!$A:$E,MATCH($B$1,Database!$A$1:$E$1,),))</f>
        <v/>
      </c>
      <c r="C383">
        <f>IF(VLOOKUP(Table73[[#This Row],[Date]],Database!$A:$C,MATCH($C$1,Database!$A$1:$C$1,),)=0,#N/A,VLOOKUP(Table73[[#This Row],[Date]],Database!$A:$C,MATCH($C$1,Database!$A$1:$C$1,),))</f>
        <v/>
      </c>
      <c r="D383">
        <f>IFERROR(Table73[[#This Row],[United States 10y]]-Table73[[#This Row],[United States 2y]],#N/A)</f>
        <v/>
      </c>
    </row>
    <row r="384">
      <c r="A384" s="6">
        <f>Database!A383</f>
        <v/>
      </c>
      <c r="B384">
        <f>IF(VLOOKUP(Table73[[#This Row],[Date]],Database!$A:$E,MATCH($B$1,Database!$A$1:$E$1,),)=0,#N/A,VLOOKUP(Table73[[#This Row],[Date]],Database!$A:$E,MATCH($B$1,Database!$A$1:$E$1,),))</f>
        <v/>
      </c>
      <c r="C384">
        <f>IF(VLOOKUP(Table73[[#This Row],[Date]],Database!$A:$C,MATCH($C$1,Database!$A$1:$C$1,),)=0,#N/A,VLOOKUP(Table73[[#This Row],[Date]],Database!$A:$C,MATCH($C$1,Database!$A$1:$C$1,),))</f>
        <v/>
      </c>
      <c r="D384">
        <f>IFERROR(Table73[[#This Row],[United States 10y]]-Table73[[#This Row],[United States 2y]],#N/A)</f>
        <v/>
      </c>
    </row>
    <row r="385">
      <c r="A385" s="6">
        <f>Database!A384</f>
        <v/>
      </c>
      <c r="B385">
        <f>IF(VLOOKUP(Table73[[#This Row],[Date]],Database!$A:$E,MATCH($B$1,Database!$A$1:$E$1,),)=0,#N/A,VLOOKUP(Table73[[#This Row],[Date]],Database!$A:$E,MATCH($B$1,Database!$A$1:$E$1,),))</f>
        <v/>
      </c>
      <c r="C385">
        <f>IF(VLOOKUP(Table73[[#This Row],[Date]],Database!$A:$C,MATCH($C$1,Database!$A$1:$C$1,),)=0,#N/A,VLOOKUP(Table73[[#This Row],[Date]],Database!$A:$C,MATCH($C$1,Database!$A$1:$C$1,),))</f>
        <v/>
      </c>
      <c r="D385">
        <f>IFERROR(Table73[[#This Row],[United States 10y]]-Table73[[#This Row],[United States 2y]],#N/A)</f>
        <v/>
      </c>
    </row>
    <row r="386">
      <c r="A386" s="6">
        <f>Database!A385</f>
        <v/>
      </c>
      <c r="B386">
        <f>IF(VLOOKUP(Table73[[#This Row],[Date]],Database!$A:$E,MATCH($B$1,Database!$A$1:$E$1,),)=0,#N/A,VLOOKUP(Table73[[#This Row],[Date]],Database!$A:$E,MATCH($B$1,Database!$A$1:$E$1,),))</f>
        <v/>
      </c>
      <c r="C386">
        <f>IF(VLOOKUP(Table73[[#This Row],[Date]],Database!$A:$C,MATCH($C$1,Database!$A$1:$C$1,),)=0,#N/A,VLOOKUP(Table73[[#This Row],[Date]],Database!$A:$C,MATCH($C$1,Database!$A$1:$C$1,),))</f>
        <v/>
      </c>
      <c r="D386">
        <f>IFERROR(Table73[[#This Row],[United States 10y]]-Table73[[#This Row],[United States 2y]],#N/A)</f>
        <v/>
      </c>
    </row>
    <row r="387">
      <c r="A387" s="6">
        <f>Database!A386</f>
        <v/>
      </c>
      <c r="B387">
        <f>IF(VLOOKUP(Table73[[#This Row],[Date]],Database!$A:$E,MATCH($B$1,Database!$A$1:$E$1,),)=0,#N/A,VLOOKUP(Table73[[#This Row],[Date]],Database!$A:$E,MATCH($B$1,Database!$A$1:$E$1,),))</f>
        <v/>
      </c>
      <c r="C387">
        <f>IF(VLOOKUP(Table73[[#This Row],[Date]],Database!$A:$C,MATCH($C$1,Database!$A$1:$C$1,),)=0,#N/A,VLOOKUP(Table73[[#This Row],[Date]],Database!$A:$C,MATCH($C$1,Database!$A$1:$C$1,),))</f>
        <v/>
      </c>
      <c r="D387">
        <f>IFERROR(Table73[[#This Row],[United States 10y]]-Table73[[#This Row],[United States 2y]],#N/A)</f>
        <v/>
      </c>
    </row>
    <row r="388">
      <c r="A388" s="6">
        <f>Database!A387</f>
        <v/>
      </c>
      <c r="B388">
        <f>IF(VLOOKUP(Table73[[#This Row],[Date]],Database!$A:$E,MATCH($B$1,Database!$A$1:$E$1,),)=0,#N/A,VLOOKUP(Table73[[#This Row],[Date]],Database!$A:$E,MATCH($B$1,Database!$A$1:$E$1,),))</f>
        <v/>
      </c>
      <c r="C388">
        <f>IF(VLOOKUP(Table73[[#This Row],[Date]],Database!$A:$C,MATCH($C$1,Database!$A$1:$C$1,),)=0,#N/A,VLOOKUP(Table73[[#This Row],[Date]],Database!$A:$C,MATCH($C$1,Database!$A$1:$C$1,),))</f>
        <v/>
      </c>
      <c r="D388">
        <f>IFERROR(Table73[[#This Row],[United States 10y]]-Table73[[#This Row],[United States 2y]],#N/A)</f>
        <v/>
      </c>
    </row>
    <row r="389">
      <c r="A389" s="6">
        <f>Database!A388</f>
        <v/>
      </c>
      <c r="B389">
        <f>IF(VLOOKUP(Table73[[#This Row],[Date]],Database!$A:$E,MATCH($B$1,Database!$A$1:$E$1,),)=0,#N/A,VLOOKUP(Table73[[#This Row],[Date]],Database!$A:$E,MATCH($B$1,Database!$A$1:$E$1,),))</f>
        <v/>
      </c>
      <c r="C389">
        <f>IF(VLOOKUP(Table73[[#This Row],[Date]],Database!$A:$C,MATCH($C$1,Database!$A$1:$C$1,),)=0,#N/A,VLOOKUP(Table73[[#This Row],[Date]],Database!$A:$C,MATCH($C$1,Database!$A$1:$C$1,),))</f>
        <v/>
      </c>
      <c r="D389">
        <f>IFERROR(Table73[[#This Row],[United States 10y]]-Table73[[#This Row],[United States 2y]],#N/A)</f>
        <v/>
      </c>
    </row>
    <row r="390">
      <c r="A390" s="6">
        <f>Database!A389</f>
        <v/>
      </c>
      <c r="B390">
        <f>IF(VLOOKUP(Table73[[#This Row],[Date]],Database!$A:$E,MATCH($B$1,Database!$A$1:$E$1,),)=0,#N/A,VLOOKUP(Table73[[#This Row],[Date]],Database!$A:$E,MATCH($B$1,Database!$A$1:$E$1,),))</f>
        <v/>
      </c>
      <c r="C390">
        <f>IF(VLOOKUP(Table73[[#This Row],[Date]],Database!$A:$C,MATCH($C$1,Database!$A$1:$C$1,),)=0,#N/A,VLOOKUP(Table73[[#This Row],[Date]],Database!$A:$C,MATCH($C$1,Database!$A$1:$C$1,),))</f>
        <v/>
      </c>
      <c r="D390">
        <f>IFERROR(Table73[[#This Row],[United States 10y]]-Table73[[#This Row],[United States 2y]],#N/A)</f>
        <v/>
      </c>
    </row>
    <row r="391">
      <c r="A391" s="6">
        <f>Database!A390</f>
        <v/>
      </c>
      <c r="B391">
        <f>IF(VLOOKUP(Table73[[#This Row],[Date]],Database!$A:$E,MATCH($B$1,Database!$A$1:$E$1,),)=0,#N/A,VLOOKUP(Table73[[#This Row],[Date]],Database!$A:$E,MATCH($B$1,Database!$A$1:$E$1,),))</f>
        <v/>
      </c>
      <c r="C391">
        <f>IF(VLOOKUP(Table73[[#This Row],[Date]],Database!$A:$C,MATCH($C$1,Database!$A$1:$C$1,),)=0,#N/A,VLOOKUP(Table73[[#This Row],[Date]],Database!$A:$C,MATCH($C$1,Database!$A$1:$C$1,),))</f>
        <v/>
      </c>
      <c r="D391">
        <f>IFERROR(Table73[[#This Row],[United States 10y]]-Table73[[#This Row],[United States 2y]],#N/A)</f>
        <v/>
      </c>
    </row>
    <row r="392">
      <c r="A392" s="6">
        <f>Database!A391</f>
        <v/>
      </c>
      <c r="B392">
        <f>IF(VLOOKUP(Table73[[#This Row],[Date]],Database!$A:$E,MATCH($B$1,Database!$A$1:$E$1,),)=0,#N/A,VLOOKUP(Table73[[#This Row],[Date]],Database!$A:$E,MATCH($B$1,Database!$A$1:$E$1,),))</f>
        <v/>
      </c>
      <c r="C392">
        <f>IF(VLOOKUP(Table73[[#This Row],[Date]],Database!$A:$C,MATCH($C$1,Database!$A$1:$C$1,),)=0,#N/A,VLOOKUP(Table73[[#This Row],[Date]],Database!$A:$C,MATCH($C$1,Database!$A$1:$C$1,),))</f>
        <v/>
      </c>
      <c r="D392">
        <f>IFERROR(Table73[[#This Row],[United States 10y]]-Table73[[#This Row],[United States 2y]],#N/A)</f>
        <v/>
      </c>
    </row>
    <row r="393">
      <c r="A393" s="6">
        <f>Database!A392</f>
        <v/>
      </c>
      <c r="B393">
        <f>IF(VLOOKUP(Table73[[#This Row],[Date]],Database!$A:$E,MATCH($B$1,Database!$A$1:$E$1,),)=0,#N/A,VLOOKUP(Table73[[#This Row],[Date]],Database!$A:$E,MATCH($B$1,Database!$A$1:$E$1,),))</f>
        <v/>
      </c>
      <c r="C393">
        <f>IF(VLOOKUP(Table73[[#This Row],[Date]],Database!$A:$C,MATCH($C$1,Database!$A$1:$C$1,),)=0,#N/A,VLOOKUP(Table73[[#This Row],[Date]],Database!$A:$C,MATCH($C$1,Database!$A$1:$C$1,),))</f>
        <v/>
      </c>
      <c r="D393">
        <f>IFERROR(Table73[[#This Row],[United States 10y]]-Table73[[#This Row],[United States 2y]],#N/A)</f>
        <v/>
      </c>
    </row>
    <row r="394">
      <c r="A394" s="6">
        <f>Database!A393</f>
        <v/>
      </c>
      <c r="B394">
        <f>IF(VLOOKUP(Table73[[#This Row],[Date]],Database!$A:$E,MATCH($B$1,Database!$A$1:$E$1,),)=0,#N/A,VLOOKUP(Table73[[#This Row],[Date]],Database!$A:$E,MATCH($B$1,Database!$A$1:$E$1,),))</f>
        <v/>
      </c>
      <c r="C394">
        <f>IF(VLOOKUP(Table73[[#This Row],[Date]],Database!$A:$C,MATCH($C$1,Database!$A$1:$C$1,),)=0,#N/A,VLOOKUP(Table73[[#This Row],[Date]],Database!$A:$C,MATCH($C$1,Database!$A$1:$C$1,),))</f>
        <v/>
      </c>
      <c r="D394">
        <f>IFERROR(Table73[[#This Row],[United States 10y]]-Table73[[#This Row],[United States 2y]],#N/A)</f>
        <v/>
      </c>
    </row>
    <row r="395">
      <c r="A395" s="6">
        <f>Database!A394</f>
        <v/>
      </c>
      <c r="B395">
        <f>IF(VLOOKUP(Table73[[#This Row],[Date]],Database!$A:$E,MATCH($B$1,Database!$A$1:$E$1,),)=0,#N/A,VLOOKUP(Table73[[#This Row],[Date]],Database!$A:$E,MATCH($B$1,Database!$A$1:$E$1,),))</f>
        <v/>
      </c>
      <c r="C395">
        <f>IF(VLOOKUP(Table73[[#This Row],[Date]],Database!$A:$C,MATCH($C$1,Database!$A$1:$C$1,),)=0,#N/A,VLOOKUP(Table73[[#This Row],[Date]],Database!$A:$C,MATCH($C$1,Database!$A$1:$C$1,),))</f>
        <v/>
      </c>
      <c r="D395">
        <f>IFERROR(Table73[[#This Row],[United States 10y]]-Table73[[#This Row],[United States 2y]],#N/A)</f>
        <v/>
      </c>
    </row>
    <row r="396">
      <c r="A396" s="6">
        <f>Database!A395</f>
        <v/>
      </c>
      <c r="B396">
        <f>IF(VLOOKUP(Table73[[#This Row],[Date]],Database!$A:$E,MATCH($B$1,Database!$A$1:$E$1,),)=0,#N/A,VLOOKUP(Table73[[#This Row],[Date]],Database!$A:$E,MATCH($B$1,Database!$A$1:$E$1,),))</f>
        <v/>
      </c>
      <c r="C396">
        <f>IF(VLOOKUP(Table73[[#This Row],[Date]],Database!$A:$C,MATCH($C$1,Database!$A$1:$C$1,),)=0,#N/A,VLOOKUP(Table73[[#This Row],[Date]],Database!$A:$C,MATCH($C$1,Database!$A$1:$C$1,),))</f>
        <v/>
      </c>
      <c r="D396">
        <f>IFERROR(Table73[[#This Row],[United States 10y]]-Table73[[#This Row],[United States 2y]],#N/A)</f>
        <v/>
      </c>
    </row>
    <row r="397">
      <c r="A397" s="6">
        <f>Database!A396</f>
        <v/>
      </c>
      <c r="B397">
        <f>IF(VLOOKUP(Table73[[#This Row],[Date]],Database!$A:$E,MATCH($B$1,Database!$A$1:$E$1,),)=0,#N/A,VLOOKUP(Table73[[#This Row],[Date]],Database!$A:$E,MATCH($B$1,Database!$A$1:$E$1,),))</f>
        <v/>
      </c>
      <c r="C397">
        <f>IF(VLOOKUP(Table73[[#This Row],[Date]],Database!$A:$C,MATCH($C$1,Database!$A$1:$C$1,),)=0,#N/A,VLOOKUP(Table73[[#This Row],[Date]],Database!$A:$C,MATCH($C$1,Database!$A$1:$C$1,),))</f>
        <v/>
      </c>
      <c r="D397">
        <f>IFERROR(Table73[[#This Row],[United States 10y]]-Table73[[#This Row],[United States 2y]],#N/A)</f>
        <v/>
      </c>
    </row>
    <row r="398">
      <c r="A398" s="6">
        <f>Database!A397</f>
        <v/>
      </c>
      <c r="B398">
        <f>IF(VLOOKUP(Table73[[#This Row],[Date]],Database!$A:$E,MATCH($B$1,Database!$A$1:$E$1,),)=0,#N/A,VLOOKUP(Table73[[#This Row],[Date]],Database!$A:$E,MATCH($B$1,Database!$A$1:$E$1,),))</f>
        <v/>
      </c>
      <c r="C398">
        <f>IF(VLOOKUP(Table73[[#This Row],[Date]],Database!$A:$C,MATCH($C$1,Database!$A$1:$C$1,),)=0,#N/A,VLOOKUP(Table73[[#This Row],[Date]],Database!$A:$C,MATCH($C$1,Database!$A$1:$C$1,),))</f>
        <v/>
      </c>
      <c r="D398">
        <f>IFERROR(Table73[[#This Row],[United States 10y]]-Table73[[#This Row],[United States 2y]],#N/A)</f>
        <v/>
      </c>
    </row>
    <row r="399">
      <c r="A399" s="6">
        <f>Database!A398</f>
        <v/>
      </c>
      <c r="B399">
        <f>IF(VLOOKUP(Table73[[#This Row],[Date]],Database!$A:$E,MATCH($B$1,Database!$A$1:$E$1,),)=0,#N/A,VLOOKUP(Table73[[#This Row],[Date]],Database!$A:$E,MATCH($B$1,Database!$A$1:$E$1,),))</f>
        <v/>
      </c>
      <c r="C399">
        <f>IF(VLOOKUP(Table73[[#This Row],[Date]],Database!$A:$C,MATCH($C$1,Database!$A$1:$C$1,),)=0,#N/A,VLOOKUP(Table73[[#This Row],[Date]],Database!$A:$C,MATCH($C$1,Database!$A$1:$C$1,),))</f>
        <v/>
      </c>
      <c r="D399">
        <f>IFERROR(Table73[[#This Row],[United States 10y]]-Table73[[#This Row],[United States 2y]],#N/A)</f>
        <v/>
      </c>
    </row>
    <row r="400">
      <c r="A400" s="6">
        <f>Database!A399</f>
        <v/>
      </c>
      <c r="B400">
        <f>IF(VLOOKUP(Table73[[#This Row],[Date]],Database!$A:$E,MATCH($B$1,Database!$A$1:$E$1,),)=0,#N/A,VLOOKUP(Table73[[#This Row],[Date]],Database!$A:$E,MATCH($B$1,Database!$A$1:$E$1,),))</f>
        <v/>
      </c>
      <c r="C400">
        <f>IF(VLOOKUP(Table73[[#This Row],[Date]],Database!$A:$C,MATCH($C$1,Database!$A$1:$C$1,),)=0,#N/A,VLOOKUP(Table73[[#This Row],[Date]],Database!$A:$C,MATCH($C$1,Database!$A$1:$C$1,),))</f>
        <v/>
      </c>
      <c r="D400">
        <f>IFERROR(Table73[[#This Row],[United States 10y]]-Table73[[#This Row],[United States 2y]],#N/A)</f>
        <v/>
      </c>
    </row>
    <row r="401">
      <c r="A401" s="6">
        <f>Database!A400</f>
        <v/>
      </c>
      <c r="B401">
        <f>IF(VLOOKUP(Table73[[#This Row],[Date]],Database!$A:$E,MATCH($B$1,Database!$A$1:$E$1,),)=0,#N/A,VLOOKUP(Table73[[#This Row],[Date]],Database!$A:$E,MATCH($B$1,Database!$A$1:$E$1,),))</f>
        <v/>
      </c>
      <c r="C401">
        <f>IF(VLOOKUP(Table73[[#This Row],[Date]],Database!$A:$C,MATCH($C$1,Database!$A$1:$C$1,),)=0,#N/A,VLOOKUP(Table73[[#This Row],[Date]],Database!$A:$C,MATCH($C$1,Database!$A$1:$C$1,),))</f>
        <v/>
      </c>
      <c r="D401">
        <f>IFERROR(Table73[[#This Row],[United States 10y]]-Table73[[#This Row],[United States 2y]],#N/A)</f>
        <v/>
      </c>
    </row>
    <row r="402">
      <c r="A402" s="6">
        <f>Database!A401</f>
        <v/>
      </c>
      <c r="B402">
        <f>IF(VLOOKUP(Table73[[#This Row],[Date]],Database!$A:$E,MATCH($B$1,Database!$A$1:$E$1,),)=0,#N/A,VLOOKUP(Table73[[#This Row],[Date]],Database!$A:$E,MATCH($B$1,Database!$A$1:$E$1,),))</f>
        <v/>
      </c>
      <c r="C402">
        <f>IF(VLOOKUP(Table73[[#This Row],[Date]],Database!$A:$C,MATCH($C$1,Database!$A$1:$C$1,),)=0,#N/A,VLOOKUP(Table73[[#This Row],[Date]],Database!$A:$C,MATCH($C$1,Database!$A$1:$C$1,),))</f>
        <v/>
      </c>
      <c r="D402">
        <f>IFERROR(Table73[[#This Row],[United States 10y]]-Table73[[#This Row],[United States 2y]],#N/A)</f>
        <v/>
      </c>
    </row>
    <row r="403">
      <c r="A403" s="6">
        <f>Database!A402</f>
        <v/>
      </c>
      <c r="B403">
        <f>IF(VLOOKUP(Table73[[#This Row],[Date]],Database!$A:$E,MATCH($B$1,Database!$A$1:$E$1,),)=0,#N/A,VLOOKUP(Table73[[#This Row],[Date]],Database!$A:$E,MATCH($B$1,Database!$A$1:$E$1,),))</f>
        <v/>
      </c>
      <c r="C403">
        <f>IF(VLOOKUP(Table73[[#This Row],[Date]],Database!$A:$C,MATCH($C$1,Database!$A$1:$C$1,),)=0,#N/A,VLOOKUP(Table73[[#This Row],[Date]],Database!$A:$C,MATCH($C$1,Database!$A$1:$C$1,),))</f>
        <v/>
      </c>
      <c r="D403">
        <f>IFERROR(Table73[[#This Row],[United States 10y]]-Table73[[#This Row],[United States 2y]],#N/A)</f>
        <v/>
      </c>
    </row>
    <row r="404">
      <c r="A404" s="6">
        <f>Database!A403</f>
        <v/>
      </c>
      <c r="B404">
        <f>IF(VLOOKUP(Table73[[#This Row],[Date]],Database!$A:$E,MATCH($B$1,Database!$A$1:$E$1,),)=0,#N/A,VLOOKUP(Table73[[#This Row],[Date]],Database!$A:$E,MATCH($B$1,Database!$A$1:$E$1,),))</f>
        <v/>
      </c>
      <c r="C404">
        <f>IF(VLOOKUP(Table73[[#This Row],[Date]],Database!$A:$C,MATCH($C$1,Database!$A$1:$C$1,),)=0,#N/A,VLOOKUP(Table73[[#This Row],[Date]],Database!$A:$C,MATCH($C$1,Database!$A$1:$C$1,),))</f>
        <v/>
      </c>
      <c r="D404">
        <f>IFERROR(Table73[[#This Row],[United States 10y]]-Table73[[#This Row],[United States 2y]],#N/A)</f>
        <v/>
      </c>
    </row>
    <row r="405">
      <c r="A405" s="6">
        <f>Database!A404</f>
        <v/>
      </c>
      <c r="B405">
        <f>IF(VLOOKUP(Table73[[#This Row],[Date]],Database!$A:$E,MATCH($B$1,Database!$A$1:$E$1,),)=0,#N/A,VLOOKUP(Table73[[#This Row],[Date]],Database!$A:$E,MATCH($B$1,Database!$A$1:$E$1,),))</f>
        <v/>
      </c>
      <c r="C405">
        <f>IF(VLOOKUP(Table73[[#This Row],[Date]],Database!$A:$C,MATCH($C$1,Database!$A$1:$C$1,),)=0,#N/A,VLOOKUP(Table73[[#This Row],[Date]],Database!$A:$C,MATCH($C$1,Database!$A$1:$C$1,),))</f>
        <v/>
      </c>
      <c r="D405">
        <f>IFERROR(Table73[[#This Row],[United States 10y]]-Table73[[#This Row],[United States 2y]],#N/A)</f>
        <v/>
      </c>
    </row>
    <row r="406">
      <c r="A406" s="6">
        <f>Database!A405</f>
        <v/>
      </c>
      <c r="B406">
        <f>IF(VLOOKUP(Table73[[#This Row],[Date]],Database!$A:$E,MATCH($B$1,Database!$A$1:$E$1,),)=0,#N/A,VLOOKUP(Table73[[#This Row],[Date]],Database!$A:$E,MATCH($B$1,Database!$A$1:$E$1,),))</f>
        <v/>
      </c>
      <c r="C406">
        <f>IF(VLOOKUP(Table73[[#This Row],[Date]],Database!$A:$C,MATCH($C$1,Database!$A$1:$C$1,),)=0,#N/A,VLOOKUP(Table73[[#This Row],[Date]],Database!$A:$C,MATCH($C$1,Database!$A$1:$C$1,),))</f>
        <v/>
      </c>
      <c r="D406">
        <f>IFERROR(Table73[[#This Row],[United States 10y]]-Table73[[#This Row],[United States 2y]],#N/A)</f>
        <v/>
      </c>
    </row>
    <row r="407">
      <c r="A407" s="6">
        <f>Database!A406</f>
        <v/>
      </c>
      <c r="B407">
        <f>IF(VLOOKUP(Table73[[#This Row],[Date]],Database!$A:$E,MATCH($B$1,Database!$A$1:$E$1,),)=0,#N/A,VLOOKUP(Table73[[#This Row],[Date]],Database!$A:$E,MATCH($B$1,Database!$A$1:$E$1,),))</f>
        <v/>
      </c>
      <c r="C407">
        <f>IF(VLOOKUP(Table73[[#This Row],[Date]],Database!$A:$C,MATCH($C$1,Database!$A$1:$C$1,),)=0,#N/A,VLOOKUP(Table73[[#This Row],[Date]],Database!$A:$C,MATCH($C$1,Database!$A$1:$C$1,),))</f>
        <v/>
      </c>
      <c r="D407">
        <f>IFERROR(Table73[[#This Row],[United States 10y]]-Table73[[#This Row],[United States 2y]],#N/A)</f>
        <v/>
      </c>
    </row>
    <row r="408">
      <c r="A408" s="6">
        <f>Database!A407</f>
        <v/>
      </c>
      <c r="B408">
        <f>IF(VLOOKUP(Table73[[#This Row],[Date]],Database!$A:$E,MATCH($B$1,Database!$A$1:$E$1,),)=0,#N/A,VLOOKUP(Table73[[#This Row],[Date]],Database!$A:$E,MATCH($B$1,Database!$A$1:$E$1,),))</f>
        <v/>
      </c>
      <c r="C408">
        <f>IF(VLOOKUP(Table73[[#This Row],[Date]],Database!$A:$C,MATCH($C$1,Database!$A$1:$C$1,),)=0,#N/A,VLOOKUP(Table73[[#This Row],[Date]],Database!$A:$C,MATCH($C$1,Database!$A$1:$C$1,),))</f>
        <v/>
      </c>
      <c r="D408">
        <f>IFERROR(Table73[[#This Row],[United States 10y]]-Table73[[#This Row],[United States 2y]],#N/A)</f>
        <v/>
      </c>
    </row>
    <row r="409">
      <c r="A409" s="6">
        <f>Database!A408</f>
        <v/>
      </c>
      <c r="B409">
        <f>IF(VLOOKUP(Table73[[#This Row],[Date]],Database!$A:$E,MATCH($B$1,Database!$A$1:$E$1,),)=0,#N/A,VLOOKUP(Table73[[#This Row],[Date]],Database!$A:$E,MATCH($B$1,Database!$A$1:$E$1,),))</f>
        <v/>
      </c>
      <c r="C409">
        <f>IF(VLOOKUP(Table73[[#This Row],[Date]],Database!$A:$C,MATCH($C$1,Database!$A$1:$C$1,),)=0,#N/A,VLOOKUP(Table73[[#This Row],[Date]],Database!$A:$C,MATCH($C$1,Database!$A$1:$C$1,),))</f>
        <v/>
      </c>
      <c r="D409">
        <f>IFERROR(Table73[[#This Row],[United States 10y]]-Table73[[#This Row],[United States 2y]],#N/A)</f>
        <v/>
      </c>
    </row>
    <row r="410">
      <c r="A410" s="6">
        <f>Database!A409</f>
        <v/>
      </c>
      <c r="B410">
        <f>IF(VLOOKUP(Table73[[#This Row],[Date]],Database!$A:$E,MATCH($B$1,Database!$A$1:$E$1,),)=0,#N/A,VLOOKUP(Table73[[#This Row],[Date]],Database!$A:$E,MATCH($B$1,Database!$A$1:$E$1,),))</f>
        <v/>
      </c>
      <c r="C410">
        <f>IF(VLOOKUP(Table73[[#This Row],[Date]],Database!$A:$C,MATCH($C$1,Database!$A$1:$C$1,),)=0,#N/A,VLOOKUP(Table73[[#This Row],[Date]],Database!$A:$C,MATCH($C$1,Database!$A$1:$C$1,),))</f>
        <v/>
      </c>
      <c r="D410">
        <f>IFERROR(Table73[[#This Row],[United States 10y]]-Table73[[#This Row],[United States 2y]],#N/A)</f>
        <v/>
      </c>
    </row>
    <row r="411">
      <c r="A411" s="6">
        <f>Database!A410</f>
        <v/>
      </c>
      <c r="B411">
        <f>IF(VLOOKUP(Table73[[#This Row],[Date]],Database!$A:$E,MATCH($B$1,Database!$A$1:$E$1,),)=0,#N/A,VLOOKUP(Table73[[#This Row],[Date]],Database!$A:$E,MATCH($B$1,Database!$A$1:$E$1,),))</f>
        <v/>
      </c>
      <c r="C411">
        <f>IF(VLOOKUP(Table73[[#This Row],[Date]],Database!$A:$C,MATCH($C$1,Database!$A$1:$C$1,),)=0,#N/A,VLOOKUP(Table73[[#This Row],[Date]],Database!$A:$C,MATCH($C$1,Database!$A$1:$C$1,),))</f>
        <v/>
      </c>
      <c r="D411">
        <f>IFERROR(Table73[[#This Row],[United States 10y]]-Table73[[#This Row],[United States 2y]],#N/A)</f>
        <v/>
      </c>
    </row>
    <row r="412">
      <c r="A412" s="6">
        <f>Database!A411</f>
        <v/>
      </c>
      <c r="B412">
        <f>IF(VLOOKUP(Table73[[#This Row],[Date]],Database!$A:$E,MATCH($B$1,Database!$A$1:$E$1,),)=0,#N/A,VLOOKUP(Table73[[#This Row],[Date]],Database!$A:$E,MATCH($B$1,Database!$A$1:$E$1,),))</f>
        <v/>
      </c>
      <c r="C412">
        <f>IF(VLOOKUP(Table73[[#This Row],[Date]],Database!$A:$C,MATCH($C$1,Database!$A$1:$C$1,),)=0,#N/A,VLOOKUP(Table73[[#This Row],[Date]],Database!$A:$C,MATCH($C$1,Database!$A$1:$C$1,),))</f>
        <v/>
      </c>
      <c r="D412">
        <f>IFERROR(Table73[[#This Row],[United States 10y]]-Table73[[#This Row],[United States 2y]],#N/A)</f>
        <v/>
      </c>
    </row>
    <row r="413">
      <c r="A413" s="6">
        <f>Database!A412</f>
        <v/>
      </c>
      <c r="B413">
        <f>IF(VLOOKUP(Table73[[#This Row],[Date]],Database!$A:$E,MATCH($B$1,Database!$A$1:$E$1,),)=0,#N/A,VLOOKUP(Table73[[#This Row],[Date]],Database!$A:$E,MATCH($B$1,Database!$A$1:$E$1,),))</f>
        <v/>
      </c>
      <c r="C413">
        <f>IF(VLOOKUP(Table73[[#This Row],[Date]],Database!$A:$C,MATCH($C$1,Database!$A$1:$C$1,),)=0,#N/A,VLOOKUP(Table73[[#This Row],[Date]],Database!$A:$C,MATCH($C$1,Database!$A$1:$C$1,),))</f>
        <v/>
      </c>
      <c r="D413">
        <f>IFERROR(Table73[[#This Row],[United States 10y]]-Table73[[#This Row],[United States 2y]],#N/A)</f>
        <v/>
      </c>
    </row>
    <row r="414">
      <c r="A414" s="6">
        <f>Database!A413</f>
        <v/>
      </c>
      <c r="B414">
        <f>IF(VLOOKUP(Table73[[#This Row],[Date]],Database!$A:$E,MATCH($B$1,Database!$A$1:$E$1,),)=0,#N/A,VLOOKUP(Table73[[#This Row],[Date]],Database!$A:$E,MATCH($B$1,Database!$A$1:$E$1,),))</f>
        <v/>
      </c>
      <c r="C414">
        <f>IF(VLOOKUP(Table73[[#This Row],[Date]],Database!$A:$C,MATCH($C$1,Database!$A$1:$C$1,),)=0,#N/A,VLOOKUP(Table73[[#This Row],[Date]],Database!$A:$C,MATCH($C$1,Database!$A$1:$C$1,),))</f>
        <v/>
      </c>
      <c r="D414">
        <f>IFERROR(Table73[[#This Row],[United States 10y]]-Table73[[#This Row],[United States 2y]],#N/A)</f>
        <v/>
      </c>
    </row>
    <row r="415">
      <c r="A415" s="6">
        <f>Database!A414</f>
        <v/>
      </c>
      <c r="B415">
        <f>IF(VLOOKUP(Table73[[#This Row],[Date]],Database!$A:$E,MATCH($B$1,Database!$A$1:$E$1,),)=0,#N/A,VLOOKUP(Table73[[#This Row],[Date]],Database!$A:$E,MATCH($B$1,Database!$A$1:$E$1,),))</f>
        <v/>
      </c>
      <c r="C415">
        <f>IF(VLOOKUP(Table73[[#This Row],[Date]],Database!$A:$C,MATCH($C$1,Database!$A$1:$C$1,),)=0,#N/A,VLOOKUP(Table73[[#This Row],[Date]],Database!$A:$C,MATCH($C$1,Database!$A$1:$C$1,),))</f>
        <v/>
      </c>
      <c r="D415">
        <f>IFERROR(Table73[[#This Row],[United States 10y]]-Table73[[#This Row],[United States 2y]],#N/A)</f>
        <v/>
      </c>
    </row>
    <row r="416">
      <c r="A416" s="6">
        <f>Database!A415</f>
        <v/>
      </c>
      <c r="B416">
        <f>IF(VLOOKUP(Table73[[#This Row],[Date]],Database!$A:$E,MATCH($B$1,Database!$A$1:$E$1,),)=0,#N/A,VLOOKUP(Table73[[#This Row],[Date]],Database!$A:$E,MATCH($B$1,Database!$A$1:$E$1,),))</f>
        <v/>
      </c>
      <c r="C416">
        <f>IF(VLOOKUP(Table73[[#This Row],[Date]],Database!$A:$C,MATCH($C$1,Database!$A$1:$C$1,),)=0,#N/A,VLOOKUP(Table73[[#This Row],[Date]],Database!$A:$C,MATCH($C$1,Database!$A$1:$C$1,),))</f>
        <v/>
      </c>
      <c r="D416">
        <f>IFERROR(Table73[[#This Row],[United States 10y]]-Table73[[#This Row],[United States 2y]],#N/A)</f>
        <v/>
      </c>
    </row>
    <row r="417">
      <c r="A417" s="6">
        <f>Database!A416</f>
        <v/>
      </c>
      <c r="B417">
        <f>IF(VLOOKUP(Table73[[#This Row],[Date]],Database!$A:$E,MATCH($B$1,Database!$A$1:$E$1,),)=0,#N/A,VLOOKUP(Table73[[#This Row],[Date]],Database!$A:$E,MATCH($B$1,Database!$A$1:$E$1,),))</f>
        <v/>
      </c>
      <c r="C417">
        <f>IF(VLOOKUP(Table73[[#This Row],[Date]],Database!$A:$C,MATCH($C$1,Database!$A$1:$C$1,),)=0,#N/A,VLOOKUP(Table73[[#This Row],[Date]],Database!$A:$C,MATCH($C$1,Database!$A$1:$C$1,),))</f>
        <v/>
      </c>
      <c r="D417">
        <f>IFERROR(Table73[[#This Row],[United States 10y]]-Table73[[#This Row],[United States 2y]],#N/A)</f>
        <v/>
      </c>
    </row>
    <row r="418">
      <c r="A418" s="6">
        <f>Database!A417</f>
        <v/>
      </c>
      <c r="B418">
        <f>IF(VLOOKUP(Table73[[#This Row],[Date]],Database!$A:$E,MATCH($B$1,Database!$A$1:$E$1,),)=0,#N/A,VLOOKUP(Table73[[#This Row],[Date]],Database!$A:$E,MATCH($B$1,Database!$A$1:$E$1,),))</f>
        <v/>
      </c>
      <c r="C418">
        <f>IF(VLOOKUP(Table73[[#This Row],[Date]],Database!$A:$C,MATCH($C$1,Database!$A$1:$C$1,),)=0,#N/A,VLOOKUP(Table73[[#This Row],[Date]],Database!$A:$C,MATCH($C$1,Database!$A$1:$C$1,),))</f>
        <v/>
      </c>
      <c r="D418">
        <f>IFERROR(Table73[[#This Row],[United States 10y]]-Table73[[#This Row],[United States 2y]],#N/A)</f>
        <v/>
      </c>
    </row>
    <row r="419">
      <c r="A419" s="6">
        <f>Database!A418</f>
        <v/>
      </c>
      <c r="B419">
        <f>IF(VLOOKUP(Table73[[#This Row],[Date]],Database!$A:$E,MATCH($B$1,Database!$A$1:$E$1,),)=0,#N/A,VLOOKUP(Table73[[#This Row],[Date]],Database!$A:$E,MATCH($B$1,Database!$A$1:$E$1,),))</f>
        <v/>
      </c>
      <c r="C419">
        <f>IF(VLOOKUP(Table73[[#This Row],[Date]],Database!$A:$C,MATCH($C$1,Database!$A$1:$C$1,),)=0,#N/A,VLOOKUP(Table73[[#This Row],[Date]],Database!$A:$C,MATCH($C$1,Database!$A$1:$C$1,),))</f>
        <v/>
      </c>
      <c r="D419">
        <f>IFERROR(Table73[[#This Row],[United States 10y]]-Table73[[#This Row],[United States 2y]],#N/A)</f>
        <v/>
      </c>
    </row>
    <row r="420">
      <c r="A420" s="6">
        <f>Database!A419</f>
        <v/>
      </c>
      <c r="B420">
        <f>IF(VLOOKUP(Table73[[#This Row],[Date]],Database!$A:$E,MATCH($B$1,Database!$A$1:$E$1,),)=0,#N/A,VLOOKUP(Table73[[#This Row],[Date]],Database!$A:$E,MATCH($B$1,Database!$A$1:$E$1,),))</f>
        <v/>
      </c>
      <c r="C420">
        <f>IF(VLOOKUP(Table73[[#This Row],[Date]],Database!$A:$C,MATCH($C$1,Database!$A$1:$C$1,),)=0,#N/A,VLOOKUP(Table73[[#This Row],[Date]],Database!$A:$C,MATCH($C$1,Database!$A$1:$C$1,),))</f>
        <v/>
      </c>
      <c r="D420">
        <f>IFERROR(Table73[[#This Row],[United States 10y]]-Table73[[#This Row],[United States 2y]],#N/A)</f>
        <v/>
      </c>
    </row>
    <row r="421">
      <c r="A421" s="6">
        <f>Database!A420</f>
        <v/>
      </c>
      <c r="B421">
        <f>IF(VLOOKUP(Table73[[#This Row],[Date]],Database!$A:$E,MATCH($B$1,Database!$A$1:$E$1,),)=0,#N/A,VLOOKUP(Table73[[#This Row],[Date]],Database!$A:$E,MATCH($B$1,Database!$A$1:$E$1,),))</f>
        <v/>
      </c>
      <c r="C421">
        <f>IF(VLOOKUP(Table73[[#This Row],[Date]],Database!$A:$C,MATCH($C$1,Database!$A$1:$C$1,),)=0,#N/A,VLOOKUP(Table73[[#This Row],[Date]],Database!$A:$C,MATCH($C$1,Database!$A$1:$C$1,),))</f>
        <v/>
      </c>
      <c r="D421">
        <f>IFERROR(Table73[[#This Row],[United States 10y]]-Table73[[#This Row],[United States 2y]],#N/A)</f>
        <v/>
      </c>
    </row>
    <row r="422">
      <c r="A422" s="6">
        <f>Database!A421</f>
        <v/>
      </c>
      <c r="B422">
        <f>IF(VLOOKUP(Table73[[#This Row],[Date]],Database!$A:$E,MATCH($B$1,Database!$A$1:$E$1,),)=0,#N/A,VLOOKUP(Table73[[#This Row],[Date]],Database!$A:$E,MATCH($B$1,Database!$A$1:$E$1,),))</f>
        <v/>
      </c>
      <c r="C422">
        <f>IF(VLOOKUP(Table73[[#This Row],[Date]],Database!$A:$C,MATCH($C$1,Database!$A$1:$C$1,),)=0,#N/A,VLOOKUP(Table73[[#This Row],[Date]],Database!$A:$C,MATCH($C$1,Database!$A$1:$C$1,),))</f>
        <v/>
      </c>
      <c r="D422">
        <f>IFERROR(Table73[[#This Row],[United States 10y]]-Table73[[#This Row],[United States 2y]],#N/A)</f>
        <v/>
      </c>
    </row>
    <row r="423">
      <c r="A423" s="6">
        <f>Database!A422</f>
        <v/>
      </c>
      <c r="B423">
        <f>IF(VLOOKUP(Table73[[#This Row],[Date]],Database!$A:$E,MATCH($B$1,Database!$A$1:$E$1,),)=0,#N/A,VLOOKUP(Table73[[#This Row],[Date]],Database!$A:$E,MATCH($B$1,Database!$A$1:$E$1,),))</f>
        <v/>
      </c>
      <c r="C423">
        <f>IF(VLOOKUP(Table73[[#This Row],[Date]],Database!$A:$C,MATCH($C$1,Database!$A$1:$C$1,),)=0,#N/A,VLOOKUP(Table73[[#This Row],[Date]],Database!$A:$C,MATCH($C$1,Database!$A$1:$C$1,),))</f>
        <v/>
      </c>
      <c r="D423">
        <f>IFERROR(Table73[[#This Row],[United States 10y]]-Table73[[#This Row],[United States 2y]],#N/A)</f>
        <v/>
      </c>
    </row>
    <row r="424">
      <c r="A424" s="6">
        <f>Database!A423</f>
        <v/>
      </c>
      <c r="B424">
        <f>IF(VLOOKUP(Table73[[#This Row],[Date]],Database!$A:$E,MATCH($B$1,Database!$A$1:$E$1,),)=0,#N/A,VLOOKUP(Table73[[#This Row],[Date]],Database!$A:$E,MATCH($B$1,Database!$A$1:$E$1,),))</f>
        <v/>
      </c>
      <c r="C424">
        <f>IF(VLOOKUP(Table73[[#This Row],[Date]],Database!$A:$C,MATCH($C$1,Database!$A$1:$C$1,),)=0,#N/A,VLOOKUP(Table73[[#This Row],[Date]],Database!$A:$C,MATCH($C$1,Database!$A$1:$C$1,),))</f>
        <v/>
      </c>
      <c r="D424">
        <f>IFERROR(Table73[[#This Row],[United States 10y]]-Table73[[#This Row],[United States 2y]],#N/A)</f>
        <v/>
      </c>
    </row>
    <row r="425">
      <c r="A425" s="6">
        <f>Database!A424</f>
        <v/>
      </c>
      <c r="B425">
        <f>IF(VLOOKUP(Table73[[#This Row],[Date]],Database!$A:$E,MATCH($B$1,Database!$A$1:$E$1,),)=0,#N/A,VLOOKUP(Table73[[#This Row],[Date]],Database!$A:$E,MATCH($B$1,Database!$A$1:$E$1,),))</f>
        <v/>
      </c>
      <c r="C425">
        <f>IF(VLOOKUP(Table73[[#This Row],[Date]],Database!$A:$C,MATCH($C$1,Database!$A$1:$C$1,),)=0,#N/A,VLOOKUP(Table73[[#This Row],[Date]],Database!$A:$C,MATCH($C$1,Database!$A$1:$C$1,),))</f>
        <v/>
      </c>
      <c r="D425">
        <f>IFERROR(Table73[[#This Row],[United States 10y]]-Table73[[#This Row],[United States 2y]],#N/A)</f>
        <v/>
      </c>
    </row>
    <row r="426">
      <c r="A426" s="6">
        <f>Database!A425</f>
        <v/>
      </c>
      <c r="B426">
        <f>IF(VLOOKUP(Table73[[#This Row],[Date]],Database!$A:$E,MATCH($B$1,Database!$A$1:$E$1,),)=0,#N/A,VLOOKUP(Table73[[#This Row],[Date]],Database!$A:$E,MATCH($B$1,Database!$A$1:$E$1,),))</f>
        <v/>
      </c>
      <c r="C426">
        <f>IF(VLOOKUP(Table73[[#This Row],[Date]],Database!$A:$C,MATCH($C$1,Database!$A$1:$C$1,),)=0,#N/A,VLOOKUP(Table73[[#This Row],[Date]],Database!$A:$C,MATCH($C$1,Database!$A$1:$C$1,),))</f>
        <v/>
      </c>
      <c r="D426">
        <f>IFERROR(Table73[[#This Row],[United States 10y]]-Table73[[#This Row],[United States 2y]],#N/A)</f>
        <v/>
      </c>
    </row>
    <row r="427">
      <c r="A427" s="6">
        <f>Database!A426</f>
        <v/>
      </c>
      <c r="B427">
        <f>IF(VLOOKUP(Table73[[#This Row],[Date]],Database!$A:$E,MATCH($B$1,Database!$A$1:$E$1,),)=0,#N/A,VLOOKUP(Table73[[#This Row],[Date]],Database!$A:$E,MATCH($B$1,Database!$A$1:$E$1,),))</f>
        <v/>
      </c>
      <c r="C427">
        <f>IF(VLOOKUP(Table73[[#This Row],[Date]],Database!$A:$C,MATCH($C$1,Database!$A$1:$C$1,),)=0,#N/A,VLOOKUP(Table73[[#This Row],[Date]],Database!$A:$C,MATCH($C$1,Database!$A$1:$C$1,),))</f>
        <v/>
      </c>
      <c r="D427">
        <f>IFERROR(Table73[[#This Row],[United States 10y]]-Table73[[#This Row],[United States 2y]],#N/A)</f>
        <v/>
      </c>
    </row>
    <row r="428">
      <c r="A428" s="6">
        <f>Database!A427</f>
        <v/>
      </c>
      <c r="B428">
        <f>IF(VLOOKUP(Table73[[#This Row],[Date]],Database!$A:$E,MATCH($B$1,Database!$A$1:$E$1,),)=0,#N/A,VLOOKUP(Table73[[#This Row],[Date]],Database!$A:$E,MATCH($B$1,Database!$A$1:$E$1,),))</f>
        <v/>
      </c>
      <c r="C428">
        <f>IF(VLOOKUP(Table73[[#This Row],[Date]],Database!$A:$C,MATCH($C$1,Database!$A$1:$C$1,),)=0,#N/A,VLOOKUP(Table73[[#This Row],[Date]],Database!$A:$C,MATCH($C$1,Database!$A$1:$C$1,),))</f>
        <v/>
      </c>
      <c r="D428">
        <f>IFERROR(Table73[[#This Row],[United States 10y]]-Table73[[#This Row],[United States 2y]],#N/A)</f>
        <v/>
      </c>
    </row>
    <row r="429">
      <c r="A429" s="6">
        <f>Database!A428</f>
        <v/>
      </c>
      <c r="B429">
        <f>IF(VLOOKUP(Table73[[#This Row],[Date]],Database!$A:$E,MATCH($B$1,Database!$A$1:$E$1,),)=0,#N/A,VLOOKUP(Table73[[#This Row],[Date]],Database!$A:$E,MATCH($B$1,Database!$A$1:$E$1,),))</f>
        <v/>
      </c>
      <c r="C429">
        <f>IF(VLOOKUP(Table73[[#This Row],[Date]],Database!$A:$C,MATCH($C$1,Database!$A$1:$C$1,),)=0,#N/A,VLOOKUP(Table73[[#This Row],[Date]],Database!$A:$C,MATCH($C$1,Database!$A$1:$C$1,),))</f>
        <v/>
      </c>
      <c r="D429">
        <f>IFERROR(Table73[[#This Row],[United States 10y]]-Table73[[#This Row],[United States 2y]],#N/A)</f>
        <v/>
      </c>
    </row>
    <row r="430">
      <c r="A430" s="6">
        <f>Database!A429</f>
        <v/>
      </c>
      <c r="B430">
        <f>IF(VLOOKUP(Table73[[#This Row],[Date]],Database!$A:$E,MATCH($B$1,Database!$A$1:$E$1,),)=0,#N/A,VLOOKUP(Table73[[#This Row],[Date]],Database!$A:$E,MATCH($B$1,Database!$A$1:$E$1,),))</f>
        <v/>
      </c>
      <c r="C430">
        <f>IF(VLOOKUP(Table73[[#This Row],[Date]],Database!$A:$C,MATCH($C$1,Database!$A$1:$C$1,),)=0,#N/A,VLOOKUP(Table73[[#This Row],[Date]],Database!$A:$C,MATCH($C$1,Database!$A$1:$C$1,),))</f>
        <v/>
      </c>
      <c r="D430">
        <f>IFERROR(Table73[[#This Row],[United States 10y]]-Table73[[#This Row],[United States 2y]],#N/A)</f>
        <v/>
      </c>
    </row>
    <row r="431">
      <c r="A431" s="6">
        <f>Database!A430</f>
        <v/>
      </c>
      <c r="B431">
        <f>IF(VLOOKUP(Table73[[#This Row],[Date]],Database!$A:$E,MATCH($B$1,Database!$A$1:$E$1,),)=0,#N/A,VLOOKUP(Table73[[#This Row],[Date]],Database!$A:$E,MATCH($B$1,Database!$A$1:$E$1,),))</f>
        <v/>
      </c>
      <c r="C431">
        <f>IF(VLOOKUP(Table73[[#This Row],[Date]],Database!$A:$C,MATCH($C$1,Database!$A$1:$C$1,),)=0,#N/A,VLOOKUP(Table73[[#This Row],[Date]],Database!$A:$C,MATCH($C$1,Database!$A$1:$C$1,),))</f>
        <v/>
      </c>
      <c r="D431">
        <f>IFERROR(Table73[[#This Row],[United States 10y]]-Table73[[#This Row],[United States 2y]],#N/A)</f>
        <v/>
      </c>
    </row>
    <row r="432">
      <c r="A432" s="6">
        <f>Database!A431</f>
        <v/>
      </c>
      <c r="B432">
        <f>IF(VLOOKUP(Table73[[#This Row],[Date]],Database!$A:$E,MATCH($B$1,Database!$A$1:$E$1,),)=0,#N/A,VLOOKUP(Table73[[#This Row],[Date]],Database!$A:$E,MATCH($B$1,Database!$A$1:$E$1,),))</f>
        <v/>
      </c>
      <c r="C432">
        <f>IF(VLOOKUP(Table73[[#This Row],[Date]],Database!$A:$C,MATCH($C$1,Database!$A$1:$C$1,),)=0,#N/A,VLOOKUP(Table73[[#This Row],[Date]],Database!$A:$C,MATCH($C$1,Database!$A$1:$C$1,),))</f>
        <v/>
      </c>
      <c r="D432">
        <f>IFERROR(Table73[[#This Row],[United States 10y]]-Table73[[#This Row],[United States 2y]],#N/A)</f>
        <v/>
      </c>
    </row>
    <row r="433">
      <c r="A433" s="6">
        <f>Database!A432</f>
        <v/>
      </c>
      <c r="B433">
        <f>IF(VLOOKUP(Table73[[#This Row],[Date]],Database!$A:$E,MATCH($B$1,Database!$A$1:$E$1,),)=0,#N/A,VLOOKUP(Table73[[#This Row],[Date]],Database!$A:$E,MATCH($B$1,Database!$A$1:$E$1,),))</f>
        <v/>
      </c>
      <c r="C433">
        <f>IF(VLOOKUP(Table73[[#This Row],[Date]],Database!$A:$C,MATCH($C$1,Database!$A$1:$C$1,),)=0,#N/A,VLOOKUP(Table73[[#This Row],[Date]],Database!$A:$C,MATCH($C$1,Database!$A$1:$C$1,),))</f>
        <v/>
      </c>
      <c r="D433">
        <f>IFERROR(Table73[[#This Row],[United States 10y]]-Table73[[#This Row],[United States 2y]],#N/A)</f>
        <v/>
      </c>
    </row>
    <row r="434">
      <c r="A434" s="6">
        <f>Database!A433</f>
        <v/>
      </c>
      <c r="B434">
        <f>IF(VLOOKUP(Table73[[#This Row],[Date]],Database!$A:$E,MATCH($B$1,Database!$A$1:$E$1,),)=0,#N/A,VLOOKUP(Table73[[#This Row],[Date]],Database!$A:$E,MATCH($B$1,Database!$A$1:$E$1,),))</f>
        <v/>
      </c>
      <c r="C434">
        <f>IF(VLOOKUP(Table73[[#This Row],[Date]],Database!$A:$C,MATCH($C$1,Database!$A$1:$C$1,),)=0,#N/A,VLOOKUP(Table73[[#This Row],[Date]],Database!$A:$C,MATCH($C$1,Database!$A$1:$C$1,),))</f>
        <v/>
      </c>
      <c r="D434">
        <f>IFERROR(Table73[[#This Row],[United States 10y]]-Table73[[#This Row],[United States 2y]],#N/A)</f>
        <v/>
      </c>
    </row>
    <row r="435">
      <c r="A435" s="6">
        <f>Database!A434</f>
        <v/>
      </c>
      <c r="B435">
        <f>IF(VLOOKUP(Table73[[#This Row],[Date]],Database!$A:$E,MATCH($B$1,Database!$A$1:$E$1,),)=0,#N/A,VLOOKUP(Table73[[#This Row],[Date]],Database!$A:$E,MATCH($B$1,Database!$A$1:$E$1,),))</f>
        <v/>
      </c>
      <c r="C435">
        <f>IF(VLOOKUP(Table73[[#This Row],[Date]],Database!$A:$C,MATCH($C$1,Database!$A$1:$C$1,),)=0,#N/A,VLOOKUP(Table73[[#This Row],[Date]],Database!$A:$C,MATCH($C$1,Database!$A$1:$C$1,),))</f>
        <v/>
      </c>
      <c r="D435">
        <f>IFERROR(Table73[[#This Row],[United States 10y]]-Table73[[#This Row],[United States 2y]],#N/A)</f>
        <v/>
      </c>
    </row>
    <row r="436">
      <c r="A436" s="6">
        <f>Database!A435</f>
        <v/>
      </c>
      <c r="B436">
        <f>IF(VLOOKUP(Table73[[#This Row],[Date]],Database!$A:$E,MATCH($B$1,Database!$A$1:$E$1,),)=0,#N/A,VLOOKUP(Table73[[#This Row],[Date]],Database!$A:$E,MATCH($B$1,Database!$A$1:$E$1,),))</f>
        <v/>
      </c>
      <c r="C436">
        <f>IF(VLOOKUP(Table73[[#This Row],[Date]],Database!$A:$C,MATCH($C$1,Database!$A$1:$C$1,),)=0,#N/A,VLOOKUP(Table73[[#This Row],[Date]],Database!$A:$C,MATCH($C$1,Database!$A$1:$C$1,),))</f>
        <v/>
      </c>
      <c r="D436">
        <f>IFERROR(Table73[[#This Row],[United States 10y]]-Table73[[#This Row],[United States 2y]],#N/A)</f>
        <v/>
      </c>
    </row>
    <row r="437">
      <c r="A437" s="6">
        <f>Database!A436</f>
        <v/>
      </c>
      <c r="B437">
        <f>IF(VLOOKUP(Table73[[#This Row],[Date]],Database!$A:$E,MATCH($B$1,Database!$A$1:$E$1,),)=0,#N/A,VLOOKUP(Table73[[#This Row],[Date]],Database!$A:$E,MATCH($B$1,Database!$A$1:$E$1,),))</f>
        <v/>
      </c>
      <c r="C437">
        <f>IF(VLOOKUP(Table73[[#This Row],[Date]],Database!$A:$C,MATCH($C$1,Database!$A$1:$C$1,),)=0,#N/A,VLOOKUP(Table73[[#This Row],[Date]],Database!$A:$C,MATCH($C$1,Database!$A$1:$C$1,),))</f>
        <v/>
      </c>
      <c r="D437">
        <f>IFERROR(Table73[[#This Row],[United States 10y]]-Table73[[#This Row],[United States 2y]],#N/A)</f>
        <v/>
      </c>
    </row>
    <row r="438">
      <c r="A438" s="6">
        <f>Database!A437</f>
        <v/>
      </c>
      <c r="B438">
        <f>IF(VLOOKUP(Table73[[#This Row],[Date]],Database!$A:$E,MATCH($B$1,Database!$A$1:$E$1,),)=0,#N/A,VLOOKUP(Table73[[#This Row],[Date]],Database!$A:$E,MATCH($B$1,Database!$A$1:$E$1,),))</f>
        <v/>
      </c>
      <c r="C438">
        <f>IF(VLOOKUP(Table73[[#This Row],[Date]],Database!$A:$C,MATCH($C$1,Database!$A$1:$C$1,),)=0,#N/A,VLOOKUP(Table73[[#This Row],[Date]],Database!$A:$C,MATCH($C$1,Database!$A$1:$C$1,),))</f>
        <v/>
      </c>
      <c r="D438">
        <f>IFERROR(Table73[[#This Row],[United States 10y]]-Table73[[#This Row],[United States 2y]],#N/A)</f>
        <v/>
      </c>
    </row>
    <row r="439">
      <c r="A439" s="6">
        <f>Database!A438</f>
        <v/>
      </c>
      <c r="B439">
        <f>IF(VLOOKUP(Table73[[#This Row],[Date]],Database!$A:$E,MATCH($B$1,Database!$A$1:$E$1,),)=0,#N/A,VLOOKUP(Table73[[#This Row],[Date]],Database!$A:$E,MATCH($B$1,Database!$A$1:$E$1,),))</f>
        <v/>
      </c>
      <c r="C439">
        <f>IF(VLOOKUP(Table73[[#This Row],[Date]],Database!$A:$C,MATCH($C$1,Database!$A$1:$C$1,),)=0,#N/A,VLOOKUP(Table73[[#This Row],[Date]],Database!$A:$C,MATCH($C$1,Database!$A$1:$C$1,),))</f>
        <v/>
      </c>
      <c r="D439">
        <f>IFERROR(Table73[[#This Row],[United States 10y]]-Table73[[#This Row],[United States 2y]],#N/A)</f>
        <v/>
      </c>
    </row>
    <row r="440">
      <c r="A440" s="6">
        <f>Database!A439</f>
        <v/>
      </c>
      <c r="B440">
        <f>IF(VLOOKUP(Table73[[#This Row],[Date]],Database!$A:$E,MATCH($B$1,Database!$A$1:$E$1,),)=0,#N/A,VLOOKUP(Table73[[#This Row],[Date]],Database!$A:$E,MATCH($B$1,Database!$A$1:$E$1,),))</f>
        <v/>
      </c>
      <c r="C440">
        <f>IF(VLOOKUP(Table73[[#This Row],[Date]],Database!$A:$C,MATCH($C$1,Database!$A$1:$C$1,),)=0,#N/A,VLOOKUP(Table73[[#This Row],[Date]],Database!$A:$C,MATCH($C$1,Database!$A$1:$C$1,),))</f>
        <v/>
      </c>
      <c r="D440">
        <f>IFERROR(Table73[[#This Row],[United States 10y]]-Table73[[#This Row],[United States 2y]],#N/A)</f>
        <v/>
      </c>
    </row>
    <row r="441">
      <c r="A441" s="6">
        <f>Database!A440</f>
        <v/>
      </c>
      <c r="B441">
        <f>IF(VLOOKUP(Table73[[#This Row],[Date]],Database!$A:$E,MATCH($B$1,Database!$A$1:$E$1,),)=0,#N/A,VLOOKUP(Table73[[#This Row],[Date]],Database!$A:$E,MATCH($B$1,Database!$A$1:$E$1,),))</f>
        <v/>
      </c>
      <c r="C441">
        <f>IF(VLOOKUP(Table73[[#This Row],[Date]],Database!$A:$C,MATCH($C$1,Database!$A$1:$C$1,),)=0,#N/A,VLOOKUP(Table73[[#This Row],[Date]],Database!$A:$C,MATCH($C$1,Database!$A$1:$C$1,),))</f>
        <v/>
      </c>
      <c r="D441">
        <f>IFERROR(Table73[[#This Row],[United States 10y]]-Table73[[#This Row],[United States 2y]],#N/A)</f>
        <v/>
      </c>
    </row>
    <row r="442">
      <c r="A442" s="6">
        <f>Database!A441</f>
        <v/>
      </c>
      <c r="B442">
        <f>IF(VLOOKUP(Table73[[#This Row],[Date]],Database!$A:$E,MATCH($B$1,Database!$A$1:$E$1,),)=0,#N/A,VLOOKUP(Table73[[#This Row],[Date]],Database!$A:$E,MATCH($B$1,Database!$A$1:$E$1,),))</f>
        <v/>
      </c>
      <c r="C442">
        <f>IF(VLOOKUP(Table73[[#This Row],[Date]],Database!$A:$C,MATCH($C$1,Database!$A$1:$C$1,),)=0,#N/A,VLOOKUP(Table73[[#This Row],[Date]],Database!$A:$C,MATCH($C$1,Database!$A$1:$C$1,),))</f>
        <v/>
      </c>
      <c r="D442">
        <f>IFERROR(Table73[[#This Row],[United States 10y]]-Table73[[#This Row],[United States 2y]],#N/A)</f>
        <v/>
      </c>
    </row>
    <row r="443">
      <c r="A443" s="6">
        <f>Database!A442</f>
        <v/>
      </c>
      <c r="B443">
        <f>IF(VLOOKUP(Table73[[#This Row],[Date]],Database!$A:$E,MATCH($B$1,Database!$A$1:$E$1,),)=0,#N/A,VLOOKUP(Table73[[#This Row],[Date]],Database!$A:$E,MATCH($B$1,Database!$A$1:$E$1,),))</f>
        <v/>
      </c>
      <c r="C443">
        <f>IF(VLOOKUP(Table73[[#This Row],[Date]],Database!$A:$C,MATCH($C$1,Database!$A$1:$C$1,),)=0,#N/A,VLOOKUP(Table73[[#This Row],[Date]],Database!$A:$C,MATCH($C$1,Database!$A$1:$C$1,),))</f>
        <v/>
      </c>
      <c r="D443">
        <f>IFERROR(Table73[[#This Row],[United States 10y]]-Table73[[#This Row],[United States 2y]],#N/A)</f>
        <v/>
      </c>
    </row>
    <row r="444">
      <c r="A444" s="6">
        <f>Database!A443</f>
        <v/>
      </c>
      <c r="B444">
        <f>IF(VLOOKUP(Table73[[#This Row],[Date]],Database!$A:$E,MATCH($B$1,Database!$A$1:$E$1,),)=0,#N/A,VLOOKUP(Table73[[#This Row],[Date]],Database!$A:$E,MATCH($B$1,Database!$A$1:$E$1,),))</f>
        <v/>
      </c>
      <c r="C444">
        <f>IF(VLOOKUP(Table73[[#This Row],[Date]],Database!$A:$C,MATCH($C$1,Database!$A$1:$C$1,),)=0,#N/A,VLOOKUP(Table73[[#This Row],[Date]],Database!$A:$C,MATCH($C$1,Database!$A$1:$C$1,),))</f>
        <v/>
      </c>
      <c r="D444">
        <f>IFERROR(Table73[[#This Row],[United States 10y]]-Table73[[#This Row],[United States 2y]],#N/A)</f>
        <v/>
      </c>
    </row>
    <row r="445">
      <c r="A445" s="6">
        <f>Database!A444</f>
        <v/>
      </c>
      <c r="B445">
        <f>IF(VLOOKUP(Table73[[#This Row],[Date]],Database!$A:$E,MATCH($B$1,Database!$A$1:$E$1,),)=0,#N/A,VLOOKUP(Table73[[#This Row],[Date]],Database!$A:$E,MATCH($B$1,Database!$A$1:$E$1,),))</f>
        <v/>
      </c>
      <c r="C445">
        <f>IF(VLOOKUP(Table73[[#This Row],[Date]],Database!$A:$C,MATCH($C$1,Database!$A$1:$C$1,),)=0,#N/A,VLOOKUP(Table73[[#This Row],[Date]],Database!$A:$C,MATCH($C$1,Database!$A$1:$C$1,),))</f>
        <v/>
      </c>
      <c r="D445">
        <f>IFERROR(Table73[[#This Row],[United States 10y]]-Table73[[#This Row],[United States 2y]],#N/A)</f>
        <v/>
      </c>
    </row>
    <row r="446">
      <c r="A446" s="6">
        <f>Database!A445</f>
        <v/>
      </c>
      <c r="B446">
        <f>IF(VLOOKUP(Table73[[#This Row],[Date]],Database!$A:$E,MATCH($B$1,Database!$A$1:$E$1,),)=0,#N/A,VLOOKUP(Table73[[#This Row],[Date]],Database!$A:$E,MATCH($B$1,Database!$A$1:$E$1,),))</f>
        <v/>
      </c>
      <c r="C446">
        <f>IF(VLOOKUP(Table73[[#This Row],[Date]],Database!$A:$C,MATCH($C$1,Database!$A$1:$C$1,),)=0,#N/A,VLOOKUP(Table73[[#This Row],[Date]],Database!$A:$C,MATCH($C$1,Database!$A$1:$C$1,),))</f>
        <v/>
      </c>
      <c r="D446">
        <f>IFERROR(Table73[[#This Row],[United States 10y]]-Table73[[#This Row],[United States 2y]],#N/A)</f>
        <v/>
      </c>
    </row>
    <row r="447">
      <c r="A447" s="6">
        <f>Database!A446</f>
        <v/>
      </c>
      <c r="B447">
        <f>IF(VLOOKUP(Table73[[#This Row],[Date]],Database!$A:$E,MATCH($B$1,Database!$A$1:$E$1,),)=0,#N/A,VLOOKUP(Table73[[#This Row],[Date]],Database!$A:$E,MATCH($B$1,Database!$A$1:$E$1,),))</f>
        <v/>
      </c>
      <c r="C447">
        <f>IF(VLOOKUP(Table73[[#This Row],[Date]],Database!$A:$C,MATCH($C$1,Database!$A$1:$C$1,),)=0,#N/A,VLOOKUP(Table73[[#This Row],[Date]],Database!$A:$C,MATCH($C$1,Database!$A$1:$C$1,),))</f>
        <v/>
      </c>
      <c r="D447">
        <f>IFERROR(Table73[[#This Row],[United States 10y]]-Table73[[#This Row],[United States 2y]],#N/A)</f>
        <v/>
      </c>
    </row>
    <row r="448">
      <c r="A448" s="6">
        <f>Database!A447</f>
        <v/>
      </c>
      <c r="B448">
        <f>IF(VLOOKUP(Table73[[#This Row],[Date]],Database!$A:$E,MATCH($B$1,Database!$A$1:$E$1,),)=0,#N/A,VLOOKUP(Table73[[#This Row],[Date]],Database!$A:$E,MATCH($B$1,Database!$A$1:$E$1,),))</f>
        <v/>
      </c>
      <c r="C448">
        <f>IF(VLOOKUP(Table73[[#This Row],[Date]],Database!$A:$C,MATCH($C$1,Database!$A$1:$C$1,),)=0,#N/A,VLOOKUP(Table73[[#This Row],[Date]],Database!$A:$C,MATCH($C$1,Database!$A$1:$C$1,),))</f>
        <v/>
      </c>
      <c r="D448">
        <f>IFERROR(Table73[[#This Row],[United States 10y]]-Table73[[#This Row],[United States 2y]],#N/A)</f>
        <v/>
      </c>
    </row>
    <row r="449">
      <c r="A449" s="6">
        <f>Database!A448</f>
        <v/>
      </c>
      <c r="B449">
        <f>IF(VLOOKUP(Table73[[#This Row],[Date]],Database!$A:$E,MATCH($B$1,Database!$A$1:$E$1,),)=0,#N/A,VLOOKUP(Table73[[#This Row],[Date]],Database!$A:$E,MATCH($B$1,Database!$A$1:$E$1,),))</f>
        <v/>
      </c>
      <c r="C449">
        <f>IF(VLOOKUP(Table73[[#This Row],[Date]],Database!$A:$C,MATCH($C$1,Database!$A$1:$C$1,),)=0,#N/A,VLOOKUP(Table73[[#This Row],[Date]],Database!$A:$C,MATCH($C$1,Database!$A$1:$C$1,),))</f>
        <v/>
      </c>
      <c r="D449">
        <f>IFERROR(Table73[[#This Row],[United States 10y]]-Table73[[#This Row],[United States 2y]],#N/A)</f>
        <v/>
      </c>
    </row>
    <row r="450">
      <c r="A450" s="6">
        <f>Database!A449</f>
        <v/>
      </c>
      <c r="B450">
        <f>IF(VLOOKUP(Table73[[#This Row],[Date]],Database!$A:$E,MATCH($B$1,Database!$A$1:$E$1,),)=0,#N/A,VLOOKUP(Table73[[#This Row],[Date]],Database!$A:$E,MATCH($B$1,Database!$A$1:$E$1,),))</f>
        <v/>
      </c>
      <c r="C450">
        <f>IF(VLOOKUP(Table73[[#This Row],[Date]],Database!$A:$C,MATCH($C$1,Database!$A$1:$C$1,),)=0,#N/A,VLOOKUP(Table73[[#This Row],[Date]],Database!$A:$C,MATCH($C$1,Database!$A$1:$C$1,),))</f>
        <v/>
      </c>
      <c r="D450">
        <f>IFERROR(Table73[[#This Row],[United States 10y]]-Table73[[#This Row],[United States 2y]],#N/A)</f>
        <v/>
      </c>
    </row>
    <row r="451">
      <c r="A451" s="6">
        <f>Database!A450</f>
        <v/>
      </c>
      <c r="B451">
        <f>IF(VLOOKUP(Table73[[#This Row],[Date]],Database!$A:$E,MATCH($B$1,Database!$A$1:$E$1,),)=0,#N/A,VLOOKUP(Table73[[#This Row],[Date]],Database!$A:$E,MATCH($B$1,Database!$A$1:$E$1,),))</f>
        <v/>
      </c>
      <c r="C451">
        <f>IF(VLOOKUP(Table73[[#This Row],[Date]],Database!$A:$C,MATCH($C$1,Database!$A$1:$C$1,),)=0,#N/A,VLOOKUP(Table73[[#This Row],[Date]],Database!$A:$C,MATCH($C$1,Database!$A$1:$C$1,),))</f>
        <v/>
      </c>
      <c r="D451">
        <f>IFERROR(Table73[[#This Row],[United States 10y]]-Table73[[#This Row],[United States 2y]],#N/A)</f>
        <v/>
      </c>
    </row>
    <row r="452">
      <c r="A452" s="6">
        <f>Database!A451</f>
        <v/>
      </c>
      <c r="B452">
        <f>IF(VLOOKUP(Table73[[#This Row],[Date]],Database!$A:$E,MATCH($B$1,Database!$A$1:$E$1,),)=0,#N/A,VLOOKUP(Table73[[#This Row],[Date]],Database!$A:$E,MATCH($B$1,Database!$A$1:$E$1,),))</f>
        <v/>
      </c>
      <c r="C452">
        <f>IF(VLOOKUP(Table73[[#This Row],[Date]],Database!$A:$C,MATCH($C$1,Database!$A$1:$C$1,),)=0,#N/A,VLOOKUP(Table73[[#This Row],[Date]],Database!$A:$C,MATCH($C$1,Database!$A$1:$C$1,),))</f>
        <v/>
      </c>
      <c r="D452">
        <f>IFERROR(Table73[[#This Row],[United States 10y]]-Table73[[#This Row],[United States 2y]],#N/A)</f>
        <v/>
      </c>
    </row>
    <row r="453">
      <c r="A453" s="6">
        <f>Database!A452</f>
        <v/>
      </c>
      <c r="B453">
        <f>IF(VLOOKUP(Table73[[#This Row],[Date]],Database!$A:$E,MATCH($B$1,Database!$A$1:$E$1,),)=0,#N/A,VLOOKUP(Table73[[#This Row],[Date]],Database!$A:$E,MATCH($B$1,Database!$A$1:$E$1,),))</f>
        <v/>
      </c>
      <c r="C453">
        <f>IF(VLOOKUP(Table73[[#This Row],[Date]],Database!$A:$C,MATCH($C$1,Database!$A$1:$C$1,),)=0,#N/A,VLOOKUP(Table73[[#This Row],[Date]],Database!$A:$C,MATCH($C$1,Database!$A$1:$C$1,),))</f>
        <v/>
      </c>
      <c r="D453">
        <f>IFERROR(Table73[[#This Row],[United States 10y]]-Table73[[#This Row],[United States 2y]],#N/A)</f>
        <v/>
      </c>
    </row>
    <row r="454">
      <c r="A454" s="6">
        <f>Database!A453</f>
        <v/>
      </c>
      <c r="B454">
        <f>IF(VLOOKUP(Table73[[#This Row],[Date]],Database!$A:$E,MATCH($B$1,Database!$A$1:$E$1,),)=0,#N/A,VLOOKUP(Table73[[#This Row],[Date]],Database!$A:$E,MATCH($B$1,Database!$A$1:$E$1,),))</f>
        <v/>
      </c>
      <c r="C454">
        <f>IF(VLOOKUP(Table73[[#This Row],[Date]],Database!$A:$C,MATCH($C$1,Database!$A$1:$C$1,),)=0,#N/A,VLOOKUP(Table73[[#This Row],[Date]],Database!$A:$C,MATCH($C$1,Database!$A$1:$C$1,),))</f>
        <v/>
      </c>
      <c r="D454">
        <f>IFERROR(Table73[[#This Row],[United States 10y]]-Table73[[#This Row],[United States 2y]],#N/A)</f>
        <v/>
      </c>
    </row>
    <row r="455">
      <c r="A455" s="6">
        <f>Database!A454</f>
        <v/>
      </c>
      <c r="B455">
        <f>IF(VLOOKUP(Table73[[#This Row],[Date]],Database!$A:$E,MATCH($B$1,Database!$A$1:$E$1,),)=0,#N/A,VLOOKUP(Table73[[#This Row],[Date]],Database!$A:$E,MATCH($B$1,Database!$A$1:$E$1,),))</f>
        <v/>
      </c>
      <c r="C455">
        <f>IF(VLOOKUP(Table73[[#This Row],[Date]],Database!$A:$C,MATCH($C$1,Database!$A$1:$C$1,),)=0,#N/A,VLOOKUP(Table73[[#This Row],[Date]],Database!$A:$C,MATCH($C$1,Database!$A$1:$C$1,),))</f>
        <v/>
      </c>
      <c r="D455">
        <f>IFERROR(Table73[[#This Row],[United States 10y]]-Table73[[#This Row],[United States 2y]],#N/A)</f>
        <v/>
      </c>
    </row>
    <row r="456">
      <c r="A456" s="6">
        <f>Database!A455</f>
        <v/>
      </c>
      <c r="B456">
        <f>IF(VLOOKUP(Table73[[#This Row],[Date]],Database!$A:$E,MATCH($B$1,Database!$A$1:$E$1,),)=0,#N/A,VLOOKUP(Table73[[#This Row],[Date]],Database!$A:$E,MATCH($B$1,Database!$A$1:$E$1,),))</f>
        <v/>
      </c>
      <c r="C456">
        <f>IF(VLOOKUP(Table73[[#This Row],[Date]],Database!$A:$C,MATCH($C$1,Database!$A$1:$C$1,),)=0,#N/A,VLOOKUP(Table73[[#This Row],[Date]],Database!$A:$C,MATCH($C$1,Database!$A$1:$C$1,),))</f>
        <v/>
      </c>
      <c r="D456">
        <f>IFERROR(Table73[[#This Row],[United States 10y]]-Table73[[#This Row],[United States 2y]],#N/A)</f>
        <v/>
      </c>
    </row>
    <row r="457">
      <c r="A457" s="6">
        <f>Database!A456</f>
        <v/>
      </c>
      <c r="B457">
        <f>IF(VLOOKUP(Table73[[#This Row],[Date]],Database!$A:$E,MATCH($B$1,Database!$A$1:$E$1,),)=0,#N/A,VLOOKUP(Table73[[#This Row],[Date]],Database!$A:$E,MATCH($B$1,Database!$A$1:$E$1,),))</f>
        <v/>
      </c>
      <c r="C457">
        <f>IF(VLOOKUP(Table73[[#This Row],[Date]],Database!$A:$C,MATCH($C$1,Database!$A$1:$C$1,),)=0,#N/A,VLOOKUP(Table73[[#This Row],[Date]],Database!$A:$C,MATCH($C$1,Database!$A$1:$C$1,),))</f>
        <v/>
      </c>
      <c r="D457">
        <f>IFERROR(Table73[[#This Row],[United States 10y]]-Table73[[#This Row],[United States 2y]],#N/A)</f>
        <v/>
      </c>
    </row>
    <row r="458">
      <c r="A458" s="6">
        <f>Database!A457</f>
        <v/>
      </c>
      <c r="B458">
        <f>IF(VLOOKUP(Table73[[#This Row],[Date]],Database!$A:$E,MATCH($B$1,Database!$A$1:$E$1,),)=0,#N/A,VLOOKUP(Table73[[#This Row],[Date]],Database!$A:$E,MATCH($B$1,Database!$A$1:$E$1,),))</f>
        <v/>
      </c>
      <c r="C458">
        <f>IF(VLOOKUP(Table73[[#This Row],[Date]],Database!$A:$C,MATCH($C$1,Database!$A$1:$C$1,),)=0,#N/A,VLOOKUP(Table73[[#This Row],[Date]],Database!$A:$C,MATCH($C$1,Database!$A$1:$C$1,),))</f>
        <v/>
      </c>
      <c r="D458">
        <f>IFERROR(Table73[[#This Row],[United States 10y]]-Table73[[#This Row],[United States 2y]],#N/A)</f>
        <v/>
      </c>
    </row>
    <row r="459">
      <c r="A459" s="6">
        <f>Database!A458</f>
        <v/>
      </c>
      <c r="B459">
        <f>IF(VLOOKUP(Table73[[#This Row],[Date]],Database!$A:$E,MATCH($B$1,Database!$A$1:$E$1,),)=0,#N/A,VLOOKUP(Table73[[#This Row],[Date]],Database!$A:$E,MATCH($B$1,Database!$A$1:$E$1,),))</f>
        <v/>
      </c>
      <c r="C459">
        <f>IF(VLOOKUP(Table73[[#This Row],[Date]],Database!$A:$C,MATCH($C$1,Database!$A$1:$C$1,),)=0,#N/A,VLOOKUP(Table73[[#This Row],[Date]],Database!$A:$C,MATCH($C$1,Database!$A$1:$C$1,),))</f>
        <v/>
      </c>
      <c r="D459">
        <f>IFERROR(Table73[[#This Row],[United States 10y]]-Table73[[#This Row],[United States 2y]],#N/A)</f>
        <v/>
      </c>
    </row>
    <row r="460">
      <c r="A460" s="6">
        <f>Database!A459</f>
        <v/>
      </c>
      <c r="B460">
        <f>IF(VLOOKUP(Table73[[#This Row],[Date]],Database!$A:$E,MATCH($B$1,Database!$A$1:$E$1,),)=0,#N/A,VLOOKUP(Table73[[#This Row],[Date]],Database!$A:$E,MATCH($B$1,Database!$A$1:$E$1,),))</f>
        <v/>
      </c>
      <c r="C460">
        <f>IF(VLOOKUP(Table73[[#This Row],[Date]],Database!$A:$C,MATCH($C$1,Database!$A$1:$C$1,),)=0,#N/A,VLOOKUP(Table73[[#This Row],[Date]],Database!$A:$C,MATCH($C$1,Database!$A$1:$C$1,),))</f>
        <v/>
      </c>
      <c r="D460">
        <f>IFERROR(Table73[[#This Row],[United States 10y]]-Table73[[#This Row],[United States 2y]],#N/A)</f>
        <v/>
      </c>
    </row>
    <row r="461">
      <c r="A461" s="6">
        <f>Database!A460</f>
        <v/>
      </c>
      <c r="B461">
        <f>IF(VLOOKUP(Table73[[#This Row],[Date]],Database!$A:$E,MATCH($B$1,Database!$A$1:$E$1,),)=0,#N/A,VLOOKUP(Table73[[#This Row],[Date]],Database!$A:$E,MATCH($B$1,Database!$A$1:$E$1,),))</f>
        <v/>
      </c>
      <c r="C461">
        <f>IF(VLOOKUP(Table73[[#This Row],[Date]],Database!$A:$C,MATCH($C$1,Database!$A$1:$C$1,),)=0,#N/A,VLOOKUP(Table73[[#This Row],[Date]],Database!$A:$C,MATCH($C$1,Database!$A$1:$C$1,),))</f>
        <v/>
      </c>
      <c r="D461">
        <f>IFERROR(Table73[[#This Row],[United States 10y]]-Table73[[#This Row],[United States 2y]],#N/A)</f>
        <v/>
      </c>
    </row>
    <row r="462">
      <c r="A462" s="6">
        <f>Database!A461</f>
        <v/>
      </c>
      <c r="B462">
        <f>IF(VLOOKUP(Table73[[#This Row],[Date]],Database!$A:$E,MATCH($B$1,Database!$A$1:$E$1,),)=0,#N/A,VLOOKUP(Table73[[#This Row],[Date]],Database!$A:$E,MATCH($B$1,Database!$A$1:$E$1,),))</f>
        <v/>
      </c>
      <c r="C462">
        <f>IF(VLOOKUP(Table73[[#This Row],[Date]],Database!$A:$C,MATCH($C$1,Database!$A$1:$C$1,),)=0,#N/A,VLOOKUP(Table73[[#This Row],[Date]],Database!$A:$C,MATCH($C$1,Database!$A$1:$C$1,),))</f>
        <v/>
      </c>
      <c r="D462">
        <f>IFERROR(Table73[[#This Row],[United States 10y]]-Table73[[#This Row],[United States 2y]],#N/A)</f>
        <v/>
      </c>
    </row>
    <row r="463">
      <c r="A463" s="6">
        <f>Database!A462</f>
        <v/>
      </c>
      <c r="B463">
        <f>IF(VLOOKUP(Table73[[#This Row],[Date]],Database!$A:$E,MATCH($B$1,Database!$A$1:$E$1,),)=0,#N/A,VLOOKUP(Table73[[#This Row],[Date]],Database!$A:$E,MATCH($B$1,Database!$A$1:$E$1,),))</f>
        <v/>
      </c>
      <c r="C463">
        <f>IF(VLOOKUP(Table73[[#This Row],[Date]],Database!$A:$C,MATCH($C$1,Database!$A$1:$C$1,),)=0,#N/A,VLOOKUP(Table73[[#This Row],[Date]],Database!$A:$C,MATCH($C$1,Database!$A$1:$C$1,),))</f>
        <v/>
      </c>
      <c r="D463">
        <f>IFERROR(Table73[[#This Row],[United States 10y]]-Table73[[#This Row],[United States 2y]],#N/A)</f>
        <v/>
      </c>
    </row>
    <row r="464">
      <c r="A464" s="6">
        <f>Database!A463</f>
        <v/>
      </c>
      <c r="B464">
        <f>IF(VLOOKUP(Table73[[#This Row],[Date]],Database!$A:$E,MATCH($B$1,Database!$A$1:$E$1,),)=0,#N/A,VLOOKUP(Table73[[#This Row],[Date]],Database!$A:$E,MATCH($B$1,Database!$A$1:$E$1,),))</f>
        <v/>
      </c>
      <c r="C464">
        <f>IF(VLOOKUP(Table73[[#This Row],[Date]],Database!$A:$C,MATCH($C$1,Database!$A$1:$C$1,),)=0,#N/A,VLOOKUP(Table73[[#This Row],[Date]],Database!$A:$C,MATCH($C$1,Database!$A$1:$C$1,),))</f>
        <v/>
      </c>
      <c r="D464">
        <f>IFERROR(Table73[[#This Row],[United States 10y]]-Table73[[#This Row],[United States 2y]],#N/A)</f>
        <v/>
      </c>
    </row>
    <row r="465">
      <c r="A465" s="6">
        <f>Database!A464</f>
        <v/>
      </c>
      <c r="B465">
        <f>IF(VLOOKUP(Table73[[#This Row],[Date]],Database!$A:$E,MATCH($B$1,Database!$A$1:$E$1,),)=0,#N/A,VLOOKUP(Table73[[#This Row],[Date]],Database!$A:$E,MATCH($B$1,Database!$A$1:$E$1,),))</f>
        <v/>
      </c>
      <c r="C465">
        <f>IF(VLOOKUP(Table73[[#This Row],[Date]],Database!$A:$C,MATCH($C$1,Database!$A$1:$C$1,),)=0,#N/A,VLOOKUP(Table73[[#This Row],[Date]],Database!$A:$C,MATCH($C$1,Database!$A$1:$C$1,),))</f>
        <v/>
      </c>
      <c r="D465">
        <f>IFERROR(Table73[[#This Row],[United States 10y]]-Table73[[#This Row],[United States 2y]],#N/A)</f>
        <v/>
      </c>
    </row>
    <row r="466">
      <c r="A466" s="6">
        <f>Database!A465</f>
        <v/>
      </c>
      <c r="B466">
        <f>IF(VLOOKUP(Table73[[#This Row],[Date]],Database!$A:$E,MATCH($B$1,Database!$A$1:$E$1,),)=0,#N/A,VLOOKUP(Table73[[#This Row],[Date]],Database!$A:$E,MATCH($B$1,Database!$A$1:$E$1,),))</f>
        <v/>
      </c>
      <c r="C466">
        <f>IF(VLOOKUP(Table73[[#This Row],[Date]],Database!$A:$C,MATCH($C$1,Database!$A$1:$C$1,),)=0,#N/A,VLOOKUP(Table73[[#This Row],[Date]],Database!$A:$C,MATCH($C$1,Database!$A$1:$C$1,),))</f>
        <v/>
      </c>
      <c r="D466">
        <f>IFERROR(Table73[[#This Row],[United States 10y]]-Table73[[#This Row],[United States 2y]],#N/A)</f>
        <v/>
      </c>
    </row>
    <row r="467">
      <c r="A467" s="6">
        <f>Database!A466</f>
        <v/>
      </c>
      <c r="B467">
        <f>IF(VLOOKUP(Table73[[#This Row],[Date]],Database!$A:$E,MATCH($B$1,Database!$A$1:$E$1,),)=0,#N/A,VLOOKUP(Table73[[#This Row],[Date]],Database!$A:$E,MATCH($B$1,Database!$A$1:$E$1,),))</f>
        <v/>
      </c>
      <c r="C467">
        <f>IF(VLOOKUP(Table73[[#This Row],[Date]],Database!$A:$C,MATCH($C$1,Database!$A$1:$C$1,),)=0,#N/A,VLOOKUP(Table73[[#This Row],[Date]],Database!$A:$C,MATCH($C$1,Database!$A$1:$C$1,),))</f>
        <v/>
      </c>
      <c r="D467">
        <f>IFERROR(Table73[[#This Row],[United States 10y]]-Table73[[#This Row],[United States 2y]],#N/A)</f>
        <v/>
      </c>
    </row>
    <row r="468">
      <c r="A468" s="6">
        <f>Database!A467</f>
        <v/>
      </c>
      <c r="B468">
        <f>IF(VLOOKUP(Table73[[#This Row],[Date]],Database!$A:$E,MATCH($B$1,Database!$A$1:$E$1,),)=0,#N/A,VLOOKUP(Table73[[#This Row],[Date]],Database!$A:$E,MATCH($B$1,Database!$A$1:$E$1,),))</f>
        <v/>
      </c>
      <c r="C468">
        <f>IF(VLOOKUP(Table73[[#This Row],[Date]],Database!$A:$C,MATCH($C$1,Database!$A$1:$C$1,),)=0,#N/A,VLOOKUP(Table73[[#This Row],[Date]],Database!$A:$C,MATCH($C$1,Database!$A$1:$C$1,),))</f>
        <v/>
      </c>
      <c r="D468">
        <f>IFERROR(Table73[[#This Row],[United States 10y]]-Table73[[#This Row],[United States 2y]],#N/A)</f>
        <v/>
      </c>
    </row>
    <row r="469">
      <c r="A469" s="6">
        <f>Database!A468</f>
        <v/>
      </c>
      <c r="B469">
        <f>IF(VLOOKUP(Table73[[#This Row],[Date]],Database!$A:$E,MATCH($B$1,Database!$A$1:$E$1,),)=0,#N/A,VLOOKUP(Table73[[#This Row],[Date]],Database!$A:$E,MATCH($B$1,Database!$A$1:$E$1,),))</f>
        <v/>
      </c>
      <c r="C469">
        <f>IF(VLOOKUP(Table73[[#This Row],[Date]],Database!$A:$C,MATCH($C$1,Database!$A$1:$C$1,),)=0,#N/A,VLOOKUP(Table73[[#This Row],[Date]],Database!$A:$C,MATCH($C$1,Database!$A$1:$C$1,),))</f>
        <v/>
      </c>
      <c r="D469">
        <f>IFERROR(Table73[[#This Row],[United States 10y]]-Table73[[#This Row],[United States 2y]],#N/A)</f>
        <v/>
      </c>
    </row>
    <row r="470">
      <c r="A470" s="6">
        <f>Database!A469</f>
        <v/>
      </c>
      <c r="B470">
        <f>IF(VLOOKUP(Table73[[#This Row],[Date]],Database!$A:$E,MATCH($B$1,Database!$A$1:$E$1,),)=0,#N/A,VLOOKUP(Table73[[#This Row],[Date]],Database!$A:$E,MATCH($B$1,Database!$A$1:$E$1,),))</f>
        <v/>
      </c>
      <c r="C470">
        <f>IF(VLOOKUP(Table73[[#This Row],[Date]],Database!$A:$C,MATCH($C$1,Database!$A$1:$C$1,),)=0,#N/A,VLOOKUP(Table73[[#This Row],[Date]],Database!$A:$C,MATCH($C$1,Database!$A$1:$C$1,),))</f>
        <v/>
      </c>
      <c r="D470">
        <f>IFERROR(Table73[[#This Row],[United States 10y]]-Table73[[#This Row],[United States 2y]],#N/A)</f>
        <v/>
      </c>
    </row>
    <row r="471">
      <c r="A471" s="6">
        <f>Database!A470</f>
        <v/>
      </c>
      <c r="B471">
        <f>IF(VLOOKUP(Table73[[#This Row],[Date]],Database!$A:$E,MATCH($B$1,Database!$A$1:$E$1,),)=0,#N/A,VLOOKUP(Table73[[#This Row],[Date]],Database!$A:$E,MATCH($B$1,Database!$A$1:$E$1,),))</f>
        <v/>
      </c>
      <c r="C471">
        <f>IF(VLOOKUP(Table73[[#This Row],[Date]],Database!$A:$C,MATCH($C$1,Database!$A$1:$C$1,),)=0,#N/A,VLOOKUP(Table73[[#This Row],[Date]],Database!$A:$C,MATCH($C$1,Database!$A$1:$C$1,),))</f>
        <v/>
      </c>
      <c r="D471">
        <f>IFERROR(Table73[[#This Row],[United States 10y]]-Table73[[#This Row],[United States 2y]],#N/A)</f>
        <v/>
      </c>
    </row>
    <row r="472">
      <c r="A472" s="6">
        <f>Database!A471</f>
        <v/>
      </c>
      <c r="B472">
        <f>IF(VLOOKUP(Table73[[#This Row],[Date]],Database!$A:$E,MATCH($B$1,Database!$A$1:$E$1,),)=0,#N/A,VLOOKUP(Table73[[#This Row],[Date]],Database!$A:$E,MATCH($B$1,Database!$A$1:$E$1,),))</f>
        <v/>
      </c>
      <c r="C472">
        <f>IF(VLOOKUP(Table73[[#This Row],[Date]],Database!$A:$C,MATCH($C$1,Database!$A$1:$C$1,),)=0,#N/A,VLOOKUP(Table73[[#This Row],[Date]],Database!$A:$C,MATCH($C$1,Database!$A$1:$C$1,),))</f>
        <v/>
      </c>
      <c r="D472">
        <f>IFERROR(Table73[[#This Row],[United States 10y]]-Table73[[#This Row],[United States 2y]],#N/A)</f>
        <v/>
      </c>
    </row>
    <row r="473">
      <c r="A473" s="6">
        <f>Database!A472</f>
        <v/>
      </c>
      <c r="B473">
        <f>IF(VLOOKUP(Table73[[#This Row],[Date]],Database!$A:$E,MATCH($B$1,Database!$A$1:$E$1,),)=0,#N/A,VLOOKUP(Table73[[#This Row],[Date]],Database!$A:$E,MATCH($B$1,Database!$A$1:$E$1,),))</f>
        <v/>
      </c>
      <c r="C473">
        <f>IF(VLOOKUP(Table73[[#This Row],[Date]],Database!$A:$C,MATCH($C$1,Database!$A$1:$C$1,),)=0,#N/A,VLOOKUP(Table73[[#This Row],[Date]],Database!$A:$C,MATCH($C$1,Database!$A$1:$C$1,),))</f>
        <v/>
      </c>
      <c r="D473">
        <f>IFERROR(Table73[[#This Row],[United States 10y]]-Table73[[#This Row],[United States 2y]],#N/A)</f>
        <v/>
      </c>
    </row>
    <row r="474">
      <c r="A474" s="6">
        <f>Database!A473</f>
        <v/>
      </c>
      <c r="B474">
        <f>IF(VLOOKUP(Table73[[#This Row],[Date]],Database!$A:$E,MATCH($B$1,Database!$A$1:$E$1,),)=0,#N/A,VLOOKUP(Table73[[#This Row],[Date]],Database!$A:$E,MATCH($B$1,Database!$A$1:$E$1,),))</f>
        <v/>
      </c>
      <c r="C474">
        <f>IF(VLOOKUP(Table73[[#This Row],[Date]],Database!$A:$C,MATCH($C$1,Database!$A$1:$C$1,),)=0,#N/A,VLOOKUP(Table73[[#This Row],[Date]],Database!$A:$C,MATCH($C$1,Database!$A$1:$C$1,),))</f>
        <v/>
      </c>
      <c r="D474">
        <f>IFERROR(Table73[[#This Row],[United States 10y]]-Table73[[#This Row],[United States 2y]],#N/A)</f>
        <v/>
      </c>
    </row>
    <row r="475">
      <c r="A475" s="6">
        <f>Database!A474</f>
        <v/>
      </c>
      <c r="B475">
        <f>IF(VLOOKUP(Table73[[#This Row],[Date]],Database!$A:$E,MATCH($B$1,Database!$A$1:$E$1,),)=0,#N/A,VLOOKUP(Table73[[#This Row],[Date]],Database!$A:$E,MATCH($B$1,Database!$A$1:$E$1,),))</f>
        <v/>
      </c>
      <c r="C475">
        <f>IF(VLOOKUP(Table73[[#This Row],[Date]],Database!$A:$C,MATCH($C$1,Database!$A$1:$C$1,),)=0,#N/A,VLOOKUP(Table73[[#This Row],[Date]],Database!$A:$C,MATCH($C$1,Database!$A$1:$C$1,),))</f>
        <v/>
      </c>
      <c r="D475">
        <f>IFERROR(Table73[[#This Row],[United States 10y]]-Table73[[#This Row],[United States 2y]],#N/A)</f>
        <v/>
      </c>
    </row>
    <row r="476">
      <c r="A476" s="6">
        <f>Database!A475</f>
        <v/>
      </c>
      <c r="B476">
        <f>IF(VLOOKUP(Table73[[#This Row],[Date]],Database!$A:$E,MATCH($B$1,Database!$A$1:$E$1,),)=0,#N/A,VLOOKUP(Table73[[#This Row],[Date]],Database!$A:$E,MATCH($B$1,Database!$A$1:$E$1,),))</f>
        <v/>
      </c>
      <c r="C476">
        <f>IF(VLOOKUP(Table73[[#This Row],[Date]],Database!$A:$C,MATCH($C$1,Database!$A$1:$C$1,),)=0,#N/A,VLOOKUP(Table73[[#This Row],[Date]],Database!$A:$C,MATCH($C$1,Database!$A$1:$C$1,),))</f>
        <v/>
      </c>
      <c r="D476">
        <f>IFERROR(Table73[[#This Row],[United States 10y]]-Table73[[#This Row],[United States 2y]],#N/A)</f>
        <v/>
      </c>
    </row>
    <row r="477">
      <c r="A477" s="6">
        <f>Database!A476</f>
        <v/>
      </c>
      <c r="B477">
        <f>IF(VLOOKUP(Table73[[#This Row],[Date]],Database!$A:$E,MATCH($B$1,Database!$A$1:$E$1,),)=0,#N/A,VLOOKUP(Table73[[#This Row],[Date]],Database!$A:$E,MATCH($B$1,Database!$A$1:$E$1,),))</f>
        <v/>
      </c>
      <c r="C477">
        <f>IF(VLOOKUP(Table73[[#This Row],[Date]],Database!$A:$C,MATCH($C$1,Database!$A$1:$C$1,),)=0,#N/A,VLOOKUP(Table73[[#This Row],[Date]],Database!$A:$C,MATCH($C$1,Database!$A$1:$C$1,),))</f>
        <v/>
      </c>
      <c r="D477">
        <f>IFERROR(Table73[[#This Row],[United States 10y]]-Table73[[#This Row],[United States 2y]],#N/A)</f>
        <v/>
      </c>
    </row>
    <row r="478">
      <c r="A478" s="6">
        <f>Database!A477</f>
        <v/>
      </c>
      <c r="B478">
        <f>IF(VLOOKUP(Table73[[#This Row],[Date]],Database!$A:$E,MATCH($B$1,Database!$A$1:$E$1,),)=0,#N/A,VLOOKUP(Table73[[#This Row],[Date]],Database!$A:$E,MATCH($B$1,Database!$A$1:$E$1,),))</f>
        <v/>
      </c>
      <c r="C478">
        <f>IF(VLOOKUP(Table73[[#This Row],[Date]],Database!$A:$C,MATCH($C$1,Database!$A$1:$C$1,),)=0,#N/A,VLOOKUP(Table73[[#This Row],[Date]],Database!$A:$C,MATCH($C$1,Database!$A$1:$C$1,),))</f>
        <v/>
      </c>
      <c r="D478">
        <f>IFERROR(Table73[[#This Row],[United States 10y]]-Table73[[#This Row],[United States 2y]],#N/A)</f>
        <v/>
      </c>
    </row>
    <row r="479">
      <c r="A479" s="6">
        <f>Database!A478</f>
        <v/>
      </c>
      <c r="B479">
        <f>IF(VLOOKUP(Table73[[#This Row],[Date]],Database!$A:$E,MATCH($B$1,Database!$A$1:$E$1,),)=0,#N/A,VLOOKUP(Table73[[#This Row],[Date]],Database!$A:$E,MATCH($B$1,Database!$A$1:$E$1,),))</f>
        <v/>
      </c>
      <c r="C479">
        <f>IF(VLOOKUP(Table73[[#This Row],[Date]],Database!$A:$C,MATCH($C$1,Database!$A$1:$C$1,),)=0,#N/A,VLOOKUP(Table73[[#This Row],[Date]],Database!$A:$C,MATCH($C$1,Database!$A$1:$C$1,),))</f>
        <v/>
      </c>
      <c r="D479">
        <f>IFERROR(Table73[[#This Row],[United States 10y]]-Table73[[#This Row],[United States 2y]],#N/A)</f>
        <v/>
      </c>
    </row>
    <row r="480">
      <c r="A480" s="6">
        <f>Database!A479</f>
        <v/>
      </c>
      <c r="B480">
        <f>IF(VLOOKUP(Table73[[#This Row],[Date]],Database!$A:$E,MATCH($B$1,Database!$A$1:$E$1,),)=0,#N/A,VLOOKUP(Table73[[#This Row],[Date]],Database!$A:$E,MATCH($B$1,Database!$A$1:$E$1,),))</f>
        <v/>
      </c>
      <c r="C480">
        <f>IF(VLOOKUP(Table73[[#This Row],[Date]],Database!$A:$C,MATCH($C$1,Database!$A$1:$C$1,),)=0,#N/A,VLOOKUP(Table73[[#This Row],[Date]],Database!$A:$C,MATCH($C$1,Database!$A$1:$C$1,),))</f>
        <v/>
      </c>
      <c r="D480">
        <f>IFERROR(Table73[[#This Row],[United States 10y]]-Table73[[#This Row],[United States 2y]],#N/A)</f>
        <v/>
      </c>
    </row>
    <row r="481">
      <c r="A481" s="6">
        <f>Database!A480</f>
        <v/>
      </c>
      <c r="B481">
        <f>IF(VLOOKUP(Table73[[#This Row],[Date]],Database!$A:$E,MATCH($B$1,Database!$A$1:$E$1,),)=0,#N/A,VLOOKUP(Table73[[#This Row],[Date]],Database!$A:$E,MATCH($B$1,Database!$A$1:$E$1,),))</f>
        <v/>
      </c>
      <c r="C481">
        <f>IF(VLOOKUP(Table73[[#This Row],[Date]],Database!$A:$C,MATCH($C$1,Database!$A$1:$C$1,),)=0,#N/A,VLOOKUP(Table73[[#This Row],[Date]],Database!$A:$C,MATCH($C$1,Database!$A$1:$C$1,),))</f>
        <v/>
      </c>
      <c r="D481">
        <f>IFERROR(Table73[[#This Row],[United States 10y]]-Table73[[#This Row],[United States 2y]],#N/A)</f>
        <v/>
      </c>
    </row>
    <row r="482">
      <c r="A482" s="6">
        <f>Database!A481</f>
        <v/>
      </c>
      <c r="B482">
        <f>IF(VLOOKUP(Table73[[#This Row],[Date]],Database!$A:$E,MATCH($B$1,Database!$A$1:$E$1,),)=0,#N/A,VLOOKUP(Table73[[#This Row],[Date]],Database!$A:$E,MATCH($B$1,Database!$A$1:$E$1,),))</f>
        <v/>
      </c>
      <c r="C482">
        <f>IF(VLOOKUP(Table73[[#This Row],[Date]],Database!$A:$C,MATCH($C$1,Database!$A$1:$C$1,),)=0,#N/A,VLOOKUP(Table73[[#This Row],[Date]],Database!$A:$C,MATCH($C$1,Database!$A$1:$C$1,),))</f>
        <v/>
      </c>
      <c r="D482">
        <f>IFERROR(Table73[[#This Row],[United States 10y]]-Table73[[#This Row],[United States 2y]],#N/A)</f>
        <v/>
      </c>
    </row>
    <row r="483">
      <c r="A483" s="6">
        <f>Database!A482</f>
        <v/>
      </c>
      <c r="B483">
        <f>IF(VLOOKUP(Table73[[#This Row],[Date]],Database!$A:$E,MATCH($B$1,Database!$A$1:$E$1,),)=0,#N/A,VLOOKUP(Table73[[#This Row],[Date]],Database!$A:$E,MATCH($B$1,Database!$A$1:$E$1,),))</f>
        <v/>
      </c>
      <c r="C483">
        <f>IF(VLOOKUP(Table73[[#This Row],[Date]],Database!$A:$C,MATCH($C$1,Database!$A$1:$C$1,),)=0,#N/A,VLOOKUP(Table73[[#This Row],[Date]],Database!$A:$C,MATCH($C$1,Database!$A$1:$C$1,),))</f>
        <v/>
      </c>
      <c r="D483">
        <f>IFERROR(Table73[[#This Row],[United States 10y]]-Table73[[#This Row],[United States 2y]],#N/A)</f>
        <v/>
      </c>
    </row>
    <row r="484">
      <c r="A484" s="6">
        <f>Database!A483</f>
        <v/>
      </c>
      <c r="B484">
        <f>IF(VLOOKUP(Table73[[#This Row],[Date]],Database!$A:$E,MATCH($B$1,Database!$A$1:$E$1,),)=0,#N/A,VLOOKUP(Table73[[#This Row],[Date]],Database!$A:$E,MATCH($B$1,Database!$A$1:$E$1,),))</f>
        <v/>
      </c>
      <c r="C484">
        <f>IF(VLOOKUP(Table73[[#This Row],[Date]],Database!$A:$C,MATCH($C$1,Database!$A$1:$C$1,),)=0,#N/A,VLOOKUP(Table73[[#This Row],[Date]],Database!$A:$C,MATCH($C$1,Database!$A$1:$C$1,),))</f>
        <v/>
      </c>
      <c r="D484">
        <f>IFERROR(Table73[[#This Row],[United States 10y]]-Table73[[#This Row],[United States 2y]],#N/A)</f>
        <v/>
      </c>
    </row>
    <row r="485">
      <c r="A485" s="6">
        <f>Database!A484</f>
        <v/>
      </c>
      <c r="B485">
        <f>IF(VLOOKUP(Table73[[#This Row],[Date]],Database!$A:$E,MATCH($B$1,Database!$A$1:$E$1,),)=0,#N/A,VLOOKUP(Table73[[#This Row],[Date]],Database!$A:$E,MATCH($B$1,Database!$A$1:$E$1,),))</f>
        <v/>
      </c>
      <c r="C485">
        <f>IF(VLOOKUP(Table73[[#This Row],[Date]],Database!$A:$C,MATCH($C$1,Database!$A$1:$C$1,),)=0,#N/A,VLOOKUP(Table73[[#This Row],[Date]],Database!$A:$C,MATCH($C$1,Database!$A$1:$C$1,),))</f>
        <v/>
      </c>
      <c r="D485">
        <f>IFERROR(Table73[[#This Row],[United States 10y]]-Table73[[#This Row],[United States 2y]],#N/A)</f>
        <v/>
      </c>
    </row>
    <row r="486">
      <c r="A486" s="6">
        <f>Database!A485</f>
        <v/>
      </c>
      <c r="B486">
        <f>IF(VLOOKUP(Table73[[#This Row],[Date]],Database!$A:$E,MATCH($B$1,Database!$A$1:$E$1,),)=0,#N/A,VLOOKUP(Table73[[#This Row],[Date]],Database!$A:$E,MATCH($B$1,Database!$A$1:$E$1,),))</f>
        <v/>
      </c>
      <c r="C486">
        <f>IF(VLOOKUP(Table73[[#This Row],[Date]],Database!$A:$C,MATCH($C$1,Database!$A$1:$C$1,),)=0,#N/A,VLOOKUP(Table73[[#This Row],[Date]],Database!$A:$C,MATCH($C$1,Database!$A$1:$C$1,),))</f>
        <v/>
      </c>
      <c r="D486">
        <f>IFERROR(Table73[[#This Row],[United States 10y]]-Table73[[#This Row],[United States 2y]],#N/A)</f>
        <v/>
      </c>
    </row>
    <row r="487">
      <c r="A487" s="6">
        <f>Database!A486</f>
        <v/>
      </c>
      <c r="B487">
        <f>IF(VLOOKUP(Table73[[#This Row],[Date]],Database!$A:$E,MATCH($B$1,Database!$A$1:$E$1,),)=0,#N/A,VLOOKUP(Table73[[#This Row],[Date]],Database!$A:$E,MATCH($B$1,Database!$A$1:$E$1,),))</f>
        <v/>
      </c>
      <c r="C487">
        <f>IF(VLOOKUP(Table73[[#This Row],[Date]],Database!$A:$C,MATCH($C$1,Database!$A$1:$C$1,),)=0,#N/A,VLOOKUP(Table73[[#This Row],[Date]],Database!$A:$C,MATCH($C$1,Database!$A$1:$C$1,),))</f>
        <v/>
      </c>
      <c r="D487">
        <f>IFERROR(Table73[[#This Row],[United States 10y]]-Table73[[#This Row],[United States 2y]],#N/A)</f>
        <v/>
      </c>
    </row>
    <row r="488">
      <c r="A488" s="6">
        <f>Database!A487</f>
        <v/>
      </c>
      <c r="B488">
        <f>IF(VLOOKUP(Table73[[#This Row],[Date]],Database!$A:$E,MATCH($B$1,Database!$A$1:$E$1,),)=0,#N/A,VLOOKUP(Table73[[#This Row],[Date]],Database!$A:$E,MATCH($B$1,Database!$A$1:$E$1,),))</f>
        <v/>
      </c>
      <c r="C488">
        <f>IF(VLOOKUP(Table73[[#This Row],[Date]],Database!$A:$C,MATCH($C$1,Database!$A$1:$C$1,),)=0,#N/A,VLOOKUP(Table73[[#This Row],[Date]],Database!$A:$C,MATCH($C$1,Database!$A$1:$C$1,),))</f>
        <v/>
      </c>
      <c r="D488">
        <f>IFERROR(Table73[[#This Row],[United States 10y]]-Table73[[#This Row],[United States 2y]],#N/A)</f>
        <v/>
      </c>
    </row>
    <row r="489">
      <c r="A489" s="6">
        <f>Database!A488</f>
        <v/>
      </c>
      <c r="B489">
        <f>IF(VLOOKUP(Table73[[#This Row],[Date]],Database!$A:$E,MATCH($B$1,Database!$A$1:$E$1,),)=0,#N/A,VLOOKUP(Table73[[#This Row],[Date]],Database!$A:$E,MATCH($B$1,Database!$A$1:$E$1,),))</f>
        <v/>
      </c>
      <c r="C489">
        <f>IF(VLOOKUP(Table73[[#This Row],[Date]],Database!$A:$C,MATCH($C$1,Database!$A$1:$C$1,),)=0,#N/A,VLOOKUP(Table73[[#This Row],[Date]],Database!$A:$C,MATCH($C$1,Database!$A$1:$C$1,),))</f>
        <v/>
      </c>
      <c r="D489">
        <f>IFERROR(Table73[[#This Row],[United States 10y]]-Table73[[#This Row],[United States 2y]],#N/A)</f>
        <v/>
      </c>
    </row>
    <row r="490">
      <c r="A490" s="6">
        <f>Database!A489</f>
        <v/>
      </c>
      <c r="B490">
        <f>IF(VLOOKUP(Table73[[#This Row],[Date]],Database!$A:$E,MATCH($B$1,Database!$A$1:$E$1,),)=0,#N/A,VLOOKUP(Table73[[#This Row],[Date]],Database!$A:$E,MATCH($B$1,Database!$A$1:$E$1,),))</f>
        <v/>
      </c>
      <c r="C490">
        <f>IF(VLOOKUP(Table73[[#This Row],[Date]],Database!$A:$C,MATCH($C$1,Database!$A$1:$C$1,),)=0,#N/A,VLOOKUP(Table73[[#This Row],[Date]],Database!$A:$C,MATCH($C$1,Database!$A$1:$C$1,),))</f>
        <v/>
      </c>
      <c r="D490">
        <f>IFERROR(Table73[[#This Row],[United States 10y]]-Table73[[#This Row],[United States 2y]],#N/A)</f>
        <v/>
      </c>
    </row>
    <row r="491">
      <c r="A491" s="6">
        <f>Database!A490</f>
        <v/>
      </c>
      <c r="B491">
        <f>IF(VLOOKUP(Table73[[#This Row],[Date]],Database!$A:$E,MATCH($B$1,Database!$A$1:$E$1,),)=0,#N/A,VLOOKUP(Table73[[#This Row],[Date]],Database!$A:$E,MATCH($B$1,Database!$A$1:$E$1,),))</f>
        <v/>
      </c>
      <c r="C491">
        <f>IF(VLOOKUP(Table73[[#This Row],[Date]],Database!$A:$C,MATCH($C$1,Database!$A$1:$C$1,),)=0,#N/A,VLOOKUP(Table73[[#This Row],[Date]],Database!$A:$C,MATCH($C$1,Database!$A$1:$C$1,),))</f>
        <v/>
      </c>
      <c r="D491">
        <f>IFERROR(Table73[[#This Row],[United States 10y]]-Table73[[#This Row],[United States 2y]],#N/A)</f>
        <v/>
      </c>
    </row>
    <row r="492">
      <c r="A492" s="6">
        <f>Database!A491</f>
        <v/>
      </c>
      <c r="B492">
        <f>IF(VLOOKUP(Table73[[#This Row],[Date]],Database!$A:$E,MATCH($B$1,Database!$A$1:$E$1,),)=0,#N/A,VLOOKUP(Table73[[#This Row],[Date]],Database!$A:$E,MATCH($B$1,Database!$A$1:$E$1,),))</f>
        <v/>
      </c>
      <c r="C492">
        <f>IF(VLOOKUP(Table73[[#This Row],[Date]],Database!$A:$C,MATCH($C$1,Database!$A$1:$C$1,),)=0,#N/A,VLOOKUP(Table73[[#This Row],[Date]],Database!$A:$C,MATCH($C$1,Database!$A$1:$C$1,),))</f>
        <v/>
      </c>
      <c r="D492">
        <f>IFERROR(Table73[[#This Row],[United States 10y]]-Table73[[#This Row],[United States 2y]],#N/A)</f>
        <v/>
      </c>
    </row>
    <row r="493">
      <c r="A493" s="6">
        <f>Database!A492</f>
        <v/>
      </c>
      <c r="B493">
        <f>IF(VLOOKUP(Table73[[#This Row],[Date]],Database!$A:$E,MATCH($B$1,Database!$A$1:$E$1,),)=0,#N/A,VLOOKUP(Table73[[#This Row],[Date]],Database!$A:$E,MATCH($B$1,Database!$A$1:$E$1,),))</f>
        <v/>
      </c>
      <c r="C493">
        <f>IF(VLOOKUP(Table73[[#This Row],[Date]],Database!$A:$C,MATCH($C$1,Database!$A$1:$C$1,),)=0,#N/A,VLOOKUP(Table73[[#This Row],[Date]],Database!$A:$C,MATCH($C$1,Database!$A$1:$C$1,),))</f>
        <v/>
      </c>
      <c r="D493">
        <f>IFERROR(Table73[[#This Row],[United States 10y]]-Table73[[#This Row],[United States 2y]],#N/A)</f>
        <v/>
      </c>
    </row>
    <row r="494">
      <c r="A494" s="6">
        <f>Database!A493</f>
        <v/>
      </c>
      <c r="B494">
        <f>IF(VLOOKUP(Table73[[#This Row],[Date]],Database!$A:$E,MATCH($B$1,Database!$A$1:$E$1,),)=0,#N/A,VLOOKUP(Table73[[#This Row],[Date]],Database!$A:$E,MATCH($B$1,Database!$A$1:$E$1,),))</f>
        <v/>
      </c>
      <c r="C494">
        <f>IF(VLOOKUP(Table73[[#This Row],[Date]],Database!$A:$C,MATCH($C$1,Database!$A$1:$C$1,),)=0,#N/A,VLOOKUP(Table73[[#This Row],[Date]],Database!$A:$C,MATCH($C$1,Database!$A$1:$C$1,),))</f>
        <v/>
      </c>
      <c r="D494">
        <f>IFERROR(Table73[[#This Row],[United States 10y]]-Table73[[#This Row],[United States 2y]],#N/A)</f>
        <v/>
      </c>
    </row>
    <row r="495">
      <c r="A495" s="6">
        <f>Database!A494</f>
        <v/>
      </c>
      <c r="B495">
        <f>IF(VLOOKUP(Table73[[#This Row],[Date]],Database!$A:$E,MATCH($B$1,Database!$A$1:$E$1,),)=0,#N/A,VLOOKUP(Table73[[#This Row],[Date]],Database!$A:$E,MATCH($B$1,Database!$A$1:$E$1,),))</f>
        <v/>
      </c>
      <c r="C495">
        <f>IF(VLOOKUP(Table73[[#This Row],[Date]],Database!$A:$C,MATCH($C$1,Database!$A$1:$C$1,),)=0,#N/A,VLOOKUP(Table73[[#This Row],[Date]],Database!$A:$C,MATCH($C$1,Database!$A$1:$C$1,),))</f>
        <v/>
      </c>
      <c r="D495">
        <f>IFERROR(Table73[[#This Row],[United States 10y]]-Table73[[#This Row],[United States 2y]],#N/A)</f>
        <v/>
      </c>
    </row>
    <row r="496">
      <c r="A496" s="6">
        <f>Database!A495</f>
        <v/>
      </c>
      <c r="B496">
        <f>IF(VLOOKUP(Table73[[#This Row],[Date]],Database!$A:$E,MATCH($B$1,Database!$A$1:$E$1,),)=0,#N/A,VLOOKUP(Table73[[#This Row],[Date]],Database!$A:$E,MATCH($B$1,Database!$A$1:$E$1,),))</f>
        <v/>
      </c>
      <c r="C496">
        <f>IF(VLOOKUP(Table73[[#This Row],[Date]],Database!$A:$C,MATCH($C$1,Database!$A$1:$C$1,),)=0,#N/A,VLOOKUP(Table73[[#This Row],[Date]],Database!$A:$C,MATCH($C$1,Database!$A$1:$C$1,),))</f>
        <v/>
      </c>
      <c r="D496">
        <f>IFERROR(Table73[[#This Row],[United States 10y]]-Table73[[#This Row],[United States 2y]],#N/A)</f>
        <v/>
      </c>
    </row>
    <row r="497">
      <c r="A497" s="6">
        <f>Database!A496</f>
        <v/>
      </c>
      <c r="B497">
        <f>IF(VLOOKUP(Table73[[#This Row],[Date]],Database!$A:$E,MATCH($B$1,Database!$A$1:$E$1,),)=0,#N/A,VLOOKUP(Table73[[#This Row],[Date]],Database!$A:$E,MATCH($B$1,Database!$A$1:$E$1,),))</f>
        <v/>
      </c>
      <c r="C497">
        <f>IF(VLOOKUP(Table73[[#This Row],[Date]],Database!$A:$C,MATCH($C$1,Database!$A$1:$C$1,),)=0,#N/A,VLOOKUP(Table73[[#This Row],[Date]],Database!$A:$C,MATCH($C$1,Database!$A$1:$C$1,),))</f>
        <v/>
      </c>
      <c r="D497">
        <f>IFERROR(Table73[[#This Row],[United States 10y]]-Table73[[#This Row],[United States 2y]],#N/A)</f>
        <v/>
      </c>
    </row>
    <row r="498">
      <c r="A498" s="6">
        <f>Database!A497</f>
        <v/>
      </c>
      <c r="B498">
        <f>IF(VLOOKUP(Table73[[#This Row],[Date]],Database!$A:$E,MATCH($B$1,Database!$A$1:$E$1,),)=0,#N/A,VLOOKUP(Table73[[#This Row],[Date]],Database!$A:$E,MATCH($B$1,Database!$A$1:$E$1,),))</f>
        <v/>
      </c>
      <c r="C498">
        <f>IF(VLOOKUP(Table73[[#This Row],[Date]],Database!$A:$C,MATCH($C$1,Database!$A$1:$C$1,),)=0,#N/A,VLOOKUP(Table73[[#This Row],[Date]],Database!$A:$C,MATCH($C$1,Database!$A$1:$C$1,),))</f>
        <v/>
      </c>
      <c r="D498">
        <f>IFERROR(Table73[[#This Row],[United States 10y]]-Table73[[#This Row],[United States 2y]],#N/A)</f>
        <v/>
      </c>
    </row>
    <row r="499">
      <c r="A499" s="6">
        <f>Database!A498</f>
        <v/>
      </c>
      <c r="B499">
        <f>IF(VLOOKUP(Table73[[#This Row],[Date]],Database!$A:$E,MATCH($B$1,Database!$A$1:$E$1,),)=0,#N/A,VLOOKUP(Table73[[#This Row],[Date]],Database!$A:$E,MATCH($B$1,Database!$A$1:$E$1,),))</f>
        <v/>
      </c>
      <c r="C499">
        <f>IF(VLOOKUP(Table73[[#This Row],[Date]],Database!$A:$C,MATCH($C$1,Database!$A$1:$C$1,),)=0,#N/A,VLOOKUP(Table73[[#This Row],[Date]],Database!$A:$C,MATCH($C$1,Database!$A$1:$C$1,),))</f>
        <v/>
      </c>
      <c r="D499">
        <f>IFERROR(Table73[[#This Row],[United States 10y]]-Table73[[#This Row],[United States 2y]],#N/A)</f>
        <v/>
      </c>
    </row>
    <row r="500">
      <c r="A500" s="6">
        <f>Database!A499</f>
        <v/>
      </c>
      <c r="B500">
        <f>IF(VLOOKUP(Table73[[#This Row],[Date]],Database!$A:$E,MATCH($B$1,Database!$A$1:$E$1,),)=0,#N/A,VLOOKUP(Table73[[#This Row],[Date]],Database!$A:$E,MATCH($B$1,Database!$A$1:$E$1,),))</f>
        <v/>
      </c>
      <c r="C500">
        <f>IF(VLOOKUP(Table73[[#This Row],[Date]],Database!$A:$C,MATCH($C$1,Database!$A$1:$C$1,),)=0,#N/A,VLOOKUP(Table73[[#This Row],[Date]],Database!$A:$C,MATCH($C$1,Database!$A$1:$C$1,),))</f>
        <v/>
      </c>
      <c r="D500">
        <f>IFERROR(Table73[[#This Row],[United States 10y]]-Table73[[#This Row],[United States 2y]],#N/A)</f>
        <v/>
      </c>
    </row>
    <row r="501">
      <c r="A501" s="6">
        <f>Database!A500</f>
        <v/>
      </c>
      <c r="B501">
        <f>IF(VLOOKUP(Table73[[#This Row],[Date]],Database!$A:$E,MATCH($B$1,Database!$A$1:$E$1,),)=0,#N/A,VLOOKUP(Table73[[#This Row],[Date]],Database!$A:$E,MATCH($B$1,Database!$A$1:$E$1,),))</f>
        <v/>
      </c>
      <c r="C501">
        <f>IF(VLOOKUP(Table73[[#This Row],[Date]],Database!$A:$C,MATCH($C$1,Database!$A$1:$C$1,),)=0,#N/A,VLOOKUP(Table73[[#This Row],[Date]],Database!$A:$C,MATCH($C$1,Database!$A$1:$C$1,),))</f>
        <v/>
      </c>
      <c r="D501">
        <f>IFERROR(Table73[[#This Row],[United States 10y]]-Table73[[#This Row],[United States 2y]],#N/A)</f>
        <v/>
      </c>
    </row>
    <row r="502">
      <c r="A502" s="6">
        <f>Database!A501</f>
        <v/>
      </c>
      <c r="B502">
        <f>IF(VLOOKUP(Table73[[#This Row],[Date]],Database!$A:$E,MATCH($B$1,Database!$A$1:$E$1,),)=0,#N/A,VLOOKUP(Table73[[#This Row],[Date]],Database!$A:$E,MATCH($B$1,Database!$A$1:$E$1,),))</f>
        <v/>
      </c>
      <c r="C502">
        <f>IF(VLOOKUP(Table73[[#This Row],[Date]],Database!$A:$C,MATCH($C$1,Database!$A$1:$C$1,),)=0,#N/A,VLOOKUP(Table73[[#This Row],[Date]],Database!$A:$C,MATCH($C$1,Database!$A$1:$C$1,),))</f>
        <v/>
      </c>
      <c r="D502">
        <f>IFERROR(Table73[[#This Row],[United States 10y]]-Table73[[#This Row],[United States 2y]],#N/A)</f>
        <v/>
      </c>
    </row>
    <row r="503">
      <c r="A503" s="6">
        <f>Database!A502</f>
        <v/>
      </c>
      <c r="B503">
        <f>IF(VLOOKUP(Table73[[#This Row],[Date]],Database!$A:$E,MATCH($B$1,Database!$A$1:$E$1,),)=0,#N/A,VLOOKUP(Table73[[#This Row],[Date]],Database!$A:$E,MATCH($B$1,Database!$A$1:$E$1,),))</f>
        <v/>
      </c>
      <c r="C503">
        <f>IF(VLOOKUP(Table73[[#This Row],[Date]],Database!$A:$C,MATCH($C$1,Database!$A$1:$C$1,),)=0,#N/A,VLOOKUP(Table73[[#This Row],[Date]],Database!$A:$C,MATCH($C$1,Database!$A$1:$C$1,),))</f>
        <v/>
      </c>
      <c r="D503">
        <f>IFERROR(Table73[[#This Row],[United States 10y]]-Table73[[#This Row],[United States 2y]],#N/A)</f>
        <v/>
      </c>
    </row>
    <row r="504">
      <c r="A504" s="6">
        <f>Database!A503</f>
        <v/>
      </c>
      <c r="B504">
        <f>IF(VLOOKUP(Table73[[#This Row],[Date]],Database!$A:$E,MATCH($B$1,Database!$A$1:$E$1,),)=0,#N/A,VLOOKUP(Table73[[#This Row],[Date]],Database!$A:$E,MATCH($B$1,Database!$A$1:$E$1,),))</f>
        <v/>
      </c>
      <c r="C504">
        <f>IF(VLOOKUP(Table73[[#This Row],[Date]],Database!$A:$C,MATCH($C$1,Database!$A$1:$C$1,),)=0,#N/A,VLOOKUP(Table73[[#This Row],[Date]],Database!$A:$C,MATCH($C$1,Database!$A$1:$C$1,),))</f>
        <v/>
      </c>
      <c r="D504">
        <f>IFERROR(Table73[[#This Row],[United States 10y]]-Table73[[#This Row],[United States 2y]],#N/A)</f>
        <v/>
      </c>
    </row>
    <row r="505">
      <c r="A505" s="6">
        <f>Database!A504</f>
        <v/>
      </c>
      <c r="B505">
        <f>IF(VLOOKUP(Table73[[#This Row],[Date]],Database!$A:$E,MATCH($B$1,Database!$A$1:$E$1,),)=0,#N/A,VLOOKUP(Table73[[#This Row],[Date]],Database!$A:$E,MATCH($B$1,Database!$A$1:$E$1,),))</f>
        <v/>
      </c>
      <c r="C505">
        <f>IF(VLOOKUP(Table73[[#This Row],[Date]],Database!$A:$C,MATCH($C$1,Database!$A$1:$C$1,),)=0,#N/A,VLOOKUP(Table73[[#This Row],[Date]],Database!$A:$C,MATCH($C$1,Database!$A$1:$C$1,),))</f>
        <v/>
      </c>
      <c r="D505">
        <f>IFERROR(Table73[[#This Row],[United States 10y]]-Table73[[#This Row],[United States 2y]],#N/A)</f>
        <v/>
      </c>
    </row>
    <row r="506">
      <c r="A506" s="6">
        <f>Database!A505</f>
        <v/>
      </c>
      <c r="B506">
        <f>IF(VLOOKUP(Table73[[#This Row],[Date]],Database!$A:$E,MATCH($B$1,Database!$A$1:$E$1,),)=0,#N/A,VLOOKUP(Table73[[#This Row],[Date]],Database!$A:$E,MATCH($B$1,Database!$A$1:$E$1,),))</f>
        <v/>
      </c>
      <c r="C506">
        <f>IF(VLOOKUP(Table73[[#This Row],[Date]],Database!$A:$C,MATCH($C$1,Database!$A$1:$C$1,),)=0,#N/A,VLOOKUP(Table73[[#This Row],[Date]],Database!$A:$C,MATCH($C$1,Database!$A$1:$C$1,),))</f>
        <v/>
      </c>
      <c r="D506">
        <f>IFERROR(Table73[[#This Row],[United States 10y]]-Table73[[#This Row],[United States 2y]],#N/A)</f>
        <v/>
      </c>
    </row>
    <row r="507">
      <c r="A507" s="6">
        <f>Database!A506</f>
        <v/>
      </c>
      <c r="B507">
        <f>IF(VLOOKUP(Table73[[#This Row],[Date]],Database!$A:$E,MATCH($B$1,Database!$A$1:$E$1,),)=0,#N/A,VLOOKUP(Table73[[#This Row],[Date]],Database!$A:$E,MATCH($B$1,Database!$A$1:$E$1,),))</f>
        <v/>
      </c>
      <c r="C507">
        <f>IF(VLOOKUP(Table73[[#This Row],[Date]],Database!$A:$C,MATCH($C$1,Database!$A$1:$C$1,),)=0,#N/A,VLOOKUP(Table73[[#This Row],[Date]],Database!$A:$C,MATCH($C$1,Database!$A$1:$C$1,),))</f>
        <v/>
      </c>
      <c r="D507">
        <f>IFERROR(Table73[[#This Row],[United States 10y]]-Table73[[#This Row],[United States 2y]],#N/A)</f>
        <v/>
      </c>
    </row>
    <row r="508">
      <c r="A508" s="6">
        <f>Database!A507</f>
        <v/>
      </c>
      <c r="B508">
        <f>IF(VLOOKUP(Table73[[#This Row],[Date]],Database!$A:$E,MATCH($B$1,Database!$A$1:$E$1,),)=0,#N/A,VLOOKUP(Table73[[#This Row],[Date]],Database!$A:$E,MATCH($B$1,Database!$A$1:$E$1,),))</f>
        <v/>
      </c>
      <c r="C508">
        <f>IF(VLOOKUP(Table73[[#This Row],[Date]],Database!$A:$C,MATCH($C$1,Database!$A$1:$C$1,),)=0,#N/A,VLOOKUP(Table73[[#This Row],[Date]],Database!$A:$C,MATCH($C$1,Database!$A$1:$C$1,),))</f>
        <v/>
      </c>
      <c r="D508">
        <f>IFERROR(Table73[[#This Row],[United States 10y]]-Table73[[#This Row],[United States 2y]],#N/A)</f>
        <v/>
      </c>
    </row>
    <row r="509">
      <c r="A509" s="6">
        <f>Database!A508</f>
        <v/>
      </c>
      <c r="B509">
        <f>IF(VLOOKUP(Table73[[#This Row],[Date]],Database!$A:$E,MATCH($B$1,Database!$A$1:$E$1,),)=0,#N/A,VLOOKUP(Table73[[#This Row],[Date]],Database!$A:$E,MATCH($B$1,Database!$A$1:$E$1,),))</f>
        <v/>
      </c>
      <c r="C509">
        <f>IF(VLOOKUP(Table73[[#This Row],[Date]],Database!$A:$C,MATCH($C$1,Database!$A$1:$C$1,),)=0,#N/A,VLOOKUP(Table73[[#This Row],[Date]],Database!$A:$C,MATCH($C$1,Database!$A$1:$C$1,),))</f>
        <v/>
      </c>
      <c r="D509">
        <f>IFERROR(Table73[[#This Row],[United States 10y]]-Table73[[#This Row],[United States 2y]],#N/A)</f>
        <v/>
      </c>
    </row>
    <row r="510">
      <c r="A510" s="6">
        <f>Database!A509</f>
        <v/>
      </c>
      <c r="B510">
        <f>IF(VLOOKUP(Table73[[#This Row],[Date]],Database!$A:$E,MATCH($B$1,Database!$A$1:$E$1,),)=0,#N/A,VLOOKUP(Table73[[#This Row],[Date]],Database!$A:$E,MATCH($B$1,Database!$A$1:$E$1,),))</f>
        <v/>
      </c>
      <c r="C510">
        <f>IF(VLOOKUP(Table73[[#This Row],[Date]],Database!$A:$C,MATCH($C$1,Database!$A$1:$C$1,),)=0,#N/A,VLOOKUP(Table73[[#This Row],[Date]],Database!$A:$C,MATCH($C$1,Database!$A$1:$C$1,),))</f>
        <v/>
      </c>
      <c r="D510">
        <f>IFERROR(Table73[[#This Row],[United States 10y]]-Table73[[#This Row],[United States 2y]],#N/A)</f>
        <v/>
      </c>
    </row>
    <row r="511">
      <c r="A511" s="6">
        <f>Database!A510</f>
        <v/>
      </c>
      <c r="B511">
        <f>IF(VLOOKUP(Table73[[#This Row],[Date]],Database!$A:$E,MATCH($B$1,Database!$A$1:$E$1,),)=0,#N/A,VLOOKUP(Table73[[#This Row],[Date]],Database!$A:$E,MATCH($B$1,Database!$A$1:$E$1,),))</f>
        <v/>
      </c>
      <c r="C511">
        <f>IF(VLOOKUP(Table73[[#This Row],[Date]],Database!$A:$C,MATCH($C$1,Database!$A$1:$C$1,),)=0,#N/A,VLOOKUP(Table73[[#This Row],[Date]],Database!$A:$C,MATCH($C$1,Database!$A$1:$C$1,),))</f>
        <v/>
      </c>
      <c r="D511">
        <f>IFERROR(Table73[[#This Row],[United States 10y]]-Table73[[#This Row],[United States 2y]],#N/A)</f>
        <v/>
      </c>
    </row>
    <row r="512">
      <c r="A512" s="6">
        <f>Database!A511</f>
        <v/>
      </c>
      <c r="B512">
        <f>IF(VLOOKUP(Table73[[#This Row],[Date]],Database!$A:$E,MATCH($B$1,Database!$A$1:$E$1,),)=0,#N/A,VLOOKUP(Table73[[#This Row],[Date]],Database!$A:$E,MATCH($B$1,Database!$A$1:$E$1,),))</f>
        <v/>
      </c>
      <c r="C512">
        <f>IF(VLOOKUP(Table73[[#This Row],[Date]],Database!$A:$C,MATCH($C$1,Database!$A$1:$C$1,),)=0,#N/A,VLOOKUP(Table73[[#This Row],[Date]],Database!$A:$C,MATCH($C$1,Database!$A$1:$C$1,),))</f>
        <v/>
      </c>
      <c r="D512">
        <f>IFERROR(Table73[[#This Row],[United States 10y]]-Table73[[#This Row],[United States 2y]],#N/A)</f>
        <v/>
      </c>
    </row>
    <row r="513">
      <c r="A513" s="6">
        <f>Database!A512</f>
        <v/>
      </c>
      <c r="B513">
        <f>IF(VLOOKUP(Table73[[#This Row],[Date]],Database!$A:$E,MATCH($B$1,Database!$A$1:$E$1,),)=0,#N/A,VLOOKUP(Table73[[#This Row],[Date]],Database!$A:$E,MATCH($B$1,Database!$A$1:$E$1,),))</f>
        <v/>
      </c>
      <c r="C513">
        <f>IF(VLOOKUP(Table73[[#This Row],[Date]],Database!$A:$C,MATCH($C$1,Database!$A$1:$C$1,),)=0,#N/A,VLOOKUP(Table73[[#This Row],[Date]],Database!$A:$C,MATCH($C$1,Database!$A$1:$C$1,),))</f>
        <v/>
      </c>
      <c r="D513">
        <f>IFERROR(Table73[[#This Row],[United States 10y]]-Table73[[#This Row],[United States 2y]],#N/A)</f>
        <v/>
      </c>
    </row>
    <row r="514">
      <c r="A514" s="6">
        <f>Database!A513</f>
        <v/>
      </c>
      <c r="B514">
        <f>IF(VLOOKUP(Table73[[#This Row],[Date]],Database!$A:$E,MATCH($B$1,Database!$A$1:$E$1,),)=0,#N/A,VLOOKUP(Table73[[#This Row],[Date]],Database!$A:$E,MATCH($B$1,Database!$A$1:$E$1,),))</f>
        <v/>
      </c>
      <c r="C514">
        <f>IF(VLOOKUP(Table73[[#This Row],[Date]],Database!$A:$C,MATCH($C$1,Database!$A$1:$C$1,),)=0,#N/A,VLOOKUP(Table73[[#This Row],[Date]],Database!$A:$C,MATCH($C$1,Database!$A$1:$C$1,),))</f>
        <v/>
      </c>
      <c r="D514">
        <f>IFERROR(Table73[[#This Row],[United States 10y]]-Table73[[#This Row],[United States 2y]],#N/A)</f>
        <v/>
      </c>
    </row>
    <row r="515">
      <c r="A515" s="6">
        <f>Database!A514</f>
        <v/>
      </c>
      <c r="B515">
        <f>IF(VLOOKUP(Table73[[#This Row],[Date]],Database!$A:$E,MATCH($B$1,Database!$A$1:$E$1,),)=0,#N/A,VLOOKUP(Table73[[#This Row],[Date]],Database!$A:$E,MATCH($B$1,Database!$A$1:$E$1,),))</f>
        <v/>
      </c>
      <c r="C515">
        <f>IF(VLOOKUP(Table73[[#This Row],[Date]],Database!$A:$C,MATCH($C$1,Database!$A$1:$C$1,),)=0,#N/A,VLOOKUP(Table73[[#This Row],[Date]],Database!$A:$C,MATCH($C$1,Database!$A$1:$C$1,),))</f>
        <v/>
      </c>
      <c r="D515">
        <f>IFERROR(Table73[[#This Row],[United States 10y]]-Table73[[#This Row],[United States 2y]],#N/A)</f>
        <v/>
      </c>
    </row>
    <row r="516">
      <c r="A516" s="6">
        <f>Database!A515</f>
        <v/>
      </c>
      <c r="B516">
        <f>IF(VLOOKUP(Table73[[#This Row],[Date]],Database!$A:$E,MATCH($B$1,Database!$A$1:$E$1,),)=0,#N/A,VLOOKUP(Table73[[#This Row],[Date]],Database!$A:$E,MATCH($B$1,Database!$A$1:$E$1,),))</f>
        <v/>
      </c>
      <c r="C516">
        <f>IF(VLOOKUP(Table73[[#This Row],[Date]],Database!$A:$C,MATCH($C$1,Database!$A$1:$C$1,),)=0,#N/A,VLOOKUP(Table73[[#This Row],[Date]],Database!$A:$C,MATCH($C$1,Database!$A$1:$C$1,),))</f>
        <v/>
      </c>
      <c r="D516">
        <f>IFERROR(Table73[[#This Row],[United States 10y]]-Table73[[#This Row],[United States 2y]],#N/A)</f>
        <v/>
      </c>
    </row>
    <row r="517">
      <c r="A517" s="6">
        <f>Database!A516</f>
        <v/>
      </c>
      <c r="B517">
        <f>IF(VLOOKUP(Table73[[#This Row],[Date]],Database!$A:$E,MATCH($B$1,Database!$A$1:$E$1,),)=0,#N/A,VLOOKUP(Table73[[#This Row],[Date]],Database!$A:$E,MATCH($B$1,Database!$A$1:$E$1,),))</f>
        <v/>
      </c>
      <c r="C517">
        <f>IF(VLOOKUP(Table73[[#This Row],[Date]],Database!$A:$C,MATCH($C$1,Database!$A$1:$C$1,),)=0,#N/A,VLOOKUP(Table73[[#This Row],[Date]],Database!$A:$C,MATCH($C$1,Database!$A$1:$C$1,),))</f>
        <v/>
      </c>
      <c r="D517">
        <f>IFERROR(Table73[[#This Row],[United States 10y]]-Table73[[#This Row],[United States 2y]],#N/A)</f>
        <v/>
      </c>
    </row>
    <row r="518">
      <c r="A518" s="6">
        <f>Database!A517</f>
        <v/>
      </c>
      <c r="B518">
        <f>IF(VLOOKUP(Table73[[#This Row],[Date]],Database!$A:$E,MATCH($B$1,Database!$A$1:$E$1,),)=0,#N/A,VLOOKUP(Table73[[#This Row],[Date]],Database!$A:$E,MATCH($B$1,Database!$A$1:$E$1,),))</f>
        <v/>
      </c>
      <c r="C518">
        <f>IF(VLOOKUP(Table73[[#This Row],[Date]],Database!$A:$C,MATCH($C$1,Database!$A$1:$C$1,),)=0,#N/A,VLOOKUP(Table73[[#This Row],[Date]],Database!$A:$C,MATCH($C$1,Database!$A$1:$C$1,),))</f>
        <v/>
      </c>
      <c r="D518">
        <f>IFERROR(Table73[[#This Row],[United States 10y]]-Table73[[#This Row],[United States 2y]],#N/A)</f>
        <v/>
      </c>
    </row>
    <row r="519">
      <c r="A519" s="6">
        <f>Database!A518</f>
        <v/>
      </c>
      <c r="B519">
        <f>IF(VLOOKUP(Table73[[#This Row],[Date]],Database!$A:$E,MATCH($B$1,Database!$A$1:$E$1,),)=0,#N/A,VLOOKUP(Table73[[#This Row],[Date]],Database!$A:$E,MATCH($B$1,Database!$A$1:$E$1,),))</f>
        <v/>
      </c>
      <c r="C519">
        <f>IF(VLOOKUP(Table73[[#This Row],[Date]],Database!$A:$C,MATCH($C$1,Database!$A$1:$C$1,),)=0,#N/A,VLOOKUP(Table73[[#This Row],[Date]],Database!$A:$C,MATCH($C$1,Database!$A$1:$C$1,),))</f>
        <v/>
      </c>
      <c r="D519">
        <f>IFERROR(Table73[[#This Row],[United States 10y]]-Table73[[#This Row],[United States 2y]],#N/A)</f>
        <v/>
      </c>
    </row>
    <row r="520">
      <c r="A520" s="6">
        <f>Database!A519</f>
        <v/>
      </c>
      <c r="B520">
        <f>IF(VLOOKUP(Table73[[#This Row],[Date]],Database!$A:$E,MATCH($B$1,Database!$A$1:$E$1,),)=0,#N/A,VLOOKUP(Table73[[#This Row],[Date]],Database!$A:$E,MATCH($B$1,Database!$A$1:$E$1,),))</f>
        <v/>
      </c>
      <c r="C520">
        <f>IF(VLOOKUP(Table73[[#This Row],[Date]],Database!$A:$C,MATCH($C$1,Database!$A$1:$C$1,),)=0,#N/A,VLOOKUP(Table73[[#This Row],[Date]],Database!$A:$C,MATCH($C$1,Database!$A$1:$C$1,),))</f>
        <v/>
      </c>
      <c r="D520">
        <f>IFERROR(Table73[[#This Row],[United States 10y]]-Table73[[#This Row],[United States 2y]],#N/A)</f>
        <v/>
      </c>
    </row>
    <row r="521">
      <c r="A521" s="6">
        <f>Database!A520</f>
        <v/>
      </c>
      <c r="B521">
        <f>IF(VLOOKUP(Table73[[#This Row],[Date]],Database!$A:$E,MATCH($B$1,Database!$A$1:$E$1,),)=0,#N/A,VLOOKUP(Table73[[#This Row],[Date]],Database!$A:$E,MATCH($B$1,Database!$A$1:$E$1,),))</f>
        <v/>
      </c>
      <c r="C521">
        <f>IF(VLOOKUP(Table73[[#This Row],[Date]],Database!$A:$C,MATCH($C$1,Database!$A$1:$C$1,),)=0,#N/A,VLOOKUP(Table73[[#This Row],[Date]],Database!$A:$C,MATCH($C$1,Database!$A$1:$C$1,),))</f>
        <v/>
      </c>
      <c r="D521">
        <f>IFERROR(Table73[[#This Row],[United States 10y]]-Table73[[#This Row],[United States 2y]],#N/A)</f>
        <v/>
      </c>
    </row>
    <row r="522">
      <c r="A522" s="6">
        <f>Database!A521</f>
        <v/>
      </c>
      <c r="B522">
        <f>IF(VLOOKUP(Table73[[#This Row],[Date]],Database!$A:$E,MATCH($B$1,Database!$A$1:$E$1,),)=0,#N/A,VLOOKUP(Table73[[#This Row],[Date]],Database!$A:$E,MATCH($B$1,Database!$A$1:$E$1,),))</f>
        <v/>
      </c>
      <c r="C522">
        <f>IF(VLOOKUP(Table73[[#This Row],[Date]],Database!$A:$C,MATCH($C$1,Database!$A$1:$C$1,),)=0,#N/A,VLOOKUP(Table73[[#This Row],[Date]],Database!$A:$C,MATCH($C$1,Database!$A$1:$C$1,),))</f>
        <v/>
      </c>
      <c r="D522">
        <f>IFERROR(Table73[[#This Row],[United States 10y]]-Table73[[#This Row],[United States 2y]],#N/A)</f>
        <v/>
      </c>
    </row>
    <row r="523">
      <c r="A523" s="6">
        <f>Database!A522</f>
        <v/>
      </c>
      <c r="B523">
        <f>IF(VLOOKUP(Table73[[#This Row],[Date]],Database!$A:$E,MATCH($B$1,Database!$A$1:$E$1,),)=0,#N/A,VLOOKUP(Table73[[#This Row],[Date]],Database!$A:$E,MATCH($B$1,Database!$A$1:$E$1,),))</f>
        <v/>
      </c>
      <c r="C523">
        <f>IF(VLOOKUP(Table73[[#This Row],[Date]],Database!$A:$C,MATCH($C$1,Database!$A$1:$C$1,),)=0,#N/A,VLOOKUP(Table73[[#This Row],[Date]],Database!$A:$C,MATCH($C$1,Database!$A$1:$C$1,),))</f>
        <v/>
      </c>
      <c r="D523">
        <f>IFERROR(Table73[[#This Row],[United States 10y]]-Table73[[#This Row],[United States 2y]],#N/A)</f>
        <v/>
      </c>
    </row>
    <row r="524">
      <c r="A524" s="6">
        <f>Database!A523</f>
        <v/>
      </c>
      <c r="B524">
        <f>IF(VLOOKUP(Table73[[#This Row],[Date]],Database!$A:$E,MATCH($B$1,Database!$A$1:$E$1,),)=0,#N/A,VLOOKUP(Table73[[#This Row],[Date]],Database!$A:$E,MATCH($B$1,Database!$A$1:$E$1,),))</f>
        <v/>
      </c>
      <c r="C524">
        <f>IF(VLOOKUP(Table73[[#This Row],[Date]],Database!$A:$C,MATCH($C$1,Database!$A$1:$C$1,),)=0,#N/A,VLOOKUP(Table73[[#This Row],[Date]],Database!$A:$C,MATCH($C$1,Database!$A$1:$C$1,),))</f>
        <v/>
      </c>
      <c r="D524">
        <f>IFERROR(Table73[[#This Row],[United States 10y]]-Table73[[#This Row],[United States 2y]],#N/A)</f>
        <v/>
      </c>
    </row>
    <row r="525">
      <c r="A525" s="6">
        <f>Database!A524</f>
        <v/>
      </c>
      <c r="B525">
        <f>IF(VLOOKUP(Table73[[#This Row],[Date]],Database!$A:$E,MATCH($B$1,Database!$A$1:$E$1,),)=0,#N/A,VLOOKUP(Table73[[#This Row],[Date]],Database!$A:$E,MATCH($B$1,Database!$A$1:$E$1,),))</f>
        <v/>
      </c>
      <c r="C525">
        <f>IF(VLOOKUP(Table73[[#This Row],[Date]],Database!$A:$C,MATCH($C$1,Database!$A$1:$C$1,),)=0,#N/A,VLOOKUP(Table73[[#This Row],[Date]],Database!$A:$C,MATCH($C$1,Database!$A$1:$C$1,),))</f>
        <v/>
      </c>
      <c r="D525">
        <f>IFERROR(Table73[[#This Row],[United States 10y]]-Table73[[#This Row],[United States 2y]],#N/A)</f>
        <v/>
      </c>
    </row>
    <row r="526">
      <c r="A526" s="6">
        <f>Database!A525</f>
        <v/>
      </c>
      <c r="B526">
        <f>IF(VLOOKUP(Table73[[#This Row],[Date]],Database!$A:$E,MATCH($B$1,Database!$A$1:$E$1,),)=0,#N/A,VLOOKUP(Table73[[#This Row],[Date]],Database!$A:$E,MATCH($B$1,Database!$A$1:$E$1,),))</f>
        <v/>
      </c>
      <c r="C526">
        <f>IF(VLOOKUP(Table73[[#This Row],[Date]],Database!$A:$C,MATCH($C$1,Database!$A$1:$C$1,),)=0,#N/A,VLOOKUP(Table73[[#This Row],[Date]],Database!$A:$C,MATCH($C$1,Database!$A$1:$C$1,),))</f>
        <v/>
      </c>
      <c r="D526">
        <f>IFERROR(Table73[[#This Row],[United States 10y]]-Table73[[#This Row],[United States 2y]],#N/A)</f>
        <v/>
      </c>
    </row>
    <row r="527">
      <c r="A527" s="6">
        <f>Database!A526</f>
        <v/>
      </c>
      <c r="B527">
        <f>IF(VLOOKUP(Table73[[#This Row],[Date]],Database!$A:$E,MATCH($B$1,Database!$A$1:$E$1,),)=0,#N/A,VLOOKUP(Table73[[#This Row],[Date]],Database!$A:$E,MATCH($B$1,Database!$A$1:$E$1,),))</f>
        <v/>
      </c>
      <c r="C527">
        <f>IF(VLOOKUP(Table73[[#This Row],[Date]],Database!$A:$C,MATCH($C$1,Database!$A$1:$C$1,),)=0,#N/A,VLOOKUP(Table73[[#This Row],[Date]],Database!$A:$C,MATCH($C$1,Database!$A$1:$C$1,),))</f>
        <v/>
      </c>
      <c r="D527">
        <f>IFERROR(Table73[[#This Row],[United States 10y]]-Table73[[#This Row],[United States 2y]],#N/A)</f>
        <v/>
      </c>
    </row>
    <row r="528">
      <c r="A528" s="6">
        <f>Database!A527</f>
        <v/>
      </c>
      <c r="B528">
        <f>IF(VLOOKUP(Table73[[#This Row],[Date]],Database!$A:$E,MATCH($B$1,Database!$A$1:$E$1,),)=0,#N/A,VLOOKUP(Table73[[#This Row],[Date]],Database!$A:$E,MATCH($B$1,Database!$A$1:$E$1,),))</f>
        <v/>
      </c>
      <c r="C528">
        <f>IF(VLOOKUP(Table73[[#This Row],[Date]],Database!$A:$C,MATCH($C$1,Database!$A$1:$C$1,),)=0,#N/A,VLOOKUP(Table73[[#This Row],[Date]],Database!$A:$C,MATCH($C$1,Database!$A$1:$C$1,),))</f>
        <v/>
      </c>
      <c r="D528">
        <f>IFERROR(Table73[[#This Row],[United States 10y]]-Table73[[#This Row],[United States 2y]],#N/A)</f>
        <v/>
      </c>
    </row>
    <row r="529">
      <c r="A529" s="6">
        <f>Database!A528</f>
        <v/>
      </c>
      <c r="B529">
        <f>IF(VLOOKUP(Table73[[#This Row],[Date]],Database!$A:$E,MATCH($B$1,Database!$A$1:$E$1,),)=0,#N/A,VLOOKUP(Table73[[#This Row],[Date]],Database!$A:$E,MATCH($B$1,Database!$A$1:$E$1,),))</f>
        <v/>
      </c>
      <c r="C529">
        <f>IF(VLOOKUP(Table73[[#This Row],[Date]],Database!$A:$C,MATCH($C$1,Database!$A$1:$C$1,),)=0,#N/A,VLOOKUP(Table73[[#This Row],[Date]],Database!$A:$C,MATCH($C$1,Database!$A$1:$C$1,),))</f>
        <v/>
      </c>
      <c r="D529">
        <f>IFERROR(Table73[[#This Row],[United States 10y]]-Table73[[#This Row],[United States 2y]],#N/A)</f>
        <v/>
      </c>
    </row>
    <row r="530">
      <c r="A530" s="6">
        <f>Database!A529</f>
        <v/>
      </c>
      <c r="B530">
        <f>IF(VLOOKUP(Table73[[#This Row],[Date]],Database!$A:$E,MATCH($B$1,Database!$A$1:$E$1,),)=0,#N/A,VLOOKUP(Table73[[#This Row],[Date]],Database!$A:$E,MATCH($B$1,Database!$A$1:$E$1,),))</f>
        <v/>
      </c>
      <c r="C530">
        <f>IF(VLOOKUP(Table73[[#This Row],[Date]],Database!$A:$C,MATCH($C$1,Database!$A$1:$C$1,),)=0,#N/A,VLOOKUP(Table73[[#This Row],[Date]],Database!$A:$C,MATCH($C$1,Database!$A$1:$C$1,),))</f>
        <v/>
      </c>
      <c r="D530">
        <f>IFERROR(Table73[[#This Row],[United States 10y]]-Table73[[#This Row],[United States 2y]],#N/A)</f>
        <v/>
      </c>
    </row>
    <row r="531">
      <c r="A531" s="6">
        <f>Database!A530</f>
        <v/>
      </c>
      <c r="B531">
        <f>IF(VLOOKUP(Table73[[#This Row],[Date]],Database!$A:$E,MATCH($B$1,Database!$A$1:$E$1,),)=0,#N/A,VLOOKUP(Table73[[#This Row],[Date]],Database!$A:$E,MATCH($B$1,Database!$A$1:$E$1,),))</f>
        <v/>
      </c>
      <c r="C531">
        <f>IF(VLOOKUP(Table73[[#This Row],[Date]],Database!$A:$C,MATCH($C$1,Database!$A$1:$C$1,),)=0,#N/A,VLOOKUP(Table73[[#This Row],[Date]],Database!$A:$C,MATCH($C$1,Database!$A$1:$C$1,),))</f>
        <v/>
      </c>
      <c r="D531">
        <f>IFERROR(Table73[[#This Row],[United States 10y]]-Table73[[#This Row],[United States 2y]],#N/A)</f>
        <v/>
      </c>
    </row>
    <row r="532">
      <c r="A532" s="6">
        <f>Database!A531</f>
        <v/>
      </c>
      <c r="B532">
        <f>IF(VLOOKUP(Table73[[#This Row],[Date]],Database!$A:$E,MATCH($B$1,Database!$A$1:$E$1,),)=0,#N/A,VLOOKUP(Table73[[#This Row],[Date]],Database!$A:$E,MATCH($B$1,Database!$A$1:$E$1,),))</f>
        <v/>
      </c>
      <c r="C532">
        <f>IF(VLOOKUP(Table73[[#This Row],[Date]],Database!$A:$C,MATCH($C$1,Database!$A$1:$C$1,),)=0,#N/A,VLOOKUP(Table73[[#This Row],[Date]],Database!$A:$C,MATCH($C$1,Database!$A$1:$C$1,),))</f>
        <v/>
      </c>
      <c r="D532">
        <f>IFERROR(Table73[[#This Row],[United States 10y]]-Table73[[#This Row],[United States 2y]],#N/A)</f>
        <v/>
      </c>
    </row>
    <row r="533">
      <c r="A533" s="6">
        <f>Database!A532</f>
        <v/>
      </c>
      <c r="B533">
        <f>IF(VLOOKUP(Table73[[#This Row],[Date]],Database!$A:$E,MATCH($B$1,Database!$A$1:$E$1,),)=0,#N/A,VLOOKUP(Table73[[#This Row],[Date]],Database!$A:$E,MATCH($B$1,Database!$A$1:$E$1,),))</f>
        <v/>
      </c>
      <c r="C533">
        <f>IF(VLOOKUP(Table73[[#This Row],[Date]],Database!$A:$C,MATCH($C$1,Database!$A$1:$C$1,),)=0,#N/A,VLOOKUP(Table73[[#This Row],[Date]],Database!$A:$C,MATCH($C$1,Database!$A$1:$C$1,),))</f>
        <v/>
      </c>
      <c r="D533">
        <f>IFERROR(Table73[[#This Row],[United States 10y]]-Table73[[#This Row],[United States 2y]],#N/A)</f>
        <v/>
      </c>
    </row>
    <row r="534">
      <c r="A534" s="6">
        <f>Database!A533</f>
        <v/>
      </c>
      <c r="B534">
        <f>IF(VLOOKUP(Table73[[#This Row],[Date]],Database!$A:$E,MATCH($B$1,Database!$A$1:$E$1,),)=0,#N/A,VLOOKUP(Table73[[#This Row],[Date]],Database!$A:$E,MATCH($B$1,Database!$A$1:$E$1,),))</f>
        <v/>
      </c>
      <c r="C534">
        <f>IF(VLOOKUP(Table73[[#This Row],[Date]],Database!$A:$C,MATCH($C$1,Database!$A$1:$C$1,),)=0,#N/A,VLOOKUP(Table73[[#This Row],[Date]],Database!$A:$C,MATCH($C$1,Database!$A$1:$C$1,),))</f>
        <v/>
      </c>
      <c r="D534">
        <f>IFERROR(Table73[[#This Row],[United States 10y]]-Table73[[#This Row],[United States 2y]],#N/A)</f>
        <v/>
      </c>
    </row>
    <row r="535">
      <c r="A535" s="6">
        <f>Database!A534</f>
        <v/>
      </c>
      <c r="B535">
        <f>IF(VLOOKUP(Table73[[#This Row],[Date]],Database!$A:$E,MATCH($B$1,Database!$A$1:$E$1,),)=0,#N/A,VLOOKUP(Table73[[#This Row],[Date]],Database!$A:$E,MATCH($B$1,Database!$A$1:$E$1,),))</f>
        <v/>
      </c>
      <c r="C535">
        <f>IF(VLOOKUP(Table73[[#This Row],[Date]],Database!$A:$C,MATCH($C$1,Database!$A$1:$C$1,),)=0,#N/A,VLOOKUP(Table73[[#This Row],[Date]],Database!$A:$C,MATCH($C$1,Database!$A$1:$C$1,),))</f>
        <v/>
      </c>
      <c r="D535">
        <f>IFERROR(Table73[[#This Row],[United States 10y]]-Table73[[#This Row],[United States 2y]],#N/A)</f>
        <v/>
      </c>
    </row>
    <row r="536">
      <c r="A536" s="6">
        <f>Database!A535</f>
        <v/>
      </c>
      <c r="B536">
        <f>IF(VLOOKUP(Table73[[#This Row],[Date]],Database!$A:$E,MATCH($B$1,Database!$A$1:$E$1,),)=0,#N/A,VLOOKUP(Table73[[#This Row],[Date]],Database!$A:$E,MATCH($B$1,Database!$A$1:$E$1,),))</f>
        <v/>
      </c>
      <c r="C536">
        <f>IF(VLOOKUP(Table73[[#This Row],[Date]],Database!$A:$C,MATCH($C$1,Database!$A$1:$C$1,),)=0,#N/A,VLOOKUP(Table73[[#This Row],[Date]],Database!$A:$C,MATCH($C$1,Database!$A$1:$C$1,),))</f>
        <v/>
      </c>
      <c r="D536">
        <f>IFERROR(Table73[[#This Row],[United States 10y]]-Table73[[#This Row],[United States 2y]],#N/A)</f>
        <v/>
      </c>
    </row>
    <row r="537">
      <c r="A537" s="6">
        <f>Database!A536</f>
        <v/>
      </c>
      <c r="B537">
        <f>IF(VLOOKUP(Table73[[#This Row],[Date]],Database!$A:$E,MATCH($B$1,Database!$A$1:$E$1,),)=0,#N/A,VLOOKUP(Table73[[#This Row],[Date]],Database!$A:$E,MATCH($B$1,Database!$A$1:$E$1,),))</f>
        <v/>
      </c>
      <c r="C537">
        <f>IF(VLOOKUP(Table73[[#This Row],[Date]],Database!$A:$C,MATCH($C$1,Database!$A$1:$C$1,),)=0,#N/A,VLOOKUP(Table73[[#This Row],[Date]],Database!$A:$C,MATCH($C$1,Database!$A$1:$C$1,),))</f>
        <v/>
      </c>
      <c r="D537">
        <f>IFERROR(Table73[[#This Row],[United States 10y]]-Table73[[#This Row],[United States 2y]],#N/A)</f>
        <v/>
      </c>
    </row>
    <row r="538">
      <c r="A538" s="6">
        <f>Database!A537</f>
        <v/>
      </c>
      <c r="B538">
        <f>IF(VLOOKUP(Table73[[#This Row],[Date]],Database!$A:$E,MATCH($B$1,Database!$A$1:$E$1,),)=0,#N/A,VLOOKUP(Table73[[#This Row],[Date]],Database!$A:$E,MATCH($B$1,Database!$A$1:$E$1,),))</f>
        <v/>
      </c>
      <c r="C538">
        <f>IF(VLOOKUP(Table73[[#This Row],[Date]],Database!$A:$C,MATCH($C$1,Database!$A$1:$C$1,),)=0,#N/A,VLOOKUP(Table73[[#This Row],[Date]],Database!$A:$C,MATCH($C$1,Database!$A$1:$C$1,),))</f>
        <v/>
      </c>
      <c r="D538">
        <f>IFERROR(Table73[[#This Row],[United States 10y]]-Table73[[#This Row],[United States 2y]],#N/A)</f>
        <v/>
      </c>
    </row>
    <row r="539">
      <c r="A539" s="6">
        <f>Database!A538</f>
        <v/>
      </c>
      <c r="B539">
        <f>IF(VLOOKUP(Table73[[#This Row],[Date]],Database!$A:$E,MATCH($B$1,Database!$A$1:$E$1,),)=0,#N/A,VLOOKUP(Table73[[#This Row],[Date]],Database!$A:$E,MATCH($B$1,Database!$A$1:$E$1,),))</f>
        <v/>
      </c>
      <c r="C539">
        <f>IF(VLOOKUP(Table73[[#This Row],[Date]],Database!$A:$C,MATCH($C$1,Database!$A$1:$C$1,),)=0,#N/A,VLOOKUP(Table73[[#This Row],[Date]],Database!$A:$C,MATCH($C$1,Database!$A$1:$C$1,),))</f>
        <v/>
      </c>
      <c r="D539">
        <f>IFERROR(Table73[[#This Row],[United States 10y]]-Table73[[#This Row],[United States 2y]],#N/A)</f>
        <v/>
      </c>
    </row>
    <row r="540">
      <c r="A540" s="6">
        <f>Database!A539</f>
        <v/>
      </c>
      <c r="B540">
        <f>IF(VLOOKUP(Table73[[#This Row],[Date]],Database!$A:$E,MATCH($B$1,Database!$A$1:$E$1,),)=0,#N/A,VLOOKUP(Table73[[#This Row],[Date]],Database!$A:$E,MATCH($B$1,Database!$A$1:$E$1,),))</f>
        <v/>
      </c>
      <c r="C540">
        <f>IF(VLOOKUP(Table73[[#This Row],[Date]],Database!$A:$C,MATCH($C$1,Database!$A$1:$C$1,),)=0,#N/A,VLOOKUP(Table73[[#This Row],[Date]],Database!$A:$C,MATCH($C$1,Database!$A$1:$C$1,),))</f>
        <v/>
      </c>
      <c r="D540">
        <f>IFERROR(Table73[[#This Row],[United States 10y]]-Table73[[#This Row],[United States 2y]],#N/A)</f>
        <v/>
      </c>
    </row>
    <row r="541">
      <c r="A541" s="6">
        <f>Database!A540</f>
        <v/>
      </c>
      <c r="B541">
        <f>IF(VLOOKUP(Table73[[#This Row],[Date]],Database!$A:$E,MATCH($B$1,Database!$A$1:$E$1,),)=0,#N/A,VLOOKUP(Table73[[#This Row],[Date]],Database!$A:$E,MATCH($B$1,Database!$A$1:$E$1,),))</f>
        <v/>
      </c>
      <c r="C541">
        <f>IF(VLOOKUP(Table73[[#This Row],[Date]],Database!$A:$C,MATCH($C$1,Database!$A$1:$C$1,),)=0,#N/A,VLOOKUP(Table73[[#This Row],[Date]],Database!$A:$C,MATCH($C$1,Database!$A$1:$C$1,),))</f>
        <v/>
      </c>
      <c r="D541">
        <f>IFERROR(Table73[[#This Row],[United States 10y]]-Table73[[#This Row],[United States 2y]],#N/A)</f>
        <v/>
      </c>
    </row>
    <row r="542">
      <c r="A542" s="6">
        <f>Database!A541</f>
        <v/>
      </c>
      <c r="B542">
        <f>IF(VLOOKUP(Table73[[#This Row],[Date]],Database!$A:$E,MATCH($B$1,Database!$A$1:$E$1,),)=0,#N/A,VLOOKUP(Table73[[#This Row],[Date]],Database!$A:$E,MATCH($B$1,Database!$A$1:$E$1,),))</f>
        <v/>
      </c>
      <c r="C542">
        <f>IF(VLOOKUP(Table73[[#This Row],[Date]],Database!$A:$C,MATCH($C$1,Database!$A$1:$C$1,),)=0,#N/A,VLOOKUP(Table73[[#This Row],[Date]],Database!$A:$C,MATCH($C$1,Database!$A$1:$C$1,),))</f>
        <v/>
      </c>
      <c r="D542">
        <f>IFERROR(Table73[[#This Row],[United States 10y]]-Table73[[#This Row],[United States 2y]],#N/A)</f>
        <v/>
      </c>
    </row>
    <row r="543">
      <c r="A543" s="6">
        <f>Database!A542</f>
        <v/>
      </c>
      <c r="B543">
        <f>IF(VLOOKUP(Table73[[#This Row],[Date]],Database!$A:$E,MATCH($B$1,Database!$A$1:$E$1,),)=0,#N/A,VLOOKUP(Table73[[#This Row],[Date]],Database!$A:$E,MATCH($B$1,Database!$A$1:$E$1,),))</f>
        <v/>
      </c>
      <c r="C543">
        <f>IF(VLOOKUP(Table73[[#This Row],[Date]],Database!$A:$C,MATCH($C$1,Database!$A$1:$C$1,),)=0,#N/A,VLOOKUP(Table73[[#This Row],[Date]],Database!$A:$C,MATCH($C$1,Database!$A$1:$C$1,),))</f>
        <v/>
      </c>
      <c r="D543">
        <f>IFERROR(Table73[[#This Row],[United States 10y]]-Table73[[#This Row],[United States 2y]],#N/A)</f>
        <v/>
      </c>
    </row>
    <row r="544">
      <c r="A544" s="6">
        <f>Database!A543</f>
        <v/>
      </c>
      <c r="B544">
        <f>IF(VLOOKUP(Table73[[#This Row],[Date]],Database!$A:$E,MATCH($B$1,Database!$A$1:$E$1,),)=0,#N/A,VLOOKUP(Table73[[#This Row],[Date]],Database!$A:$E,MATCH($B$1,Database!$A$1:$E$1,),))</f>
        <v/>
      </c>
      <c r="C544">
        <f>IF(VLOOKUP(Table73[[#This Row],[Date]],Database!$A:$C,MATCH($C$1,Database!$A$1:$C$1,),)=0,#N/A,VLOOKUP(Table73[[#This Row],[Date]],Database!$A:$C,MATCH($C$1,Database!$A$1:$C$1,),))</f>
        <v/>
      </c>
      <c r="D544">
        <f>IFERROR(Table73[[#This Row],[United States 10y]]-Table73[[#This Row],[United States 2y]],#N/A)</f>
        <v/>
      </c>
    </row>
    <row r="545">
      <c r="A545" s="6">
        <f>Database!A544</f>
        <v/>
      </c>
      <c r="B545">
        <f>IF(VLOOKUP(Table73[[#This Row],[Date]],Database!$A:$E,MATCH($B$1,Database!$A$1:$E$1,),)=0,#N/A,VLOOKUP(Table73[[#This Row],[Date]],Database!$A:$E,MATCH($B$1,Database!$A$1:$E$1,),))</f>
        <v/>
      </c>
      <c r="C545">
        <f>IF(VLOOKUP(Table73[[#This Row],[Date]],Database!$A:$C,MATCH($C$1,Database!$A$1:$C$1,),)=0,#N/A,VLOOKUP(Table73[[#This Row],[Date]],Database!$A:$C,MATCH($C$1,Database!$A$1:$C$1,),))</f>
        <v/>
      </c>
      <c r="D545">
        <f>IFERROR(Table73[[#This Row],[United States 10y]]-Table73[[#This Row],[United States 2y]],#N/A)</f>
        <v/>
      </c>
    </row>
    <row r="546">
      <c r="A546" s="6">
        <f>Database!A545</f>
        <v/>
      </c>
      <c r="B546">
        <f>IF(VLOOKUP(Table73[[#This Row],[Date]],Database!$A:$E,MATCH($B$1,Database!$A$1:$E$1,),)=0,#N/A,VLOOKUP(Table73[[#This Row],[Date]],Database!$A:$E,MATCH($B$1,Database!$A$1:$E$1,),))</f>
        <v/>
      </c>
      <c r="C546">
        <f>IF(VLOOKUP(Table73[[#This Row],[Date]],Database!$A:$C,MATCH($C$1,Database!$A$1:$C$1,),)=0,#N/A,VLOOKUP(Table73[[#This Row],[Date]],Database!$A:$C,MATCH($C$1,Database!$A$1:$C$1,),))</f>
        <v/>
      </c>
      <c r="D546">
        <f>IFERROR(Table73[[#This Row],[United States 10y]]-Table73[[#This Row],[United States 2y]],#N/A)</f>
        <v/>
      </c>
    </row>
    <row r="547">
      <c r="A547" s="6">
        <f>Database!A546</f>
        <v/>
      </c>
      <c r="B547">
        <f>IF(VLOOKUP(Table73[[#This Row],[Date]],Database!$A:$E,MATCH($B$1,Database!$A$1:$E$1,),)=0,#N/A,VLOOKUP(Table73[[#This Row],[Date]],Database!$A:$E,MATCH($B$1,Database!$A$1:$E$1,),))</f>
        <v/>
      </c>
      <c r="C547">
        <f>IF(VLOOKUP(Table73[[#This Row],[Date]],Database!$A:$C,MATCH($C$1,Database!$A$1:$C$1,),)=0,#N/A,VLOOKUP(Table73[[#This Row],[Date]],Database!$A:$C,MATCH($C$1,Database!$A$1:$C$1,),))</f>
        <v/>
      </c>
      <c r="D547">
        <f>IFERROR(Table73[[#This Row],[United States 10y]]-Table73[[#This Row],[United States 2y]],#N/A)</f>
        <v/>
      </c>
    </row>
    <row r="548">
      <c r="A548" s="6">
        <f>Database!A547</f>
        <v/>
      </c>
      <c r="B548">
        <f>IF(VLOOKUP(Table73[[#This Row],[Date]],Database!$A:$E,MATCH($B$1,Database!$A$1:$E$1,),)=0,#N/A,VLOOKUP(Table73[[#This Row],[Date]],Database!$A:$E,MATCH($B$1,Database!$A$1:$E$1,),))</f>
        <v/>
      </c>
      <c r="C548">
        <f>IF(VLOOKUP(Table73[[#This Row],[Date]],Database!$A:$C,MATCH($C$1,Database!$A$1:$C$1,),)=0,#N/A,VLOOKUP(Table73[[#This Row],[Date]],Database!$A:$C,MATCH($C$1,Database!$A$1:$C$1,),))</f>
        <v/>
      </c>
      <c r="D548">
        <f>IFERROR(Table73[[#This Row],[United States 10y]]-Table73[[#This Row],[United States 2y]],#N/A)</f>
        <v/>
      </c>
    </row>
    <row r="549">
      <c r="A549" s="6">
        <f>Database!A548</f>
        <v/>
      </c>
      <c r="B549">
        <f>IF(VLOOKUP(Table73[[#This Row],[Date]],Database!$A:$E,MATCH($B$1,Database!$A$1:$E$1,),)=0,#N/A,VLOOKUP(Table73[[#This Row],[Date]],Database!$A:$E,MATCH($B$1,Database!$A$1:$E$1,),))</f>
        <v/>
      </c>
      <c r="C549">
        <f>IF(VLOOKUP(Table73[[#This Row],[Date]],Database!$A:$C,MATCH($C$1,Database!$A$1:$C$1,),)=0,#N/A,VLOOKUP(Table73[[#This Row],[Date]],Database!$A:$C,MATCH($C$1,Database!$A$1:$C$1,),))</f>
        <v/>
      </c>
      <c r="D549">
        <f>IFERROR(Table73[[#This Row],[United States 10y]]-Table73[[#This Row],[United States 2y]],#N/A)</f>
        <v/>
      </c>
    </row>
    <row r="550">
      <c r="A550" s="6">
        <f>Database!A549</f>
        <v/>
      </c>
      <c r="B550">
        <f>IF(VLOOKUP(Table73[[#This Row],[Date]],Database!$A:$E,MATCH($B$1,Database!$A$1:$E$1,),)=0,#N/A,VLOOKUP(Table73[[#This Row],[Date]],Database!$A:$E,MATCH($B$1,Database!$A$1:$E$1,),))</f>
        <v/>
      </c>
      <c r="C550">
        <f>IF(VLOOKUP(Table73[[#This Row],[Date]],Database!$A:$C,MATCH($C$1,Database!$A$1:$C$1,),)=0,#N/A,VLOOKUP(Table73[[#This Row],[Date]],Database!$A:$C,MATCH($C$1,Database!$A$1:$C$1,),))</f>
        <v/>
      </c>
      <c r="D550">
        <f>IFERROR(Table73[[#This Row],[United States 10y]]-Table73[[#This Row],[United States 2y]],#N/A)</f>
        <v/>
      </c>
    </row>
    <row r="551">
      <c r="A551" s="6">
        <f>Database!A550</f>
        <v/>
      </c>
      <c r="B551">
        <f>IF(VLOOKUP(Table73[[#This Row],[Date]],Database!$A:$E,MATCH($B$1,Database!$A$1:$E$1,),)=0,#N/A,VLOOKUP(Table73[[#This Row],[Date]],Database!$A:$E,MATCH($B$1,Database!$A$1:$E$1,),))</f>
        <v/>
      </c>
      <c r="C551">
        <f>IF(VLOOKUP(Table73[[#This Row],[Date]],Database!$A:$C,MATCH($C$1,Database!$A$1:$C$1,),)=0,#N/A,VLOOKUP(Table73[[#This Row],[Date]],Database!$A:$C,MATCH($C$1,Database!$A$1:$C$1,),))</f>
        <v/>
      </c>
      <c r="D551">
        <f>IFERROR(Table73[[#This Row],[United States 10y]]-Table73[[#This Row],[United States 2y]],#N/A)</f>
        <v/>
      </c>
    </row>
    <row r="552">
      <c r="A552" s="6">
        <f>Database!A551</f>
        <v/>
      </c>
      <c r="B552">
        <f>IF(VLOOKUP(Table73[[#This Row],[Date]],Database!$A:$E,MATCH($B$1,Database!$A$1:$E$1,),)=0,#N/A,VLOOKUP(Table73[[#This Row],[Date]],Database!$A:$E,MATCH($B$1,Database!$A$1:$E$1,),))</f>
        <v/>
      </c>
      <c r="C552">
        <f>IF(VLOOKUP(Table73[[#This Row],[Date]],Database!$A:$C,MATCH($C$1,Database!$A$1:$C$1,),)=0,#N/A,VLOOKUP(Table73[[#This Row],[Date]],Database!$A:$C,MATCH($C$1,Database!$A$1:$C$1,),))</f>
        <v/>
      </c>
      <c r="D552">
        <f>IFERROR(Table73[[#This Row],[United States 10y]]-Table73[[#This Row],[United States 2y]],#N/A)</f>
        <v/>
      </c>
    </row>
    <row r="553">
      <c r="A553" s="6">
        <f>Database!A552</f>
        <v/>
      </c>
      <c r="B553">
        <f>IF(VLOOKUP(Table73[[#This Row],[Date]],Database!$A:$E,MATCH($B$1,Database!$A$1:$E$1,),)=0,#N/A,VLOOKUP(Table73[[#This Row],[Date]],Database!$A:$E,MATCH($B$1,Database!$A$1:$E$1,),))</f>
        <v/>
      </c>
      <c r="C553">
        <f>IF(VLOOKUP(Table73[[#This Row],[Date]],Database!$A:$C,MATCH($C$1,Database!$A$1:$C$1,),)=0,#N/A,VLOOKUP(Table73[[#This Row],[Date]],Database!$A:$C,MATCH($C$1,Database!$A$1:$C$1,),))</f>
        <v/>
      </c>
      <c r="D553">
        <f>IFERROR(Table73[[#This Row],[United States 10y]]-Table73[[#This Row],[United States 2y]],#N/A)</f>
        <v/>
      </c>
    </row>
    <row r="554">
      <c r="A554" s="6">
        <f>Database!A553</f>
        <v/>
      </c>
      <c r="B554">
        <f>IF(VLOOKUP(Table73[[#This Row],[Date]],Database!$A:$E,MATCH($B$1,Database!$A$1:$E$1,),)=0,#N/A,VLOOKUP(Table73[[#This Row],[Date]],Database!$A:$E,MATCH($B$1,Database!$A$1:$E$1,),))</f>
        <v/>
      </c>
      <c r="C554">
        <f>IF(VLOOKUP(Table73[[#This Row],[Date]],Database!$A:$C,MATCH($C$1,Database!$A$1:$C$1,),)=0,#N/A,VLOOKUP(Table73[[#This Row],[Date]],Database!$A:$C,MATCH($C$1,Database!$A$1:$C$1,),))</f>
        <v/>
      </c>
      <c r="D554">
        <f>IFERROR(Table73[[#This Row],[United States 10y]]-Table73[[#This Row],[United States 2y]],#N/A)</f>
        <v/>
      </c>
    </row>
    <row r="555">
      <c r="A555" s="6">
        <f>Database!A554</f>
        <v/>
      </c>
      <c r="B555">
        <f>IF(VLOOKUP(Table73[[#This Row],[Date]],Database!$A:$E,MATCH($B$1,Database!$A$1:$E$1,),)=0,#N/A,VLOOKUP(Table73[[#This Row],[Date]],Database!$A:$E,MATCH($B$1,Database!$A$1:$E$1,),))</f>
        <v/>
      </c>
      <c r="C555">
        <f>IF(VLOOKUP(Table73[[#This Row],[Date]],Database!$A:$C,MATCH($C$1,Database!$A$1:$C$1,),)=0,#N/A,VLOOKUP(Table73[[#This Row],[Date]],Database!$A:$C,MATCH($C$1,Database!$A$1:$C$1,),))</f>
        <v/>
      </c>
      <c r="D555">
        <f>IFERROR(Table73[[#This Row],[United States 10y]]-Table73[[#This Row],[United States 2y]],#N/A)</f>
        <v/>
      </c>
    </row>
    <row r="556">
      <c r="A556" s="6">
        <f>Database!A555</f>
        <v/>
      </c>
      <c r="B556">
        <f>IF(VLOOKUP(Table73[[#This Row],[Date]],Database!$A:$E,MATCH($B$1,Database!$A$1:$E$1,),)=0,#N/A,VLOOKUP(Table73[[#This Row],[Date]],Database!$A:$E,MATCH($B$1,Database!$A$1:$E$1,),))</f>
        <v/>
      </c>
      <c r="C556">
        <f>IF(VLOOKUP(Table73[[#This Row],[Date]],Database!$A:$C,MATCH($C$1,Database!$A$1:$C$1,),)=0,#N/A,VLOOKUP(Table73[[#This Row],[Date]],Database!$A:$C,MATCH($C$1,Database!$A$1:$C$1,),))</f>
        <v/>
      </c>
      <c r="D556">
        <f>IFERROR(Table73[[#This Row],[United States 10y]]-Table73[[#This Row],[United States 2y]],#N/A)</f>
        <v/>
      </c>
    </row>
    <row r="557">
      <c r="A557" s="6">
        <f>Database!A556</f>
        <v/>
      </c>
      <c r="B557">
        <f>IF(VLOOKUP(Table73[[#This Row],[Date]],Database!$A:$E,MATCH($B$1,Database!$A$1:$E$1,),)=0,#N/A,VLOOKUP(Table73[[#This Row],[Date]],Database!$A:$E,MATCH($B$1,Database!$A$1:$E$1,),))</f>
        <v/>
      </c>
      <c r="C557">
        <f>IF(VLOOKUP(Table73[[#This Row],[Date]],Database!$A:$C,MATCH($C$1,Database!$A$1:$C$1,),)=0,#N/A,VLOOKUP(Table73[[#This Row],[Date]],Database!$A:$C,MATCH($C$1,Database!$A$1:$C$1,),))</f>
        <v/>
      </c>
      <c r="D557">
        <f>IFERROR(Table73[[#This Row],[United States 10y]]-Table73[[#This Row],[United States 2y]],#N/A)</f>
        <v/>
      </c>
    </row>
    <row r="558">
      <c r="A558" s="6">
        <f>Database!A557</f>
        <v/>
      </c>
      <c r="B558">
        <f>IF(VLOOKUP(Table73[[#This Row],[Date]],Database!$A:$E,MATCH($B$1,Database!$A$1:$E$1,),)=0,#N/A,VLOOKUP(Table73[[#This Row],[Date]],Database!$A:$E,MATCH($B$1,Database!$A$1:$E$1,),))</f>
        <v/>
      </c>
      <c r="C558">
        <f>IF(VLOOKUP(Table73[[#This Row],[Date]],Database!$A:$C,MATCH($C$1,Database!$A$1:$C$1,),)=0,#N/A,VLOOKUP(Table73[[#This Row],[Date]],Database!$A:$C,MATCH($C$1,Database!$A$1:$C$1,),))</f>
        <v/>
      </c>
      <c r="D558">
        <f>IFERROR(Table73[[#This Row],[United States 10y]]-Table73[[#This Row],[United States 2y]],#N/A)</f>
        <v/>
      </c>
    </row>
    <row r="559">
      <c r="A559" s="6">
        <f>Database!A558</f>
        <v/>
      </c>
      <c r="B559">
        <f>IF(VLOOKUP(Table73[[#This Row],[Date]],Database!$A:$E,MATCH($B$1,Database!$A$1:$E$1,),)=0,#N/A,VLOOKUP(Table73[[#This Row],[Date]],Database!$A:$E,MATCH($B$1,Database!$A$1:$E$1,),))</f>
        <v/>
      </c>
      <c r="C559">
        <f>IF(VLOOKUP(Table73[[#This Row],[Date]],Database!$A:$C,MATCH($C$1,Database!$A$1:$C$1,),)=0,#N/A,VLOOKUP(Table73[[#This Row],[Date]],Database!$A:$C,MATCH($C$1,Database!$A$1:$C$1,),))</f>
        <v/>
      </c>
      <c r="D559">
        <f>IFERROR(Table73[[#This Row],[United States 10y]]-Table73[[#This Row],[United States 2y]],#N/A)</f>
        <v/>
      </c>
    </row>
    <row r="560">
      <c r="A560" s="6">
        <f>Database!A559</f>
        <v/>
      </c>
      <c r="B560">
        <f>IF(VLOOKUP(Table73[[#This Row],[Date]],Database!$A:$E,MATCH($B$1,Database!$A$1:$E$1,),)=0,#N/A,VLOOKUP(Table73[[#This Row],[Date]],Database!$A:$E,MATCH($B$1,Database!$A$1:$E$1,),))</f>
        <v/>
      </c>
      <c r="C560">
        <f>IF(VLOOKUP(Table73[[#This Row],[Date]],Database!$A:$C,MATCH($C$1,Database!$A$1:$C$1,),)=0,#N/A,VLOOKUP(Table73[[#This Row],[Date]],Database!$A:$C,MATCH($C$1,Database!$A$1:$C$1,),))</f>
        <v/>
      </c>
      <c r="D560">
        <f>IFERROR(Table73[[#This Row],[United States 10y]]-Table73[[#This Row],[United States 2y]],#N/A)</f>
        <v/>
      </c>
    </row>
    <row r="561">
      <c r="A561" s="6">
        <f>Database!A560</f>
        <v/>
      </c>
      <c r="B561">
        <f>IF(VLOOKUP(Table73[[#This Row],[Date]],Database!$A:$E,MATCH($B$1,Database!$A$1:$E$1,),)=0,#N/A,VLOOKUP(Table73[[#This Row],[Date]],Database!$A:$E,MATCH($B$1,Database!$A$1:$E$1,),))</f>
        <v/>
      </c>
      <c r="C561">
        <f>IF(VLOOKUP(Table73[[#This Row],[Date]],Database!$A:$C,MATCH($C$1,Database!$A$1:$C$1,),)=0,#N/A,VLOOKUP(Table73[[#This Row],[Date]],Database!$A:$C,MATCH($C$1,Database!$A$1:$C$1,),))</f>
        <v/>
      </c>
      <c r="D561">
        <f>IFERROR(Table73[[#This Row],[United States 10y]]-Table73[[#This Row],[United States 2y]],#N/A)</f>
        <v/>
      </c>
    </row>
    <row r="562">
      <c r="A562" s="6">
        <f>Database!A561</f>
        <v/>
      </c>
      <c r="B562">
        <f>IF(VLOOKUP(Table73[[#This Row],[Date]],Database!$A:$E,MATCH($B$1,Database!$A$1:$E$1,),)=0,#N/A,VLOOKUP(Table73[[#This Row],[Date]],Database!$A:$E,MATCH($B$1,Database!$A$1:$E$1,),))</f>
        <v/>
      </c>
      <c r="C562">
        <f>IF(VLOOKUP(Table73[[#This Row],[Date]],Database!$A:$C,MATCH($C$1,Database!$A$1:$C$1,),)=0,#N/A,VLOOKUP(Table73[[#This Row],[Date]],Database!$A:$C,MATCH($C$1,Database!$A$1:$C$1,),))</f>
        <v/>
      </c>
      <c r="D562">
        <f>IFERROR(Table73[[#This Row],[United States 10y]]-Table73[[#This Row],[United States 2y]],#N/A)</f>
        <v/>
      </c>
    </row>
    <row r="563">
      <c r="A563" s="6">
        <f>Database!A562</f>
        <v/>
      </c>
      <c r="B563">
        <f>IF(VLOOKUP(Table73[[#This Row],[Date]],Database!$A:$E,MATCH($B$1,Database!$A$1:$E$1,),)=0,#N/A,VLOOKUP(Table73[[#This Row],[Date]],Database!$A:$E,MATCH($B$1,Database!$A$1:$E$1,),))</f>
        <v/>
      </c>
      <c r="C563">
        <f>IF(VLOOKUP(Table73[[#This Row],[Date]],Database!$A:$C,MATCH($C$1,Database!$A$1:$C$1,),)=0,#N/A,VLOOKUP(Table73[[#This Row],[Date]],Database!$A:$C,MATCH($C$1,Database!$A$1:$C$1,),))</f>
        <v/>
      </c>
      <c r="D563">
        <f>IFERROR(Table73[[#This Row],[United States 10y]]-Table73[[#This Row],[United States 2y]],#N/A)</f>
        <v/>
      </c>
    </row>
    <row r="564">
      <c r="A564" s="6">
        <f>Database!A563</f>
        <v/>
      </c>
      <c r="B564">
        <f>IF(VLOOKUP(Table73[[#This Row],[Date]],Database!$A:$E,MATCH($B$1,Database!$A$1:$E$1,),)=0,#N/A,VLOOKUP(Table73[[#This Row],[Date]],Database!$A:$E,MATCH($B$1,Database!$A$1:$E$1,),))</f>
        <v/>
      </c>
      <c r="C564">
        <f>IF(VLOOKUP(Table73[[#This Row],[Date]],Database!$A:$C,MATCH($C$1,Database!$A$1:$C$1,),)=0,#N/A,VLOOKUP(Table73[[#This Row],[Date]],Database!$A:$C,MATCH($C$1,Database!$A$1:$C$1,),))</f>
        <v/>
      </c>
      <c r="D564">
        <f>IFERROR(Table73[[#This Row],[United States 10y]]-Table73[[#This Row],[United States 2y]],#N/A)</f>
        <v/>
      </c>
    </row>
    <row r="565">
      <c r="A565" s="6">
        <f>Database!A564</f>
        <v/>
      </c>
      <c r="B565">
        <f>IF(VLOOKUP(Table73[[#This Row],[Date]],Database!$A:$E,MATCH($B$1,Database!$A$1:$E$1,),)=0,#N/A,VLOOKUP(Table73[[#This Row],[Date]],Database!$A:$E,MATCH($B$1,Database!$A$1:$E$1,),))</f>
        <v/>
      </c>
      <c r="C565">
        <f>IF(VLOOKUP(Table73[[#This Row],[Date]],Database!$A:$C,MATCH($C$1,Database!$A$1:$C$1,),)=0,#N/A,VLOOKUP(Table73[[#This Row],[Date]],Database!$A:$C,MATCH($C$1,Database!$A$1:$C$1,),))</f>
        <v/>
      </c>
      <c r="D565">
        <f>IFERROR(Table73[[#This Row],[United States 10y]]-Table73[[#This Row],[United States 2y]],#N/A)</f>
        <v/>
      </c>
    </row>
    <row r="566">
      <c r="A566" s="6">
        <f>Database!A565</f>
        <v/>
      </c>
      <c r="B566">
        <f>IF(VLOOKUP(Table73[[#This Row],[Date]],Database!$A:$E,MATCH($B$1,Database!$A$1:$E$1,),)=0,#N/A,VLOOKUP(Table73[[#This Row],[Date]],Database!$A:$E,MATCH($B$1,Database!$A$1:$E$1,),))</f>
        <v/>
      </c>
      <c r="C566">
        <f>IF(VLOOKUP(Table73[[#This Row],[Date]],Database!$A:$C,MATCH($C$1,Database!$A$1:$C$1,),)=0,#N/A,VLOOKUP(Table73[[#This Row],[Date]],Database!$A:$C,MATCH($C$1,Database!$A$1:$C$1,),))</f>
        <v/>
      </c>
      <c r="D566">
        <f>IFERROR(Table73[[#This Row],[United States 10y]]-Table73[[#This Row],[United States 2y]],#N/A)</f>
        <v/>
      </c>
    </row>
    <row r="567">
      <c r="A567" s="6">
        <f>Database!A566</f>
        <v/>
      </c>
      <c r="B567">
        <f>IF(VLOOKUP(Table73[[#This Row],[Date]],Database!$A:$E,MATCH($B$1,Database!$A$1:$E$1,),)=0,#N/A,VLOOKUP(Table73[[#This Row],[Date]],Database!$A:$E,MATCH($B$1,Database!$A$1:$E$1,),))</f>
        <v/>
      </c>
      <c r="C567">
        <f>IF(VLOOKUP(Table73[[#This Row],[Date]],Database!$A:$C,MATCH($C$1,Database!$A$1:$C$1,),)=0,#N/A,VLOOKUP(Table73[[#This Row],[Date]],Database!$A:$C,MATCH($C$1,Database!$A$1:$C$1,),))</f>
        <v/>
      </c>
      <c r="D567">
        <f>IFERROR(Table73[[#This Row],[United States 10y]]-Table73[[#This Row],[United States 2y]],#N/A)</f>
        <v/>
      </c>
    </row>
    <row r="568">
      <c r="A568" s="6">
        <f>Database!A567</f>
        <v/>
      </c>
      <c r="B568">
        <f>IF(VLOOKUP(Table73[[#This Row],[Date]],Database!$A:$E,MATCH($B$1,Database!$A$1:$E$1,),)=0,#N/A,VLOOKUP(Table73[[#This Row],[Date]],Database!$A:$E,MATCH($B$1,Database!$A$1:$E$1,),))</f>
        <v/>
      </c>
      <c r="C568">
        <f>IF(VLOOKUP(Table73[[#This Row],[Date]],Database!$A:$C,MATCH($C$1,Database!$A$1:$C$1,),)=0,#N/A,VLOOKUP(Table73[[#This Row],[Date]],Database!$A:$C,MATCH($C$1,Database!$A$1:$C$1,),))</f>
        <v/>
      </c>
      <c r="D568">
        <f>IFERROR(Table73[[#This Row],[United States 10y]]-Table73[[#This Row],[United States 2y]],#N/A)</f>
        <v/>
      </c>
    </row>
    <row r="569">
      <c r="A569" s="6">
        <f>Database!A568</f>
        <v/>
      </c>
      <c r="B569">
        <f>IF(VLOOKUP(Table73[[#This Row],[Date]],Database!$A:$E,MATCH($B$1,Database!$A$1:$E$1,),)=0,#N/A,VLOOKUP(Table73[[#This Row],[Date]],Database!$A:$E,MATCH($B$1,Database!$A$1:$E$1,),))</f>
        <v/>
      </c>
      <c r="C569">
        <f>IF(VLOOKUP(Table73[[#This Row],[Date]],Database!$A:$C,MATCH($C$1,Database!$A$1:$C$1,),)=0,#N/A,VLOOKUP(Table73[[#This Row],[Date]],Database!$A:$C,MATCH($C$1,Database!$A$1:$C$1,),))</f>
        <v/>
      </c>
      <c r="D569">
        <f>IFERROR(Table73[[#This Row],[United States 10y]]-Table73[[#This Row],[United States 2y]],#N/A)</f>
        <v/>
      </c>
    </row>
    <row r="570">
      <c r="A570" s="6">
        <f>Database!A569</f>
        <v/>
      </c>
      <c r="B570">
        <f>IF(VLOOKUP(Table73[[#This Row],[Date]],Database!$A:$E,MATCH($B$1,Database!$A$1:$E$1,),)=0,#N/A,VLOOKUP(Table73[[#This Row],[Date]],Database!$A:$E,MATCH($B$1,Database!$A$1:$E$1,),))</f>
        <v/>
      </c>
      <c r="C570">
        <f>IF(VLOOKUP(Table73[[#This Row],[Date]],Database!$A:$C,MATCH($C$1,Database!$A$1:$C$1,),)=0,#N/A,VLOOKUP(Table73[[#This Row],[Date]],Database!$A:$C,MATCH($C$1,Database!$A$1:$C$1,),))</f>
        <v/>
      </c>
      <c r="D570">
        <f>IFERROR(Table73[[#This Row],[United States 10y]]-Table73[[#This Row],[United States 2y]],#N/A)</f>
        <v/>
      </c>
    </row>
    <row r="571">
      <c r="A571" s="6">
        <f>Database!A570</f>
        <v/>
      </c>
      <c r="B571">
        <f>IF(VLOOKUP(Table73[[#This Row],[Date]],Database!$A:$E,MATCH($B$1,Database!$A$1:$E$1,),)=0,#N/A,VLOOKUP(Table73[[#This Row],[Date]],Database!$A:$E,MATCH($B$1,Database!$A$1:$E$1,),))</f>
        <v/>
      </c>
      <c r="C571">
        <f>IF(VLOOKUP(Table73[[#This Row],[Date]],Database!$A:$C,MATCH($C$1,Database!$A$1:$C$1,),)=0,#N/A,VLOOKUP(Table73[[#This Row],[Date]],Database!$A:$C,MATCH($C$1,Database!$A$1:$C$1,),))</f>
        <v/>
      </c>
      <c r="D571">
        <f>IFERROR(Table73[[#This Row],[United States 10y]]-Table73[[#This Row],[United States 2y]],#N/A)</f>
        <v/>
      </c>
    </row>
    <row r="572">
      <c r="A572" s="6">
        <f>Database!A571</f>
        <v/>
      </c>
      <c r="B572">
        <f>IF(VLOOKUP(Table73[[#This Row],[Date]],Database!$A:$E,MATCH($B$1,Database!$A$1:$E$1,),)=0,#N/A,VLOOKUP(Table73[[#This Row],[Date]],Database!$A:$E,MATCH($B$1,Database!$A$1:$E$1,),))</f>
        <v/>
      </c>
      <c r="C572">
        <f>IF(VLOOKUP(Table73[[#This Row],[Date]],Database!$A:$C,MATCH($C$1,Database!$A$1:$C$1,),)=0,#N/A,VLOOKUP(Table73[[#This Row],[Date]],Database!$A:$C,MATCH($C$1,Database!$A$1:$C$1,),))</f>
        <v/>
      </c>
      <c r="D572">
        <f>IFERROR(Table73[[#This Row],[United States 10y]]-Table73[[#This Row],[United States 2y]],#N/A)</f>
        <v/>
      </c>
    </row>
    <row r="573">
      <c r="A573" s="6">
        <f>Database!A572</f>
        <v/>
      </c>
      <c r="B573">
        <f>IF(VLOOKUP(Table73[[#This Row],[Date]],Database!$A:$E,MATCH($B$1,Database!$A$1:$E$1,),)=0,#N/A,VLOOKUP(Table73[[#This Row],[Date]],Database!$A:$E,MATCH($B$1,Database!$A$1:$E$1,),))</f>
        <v/>
      </c>
      <c r="C573">
        <f>IF(VLOOKUP(Table73[[#This Row],[Date]],Database!$A:$C,MATCH($C$1,Database!$A$1:$C$1,),)=0,#N/A,VLOOKUP(Table73[[#This Row],[Date]],Database!$A:$C,MATCH($C$1,Database!$A$1:$C$1,),))</f>
        <v/>
      </c>
      <c r="D573">
        <f>IFERROR(Table73[[#This Row],[United States 10y]]-Table73[[#This Row],[United States 2y]],#N/A)</f>
        <v/>
      </c>
    </row>
    <row r="574">
      <c r="A574" s="6">
        <f>Database!A573</f>
        <v/>
      </c>
      <c r="B574">
        <f>IF(VLOOKUP(Table73[[#This Row],[Date]],Database!$A:$E,MATCH($B$1,Database!$A$1:$E$1,),)=0,#N/A,VLOOKUP(Table73[[#This Row],[Date]],Database!$A:$E,MATCH($B$1,Database!$A$1:$E$1,),))</f>
        <v/>
      </c>
      <c r="C574">
        <f>IF(VLOOKUP(Table73[[#This Row],[Date]],Database!$A:$C,MATCH($C$1,Database!$A$1:$C$1,),)=0,#N/A,VLOOKUP(Table73[[#This Row],[Date]],Database!$A:$C,MATCH($C$1,Database!$A$1:$C$1,),))</f>
        <v/>
      </c>
      <c r="D574">
        <f>IFERROR(Table73[[#This Row],[United States 10y]]-Table73[[#This Row],[United States 2y]],#N/A)</f>
        <v/>
      </c>
    </row>
    <row r="575">
      <c r="A575" s="6">
        <f>Database!A574</f>
        <v/>
      </c>
      <c r="B575">
        <f>IF(VLOOKUP(Table73[[#This Row],[Date]],Database!$A:$E,MATCH($B$1,Database!$A$1:$E$1,),)=0,#N/A,VLOOKUP(Table73[[#This Row],[Date]],Database!$A:$E,MATCH($B$1,Database!$A$1:$E$1,),))</f>
        <v/>
      </c>
      <c r="C575">
        <f>IF(VLOOKUP(Table73[[#This Row],[Date]],Database!$A:$C,MATCH($C$1,Database!$A$1:$C$1,),)=0,#N/A,VLOOKUP(Table73[[#This Row],[Date]],Database!$A:$C,MATCH($C$1,Database!$A$1:$C$1,),))</f>
        <v/>
      </c>
      <c r="D575">
        <f>IFERROR(Table73[[#This Row],[United States 10y]]-Table73[[#This Row],[United States 2y]],#N/A)</f>
        <v/>
      </c>
    </row>
    <row r="576">
      <c r="A576" s="6">
        <f>Database!A575</f>
        <v/>
      </c>
      <c r="B576">
        <f>IF(VLOOKUP(Table73[[#This Row],[Date]],Database!$A:$E,MATCH($B$1,Database!$A$1:$E$1,),)=0,#N/A,VLOOKUP(Table73[[#This Row],[Date]],Database!$A:$E,MATCH($B$1,Database!$A$1:$E$1,),))</f>
        <v/>
      </c>
      <c r="C576">
        <f>IF(VLOOKUP(Table73[[#This Row],[Date]],Database!$A:$C,MATCH($C$1,Database!$A$1:$C$1,),)=0,#N/A,VLOOKUP(Table73[[#This Row],[Date]],Database!$A:$C,MATCH($C$1,Database!$A$1:$C$1,),))</f>
        <v/>
      </c>
      <c r="D576">
        <f>IFERROR(Table73[[#This Row],[United States 10y]]-Table73[[#This Row],[United States 2y]],#N/A)</f>
        <v/>
      </c>
    </row>
    <row r="577">
      <c r="A577" s="6">
        <f>Database!A576</f>
        <v/>
      </c>
      <c r="B577">
        <f>IF(VLOOKUP(Table73[[#This Row],[Date]],Database!$A:$E,MATCH($B$1,Database!$A$1:$E$1,),)=0,#N/A,VLOOKUP(Table73[[#This Row],[Date]],Database!$A:$E,MATCH($B$1,Database!$A$1:$E$1,),))</f>
        <v/>
      </c>
      <c r="C577">
        <f>IF(VLOOKUP(Table73[[#This Row],[Date]],Database!$A:$C,MATCH($C$1,Database!$A$1:$C$1,),)=0,#N/A,VLOOKUP(Table73[[#This Row],[Date]],Database!$A:$C,MATCH($C$1,Database!$A$1:$C$1,),))</f>
        <v/>
      </c>
      <c r="D577">
        <f>IFERROR(Table73[[#This Row],[United States 10y]]-Table73[[#This Row],[United States 2y]],#N/A)</f>
        <v/>
      </c>
    </row>
    <row r="578">
      <c r="A578" s="6">
        <f>Database!A577</f>
        <v/>
      </c>
      <c r="B578">
        <f>IF(VLOOKUP(Table73[[#This Row],[Date]],Database!$A:$E,MATCH($B$1,Database!$A$1:$E$1,),)=0,#N/A,VLOOKUP(Table73[[#This Row],[Date]],Database!$A:$E,MATCH($B$1,Database!$A$1:$E$1,),))</f>
        <v/>
      </c>
      <c r="C578">
        <f>IF(VLOOKUP(Table73[[#This Row],[Date]],Database!$A:$C,MATCH($C$1,Database!$A$1:$C$1,),)=0,#N/A,VLOOKUP(Table73[[#This Row],[Date]],Database!$A:$C,MATCH($C$1,Database!$A$1:$C$1,),))</f>
        <v/>
      </c>
      <c r="D578">
        <f>IFERROR(Table73[[#This Row],[United States 10y]]-Table73[[#This Row],[United States 2y]],#N/A)</f>
        <v/>
      </c>
    </row>
    <row r="579">
      <c r="A579" s="6">
        <f>Database!A578</f>
        <v/>
      </c>
      <c r="B579">
        <f>IF(VLOOKUP(Table73[[#This Row],[Date]],Database!$A:$E,MATCH($B$1,Database!$A$1:$E$1,),)=0,#N/A,VLOOKUP(Table73[[#This Row],[Date]],Database!$A:$E,MATCH($B$1,Database!$A$1:$E$1,),))</f>
        <v/>
      </c>
      <c r="C579">
        <f>IF(VLOOKUP(Table73[[#This Row],[Date]],Database!$A:$C,MATCH($C$1,Database!$A$1:$C$1,),)=0,#N/A,VLOOKUP(Table73[[#This Row],[Date]],Database!$A:$C,MATCH($C$1,Database!$A$1:$C$1,),))</f>
        <v/>
      </c>
      <c r="D579">
        <f>IFERROR(Table73[[#This Row],[United States 10y]]-Table73[[#This Row],[United States 2y]],#N/A)</f>
        <v/>
      </c>
    </row>
    <row r="580">
      <c r="A580" s="6">
        <f>Database!A579</f>
        <v/>
      </c>
      <c r="B580">
        <f>IF(VLOOKUP(Table73[[#This Row],[Date]],Database!$A:$E,MATCH($B$1,Database!$A$1:$E$1,),)=0,#N/A,VLOOKUP(Table73[[#This Row],[Date]],Database!$A:$E,MATCH($B$1,Database!$A$1:$E$1,),))</f>
        <v/>
      </c>
      <c r="C580">
        <f>IF(VLOOKUP(Table73[[#This Row],[Date]],Database!$A:$C,MATCH($C$1,Database!$A$1:$C$1,),)=0,#N/A,VLOOKUP(Table73[[#This Row],[Date]],Database!$A:$C,MATCH($C$1,Database!$A$1:$C$1,),))</f>
        <v/>
      </c>
      <c r="D580">
        <f>IFERROR(Table73[[#This Row],[United States 10y]]-Table73[[#This Row],[United States 2y]],#N/A)</f>
        <v/>
      </c>
    </row>
    <row r="581">
      <c r="A581" s="6">
        <f>Database!A580</f>
        <v/>
      </c>
      <c r="B581">
        <f>IF(VLOOKUP(Table73[[#This Row],[Date]],Database!$A:$E,MATCH($B$1,Database!$A$1:$E$1,),)=0,#N/A,VLOOKUP(Table73[[#This Row],[Date]],Database!$A:$E,MATCH($B$1,Database!$A$1:$E$1,),))</f>
        <v/>
      </c>
      <c r="C581">
        <f>IF(VLOOKUP(Table73[[#This Row],[Date]],Database!$A:$C,MATCH($C$1,Database!$A$1:$C$1,),)=0,#N/A,VLOOKUP(Table73[[#This Row],[Date]],Database!$A:$C,MATCH($C$1,Database!$A$1:$C$1,),))</f>
        <v/>
      </c>
      <c r="D581">
        <f>IFERROR(Table73[[#This Row],[United States 10y]]-Table73[[#This Row],[United States 2y]],#N/A)</f>
        <v/>
      </c>
    </row>
    <row r="582">
      <c r="A582" s="6">
        <f>Database!A581</f>
        <v/>
      </c>
      <c r="B582">
        <f>IF(VLOOKUP(Table73[[#This Row],[Date]],Database!$A:$E,MATCH($B$1,Database!$A$1:$E$1,),)=0,#N/A,VLOOKUP(Table73[[#This Row],[Date]],Database!$A:$E,MATCH($B$1,Database!$A$1:$E$1,),))</f>
        <v/>
      </c>
      <c r="C582">
        <f>IF(VLOOKUP(Table73[[#This Row],[Date]],Database!$A:$C,MATCH($C$1,Database!$A$1:$C$1,),)=0,#N/A,VLOOKUP(Table73[[#This Row],[Date]],Database!$A:$C,MATCH($C$1,Database!$A$1:$C$1,),))</f>
        <v/>
      </c>
      <c r="D582">
        <f>IFERROR(Table73[[#This Row],[United States 10y]]-Table73[[#This Row],[United States 2y]],#N/A)</f>
        <v/>
      </c>
    </row>
    <row r="583">
      <c r="A583" s="6">
        <f>Database!A582</f>
        <v/>
      </c>
      <c r="B583">
        <f>IF(VLOOKUP(Table73[[#This Row],[Date]],Database!$A:$E,MATCH($B$1,Database!$A$1:$E$1,),)=0,#N/A,VLOOKUP(Table73[[#This Row],[Date]],Database!$A:$E,MATCH($B$1,Database!$A$1:$E$1,),))</f>
        <v/>
      </c>
      <c r="C583">
        <f>IF(VLOOKUP(Table73[[#This Row],[Date]],Database!$A:$C,MATCH($C$1,Database!$A$1:$C$1,),)=0,#N/A,VLOOKUP(Table73[[#This Row],[Date]],Database!$A:$C,MATCH($C$1,Database!$A$1:$C$1,),))</f>
        <v/>
      </c>
      <c r="D583">
        <f>IFERROR(Table73[[#This Row],[United States 10y]]-Table73[[#This Row],[United States 2y]],#N/A)</f>
        <v/>
      </c>
    </row>
    <row r="584">
      <c r="A584" s="6">
        <f>Database!A583</f>
        <v/>
      </c>
      <c r="B584">
        <f>IF(VLOOKUP(Table73[[#This Row],[Date]],Database!$A:$E,MATCH($B$1,Database!$A$1:$E$1,),)=0,#N/A,VLOOKUP(Table73[[#This Row],[Date]],Database!$A:$E,MATCH($B$1,Database!$A$1:$E$1,),))</f>
        <v/>
      </c>
      <c r="C584">
        <f>IF(VLOOKUP(Table73[[#This Row],[Date]],Database!$A:$C,MATCH($C$1,Database!$A$1:$C$1,),)=0,#N/A,VLOOKUP(Table73[[#This Row],[Date]],Database!$A:$C,MATCH($C$1,Database!$A$1:$C$1,),))</f>
        <v/>
      </c>
      <c r="D584">
        <f>IFERROR(Table73[[#This Row],[United States 10y]]-Table73[[#This Row],[United States 2y]],#N/A)</f>
        <v/>
      </c>
    </row>
    <row r="585">
      <c r="A585" s="6">
        <f>Database!A584</f>
        <v/>
      </c>
      <c r="B585">
        <f>IF(VLOOKUP(Table73[[#This Row],[Date]],Database!$A:$E,MATCH($B$1,Database!$A$1:$E$1,),)=0,#N/A,VLOOKUP(Table73[[#This Row],[Date]],Database!$A:$E,MATCH($B$1,Database!$A$1:$E$1,),))</f>
        <v/>
      </c>
      <c r="C585">
        <f>IF(VLOOKUP(Table73[[#This Row],[Date]],Database!$A:$C,MATCH($C$1,Database!$A$1:$C$1,),)=0,#N/A,VLOOKUP(Table73[[#This Row],[Date]],Database!$A:$C,MATCH($C$1,Database!$A$1:$C$1,),))</f>
        <v/>
      </c>
      <c r="D585">
        <f>IFERROR(Table73[[#This Row],[United States 10y]]-Table73[[#This Row],[United States 2y]],#N/A)</f>
        <v/>
      </c>
    </row>
    <row r="586">
      <c r="A586" s="6">
        <f>Database!A585</f>
        <v/>
      </c>
      <c r="B586">
        <f>IF(VLOOKUP(Table73[[#This Row],[Date]],Database!$A:$E,MATCH($B$1,Database!$A$1:$E$1,),)=0,#N/A,VLOOKUP(Table73[[#This Row],[Date]],Database!$A:$E,MATCH($B$1,Database!$A$1:$E$1,),))</f>
        <v/>
      </c>
      <c r="C586">
        <f>IF(VLOOKUP(Table73[[#This Row],[Date]],Database!$A:$C,MATCH($C$1,Database!$A$1:$C$1,),)=0,#N/A,VLOOKUP(Table73[[#This Row],[Date]],Database!$A:$C,MATCH($C$1,Database!$A$1:$C$1,),))</f>
        <v/>
      </c>
      <c r="D586">
        <f>IFERROR(Table73[[#This Row],[United States 10y]]-Table73[[#This Row],[United States 2y]],#N/A)</f>
        <v/>
      </c>
    </row>
    <row r="587">
      <c r="A587" s="6">
        <f>Database!A586</f>
        <v/>
      </c>
      <c r="B587">
        <f>IF(VLOOKUP(Table73[[#This Row],[Date]],Database!$A:$E,MATCH($B$1,Database!$A$1:$E$1,),)=0,#N/A,VLOOKUP(Table73[[#This Row],[Date]],Database!$A:$E,MATCH($B$1,Database!$A$1:$E$1,),))</f>
        <v/>
      </c>
      <c r="C587">
        <f>IF(VLOOKUP(Table73[[#This Row],[Date]],Database!$A:$C,MATCH($C$1,Database!$A$1:$C$1,),)=0,#N/A,VLOOKUP(Table73[[#This Row],[Date]],Database!$A:$C,MATCH($C$1,Database!$A$1:$C$1,),))</f>
        <v/>
      </c>
      <c r="D587">
        <f>IFERROR(Table73[[#This Row],[United States 10y]]-Table73[[#This Row],[United States 2y]],#N/A)</f>
        <v/>
      </c>
    </row>
    <row r="588">
      <c r="A588" s="6">
        <f>Database!A587</f>
        <v/>
      </c>
      <c r="B588">
        <f>IF(VLOOKUP(Table73[[#This Row],[Date]],Database!$A:$E,MATCH($B$1,Database!$A$1:$E$1,),)=0,#N/A,VLOOKUP(Table73[[#This Row],[Date]],Database!$A:$E,MATCH($B$1,Database!$A$1:$E$1,),))</f>
        <v/>
      </c>
      <c r="C588">
        <f>IF(VLOOKUP(Table73[[#This Row],[Date]],Database!$A:$C,MATCH($C$1,Database!$A$1:$C$1,),)=0,#N/A,VLOOKUP(Table73[[#This Row],[Date]],Database!$A:$C,MATCH($C$1,Database!$A$1:$C$1,),))</f>
        <v/>
      </c>
      <c r="D588">
        <f>IFERROR(Table73[[#This Row],[United States 10y]]-Table73[[#This Row],[United States 2y]],#N/A)</f>
        <v/>
      </c>
    </row>
    <row r="589">
      <c r="A589" s="6">
        <f>Database!A588</f>
        <v/>
      </c>
      <c r="B589">
        <f>IF(VLOOKUP(Table73[[#This Row],[Date]],Database!$A:$E,MATCH($B$1,Database!$A$1:$E$1,),)=0,#N/A,VLOOKUP(Table73[[#This Row],[Date]],Database!$A:$E,MATCH($B$1,Database!$A$1:$E$1,),))</f>
        <v/>
      </c>
      <c r="C589">
        <f>IF(VLOOKUP(Table73[[#This Row],[Date]],Database!$A:$C,MATCH($C$1,Database!$A$1:$C$1,),)=0,#N/A,VLOOKUP(Table73[[#This Row],[Date]],Database!$A:$C,MATCH($C$1,Database!$A$1:$C$1,),))</f>
        <v/>
      </c>
      <c r="D589">
        <f>IFERROR(Table73[[#This Row],[United States 10y]]-Table73[[#This Row],[United States 2y]],#N/A)</f>
        <v/>
      </c>
    </row>
    <row r="590">
      <c r="A590" s="6">
        <f>Database!A589</f>
        <v/>
      </c>
      <c r="B590">
        <f>IF(VLOOKUP(Table73[[#This Row],[Date]],Database!$A:$E,MATCH($B$1,Database!$A$1:$E$1,),)=0,#N/A,VLOOKUP(Table73[[#This Row],[Date]],Database!$A:$E,MATCH($B$1,Database!$A$1:$E$1,),))</f>
        <v/>
      </c>
      <c r="C590">
        <f>IF(VLOOKUP(Table73[[#This Row],[Date]],Database!$A:$C,MATCH($C$1,Database!$A$1:$C$1,),)=0,#N/A,VLOOKUP(Table73[[#This Row],[Date]],Database!$A:$C,MATCH($C$1,Database!$A$1:$C$1,),))</f>
        <v/>
      </c>
      <c r="D590">
        <f>IFERROR(Table73[[#This Row],[United States 10y]]-Table73[[#This Row],[United States 2y]],#N/A)</f>
        <v/>
      </c>
    </row>
    <row r="591">
      <c r="A591" s="6">
        <f>Database!A590</f>
        <v/>
      </c>
      <c r="B591">
        <f>IF(VLOOKUP(Table73[[#This Row],[Date]],Database!$A:$E,MATCH($B$1,Database!$A$1:$E$1,),)=0,#N/A,VLOOKUP(Table73[[#This Row],[Date]],Database!$A:$E,MATCH($B$1,Database!$A$1:$E$1,),))</f>
        <v/>
      </c>
      <c r="C591">
        <f>IF(VLOOKUP(Table73[[#This Row],[Date]],Database!$A:$C,MATCH($C$1,Database!$A$1:$C$1,),)=0,#N/A,VLOOKUP(Table73[[#This Row],[Date]],Database!$A:$C,MATCH($C$1,Database!$A$1:$C$1,),))</f>
        <v/>
      </c>
      <c r="D591">
        <f>IFERROR(Table73[[#This Row],[United States 10y]]-Table73[[#This Row],[United States 2y]],#N/A)</f>
        <v/>
      </c>
    </row>
    <row r="592">
      <c r="A592" s="6">
        <f>Database!A591</f>
        <v/>
      </c>
      <c r="B592">
        <f>IF(VLOOKUP(Table73[[#This Row],[Date]],Database!$A:$E,MATCH($B$1,Database!$A$1:$E$1,),)=0,#N/A,VLOOKUP(Table73[[#This Row],[Date]],Database!$A:$E,MATCH($B$1,Database!$A$1:$E$1,),))</f>
        <v/>
      </c>
      <c r="C592">
        <f>IF(VLOOKUP(Table73[[#This Row],[Date]],Database!$A:$C,MATCH($C$1,Database!$A$1:$C$1,),)=0,#N/A,VLOOKUP(Table73[[#This Row],[Date]],Database!$A:$C,MATCH($C$1,Database!$A$1:$C$1,),))</f>
        <v/>
      </c>
      <c r="D592">
        <f>IFERROR(Table73[[#This Row],[United States 10y]]-Table73[[#This Row],[United States 2y]],#N/A)</f>
        <v/>
      </c>
    </row>
    <row r="593">
      <c r="A593" s="6">
        <f>Database!A592</f>
        <v/>
      </c>
      <c r="B593">
        <f>IF(VLOOKUP(Table73[[#This Row],[Date]],Database!$A:$E,MATCH($B$1,Database!$A$1:$E$1,),)=0,#N/A,VLOOKUP(Table73[[#This Row],[Date]],Database!$A:$E,MATCH($B$1,Database!$A$1:$E$1,),))</f>
        <v/>
      </c>
      <c r="C593">
        <f>IF(VLOOKUP(Table73[[#This Row],[Date]],Database!$A:$C,MATCH($C$1,Database!$A$1:$C$1,),)=0,#N/A,VLOOKUP(Table73[[#This Row],[Date]],Database!$A:$C,MATCH($C$1,Database!$A$1:$C$1,),))</f>
        <v/>
      </c>
      <c r="D593">
        <f>IFERROR(Table73[[#This Row],[United States 10y]]-Table73[[#This Row],[United States 2y]],#N/A)</f>
        <v/>
      </c>
    </row>
    <row r="594">
      <c r="A594" s="6">
        <f>Database!A593</f>
        <v/>
      </c>
      <c r="B594">
        <f>IF(VLOOKUP(Table73[[#This Row],[Date]],Database!$A:$E,MATCH($B$1,Database!$A$1:$E$1,),)=0,#N/A,VLOOKUP(Table73[[#This Row],[Date]],Database!$A:$E,MATCH($B$1,Database!$A$1:$E$1,),))</f>
        <v/>
      </c>
      <c r="C594">
        <f>IF(VLOOKUP(Table73[[#This Row],[Date]],Database!$A:$C,MATCH($C$1,Database!$A$1:$C$1,),)=0,#N/A,VLOOKUP(Table73[[#This Row],[Date]],Database!$A:$C,MATCH($C$1,Database!$A$1:$C$1,),))</f>
        <v/>
      </c>
      <c r="D594">
        <f>IFERROR(Table73[[#This Row],[United States 10y]]-Table73[[#This Row],[United States 2y]],#N/A)</f>
        <v/>
      </c>
    </row>
    <row r="595">
      <c r="A595" s="6">
        <f>Database!A594</f>
        <v/>
      </c>
      <c r="B595">
        <f>IF(VLOOKUP(Table73[[#This Row],[Date]],Database!$A:$E,MATCH($B$1,Database!$A$1:$E$1,),)=0,#N/A,VLOOKUP(Table73[[#This Row],[Date]],Database!$A:$E,MATCH($B$1,Database!$A$1:$E$1,),))</f>
        <v/>
      </c>
      <c r="C595">
        <f>IF(VLOOKUP(Table73[[#This Row],[Date]],Database!$A:$C,MATCH($C$1,Database!$A$1:$C$1,),)=0,#N/A,VLOOKUP(Table73[[#This Row],[Date]],Database!$A:$C,MATCH($C$1,Database!$A$1:$C$1,),))</f>
        <v/>
      </c>
      <c r="D595">
        <f>IFERROR(Table73[[#This Row],[United States 10y]]-Table73[[#This Row],[United States 2y]],#N/A)</f>
        <v/>
      </c>
    </row>
    <row r="596">
      <c r="A596" s="6">
        <f>Database!A595</f>
        <v/>
      </c>
      <c r="B596">
        <f>IF(VLOOKUP(Table73[[#This Row],[Date]],Database!$A:$E,MATCH($B$1,Database!$A$1:$E$1,),)=0,#N/A,VLOOKUP(Table73[[#This Row],[Date]],Database!$A:$E,MATCH($B$1,Database!$A$1:$E$1,),))</f>
        <v/>
      </c>
      <c r="C596">
        <f>IF(VLOOKUP(Table73[[#This Row],[Date]],Database!$A:$C,MATCH($C$1,Database!$A$1:$C$1,),)=0,#N/A,VLOOKUP(Table73[[#This Row],[Date]],Database!$A:$C,MATCH($C$1,Database!$A$1:$C$1,),))</f>
        <v/>
      </c>
      <c r="D596">
        <f>IFERROR(Table73[[#This Row],[United States 10y]]-Table73[[#This Row],[United States 2y]],#N/A)</f>
        <v/>
      </c>
    </row>
    <row r="597">
      <c r="A597" s="6">
        <f>Database!A596</f>
        <v/>
      </c>
      <c r="B597">
        <f>IF(VLOOKUP(Table73[[#This Row],[Date]],Database!$A:$E,MATCH($B$1,Database!$A$1:$E$1,),)=0,#N/A,VLOOKUP(Table73[[#This Row],[Date]],Database!$A:$E,MATCH($B$1,Database!$A$1:$E$1,),))</f>
        <v/>
      </c>
      <c r="C597">
        <f>IF(VLOOKUP(Table73[[#This Row],[Date]],Database!$A:$C,MATCH($C$1,Database!$A$1:$C$1,),)=0,#N/A,VLOOKUP(Table73[[#This Row],[Date]],Database!$A:$C,MATCH($C$1,Database!$A$1:$C$1,),))</f>
        <v/>
      </c>
      <c r="D597">
        <f>IFERROR(Table73[[#This Row],[United States 10y]]-Table73[[#This Row],[United States 2y]],#N/A)</f>
        <v/>
      </c>
    </row>
    <row r="598">
      <c r="A598" s="6">
        <f>Database!A597</f>
        <v/>
      </c>
      <c r="B598">
        <f>IF(VLOOKUP(Table73[[#This Row],[Date]],Database!$A:$E,MATCH($B$1,Database!$A$1:$E$1,),)=0,#N/A,VLOOKUP(Table73[[#This Row],[Date]],Database!$A:$E,MATCH($B$1,Database!$A$1:$E$1,),))</f>
        <v/>
      </c>
      <c r="C598">
        <f>IF(VLOOKUP(Table73[[#This Row],[Date]],Database!$A:$C,MATCH($C$1,Database!$A$1:$C$1,),)=0,#N/A,VLOOKUP(Table73[[#This Row],[Date]],Database!$A:$C,MATCH($C$1,Database!$A$1:$C$1,),))</f>
        <v/>
      </c>
      <c r="D598">
        <f>IFERROR(Table73[[#This Row],[United States 10y]]-Table73[[#This Row],[United States 2y]],#N/A)</f>
        <v/>
      </c>
    </row>
    <row r="599">
      <c r="A599" s="6">
        <f>Database!A598</f>
        <v/>
      </c>
      <c r="B599">
        <f>IF(VLOOKUP(Table73[[#This Row],[Date]],Database!$A:$E,MATCH($B$1,Database!$A$1:$E$1,),)=0,#N/A,VLOOKUP(Table73[[#This Row],[Date]],Database!$A:$E,MATCH($B$1,Database!$A$1:$E$1,),))</f>
        <v/>
      </c>
      <c r="C599">
        <f>IF(VLOOKUP(Table73[[#This Row],[Date]],Database!$A:$C,MATCH($C$1,Database!$A$1:$C$1,),)=0,#N/A,VLOOKUP(Table73[[#This Row],[Date]],Database!$A:$C,MATCH($C$1,Database!$A$1:$C$1,),))</f>
        <v/>
      </c>
      <c r="D599">
        <f>IFERROR(Table73[[#This Row],[United States 10y]]-Table73[[#This Row],[United States 2y]],#N/A)</f>
        <v/>
      </c>
    </row>
    <row r="600">
      <c r="A600" s="6">
        <f>Database!A599</f>
        <v/>
      </c>
      <c r="B600">
        <f>IF(VLOOKUP(Table73[[#This Row],[Date]],Database!$A:$E,MATCH($B$1,Database!$A$1:$E$1,),)=0,#N/A,VLOOKUP(Table73[[#This Row],[Date]],Database!$A:$E,MATCH($B$1,Database!$A$1:$E$1,),))</f>
        <v/>
      </c>
      <c r="C600">
        <f>IF(VLOOKUP(Table73[[#This Row],[Date]],Database!$A:$C,MATCH($C$1,Database!$A$1:$C$1,),)=0,#N/A,VLOOKUP(Table73[[#This Row],[Date]],Database!$A:$C,MATCH($C$1,Database!$A$1:$C$1,),))</f>
        <v/>
      </c>
      <c r="D600">
        <f>IFERROR(Table73[[#This Row],[United States 10y]]-Table73[[#This Row],[United States 2y]],#N/A)</f>
        <v/>
      </c>
    </row>
    <row r="601">
      <c r="A601" s="6">
        <f>Database!A600</f>
        <v/>
      </c>
      <c r="B601">
        <f>IF(VLOOKUP(Table73[[#This Row],[Date]],Database!$A:$E,MATCH($B$1,Database!$A$1:$E$1,),)=0,#N/A,VLOOKUP(Table73[[#This Row],[Date]],Database!$A:$E,MATCH($B$1,Database!$A$1:$E$1,),))</f>
        <v/>
      </c>
      <c r="C601">
        <f>IF(VLOOKUP(Table73[[#This Row],[Date]],Database!$A:$C,MATCH($C$1,Database!$A$1:$C$1,),)=0,#N/A,VLOOKUP(Table73[[#This Row],[Date]],Database!$A:$C,MATCH($C$1,Database!$A$1:$C$1,),))</f>
        <v/>
      </c>
      <c r="D601">
        <f>IFERROR(Table73[[#This Row],[United States 10y]]-Table73[[#This Row],[United States 2y]],#N/A)</f>
        <v/>
      </c>
    </row>
    <row r="602">
      <c r="A602" s="6">
        <f>Database!A601</f>
        <v/>
      </c>
      <c r="B602">
        <f>IF(VLOOKUP(Table73[[#This Row],[Date]],Database!$A:$E,MATCH($B$1,Database!$A$1:$E$1,),)=0,#N/A,VLOOKUP(Table73[[#This Row],[Date]],Database!$A:$E,MATCH($B$1,Database!$A$1:$E$1,),))</f>
        <v/>
      </c>
      <c r="C602">
        <f>IF(VLOOKUP(Table73[[#This Row],[Date]],Database!$A:$C,MATCH($C$1,Database!$A$1:$C$1,),)=0,#N/A,VLOOKUP(Table73[[#This Row],[Date]],Database!$A:$C,MATCH($C$1,Database!$A$1:$C$1,),))</f>
        <v/>
      </c>
      <c r="D602">
        <f>IFERROR(Table73[[#This Row],[United States 10y]]-Table73[[#This Row],[United States 2y]],#N/A)</f>
        <v/>
      </c>
    </row>
    <row r="603">
      <c r="A603" s="6">
        <f>Database!A602</f>
        <v/>
      </c>
      <c r="B603">
        <f>IF(VLOOKUP(Table73[[#This Row],[Date]],Database!$A:$E,MATCH($B$1,Database!$A$1:$E$1,),)=0,#N/A,VLOOKUP(Table73[[#This Row],[Date]],Database!$A:$E,MATCH($B$1,Database!$A$1:$E$1,),))</f>
        <v/>
      </c>
      <c r="C603">
        <f>IF(VLOOKUP(Table73[[#This Row],[Date]],Database!$A:$C,MATCH($C$1,Database!$A$1:$C$1,),)=0,#N/A,VLOOKUP(Table73[[#This Row],[Date]],Database!$A:$C,MATCH($C$1,Database!$A$1:$C$1,),))</f>
        <v/>
      </c>
      <c r="D603">
        <f>IFERROR(Table73[[#This Row],[United States 10y]]-Table73[[#This Row],[United States 2y]],#N/A)</f>
        <v/>
      </c>
    </row>
    <row r="604">
      <c r="A604" s="6">
        <f>Database!A603</f>
        <v/>
      </c>
      <c r="B604">
        <f>IF(VLOOKUP(Table73[[#This Row],[Date]],Database!$A:$E,MATCH($B$1,Database!$A$1:$E$1,),)=0,#N/A,VLOOKUP(Table73[[#This Row],[Date]],Database!$A:$E,MATCH($B$1,Database!$A$1:$E$1,),))</f>
        <v/>
      </c>
      <c r="C604">
        <f>IF(VLOOKUP(Table73[[#This Row],[Date]],Database!$A:$C,MATCH($C$1,Database!$A$1:$C$1,),)=0,#N/A,VLOOKUP(Table73[[#This Row],[Date]],Database!$A:$C,MATCH($C$1,Database!$A$1:$C$1,),))</f>
        <v/>
      </c>
      <c r="D604">
        <f>IFERROR(Table73[[#This Row],[United States 10y]]-Table73[[#This Row],[United States 2y]],#N/A)</f>
        <v/>
      </c>
    </row>
    <row r="605">
      <c r="A605" s="6">
        <f>Database!A604</f>
        <v/>
      </c>
      <c r="B605">
        <f>IF(VLOOKUP(Table73[[#This Row],[Date]],Database!$A:$E,MATCH($B$1,Database!$A$1:$E$1,),)=0,#N/A,VLOOKUP(Table73[[#This Row],[Date]],Database!$A:$E,MATCH($B$1,Database!$A$1:$E$1,),))</f>
        <v/>
      </c>
      <c r="C605">
        <f>IF(VLOOKUP(Table73[[#This Row],[Date]],Database!$A:$C,MATCH($C$1,Database!$A$1:$C$1,),)=0,#N/A,VLOOKUP(Table73[[#This Row],[Date]],Database!$A:$C,MATCH($C$1,Database!$A$1:$C$1,),))</f>
        <v/>
      </c>
      <c r="D605">
        <f>IFERROR(Table73[[#This Row],[United States 10y]]-Table73[[#This Row],[United States 2y]],#N/A)</f>
        <v/>
      </c>
    </row>
    <row r="606">
      <c r="A606" s="6">
        <f>Database!A605</f>
        <v/>
      </c>
      <c r="B606">
        <f>IF(VLOOKUP(Table73[[#This Row],[Date]],Database!$A:$E,MATCH($B$1,Database!$A$1:$E$1,),)=0,#N/A,VLOOKUP(Table73[[#This Row],[Date]],Database!$A:$E,MATCH($B$1,Database!$A$1:$E$1,),))</f>
        <v/>
      </c>
      <c r="C606">
        <f>IF(VLOOKUP(Table73[[#This Row],[Date]],Database!$A:$C,MATCH($C$1,Database!$A$1:$C$1,),)=0,#N/A,VLOOKUP(Table73[[#This Row],[Date]],Database!$A:$C,MATCH($C$1,Database!$A$1:$C$1,),))</f>
        <v/>
      </c>
      <c r="D606">
        <f>IFERROR(Table73[[#This Row],[United States 10y]]-Table73[[#This Row],[United States 2y]],#N/A)</f>
        <v/>
      </c>
    </row>
    <row r="607">
      <c r="A607" s="6">
        <f>Database!A606</f>
        <v/>
      </c>
      <c r="B607">
        <f>IF(VLOOKUP(Table73[[#This Row],[Date]],Database!$A:$E,MATCH($B$1,Database!$A$1:$E$1,),)=0,#N/A,VLOOKUP(Table73[[#This Row],[Date]],Database!$A:$E,MATCH($B$1,Database!$A$1:$E$1,),))</f>
        <v/>
      </c>
      <c r="C607">
        <f>IF(VLOOKUP(Table73[[#This Row],[Date]],Database!$A:$C,MATCH($C$1,Database!$A$1:$C$1,),)=0,#N/A,VLOOKUP(Table73[[#This Row],[Date]],Database!$A:$C,MATCH($C$1,Database!$A$1:$C$1,),))</f>
        <v/>
      </c>
      <c r="D607">
        <f>IFERROR(Table73[[#This Row],[United States 10y]]-Table73[[#This Row],[United States 2y]],#N/A)</f>
        <v/>
      </c>
    </row>
    <row r="608">
      <c r="A608" s="6">
        <f>Database!A607</f>
        <v/>
      </c>
      <c r="B608">
        <f>IF(VLOOKUP(Table73[[#This Row],[Date]],Database!$A:$E,MATCH($B$1,Database!$A$1:$E$1,),)=0,#N/A,VLOOKUP(Table73[[#This Row],[Date]],Database!$A:$E,MATCH($B$1,Database!$A$1:$E$1,),))</f>
        <v/>
      </c>
      <c r="C608">
        <f>IF(VLOOKUP(Table73[[#This Row],[Date]],Database!$A:$C,MATCH($C$1,Database!$A$1:$C$1,),)=0,#N/A,VLOOKUP(Table73[[#This Row],[Date]],Database!$A:$C,MATCH($C$1,Database!$A$1:$C$1,),))</f>
        <v/>
      </c>
      <c r="D608">
        <f>IFERROR(Table73[[#This Row],[United States 10y]]-Table73[[#This Row],[United States 2y]],#N/A)</f>
        <v/>
      </c>
    </row>
    <row r="609">
      <c r="A609" s="6">
        <f>Database!A608</f>
        <v/>
      </c>
      <c r="B609">
        <f>IF(VLOOKUP(Table73[[#This Row],[Date]],Database!$A:$E,MATCH($B$1,Database!$A$1:$E$1,),)=0,#N/A,VLOOKUP(Table73[[#This Row],[Date]],Database!$A:$E,MATCH($B$1,Database!$A$1:$E$1,),))</f>
        <v/>
      </c>
      <c r="C609">
        <f>IF(VLOOKUP(Table73[[#This Row],[Date]],Database!$A:$C,MATCH($C$1,Database!$A$1:$C$1,),)=0,#N/A,VLOOKUP(Table73[[#This Row],[Date]],Database!$A:$C,MATCH($C$1,Database!$A$1:$C$1,),))</f>
        <v/>
      </c>
      <c r="D609">
        <f>IFERROR(Table73[[#This Row],[United States 10y]]-Table73[[#This Row],[United States 2y]],#N/A)</f>
        <v/>
      </c>
    </row>
    <row r="610">
      <c r="A610" s="6">
        <f>Database!A609</f>
        <v/>
      </c>
      <c r="B610">
        <f>IF(VLOOKUP(Table73[[#This Row],[Date]],Database!$A:$E,MATCH($B$1,Database!$A$1:$E$1,),)=0,#N/A,VLOOKUP(Table73[[#This Row],[Date]],Database!$A:$E,MATCH($B$1,Database!$A$1:$E$1,),))</f>
        <v/>
      </c>
      <c r="C610">
        <f>IF(VLOOKUP(Table73[[#This Row],[Date]],Database!$A:$C,MATCH($C$1,Database!$A$1:$C$1,),)=0,#N/A,VLOOKUP(Table73[[#This Row],[Date]],Database!$A:$C,MATCH($C$1,Database!$A$1:$C$1,),))</f>
        <v/>
      </c>
      <c r="D610">
        <f>IFERROR(Table73[[#This Row],[United States 10y]]-Table73[[#This Row],[United States 2y]],#N/A)</f>
        <v/>
      </c>
    </row>
    <row r="611">
      <c r="A611" s="6">
        <f>Database!A610</f>
        <v/>
      </c>
      <c r="B611">
        <f>IF(VLOOKUP(Table73[[#This Row],[Date]],Database!$A:$E,MATCH($B$1,Database!$A$1:$E$1,),)=0,#N/A,VLOOKUP(Table73[[#This Row],[Date]],Database!$A:$E,MATCH($B$1,Database!$A$1:$E$1,),))</f>
        <v/>
      </c>
      <c r="C611">
        <f>IF(VLOOKUP(Table73[[#This Row],[Date]],Database!$A:$C,MATCH($C$1,Database!$A$1:$C$1,),)=0,#N/A,VLOOKUP(Table73[[#This Row],[Date]],Database!$A:$C,MATCH($C$1,Database!$A$1:$C$1,),))</f>
        <v/>
      </c>
      <c r="D611">
        <f>IFERROR(Table73[[#This Row],[United States 10y]]-Table73[[#This Row],[United States 2y]],#N/A)</f>
        <v/>
      </c>
    </row>
    <row r="612">
      <c r="A612" s="6">
        <f>Database!A611</f>
        <v/>
      </c>
      <c r="B612">
        <f>IF(VLOOKUP(Table73[[#This Row],[Date]],Database!$A:$E,MATCH($B$1,Database!$A$1:$E$1,),)=0,#N/A,VLOOKUP(Table73[[#This Row],[Date]],Database!$A:$E,MATCH($B$1,Database!$A$1:$E$1,),))</f>
        <v/>
      </c>
      <c r="C612">
        <f>IF(VLOOKUP(Table73[[#This Row],[Date]],Database!$A:$C,MATCH($C$1,Database!$A$1:$C$1,),)=0,#N/A,VLOOKUP(Table73[[#This Row],[Date]],Database!$A:$C,MATCH($C$1,Database!$A$1:$C$1,),))</f>
        <v/>
      </c>
      <c r="D612">
        <f>IFERROR(Table73[[#This Row],[United States 10y]]-Table73[[#This Row],[United States 2y]],#N/A)</f>
        <v/>
      </c>
    </row>
    <row r="613">
      <c r="A613" s="6">
        <f>Database!A612</f>
        <v/>
      </c>
      <c r="B613">
        <f>IF(VLOOKUP(Table73[[#This Row],[Date]],Database!$A:$E,MATCH($B$1,Database!$A$1:$E$1,),)=0,#N/A,VLOOKUP(Table73[[#This Row],[Date]],Database!$A:$E,MATCH($B$1,Database!$A$1:$E$1,),))</f>
        <v/>
      </c>
      <c r="C613">
        <f>IF(VLOOKUP(Table73[[#This Row],[Date]],Database!$A:$C,MATCH($C$1,Database!$A$1:$C$1,),)=0,#N/A,VLOOKUP(Table73[[#This Row],[Date]],Database!$A:$C,MATCH($C$1,Database!$A$1:$C$1,),))</f>
        <v/>
      </c>
      <c r="D613">
        <f>IFERROR(Table73[[#This Row],[United States 10y]]-Table73[[#This Row],[United States 2y]],#N/A)</f>
        <v/>
      </c>
    </row>
    <row r="614">
      <c r="A614" s="6">
        <f>Database!A613</f>
        <v/>
      </c>
      <c r="B614">
        <f>IF(VLOOKUP(Table73[[#This Row],[Date]],Database!$A:$E,MATCH($B$1,Database!$A$1:$E$1,),)=0,#N/A,VLOOKUP(Table73[[#This Row],[Date]],Database!$A:$E,MATCH($B$1,Database!$A$1:$E$1,),))</f>
        <v/>
      </c>
      <c r="C614">
        <f>IF(VLOOKUP(Table73[[#This Row],[Date]],Database!$A:$C,MATCH($C$1,Database!$A$1:$C$1,),)=0,#N/A,VLOOKUP(Table73[[#This Row],[Date]],Database!$A:$C,MATCH($C$1,Database!$A$1:$C$1,),))</f>
        <v/>
      </c>
      <c r="D614">
        <f>IFERROR(Table73[[#This Row],[United States 10y]]-Table73[[#This Row],[United States 2y]],#N/A)</f>
        <v/>
      </c>
    </row>
    <row r="615">
      <c r="A615" s="6">
        <f>Database!A614</f>
        <v/>
      </c>
      <c r="B615">
        <f>IF(VLOOKUP(Table73[[#This Row],[Date]],Database!$A:$E,MATCH($B$1,Database!$A$1:$E$1,),)=0,#N/A,VLOOKUP(Table73[[#This Row],[Date]],Database!$A:$E,MATCH($B$1,Database!$A$1:$E$1,),))</f>
        <v/>
      </c>
      <c r="C615">
        <f>IF(VLOOKUP(Table73[[#This Row],[Date]],Database!$A:$C,MATCH($C$1,Database!$A$1:$C$1,),)=0,#N/A,VLOOKUP(Table73[[#This Row],[Date]],Database!$A:$C,MATCH($C$1,Database!$A$1:$C$1,),))</f>
        <v/>
      </c>
      <c r="D615">
        <f>IFERROR(Table73[[#This Row],[United States 10y]]-Table73[[#This Row],[United States 2y]],#N/A)</f>
        <v/>
      </c>
    </row>
    <row r="616">
      <c r="A616" s="6">
        <f>Database!A615</f>
        <v/>
      </c>
      <c r="B616">
        <f>IF(VLOOKUP(Table73[[#This Row],[Date]],Database!$A:$E,MATCH($B$1,Database!$A$1:$E$1,),)=0,#N/A,VLOOKUP(Table73[[#This Row],[Date]],Database!$A:$E,MATCH($B$1,Database!$A$1:$E$1,),))</f>
        <v/>
      </c>
      <c r="C616">
        <f>IF(VLOOKUP(Table73[[#This Row],[Date]],Database!$A:$C,MATCH($C$1,Database!$A$1:$C$1,),)=0,#N/A,VLOOKUP(Table73[[#This Row],[Date]],Database!$A:$C,MATCH($C$1,Database!$A$1:$C$1,),))</f>
        <v/>
      </c>
      <c r="D616">
        <f>IFERROR(Table73[[#This Row],[United States 10y]]-Table73[[#This Row],[United States 2y]],#N/A)</f>
        <v/>
      </c>
    </row>
    <row r="617">
      <c r="A617" s="6">
        <f>Database!A616</f>
        <v/>
      </c>
      <c r="B617">
        <f>IF(VLOOKUP(Table73[[#This Row],[Date]],Database!$A:$E,MATCH($B$1,Database!$A$1:$E$1,),)=0,#N/A,VLOOKUP(Table73[[#This Row],[Date]],Database!$A:$E,MATCH($B$1,Database!$A$1:$E$1,),))</f>
        <v/>
      </c>
      <c r="C617">
        <f>IF(VLOOKUP(Table73[[#This Row],[Date]],Database!$A:$C,MATCH($C$1,Database!$A$1:$C$1,),)=0,#N/A,VLOOKUP(Table73[[#This Row],[Date]],Database!$A:$C,MATCH($C$1,Database!$A$1:$C$1,),))</f>
        <v/>
      </c>
      <c r="D617">
        <f>IFERROR(Table73[[#This Row],[United States 10y]]-Table73[[#This Row],[United States 2y]],#N/A)</f>
        <v/>
      </c>
    </row>
    <row r="618">
      <c r="A618" s="6">
        <f>Database!A617</f>
        <v/>
      </c>
      <c r="B618">
        <f>IF(VLOOKUP(Table73[[#This Row],[Date]],Database!$A:$E,MATCH($B$1,Database!$A$1:$E$1,),)=0,#N/A,VLOOKUP(Table73[[#This Row],[Date]],Database!$A:$E,MATCH($B$1,Database!$A$1:$E$1,),))</f>
        <v/>
      </c>
      <c r="C618">
        <f>IF(VLOOKUP(Table73[[#This Row],[Date]],Database!$A:$C,MATCH($C$1,Database!$A$1:$C$1,),)=0,#N/A,VLOOKUP(Table73[[#This Row],[Date]],Database!$A:$C,MATCH($C$1,Database!$A$1:$C$1,),))</f>
        <v/>
      </c>
      <c r="D618">
        <f>IFERROR(Table73[[#This Row],[United States 10y]]-Table73[[#This Row],[United States 2y]],#N/A)</f>
        <v/>
      </c>
    </row>
    <row r="619">
      <c r="A619" s="6">
        <f>Database!A618</f>
        <v/>
      </c>
      <c r="B619">
        <f>IF(VLOOKUP(Table73[[#This Row],[Date]],Database!$A:$E,MATCH($B$1,Database!$A$1:$E$1,),)=0,#N/A,VLOOKUP(Table73[[#This Row],[Date]],Database!$A:$E,MATCH($B$1,Database!$A$1:$E$1,),))</f>
        <v/>
      </c>
      <c r="C619">
        <f>IF(VLOOKUP(Table73[[#This Row],[Date]],Database!$A:$C,MATCH($C$1,Database!$A$1:$C$1,),)=0,#N/A,VLOOKUP(Table73[[#This Row],[Date]],Database!$A:$C,MATCH($C$1,Database!$A$1:$C$1,),))</f>
        <v/>
      </c>
      <c r="D619">
        <f>IFERROR(Table73[[#This Row],[United States 10y]]-Table73[[#This Row],[United States 2y]],#N/A)</f>
        <v/>
      </c>
    </row>
    <row r="620">
      <c r="A620" s="6">
        <f>Database!A619</f>
        <v/>
      </c>
      <c r="B620">
        <f>IF(VLOOKUP(Table73[[#This Row],[Date]],Database!$A:$E,MATCH($B$1,Database!$A$1:$E$1,),)=0,#N/A,VLOOKUP(Table73[[#This Row],[Date]],Database!$A:$E,MATCH($B$1,Database!$A$1:$E$1,),))</f>
        <v/>
      </c>
      <c r="C620">
        <f>IF(VLOOKUP(Table73[[#This Row],[Date]],Database!$A:$C,MATCH($C$1,Database!$A$1:$C$1,),)=0,#N/A,VLOOKUP(Table73[[#This Row],[Date]],Database!$A:$C,MATCH($C$1,Database!$A$1:$C$1,),))</f>
        <v/>
      </c>
      <c r="D620">
        <f>IFERROR(Table73[[#This Row],[United States 10y]]-Table73[[#This Row],[United States 2y]],#N/A)</f>
        <v/>
      </c>
    </row>
    <row r="621">
      <c r="A621" s="6">
        <f>Database!A620</f>
        <v/>
      </c>
      <c r="B621">
        <f>IF(VLOOKUP(Table73[[#This Row],[Date]],Database!$A:$E,MATCH($B$1,Database!$A$1:$E$1,),)=0,#N/A,VLOOKUP(Table73[[#This Row],[Date]],Database!$A:$E,MATCH($B$1,Database!$A$1:$E$1,),))</f>
        <v/>
      </c>
      <c r="C621">
        <f>IF(VLOOKUP(Table73[[#This Row],[Date]],Database!$A:$C,MATCH($C$1,Database!$A$1:$C$1,),)=0,#N/A,VLOOKUP(Table73[[#This Row],[Date]],Database!$A:$C,MATCH($C$1,Database!$A$1:$C$1,),))</f>
        <v/>
      </c>
      <c r="D621">
        <f>IFERROR(Table73[[#This Row],[United States 10y]]-Table73[[#This Row],[United States 2y]],#N/A)</f>
        <v/>
      </c>
    </row>
    <row r="622">
      <c r="A622" s="6">
        <f>Database!A621</f>
        <v/>
      </c>
      <c r="B622">
        <f>IF(VLOOKUP(Table73[[#This Row],[Date]],Database!$A:$E,MATCH($B$1,Database!$A$1:$E$1,),)=0,#N/A,VLOOKUP(Table73[[#This Row],[Date]],Database!$A:$E,MATCH($B$1,Database!$A$1:$E$1,),))</f>
        <v/>
      </c>
      <c r="C622">
        <f>IF(VLOOKUP(Table73[[#This Row],[Date]],Database!$A:$C,MATCH($C$1,Database!$A$1:$C$1,),)=0,#N/A,VLOOKUP(Table73[[#This Row],[Date]],Database!$A:$C,MATCH($C$1,Database!$A$1:$C$1,),))</f>
        <v/>
      </c>
      <c r="D622">
        <f>IFERROR(Table73[[#This Row],[United States 10y]]-Table73[[#This Row],[United States 2y]],#N/A)</f>
        <v/>
      </c>
    </row>
    <row r="623">
      <c r="A623" s="6">
        <f>Database!A622</f>
        <v/>
      </c>
      <c r="B623">
        <f>IF(VLOOKUP(Table73[[#This Row],[Date]],Database!$A:$E,MATCH($B$1,Database!$A$1:$E$1,),)=0,#N/A,VLOOKUP(Table73[[#This Row],[Date]],Database!$A:$E,MATCH($B$1,Database!$A$1:$E$1,),))</f>
        <v/>
      </c>
      <c r="C623">
        <f>IF(VLOOKUP(Table73[[#This Row],[Date]],Database!$A:$C,MATCH($C$1,Database!$A$1:$C$1,),)=0,#N/A,VLOOKUP(Table73[[#This Row],[Date]],Database!$A:$C,MATCH($C$1,Database!$A$1:$C$1,),))</f>
        <v/>
      </c>
      <c r="D623">
        <f>IFERROR(Table73[[#This Row],[United States 10y]]-Table73[[#This Row],[United States 2y]],#N/A)</f>
        <v/>
      </c>
    </row>
    <row r="624">
      <c r="A624" s="6">
        <f>Database!A623</f>
        <v/>
      </c>
      <c r="B624">
        <f>IF(VLOOKUP(Table73[[#This Row],[Date]],Database!$A:$E,MATCH($B$1,Database!$A$1:$E$1,),)=0,#N/A,VLOOKUP(Table73[[#This Row],[Date]],Database!$A:$E,MATCH($B$1,Database!$A$1:$E$1,),))</f>
        <v/>
      </c>
      <c r="C624">
        <f>IF(VLOOKUP(Table73[[#This Row],[Date]],Database!$A:$C,MATCH($C$1,Database!$A$1:$C$1,),)=0,#N/A,VLOOKUP(Table73[[#This Row],[Date]],Database!$A:$C,MATCH($C$1,Database!$A$1:$C$1,),))</f>
        <v/>
      </c>
      <c r="D624">
        <f>IFERROR(Table73[[#This Row],[United States 10y]]-Table73[[#This Row],[United States 2y]],#N/A)</f>
        <v/>
      </c>
    </row>
    <row r="625">
      <c r="A625" s="6">
        <f>Database!A624</f>
        <v/>
      </c>
      <c r="B625">
        <f>IF(VLOOKUP(Table73[[#This Row],[Date]],Database!$A:$E,MATCH($B$1,Database!$A$1:$E$1,),)=0,#N/A,VLOOKUP(Table73[[#This Row],[Date]],Database!$A:$E,MATCH($B$1,Database!$A$1:$E$1,),))</f>
        <v/>
      </c>
      <c r="C625">
        <f>IF(VLOOKUP(Table73[[#This Row],[Date]],Database!$A:$C,MATCH($C$1,Database!$A$1:$C$1,),)=0,#N/A,VLOOKUP(Table73[[#This Row],[Date]],Database!$A:$C,MATCH($C$1,Database!$A$1:$C$1,),))</f>
        <v/>
      </c>
      <c r="D625">
        <f>IFERROR(Table73[[#This Row],[United States 10y]]-Table73[[#This Row],[United States 2y]],#N/A)</f>
        <v/>
      </c>
    </row>
    <row r="626">
      <c r="A626" s="6">
        <f>Database!A625</f>
        <v/>
      </c>
      <c r="B626">
        <f>IF(VLOOKUP(Table73[[#This Row],[Date]],Database!$A:$E,MATCH($B$1,Database!$A$1:$E$1,),)=0,#N/A,VLOOKUP(Table73[[#This Row],[Date]],Database!$A:$E,MATCH($B$1,Database!$A$1:$E$1,),))</f>
        <v/>
      </c>
      <c r="C626">
        <f>IF(VLOOKUP(Table73[[#This Row],[Date]],Database!$A:$C,MATCH($C$1,Database!$A$1:$C$1,),)=0,#N/A,VLOOKUP(Table73[[#This Row],[Date]],Database!$A:$C,MATCH($C$1,Database!$A$1:$C$1,),))</f>
        <v/>
      </c>
      <c r="D626">
        <f>IFERROR(Table73[[#This Row],[United States 10y]]-Table73[[#This Row],[United States 2y]],#N/A)</f>
        <v/>
      </c>
    </row>
    <row r="627">
      <c r="A627" s="6">
        <f>Database!A626</f>
        <v/>
      </c>
      <c r="B627">
        <f>IF(VLOOKUP(Table73[[#This Row],[Date]],Database!$A:$E,MATCH($B$1,Database!$A$1:$E$1,),)=0,#N/A,VLOOKUP(Table73[[#This Row],[Date]],Database!$A:$E,MATCH($B$1,Database!$A$1:$E$1,),))</f>
        <v/>
      </c>
      <c r="C627">
        <f>IF(VLOOKUP(Table73[[#This Row],[Date]],Database!$A:$C,MATCH($C$1,Database!$A$1:$C$1,),)=0,#N/A,VLOOKUP(Table73[[#This Row],[Date]],Database!$A:$C,MATCH($C$1,Database!$A$1:$C$1,),))</f>
        <v/>
      </c>
      <c r="D627">
        <f>IFERROR(Table73[[#This Row],[United States 10y]]-Table73[[#This Row],[United States 2y]],#N/A)</f>
        <v/>
      </c>
    </row>
    <row r="628">
      <c r="A628" s="6">
        <f>Database!A627</f>
        <v/>
      </c>
      <c r="B628">
        <f>IF(VLOOKUP(Table73[[#This Row],[Date]],Database!$A:$E,MATCH($B$1,Database!$A$1:$E$1,),)=0,#N/A,VLOOKUP(Table73[[#This Row],[Date]],Database!$A:$E,MATCH($B$1,Database!$A$1:$E$1,),))</f>
        <v/>
      </c>
      <c r="C628">
        <f>IF(VLOOKUP(Table73[[#This Row],[Date]],Database!$A:$C,MATCH($C$1,Database!$A$1:$C$1,),)=0,#N/A,VLOOKUP(Table73[[#This Row],[Date]],Database!$A:$C,MATCH($C$1,Database!$A$1:$C$1,),))</f>
        <v/>
      </c>
      <c r="D628">
        <f>IFERROR(Table73[[#This Row],[United States 10y]]-Table73[[#This Row],[United States 2y]],#N/A)</f>
        <v/>
      </c>
    </row>
    <row r="629">
      <c r="A629" s="6">
        <f>Database!A628</f>
        <v/>
      </c>
      <c r="B629">
        <f>IF(VLOOKUP(Table73[[#This Row],[Date]],Database!$A:$E,MATCH($B$1,Database!$A$1:$E$1,),)=0,#N/A,VLOOKUP(Table73[[#This Row],[Date]],Database!$A:$E,MATCH($B$1,Database!$A$1:$E$1,),))</f>
        <v/>
      </c>
      <c r="C629">
        <f>IF(VLOOKUP(Table73[[#This Row],[Date]],Database!$A:$C,MATCH($C$1,Database!$A$1:$C$1,),)=0,#N/A,VLOOKUP(Table73[[#This Row],[Date]],Database!$A:$C,MATCH($C$1,Database!$A$1:$C$1,),))</f>
        <v/>
      </c>
      <c r="D629">
        <f>IFERROR(Table73[[#This Row],[United States 10y]]-Table73[[#This Row],[United States 2y]],#N/A)</f>
        <v/>
      </c>
    </row>
    <row r="630">
      <c r="A630" s="6">
        <f>Database!A629</f>
        <v/>
      </c>
      <c r="B630">
        <f>IF(VLOOKUP(Table73[[#This Row],[Date]],Database!$A:$E,MATCH($B$1,Database!$A$1:$E$1,),)=0,#N/A,VLOOKUP(Table73[[#This Row],[Date]],Database!$A:$E,MATCH($B$1,Database!$A$1:$E$1,),))</f>
        <v/>
      </c>
      <c r="C630">
        <f>IF(VLOOKUP(Table73[[#This Row],[Date]],Database!$A:$C,MATCH($C$1,Database!$A$1:$C$1,),)=0,#N/A,VLOOKUP(Table73[[#This Row],[Date]],Database!$A:$C,MATCH($C$1,Database!$A$1:$C$1,),))</f>
        <v/>
      </c>
      <c r="D630">
        <f>IFERROR(Table73[[#This Row],[United States 10y]]-Table73[[#This Row],[United States 2y]],#N/A)</f>
        <v/>
      </c>
    </row>
    <row r="631">
      <c r="A631" s="6">
        <f>Database!A630</f>
        <v/>
      </c>
      <c r="B631">
        <f>IF(VLOOKUP(Table73[[#This Row],[Date]],Database!$A:$E,MATCH($B$1,Database!$A$1:$E$1,),)=0,#N/A,VLOOKUP(Table73[[#This Row],[Date]],Database!$A:$E,MATCH($B$1,Database!$A$1:$E$1,),))</f>
        <v/>
      </c>
      <c r="C631">
        <f>IF(VLOOKUP(Table73[[#This Row],[Date]],Database!$A:$C,MATCH($C$1,Database!$A$1:$C$1,),)=0,#N/A,VLOOKUP(Table73[[#This Row],[Date]],Database!$A:$C,MATCH($C$1,Database!$A$1:$C$1,),))</f>
        <v/>
      </c>
      <c r="D631">
        <f>IFERROR(Table73[[#This Row],[United States 10y]]-Table73[[#This Row],[United States 2y]],#N/A)</f>
        <v/>
      </c>
    </row>
    <row r="632">
      <c r="A632" s="6">
        <f>Database!A631</f>
        <v/>
      </c>
      <c r="B632">
        <f>IF(VLOOKUP(Table73[[#This Row],[Date]],Database!$A:$E,MATCH($B$1,Database!$A$1:$E$1,),)=0,#N/A,VLOOKUP(Table73[[#This Row],[Date]],Database!$A:$E,MATCH($B$1,Database!$A$1:$E$1,),))</f>
        <v/>
      </c>
      <c r="C632">
        <f>IF(VLOOKUP(Table73[[#This Row],[Date]],Database!$A:$C,MATCH($C$1,Database!$A$1:$C$1,),)=0,#N/A,VLOOKUP(Table73[[#This Row],[Date]],Database!$A:$C,MATCH($C$1,Database!$A$1:$C$1,),))</f>
        <v/>
      </c>
      <c r="D632">
        <f>IFERROR(Table73[[#This Row],[United States 10y]]-Table73[[#This Row],[United States 2y]],#N/A)</f>
        <v/>
      </c>
    </row>
    <row r="633">
      <c r="A633" s="6">
        <f>Database!A632</f>
        <v/>
      </c>
      <c r="B633">
        <f>IF(VLOOKUP(Table73[[#This Row],[Date]],Database!$A:$E,MATCH($B$1,Database!$A$1:$E$1,),)=0,#N/A,VLOOKUP(Table73[[#This Row],[Date]],Database!$A:$E,MATCH($B$1,Database!$A$1:$E$1,),))</f>
        <v/>
      </c>
      <c r="C633">
        <f>IF(VLOOKUP(Table73[[#This Row],[Date]],Database!$A:$C,MATCH($C$1,Database!$A$1:$C$1,),)=0,#N/A,VLOOKUP(Table73[[#This Row],[Date]],Database!$A:$C,MATCH($C$1,Database!$A$1:$C$1,),))</f>
        <v/>
      </c>
      <c r="D633">
        <f>IFERROR(Table73[[#This Row],[United States 10y]]-Table73[[#This Row],[United States 2y]],#N/A)</f>
        <v/>
      </c>
    </row>
    <row r="634">
      <c r="A634" s="6">
        <f>Database!A633</f>
        <v/>
      </c>
      <c r="B634">
        <f>IF(VLOOKUP(Table73[[#This Row],[Date]],Database!$A:$E,MATCH($B$1,Database!$A$1:$E$1,),)=0,#N/A,VLOOKUP(Table73[[#This Row],[Date]],Database!$A:$E,MATCH($B$1,Database!$A$1:$E$1,),))</f>
        <v/>
      </c>
      <c r="C634">
        <f>IF(VLOOKUP(Table73[[#This Row],[Date]],Database!$A:$C,MATCH($C$1,Database!$A$1:$C$1,),)=0,#N/A,VLOOKUP(Table73[[#This Row],[Date]],Database!$A:$C,MATCH($C$1,Database!$A$1:$C$1,),))</f>
        <v/>
      </c>
      <c r="D634">
        <f>IFERROR(Table73[[#This Row],[United States 10y]]-Table73[[#This Row],[United States 2y]],#N/A)</f>
        <v/>
      </c>
    </row>
    <row r="635">
      <c r="A635" s="6">
        <f>Database!A634</f>
        <v/>
      </c>
      <c r="B635">
        <f>IF(VLOOKUP(Table73[[#This Row],[Date]],Database!$A:$E,MATCH($B$1,Database!$A$1:$E$1,),)=0,#N/A,VLOOKUP(Table73[[#This Row],[Date]],Database!$A:$E,MATCH($B$1,Database!$A$1:$E$1,),))</f>
        <v/>
      </c>
      <c r="C635">
        <f>IF(VLOOKUP(Table73[[#This Row],[Date]],Database!$A:$C,MATCH($C$1,Database!$A$1:$C$1,),)=0,#N/A,VLOOKUP(Table73[[#This Row],[Date]],Database!$A:$C,MATCH($C$1,Database!$A$1:$C$1,),))</f>
        <v/>
      </c>
      <c r="D635">
        <f>IFERROR(Table73[[#This Row],[United States 10y]]-Table73[[#This Row],[United States 2y]],#N/A)</f>
        <v/>
      </c>
    </row>
    <row r="636">
      <c r="A636" s="6">
        <f>Database!A635</f>
        <v/>
      </c>
      <c r="B636">
        <f>IF(VLOOKUP(Table73[[#This Row],[Date]],Database!$A:$E,MATCH($B$1,Database!$A$1:$E$1,),)=0,#N/A,VLOOKUP(Table73[[#This Row],[Date]],Database!$A:$E,MATCH($B$1,Database!$A$1:$E$1,),))</f>
        <v/>
      </c>
      <c r="C636">
        <f>IF(VLOOKUP(Table73[[#This Row],[Date]],Database!$A:$C,MATCH($C$1,Database!$A$1:$C$1,),)=0,#N/A,VLOOKUP(Table73[[#This Row],[Date]],Database!$A:$C,MATCH($C$1,Database!$A$1:$C$1,),))</f>
        <v/>
      </c>
      <c r="D636">
        <f>IFERROR(Table73[[#This Row],[United States 10y]]-Table73[[#This Row],[United States 2y]],#N/A)</f>
        <v/>
      </c>
    </row>
    <row r="637">
      <c r="A637" s="6">
        <f>Database!A636</f>
        <v/>
      </c>
      <c r="B637">
        <f>IF(VLOOKUP(Table73[[#This Row],[Date]],Database!$A:$E,MATCH($B$1,Database!$A$1:$E$1,),)=0,#N/A,VLOOKUP(Table73[[#This Row],[Date]],Database!$A:$E,MATCH($B$1,Database!$A$1:$E$1,),))</f>
        <v/>
      </c>
      <c r="C637">
        <f>IF(VLOOKUP(Table73[[#This Row],[Date]],Database!$A:$C,MATCH($C$1,Database!$A$1:$C$1,),)=0,#N/A,VLOOKUP(Table73[[#This Row],[Date]],Database!$A:$C,MATCH($C$1,Database!$A$1:$C$1,),))</f>
        <v/>
      </c>
      <c r="D637">
        <f>IFERROR(Table73[[#This Row],[United States 10y]]-Table73[[#This Row],[United States 2y]],#N/A)</f>
        <v/>
      </c>
    </row>
    <row r="638">
      <c r="A638" s="6">
        <f>Database!A637</f>
        <v/>
      </c>
      <c r="B638">
        <f>IF(VLOOKUP(Table73[[#This Row],[Date]],Database!$A:$E,MATCH($B$1,Database!$A$1:$E$1,),)=0,#N/A,VLOOKUP(Table73[[#This Row],[Date]],Database!$A:$E,MATCH($B$1,Database!$A$1:$E$1,),))</f>
        <v/>
      </c>
      <c r="C638">
        <f>IF(VLOOKUP(Table73[[#This Row],[Date]],Database!$A:$C,MATCH($C$1,Database!$A$1:$C$1,),)=0,#N/A,VLOOKUP(Table73[[#This Row],[Date]],Database!$A:$C,MATCH($C$1,Database!$A$1:$C$1,),))</f>
        <v/>
      </c>
      <c r="D638">
        <f>IFERROR(Table73[[#This Row],[United States 10y]]-Table73[[#This Row],[United States 2y]],#N/A)</f>
        <v/>
      </c>
    </row>
    <row r="639">
      <c r="A639" s="6">
        <f>Database!A638</f>
        <v/>
      </c>
      <c r="B639">
        <f>IF(VLOOKUP(Table73[[#This Row],[Date]],Database!$A:$E,MATCH($B$1,Database!$A$1:$E$1,),)=0,#N/A,VLOOKUP(Table73[[#This Row],[Date]],Database!$A:$E,MATCH($B$1,Database!$A$1:$E$1,),))</f>
        <v/>
      </c>
      <c r="C639">
        <f>IF(VLOOKUP(Table73[[#This Row],[Date]],Database!$A:$C,MATCH($C$1,Database!$A$1:$C$1,),)=0,#N/A,VLOOKUP(Table73[[#This Row],[Date]],Database!$A:$C,MATCH($C$1,Database!$A$1:$C$1,),))</f>
        <v/>
      </c>
      <c r="D639">
        <f>IFERROR(Table73[[#This Row],[United States 10y]]-Table73[[#This Row],[United States 2y]],#N/A)</f>
        <v/>
      </c>
    </row>
    <row r="640">
      <c r="A640" s="6">
        <f>Database!A639</f>
        <v/>
      </c>
      <c r="B640">
        <f>IF(VLOOKUP(Table73[[#This Row],[Date]],Database!$A:$E,MATCH($B$1,Database!$A$1:$E$1,),)=0,#N/A,VLOOKUP(Table73[[#This Row],[Date]],Database!$A:$E,MATCH($B$1,Database!$A$1:$E$1,),))</f>
        <v/>
      </c>
      <c r="C640">
        <f>IF(VLOOKUP(Table73[[#This Row],[Date]],Database!$A:$C,MATCH($C$1,Database!$A$1:$C$1,),)=0,#N/A,VLOOKUP(Table73[[#This Row],[Date]],Database!$A:$C,MATCH($C$1,Database!$A$1:$C$1,),))</f>
        <v/>
      </c>
      <c r="D640">
        <f>IFERROR(Table73[[#This Row],[United States 10y]]-Table73[[#This Row],[United States 2y]],#N/A)</f>
        <v/>
      </c>
    </row>
    <row r="641">
      <c r="A641" s="6">
        <f>Database!A640</f>
        <v/>
      </c>
      <c r="B641">
        <f>IF(VLOOKUP(Table73[[#This Row],[Date]],Database!$A:$E,MATCH($B$1,Database!$A$1:$E$1,),)=0,#N/A,VLOOKUP(Table73[[#This Row],[Date]],Database!$A:$E,MATCH($B$1,Database!$A$1:$E$1,),))</f>
        <v/>
      </c>
      <c r="C641">
        <f>IF(VLOOKUP(Table73[[#This Row],[Date]],Database!$A:$C,MATCH($C$1,Database!$A$1:$C$1,),)=0,#N/A,VLOOKUP(Table73[[#This Row],[Date]],Database!$A:$C,MATCH($C$1,Database!$A$1:$C$1,),))</f>
        <v/>
      </c>
      <c r="D641">
        <f>IFERROR(Table73[[#This Row],[United States 10y]]-Table73[[#This Row],[United States 2y]],#N/A)</f>
        <v/>
      </c>
    </row>
    <row r="642">
      <c r="A642" s="6">
        <f>Database!A641</f>
        <v/>
      </c>
      <c r="B642">
        <f>IF(VLOOKUP(Table73[[#This Row],[Date]],Database!$A:$E,MATCH($B$1,Database!$A$1:$E$1,),)=0,#N/A,VLOOKUP(Table73[[#This Row],[Date]],Database!$A:$E,MATCH($B$1,Database!$A$1:$E$1,),))</f>
        <v/>
      </c>
      <c r="C642">
        <f>IF(VLOOKUP(Table73[[#This Row],[Date]],Database!$A:$C,MATCH($C$1,Database!$A$1:$C$1,),)=0,#N/A,VLOOKUP(Table73[[#This Row],[Date]],Database!$A:$C,MATCH($C$1,Database!$A$1:$C$1,),))</f>
        <v/>
      </c>
      <c r="D642">
        <f>IFERROR(Table73[[#This Row],[United States 10y]]-Table73[[#This Row],[United States 2y]],#N/A)</f>
        <v/>
      </c>
    </row>
    <row r="643">
      <c r="A643" s="6">
        <f>Database!A642</f>
        <v/>
      </c>
      <c r="B643">
        <f>IF(VLOOKUP(Table73[[#This Row],[Date]],Database!$A:$E,MATCH($B$1,Database!$A$1:$E$1,),)=0,#N/A,VLOOKUP(Table73[[#This Row],[Date]],Database!$A:$E,MATCH($B$1,Database!$A$1:$E$1,),))</f>
        <v/>
      </c>
      <c r="C643">
        <f>IF(VLOOKUP(Table73[[#This Row],[Date]],Database!$A:$C,MATCH($C$1,Database!$A$1:$C$1,),)=0,#N/A,VLOOKUP(Table73[[#This Row],[Date]],Database!$A:$C,MATCH($C$1,Database!$A$1:$C$1,),))</f>
        <v/>
      </c>
      <c r="D643">
        <f>IFERROR(Table73[[#This Row],[United States 10y]]-Table73[[#This Row],[United States 2y]],#N/A)</f>
        <v/>
      </c>
    </row>
    <row r="644">
      <c r="A644" s="6">
        <f>Database!A643</f>
        <v/>
      </c>
      <c r="B644">
        <f>IF(VLOOKUP(Table73[[#This Row],[Date]],Database!$A:$E,MATCH($B$1,Database!$A$1:$E$1,),)=0,#N/A,VLOOKUP(Table73[[#This Row],[Date]],Database!$A:$E,MATCH($B$1,Database!$A$1:$E$1,),))</f>
        <v/>
      </c>
      <c r="C644">
        <f>IF(VLOOKUP(Table73[[#This Row],[Date]],Database!$A:$C,MATCH($C$1,Database!$A$1:$C$1,),)=0,#N/A,VLOOKUP(Table73[[#This Row],[Date]],Database!$A:$C,MATCH($C$1,Database!$A$1:$C$1,),))</f>
        <v/>
      </c>
      <c r="D644">
        <f>IFERROR(Table73[[#This Row],[United States 10y]]-Table73[[#This Row],[United States 2y]],#N/A)</f>
        <v/>
      </c>
    </row>
    <row r="645">
      <c r="A645" s="6">
        <f>Database!A644</f>
        <v/>
      </c>
      <c r="B645">
        <f>IF(VLOOKUP(Table73[[#This Row],[Date]],Database!$A:$E,MATCH($B$1,Database!$A$1:$E$1,),)=0,#N/A,VLOOKUP(Table73[[#This Row],[Date]],Database!$A:$E,MATCH($B$1,Database!$A$1:$E$1,),))</f>
        <v/>
      </c>
      <c r="C645">
        <f>IF(VLOOKUP(Table73[[#This Row],[Date]],Database!$A:$C,MATCH($C$1,Database!$A$1:$C$1,),)=0,#N/A,VLOOKUP(Table73[[#This Row],[Date]],Database!$A:$C,MATCH($C$1,Database!$A$1:$C$1,),))</f>
        <v/>
      </c>
      <c r="D645">
        <f>IFERROR(Table73[[#This Row],[United States 10y]]-Table73[[#This Row],[United States 2y]],#N/A)</f>
        <v/>
      </c>
    </row>
    <row r="646">
      <c r="A646" s="6">
        <f>Database!A645</f>
        <v/>
      </c>
      <c r="B646">
        <f>IF(VLOOKUP(Table73[[#This Row],[Date]],Database!$A:$E,MATCH($B$1,Database!$A$1:$E$1,),)=0,#N/A,VLOOKUP(Table73[[#This Row],[Date]],Database!$A:$E,MATCH($B$1,Database!$A$1:$E$1,),))</f>
        <v/>
      </c>
      <c r="C646">
        <f>IF(VLOOKUP(Table73[[#This Row],[Date]],Database!$A:$C,MATCH($C$1,Database!$A$1:$C$1,),)=0,#N/A,VLOOKUP(Table73[[#This Row],[Date]],Database!$A:$C,MATCH($C$1,Database!$A$1:$C$1,),))</f>
        <v/>
      </c>
      <c r="D646">
        <f>IFERROR(Table73[[#This Row],[United States 10y]]-Table73[[#This Row],[United States 2y]],#N/A)</f>
        <v/>
      </c>
    </row>
    <row r="647">
      <c r="A647" s="6">
        <f>Database!A646</f>
        <v/>
      </c>
      <c r="B647">
        <f>IF(VLOOKUP(Table73[[#This Row],[Date]],Database!$A:$E,MATCH($B$1,Database!$A$1:$E$1,),)=0,#N/A,VLOOKUP(Table73[[#This Row],[Date]],Database!$A:$E,MATCH($B$1,Database!$A$1:$E$1,),))</f>
        <v/>
      </c>
      <c r="C647">
        <f>IF(VLOOKUP(Table73[[#This Row],[Date]],Database!$A:$C,MATCH($C$1,Database!$A$1:$C$1,),)=0,#N/A,VLOOKUP(Table73[[#This Row],[Date]],Database!$A:$C,MATCH($C$1,Database!$A$1:$C$1,),))</f>
        <v/>
      </c>
      <c r="D647">
        <f>IFERROR(Table73[[#This Row],[United States 10y]]-Table73[[#This Row],[United States 2y]],#N/A)</f>
        <v/>
      </c>
    </row>
    <row r="648">
      <c r="A648" s="6">
        <f>Database!A647</f>
        <v/>
      </c>
      <c r="B648">
        <f>IF(VLOOKUP(Table73[[#This Row],[Date]],Database!$A:$E,MATCH($B$1,Database!$A$1:$E$1,),)=0,#N/A,VLOOKUP(Table73[[#This Row],[Date]],Database!$A:$E,MATCH($B$1,Database!$A$1:$E$1,),))</f>
        <v/>
      </c>
      <c r="C648">
        <f>IF(VLOOKUP(Table73[[#This Row],[Date]],Database!$A:$C,MATCH($C$1,Database!$A$1:$C$1,),)=0,#N/A,VLOOKUP(Table73[[#This Row],[Date]],Database!$A:$C,MATCH($C$1,Database!$A$1:$C$1,),))</f>
        <v/>
      </c>
      <c r="D648">
        <f>IFERROR(Table73[[#This Row],[United States 10y]]-Table73[[#This Row],[United States 2y]],#N/A)</f>
        <v/>
      </c>
    </row>
    <row r="649">
      <c r="A649" s="6">
        <f>Database!A648</f>
        <v/>
      </c>
      <c r="B649">
        <f>IF(VLOOKUP(Table73[[#This Row],[Date]],Database!$A:$E,MATCH($B$1,Database!$A$1:$E$1,),)=0,#N/A,VLOOKUP(Table73[[#This Row],[Date]],Database!$A:$E,MATCH($B$1,Database!$A$1:$E$1,),))</f>
        <v/>
      </c>
      <c r="C649">
        <f>IF(VLOOKUP(Table73[[#This Row],[Date]],Database!$A:$C,MATCH($C$1,Database!$A$1:$C$1,),)=0,#N/A,VLOOKUP(Table73[[#This Row],[Date]],Database!$A:$C,MATCH($C$1,Database!$A$1:$C$1,),))</f>
        <v/>
      </c>
      <c r="D649">
        <f>IFERROR(Table73[[#This Row],[United States 10y]]-Table73[[#This Row],[United States 2y]],#N/A)</f>
        <v/>
      </c>
    </row>
    <row r="650">
      <c r="A650" s="6">
        <f>Database!A649</f>
        <v/>
      </c>
      <c r="B650">
        <f>IF(VLOOKUP(Table73[[#This Row],[Date]],Database!$A:$E,MATCH($B$1,Database!$A$1:$E$1,),)=0,#N/A,VLOOKUP(Table73[[#This Row],[Date]],Database!$A:$E,MATCH($B$1,Database!$A$1:$E$1,),))</f>
        <v/>
      </c>
      <c r="C650">
        <f>IF(VLOOKUP(Table73[[#This Row],[Date]],Database!$A:$C,MATCH($C$1,Database!$A$1:$C$1,),)=0,#N/A,VLOOKUP(Table73[[#This Row],[Date]],Database!$A:$C,MATCH($C$1,Database!$A$1:$C$1,),))</f>
        <v/>
      </c>
      <c r="D650">
        <f>IFERROR(Table73[[#This Row],[United States 10y]]-Table73[[#This Row],[United States 2y]],#N/A)</f>
        <v/>
      </c>
    </row>
    <row r="651">
      <c r="A651" s="6">
        <f>Database!A650</f>
        <v/>
      </c>
      <c r="B651">
        <f>IF(VLOOKUP(Table73[[#This Row],[Date]],Database!$A:$E,MATCH($B$1,Database!$A$1:$E$1,),)=0,#N/A,VLOOKUP(Table73[[#This Row],[Date]],Database!$A:$E,MATCH($B$1,Database!$A$1:$E$1,),))</f>
        <v/>
      </c>
      <c r="C651">
        <f>IF(VLOOKUP(Table73[[#This Row],[Date]],Database!$A:$C,MATCH($C$1,Database!$A$1:$C$1,),)=0,#N/A,VLOOKUP(Table73[[#This Row],[Date]],Database!$A:$C,MATCH($C$1,Database!$A$1:$C$1,),))</f>
        <v/>
      </c>
      <c r="D651">
        <f>IFERROR(Table73[[#This Row],[United States 10y]]-Table73[[#This Row],[United States 2y]],#N/A)</f>
        <v/>
      </c>
    </row>
    <row r="652">
      <c r="A652" s="6">
        <f>Database!A651</f>
        <v/>
      </c>
      <c r="B652">
        <f>IF(VLOOKUP(Table73[[#This Row],[Date]],Database!$A:$E,MATCH($B$1,Database!$A$1:$E$1,),)=0,#N/A,VLOOKUP(Table73[[#This Row],[Date]],Database!$A:$E,MATCH($B$1,Database!$A$1:$E$1,),))</f>
        <v/>
      </c>
      <c r="C652">
        <f>IF(VLOOKUP(Table73[[#This Row],[Date]],Database!$A:$C,MATCH($C$1,Database!$A$1:$C$1,),)=0,#N/A,VLOOKUP(Table73[[#This Row],[Date]],Database!$A:$C,MATCH($C$1,Database!$A$1:$C$1,),))</f>
        <v/>
      </c>
      <c r="D652">
        <f>IFERROR(Table73[[#This Row],[United States 10y]]-Table73[[#This Row],[United States 2y]],#N/A)</f>
        <v/>
      </c>
    </row>
    <row r="653">
      <c r="A653" s="6">
        <f>Database!A652</f>
        <v/>
      </c>
      <c r="B653">
        <f>IF(VLOOKUP(Table73[[#This Row],[Date]],Database!$A:$E,MATCH($B$1,Database!$A$1:$E$1,),)=0,#N/A,VLOOKUP(Table73[[#This Row],[Date]],Database!$A:$E,MATCH($B$1,Database!$A$1:$E$1,),))</f>
        <v/>
      </c>
      <c r="C653">
        <f>IF(VLOOKUP(Table73[[#This Row],[Date]],Database!$A:$C,MATCH($C$1,Database!$A$1:$C$1,),)=0,#N/A,VLOOKUP(Table73[[#This Row],[Date]],Database!$A:$C,MATCH($C$1,Database!$A$1:$C$1,),))</f>
        <v/>
      </c>
      <c r="D653">
        <f>IFERROR(Table73[[#This Row],[United States 10y]]-Table73[[#This Row],[United States 2y]],#N/A)</f>
        <v/>
      </c>
    </row>
    <row r="654">
      <c r="A654" s="6">
        <f>Database!A653</f>
        <v/>
      </c>
      <c r="B654">
        <f>IF(VLOOKUP(Table73[[#This Row],[Date]],Database!$A:$E,MATCH($B$1,Database!$A$1:$E$1,),)=0,#N/A,VLOOKUP(Table73[[#This Row],[Date]],Database!$A:$E,MATCH($B$1,Database!$A$1:$E$1,),))</f>
        <v/>
      </c>
      <c r="C654">
        <f>IF(VLOOKUP(Table73[[#This Row],[Date]],Database!$A:$C,MATCH($C$1,Database!$A$1:$C$1,),)=0,#N/A,VLOOKUP(Table73[[#This Row],[Date]],Database!$A:$C,MATCH($C$1,Database!$A$1:$C$1,),))</f>
        <v/>
      </c>
      <c r="D654">
        <f>IFERROR(Table73[[#This Row],[United States 10y]]-Table73[[#This Row],[United States 2y]],#N/A)</f>
        <v/>
      </c>
    </row>
    <row r="655">
      <c r="A655" s="6">
        <f>Database!A654</f>
        <v/>
      </c>
      <c r="B655">
        <f>IF(VLOOKUP(Table73[[#This Row],[Date]],Database!$A:$E,MATCH($B$1,Database!$A$1:$E$1,),)=0,#N/A,VLOOKUP(Table73[[#This Row],[Date]],Database!$A:$E,MATCH($B$1,Database!$A$1:$E$1,),))</f>
        <v/>
      </c>
      <c r="C655">
        <f>IF(VLOOKUP(Table73[[#This Row],[Date]],Database!$A:$C,MATCH($C$1,Database!$A$1:$C$1,),)=0,#N/A,VLOOKUP(Table73[[#This Row],[Date]],Database!$A:$C,MATCH($C$1,Database!$A$1:$C$1,),))</f>
        <v/>
      </c>
      <c r="D655">
        <f>IFERROR(Table73[[#This Row],[United States 10y]]-Table73[[#This Row],[United States 2y]],#N/A)</f>
        <v/>
      </c>
    </row>
    <row r="656">
      <c r="A656" s="6">
        <f>Database!A655</f>
        <v/>
      </c>
      <c r="B656">
        <f>IF(VLOOKUP(Table73[[#This Row],[Date]],Database!$A:$E,MATCH($B$1,Database!$A$1:$E$1,),)=0,#N/A,VLOOKUP(Table73[[#This Row],[Date]],Database!$A:$E,MATCH($B$1,Database!$A$1:$E$1,),))</f>
        <v/>
      </c>
      <c r="C656">
        <f>IF(VLOOKUP(Table73[[#This Row],[Date]],Database!$A:$C,MATCH($C$1,Database!$A$1:$C$1,),)=0,#N/A,VLOOKUP(Table73[[#This Row],[Date]],Database!$A:$C,MATCH($C$1,Database!$A$1:$C$1,),))</f>
        <v/>
      </c>
      <c r="D656">
        <f>IFERROR(Table73[[#This Row],[United States 10y]]-Table73[[#This Row],[United States 2y]],#N/A)</f>
        <v/>
      </c>
    </row>
    <row r="657">
      <c r="A657" s="6">
        <f>Database!A656</f>
        <v/>
      </c>
      <c r="B657">
        <f>IF(VLOOKUP(Table73[[#This Row],[Date]],Database!$A:$E,MATCH($B$1,Database!$A$1:$E$1,),)=0,#N/A,VLOOKUP(Table73[[#This Row],[Date]],Database!$A:$E,MATCH($B$1,Database!$A$1:$E$1,),))</f>
        <v/>
      </c>
      <c r="C657">
        <f>IF(VLOOKUP(Table73[[#This Row],[Date]],Database!$A:$C,MATCH($C$1,Database!$A$1:$C$1,),)=0,#N/A,VLOOKUP(Table73[[#This Row],[Date]],Database!$A:$C,MATCH($C$1,Database!$A$1:$C$1,),))</f>
        <v/>
      </c>
      <c r="D657">
        <f>IFERROR(Table73[[#This Row],[United States 10y]]-Table73[[#This Row],[United States 2y]],#N/A)</f>
        <v/>
      </c>
    </row>
    <row r="658">
      <c r="A658" s="6">
        <f>Database!A657</f>
        <v/>
      </c>
      <c r="B658">
        <f>IF(VLOOKUP(Table73[[#This Row],[Date]],Database!$A:$E,MATCH($B$1,Database!$A$1:$E$1,),)=0,#N/A,VLOOKUP(Table73[[#This Row],[Date]],Database!$A:$E,MATCH($B$1,Database!$A$1:$E$1,),))</f>
        <v/>
      </c>
      <c r="C658">
        <f>IF(VLOOKUP(Table73[[#This Row],[Date]],Database!$A:$C,MATCH($C$1,Database!$A$1:$C$1,),)=0,#N/A,VLOOKUP(Table73[[#This Row],[Date]],Database!$A:$C,MATCH($C$1,Database!$A$1:$C$1,),))</f>
        <v/>
      </c>
      <c r="D658">
        <f>IFERROR(Table73[[#This Row],[United States 10y]]-Table73[[#This Row],[United States 2y]],#N/A)</f>
        <v/>
      </c>
    </row>
    <row r="659">
      <c r="A659" s="6">
        <f>Database!A658</f>
        <v/>
      </c>
      <c r="B659">
        <f>IF(VLOOKUP(Table73[[#This Row],[Date]],Database!$A:$E,MATCH($B$1,Database!$A$1:$E$1,),)=0,#N/A,VLOOKUP(Table73[[#This Row],[Date]],Database!$A:$E,MATCH($B$1,Database!$A$1:$E$1,),))</f>
        <v/>
      </c>
      <c r="C659">
        <f>IF(VLOOKUP(Table73[[#This Row],[Date]],Database!$A:$C,MATCH($C$1,Database!$A$1:$C$1,),)=0,#N/A,VLOOKUP(Table73[[#This Row],[Date]],Database!$A:$C,MATCH($C$1,Database!$A$1:$C$1,),))</f>
        <v/>
      </c>
      <c r="D659">
        <f>IFERROR(Table73[[#This Row],[United States 10y]]-Table73[[#This Row],[United States 2y]],#N/A)</f>
        <v/>
      </c>
    </row>
    <row r="660">
      <c r="A660" s="6">
        <f>Database!A659</f>
        <v/>
      </c>
      <c r="B660">
        <f>IF(VLOOKUP(Table73[[#This Row],[Date]],Database!$A:$E,MATCH($B$1,Database!$A$1:$E$1,),)=0,#N/A,VLOOKUP(Table73[[#This Row],[Date]],Database!$A:$E,MATCH($B$1,Database!$A$1:$E$1,),))</f>
        <v/>
      </c>
      <c r="C660">
        <f>IF(VLOOKUP(Table73[[#This Row],[Date]],Database!$A:$C,MATCH($C$1,Database!$A$1:$C$1,),)=0,#N/A,VLOOKUP(Table73[[#This Row],[Date]],Database!$A:$C,MATCH($C$1,Database!$A$1:$C$1,),))</f>
        <v/>
      </c>
      <c r="D660">
        <f>IFERROR(Table73[[#This Row],[United States 10y]]-Table73[[#This Row],[United States 2y]],#N/A)</f>
        <v/>
      </c>
    </row>
    <row r="661">
      <c r="A661" s="6">
        <f>Database!A660</f>
        <v/>
      </c>
      <c r="B661">
        <f>IF(VLOOKUP(Table73[[#This Row],[Date]],Database!$A:$E,MATCH($B$1,Database!$A$1:$E$1,),)=0,#N/A,VLOOKUP(Table73[[#This Row],[Date]],Database!$A:$E,MATCH($B$1,Database!$A$1:$E$1,),))</f>
        <v/>
      </c>
      <c r="C661">
        <f>IF(VLOOKUP(Table73[[#This Row],[Date]],Database!$A:$C,MATCH($C$1,Database!$A$1:$C$1,),)=0,#N/A,VLOOKUP(Table73[[#This Row],[Date]],Database!$A:$C,MATCH($C$1,Database!$A$1:$C$1,),))</f>
        <v/>
      </c>
      <c r="D661">
        <f>IFERROR(Table73[[#This Row],[United States 10y]]-Table73[[#This Row],[United States 2y]],#N/A)</f>
        <v/>
      </c>
    </row>
    <row r="662">
      <c r="A662" s="6">
        <f>Database!A661</f>
        <v/>
      </c>
      <c r="B662">
        <f>IF(VLOOKUP(Table73[[#This Row],[Date]],Database!$A:$E,MATCH($B$1,Database!$A$1:$E$1,),)=0,#N/A,VLOOKUP(Table73[[#This Row],[Date]],Database!$A:$E,MATCH($B$1,Database!$A$1:$E$1,),))</f>
        <v/>
      </c>
      <c r="C662">
        <f>IF(VLOOKUP(Table73[[#This Row],[Date]],Database!$A:$C,MATCH($C$1,Database!$A$1:$C$1,),)=0,#N/A,VLOOKUP(Table73[[#This Row],[Date]],Database!$A:$C,MATCH($C$1,Database!$A$1:$C$1,),))</f>
        <v/>
      </c>
      <c r="D662">
        <f>IFERROR(Table73[[#This Row],[United States 10y]]-Table73[[#This Row],[United States 2y]],#N/A)</f>
        <v/>
      </c>
    </row>
    <row r="663">
      <c r="A663" s="6">
        <f>Database!A662</f>
        <v/>
      </c>
      <c r="B663">
        <f>IF(VLOOKUP(Table73[[#This Row],[Date]],Database!$A:$E,MATCH($B$1,Database!$A$1:$E$1,),)=0,#N/A,VLOOKUP(Table73[[#This Row],[Date]],Database!$A:$E,MATCH($B$1,Database!$A$1:$E$1,),))</f>
        <v/>
      </c>
      <c r="C663">
        <f>IF(VLOOKUP(Table73[[#This Row],[Date]],Database!$A:$C,MATCH($C$1,Database!$A$1:$C$1,),)=0,#N/A,VLOOKUP(Table73[[#This Row],[Date]],Database!$A:$C,MATCH($C$1,Database!$A$1:$C$1,),))</f>
        <v/>
      </c>
      <c r="D663">
        <f>IFERROR(Table73[[#This Row],[United States 10y]]-Table73[[#This Row],[United States 2y]],#N/A)</f>
        <v/>
      </c>
    </row>
    <row r="664">
      <c r="A664" s="6">
        <f>Database!A663</f>
        <v/>
      </c>
      <c r="B664">
        <f>IF(VLOOKUP(Table73[[#This Row],[Date]],Database!$A:$E,MATCH($B$1,Database!$A$1:$E$1,),)=0,#N/A,VLOOKUP(Table73[[#This Row],[Date]],Database!$A:$E,MATCH($B$1,Database!$A$1:$E$1,),))</f>
        <v/>
      </c>
      <c r="C664">
        <f>IF(VLOOKUP(Table73[[#This Row],[Date]],Database!$A:$C,MATCH($C$1,Database!$A$1:$C$1,),)=0,#N/A,VLOOKUP(Table73[[#This Row],[Date]],Database!$A:$C,MATCH($C$1,Database!$A$1:$C$1,),))</f>
        <v/>
      </c>
      <c r="D664">
        <f>IFERROR(Table73[[#This Row],[United States 10y]]-Table73[[#This Row],[United States 2y]],#N/A)</f>
        <v/>
      </c>
    </row>
    <row r="665">
      <c r="A665" s="6">
        <f>Database!A664</f>
        <v/>
      </c>
      <c r="B665">
        <f>IF(VLOOKUP(Table73[[#This Row],[Date]],Database!$A:$E,MATCH($B$1,Database!$A$1:$E$1,),)=0,#N/A,VLOOKUP(Table73[[#This Row],[Date]],Database!$A:$E,MATCH($B$1,Database!$A$1:$E$1,),))</f>
        <v/>
      </c>
      <c r="C665">
        <f>IF(VLOOKUP(Table73[[#This Row],[Date]],Database!$A:$C,MATCH($C$1,Database!$A$1:$C$1,),)=0,#N/A,VLOOKUP(Table73[[#This Row],[Date]],Database!$A:$C,MATCH($C$1,Database!$A$1:$C$1,),))</f>
        <v/>
      </c>
      <c r="D665">
        <f>IFERROR(Table73[[#This Row],[United States 10y]]-Table73[[#This Row],[United States 2y]],#N/A)</f>
        <v/>
      </c>
    </row>
    <row r="666">
      <c r="A666" s="6">
        <f>Database!A665</f>
        <v/>
      </c>
      <c r="B666">
        <f>IF(VLOOKUP(Table73[[#This Row],[Date]],Database!$A:$E,MATCH($B$1,Database!$A$1:$E$1,),)=0,#N/A,VLOOKUP(Table73[[#This Row],[Date]],Database!$A:$E,MATCH($B$1,Database!$A$1:$E$1,),))</f>
        <v/>
      </c>
      <c r="C666">
        <f>IF(VLOOKUP(Table73[[#This Row],[Date]],Database!$A:$C,MATCH($C$1,Database!$A$1:$C$1,),)=0,#N/A,VLOOKUP(Table73[[#This Row],[Date]],Database!$A:$C,MATCH($C$1,Database!$A$1:$C$1,),))</f>
        <v/>
      </c>
      <c r="D666">
        <f>IFERROR(Table73[[#This Row],[United States 10y]]-Table73[[#This Row],[United States 2y]],#N/A)</f>
        <v/>
      </c>
    </row>
    <row r="667">
      <c r="A667" s="6">
        <f>Database!A666</f>
        <v/>
      </c>
      <c r="B667">
        <f>IF(VLOOKUP(Table73[[#This Row],[Date]],Database!$A:$E,MATCH($B$1,Database!$A$1:$E$1,),)=0,#N/A,VLOOKUP(Table73[[#This Row],[Date]],Database!$A:$E,MATCH($B$1,Database!$A$1:$E$1,),))</f>
        <v/>
      </c>
      <c r="C667">
        <f>IF(VLOOKUP(Table73[[#This Row],[Date]],Database!$A:$C,MATCH($C$1,Database!$A$1:$C$1,),)=0,#N/A,VLOOKUP(Table73[[#This Row],[Date]],Database!$A:$C,MATCH($C$1,Database!$A$1:$C$1,),))</f>
        <v/>
      </c>
      <c r="D667">
        <f>IFERROR(Table73[[#This Row],[United States 10y]]-Table73[[#This Row],[United States 2y]],#N/A)</f>
        <v/>
      </c>
    </row>
    <row r="668">
      <c r="A668" s="6">
        <f>Database!A667</f>
        <v/>
      </c>
      <c r="B668">
        <f>IF(VLOOKUP(Table73[[#This Row],[Date]],Database!$A:$E,MATCH($B$1,Database!$A$1:$E$1,),)=0,#N/A,VLOOKUP(Table73[[#This Row],[Date]],Database!$A:$E,MATCH($B$1,Database!$A$1:$E$1,),))</f>
        <v/>
      </c>
      <c r="C668">
        <f>IF(VLOOKUP(Table73[[#This Row],[Date]],Database!$A:$C,MATCH($C$1,Database!$A$1:$C$1,),)=0,#N/A,VLOOKUP(Table73[[#This Row],[Date]],Database!$A:$C,MATCH($C$1,Database!$A$1:$C$1,),))</f>
        <v/>
      </c>
      <c r="D668">
        <f>IFERROR(Table73[[#This Row],[United States 10y]]-Table73[[#This Row],[United States 2y]],#N/A)</f>
        <v/>
      </c>
    </row>
    <row r="669">
      <c r="A669" s="6">
        <f>Database!A668</f>
        <v/>
      </c>
      <c r="B669">
        <f>IF(VLOOKUP(Table73[[#This Row],[Date]],Database!$A:$E,MATCH($B$1,Database!$A$1:$E$1,),)=0,#N/A,VLOOKUP(Table73[[#This Row],[Date]],Database!$A:$E,MATCH($B$1,Database!$A$1:$E$1,),))</f>
        <v/>
      </c>
      <c r="C669">
        <f>IF(VLOOKUP(Table73[[#This Row],[Date]],Database!$A:$C,MATCH($C$1,Database!$A$1:$C$1,),)=0,#N/A,VLOOKUP(Table73[[#This Row],[Date]],Database!$A:$C,MATCH($C$1,Database!$A$1:$C$1,),))</f>
        <v/>
      </c>
      <c r="D669">
        <f>IFERROR(Table73[[#This Row],[United States 10y]]-Table73[[#This Row],[United States 2y]],#N/A)</f>
        <v/>
      </c>
    </row>
    <row r="670">
      <c r="A670" s="6">
        <f>Database!A669</f>
        <v/>
      </c>
      <c r="B670">
        <f>IF(VLOOKUP(Table73[[#This Row],[Date]],Database!$A:$E,MATCH($B$1,Database!$A$1:$E$1,),)=0,#N/A,VLOOKUP(Table73[[#This Row],[Date]],Database!$A:$E,MATCH($B$1,Database!$A$1:$E$1,),))</f>
        <v/>
      </c>
      <c r="C670">
        <f>IF(VLOOKUP(Table73[[#This Row],[Date]],Database!$A:$C,MATCH($C$1,Database!$A$1:$C$1,),)=0,#N/A,VLOOKUP(Table73[[#This Row],[Date]],Database!$A:$C,MATCH($C$1,Database!$A$1:$C$1,),))</f>
        <v/>
      </c>
      <c r="D670">
        <f>IFERROR(Table73[[#This Row],[United States 10y]]-Table73[[#This Row],[United States 2y]],#N/A)</f>
        <v/>
      </c>
    </row>
    <row r="671">
      <c r="A671" s="6">
        <f>Database!A670</f>
        <v/>
      </c>
      <c r="B671">
        <f>IF(VLOOKUP(Table73[[#This Row],[Date]],Database!$A:$E,MATCH($B$1,Database!$A$1:$E$1,),)=0,#N/A,VLOOKUP(Table73[[#This Row],[Date]],Database!$A:$E,MATCH($B$1,Database!$A$1:$E$1,),))</f>
        <v/>
      </c>
      <c r="C671">
        <f>IF(VLOOKUP(Table73[[#This Row],[Date]],Database!$A:$C,MATCH($C$1,Database!$A$1:$C$1,),)=0,#N/A,VLOOKUP(Table73[[#This Row],[Date]],Database!$A:$C,MATCH($C$1,Database!$A$1:$C$1,),))</f>
        <v/>
      </c>
      <c r="D671">
        <f>IFERROR(Table73[[#This Row],[United States 10y]]-Table73[[#This Row],[United States 2y]],#N/A)</f>
        <v/>
      </c>
    </row>
    <row r="672">
      <c r="A672" s="6">
        <f>Database!A671</f>
        <v/>
      </c>
      <c r="B672">
        <f>IF(VLOOKUP(Table73[[#This Row],[Date]],Database!$A:$E,MATCH($B$1,Database!$A$1:$E$1,),)=0,#N/A,VLOOKUP(Table73[[#This Row],[Date]],Database!$A:$E,MATCH($B$1,Database!$A$1:$E$1,),))</f>
        <v/>
      </c>
      <c r="C672">
        <f>IF(VLOOKUP(Table73[[#This Row],[Date]],Database!$A:$C,MATCH($C$1,Database!$A$1:$C$1,),)=0,#N/A,VLOOKUP(Table73[[#This Row],[Date]],Database!$A:$C,MATCH($C$1,Database!$A$1:$C$1,),))</f>
        <v/>
      </c>
      <c r="D672">
        <f>IFERROR(Table73[[#This Row],[United States 10y]]-Table73[[#This Row],[United States 2y]],#N/A)</f>
        <v/>
      </c>
    </row>
    <row r="673">
      <c r="A673" s="6">
        <f>Database!A672</f>
        <v/>
      </c>
      <c r="B673">
        <f>IF(VLOOKUP(Table73[[#This Row],[Date]],Database!$A:$E,MATCH($B$1,Database!$A$1:$E$1,),)=0,#N/A,VLOOKUP(Table73[[#This Row],[Date]],Database!$A:$E,MATCH($B$1,Database!$A$1:$E$1,),))</f>
        <v/>
      </c>
      <c r="C673">
        <f>IF(VLOOKUP(Table73[[#This Row],[Date]],Database!$A:$C,MATCH($C$1,Database!$A$1:$C$1,),)=0,#N/A,VLOOKUP(Table73[[#This Row],[Date]],Database!$A:$C,MATCH($C$1,Database!$A$1:$C$1,),))</f>
        <v/>
      </c>
      <c r="D673">
        <f>IFERROR(Table73[[#This Row],[United States 10y]]-Table73[[#This Row],[United States 2y]],#N/A)</f>
        <v/>
      </c>
    </row>
    <row r="674">
      <c r="A674" s="6">
        <f>Database!A673</f>
        <v/>
      </c>
      <c r="B674">
        <f>IF(VLOOKUP(Table73[[#This Row],[Date]],Database!$A:$E,MATCH($B$1,Database!$A$1:$E$1,),)=0,#N/A,VLOOKUP(Table73[[#This Row],[Date]],Database!$A:$E,MATCH($B$1,Database!$A$1:$E$1,),))</f>
        <v/>
      </c>
      <c r="C674">
        <f>IF(VLOOKUP(Table73[[#This Row],[Date]],Database!$A:$C,MATCH($C$1,Database!$A$1:$C$1,),)=0,#N/A,VLOOKUP(Table73[[#This Row],[Date]],Database!$A:$C,MATCH($C$1,Database!$A$1:$C$1,),))</f>
        <v/>
      </c>
      <c r="D674">
        <f>IFERROR(Table73[[#This Row],[United States 10y]]-Table73[[#This Row],[United States 2y]],#N/A)</f>
        <v/>
      </c>
    </row>
    <row r="675">
      <c r="A675" s="6">
        <f>Database!A674</f>
        <v/>
      </c>
      <c r="B675">
        <f>IF(VLOOKUP(Table73[[#This Row],[Date]],Database!$A:$E,MATCH($B$1,Database!$A$1:$E$1,),)=0,#N/A,VLOOKUP(Table73[[#This Row],[Date]],Database!$A:$E,MATCH($B$1,Database!$A$1:$E$1,),))</f>
        <v/>
      </c>
      <c r="C675">
        <f>IF(VLOOKUP(Table73[[#This Row],[Date]],Database!$A:$C,MATCH($C$1,Database!$A$1:$C$1,),)=0,#N/A,VLOOKUP(Table73[[#This Row],[Date]],Database!$A:$C,MATCH($C$1,Database!$A$1:$C$1,),))</f>
        <v/>
      </c>
      <c r="D675">
        <f>IFERROR(Table73[[#This Row],[United States 10y]]-Table73[[#This Row],[United States 2y]],#N/A)</f>
        <v/>
      </c>
    </row>
    <row r="676">
      <c r="A676" s="6">
        <f>Database!A675</f>
        <v/>
      </c>
      <c r="B676">
        <f>IF(VLOOKUP(Table73[[#This Row],[Date]],Database!$A:$E,MATCH($B$1,Database!$A$1:$E$1,),)=0,#N/A,VLOOKUP(Table73[[#This Row],[Date]],Database!$A:$E,MATCH($B$1,Database!$A$1:$E$1,),))</f>
        <v/>
      </c>
      <c r="C676">
        <f>IF(VLOOKUP(Table73[[#This Row],[Date]],Database!$A:$C,MATCH($C$1,Database!$A$1:$C$1,),)=0,#N/A,VLOOKUP(Table73[[#This Row],[Date]],Database!$A:$C,MATCH($C$1,Database!$A$1:$C$1,),))</f>
        <v/>
      </c>
      <c r="D676">
        <f>IFERROR(Table73[[#This Row],[United States 10y]]-Table73[[#This Row],[United States 2y]],#N/A)</f>
        <v/>
      </c>
    </row>
    <row r="677">
      <c r="A677" s="6">
        <f>Database!A676</f>
        <v/>
      </c>
      <c r="B677">
        <f>IF(VLOOKUP(Table73[[#This Row],[Date]],Database!$A:$E,MATCH($B$1,Database!$A$1:$E$1,),)=0,#N/A,VLOOKUP(Table73[[#This Row],[Date]],Database!$A:$E,MATCH($B$1,Database!$A$1:$E$1,),))</f>
        <v/>
      </c>
      <c r="C677">
        <f>IF(VLOOKUP(Table73[[#This Row],[Date]],Database!$A:$C,MATCH($C$1,Database!$A$1:$C$1,),)=0,#N/A,VLOOKUP(Table73[[#This Row],[Date]],Database!$A:$C,MATCH($C$1,Database!$A$1:$C$1,),))</f>
        <v/>
      </c>
      <c r="D677">
        <f>IFERROR(Table73[[#This Row],[United States 10y]]-Table73[[#This Row],[United States 2y]],#N/A)</f>
        <v/>
      </c>
    </row>
    <row r="678">
      <c r="A678" s="6">
        <f>Database!A677</f>
        <v/>
      </c>
      <c r="B678">
        <f>IF(VLOOKUP(Table73[[#This Row],[Date]],Database!$A:$E,MATCH($B$1,Database!$A$1:$E$1,),)=0,#N/A,VLOOKUP(Table73[[#This Row],[Date]],Database!$A:$E,MATCH($B$1,Database!$A$1:$E$1,),))</f>
        <v/>
      </c>
      <c r="C678">
        <f>IF(VLOOKUP(Table73[[#This Row],[Date]],Database!$A:$C,MATCH($C$1,Database!$A$1:$C$1,),)=0,#N/A,VLOOKUP(Table73[[#This Row],[Date]],Database!$A:$C,MATCH($C$1,Database!$A$1:$C$1,),))</f>
        <v/>
      </c>
      <c r="D678">
        <f>IFERROR(Table73[[#This Row],[United States 10y]]-Table73[[#This Row],[United States 2y]],#N/A)</f>
        <v/>
      </c>
    </row>
    <row r="679">
      <c r="A679" s="6">
        <f>Database!A678</f>
        <v/>
      </c>
      <c r="B679">
        <f>IF(VLOOKUP(Table73[[#This Row],[Date]],Database!$A:$E,MATCH($B$1,Database!$A$1:$E$1,),)=0,#N/A,VLOOKUP(Table73[[#This Row],[Date]],Database!$A:$E,MATCH($B$1,Database!$A$1:$E$1,),))</f>
        <v/>
      </c>
      <c r="C679">
        <f>IF(VLOOKUP(Table73[[#This Row],[Date]],Database!$A:$C,MATCH($C$1,Database!$A$1:$C$1,),)=0,#N/A,VLOOKUP(Table73[[#This Row],[Date]],Database!$A:$C,MATCH($C$1,Database!$A$1:$C$1,),))</f>
        <v/>
      </c>
      <c r="D679">
        <f>IFERROR(Table73[[#This Row],[United States 10y]]-Table73[[#This Row],[United States 2y]],#N/A)</f>
        <v/>
      </c>
    </row>
    <row r="680">
      <c r="A680" s="6">
        <f>Database!A679</f>
        <v/>
      </c>
      <c r="B680">
        <f>IF(VLOOKUP(Table73[[#This Row],[Date]],Database!$A:$E,MATCH($B$1,Database!$A$1:$E$1,),)=0,#N/A,VLOOKUP(Table73[[#This Row],[Date]],Database!$A:$E,MATCH($B$1,Database!$A$1:$E$1,),))</f>
        <v/>
      </c>
      <c r="C680">
        <f>IF(VLOOKUP(Table73[[#This Row],[Date]],Database!$A:$C,MATCH($C$1,Database!$A$1:$C$1,),)=0,#N/A,VLOOKUP(Table73[[#This Row],[Date]],Database!$A:$C,MATCH($C$1,Database!$A$1:$C$1,),))</f>
        <v/>
      </c>
      <c r="D680">
        <f>IFERROR(Table73[[#This Row],[United States 10y]]-Table73[[#This Row],[United States 2y]],#N/A)</f>
        <v/>
      </c>
    </row>
    <row r="681">
      <c r="A681" s="6">
        <f>Database!A680</f>
        <v/>
      </c>
      <c r="B681">
        <f>IF(VLOOKUP(Table73[[#This Row],[Date]],Database!$A:$E,MATCH($B$1,Database!$A$1:$E$1,),)=0,#N/A,VLOOKUP(Table73[[#This Row],[Date]],Database!$A:$E,MATCH($B$1,Database!$A$1:$E$1,),))</f>
        <v/>
      </c>
      <c r="C681">
        <f>IF(VLOOKUP(Table73[[#This Row],[Date]],Database!$A:$C,MATCH($C$1,Database!$A$1:$C$1,),)=0,#N/A,VLOOKUP(Table73[[#This Row],[Date]],Database!$A:$C,MATCH($C$1,Database!$A$1:$C$1,),))</f>
        <v/>
      </c>
      <c r="D681">
        <f>IFERROR(Table73[[#This Row],[United States 10y]]-Table73[[#This Row],[United States 2y]],#N/A)</f>
        <v/>
      </c>
    </row>
    <row r="682">
      <c r="A682" s="6">
        <f>Database!A681</f>
        <v/>
      </c>
      <c r="B682">
        <f>IF(VLOOKUP(Table73[[#This Row],[Date]],Database!$A:$E,MATCH($B$1,Database!$A$1:$E$1,),)=0,#N/A,VLOOKUP(Table73[[#This Row],[Date]],Database!$A:$E,MATCH($B$1,Database!$A$1:$E$1,),))</f>
        <v/>
      </c>
      <c r="C682">
        <f>IF(VLOOKUP(Table73[[#This Row],[Date]],Database!$A:$C,MATCH($C$1,Database!$A$1:$C$1,),)=0,#N/A,VLOOKUP(Table73[[#This Row],[Date]],Database!$A:$C,MATCH($C$1,Database!$A$1:$C$1,),))</f>
        <v/>
      </c>
      <c r="D682">
        <f>IFERROR(Table73[[#This Row],[United States 10y]]-Table73[[#This Row],[United States 2y]],#N/A)</f>
        <v/>
      </c>
    </row>
    <row r="683">
      <c r="A683" s="6">
        <f>Database!A682</f>
        <v/>
      </c>
      <c r="B683">
        <f>IF(VLOOKUP(Table73[[#This Row],[Date]],Database!$A:$E,MATCH($B$1,Database!$A$1:$E$1,),)=0,#N/A,VLOOKUP(Table73[[#This Row],[Date]],Database!$A:$E,MATCH($B$1,Database!$A$1:$E$1,),))</f>
        <v/>
      </c>
      <c r="C683">
        <f>IF(VLOOKUP(Table73[[#This Row],[Date]],Database!$A:$C,MATCH($C$1,Database!$A$1:$C$1,),)=0,#N/A,VLOOKUP(Table73[[#This Row],[Date]],Database!$A:$C,MATCH($C$1,Database!$A$1:$C$1,),))</f>
        <v/>
      </c>
      <c r="D683">
        <f>IFERROR(Table73[[#This Row],[United States 10y]]-Table73[[#This Row],[United States 2y]],#N/A)</f>
        <v/>
      </c>
    </row>
    <row r="684">
      <c r="A684" s="6">
        <f>Database!A683</f>
        <v/>
      </c>
      <c r="B684">
        <f>IF(VLOOKUP(Table73[[#This Row],[Date]],Database!$A:$E,MATCH($B$1,Database!$A$1:$E$1,),)=0,#N/A,VLOOKUP(Table73[[#This Row],[Date]],Database!$A:$E,MATCH($B$1,Database!$A$1:$E$1,),))</f>
        <v/>
      </c>
      <c r="C684">
        <f>IF(VLOOKUP(Table73[[#This Row],[Date]],Database!$A:$C,MATCH($C$1,Database!$A$1:$C$1,),)=0,#N/A,VLOOKUP(Table73[[#This Row],[Date]],Database!$A:$C,MATCH($C$1,Database!$A$1:$C$1,),))</f>
        <v/>
      </c>
      <c r="D684">
        <f>IFERROR(Table73[[#This Row],[United States 10y]]-Table73[[#This Row],[United States 2y]],#N/A)</f>
        <v/>
      </c>
    </row>
    <row r="685">
      <c r="A685" s="6">
        <f>Database!A684</f>
        <v/>
      </c>
      <c r="B685">
        <f>IF(VLOOKUP(Table73[[#This Row],[Date]],Database!$A:$E,MATCH($B$1,Database!$A$1:$E$1,),)=0,#N/A,VLOOKUP(Table73[[#This Row],[Date]],Database!$A:$E,MATCH($B$1,Database!$A$1:$E$1,),))</f>
        <v/>
      </c>
      <c r="C685">
        <f>IF(VLOOKUP(Table73[[#This Row],[Date]],Database!$A:$C,MATCH($C$1,Database!$A$1:$C$1,),)=0,#N/A,VLOOKUP(Table73[[#This Row],[Date]],Database!$A:$C,MATCH($C$1,Database!$A$1:$C$1,),))</f>
        <v/>
      </c>
      <c r="D685">
        <f>IFERROR(Table73[[#This Row],[United States 10y]]-Table73[[#This Row],[United States 2y]],#N/A)</f>
        <v/>
      </c>
    </row>
    <row r="686">
      <c r="A686" s="6">
        <f>Database!A685</f>
        <v/>
      </c>
      <c r="B686">
        <f>IF(VLOOKUP(Table73[[#This Row],[Date]],Database!$A:$E,MATCH($B$1,Database!$A$1:$E$1,),)=0,#N/A,VLOOKUP(Table73[[#This Row],[Date]],Database!$A:$E,MATCH($B$1,Database!$A$1:$E$1,),))</f>
        <v/>
      </c>
      <c r="C686">
        <f>IF(VLOOKUP(Table73[[#This Row],[Date]],Database!$A:$C,MATCH($C$1,Database!$A$1:$C$1,),)=0,#N/A,VLOOKUP(Table73[[#This Row],[Date]],Database!$A:$C,MATCH($C$1,Database!$A$1:$C$1,),))</f>
        <v/>
      </c>
      <c r="D686">
        <f>IFERROR(Table73[[#This Row],[United States 10y]]-Table73[[#This Row],[United States 2y]],#N/A)</f>
        <v/>
      </c>
    </row>
    <row r="687">
      <c r="A687" s="6">
        <f>Database!A686</f>
        <v/>
      </c>
      <c r="B687">
        <f>IF(VLOOKUP(Table73[[#This Row],[Date]],Database!$A:$E,MATCH($B$1,Database!$A$1:$E$1,),)=0,#N/A,VLOOKUP(Table73[[#This Row],[Date]],Database!$A:$E,MATCH($B$1,Database!$A$1:$E$1,),))</f>
        <v/>
      </c>
      <c r="C687">
        <f>IF(VLOOKUP(Table73[[#This Row],[Date]],Database!$A:$C,MATCH($C$1,Database!$A$1:$C$1,),)=0,#N/A,VLOOKUP(Table73[[#This Row],[Date]],Database!$A:$C,MATCH($C$1,Database!$A$1:$C$1,),))</f>
        <v/>
      </c>
      <c r="D687">
        <f>IFERROR(Table73[[#This Row],[United States 10y]]-Table73[[#This Row],[United States 2y]],#N/A)</f>
        <v/>
      </c>
    </row>
    <row r="688">
      <c r="A688" s="6">
        <f>Database!A687</f>
        <v/>
      </c>
      <c r="B688">
        <f>IF(VLOOKUP(Table73[[#This Row],[Date]],Database!$A:$E,MATCH($B$1,Database!$A$1:$E$1,),)=0,#N/A,VLOOKUP(Table73[[#This Row],[Date]],Database!$A:$E,MATCH($B$1,Database!$A$1:$E$1,),))</f>
        <v/>
      </c>
      <c r="C688">
        <f>IF(VLOOKUP(Table73[[#This Row],[Date]],Database!$A:$C,MATCH($C$1,Database!$A$1:$C$1,),)=0,#N/A,VLOOKUP(Table73[[#This Row],[Date]],Database!$A:$C,MATCH($C$1,Database!$A$1:$C$1,),))</f>
        <v/>
      </c>
      <c r="D688">
        <f>IFERROR(Table73[[#This Row],[United States 10y]]-Table73[[#This Row],[United States 2y]],#N/A)</f>
        <v/>
      </c>
    </row>
    <row r="689">
      <c r="A689" s="6">
        <f>Database!A688</f>
        <v/>
      </c>
      <c r="B689">
        <f>IF(VLOOKUP(Table73[[#This Row],[Date]],Database!$A:$E,MATCH($B$1,Database!$A$1:$E$1,),)=0,#N/A,VLOOKUP(Table73[[#This Row],[Date]],Database!$A:$E,MATCH($B$1,Database!$A$1:$E$1,),))</f>
        <v/>
      </c>
      <c r="C689">
        <f>IF(VLOOKUP(Table73[[#This Row],[Date]],Database!$A:$C,MATCH($C$1,Database!$A$1:$C$1,),)=0,#N/A,VLOOKUP(Table73[[#This Row],[Date]],Database!$A:$C,MATCH($C$1,Database!$A$1:$C$1,),))</f>
        <v/>
      </c>
      <c r="D689">
        <f>IFERROR(Table73[[#This Row],[United States 10y]]-Table73[[#This Row],[United States 2y]],#N/A)</f>
        <v/>
      </c>
    </row>
    <row r="690">
      <c r="A690" s="6">
        <f>Database!A689</f>
        <v/>
      </c>
      <c r="B690">
        <f>IF(VLOOKUP(Table73[[#This Row],[Date]],Database!$A:$E,MATCH($B$1,Database!$A$1:$E$1,),)=0,#N/A,VLOOKUP(Table73[[#This Row],[Date]],Database!$A:$E,MATCH($B$1,Database!$A$1:$E$1,),))</f>
        <v/>
      </c>
      <c r="C690">
        <f>IF(VLOOKUP(Table73[[#This Row],[Date]],Database!$A:$C,MATCH($C$1,Database!$A$1:$C$1,),)=0,#N/A,VLOOKUP(Table73[[#This Row],[Date]],Database!$A:$C,MATCH($C$1,Database!$A$1:$C$1,),))</f>
        <v/>
      </c>
      <c r="D690">
        <f>IFERROR(Table73[[#This Row],[United States 10y]]-Table73[[#This Row],[United States 2y]],#N/A)</f>
        <v/>
      </c>
    </row>
    <row r="691">
      <c r="A691" s="6">
        <f>Database!A690</f>
        <v/>
      </c>
      <c r="B691">
        <f>IF(VLOOKUP(Table73[[#This Row],[Date]],Database!$A:$E,MATCH($B$1,Database!$A$1:$E$1,),)=0,#N/A,VLOOKUP(Table73[[#This Row],[Date]],Database!$A:$E,MATCH($B$1,Database!$A$1:$E$1,),))</f>
        <v/>
      </c>
      <c r="C691">
        <f>IF(VLOOKUP(Table73[[#This Row],[Date]],Database!$A:$C,MATCH($C$1,Database!$A$1:$C$1,),)=0,#N/A,VLOOKUP(Table73[[#This Row],[Date]],Database!$A:$C,MATCH($C$1,Database!$A$1:$C$1,),))</f>
        <v/>
      </c>
      <c r="D691">
        <f>IFERROR(Table73[[#This Row],[United States 10y]]-Table73[[#This Row],[United States 2y]],#N/A)</f>
        <v/>
      </c>
    </row>
    <row r="692">
      <c r="A692" s="6">
        <f>Database!A691</f>
        <v/>
      </c>
      <c r="B692">
        <f>IF(VLOOKUP(Table73[[#This Row],[Date]],Database!$A:$E,MATCH($B$1,Database!$A$1:$E$1,),)=0,#N/A,VLOOKUP(Table73[[#This Row],[Date]],Database!$A:$E,MATCH($B$1,Database!$A$1:$E$1,),))</f>
        <v/>
      </c>
      <c r="C692">
        <f>IF(VLOOKUP(Table73[[#This Row],[Date]],Database!$A:$C,MATCH($C$1,Database!$A$1:$C$1,),)=0,#N/A,VLOOKUP(Table73[[#This Row],[Date]],Database!$A:$C,MATCH($C$1,Database!$A$1:$C$1,),))</f>
        <v/>
      </c>
      <c r="D692">
        <f>IFERROR(Table73[[#This Row],[United States 10y]]-Table73[[#This Row],[United States 2y]],#N/A)</f>
        <v/>
      </c>
    </row>
    <row r="693">
      <c r="A693" s="6">
        <f>Database!A692</f>
        <v/>
      </c>
      <c r="B693">
        <f>IF(VLOOKUP(Table73[[#This Row],[Date]],Database!$A:$E,MATCH($B$1,Database!$A$1:$E$1,),)=0,#N/A,VLOOKUP(Table73[[#This Row],[Date]],Database!$A:$E,MATCH($B$1,Database!$A$1:$E$1,),))</f>
        <v/>
      </c>
      <c r="C693">
        <f>IF(VLOOKUP(Table73[[#This Row],[Date]],Database!$A:$C,MATCH($C$1,Database!$A$1:$C$1,),)=0,#N/A,VLOOKUP(Table73[[#This Row],[Date]],Database!$A:$C,MATCH($C$1,Database!$A$1:$C$1,),))</f>
        <v/>
      </c>
      <c r="D693">
        <f>IFERROR(Table73[[#This Row],[United States 10y]]-Table73[[#This Row],[United States 2y]],#N/A)</f>
        <v/>
      </c>
    </row>
    <row r="694">
      <c r="A694" s="6">
        <f>Database!A693</f>
        <v/>
      </c>
      <c r="B694">
        <f>IF(VLOOKUP(Table73[[#This Row],[Date]],Database!$A:$E,MATCH($B$1,Database!$A$1:$E$1,),)=0,#N/A,VLOOKUP(Table73[[#This Row],[Date]],Database!$A:$E,MATCH($B$1,Database!$A$1:$E$1,),))</f>
        <v/>
      </c>
      <c r="C694">
        <f>IF(VLOOKUP(Table73[[#This Row],[Date]],Database!$A:$C,MATCH($C$1,Database!$A$1:$C$1,),)=0,#N/A,VLOOKUP(Table73[[#This Row],[Date]],Database!$A:$C,MATCH($C$1,Database!$A$1:$C$1,),))</f>
        <v/>
      </c>
      <c r="D694">
        <f>IFERROR(Table73[[#This Row],[United States 10y]]-Table73[[#This Row],[United States 2y]],#N/A)</f>
        <v/>
      </c>
    </row>
    <row r="695">
      <c r="A695" s="6">
        <f>Database!A694</f>
        <v/>
      </c>
      <c r="B695">
        <f>IF(VLOOKUP(Table73[[#This Row],[Date]],Database!$A:$E,MATCH($B$1,Database!$A$1:$E$1,),)=0,#N/A,VLOOKUP(Table73[[#This Row],[Date]],Database!$A:$E,MATCH($B$1,Database!$A$1:$E$1,),))</f>
        <v/>
      </c>
      <c r="C695">
        <f>IF(VLOOKUP(Table73[[#This Row],[Date]],Database!$A:$C,MATCH($C$1,Database!$A$1:$C$1,),)=0,#N/A,VLOOKUP(Table73[[#This Row],[Date]],Database!$A:$C,MATCH($C$1,Database!$A$1:$C$1,),))</f>
        <v/>
      </c>
      <c r="D695">
        <f>IFERROR(Table73[[#This Row],[United States 10y]]-Table73[[#This Row],[United States 2y]],#N/A)</f>
        <v/>
      </c>
    </row>
    <row r="696">
      <c r="A696" s="6">
        <f>Database!A695</f>
        <v/>
      </c>
      <c r="B696">
        <f>IF(VLOOKUP(Table73[[#This Row],[Date]],Database!$A:$E,MATCH($B$1,Database!$A$1:$E$1,),)=0,#N/A,VLOOKUP(Table73[[#This Row],[Date]],Database!$A:$E,MATCH($B$1,Database!$A$1:$E$1,),))</f>
        <v/>
      </c>
      <c r="C696">
        <f>IF(VLOOKUP(Table73[[#This Row],[Date]],Database!$A:$C,MATCH($C$1,Database!$A$1:$C$1,),)=0,#N/A,VLOOKUP(Table73[[#This Row],[Date]],Database!$A:$C,MATCH($C$1,Database!$A$1:$C$1,),))</f>
        <v/>
      </c>
      <c r="D696">
        <f>IFERROR(Table73[[#This Row],[United States 10y]]-Table73[[#This Row],[United States 2y]],#N/A)</f>
        <v/>
      </c>
    </row>
    <row r="697">
      <c r="A697" s="6">
        <f>Database!A696</f>
        <v/>
      </c>
      <c r="B697">
        <f>IF(VLOOKUP(Table73[[#This Row],[Date]],Database!$A:$E,MATCH($B$1,Database!$A$1:$E$1,),)=0,#N/A,VLOOKUP(Table73[[#This Row],[Date]],Database!$A:$E,MATCH($B$1,Database!$A$1:$E$1,),))</f>
        <v/>
      </c>
      <c r="C697">
        <f>IF(VLOOKUP(Table73[[#This Row],[Date]],Database!$A:$C,MATCH($C$1,Database!$A$1:$C$1,),)=0,#N/A,VLOOKUP(Table73[[#This Row],[Date]],Database!$A:$C,MATCH($C$1,Database!$A$1:$C$1,),))</f>
        <v/>
      </c>
      <c r="D697">
        <f>IFERROR(Table73[[#This Row],[United States 10y]]-Table73[[#This Row],[United States 2y]],#N/A)</f>
        <v/>
      </c>
    </row>
    <row r="698">
      <c r="A698" s="6">
        <f>Database!A697</f>
        <v/>
      </c>
      <c r="B698">
        <f>IF(VLOOKUP(Table73[[#This Row],[Date]],Database!$A:$E,MATCH($B$1,Database!$A$1:$E$1,),)=0,#N/A,VLOOKUP(Table73[[#This Row],[Date]],Database!$A:$E,MATCH($B$1,Database!$A$1:$E$1,),))</f>
        <v/>
      </c>
      <c r="C698">
        <f>IF(VLOOKUP(Table73[[#This Row],[Date]],Database!$A:$C,MATCH($C$1,Database!$A$1:$C$1,),)=0,#N/A,VLOOKUP(Table73[[#This Row],[Date]],Database!$A:$C,MATCH($C$1,Database!$A$1:$C$1,),))</f>
        <v/>
      </c>
      <c r="D698">
        <f>IFERROR(Table73[[#This Row],[United States 10y]]-Table73[[#This Row],[United States 2y]],#N/A)</f>
        <v/>
      </c>
    </row>
    <row r="699">
      <c r="A699" s="6">
        <f>Database!A698</f>
        <v/>
      </c>
      <c r="B699">
        <f>IF(VLOOKUP(Table73[[#This Row],[Date]],Database!$A:$E,MATCH($B$1,Database!$A$1:$E$1,),)=0,#N/A,VLOOKUP(Table73[[#This Row],[Date]],Database!$A:$E,MATCH($B$1,Database!$A$1:$E$1,),))</f>
        <v/>
      </c>
      <c r="C699">
        <f>IF(VLOOKUP(Table73[[#This Row],[Date]],Database!$A:$C,MATCH($C$1,Database!$A$1:$C$1,),)=0,#N/A,VLOOKUP(Table73[[#This Row],[Date]],Database!$A:$C,MATCH($C$1,Database!$A$1:$C$1,),))</f>
        <v/>
      </c>
      <c r="D699">
        <f>IFERROR(Table73[[#This Row],[United States 10y]]-Table73[[#This Row],[United States 2y]],#N/A)</f>
        <v/>
      </c>
    </row>
    <row r="700">
      <c r="A700" s="6">
        <f>Database!A699</f>
        <v/>
      </c>
      <c r="B700">
        <f>IF(VLOOKUP(Table73[[#This Row],[Date]],Database!$A:$E,MATCH($B$1,Database!$A$1:$E$1,),)=0,#N/A,VLOOKUP(Table73[[#This Row],[Date]],Database!$A:$E,MATCH($B$1,Database!$A$1:$E$1,),))</f>
        <v/>
      </c>
      <c r="C700">
        <f>IF(VLOOKUP(Table73[[#This Row],[Date]],Database!$A:$C,MATCH($C$1,Database!$A$1:$C$1,),)=0,#N/A,VLOOKUP(Table73[[#This Row],[Date]],Database!$A:$C,MATCH($C$1,Database!$A$1:$C$1,),))</f>
        <v/>
      </c>
      <c r="D700">
        <f>IFERROR(Table73[[#This Row],[United States 10y]]-Table73[[#This Row],[United States 2y]],#N/A)</f>
        <v/>
      </c>
    </row>
    <row r="701">
      <c r="A701" s="6">
        <f>Database!A700</f>
        <v/>
      </c>
      <c r="B701">
        <f>IF(VLOOKUP(Table73[[#This Row],[Date]],Database!$A:$E,MATCH($B$1,Database!$A$1:$E$1,),)=0,#N/A,VLOOKUP(Table73[[#This Row],[Date]],Database!$A:$E,MATCH($B$1,Database!$A$1:$E$1,),))</f>
        <v/>
      </c>
      <c r="C701">
        <f>IF(VLOOKUP(Table73[[#This Row],[Date]],Database!$A:$C,MATCH($C$1,Database!$A$1:$C$1,),)=0,#N/A,VLOOKUP(Table73[[#This Row],[Date]],Database!$A:$C,MATCH($C$1,Database!$A$1:$C$1,),))</f>
        <v/>
      </c>
      <c r="D701">
        <f>IFERROR(Table73[[#This Row],[United States 10y]]-Table73[[#This Row],[United States 2y]],#N/A)</f>
        <v/>
      </c>
    </row>
    <row r="702">
      <c r="A702" s="6">
        <f>Database!A701</f>
        <v/>
      </c>
      <c r="B702">
        <f>IF(VLOOKUP(Table73[[#This Row],[Date]],Database!$A:$E,MATCH($B$1,Database!$A$1:$E$1,),)=0,#N/A,VLOOKUP(Table73[[#This Row],[Date]],Database!$A:$E,MATCH($B$1,Database!$A$1:$E$1,),))</f>
        <v/>
      </c>
      <c r="C702">
        <f>IF(VLOOKUP(Table73[[#This Row],[Date]],Database!$A:$C,MATCH($C$1,Database!$A$1:$C$1,),)=0,#N/A,VLOOKUP(Table73[[#This Row],[Date]],Database!$A:$C,MATCH($C$1,Database!$A$1:$C$1,),))</f>
        <v/>
      </c>
      <c r="D702">
        <f>IFERROR(Table73[[#This Row],[United States 10y]]-Table73[[#This Row],[United States 2y]],#N/A)</f>
        <v/>
      </c>
    </row>
    <row r="703">
      <c r="A703" s="6">
        <f>Database!A702</f>
        <v/>
      </c>
      <c r="B703">
        <f>IF(VLOOKUP(Table73[[#This Row],[Date]],Database!$A:$E,MATCH($B$1,Database!$A$1:$E$1,),)=0,#N/A,VLOOKUP(Table73[[#This Row],[Date]],Database!$A:$E,MATCH($B$1,Database!$A$1:$E$1,),))</f>
        <v/>
      </c>
      <c r="C703">
        <f>IF(VLOOKUP(Table73[[#This Row],[Date]],Database!$A:$C,MATCH($C$1,Database!$A$1:$C$1,),)=0,#N/A,VLOOKUP(Table73[[#This Row],[Date]],Database!$A:$C,MATCH($C$1,Database!$A$1:$C$1,),))</f>
        <v/>
      </c>
      <c r="D703">
        <f>IFERROR(Table73[[#This Row],[United States 10y]]-Table73[[#This Row],[United States 2y]],#N/A)</f>
        <v/>
      </c>
    </row>
    <row r="704">
      <c r="A704" s="6">
        <f>Database!A703</f>
        <v/>
      </c>
      <c r="B704">
        <f>IF(VLOOKUP(Table73[[#This Row],[Date]],Database!$A:$E,MATCH($B$1,Database!$A$1:$E$1,),)=0,#N/A,VLOOKUP(Table73[[#This Row],[Date]],Database!$A:$E,MATCH($B$1,Database!$A$1:$E$1,),))</f>
        <v/>
      </c>
      <c r="C704">
        <f>IF(VLOOKUP(Table73[[#This Row],[Date]],Database!$A:$C,MATCH($C$1,Database!$A$1:$C$1,),)=0,#N/A,VLOOKUP(Table73[[#This Row],[Date]],Database!$A:$C,MATCH($C$1,Database!$A$1:$C$1,),))</f>
        <v/>
      </c>
      <c r="D704">
        <f>IFERROR(Table73[[#This Row],[United States 10y]]-Table73[[#This Row],[United States 2y]],#N/A)</f>
        <v/>
      </c>
    </row>
    <row r="705">
      <c r="A705" s="6">
        <f>Database!A704</f>
        <v/>
      </c>
      <c r="B705">
        <f>IF(VLOOKUP(Table73[[#This Row],[Date]],Database!$A:$E,MATCH($B$1,Database!$A$1:$E$1,),)=0,#N/A,VLOOKUP(Table73[[#This Row],[Date]],Database!$A:$E,MATCH($B$1,Database!$A$1:$E$1,),))</f>
        <v/>
      </c>
      <c r="C705">
        <f>IF(VLOOKUP(Table73[[#This Row],[Date]],Database!$A:$C,MATCH($C$1,Database!$A$1:$C$1,),)=0,#N/A,VLOOKUP(Table73[[#This Row],[Date]],Database!$A:$C,MATCH($C$1,Database!$A$1:$C$1,),))</f>
        <v/>
      </c>
      <c r="D705">
        <f>IFERROR(Table73[[#This Row],[United States 10y]]-Table73[[#This Row],[United States 2y]],#N/A)</f>
        <v/>
      </c>
    </row>
    <row r="706">
      <c r="A706" s="6">
        <f>Database!A705</f>
        <v/>
      </c>
      <c r="B706">
        <f>IF(VLOOKUP(Table73[[#This Row],[Date]],Database!$A:$E,MATCH($B$1,Database!$A$1:$E$1,),)=0,#N/A,VLOOKUP(Table73[[#This Row],[Date]],Database!$A:$E,MATCH($B$1,Database!$A$1:$E$1,),))</f>
        <v/>
      </c>
      <c r="C706">
        <f>IF(VLOOKUP(Table73[[#This Row],[Date]],Database!$A:$C,MATCH($C$1,Database!$A$1:$C$1,),)=0,#N/A,VLOOKUP(Table73[[#This Row],[Date]],Database!$A:$C,MATCH($C$1,Database!$A$1:$C$1,),))</f>
        <v/>
      </c>
      <c r="D706">
        <f>IFERROR(Table73[[#This Row],[United States 10y]]-Table73[[#This Row],[United States 2y]],#N/A)</f>
        <v/>
      </c>
    </row>
    <row r="707">
      <c r="A707" s="6">
        <f>Database!A706</f>
        <v/>
      </c>
      <c r="B707">
        <f>IF(VLOOKUP(Table73[[#This Row],[Date]],Database!$A:$E,MATCH($B$1,Database!$A$1:$E$1,),)=0,#N/A,VLOOKUP(Table73[[#This Row],[Date]],Database!$A:$E,MATCH($B$1,Database!$A$1:$E$1,),))</f>
        <v/>
      </c>
      <c r="C707">
        <f>IF(VLOOKUP(Table73[[#This Row],[Date]],Database!$A:$C,MATCH($C$1,Database!$A$1:$C$1,),)=0,#N/A,VLOOKUP(Table73[[#This Row],[Date]],Database!$A:$C,MATCH($C$1,Database!$A$1:$C$1,),))</f>
        <v/>
      </c>
      <c r="D707">
        <f>IFERROR(Table73[[#This Row],[United States 10y]]-Table73[[#This Row],[United States 2y]],#N/A)</f>
        <v/>
      </c>
    </row>
    <row r="708">
      <c r="A708" s="6">
        <f>Database!A707</f>
        <v/>
      </c>
      <c r="B708">
        <f>IF(VLOOKUP(Table73[[#This Row],[Date]],Database!$A:$E,MATCH($B$1,Database!$A$1:$E$1,),)=0,#N/A,VLOOKUP(Table73[[#This Row],[Date]],Database!$A:$E,MATCH($B$1,Database!$A$1:$E$1,),))</f>
        <v/>
      </c>
      <c r="C708">
        <f>IF(VLOOKUP(Table73[[#This Row],[Date]],Database!$A:$C,MATCH($C$1,Database!$A$1:$C$1,),)=0,#N/A,VLOOKUP(Table73[[#This Row],[Date]],Database!$A:$C,MATCH($C$1,Database!$A$1:$C$1,),))</f>
        <v/>
      </c>
      <c r="D708">
        <f>IFERROR(Table73[[#This Row],[United States 10y]]-Table73[[#This Row],[United States 2y]],#N/A)</f>
        <v/>
      </c>
    </row>
    <row r="709">
      <c r="A709" s="6">
        <f>Database!A708</f>
        <v/>
      </c>
      <c r="B709">
        <f>IF(VLOOKUP(Table73[[#This Row],[Date]],Database!$A:$E,MATCH($B$1,Database!$A$1:$E$1,),)=0,#N/A,VLOOKUP(Table73[[#This Row],[Date]],Database!$A:$E,MATCH($B$1,Database!$A$1:$E$1,),))</f>
        <v/>
      </c>
      <c r="C709">
        <f>IF(VLOOKUP(Table73[[#This Row],[Date]],Database!$A:$C,MATCH($C$1,Database!$A$1:$C$1,),)=0,#N/A,VLOOKUP(Table73[[#This Row],[Date]],Database!$A:$C,MATCH($C$1,Database!$A$1:$C$1,),))</f>
        <v/>
      </c>
      <c r="D709">
        <f>IFERROR(Table73[[#This Row],[United States 10y]]-Table73[[#This Row],[United States 2y]],#N/A)</f>
        <v/>
      </c>
    </row>
    <row r="710">
      <c r="A710" s="6">
        <f>Database!A709</f>
        <v/>
      </c>
      <c r="B710">
        <f>IF(VLOOKUP(Table73[[#This Row],[Date]],Database!$A:$E,MATCH($B$1,Database!$A$1:$E$1,),)=0,#N/A,VLOOKUP(Table73[[#This Row],[Date]],Database!$A:$E,MATCH($B$1,Database!$A$1:$E$1,),))</f>
        <v/>
      </c>
      <c r="C710">
        <f>IF(VLOOKUP(Table73[[#This Row],[Date]],Database!$A:$C,MATCH($C$1,Database!$A$1:$C$1,),)=0,#N/A,VLOOKUP(Table73[[#This Row],[Date]],Database!$A:$C,MATCH($C$1,Database!$A$1:$C$1,),))</f>
        <v/>
      </c>
      <c r="D710">
        <f>IFERROR(Table73[[#This Row],[United States 10y]]-Table73[[#This Row],[United States 2y]],#N/A)</f>
        <v/>
      </c>
    </row>
    <row r="711">
      <c r="A711" s="6">
        <f>Database!A710</f>
        <v/>
      </c>
      <c r="B711">
        <f>IF(VLOOKUP(Table73[[#This Row],[Date]],Database!$A:$E,MATCH($B$1,Database!$A$1:$E$1,),)=0,#N/A,VLOOKUP(Table73[[#This Row],[Date]],Database!$A:$E,MATCH($B$1,Database!$A$1:$E$1,),))</f>
        <v/>
      </c>
      <c r="C711">
        <f>IF(VLOOKUP(Table73[[#This Row],[Date]],Database!$A:$C,MATCH($C$1,Database!$A$1:$C$1,),)=0,#N/A,VLOOKUP(Table73[[#This Row],[Date]],Database!$A:$C,MATCH($C$1,Database!$A$1:$C$1,),))</f>
        <v/>
      </c>
      <c r="D711">
        <f>IFERROR(Table73[[#This Row],[United States 10y]]-Table73[[#This Row],[United States 2y]],#N/A)</f>
        <v/>
      </c>
    </row>
    <row r="712">
      <c r="A712" s="6">
        <f>Database!A711</f>
        <v/>
      </c>
      <c r="B712">
        <f>IF(VLOOKUP(Table73[[#This Row],[Date]],Database!$A:$E,MATCH($B$1,Database!$A$1:$E$1,),)=0,#N/A,VLOOKUP(Table73[[#This Row],[Date]],Database!$A:$E,MATCH($B$1,Database!$A$1:$E$1,),))</f>
        <v/>
      </c>
      <c r="C712">
        <f>IF(VLOOKUP(Table73[[#This Row],[Date]],Database!$A:$C,MATCH($C$1,Database!$A$1:$C$1,),)=0,#N/A,VLOOKUP(Table73[[#This Row],[Date]],Database!$A:$C,MATCH($C$1,Database!$A$1:$C$1,),))</f>
        <v/>
      </c>
      <c r="D712">
        <f>IFERROR(Table73[[#This Row],[United States 10y]]-Table73[[#This Row],[United States 2y]],#N/A)</f>
        <v/>
      </c>
    </row>
    <row r="713">
      <c r="A713" s="6">
        <f>Database!A712</f>
        <v/>
      </c>
      <c r="B713">
        <f>IF(VLOOKUP(Table73[[#This Row],[Date]],Database!$A:$E,MATCH($B$1,Database!$A$1:$E$1,),)=0,#N/A,VLOOKUP(Table73[[#This Row],[Date]],Database!$A:$E,MATCH($B$1,Database!$A$1:$E$1,),))</f>
        <v/>
      </c>
      <c r="C713">
        <f>IF(VLOOKUP(Table73[[#This Row],[Date]],Database!$A:$C,MATCH($C$1,Database!$A$1:$C$1,),)=0,#N/A,VLOOKUP(Table73[[#This Row],[Date]],Database!$A:$C,MATCH($C$1,Database!$A$1:$C$1,),))</f>
        <v/>
      </c>
      <c r="D713">
        <f>IFERROR(Table73[[#This Row],[United States 10y]]-Table73[[#This Row],[United States 2y]],#N/A)</f>
        <v/>
      </c>
    </row>
    <row r="714">
      <c r="A714" s="6">
        <f>Database!A713</f>
        <v/>
      </c>
      <c r="B714">
        <f>IF(VLOOKUP(Table73[[#This Row],[Date]],Database!$A:$E,MATCH($B$1,Database!$A$1:$E$1,),)=0,#N/A,VLOOKUP(Table73[[#This Row],[Date]],Database!$A:$E,MATCH($B$1,Database!$A$1:$E$1,),))</f>
        <v/>
      </c>
      <c r="C714">
        <f>IF(VLOOKUP(Table73[[#This Row],[Date]],Database!$A:$C,MATCH($C$1,Database!$A$1:$C$1,),)=0,#N/A,VLOOKUP(Table73[[#This Row],[Date]],Database!$A:$C,MATCH($C$1,Database!$A$1:$C$1,),))</f>
        <v/>
      </c>
      <c r="D714">
        <f>IFERROR(Table73[[#This Row],[United States 10y]]-Table73[[#This Row],[United States 2y]],#N/A)</f>
        <v/>
      </c>
    </row>
    <row r="715">
      <c r="A715" s="6">
        <f>Database!A714</f>
        <v/>
      </c>
      <c r="B715">
        <f>IF(VLOOKUP(Table73[[#This Row],[Date]],Database!$A:$E,MATCH($B$1,Database!$A$1:$E$1,),)=0,#N/A,VLOOKUP(Table73[[#This Row],[Date]],Database!$A:$E,MATCH($B$1,Database!$A$1:$E$1,),))</f>
        <v/>
      </c>
      <c r="C715">
        <f>IF(VLOOKUP(Table73[[#This Row],[Date]],Database!$A:$C,MATCH($C$1,Database!$A$1:$C$1,),)=0,#N/A,VLOOKUP(Table73[[#This Row],[Date]],Database!$A:$C,MATCH($C$1,Database!$A$1:$C$1,),))</f>
        <v/>
      </c>
      <c r="D715">
        <f>IFERROR(Table73[[#This Row],[United States 10y]]-Table73[[#This Row],[United States 2y]],#N/A)</f>
        <v/>
      </c>
    </row>
    <row r="716">
      <c r="A716" s="6">
        <f>Database!A715</f>
        <v/>
      </c>
      <c r="B716">
        <f>IF(VLOOKUP(Table73[[#This Row],[Date]],Database!$A:$E,MATCH($B$1,Database!$A$1:$E$1,),)=0,#N/A,VLOOKUP(Table73[[#This Row],[Date]],Database!$A:$E,MATCH($B$1,Database!$A$1:$E$1,),))</f>
        <v/>
      </c>
      <c r="C716">
        <f>IF(VLOOKUP(Table73[[#This Row],[Date]],Database!$A:$C,MATCH($C$1,Database!$A$1:$C$1,),)=0,#N/A,VLOOKUP(Table73[[#This Row],[Date]],Database!$A:$C,MATCH($C$1,Database!$A$1:$C$1,),))</f>
        <v/>
      </c>
      <c r="D716">
        <f>IFERROR(Table73[[#This Row],[United States 10y]]-Table73[[#This Row],[United States 2y]],#N/A)</f>
        <v/>
      </c>
    </row>
    <row r="717">
      <c r="A717" s="6">
        <f>Database!A716</f>
        <v/>
      </c>
      <c r="B717">
        <f>IF(VLOOKUP(Table73[[#This Row],[Date]],Database!$A:$E,MATCH($B$1,Database!$A$1:$E$1,),)=0,#N/A,VLOOKUP(Table73[[#This Row],[Date]],Database!$A:$E,MATCH($B$1,Database!$A$1:$E$1,),))</f>
        <v/>
      </c>
      <c r="C717">
        <f>IF(VLOOKUP(Table73[[#This Row],[Date]],Database!$A:$C,MATCH($C$1,Database!$A$1:$C$1,),)=0,#N/A,VLOOKUP(Table73[[#This Row],[Date]],Database!$A:$C,MATCH($C$1,Database!$A$1:$C$1,),))</f>
        <v/>
      </c>
      <c r="D717">
        <f>IFERROR(Table73[[#This Row],[United States 10y]]-Table73[[#This Row],[United States 2y]],#N/A)</f>
        <v/>
      </c>
    </row>
    <row r="718">
      <c r="A718" s="6">
        <f>Database!A717</f>
        <v/>
      </c>
      <c r="B718">
        <f>IF(VLOOKUP(Table73[[#This Row],[Date]],Database!$A:$E,MATCH($B$1,Database!$A$1:$E$1,),)=0,#N/A,VLOOKUP(Table73[[#This Row],[Date]],Database!$A:$E,MATCH($B$1,Database!$A$1:$E$1,),))</f>
        <v/>
      </c>
      <c r="C718">
        <f>IF(VLOOKUP(Table73[[#This Row],[Date]],Database!$A:$C,MATCH($C$1,Database!$A$1:$C$1,),)=0,#N/A,VLOOKUP(Table73[[#This Row],[Date]],Database!$A:$C,MATCH($C$1,Database!$A$1:$C$1,),))</f>
        <v/>
      </c>
      <c r="D718">
        <f>IFERROR(Table73[[#This Row],[United States 10y]]-Table73[[#This Row],[United States 2y]],#N/A)</f>
        <v/>
      </c>
    </row>
    <row r="719">
      <c r="A719" s="6">
        <f>Database!A718</f>
        <v/>
      </c>
      <c r="B719">
        <f>IF(VLOOKUP(Table73[[#This Row],[Date]],Database!$A:$E,MATCH($B$1,Database!$A$1:$E$1,),)=0,#N/A,VLOOKUP(Table73[[#This Row],[Date]],Database!$A:$E,MATCH($B$1,Database!$A$1:$E$1,),))</f>
        <v/>
      </c>
      <c r="C719">
        <f>IF(VLOOKUP(Table73[[#This Row],[Date]],Database!$A:$C,MATCH($C$1,Database!$A$1:$C$1,),)=0,#N/A,VLOOKUP(Table73[[#This Row],[Date]],Database!$A:$C,MATCH($C$1,Database!$A$1:$C$1,),))</f>
        <v/>
      </c>
      <c r="D719">
        <f>IFERROR(Table73[[#This Row],[United States 10y]]-Table73[[#This Row],[United States 2y]],#N/A)</f>
        <v/>
      </c>
    </row>
    <row r="720">
      <c r="A720" s="6">
        <f>Database!A719</f>
        <v/>
      </c>
      <c r="B720">
        <f>IF(VLOOKUP(Table73[[#This Row],[Date]],Database!$A:$E,MATCH($B$1,Database!$A$1:$E$1,),)=0,#N/A,VLOOKUP(Table73[[#This Row],[Date]],Database!$A:$E,MATCH($B$1,Database!$A$1:$E$1,),))</f>
        <v/>
      </c>
      <c r="C720">
        <f>IF(VLOOKUP(Table73[[#This Row],[Date]],Database!$A:$C,MATCH($C$1,Database!$A$1:$C$1,),)=0,#N/A,VLOOKUP(Table73[[#This Row],[Date]],Database!$A:$C,MATCH($C$1,Database!$A$1:$C$1,),))</f>
        <v/>
      </c>
      <c r="D720">
        <f>IFERROR(Table73[[#This Row],[United States 10y]]-Table73[[#This Row],[United States 2y]],#N/A)</f>
        <v/>
      </c>
    </row>
    <row r="721">
      <c r="A721" s="6">
        <f>Database!A720</f>
        <v/>
      </c>
      <c r="B721">
        <f>IF(VLOOKUP(Table73[[#This Row],[Date]],Database!$A:$E,MATCH($B$1,Database!$A$1:$E$1,),)=0,#N/A,VLOOKUP(Table73[[#This Row],[Date]],Database!$A:$E,MATCH($B$1,Database!$A$1:$E$1,),))</f>
        <v/>
      </c>
      <c r="C721">
        <f>IF(VLOOKUP(Table73[[#This Row],[Date]],Database!$A:$C,MATCH($C$1,Database!$A$1:$C$1,),)=0,#N/A,VLOOKUP(Table73[[#This Row],[Date]],Database!$A:$C,MATCH($C$1,Database!$A$1:$C$1,),))</f>
        <v/>
      </c>
      <c r="D721">
        <f>IFERROR(Table73[[#This Row],[United States 10y]]-Table73[[#This Row],[United States 2y]],#N/A)</f>
        <v/>
      </c>
    </row>
    <row r="722">
      <c r="A722" s="6">
        <f>Database!A721</f>
        <v/>
      </c>
      <c r="B722">
        <f>IF(VLOOKUP(Table73[[#This Row],[Date]],Database!$A:$E,MATCH($B$1,Database!$A$1:$E$1,),)=0,#N/A,VLOOKUP(Table73[[#This Row],[Date]],Database!$A:$E,MATCH($B$1,Database!$A$1:$E$1,),))</f>
        <v/>
      </c>
      <c r="C722">
        <f>IF(VLOOKUP(Table73[[#This Row],[Date]],Database!$A:$C,MATCH($C$1,Database!$A$1:$C$1,),)=0,#N/A,VLOOKUP(Table73[[#This Row],[Date]],Database!$A:$C,MATCH($C$1,Database!$A$1:$C$1,),))</f>
        <v/>
      </c>
      <c r="D722">
        <f>IFERROR(Table73[[#This Row],[United States 10y]]-Table73[[#This Row],[United States 2y]],#N/A)</f>
        <v/>
      </c>
    </row>
    <row r="723">
      <c r="A723" s="6">
        <f>Database!A722</f>
        <v/>
      </c>
      <c r="B723">
        <f>IF(VLOOKUP(Table73[[#This Row],[Date]],Database!$A:$E,MATCH($B$1,Database!$A$1:$E$1,),)=0,#N/A,VLOOKUP(Table73[[#This Row],[Date]],Database!$A:$E,MATCH($B$1,Database!$A$1:$E$1,),))</f>
        <v/>
      </c>
      <c r="C723">
        <f>IF(VLOOKUP(Table73[[#This Row],[Date]],Database!$A:$C,MATCH($C$1,Database!$A$1:$C$1,),)=0,#N/A,VLOOKUP(Table73[[#This Row],[Date]],Database!$A:$C,MATCH($C$1,Database!$A$1:$C$1,),))</f>
        <v/>
      </c>
      <c r="D723">
        <f>IFERROR(Table73[[#This Row],[United States 10y]]-Table73[[#This Row],[United States 2y]],#N/A)</f>
        <v/>
      </c>
    </row>
    <row r="724">
      <c r="A724" s="6">
        <f>Database!A723</f>
        <v/>
      </c>
      <c r="B724">
        <f>IF(VLOOKUP(Table73[[#This Row],[Date]],Database!$A:$E,MATCH($B$1,Database!$A$1:$E$1,),)=0,#N/A,VLOOKUP(Table73[[#This Row],[Date]],Database!$A:$E,MATCH($B$1,Database!$A$1:$E$1,),))</f>
        <v/>
      </c>
      <c r="C724">
        <f>IF(VLOOKUP(Table73[[#This Row],[Date]],Database!$A:$C,MATCH($C$1,Database!$A$1:$C$1,),)=0,#N/A,VLOOKUP(Table73[[#This Row],[Date]],Database!$A:$C,MATCH($C$1,Database!$A$1:$C$1,),))</f>
        <v/>
      </c>
      <c r="D724">
        <f>IFERROR(Table73[[#This Row],[United States 10y]]-Table73[[#This Row],[United States 2y]],#N/A)</f>
        <v/>
      </c>
    </row>
    <row r="725">
      <c r="A725" s="6">
        <f>Database!A724</f>
        <v/>
      </c>
      <c r="B725">
        <f>IF(VLOOKUP(Table73[[#This Row],[Date]],Database!$A:$E,MATCH($B$1,Database!$A$1:$E$1,),)=0,#N/A,VLOOKUP(Table73[[#This Row],[Date]],Database!$A:$E,MATCH($B$1,Database!$A$1:$E$1,),))</f>
        <v/>
      </c>
      <c r="C725">
        <f>IF(VLOOKUP(Table73[[#This Row],[Date]],Database!$A:$C,MATCH($C$1,Database!$A$1:$C$1,),)=0,#N/A,VLOOKUP(Table73[[#This Row],[Date]],Database!$A:$C,MATCH($C$1,Database!$A$1:$C$1,),))</f>
        <v/>
      </c>
      <c r="D725">
        <f>IFERROR(Table73[[#This Row],[United States 10y]]-Table73[[#This Row],[United States 2y]],#N/A)</f>
        <v/>
      </c>
    </row>
    <row r="726">
      <c r="A726" s="6">
        <f>Database!A725</f>
        <v/>
      </c>
      <c r="B726">
        <f>IF(VLOOKUP(Table73[[#This Row],[Date]],Database!$A:$E,MATCH($B$1,Database!$A$1:$E$1,),)=0,#N/A,VLOOKUP(Table73[[#This Row],[Date]],Database!$A:$E,MATCH($B$1,Database!$A$1:$E$1,),))</f>
        <v/>
      </c>
      <c r="C726">
        <f>IF(VLOOKUP(Table73[[#This Row],[Date]],Database!$A:$C,MATCH($C$1,Database!$A$1:$C$1,),)=0,#N/A,VLOOKUP(Table73[[#This Row],[Date]],Database!$A:$C,MATCH($C$1,Database!$A$1:$C$1,),))</f>
        <v/>
      </c>
      <c r="D726">
        <f>IFERROR(Table73[[#This Row],[United States 10y]]-Table73[[#This Row],[United States 2y]],#N/A)</f>
        <v/>
      </c>
    </row>
    <row r="727">
      <c r="A727" s="6">
        <f>Database!A726</f>
        <v/>
      </c>
      <c r="B727">
        <f>IF(VLOOKUP(Table73[[#This Row],[Date]],Database!$A:$E,MATCH($B$1,Database!$A$1:$E$1,),)=0,#N/A,VLOOKUP(Table73[[#This Row],[Date]],Database!$A:$E,MATCH($B$1,Database!$A$1:$E$1,),))</f>
        <v/>
      </c>
      <c r="C727">
        <f>IF(VLOOKUP(Table73[[#This Row],[Date]],Database!$A:$C,MATCH($C$1,Database!$A$1:$C$1,),)=0,#N/A,VLOOKUP(Table73[[#This Row],[Date]],Database!$A:$C,MATCH($C$1,Database!$A$1:$C$1,),))</f>
        <v/>
      </c>
      <c r="D727">
        <f>IFERROR(Table73[[#This Row],[United States 10y]]-Table73[[#This Row],[United States 2y]],#N/A)</f>
        <v/>
      </c>
    </row>
    <row r="728">
      <c r="A728" s="6">
        <f>Database!A727</f>
        <v/>
      </c>
      <c r="B728">
        <f>IF(VLOOKUP(Table73[[#This Row],[Date]],Database!$A:$E,MATCH($B$1,Database!$A$1:$E$1,),)=0,#N/A,VLOOKUP(Table73[[#This Row],[Date]],Database!$A:$E,MATCH($B$1,Database!$A$1:$E$1,),))</f>
        <v/>
      </c>
      <c r="C728">
        <f>IF(VLOOKUP(Table73[[#This Row],[Date]],Database!$A:$C,MATCH($C$1,Database!$A$1:$C$1,),)=0,#N/A,VLOOKUP(Table73[[#This Row],[Date]],Database!$A:$C,MATCH($C$1,Database!$A$1:$C$1,),))</f>
        <v/>
      </c>
      <c r="D728">
        <f>IFERROR(Table73[[#This Row],[United States 10y]]-Table73[[#This Row],[United States 2y]],#N/A)</f>
        <v/>
      </c>
    </row>
    <row r="729">
      <c r="A729" s="6">
        <f>Database!A728</f>
        <v/>
      </c>
      <c r="B729">
        <f>IF(VLOOKUP(Table73[[#This Row],[Date]],Database!$A:$E,MATCH($B$1,Database!$A$1:$E$1,),)=0,#N/A,VLOOKUP(Table73[[#This Row],[Date]],Database!$A:$E,MATCH($B$1,Database!$A$1:$E$1,),))</f>
        <v/>
      </c>
      <c r="C729">
        <f>IF(VLOOKUP(Table73[[#This Row],[Date]],Database!$A:$C,MATCH($C$1,Database!$A$1:$C$1,),)=0,#N/A,VLOOKUP(Table73[[#This Row],[Date]],Database!$A:$C,MATCH($C$1,Database!$A$1:$C$1,),))</f>
        <v/>
      </c>
      <c r="D729">
        <f>IFERROR(Table73[[#This Row],[United States 10y]]-Table73[[#This Row],[United States 2y]],#N/A)</f>
        <v/>
      </c>
    </row>
    <row r="730">
      <c r="A730" s="6">
        <f>Database!A729</f>
        <v/>
      </c>
      <c r="B730">
        <f>IF(VLOOKUP(Table73[[#This Row],[Date]],Database!$A:$E,MATCH($B$1,Database!$A$1:$E$1,),)=0,#N/A,VLOOKUP(Table73[[#This Row],[Date]],Database!$A:$E,MATCH($B$1,Database!$A$1:$E$1,),))</f>
        <v/>
      </c>
      <c r="C730">
        <f>IF(VLOOKUP(Table73[[#This Row],[Date]],Database!$A:$C,MATCH($C$1,Database!$A$1:$C$1,),)=0,#N/A,VLOOKUP(Table73[[#This Row],[Date]],Database!$A:$C,MATCH($C$1,Database!$A$1:$C$1,),))</f>
        <v/>
      </c>
      <c r="D730">
        <f>IFERROR(Table73[[#This Row],[United States 10y]]-Table73[[#This Row],[United States 2y]],#N/A)</f>
        <v/>
      </c>
    </row>
    <row r="731">
      <c r="A731" s="6">
        <f>Database!A730</f>
        <v/>
      </c>
      <c r="B731">
        <f>IF(VLOOKUP(Table73[[#This Row],[Date]],Database!$A:$E,MATCH($B$1,Database!$A$1:$E$1,),)=0,#N/A,VLOOKUP(Table73[[#This Row],[Date]],Database!$A:$E,MATCH($B$1,Database!$A$1:$E$1,),))</f>
        <v/>
      </c>
      <c r="C731">
        <f>IF(VLOOKUP(Table73[[#This Row],[Date]],Database!$A:$C,MATCH($C$1,Database!$A$1:$C$1,),)=0,#N/A,VLOOKUP(Table73[[#This Row],[Date]],Database!$A:$C,MATCH($C$1,Database!$A$1:$C$1,),))</f>
        <v/>
      </c>
      <c r="D731">
        <f>IFERROR(Table73[[#This Row],[United States 10y]]-Table73[[#This Row],[United States 2y]],#N/A)</f>
        <v/>
      </c>
    </row>
    <row r="732">
      <c r="A732" s="6">
        <f>Database!A731</f>
        <v/>
      </c>
      <c r="B732">
        <f>IF(VLOOKUP(Table73[[#This Row],[Date]],Database!$A:$E,MATCH($B$1,Database!$A$1:$E$1,),)=0,#N/A,VLOOKUP(Table73[[#This Row],[Date]],Database!$A:$E,MATCH($B$1,Database!$A$1:$E$1,),))</f>
        <v/>
      </c>
      <c r="C732">
        <f>IF(VLOOKUP(Table73[[#This Row],[Date]],Database!$A:$C,MATCH($C$1,Database!$A$1:$C$1,),)=0,#N/A,VLOOKUP(Table73[[#This Row],[Date]],Database!$A:$C,MATCH($C$1,Database!$A$1:$C$1,),))</f>
        <v/>
      </c>
      <c r="D732">
        <f>IFERROR(Table73[[#This Row],[United States 10y]]-Table73[[#This Row],[United States 2y]],#N/A)</f>
        <v/>
      </c>
    </row>
    <row r="733">
      <c r="A733" s="6">
        <f>Database!A732</f>
        <v/>
      </c>
      <c r="B733">
        <f>IF(VLOOKUP(Table73[[#This Row],[Date]],Database!$A:$E,MATCH($B$1,Database!$A$1:$E$1,),)=0,#N/A,VLOOKUP(Table73[[#This Row],[Date]],Database!$A:$E,MATCH($B$1,Database!$A$1:$E$1,),))</f>
        <v/>
      </c>
      <c r="C733">
        <f>IF(VLOOKUP(Table73[[#This Row],[Date]],Database!$A:$C,MATCH($C$1,Database!$A$1:$C$1,),)=0,#N/A,VLOOKUP(Table73[[#This Row],[Date]],Database!$A:$C,MATCH($C$1,Database!$A$1:$C$1,),))</f>
        <v/>
      </c>
      <c r="D733">
        <f>IFERROR(Table73[[#This Row],[United States 10y]]-Table73[[#This Row],[United States 2y]],#N/A)</f>
        <v/>
      </c>
    </row>
    <row r="734">
      <c r="A734" s="6">
        <f>Database!A733</f>
        <v/>
      </c>
      <c r="B734">
        <f>IF(VLOOKUP(Table73[[#This Row],[Date]],Database!$A:$E,MATCH($B$1,Database!$A$1:$E$1,),)=0,#N/A,VLOOKUP(Table73[[#This Row],[Date]],Database!$A:$E,MATCH($B$1,Database!$A$1:$E$1,),))</f>
        <v/>
      </c>
      <c r="C734">
        <f>IF(VLOOKUP(Table73[[#This Row],[Date]],Database!$A:$C,MATCH($C$1,Database!$A$1:$C$1,),)=0,#N/A,VLOOKUP(Table73[[#This Row],[Date]],Database!$A:$C,MATCH($C$1,Database!$A$1:$C$1,),))</f>
        <v/>
      </c>
      <c r="D734">
        <f>IFERROR(Table73[[#This Row],[United States 10y]]-Table73[[#This Row],[United States 2y]],#N/A)</f>
        <v/>
      </c>
    </row>
    <row r="735">
      <c r="A735" s="6">
        <f>Database!A734</f>
        <v/>
      </c>
      <c r="B735">
        <f>IF(VLOOKUP(Table73[[#This Row],[Date]],Database!$A:$E,MATCH($B$1,Database!$A$1:$E$1,),)=0,#N/A,VLOOKUP(Table73[[#This Row],[Date]],Database!$A:$E,MATCH($B$1,Database!$A$1:$E$1,),))</f>
        <v/>
      </c>
      <c r="C735">
        <f>IF(VLOOKUP(Table73[[#This Row],[Date]],Database!$A:$C,MATCH($C$1,Database!$A$1:$C$1,),)=0,#N/A,VLOOKUP(Table73[[#This Row],[Date]],Database!$A:$C,MATCH($C$1,Database!$A$1:$C$1,),))</f>
        <v/>
      </c>
      <c r="D735">
        <f>IFERROR(Table73[[#This Row],[United States 10y]]-Table73[[#This Row],[United States 2y]],#N/A)</f>
        <v/>
      </c>
    </row>
    <row r="736">
      <c r="A736" s="6">
        <f>Database!A735</f>
        <v/>
      </c>
      <c r="B736">
        <f>IF(VLOOKUP(Table73[[#This Row],[Date]],Database!$A:$E,MATCH($B$1,Database!$A$1:$E$1,),)=0,#N/A,VLOOKUP(Table73[[#This Row],[Date]],Database!$A:$E,MATCH($B$1,Database!$A$1:$E$1,),))</f>
        <v/>
      </c>
      <c r="C736">
        <f>IF(VLOOKUP(Table73[[#This Row],[Date]],Database!$A:$C,MATCH($C$1,Database!$A$1:$C$1,),)=0,#N/A,VLOOKUP(Table73[[#This Row],[Date]],Database!$A:$C,MATCH($C$1,Database!$A$1:$C$1,),))</f>
        <v/>
      </c>
      <c r="D736">
        <f>IFERROR(Table73[[#This Row],[United States 10y]]-Table73[[#This Row],[United States 2y]],#N/A)</f>
        <v/>
      </c>
    </row>
    <row r="737">
      <c r="A737" s="6">
        <f>Database!A736</f>
        <v/>
      </c>
      <c r="B737">
        <f>IF(VLOOKUP(Table73[[#This Row],[Date]],Database!$A:$E,MATCH($B$1,Database!$A$1:$E$1,),)=0,#N/A,VLOOKUP(Table73[[#This Row],[Date]],Database!$A:$E,MATCH($B$1,Database!$A$1:$E$1,),))</f>
        <v/>
      </c>
      <c r="C737">
        <f>IF(VLOOKUP(Table73[[#This Row],[Date]],Database!$A:$C,MATCH($C$1,Database!$A$1:$C$1,),)=0,#N/A,VLOOKUP(Table73[[#This Row],[Date]],Database!$A:$C,MATCH($C$1,Database!$A$1:$C$1,),))</f>
        <v/>
      </c>
      <c r="D737">
        <f>IFERROR(Table73[[#This Row],[United States 10y]]-Table73[[#This Row],[United States 2y]],#N/A)</f>
        <v/>
      </c>
    </row>
    <row r="738">
      <c r="A738" s="6">
        <f>Database!A737</f>
        <v/>
      </c>
      <c r="B738">
        <f>IF(VLOOKUP(Table73[[#This Row],[Date]],Database!$A:$E,MATCH($B$1,Database!$A$1:$E$1,),)=0,#N/A,VLOOKUP(Table73[[#This Row],[Date]],Database!$A:$E,MATCH($B$1,Database!$A$1:$E$1,),))</f>
        <v/>
      </c>
      <c r="C738">
        <f>IF(VLOOKUP(Table73[[#This Row],[Date]],Database!$A:$C,MATCH($C$1,Database!$A$1:$C$1,),)=0,#N/A,VLOOKUP(Table73[[#This Row],[Date]],Database!$A:$C,MATCH($C$1,Database!$A$1:$C$1,),))</f>
        <v/>
      </c>
      <c r="D738">
        <f>IFERROR(Table73[[#This Row],[United States 10y]]-Table73[[#This Row],[United States 2y]],#N/A)</f>
        <v/>
      </c>
    </row>
    <row r="739">
      <c r="A739" s="6">
        <f>Database!A738</f>
        <v/>
      </c>
      <c r="B739">
        <f>IF(VLOOKUP(Table73[[#This Row],[Date]],Database!$A:$E,MATCH($B$1,Database!$A$1:$E$1,),)=0,#N/A,VLOOKUP(Table73[[#This Row],[Date]],Database!$A:$E,MATCH($B$1,Database!$A$1:$E$1,),))</f>
        <v/>
      </c>
      <c r="C739">
        <f>IF(VLOOKUP(Table73[[#This Row],[Date]],Database!$A:$C,MATCH($C$1,Database!$A$1:$C$1,),)=0,#N/A,VLOOKUP(Table73[[#This Row],[Date]],Database!$A:$C,MATCH($C$1,Database!$A$1:$C$1,),))</f>
        <v/>
      </c>
      <c r="D739">
        <f>IFERROR(Table73[[#This Row],[United States 10y]]-Table73[[#This Row],[United States 2y]],#N/A)</f>
        <v/>
      </c>
    </row>
    <row r="740">
      <c r="A740" s="6">
        <f>Database!A739</f>
        <v/>
      </c>
      <c r="B740">
        <f>IF(VLOOKUP(Table73[[#This Row],[Date]],Database!$A:$E,MATCH($B$1,Database!$A$1:$E$1,),)=0,#N/A,VLOOKUP(Table73[[#This Row],[Date]],Database!$A:$E,MATCH($B$1,Database!$A$1:$E$1,),))</f>
        <v/>
      </c>
      <c r="C740">
        <f>IF(VLOOKUP(Table73[[#This Row],[Date]],Database!$A:$C,MATCH($C$1,Database!$A$1:$C$1,),)=0,#N/A,VLOOKUP(Table73[[#This Row],[Date]],Database!$A:$C,MATCH($C$1,Database!$A$1:$C$1,),))</f>
        <v/>
      </c>
      <c r="D740">
        <f>IFERROR(Table73[[#This Row],[United States 10y]]-Table73[[#This Row],[United States 2y]],#N/A)</f>
        <v/>
      </c>
    </row>
    <row r="741">
      <c r="A741" s="6">
        <f>Database!A740</f>
        <v/>
      </c>
      <c r="B741">
        <f>IF(VLOOKUP(Table73[[#This Row],[Date]],Database!$A:$E,MATCH($B$1,Database!$A$1:$E$1,),)=0,#N/A,VLOOKUP(Table73[[#This Row],[Date]],Database!$A:$E,MATCH($B$1,Database!$A$1:$E$1,),))</f>
        <v/>
      </c>
      <c r="C741">
        <f>IF(VLOOKUP(Table73[[#This Row],[Date]],Database!$A:$C,MATCH($C$1,Database!$A$1:$C$1,),)=0,#N/A,VLOOKUP(Table73[[#This Row],[Date]],Database!$A:$C,MATCH($C$1,Database!$A$1:$C$1,),))</f>
        <v/>
      </c>
      <c r="D741">
        <f>IFERROR(Table73[[#This Row],[United States 10y]]-Table73[[#This Row],[United States 2y]],#N/A)</f>
        <v/>
      </c>
    </row>
    <row r="742">
      <c r="A742" s="6">
        <f>Database!A741</f>
        <v/>
      </c>
      <c r="B742">
        <f>IF(VLOOKUP(Table73[[#This Row],[Date]],Database!$A:$E,MATCH($B$1,Database!$A$1:$E$1,),)=0,#N/A,VLOOKUP(Table73[[#This Row],[Date]],Database!$A:$E,MATCH($B$1,Database!$A$1:$E$1,),))</f>
        <v/>
      </c>
      <c r="C742">
        <f>IF(VLOOKUP(Table73[[#This Row],[Date]],Database!$A:$C,MATCH($C$1,Database!$A$1:$C$1,),)=0,#N/A,VLOOKUP(Table73[[#This Row],[Date]],Database!$A:$C,MATCH($C$1,Database!$A$1:$C$1,),))</f>
        <v/>
      </c>
      <c r="D742">
        <f>IFERROR(Table73[[#This Row],[United States 10y]]-Table73[[#This Row],[United States 2y]],#N/A)</f>
        <v/>
      </c>
    </row>
    <row r="743">
      <c r="A743" s="6">
        <f>Database!A742</f>
        <v/>
      </c>
      <c r="B743">
        <f>IF(VLOOKUP(Table73[[#This Row],[Date]],Database!$A:$E,MATCH($B$1,Database!$A$1:$E$1,),)=0,#N/A,VLOOKUP(Table73[[#This Row],[Date]],Database!$A:$E,MATCH($B$1,Database!$A$1:$E$1,),))</f>
        <v/>
      </c>
      <c r="C743">
        <f>IF(VLOOKUP(Table73[[#This Row],[Date]],Database!$A:$C,MATCH($C$1,Database!$A$1:$C$1,),)=0,#N/A,VLOOKUP(Table73[[#This Row],[Date]],Database!$A:$C,MATCH($C$1,Database!$A$1:$C$1,),))</f>
        <v/>
      </c>
      <c r="D743">
        <f>IFERROR(Table73[[#This Row],[United States 10y]]-Table73[[#This Row],[United States 2y]],#N/A)</f>
        <v/>
      </c>
    </row>
    <row r="744">
      <c r="A744" s="6">
        <f>Database!A743</f>
        <v/>
      </c>
      <c r="B744">
        <f>IF(VLOOKUP(Table73[[#This Row],[Date]],Database!$A:$E,MATCH($B$1,Database!$A$1:$E$1,),)=0,#N/A,VLOOKUP(Table73[[#This Row],[Date]],Database!$A:$E,MATCH($B$1,Database!$A$1:$E$1,),))</f>
        <v/>
      </c>
      <c r="C744">
        <f>IF(VLOOKUP(Table73[[#This Row],[Date]],Database!$A:$C,MATCH($C$1,Database!$A$1:$C$1,),)=0,#N/A,VLOOKUP(Table73[[#This Row],[Date]],Database!$A:$C,MATCH($C$1,Database!$A$1:$C$1,),))</f>
        <v/>
      </c>
      <c r="D744">
        <f>IFERROR(Table73[[#This Row],[United States 10y]]-Table73[[#This Row],[United States 2y]],#N/A)</f>
        <v/>
      </c>
    </row>
    <row r="745">
      <c r="A745" s="6">
        <f>Database!A744</f>
        <v/>
      </c>
      <c r="B745">
        <f>IF(VLOOKUP(Table73[[#This Row],[Date]],Database!$A:$E,MATCH($B$1,Database!$A$1:$E$1,),)=0,#N/A,VLOOKUP(Table73[[#This Row],[Date]],Database!$A:$E,MATCH($B$1,Database!$A$1:$E$1,),))</f>
        <v/>
      </c>
      <c r="C745">
        <f>IF(VLOOKUP(Table73[[#This Row],[Date]],Database!$A:$C,MATCH($C$1,Database!$A$1:$C$1,),)=0,#N/A,VLOOKUP(Table73[[#This Row],[Date]],Database!$A:$C,MATCH($C$1,Database!$A$1:$C$1,),))</f>
        <v/>
      </c>
      <c r="D745">
        <f>IFERROR(Table73[[#This Row],[United States 10y]]-Table73[[#This Row],[United States 2y]],#N/A)</f>
        <v/>
      </c>
    </row>
    <row r="746">
      <c r="A746" s="6">
        <f>Database!A745</f>
        <v/>
      </c>
      <c r="B746">
        <f>IF(VLOOKUP(Table73[[#This Row],[Date]],Database!$A:$E,MATCH($B$1,Database!$A$1:$E$1,),)=0,#N/A,VLOOKUP(Table73[[#This Row],[Date]],Database!$A:$E,MATCH($B$1,Database!$A$1:$E$1,),))</f>
        <v/>
      </c>
      <c r="C746">
        <f>IF(VLOOKUP(Table73[[#This Row],[Date]],Database!$A:$C,MATCH($C$1,Database!$A$1:$C$1,),)=0,#N/A,VLOOKUP(Table73[[#This Row],[Date]],Database!$A:$C,MATCH($C$1,Database!$A$1:$C$1,),))</f>
        <v/>
      </c>
      <c r="D746">
        <f>IFERROR(Table73[[#This Row],[United States 10y]]-Table73[[#This Row],[United States 2y]],#N/A)</f>
        <v/>
      </c>
    </row>
    <row r="747">
      <c r="A747" s="6">
        <f>Database!A746</f>
        <v/>
      </c>
      <c r="B747">
        <f>IF(VLOOKUP(Table73[[#This Row],[Date]],Database!$A:$E,MATCH($B$1,Database!$A$1:$E$1,),)=0,#N/A,VLOOKUP(Table73[[#This Row],[Date]],Database!$A:$E,MATCH($B$1,Database!$A$1:$E$1,),))</f>
        <v/>
      </c>
      <c r="C747">
        <f>IF(VLOOKUP(Table73[[#This Row],[Date]],Database!$A:$C,MATCH($C$1,Database!$A$1:$C$1,),)=0,#N/A,VLOOKUP(Table73[[#This Row],[Date]],Database!$A:$C,MATCH($C$1,Database!$A$1:$C$1,),))</f>
        <v/>
      </c>
      <c r="D747">
        <f>IFERROR(Table73[[#This Row],[United States 10y]]-Table73[[#This Row],[United States 2y]],#N/A)</f>
        <v/>
      </c>
    </row>
    <row r="748">
      <c r="A748" s="6">
        <f>Database!A747</f>
        <v/>
      </c>
      <c r="B748">
        <f>IF(VLOOKUP(Table73[[#This Row],[Date]],Database!$A:$E,MATCH($B$1,Database!$A$1:$E$1,),)=0,#N/A,VLOOKUP(Table73[[#This Row],[Date]],Database!$A:$E,MATCH($B$1,Database!$A$1:$E$1,),))</f>
        <v/>
      </c>
      <c r="C748">
        <f>IF(VLOOKUP(Table73[[#This Row],[Date]],Database!$A:$C,MATCH($C$1,Database!$A$1:$C$1,),)=0,#N/A,VLOOKUP(Table73[[#This Row],[Date]],Database!$A:$C,MATCH($C$1,Database!$A$1:$C$1,),))</f>
        <v/>
      </c>
      <c r="D748">
        <f>IFERROR(Table73[[#This Row],[United States 10y]]-Table73[[#This Row],[United States 2y]],#N/A)</f>
        <v/>
      </c>
    </row>
    <row r="749">
      <c r="A749" s="6">
        <f>Database!A748</f>
        <v/>
      </c>
      <c r="B749">
        <f>IF(VLOOKUP(Table73[[#This Row],[Date]],Database!$A:$E,MATCH($B$1,Database!$A$1:$E$1,),)=0,#N/A,VLOOKUP(Table73[[#This Row],[Date]],Database!$A:$E,MATCH($B$1,Database!$A$1:$E$1,),))</f>
        <v/>
      </c>
      <c r="C749">
        <f>IF(VLOOKUP(Table73[[#This Row],[Date]],Database!$A:$C,MATCH($C$1,Database!$A$1:$C$1,),)=0,#N/A,VLOOKUP(Table73[[#This Row],[Date]],Database!$A:$C,MATCH($C$1,Database!$A$1:$C$1,),))</f>
        <v/>
      </c>
      <c r="D749">
        <f>IFERROR(Table73[[#This Row],[United States 10y]]-Table73[[#This Row],[United States 2y]],#N/A)</f>
        <v/>
      </c>
    </row>
    <row r="750">
      <c r="A750" s="6">
        <f>Database!A749</f>
        <v/>
      </c>
      <c r="B750">
        <f>IF(VLOOKUP(Table73[[#This Row],[Date]],Database!$A:$E,MATCH($B$1,Database!$A$1:$E$1,),)=0,#N/A,VLOOKUP(Table73[[#This Row],[Date]],Database!$A:$E,MATCH($B$1,Database!$A$1:$E$1,),))</f>
        <v/>
      </c>
      <c r="C750">
        <f>IF(VLOOKUP(Table73[[#This Row],[Date]],Database!$A:$C,MATCH($C$1,Database!$A$1:$C$1,),)=0,#N/A,VLOOKUP(Table73[[#This Row],[Date]],Database!$A:$C,MATCH($C$1,Database!$A$1:$C$1,),))</f>
        <v/>
      </c>
      <c r="D750">
        <f>IFERROR(Table73[[#This Row],[United States 10y]]-Table73[[#This Row],[United States 2y]],#N/A)</f>
        <v/>
      </c>
    </row>
    <row r="751">
      <c r="A751" s="6">
        <f>Database!A750</f>
        <v/>
      </c>
      <c r="B751">
        <f>IF(VLOOKUP(Table73[[#This Row],[Date]],Database!$A:$E,MATCH($B$1,Database!$A$1:$E$1,),)=0,#N/A,VLOOKUP(Table73[[#This Row],[Date]],Database!$A:$E,MATCH($B$1,Database!$A$1:$E$1,),))</f>
        <v/>
      </c>
      <c r="C751">
        <f>IF(VLOOKUP(Table73[[#This Row],[Date]],Database!$A:$C,MATCH($C$1,Database!$A$1:$C$1,),)=0,#N/A,VLOOKUP(Table73[[#This Row],[Date]],Database!$A:$C,MATCH($C$1,Database!$A$1:$C$1,),))</f>
        <v/>
      </c>
      <c r="D751">
        <f>IFERROR(Table73[[#This Row],[United States 10y]]-Table73[[#This Row],[United States 2y]],#N/A)</f>
        <v/>
      </c>
    </row>
    <row r="752">
      <c r="A752" s="6">
        <f>Database!A751</f>
        <v/>
      </c>
      <c r="B752">
        <f>IF(VLOOKUP(Table73[[#This Row],[Date]],Database!$A:$E,MATCH($B$1,Database!$A$1:$E$1,),)=0,#N/A,VLOOKUP(Table73[[#This Row],[Date]],Database!$A:$E,MATCH($B$1,Database!$A$1:$E$1,),))</f>
        <v/>
      </c>
      <c r="C752">
        <f>IF(VLOOKUP(Table73[[#This Row],[Date]],Database!$A:$C,MATCH($C$1,Database!$A$1:$C$1,),)=0,#N/A,VLOOKUP(Table73[[#This Row],[Date]],Database!$A:$C,MATCH($C$1,Database!$A$1:$C$1,),))</f>
        <v/>
      </c>
      <c r="D752">
        <f>IFERROR(Table73[[#This Row],[United States 10y]]-Table73[[#This Row],[United States 2y]],#N/A)</f>
        <v/>
      </c>
    </row>
    <row r="753">
      <c r="A753" s="6">
        <f>Database!A752</f>
        <v/>
      </c>
      <c r="B753">
        <f>IF(VLOOKUP(Table73[[#This Row],[Date]],Database!$A:$E,MATCH($B$1,Database!$A$1:$E$1,),)=0,#N/A,VLOOKUP(Table73[[#This Row],[Date]],Database!$A:$E,MATCH($B$1,Database!$A$1:$E$1,),))</f>
        <v/>
      </c>
      <c r="C753">
        <f>IF(VLOOKUP(Table73[[#This Row],[Date]],Database!$A:$C,MATCH($C$1,Database!$A$1:$C$1,),)=0,#N/A,VLOOKUP(Table73[[#This Row],[Date]],Database!$A:$C,MATCH($C$1,Database!$A$1:$C$1,),))</f>
        <v/>
      </c>
      <c r="D753">
        <f>IFERROR(Table73[[#This Row],[United States 10y]]-Table73[[#This Row],[United States 2y]],#N/A)</f>
        <v/>
      </c>
    </row>
    <row r="754">
      <c r="A754" s="6">
        <f>Database!A753</f>
        <v/>
      </c>
      <c r="B754">
        <f>IF(VLOOKUP(Table73[[#This Row],[Date]],Database!$A:$E,MATCH($B$1,Database!$A$1:$E$1,),)=0,#N/A,VLOOKUP(Table73[[#This Row],[Date]],Database!$A:$E,MATCH($B$1,Database!$A$1:$E$1,),))</f>
        <v/>
      </c>
      <c r="C754">
        <f>IF(VLOOKUP(Table73[[#This Row],[Date]],Database!$A:$C,MATCH($C$1,Database!$A$1:$C$1,),)=0,#N/A,VLOOKUP(Table73[[#This Row],[Date]],Database!$A:$C,MATCH($C$1,Database!$A$1:$C$1,),))</f>
        <v/>
      </c>
      <c r="D754">
        <f>IFERROR(Table73[[#This Row],[United States 10y]]-Table73[[#This Row],[United States 2y]],#N/A)</f>
        <v/>
      </c>
    </row>
    <row r="755">
      <c r="A755" s="6">
        <f>Database!A754</f>
        <v/>
      </c>
      <c r="B755">
        <f>IF(VLOOKUP(Table73[[#This Row],[Date]],Database!$A:$E,MATCH($B$1,Database!$A$1:$E$1,),)=0,#N/A,VLOOKUP(Table73[[#This Row],[Date]],Database!$A:$E,MATCH($B$1,Database!$A$1:$E$1,),))</f>
        <v/>
      </c>
      <c r="C755">
        <f>IF(VLOOKUP(Table73[[#This Row],[Date]],Database!$A:$C,MATCH($C$1,Database!$A$1:$C$1,),)=0,#N/A,VLOOKUP(Table73[[#This Row],[Date]],Database!$A:$C,MATCH($C$1,Database!$A$1:$C$1,),))</f>
        <v/>
      </c>
      <c r="D755">
        <f>IFERROR(Table73[[#This Row],[United States 10y]]-Table73[[#This Row],[United States 2y]],#N/A)</f>
        <v/>
      </c>
    </row>
    <row r="756">
      <c r="A756" s="6">
        <f>Database!A755</f>
        <v/>
      </c>
      <c r="B756">
        <f>IF(VLOOKUP(Table73[[#This Row],[Date]],Database!$A:$E,MATCH($B$1,Database!$A$1:$E$1,),)=0,#N/A,VLOOKUP(Table73[[#This Row],[Date]],Database!$A:$E,MATCH($B$1,Database!$A$1:$E$1,),))</f>
        <v/>
      </c>
      <c r="C756">
        <f>IF(VLOOKUP(Table73[[#This Row],[Date]],Database!$A:$C,MATCH($C$1,Database!$A$1:$C$1,),)=0,#N/A,VLOOKUP(Table73[[#This Row],[Date]],Database!$A:$C,MATCH($C$1,Database!$A$1:$C$1,),))</f>
        <v/>
      </c>
      <c r="D756">
        <f>IFERROR(Table73[[#This Row],[United States 10y]]-Table73[[#This Row],[United States 2y]],#N/A)</f>
        <v/>
      </c>
    </row>
    <row r="757">
      <c r="A757" s="6">
        <f>Database!A756</f>
        <v/>
      </c>
      <c r="B757">
        <f>IF(VLOOKUP(Table73[[#This Row],[Date]],Database!$A:$E,MATCH($B$1,Database!$A$1:$E$1,),)=0,#N/A,VLOOKUP(Table73[[#This Row],[Date]],Database!$A:$E,MATCH($B$1,Database!$A$1:$E$1,),))</f>
        <v/>
      </c>
      <c r="C757">
        <f>IF(VLOOKUP(Table73[[#This Row],[Date]],Database!$A:$C,MATCH($C$1,Database!$A$1:$C$1,),)=0,#N/A,VLOOKUP(Table73[[#This Row],[Date]],Database!$A:$C,MATCH($C$1,Database!$A$1:$C$1,),))</f>
        <v/>
      </c>
      <c r="D757">
        <f>IFERROR(Table73[[#This Row],[United States 10y]]-Table73[[#This Row],[United States 2y]],#N/A)</f>
        <v/>
      </c>
    </row>
    <row r="758">
      <c r="A758" s="6">
        <f>Database!A757</f>
        <v/>
      </c>
      <c r="B758">
        <f>IF(VLOOKUP(Table73[[#This Row],[Date]],Database!$A:$E,MATCH($B$1,Database!$A$1:$E$1,),)=0,#N/A,VLOOKUP(Table73[[#This Row],[Date]],Database!$A:$E,MATCH($B$1,Database!$A$1:$E$1,),))</f>
        <v/>
      </c>
      <c r="C758">
        <f>IF(VLOOKUP(Table73[[#This Row],[Date]],Database!$A:$C,MATCH($C$1,Database!$A$1:$C$1,),)=0,#N/A,VLOOKUP(Table73[[#This Row],[Date]],Database!$A:$C,MATCH($C$1,Database!$A$1:$C$1,),))</f>
        <v/>
      </c>
      <c r="D758">
        <f>IFERROR(Table73[[#This Row],[United States 10y]]-Table73[[#This Row],[United States 2y]],#N/A)</f>
        <v/>
      </c>
    </row>
    <row r="759">
      <c r="A759" s="6">
        <f>Database!A758</f>
        <v/>
      </c>
      <c r="B759">
        <f>IF(VLOOKUP(Table73[[#This Row],[Date]],Database!$A:$E,MATCH($B$1,Database!$A$1:$E$1,),)=0,#N/A,VLOOKUP(Table73[[#This Row],[Date]],Database!$A:$E,MATCH($B$1,Database!$A$1:$E$1,),))</f>
        <v/>
      </c>
      <c r="C759">
        <f>IF(VLOOKUP(Table73[[#This Row],[Date]],Database!$A:$C,MATCH($C$1,Database!$A$1:$C$1,),)=0,#N/A,VLOOKUP(Table73[[#This Row],[Date]],Database!$A:$C,MATCH($C$1,Database!$A$1:$C$1,),))</f>
        <v/>
      </c>
      <c r="D759">
        <f>IFERROR(Table73[[#This Row],[United States 10y]]-Table73[[#This Row],[United States 2y]],#N/A)</f>
        <v/>
      </c>
    </row>
    <row r="760">
      <c r="A760" s="6">
        <f>Database!A759</f>
        <v/>
      </c>
      <c r="B760">
        <f>IF(VLOOKUP(Table73[[#This Row],[Date]],Database!$A:$E,MATCH($B$1,Database!$A$1:$E$1,),)=0,#N/A,VLOOKUP(Table73[[#This Row],[Date]],Database!$A:$E,MATCH($B$1,Database!$A$1:$E$1,),))</f>
        <v/>
      </c>
      <c r="C760">
        <f>IF(VLOOKUP(Table73[[#This Row],[Date]],Database!$A:$C,MATCH($C$1,Database!$A$1:$C$1,),)=0,#N/A,VLOOKUP(Table73[[#This Row],[Date]],Database!$A:$C,MATCH($C$1,Database!$A$1:$C$1,),))</f>
        <v/>
      </c>
      <c r="D760">
        <f>IFERROR(Table73[[#This Row],[United States 10y]]-Table73[[#This Row],[United States 2y]],#N/A)</f>
        <v/>
      </c>
    </row>
    <row r="761">
      <c r="A761" s="6">
        <f>Database!A760</f>
        <v/>
      </c>
      <c r="B761">
        <f>IF(VLOOKUP(Table73[[#This Row],[Date]],Database!$A:$E,MATCH($B$1,Database!$A$1:$E$1,),)=0,#N/A,VLOOKUP(Table73[[#This Row],[Date]],Database!$A:$E,MATCH($B$1,Database!$A$1:$E$1,),))</f>
        <v/>
      </c>
      <c r="C761">
        <f>IF(VLOOKUP(Table73[[#This Row],[Date]],Database!$A:$C,MATCH($C$1,Database!$A$1:$C$1,),)=0,#N/A,VLOOKUP(Table73[[#This Row],[Date]],Database!$A:$C,MATCH($C$1,Database!$A$1:$C$1,),))</f>
        <v/>
      </c>
      <c r="D761">
        <f>IFERROR(Table73[[#This Row],[United States 10y]]-Table73[[#This Row],[United States 2y]],#N/A)</f>
        <v/>
      </c>
    </row>
    <row r="762">
      <c r="A762" s="6">
        <f>Database!A761</f>
        <v/>
      </c>
      <c r="B762">
        <f>IF(VLOOKUP(Table73[[#This Row],[Date]],Database!$A:$E,MATCH($B$1,Database!$A$1:$E$1,),)=0,#N/A,VLOOKUP(Table73[[#This Row],[Date]],Database!$A:$E,MATCH($B$1,Database!$A$1:$E$1,),))</f>
        <v/>
      </c>
      <c r="C762">
        <f>IF(VLOOKUP(Table73[[#This Row],[Date]],Database!$A:$C,MATCH($C$1,Database!$A$1:$C$1,),)=0,#N/A,VLOOKUP(Table73[[#This Row],[Date]],Database!$A:$C,MATCH($C$1,Database!$A$1:$C$1,),))</f>
        <v/>
      </c>
      <c r="D762">
        <f>IFERROR(Table73[[#This Row],[United States 10y]]-Table73[[#This Row],[United States 2y]],#N/A)</f>
        <v/>
      </c>
    </row>
    <row r="763">
      <c r="A763" s="6">
        <f>Database!A762</f>
        <v/>
      </c>
      <c r="B763">
        <f>IF(VLOOKUP(Table73[[#This Row],[Date]],Database!$A:$E,MATCH($B$1,Database!$A$1:$E$1,),)=0,#N/A,VLOOKUP(Table73[[#This Row],[Date]],Database!$A:$E,MATCH($B$1,Database!$A$1:$E$1,),))</f>
        <v/>
      </c>
      <c r="C763">
        <f>IF(VLOOKUP(Table73[[#This Row],[Date]],Database!$A:$C,MATCH($C$1,Database!$A$1:$C$1,),)=0,#N/A,VLOOKUP(Table73[[#This Row],[Date]],Database!$A:$C,MATCH($C$1,Database!$A$1:$C$1,),))</f>
        <v/>
      </c>
      <c r="D763">
        <f>IFERROR(Table73[[#This Row],[United States 10y]]-Table73[[#This Row],[United States 2y]],#N/A)</f>
        <v/>
      </c>
    </row>
    <row r="764">
      <c r="A764" s="6">
        <f>Database!A763</f>
        <v/>
      </c>
      <c r="B764">
        <f>IF(VLOOKUP(Table73[[#This Row],[Date]],Database!$A:$E,MATCH($B$1,Database!$A$1:$E$1,),)=0,#N/A,VLOOKUP(Table73[[#This Row],[Date]],Database!$A:$E,MATCH($B$1,Database!$A$1:$E$1,),))</f>
        <v/>
      </c>
      <c r="C764">
        <f>IF(VLOOKUP(Table73[[#This Row],[Date]],Database!$A:$C,MATCH($C$1,Database!$A$1:$C$1,),)=0,#N/A,VLOOKUP(Table73[[#This Row],[Date]],Database!$A:$C,MATCH($C$1,Database!$A$1:$C$1,),))</f>
        <v/>
      </c>
      <c r="D764">
        <f>IFERROR(Table73[[#This Row],[United States 10y]]-Table73[[#This Row],[United States 2y]],#N/A)</f>
        <v/>
      </c>
    </row>
    <row r="765">
      <c r="A765" s="6">
        <f>Database!A764</f>
        <v/>
      </c>
      <c r="B765">
        <f>IF(VLOOKUP(Table73[[#This Row],[Date]],Database!$A:$E,MATCH($B$1,Database!$A$1:$E$1,),)=0,#N/A,VLOOKUP(Table73[[#This Row],[Date]],Database!$A:$E,MATCH($B$1,Database!$A$1:$E$1,),))</f>
        <v/>
      </c>
      <c r="C765">
        <f>IF(VLOOKUP(Table73[[#This Row],[Date]],Database!$A:$C,MATCH($C$1,Database!$A$1:$C$1,),)=0,#N/A,VLOOKUP(Table73[[#This Row],[Date]],Database!$A:$C,MATCH($C$1,Database!$A$1:$C$1,),))</f>
        <v/>
      </c>
      <c r="D765">
        <f>IFERROR(Table73[[#This Row],[United States 10y]]-Table73[[#This Row],[United States 2y]],#N/A)</f>
        <v/>
      </c>
    </row>
    <row r="766">
      <c r="A766" s="6">
        <f>Database!A765</f>
        <v/>
      </c>
      <c r="B766">
        <f>IF(VLOOKUP(Table73[[#This Row],[Date]],Database!$A:$E,MATCH($B$1,Database!$A$1:$E$1,),)=0,#N/A,VLOOKUP(Table73[[#This Row],[Date]],Database!$A:$E,MATCH($B$1,Database!$A$1:$E$1,),))</f>
        <v/>
      </c>
      <c r="C766">
        <f>IF(VLOOKUP(Table73[[#This Row],[Date]],Database!$A:$C,MATCH($C$1,Database!$A$1:$C$1,),)=0,#N/A,VLOOKUP(Table73[[#This Row],[Date]],Database!$A:$C,MATCH($C$1,Database!$A$1:$C$1,),))</f>
        <v/>
      </c>
      <c r="D766">
        <f>IFERROR(Table73[[#This Row],[United States 10y]]-Table73[[#This Row],[United States 2y]],#N/A)</f>
        <v/>
      </c>
    </row>
    <row r="767">
      <c r="A767" s="6">
        <f>Database!A766</f>
        <v/>
      </c>
      <c r="B767">
        <f>IF(VLOOKUP(Table73[[#This Row],[Date]],Database!$A:$E,MATCH($B$1,Database!$A$1:$E$1,),)=0,#N/A,VLOOKUP(Table73[[#This Row],[Date]],Database!$A:$E,MATCH($B$1,Database!$A$1:$E$1,),))</f>
        <v/>
      </c>
      <c r="C767">
        <f>IF(VLOOKUP(Table73[[#This Row],[Date]],Database!$A:$C,MATCH($C$1,Database!$A$1:$C$1,),)=0,#N/A,VLOOKUP(Table73[[#This Row],[Date]],Database!$A:$C,MATCH($C$1,Database!$A$1:$C$1,),))</f>
        <v/>
      </c>
      <c r="D767">
        <f>IFERROR(Table73[[#This Row],[United States 10y]]-Table73[[#This Row],[United States 2y]],#N/A)</f>
        <v/>
      </c>
    </row>
    <row r="768">
      <c r="A768" s="6">
        <f>Database!A767</f>
        <v/>
      </c>
      <c r="B768">
        <f>IF(VLOOKUP(Table73[[#This Row],[Date]],Database!$A:$E,MATCH($B$1,Database!$A$1:$E$1,),)=0,#N/A,VLOOKUP(Table73[[#This Row],[Date]],Database!$A:$E,MATCH($B$1,Database!$A$1:$E$1,),))</f>
        <v/>
      </c>
      <c r="C768">
        <f>IF(VLOOKUP(Table73[[#This Row],[Date]],Database!$A:$C,MATCH($C$1,Database!$A$1:$C$1,),)=0,#N/A,VLOOKUP(Table73[[#This Row],[Date]],Database!$A:$C,MATCH($C$1,Database!$A$1:$C$1,),))</f>
        <v/>
      </c>
      <c r="D768">
        <f>IFERROR(Table73[[#This Row],[United States 10y]]-Table73[[#This Row],[United States 2y]],#N/A)</f>
        <v/>
      </c>
    </row>
    <row r="769">
      <c r="A769" s="6">
        <f>Database!A768</f>
        <v/>
      </c>
      <c r="B769">
        <f>IF(VLOOKUP(Table73[[#This Row],[Date]],Database!$A:$E,MATCH($B$1,Database!$A$1:$E$1,),)=0,#N/A,VLOOKUP(Table73[[#This Row],[Date]],Database!$A:$E,MATCH($B$1,Database!$A$1:$E$1,),))</f>
        <v/>
      </c>
      <c r="C769">
        <f>IF(VLOOKUP(Table73[[#This Row],[Date]],Database!$A:$C,MATCH($C$1,Database!$A$1:$C$1,),)=0,#N/A,VLOOKUP(Table73[[#This Row],[Date]],Database!$A:$C,MATCH($C$1,Database!$A$1:$C$1,),))</f>
        <v/>
      </c>
      <c r="D769">
        <f>IFERROR(Table73[[#This Row],[United States 10y]]-Table73[[#This Row],[United States 2y]],#N/A)</f>
        <v/>
      </c>
    </row>
    <row r="770">
      <c r="A770" s="6">
        <f>Database!A769</f>
        <v/>
      </c>
      <c r="B770">
        <f>IF(VLOOKUP(Table73[[#This Row],[Date]],Database!$A:$E,MATCH($B$1,Database!$A$1:$E$1,),)=0,#N/A,VLOOKUP(Table73[[#This Row],[Date]],Database!$A:$E,MATCH($B$1,Database!$A$1:$E$1,),))</f>
        <v/>
      </c>
      <c r="C770">
        <f>IF(VLOOKUP(Table73[[#This Row],[Date]],Database!$A:$C,MATCH($C$1,Database!$A$1:$C$1,),)=0,#N/A,VLOOKUP(Table73[[#This Row],[Date]],Database!$A:$C,MATCH($C$1,Database!$A$1:$C$1,),))</f>
        <v/>
      </c>
      <c r="D770">
        <f>IFERROR(Table73[[#This Row],[United States 10y]]-Table73[[#This Row],[United States 2y]],#N/A)</f>
        <v/>
      </c>
    </row>
    <row r="771">
      <c r="A771" s="6">
        <f>Database!A770</f>
        <v/>
      </c>
      <c r="B771">
        <f>IF(VLOOKUP(Table73[[#This Row],[Date]],Database!$A:$E,MATCH($B$1,Database!$A$1:$E$1,),)=0,#N/A,VLOOKUP(Table73[[#This Row],[Date]],Database!$A:$E,MATCH($B$1,Database!$A$1:$E$1,),))</f>
        <v/>
      </c>
      <c r="C771">
        <f>IF(VLOOKUP(Table73[[#This Row],[Date]],Database!$A:$C,MATCH($C$1,Database!$A$1:$C$1,),)=0,#N/A,VLOOKUP(Table73[[#This Row],[Date]],Database!$A:$C,MATCH($C$1,Database!$A$1:$C$1,),))</f>
        <v/>
      </c>
      <c r="D771">
        <f>IFERROR(Table73[[#This Row],[United States 10y]]-Table73[[#This Row],[United States 2y]],#N/A)</f>
        <v/>
      </c>
    </row>
    <row r="772">
      <c r="A772" s="6">
        <f>Database!A771</f>
        <v/>
      </c>
      <c r="B772">
        <f>IF(VLOOKUP(Table73[[#This Row],[Date]],Database!$A:$E,MATCH($B$1,Database!$A$1:$E$1,),)=0,#N/A,VLOOKUP(Table73[[#This Row],[Date]],Database!$A:$E,MATCH($B$1,Database!$A$1:$E$1,),))</f>
        <v/>
      </c>
      <c r="C772">
        <f>IF(VLOOKUP(Table73[[#This Row],[Date]],Database!$A:$C,MATCH($C$1,Database!$A$1:$C$1,),)=0,#N/A,VLOOKUP(Table73[[#This Row],[Date]],Database!$A:$C,MATCH($C$1,Database!$A$1:$C$1,),))</f>
        <v/>
      </c>
      <c r="D772">
        <f>IFERROR(Table73[[#This Row],[United States 10y]]-Table73[[#This Row],[United States 2y]],#N/A)</f>
        <v/>
      </c>
    </row>
    <row r="773">
      <c r="A773" s="6">
        <f>Database!A772</f>
        <v/>
      </c>
      <c r="B773">
        <f>IF(VLOOKUP(Table73[[#This Row],[Date]],Database!$A:$E,MATCH($B$1,Database!$A$1:$E$1,),)=0,#N/A,VLOOKUP(Table73[[#This Row],[Date]],Database!$A:$E,MATCH($B$1,Database!$A$1:$E$1,),))</f>
        <v/>
      </c>
      <c r="C773">
        <f>IF(VLOOKUP(Table73[[#This Row],[Date]],Database!$A:$C,MATCH($C$1,Database!$A$1:$C$1,),)=0,#N/A,VLOOKUP(Table73[[#This Row],[Date]],Database!$A:$C,MATCH($C$1,Database!$A$1:$C$1,),))</f>
        <v/>
      </c>
      <c r="D773">
        <f>IFERROR(Table73[[#This Row],[United States 10y]]-Table73[[#This Row],[United States 2y]],#N/A)</f>
        <v/>
      </c>
    </row>
    <row r="774">
      <c r="A774" s="6">
        <f>Database!A773</f>
        <v/>
      </c>
      <c r="B774">
        <f>IF(VLOOKUP(Table73[[#This Row],[Date]],Database!$A:$E,MATCH($B$1,Database!$A$1:$E$1,),)=0,#N/A,VLOOKUP(Table73[[#This Row],[Date]],Database!$A:$E,MATCH($B$1,Database!$A$1:$E$1,),))</f>
        <v/>
      </c>
      <c r="C774">
        <f>IF(VLOOKUP(Table73[[#This Row],[Date]],Database!$A:$C,MATCH($C$1,Database!$A$1:$C$1,),)=0,#N/A,VLOOKUP(Table73[[#This Row],[Date]],Database!$A:$C,MATCH($C$1,Database!$A$1:$C$1,),))</f>
        <v/>
      </c>
      <c r="D774">
        <f>IFERROR(Table73[[#This Row],[United States 10y]]-Table73[[#This Row],[United States 2y]],#N/A)</f>
        <v/>
      </c>
    </row>
    <row r="775">
      <c r="A775" s="6">
        <f>Database!A774</f>
        <v/>
      </c>
      <c r="B775">
        <f>IF(VLOOKUP(Table73[[#This Row],[Date]],Database!$A:$E,MATCH($B$1,Database!$A$1:$E$1,),)=0,#N/A,VLOOKUP(Table73[[#This Row],[Date]],Database!$A:$E,MATCH($B$1,Database!$A$1:$E$1,),))</f>
        <v/>
      </c>
      <c r="C775">
        <f>IF(VLOOKUP(Table73[[#This Row],[Date]],Database!$A:$C,MATCH($C$1,Database!$A$1:$C$1,),)=0,#N/A,VLOOKUP(Table73[[#This Row],[Date]],Database!$A:$C,MATCH($C$1,Database!$A$1:$C$1,),))</f>
        <v/>
      </c>
      <c r="D775">
        <f>IFERROR(Table73[[#This Row],[United States 10y]]-Table73[[#This Row],[United States 2y]],#N/A)</f>
        <v/>
      </c>
    </row>
    <row r="776">
      <c r="A776" s="6">
        <f>Database!A775</f>
        <v/>
      </c>
      <c r="B776">
        <f>IF(VLOOKUP(Table73[[#This Row],[Date]],Database!$A:$E,MATCH($B$1,Database!$A$1:$E$1,),)=0,#N/A,VLOOKUP(Table73[[#This Row],[Date]],Database!$A:$E,MATCH($B$1,Database!$A$1:$E$1,),))</f>
        <v/>
      </c>
      <c r="C776">
        <f>IF(VLOOKUP(Table73[[#This Row],[Date]],Database!$A:$C,MATCH($C$1,Database!$A$1:$C$1,),)=0,#N/A,VLOOKUP(Table73[[#This Row],[Date]],Database!$A:$C,MATCH($C$1,Database!$A$1:$C$1,),))</f>
        <v/>
      </c>
      <c r="D776">
        <f>IFERROR(Table73[[#This Row],[United States 10y]]-Table73[[#This Row],[United States 2y]],#N/A)</f>
        <v/>
      </c>
    </row>
    <row r="777">
      <c r="A777" s="6">
        <f>Database!A776</f>
        <v/>
      </c>
      <c r="B777">
        <f>IF(VLOOKUP(Table73[[#This Row],[Date]],Database!$A:$E,MATCH($B$1,Database!$A$1:$E$1,),)=0,#N/A,VLOOKUP(Table73[[#This Row],[Date]],Database!$A:$E,MATCH($B$1,Database!$A$1:$E$1,),))</f>
        <v/>
      </c>
      <c r="C777">
        <f>IF(VLOOKUP(Table73[[#This Row],[Date]],Database!$A:$C,MATCH($C$1,Database!$A$1:$C$1,),)=0,#N/A,VLOOKUP(Table73[[#This Row],[Date]],Database!$A:$C,MATCH($C$1,Database!$A$1:$C$1,),))</f>
        <v/>
      </c>
      <c r="D777">
        <f>IFERROR(Table73[[#This Row],[United States 10y]]-Table73[[#This Row],[United States 2y]],#N/A)</f>
        <v/>
      </c>
    </row>
    <row r="778">
      <c r="A778" s="6">
        <f>Database!A777</f>
        <v/>
      </c>
      <c r="B778">
        <f>IF(VLOOKUP(Table73[[#This Row],[Date]],Database!$A:$E,MATCH($B$1,Database!$A$1:$E$1,),)=0,#N/A,VLOOKUP(Table73[[#This Row],[Date]],Database!$A:$E,MATCH($B$1,Database!$A$1:$E$1,),))</f>
        <v/>
      </c>
      <c r="C778">
        <f>IF(VLOOKUP(Table73[[#This Row],[Date]],Database!$A:$C,MATCH($C$1,Database!$A$1:$C$1,),)=0,#N/A,VLOOKUP(Table73[[#This Row],[Date]],Database!$A:$C,MATCH($C$1,Database!$A$1:$C$1,),))</f>
        <v/>
      </c>
      <c r="D778">
        <f>IFERROR(Table73[[#This Row],[United States 10y]]-Table73[[#This Row],[United States 2y]],#N/A)</f>
        <v/>
      </c>
    </row>
    <row r="779">
      <c r="A779" s="6">
        <f>Database!A778</f>
        <v/>
      </c>
      <c r="B779">
        <f>IF(VLOOKUP(Table73[[#This Row],[Date]],Database!$A:$E,MATCH($B$1,Database!$A$1:$E$1,),)=0,#N/A,VLOOKUP(Table73[[#This Row],[Date]],Database!$A:$E,MATCH($B$1,Database!$A$1:$E$1,),))</f>
        <v/>
      </c>
      <c r="C779">
        <f>IF(VLOOKUP(Table73[[#This Row],[Date]],Database!$A:$C,MATCH($C$1,Database!$A$1:$C$1,),)=0,#N/A,VLOOKUP(Table73[[#This Row],[Date]],Database!$A:$C,MATCH($C$1,Database!$A$1:$C$1,),))</f>
        <v/>
      </c>
      <c r="D779">
        <f>IFERROR(Table73[[#This Row],[United States 10y]]-Table73[[#This Row],[United States 2y]],#N/A)</f>
        <v/>
      </c>
    </row>
    <row r="780">
      <c r="A780" s="6">
        <f>Database!A779</f>
        <v/>
      </c>
      <c r="B780">
        <f>IF(VLOOKUP(Table73[[#This Row],[Date]],Database!$A:$E,MATCH($B$1,Database!$A$1:$E$1,),)=0,#N/A,VLOOKUP(Table73[[#This Row],[Date]],Database!$A:$E,MATCH($B$1,Database!$A$1:$E$1,),))</f>
        <v/>
      </c>
      <c r="C780">
        <f>IF(VLOOKUP(Table73[[#This Row],[Date]],Database!$A:$C,MATCH($C$1,Database!$A$1:$C$1,),)=0,#N/A,VLOOKUP(Table73[[#This Row],[Date]],Database!$A:$C,MATCH($C$1,Database!$A$1:$C$1,),))</f>
        <v/>
      </c>
      <c r="D780">
        <f>IFERROR(Table73[[#This Row],[United States 10y]]-Table73[[#This Row],[United States 2y]],#N/A)</f>
        <v/>
      </c>
    </row>
    <row r="781">
      <c r="A781" s="6">
        <f>Database!A780</f>
        <v/>
      </c>
      <c r="B781">
        <f>IF(VLOOKUP(Table73[[#This Row],[Date]],Database!$A:$E,MATCH($B$1,Database!$A$1:$E$1,),)=0,#N/A,VLOOKUP(Table73[[#This Row],[Date]],Database!$A:$E,MATCH($B$1,Database!$A$1:$E$1,),))</f>
        <v/>
      </c>
      <c r="C781">
        <f>IF(VLOOKUP(Table73[[#This Row],[Date]],Database!$A:$C,MATCH($C$1,Database!$A$1:$C$1,),)=0,#N/A,VLOOKUP(Table73[[#This Row],[Date]],Database!$A:$C,MATCH($C$1,Database!$A$1:$C$1,),))</f>
        <v/>
      </c>
      <c r="D781">
        <f>IFERROR(Table73[[#This Row],[United States 10y]]-Table73[[#This Row],[United States 2y]],#N/A)</f>
        <v/>
      </c>
    </row>
    <row r="782">
      <c r="A782" s="6">
        <f>Database!A781</f>
        <v/>
      </c>
      <c r="B782">
        <f>IF(VLOOKUP(Table73[[#This Row],[Date]],Database!$A:$E,MATCH($B$1,Database!$A$1:$E$1,),)=0,#N/A,VLOOKUP(Table73[[#This Row],[Date]],Database!$A:$E,MATCH($B$1,Database!$A$1:$E$1,),))</f>
        <v/>
      </c>
      <c r="C782">
        <f>IF(VLOOKUP(Table73[[#This Row],[Date]],Database!$A:$C,MATCH($C$1,Database!$A$1:$C$1,),)=0,#N/A,VLOOKUP(Table73[[#This Row],[Date]],Database!$A:$C,MATCH($C$1,Database!$A$1:$C$1,),))</f>
        <v/>
      </c>
      <c r="D782">
        <f>IFERROR(Table73[[#This Row],[United States 10y]]-Table73[[#This Row],[United States 2y]],#N/A)</f>
        <v/>
      </c>
    </row>
    <row r="783">
      <c r="A783" s="6">
        <f>Database!A782</f>
        <v/>
      </c>
      <c r="B783">
        <f>IF(VLOOKUP(Table73[[#This Row],[Date]],Database!$A:$E,MATCH($B$1,Database!$A$1:$E$1,),)=0,#N/A,VLOOKUP(Table73[[#This Row],[Date]],Database!$A:$E,MATCH($B$1,Database!$A$1:$E$1,),))</f>
        <v/>
      </c>
      <c r="C783">
        <f>IF(VLOOKUP(Table73[[#This Row],[Date]],Database!$A:$C,MATCH($C$1,Database!$A$1:$C$1,),)=0,#N/A,VLOOKUP(Table73[[#This Row],[Date]],Database!$A:$C,MATCH($C$1,Database!$A$1:$C$1,),))</f>
        <v/>
      </c>
      <c r="D783">
        <f>IFERROR(Table73[[#This Row],[United States 10y]]-Table73[[#This Row],[United States 2y]],#N/A)</f>
        <v/>
      </c>
    </row>
    <row r="784">
      <c r="A784" s="6">
        <f>Database!A783</f>
        <v/>
      </c>
      <c r="B784">
        <f>IF(VLOOKUP(Table73[[#This Row],[Date]],Database!$A:$E,MATCH($B$1,Database!$A$1:$E$1,),)=0,#N/A,VLOOKUP(Table73[[#This Row],[Date]],Database!$A:$E,MATCH($B$1,Database!$A$1:$E$1,),))</f>
        <v/>
      </c>
      <c r="C784">
        <f>IF(VLOOKUP(Table73[[#This Row],[Date]],Database!$A:$C,MATCH($C$1,Database!$A$1:$C$1,),)=0,#N/A,VLOOKUP(Table73[[#This Row],[Date]],Database!$A:$C,MATCH($C$1,Database!$A$1:$C$1,),))</f>
        <v/>
      </c>
      <c r="D784">
        <f>IFERROR(Table73[[#This Row],[United States 10y]]-Table73[[#This Row],[United States 2y]],#N/A)</f>
        <v/>
      </c>
    </row>
    <row r="785">
      <c r="A785" s="6">
        <f>Database!A784</f>
        <v/>
      </c>
      <c r="B785">
        <f>IF(VLOOKUP(Table73[[#This Row],[Date]],Database!$A:$E,MATCH($B$1,Database!$A$1:$E$1,),)=0,#N/A,VLOOKUP(Table73[[#This Row],[Date]],Database!$A:$E,MATCH($B$1,Database!$A$1:$E$1,),))</f>
        <v/>
      </c>
      <c r="C785">
        <f>IF(VLOOKUP(Table73[[#This Row],[Date]],Database!$A:$C,MATCH($C$1,Database!$A$1:$C$1,),)=0,#N/A,VLOOKUP(Table73[[#This Row],[Date]],Database!$A:$C,MATCH($C$1,Database!$A$1:$C$1,),))</f>
        <v/>
      </c>
      <c r="D785">
        <f>IFERROR(Table73[[#This Row],[United States 10y]]-Table73[[#This Row],[United States 2y]],#N/A)</f>
        <v/>
      </c>
    </row>
    <row r="786">
      <c r="A786" s="6">
        <f>Database!A785</f>
        <v/>
      </c>
      <c r="B786">
        <f>IF(VLOOKUP(Table73[[#This Row],[Date]],Database!$A:$E,MATCH($B$1,Database!$A$1:$E$1,),)=0,#N/A,VLOOKUP(Table73[[#This Row],[Date]],Database!$A:$E,MATCH($B$1,Database!$A$1:$E$1,),))</f>
        <v/>
      </c>
      <c r="C786">
        <f>IF(VLOOKUP(Table73[[#This Row],[Date]],Database!$A:$C,MATCH($C$1,Database!$A$1:$C$1,),)=0,#N/A,VLOOKUP(Table73[[#This Row],[Date]],Database!$A:$C,MATCH($C$1,Database!$A$1:$C$1,),))</f>
        <v/>
      </c>
      <c r="D786">
        <f>IFERROR(Table73[[#This Row],[United States 10y]]-Table73[[#This Row],[United States 2y]],#N/A)</f>
        <v/>
      </c>
    </row>
    <row r="787">
      <c r="A787" s="6">
        <f>Database!A786</f>
        <v/>
      </c>
      <c r="B787">
        <f>IF(VLOOKUP(Table73[[#This Row],[Date]],Database!$A:$E,MATCH($B$1,Database!$A$1:$E$1,),)=0,#N/A,VLOOKUP(Table73[[#This Row],[Date]],Database!$A:$E,MATCH($B$1,Database!$A$1:$E$1,),))</f>
        <v/>
      </c>
      <c r="C787">
        <f>IF(VLOOKUP(Table73[[#This Row],[Date]],Database!$A:$C,MATCH($C$1,Database!$A$1:$C$1,),)=0,#N/A,VLOOKUP(Table73[[#This Row],[Date]],Database!$A:$C,MATCH($C$1,Database!$A$1:$C$1,),))</f>
        <v/>
      </c>
      <c r="D787">
        <f>IFERROR(Table73[[#This Row],[United States 10y]]-Table73[[#This Row],[United States 2y]],#N/A)</f>
        <v/>
      </c>
    </row>
    <row r="788">
      <c r="A788" s="6">
        <f>Database!A787</f>
        <v/>
      </c>
      <c r="B788">
        <f>IF(VLOOKUP(Table73[[#This Row],[Date]],Database!$A:$E,MATCH($B$1,Database!$A$1:$E$1,),)=0,#N/A,VLOOKUP(Table73[[#This Row],[Date]],Database!$A:$E,MATCH($B$1,Database!$A$1:$E$1,),))</f>
        <v/>
      </c>
      <c r="C788">
        <f>IF(VLOOKUP(Table73[[#This Row],[Date]],Database!$A:$C,MATCH($C$1,Database!$A$1:$C$1,),)=0,#N/A,VLOOKUP(Table73[[#This Row],[Date]],Database!$A:$C,MATCH($C$1,Database!$A$1:$C$1,),))</f>
        <v/>
      </c>
      <c r="D788">
        <f>IFERROR(Table73[[#This Row],[United States 10y]]-Table73[[#This Row],[United States 2y]],#N/A)</f>
        <v/>
      </c>
    </row>
    <row r="789">
      <c r="A789" s="6">
        <f>Database!A788</f>
        <v/>
      </c>
      <c r="B789">
        <f>IF(VLOOKUP(Table73[[#This Row],[Date]],Database!$A:$E,MATCH($B$1,Database!$A$1:$E$1,),)=0,#N/A,VLOOKUP(Table73[[#This Row],[Date]],Database!$A:$E,MATCH($B$1,Database!$A$1:$E$1,),))</f>
        <v/>
      </c>
      <c r="C789">
        <f>IF(VLOOKUP(Table73[[#This Row],[Date]],Database!$A:$C,MATCH($C$1,Database!$A$1:$C$1,),)=0,#N/A,VLOOKUP(Table73[[#This Row],[Date]],Database!$A:$C,MATCH($C$1,Database!$A$1:$C$1,),))</f>
        <v/>
      </c>
      <c r="D789">
        <f>IFERROR(Table73[[#This Row],[United States 10y]]-Table73[[#This Row],[United States 2y]],#N/A)</f>
        <v/>
      </c>
    </row>
    <row r="790">
      <c r="A790" s="6">
        <f>Database!A789</f>
        <v/>
      </c>
      <c r="B790">
        <f>IF(VLOOKUP(Table73[[#This Row],[Date]],Database!$A:$E,MATCH($B$1,Database!$A$1:$E$1,),)=0,#N/A,VLOOKUP(Table73[[#This Row],[Date]],Database!$A:$E,MATCH($B$1,Database!$A$1:$E$1,),))</f>
        <v/>
      </c>
      <c r="C790">
        <f>IF(VLOOKUP(Table73[[#This Row],[Date]],Database!$A:$C,MATCH($C$1,Database!$A$1:$C$1,),)=0,#N/A,VLOOKUP(Table73[[#This Row],[Date]],Database!$A:$C,MATCH($C$1,Database!$A$1:$C$1,),))</f>
        <v/>
      </c>
      <c r="D790">
        <f>IFERROR(Table73[[#This Row],[United States 10y]]-Table73[[#This Row],[United States 2y]],#N/A)</f>
        <v/>
      </c>
    </row>
    <row r="791">
      <c r="A791" s="6">
        <f>Database!A790</f>
        <v/>
      </c>
      <c r="B791">
        <f>IF(VLOOKUP(Table73[[#This Row],[Date]],Database!$A:$E,MATCH($B$1,Database!$A$1:$E$1,),)=0,#N/A,VLOOKUP(Table73[[#This Row],[Date]],Database!$A:$E,MATCH($B$1,Database!$A$1:$E$1,),))</f>
        <v/>
      </c>
      <c r="C791">
        <f>IF(VLOOKUP(Table73[[#This Row],[Date]],Database!$A:$C,MATCH($C$1,Database!$A$1:$C$1,),)=0,#N/A,VLOOKUP(Table73[[#This Row],[Date]],Database!$A:$C,MATCH($C$1,Database!$A$1:$C$1,),))</f>
        <v/>
      </c>
      <c r="D791">
        <f>IFERROR(Table73[[#This Row],[United States 10y]]-Table73[[#This Row],[United States 2y]],#N/A)</f>
        <v/>
      </c>
    </row>
    <row r="792">
      <c r="A792" s="6">
        <f>Database!A791</f>
        <v/>
      </c>
      <c r="B792">
        <f>IF(VLOOKUP(Table73[[#This Row],[Date]],Database!$A:$E,MATCH($B$1,Database!$A$1:$E$1,),)=0,#N/A,VLOOKUP(Table73[[#This Row],[Date]],Database!$A:$E,MATCH($B$1,Database!$A$1:$E$1,),))</f>
        <v/>
      </c>
      <c r="C792">
        <f>IF(VLOOKUP(Table73[[#This Row],[Date]],Database!$A:$C,MATCH($C$1,Database!$A$1:$C$1,),)=0,#N/A,VLOOKUP(Table73[[#This Row],[Date]],Database!$A:$C,MATCH($C$1,Database!$A$1:$C$1,),))</f>
        <v/>
      </c>
      <c r="D792">
        <f>IFERROR(Table73[[#This Row],[United States 10y]]-Table73[[#This Row],[United States 2y]],#N/A)</f>
        <v/>
      </c>
    </row>
    <row r="793">
      <c r="A793" s="6">
        <f>Database!A792</f>
        <v/>
      </c>
      <c r="B793">
        <f>IF(VLOOKUP(Table73[[#This Row],[Date]],Database!$A:$E,MATCH($B$1,Database!$A$1:$E$1,),)=0,#N/A,VLOOKUP(Table73[[#This Row],[Date]],Database!$A:$E,MATCH($B$1,Database!$A$1:$E$1,),))</f>
        <v/>
      </c>
      <c r="C793">
        <f>IF(VLOOKUP(Table73[[#This Row],[Date]],Database!$A:$C,MATCH($C$1,Database!$A$1:$C$1,),)=0,#N/A,VLOOKUP(Table73[[#This Row],[Date]],Database!$A:$C,MATCH($C$1,Database!$A$1:$C$1,),))</f>
        <v/>
      </c>
      <c r="D793">
        <f>IFERROR(Table73[[#This Row],[United States 10y]]-Table73[[#This Row],[United States 2y]],#N/A)</f>
        <v/>
      </c>
    </row>
    <row r="794">
      <c r="A794" s="6">
        <f>Database!A793</f>
        <v/>
      </c>
      <c r="B794">
        <f>IF(VLOOKUP(Table73[[#This Row],[Date]],Database!$A:$E,MATCH($B$1,Database!$A$1:$E$1,),)=0,#N/A,VLOOKUP(Table73[[#This Row],[Date]],Database!$A:$E,MATCH($B$1,Database!$A$1:$E$1,),))</f>
        <v/>
      </c>
      <c r="C794">
        <f>IF(VLOOKUP(Table73[[#This Row],[Date]],Database!$A:$C,MATCH($C$1,Database!$A$1:$C$1,),)=0,#N/A,VLOOKUP(Table73[[#This Row],[Date]],Database!$A:$C,MATCH($C$1,Database!$A$1:$C$1,),))</f>
        <v/>
      </c>
      <c r="D794">
        <f>IFERROR(Table73[[#This Row],[United States 10y]]-Table73[[#This Row],[United States 2y]],#N/A)</f>
        <v/>
      </c>
    </row>
    <row r="795">
      <c r="A795" s="6">
        <f>Database!A794</f>
        <v/>
      </c>
      <c r="B795">
        <f>IF(VLOOKUP(Table73[[#This Row],[Date]],Database!$A:$E,MATCH($B$1,Database!$A$1:$E$1,),)=0,#N/A,VLOOKUP(Table73[[#This Row],[Date]],Database!$A:$E,MATCH($B$1,Database!$A$1:$E$1,),))</f>
        <v/>
      </c>
      <c r="C795">
        <f>IF(VLOOKUP(Table73[[#This Row],[Date]],Database!$A:$C,MATCH($C$1,Database!$A$1:$C$1,),)=0,#N/A,VLOOKUP(Table73[[#This Row],[Date]],Database!$A:$C,MATCH($C$1,Database!$A$1:$C$1,),))</f>
        <v/>
      </c>
      <c r="D795">
        <f>IFERROR(Table73[[#This Row],[United States 10y]]-Table73[[#This Row],[United States 2y]],#N/A)</f>
        <v/>
      </c>
    </row>
    <row r="796">
      <c r="A796" s="6">
        <f>Database!A795</f>
        <v/>
      </c>
      <c r="B796">
        <f>IF(VLOOKUP(Table73[[#This Row],[Date]],Database!$A:$E,MATCH($B$1,Database!$A$1:$E$1,),)=0,#N/A,VLOOKUP(Table73[[#This Row],[Date]],Database!$A:$E,MATCH($B$1,Database!$A$1:$E$1,),))</f>
        <v/>
      </c>
      <c r="C796">
        <f>IF(VLOOKUP(Table73[[#This Row],[Date]],Database!$A:$C,MATCH($C$1,Database!$A$1:$C$1,),)=0,#N/A,VLOOKUP(Table73[[#This Row],[Date]],Database!$A:$C,MATCH($C$1,Database!$A$1:$C$1,),))</f>
        <v/>
      </c>
      <c r="D796">
        <f>IFERROR(Table73[[#This Row],[United States 10y]]-Table73[[#This Row],[United States 2y]],#N/A)</f>
        <v/>
      </c>
    </row>
    <row r="797">
      <c r="A797" s="6">
        <f>Database!A796</f>
        <v/>
      </c>
      <c r="B797">
        <f>IF(VLOOKUP(Table73[[#This Row],[Date]],Database!$A:$E,MATCH($B$1,Database!$A$1:$E$1,),)=0,#N/A,VLOOKUP(Table73[[#This Row],[Date]],Database!$A:$E,MATCH($B$1,Database!$A$1:$E$1,),))</f>
        <v/>
      </c>
      <c r="C797">
        <f>IF(VLOOKUP(Table73[[#This Row],[Date]],Database!$A:$C,MATCH($C$1,Database!$A$1:$C$1,),)=0,#N/A,VLOOKUP(Table73[[#This Row],[Date]],Database!$A:$C,MATCH($C$1,Database!$A$1:$C$1,),))</f>
        <v/>
      </c>
      <c r="D797">
        <f>IFERROR(Table73[[#This Row],[United States 10y]]-Table73[[#This Row],[United States 2y]],#N/A)</f>
        <v/>
      </c>
    </row>
    <row r="798">
      <c r="A798" s="6">
        <f>Database!A797</f>
        <v/>
      </c>
      <c r="B798">
        <f>IF(VLOOKUP(Table73[[#This Row],[Date]],Database!$A:$E,MATCH($B$1,Database!$A$1:$E$1,),)=0,#N/A,VLOOKUP(Table73[[#This Row],[Date]],Database!$A:$E,MATCH($B$1,Database!$A$1:$E$1,),))</f>
        <v/>
      </c>
      <c r="C798">
        <f>IF(VLOOKUP(Table73[[#This Row],[Date]],Database!$A:$C,MATCH($C$1,Database!$A$1:$C$1,),)=0,#N/A,VLOOKUP(Table73[[#This Row],[Date]],Database!$A:$C,MATCH($C$1,Database!$A$1:$C$1,),))</f>
        <v/>
      </c>
      <c r="D798">
        <f>IFERROR(Table73[[#This Row],[United States 10y]]-Table73[[#This Row],[United States 2y]],#N/A)</f>
        <v/>
      </c>
    </row>
    <row r="799">
      <c r="A799" s="6">
        <f>Database!A798</f>
        <v/>
      </c>
      <c r="B799">
        <f>IF(VLOOKUP(Table73[[#This Row],[Date]],Database!$A:$E,MATCH($B$1,Database!$A$1:$E$1,),)=0,#N/A,VLOOKUP(Table73[[#This Row],[Date]],Database!$A:$E,MATCH($B$1,Database!$A$1:$E$1,),))</f>
        <v/>
      </c>
      <c r="C799">
        <f>IF(VLOOKUP(Table73[[#This Row],[Date]],Database!$A:$C,MATCH($C$1,Database!$A$1:$C$1,),)=0,#N/A,VLOOKUP(Table73[[#This Row],[Date]],Database!$A:$C,MATCH($C$1,Database!$A$1:$C$1,),))</f>
        <v/>
      </c>
      <c r="D799">
        <f>IFERROR(Table73[[#This Row],[United States 10y]]-Table73[[#This Row],[United States 2y]],#N/A)</f>
        <v/>
      </c>
    </row>
    <row r="800">
      <c r="A800" s="6">
        <f>Database!A799</f>
        <v/>
      </c>
      <c r="B800">
        <f>IF(VLOOKUP(Table73[[#This Row],[Date]],Database!$A:$E,MATCH($B$1,Database!$A$1:$E$1,),)=0,#N/A,VLOOKUP(Table73[[#This Row],[Date]],Database!$A:$E,MATCH($B$1,Database!$A$1:$E$1,),))</f>
        <v/>
      </c>
      <c r="C800">
        <f>IF(VLOOKUP(Table73[[#This Row],[Date]],Database!$A:$C,MATCH($C$1,Database!$A$1:$C$1,),)=0,#N/A,VLOOKUP(Table73[[#This Row],[Date]],Database!$A:$C,MATCH($C$1,Database!$A$1:$C$1,),))</f>
        <v/>
      </c>
      <c r="D800">
        <f>IFERROR(Table73[[#This Row],[United States 10y]]-Table73[[#This Row],[United States 2y]],#N/A)</f>
        <v/>
      </c>
    </row>
    <row r="801">
      <c r="A801" s="6">
        <f>Database!A800</f>
        <v/>
      </c>
      <c r="B801">
        <f>IF(VLOOKUP(Table73[[#This Row],[Date]],Database!$A:$E,MATCH($B$1,Database!$A$1:$E$1,),)=0,#N/A,VLOOKUP(Table73[[#This Row],[Date]],Database!$A:$E,MATCH($B$1,Database!$A$1:$E$1,),))</f>
        <v/>
      </c>
      <c r="C801">
        <f>IF(VLOOKUP(Table73[[#This Row],[Date]],Database!$A:$C,MATCH($C$1,Database!$A$1:$C$1,),)=0,#N/A,VLOOKUP(Table73[[#This Row],[Date]],Database!$A:$C,MATCH($C$1,Database!$A$1:$C$1,),))</f>
        <v/>
      </c>
      <c r="D801">
        <f>IFERROR(Table73[[#This Row],[United States 10y]]-Table73[[#This Row],[United States 2y]],#N/A)</f>
        <v/>
      </c>
    </row>
    <row r="802">
      <c r="A802" s="6">
        <f>Database!A801</f>
        <v/>
      </c>
      <c r="B802">
        <f>IF(VLOOKUP(Table73[[#This Row],[Date]],Database!$A:$E,MATCH($B$1,Database!$A$1:$E$1,),)=0,#N/A,VLOOKUP(Table73[[#This Row],[Date]],Database!$A:$E,MATCH($B$1,Database!$A$1:$E$1,),))</f>
        <v/>
      </c>
      <c r="C802">
        <f>IF(VLOOKUP(Table73[[#This Row],[Date]],Database!$A:$C,MATCH($C$1,Database!$A$1:$C$1,),)=0,#N/A,VLOOKUP(Table73[[#This Row],[Date]],Database!$A:$C,MATCH($C$1,Database!$A$1:$C$1,),))</f>
        <v/>
      </c>
      <c r="D802">
        <f>IFERROR(Table73[[#This Row],[United States 10y]]-Table73[[#This Row],[United States 2y]],#N/A)</f>
        <v/>
      </c>
    </row>
    <row r="803">
      <c r="A803" s="6">
        <f>Database!A802</f>
        <v/>
      </c>
      <c r="B803">
        <f>IF(VLOOKUP(Table73[[#This Row],[Date]],Database!$A:$E,MATCH($B$1,Database!$A$1:$E$1,),)=0,#N/A,VLOOKUP(Table73[[#This Row],[Date]],Database!$A:$E,MATCH($B$1,Database!$A$1:$E$1,),))</f>
        <v/>
      </c>
      <c r="C803">
        <f>IF(VLOOKUP(Table73[[#This Row],[Date]],Database!$A:$C,MATCH($C$1,Database!$A$1:$C$1,),)=0,#N/A,VLOOKUP(Table73[[#This Row],[Date]],Database!$A:$C,MATCH($C$1,Database!$A$1:$C$1,),))</f>
        <v/>
      </c>
      <c r="D803">
        <f>IFERROR(Table73[[#This Row],[United States 10y]]-Table73[[#This Row],[United States 2y]],#N/A)</f>
        <v/>
      </c>
    </row>
    <row r="804">
      <c r="A804" s="6">
        <f>Database!A803</f>
        <v/>
      </c>
      <c r="B804">
        <f>IF(VLOOKUP(Table73[[#This Row],[Date]],Database!$A:$E,MATCH($B$1,Database!$A$1:$E$1,),)=0,#N/A,VLOOKUP(Table73[[#This Row],[Date]],Database!$A:$E,MATCH($B$1,Database!$A$1:$E$1,),))</f>
        <v/>
      </c>
      <c r="C804">
        <f>IF(VLOOKUP(Table73[[#This Row],[Date]],Database!$A:$C,MATCH($C$1,Database!$A$1:$C$1,),)=0,#N/A,VLOOKUP(Table73[[#This Row],[Date]],Database!$A:$C,MATCH($C$1,Database!$A$1:$C$1,),))</f>
        <v/>
      </c>
      <c r="D804">
        <f>IFERROR(Table73[[#This Row],[United States 10y]]-Table73[[#This Row],[United States 2y]],#N/A)</f>
        <v/>
      </c>
    </row>
    <row r="805">
      <c r="A805" s="6">
        <f>Database!A804</f>
        <v/>
      </c>
      <c r="B805">
        <f>IF(VLOOKUP(Table73[[#This Row],[Date]],Database!$A:$E,MATCH($B$1,Database!$A$1:$E$1,),)=0,#N/A,VLOOKUP(Table73[[#This Row],[Date]],Database!$A:$E,MATCH($B$1,Database!$A$1:$E$1,),))</f>
        <v/>
      </c>
      <c r="C805">
        <f>IF(VLOOKUP(Table73[[#This Row],[Date]],Database!$A:$C,MATCH($C$1,Database!$A$1:$C$1,),)=0,#N/A,VLOOKUP(Table73[[#This Row],[Date]],Database!$A:$C,MATCH($C$1,Database!$A$1:$C$1,),))</f>
        <v/>
      </c>
      <c r="D805">
        <f>IFERROR(Table73[[#This Row],[United States 10y]]-Table73[[#This Row],[United States 2y]],#N/A)</f>
        <v/>
      </c>
    </row>
    <row r="806">
      <c r="A806" s="6">
        <f>Database!A805</f>
        <v/>
      </c>
      <c r="B806">
        <f>IF(VLOOKUP(Table73[[#This Row],[Date]],Database!$A:$E,MATCH($B$1,Database!$A$1:$E$1,),)=0,#N/A,VLOOKUP(Table73[[#This Row],[Date]],Database!$A:$E,MATCH($B$1,Database!$A$1:$E$1,),))</f>
        <v/>
      </c>
      <c r="C806">
        <f>IF(VLOOKUP(Table73[[#This Row],[Date]],Database!$A:$C,MATCH($C$1,Database!$A$1:$C$1,),)=0,#N/A,VLOOKUP(Table73[[#This Row],[Date]],Database!$A:$C,MATCH($C$1,Database!$A$1:$C$1,),))</f>
        <v/>
      </c>
      <c r="D806">
        <f>IFERROR(Table73[[#This Row],[United States 10y]]-Table73[[#This Row],[United States 2y]],#N/A)</f>
        <v/>
      </c>
    </row>
    <row r="807">
      <c r="A807" s="6">
        <f>Database!A806</f>
        <v/>
      </c>
      <c r="B807">
        <f>IF(VLOOKUP(Table73[[#This Row],[Date]],Database!$A:$E,MATCH($B$1,Database!$A$1:$E$1,),)=0,#N/A,VLOOKUP(Table73[[#This Row],[Date]],Database!$A:$E,MATCH($B$1,Database!$A$1:$E$1,),))</f>
        <v/>
      </c>
      <c r="C807">
        <f>IF(VLOOKUP(Table73[[#This Row],[Date]],Database!$A:$C,MATCH($C$1,Database!$A$1:$C$1,),)=0,#N/A,VLOOKUP(Table73[[#This Row],[Date]],Database!$A:$C,MATCH($C$1,Database!$A$1:$C$1,),))</f>
        <v/>
      </c>
      <c r="D807">
        <f>IFERROR(Table73[[#This Row],[United States 10y]]-Table73[[#This Row],[United States 2y]],#N/A)</f>
        <v/>
      </c>
    </row>
    <row r="808">
      <c r="A808" s="6">
        <f>Database!A807</f>
        <v/>
      </c>
      <c r="B808">
        <f>IF(VLOOKUP(Table73[[#This Row],[Date]],Database!$A:$E,MATCH($B$1,Database!$A$1:$E$1,),)=0,#N/A,VLOOKUP(Table73[[#This Row],[Date]],Database!$A:$E,MATCH($B$1,Database!$A$1:$E$1,),))</f>
        <v/>
      </c>
      <c r="C808">
        <f>IF(VLOOKUP(Table73[[#This Row],[Date]],Database!$A:$C,MATCH($C$1,Database!$A$1:$C$1,),)=0,#N/A,VLOOKUP(Table73[[#This Row],[Date]],Database!$A:$C,MATCH($C$1,Database!$A$1:$C$1,),))</f>
        <v/>
      </c>
      <c r="D808">
        <f>IFERROR(Table73[[#This Row],[United States 10y]]-Table73[[#This Row],[United States 2y]],#N/A)</f>
        <v/>
      </c>
    </row>
    <row r="809">
      <c r="A809" s="6">
        <f>Database!A808</f>
        <v/>
      </c>
      <c r="B809">
        <f>IF(VLOOKUP(Table73[[#This Row],[Date]],Database!$A:$E,MATCH($B$1,Database!$A$1:$E$1,),)=0,#N/A,VLOOKUP(Table73[[#This Row],[Date]],Database!$A:$E,MATCH($B$1,Database!$A$1:$E$1,),))</f>
        <v/>
      </c>
      <c r="C809">
        <f>IF(VLOOKUP(Table73[[#This Row],[Date]],Database!$A:$C,MATCH($C$1,Database!$A$1:$C$1,),)=0,#N/A,VLOOKUP(Table73[[#This Row],[Date]],Database!$A:$C,MATCH($C$1,Database!$A$1:$C$1,),))</f>
        <v/>
      </c>
      <c r="D809">
        <f>IFERROR(Table73[[#This Row],[United States 10y]]-Table73[[#This Row],[United States 2y]],#N/A)</f>
        <v/>
      </c>
    </row>
    <row r="810">
      <c r="A810" s="6">
        <f>Database!A809</f>
        <v/>
      </c>
      <c r="B810">
        <f>IF(VLOOKUP(Table73[[#This Row],[Date]],Database!$A:$E,MATCH($B$1,Database!$A$1:$E$1,),)=0,#N/A,VLOOKUP(Table73[[#This Row],[Date]],Database!$A:$E,MATCH($B$1,Database!$A$1:$E$1,),))</f>
        <v/>
      </c>
      <c r="C810">
        <f>IF(VLOOKUP(Table73[[#This Row],[Date]],Database!$A:$C,MATCH($C$1,Database!$A$1:$C$1,),)=0,#N/A,VLOOKUP(Table73[[#This Row],[Date]],Database!$A:$C,MATCH($C$1,Database!$A$1:$C$1,),))</f>
        <v/>
      </c>
      <c r="D810">
        <f>IFERROR(Table73[[#This Row],[United States 10y]]-Table73[[#This Row],[United States 2y]],#N/A)</f>
        <v/>
      </c>
    </row>
    <row r="811">
      <c r="A811" s="6">
        <f>Database!A810</f>
        <v/>
      </c>
      <c r="B811">
        <f>IF(VLOOKUP(Table73[[#This Row],[Date]],Database!$A:$E,MATCH($B$1,Database!$A$1:$E$1,),)=0,#N/A,VLOOKUP(Table73[[#This Row],[Date]],Database!$A:$E,MATCH($B$1,Database!$A$1:$E$1,),))</f>
        <v/>
      </c>
      <c r="C811">
        <f>IF(VLOOKUP(Table73[[#This Row],[Date]],Database!$A:$C,MATCH($C$1,Database!$A$1:$C$1,),)=0,#N/A,VLOOKUP(Table73[[#This Row],[Date]],Database!$A:$C,MATCH($C$1,Database!$A$1:$C$1,),))</f>
        <v/>
      </c>
      <c r="D811">
        <f>IFERROR(Table73[[#This Row],[United States 10y]]-Table73[[#This Row],[United States 2y]],#N/A)</f>
        <v/>
      </c>
    </row>
    <row r="812">
      <c r="A812" s="6">
        <f>Database!A811</f>
        <v/>
      </c>
      <c r="B812">
        <f>IF(VLOOKUP(Table73[[#This Row],[Date]],Database!$A:$E,MATCH($B$1,Database!$A$1:$E$1,),)=0,#N/A,VLOOKUP(Table73[[#This Row],[Date]],Database!$A:$E,MATCH($B$1,Database!$A$1:$E$1,),))</f>
        <v/>
      </c>
      <c r="C812">
        <f>IF(VLOOKUP(Table73[[#This Row],[Date]],Database!$A:$C,MATCH($C$1,Database!$A$1:$C$1,),)=0,#N/A,VLOOKUP(Table73[[#This Row],[Date]],Database!$A:$C,MATCH($C$1,Database!$A$1:$C$1,),))</f>
        <v/>
      </c>
      <c r="D812">
        <f>IFERROR(Table73[[#This Row],[United States 10y]]-Table73[[#This Row],[United States 2y]],#N/A)</f>
        <v/>
      </c>
    </row>
    <row r="813">
      <c r="A813" s="6">
        <f>Database!A812</f>
        <v/>
      </c>
      <c r="B813">
        <f>IF(VLOOKUP(Table73[[#This Row],[Date]],Database!$A:$E,MATCH($B$1,Database!$A$1:$E$1,),)=0,#N/A,VLOOKUP(Table73[[#This Row],[Date]],Database!$A:$E,MATCH($B$1,Database!$A$1:$E$1,),))</f>
        <v/>
      </c>
      <c r="C813">
        <f>IF(VLOOKUP(Table73[[#This Row],[Date]],Database!$A:$C,MATCH($C$1,Database!$A$1:$C$1,),)=0,#N/A,VLOOKUP(Table73[[#This Row],[Date]],Database!$A:$C,MATCH($C$1,Database!$A$1:$C$1,),))</f>
        <v/>
      </c>
      <c r="D813">
        <f>IFERROR(Table73[[#This Row],[United States 10y]]-Table73[[#This Row],[United States 2y]],#N/A)</f>
        <v/>
      </c>
    </row>
    <row r="814">
      <c r="A814" s="6">
        <f>Database!A813</f>
        <v/>
      </c>
      <c r="B814">
        <f>IF(VLOOKUP(Table73[[#This Row],[Date]],Database!$A:$E,MATCH($B$1,Database!$A$1:$E$1,),)=0,#N/A,VLOOKUP(Table73[[#This Row],[Date]],Database!$A:$E,MATCH($B$1,Database!$A$1:$E$1,),))</f>
        <v/>
      </c>
      <c r="C814">
        <f>IF(VLOOKUP(Table73[[#This Row],[Date]],Database!$A:$C,MATCH($C$1,Database!$A$1:$C$1,),)=0,#N/A,VLOOKUP(Table73[[#This Row],[Date]],Database!$A:$C,MATCH($C$1,Database!$A$1:$C$1,),))</f>
        <v/>
      </c>
      <c r="D814">
        <f>IFERROR(Table73[[#This Row],[United States 10y]]-Table73[[#This Row],[United States 2y]],#N/A)</f>
        <v/>
      </c>
    </row>
    <row r="815">
      <c r="A815" s="6">
        <f>Database!A814</f>
        <v/>
      </c>
      <c r="B815">
        <f>IF(VLOOKUP(Table73[[#This Row],[Date]],Database!$A:$E,MATCH($B$1,Database!$A$1:$E$1,),)=0,#N/A,VLOOKUP(Table73[[#This Row],[Date]],Database!$A:$E,MATCH($B$1,Database!$A$1:$E$1,),))</f>
        <v/>
      </c>
      <c r="C815">
        <f>IF(VLOOKUP(Table73[[#This Row],[Date]],Database!$A:$C,MATCH($C$1,Database!$A$1:$C$1,),)=0,#N/A,VLOOKUP(Table73[[#This Row],[Date]],Database!$A:$C,MATCH($C$1,Database!$A$1:$C$1,),))</f>
        <v/>
      </c>
      <c r="D815">
        <f>IFERROR(Table73[[#This Row],[United States 10y]]-Table73[[#This Row],[United States 2y]],#N/A)</f>
        <v/>
      </c>
    </row>
    <row r="816">
      <c r="A816" s="6">
        <f>Database!A815</f>
        <v/>
      </c>
      <c r="B816">
        <f>IF(VLOOKUP(Table73[[#This Row],[Date]],Database!$A:$E,MATCH($B$1,Database!$A$1:$E$1,),)=0,#N/A,VLOOKUP(Table73[[#This Row],[Date]],Database!$A:$E,MATCH($B$1,Database!$A$1:$E$1,),))</f>
        <v/>
      </c>
      <c r="C816">
        <f>IF(VLOOKUP(Table73[[#This Row],[Date]],Database!$A:$C,MATCH($C$1,Database!$A$1:$C$1,),)=0,#N/A,VLOOKUP(Table73[[#This Row],[Date]],Database!$A:$C,MATCH($C$1,Database!$A$1:$C$1,),))</f>
        <v/>
      </c>
      <c r="D816">
        <f>IFERROR(Table73[[#This Row],[United States 10y]]-Table73[[#This Row],[United States 2y]],#N/A)</f>
        <v/>
      </c>
    </row>
    <row r="817">
      <c r="A817" s="6">
        <f>Database!A816</f>
        <v/>
      </c>
      <c r="B817">
        <f>IF(VLOOKUP(Table73[[#This Row],[Date]],Database!$A:$E,MATCH($B$1,Database!$A$1:$E$1,),)=0,#N/A,VLOOKUP(Table73[[#This Row],[Date]],Database!$A:$E,MATCH($B$1,Database!$A$1:$E$1,),))</f>
        <v/>
      </c>
      <c r="C817">
        <f>IF(VLOOKUP(Table73[[#This Row],[Date]],Database!$A:$C,MATCH($C$1,Database!$A$1:$C$1,),)=0,#N/A,VLOOKUP(Table73[[#This Row],[Date]],Database!$A:$C,MATCH($C$1,Database!$A$1:$C$1,),))</f>
        <v/>
      </c>
      <c r="D817">
        <f>IFERROR(Table73[[#This Row],[United States 10y]]-Table73[[#This Row],[United States 2y]],#N/A)</f>
        <v/>
      </c>
    </row>
    <row r="818">
      <c r="A818" s="6">
        <f>Database!A817</f>
        <v/>
      </c>
      <c r="B818">
        <f>IF(VLOOKUP(Table73[[#This Row],[Date]],Database!$A:$E,MATCH($B$1,Database!$A$1:$E$1,),)=0,#N/A,VLOOKUP(Table73[[#This Row],[Date]],Database!$A:$E,MATCH($B$1,Database!$A$1:$E$1,),))</f>
        <v/>
      </c>
      <c r="C818">
        <f>IF(VLOOKUP(Table73[[#This Row],[Date]],Database!$A:$C,MATCH($C$1,Database!$A$1:$C$1,),)=0,#N/A,VLOOKUP(Table73[[#This Row],[Date]],Database!$A:$C,MATCH($C$1,Database!$A$1:$C$1,),))</f>
        <v/>
      </c>
      <c r="D818">
        <f>IFERROR(Table73[[#This Row],[United States 10y]]-Table73[[#This Row],[United States 2y]],#N/A)</f>
        <v/>
      </c>
    </row>
    <row r="819">
      <c r="A819" s="6">
        <f>Database!A818</f>
        <v/>
      </c>
      <c r="B819">
        <f>IF(VLOOKUP(Table73[[#This Row],[Date]],Database!$A:$E,MATCH($B$1,Database!$A$1:$E$1,),)=0,#N/A,VLOOKUP(Table73[[#This Row],[Date]],Database!$A:$E,MATCH($B$1,Database!$A$1:$E$1,),))</f>
        <v/>
      </c>
      <c r="C819">
        <f>IF(VLOOKUP(Table73[[#This Row],[Date]],Database!$A:$C,MATCH($C$1,Database!$A$1:$C$1,),)=0,#N/A,VLOOKUP(Table73[[#This Row],[Date]],Database!$A:$C,MATCH($C$1,Database!$A$1:$C$1,),))</f>
        <v/>
      </c>
      <c r="D819">
        <f>IFERROR(Table73[[#This Row],[United States 10y]]-Table73[[#This Row],[United States 2y]],#N/A)</f>
        <v/>
      </c>
    </row>
    <row r="820">
      <c r="A820" s="6">
        <f>Database!A819</f>
        <v/>
      </c>
      <c r="B820">
        <f>IF(VLOOKUP(Table73[[#This Row],[Date]],Database!$A:$E,MATCH($B$1,Database!$A$1:$E$1,),)=0,#N/A,VLOOKUP(Table73[[#This Row],[Date]],Database!$A:$E,MATCH($B$1,Database!$A$1:$E$1,),))</f>
        <v/>
      </c>
      <c r="C820">
        <f>IF(VLOOKUP(Table73[[#This Row],[Date]],Database!$A:$C,MATCH($C$1,Database!$A$1:$C$1,),)=0,#N/A,VLOOKUP(Table73[[#This Row],[Date]],Database!$A:$C,MATCH($C$1,Database!$A$1:$C$1,),))</f>
        <v/>
      </c>
      <c r="D820">
        <f>IFERROR(Table73[[#This Row],[United States 10y]]-Table73[[#This Row],[United States 2y]],#N/A)</f>
        <v/>
      </c>
    </row>
    <row r="821">
      <c r="A821" s="6">
        <f>Database!A820</f>
        <v/>
      </c>
      <c r="B821">
        <f>IF(VLOOKUP(Table73[[#This Row],[Date]],Database!$A:$E,MATCH($B$1,Database!$A$1:$E$1,),)=0,#N/A,VLOOKUP(Table73[[#This Row],[Date]],Database!$A:$E,MATCH($B$1,Database!$A$1:$E$1,),))</f>
        <v/>
      </c>
      <c r="C821">
        <f>IF(VLOOKUP(Table73[[#This Row],[Date]],Database!$A:$C,MATCH($C$1,Database!$A$1:$C$1,),)=0,#N/A,VLOOKUP(Table73[[#This Row],[Date]],Database!$A:$C,MATCH($C$1,Database!$A$1:$C$1,),))</f>
        <v/>
      </c>
      <c r="D821">
        <f>IFERROR(Table73[[#This Row],[United States 10y]]-Table73[[#This Row],[United States 2y]],#N/A)</f>
        <v/>
      </c>
    </row>
    <row r="822">
      <c r="A822" s="6">
        <f>Database!A821</f>
        <v/>
      </c>
      <c r="B822">
        <f>IF(VLOOKUP(Table73[[#This Row],[Date]],Database!$A:$E,MATCH($B$1,Database!$A$1:$E$1,),)=0,#N/A,VLOOKUP(Table73[[#This Row],[Date]],Database!$A:$E,MATCH($B$1,Database!$A$1:$E$1,),))</f>
        <v/>
      </c>
      <c r="C822">
        <f>IF(VLOOKUP(Table73[[#This Row],[Date]],Database!$A:$C,MATCH($C$1,Database!$A$1:$C$1,),)=0,#N/A,VLOOKUP(Table73[[#This Row],[Date]],Database!$A:$C,MATCH($C$1,Database!$A$1:$C$1,),))</f>
        <v/>
      </c>
      <c r="D822">
        <f>IFERROR(Table73[[#This Row],[United States 10y]]-Table73[[#This Row],[United States 2y]],#N/A)</f>
        <v/>
      </c>
    </row>
    <row r="823">
      <c r="A823" s="6">
        <f>Database!A822</f>
        <v/>
      </c>
      <c r="B823">
        <f>IF(VLOOKUP(Table73[[#This Row],[Date]],Database!$A:$E,MATCH($B$1,Database!$A$1:$E$1,),)=0,#N/A,VLOOKUP(Table73[[#This Row],[Date]],Database!$A:$E,MATCH($B$1,Database!$A$1:$E$1,),))</f>
        <v/>
      </c>
      <c r="C823">
        <f>IF(VLOOKUP(Table73[[#This Row],[Date]],Database!$A:$C,MATCH($C$1,Database!$A$1:$C$1,),)=0,#N/A,VLOOKUP(Table73[[#This Row],[Date]],Database!$A:$C,MATCH($C$1,Database!$A$1:$C$1,),))</f>
        <v/>
      </c>
      <c r="D823">
        <f>IFERROR(Table73[[#This Row],[United States 10y]]-Table73[[#This Row],[United States 2y]],#N/A)</f>
        <v/>
      </c>
    </row>
    <row r="824">
      <c r="A824" s="6">
        <f>Database!A823</f>
        <v/>
      </c>
      <c r="B824">
        <f>IF(VLOOKUP(Table73[[#This Row],[Date]],Database!$A:$E,MATCH($B$1,Database!$A$1:$E$1,),)=0,#N/A,VLOOKUP(Table73[[#This Row],[Date]],Database!$A:$E,MATCH($B$1,Database!$A$1:$E$1,),))</f>
        <v/>
      </c>
      <c r="C824">
        <f>IF(VLOOKUP(Table73[[#This Row],[Date]],Database!$A:$C,MATCH($C$1,Database!$A$1:$C$1,),)=0,#N/A,VLOOKUP(Table73[[#This Row],[Date]],Database!$A:$C,MATCH($C$1,Database!$A$1:$C$1,),))</f>
        <v/>
      </c>
      <c r="D824">
        <f>IFERROR(Table73[[#This Row],[United States 10y]]-Table73[[#This Row],[United States 2y]],#N/A)</f>
        <v/>
      </c>
    </row>
    <row r="825">
      <c r="A825" s="6">
        <f>Database!A824</f>
        <v/>
      </c>
      <c r="B825">
        <f>IF(VLOOKUP(Table73[[#This Row],[Date]],Database!$A:$E,MATCH($B$1,Database!$A$1:$E$1,),)=0,#N/A,VLOOKUP(Table73[[#This Row],[Date]],Database!$A:$E,MATCH($B$1,Database!$A$1:$E$1,),))</f>
        <v/>
      </c>
      <c r="C825">
        <f>IF(VLOOKUP(Table73[[#This Row],[Date]],Database!$A:$C,MATCH($C$1,Database!$A$1:$C$1,),)=0,#N/A,VLOOKUP(Table73[[#This Row],[Date]],Database!$A:$C,MATCH($C$1,Database!$A$1:$C$1,),))</f>
        <v/>
      </c>
      <c r="D825">
        <f>IFERROR(Table73[[#This Row],[United States 10y]]-Table73[[#This Row],[United States 2y]],#N/A)</f>
        <v/>
      </c>
    </row>
    <row r="826">
      <c r="A826" s="6">
        <f>Database!A825</f>
        <v/>
      </c>
      <c r="B826">
        <f>IF(VLOOKUP(Table73[[#This Row],[Date]],Database!$A:$E,MATCH($B$1,Database!$A$1:$E$1,),)=0,#N/A,VLOOKUP(Table73[[#This Row],[Date]],Database!$A:$E,MATCH($B$1,Database!$A$1:$E$1,),))</f>
        <v/>
      </c>
      <c r="C826">
        <f>IF(VLOOKUP(Table73[[#This Row],[Date]],Database!$A:$C,MATCH($C$1,Database!$A$1:$C$1,),)=0,#N/A,VLOOKUP(Table73[[#This Row],[Date]],Database!$A:$C,MATCH($C$1,Database!$A$1:$C$1,),))</f>
        <v/>
      </c>
      <c r="D826">
        <f>IFERROR(Table73[[#This Row],[United States 10y]]-Table73[[#This Row],[United States 2y]],#N/A)</f>
        <v/>
      </c>
    </row>
    <row r="827">
      <c r="A827" s="6">
        <f>Database!A826</f>
        <v/>
      </c>
      <c r="B827">
        <f>IF(VLOOKUP(Table73[[#This Row],[Date]],Database!$A:$E,MATCH($B$1,Database!$A$1:$E$1,),)=0,#N/A,VLOOKUP(Table73[[#This Row],[Date]],Database!$A:$E,MATCH($B$1,Database!$A$1:$E$1,),))</f>
        <v/>
      </c>
      <c r="C827">
        <f>IF(VLOOKUP(Table73[[#This Row],[Date]],Database!$A:$C,MATCH($C$1,Database!$A$1:$C$1,),)=0,#N/A,VLOOKUP(Table73[[#This Row],[Date]],Database!$A:$C,MATCH($C$1,Database!$A$1:$C$1,),))</f>
        <v/>
      </c>
      <c r="D827">
        <f>IFERROR(Table73[[#This Row],[United States 10y]]-Table73[[#This Row],[United States 2y]],#N/A)</f>
        <v/>
      </c>
    </row>
    <row r="828">
      <c r="A828" s="6">
        <f>Database!A827</f>
        <v/>
      </c>
      <c r="B828">
        <f>IF(VLOOKUP(Table73[[#This Row],[Date]],Database!$A:$E,MATCH($B$1,Database!$A$1:$E$1,),)=0,#N/A,VLOOKUP(Table73[[#This Row],[Date]],Database!$A:$E,MATCH($B$1,Database!$A$1:$E$1,),))</f>
        <v/>
      </c>
      <c r="C828">
        <f>IF(VLOOKUP(Table73[[#This Row],[Date]],Database!$A:$C,MATCH($C$1,Database!$A$1:$C$1,),)=0,#N/A,VLOOKUP(Table73[[#This Row],[Date]],Database!$A:$C,MATCH($C$1,Database!$A$1:$C$1,),))</f>
        <v/>
      </c>
      <c r="D828">
        <f>IFERROR(Table73[[#This Row],[United States 10y]]-Table73[[#This Row],[United States 2y]],#N/A)</f>
        <v/>
      </c>
    </row>
    <row r="829">
      <c r="A829" s="6">
        <f>Database!A828</f>
        <v/>
      </c>
      <c r="B829">
        <f>IF(VLOOKUP(Table73[[#This Row],[Date]],Database!$A:$E,MATCH($B$1,Database!$A$1:$E$1,),)=0,#N/A,VLOOKUP(Table73[[#This Row],[Date]],Database!$A:$E,MATCH($B$1,Database!$A$1:$E$1,),))</f>
        <v/>
      </c>
      <c r="C829">
        <f>IF(VLOOKUP(Table73[[#This Row],[Date]],Database!$A:$C,MATCH($C$1,Database!$A$1:$C$1,),)=0,#N/A,VLOOKUP(Table73[[#This Row],[Date]],Database!$A:$C,MATCH($C$1,Database!$A$1:$C$1,),))</f>
        <v/>
      </c>
      <c r="D829">
        <f>IFERROR(Table73[[#This Row],[United States 10y]]-Table73[[#This Row],[United States 2y]],#N/A)</f>
        <v/>
      </c>
    </row>
    <row r="830">
      <c r="A830" s="6">
        <f>Database!A829</f>
        <v/>
      </c>
      <c r="B830">
        <f>IF(VLOOKUP(Table73[[#This Row],[Date]],Database!$A:$E,MATCH($B$1,Database!$A$1:$E$1,),)=0,#N/A,VLOOKUP(Table73[[#This Row],[Date]],Database!$A:$E,MATCH($B$1,Database!$A$1:$E$1,),))</f>
        <v/>
      </c>
      <c r="C830">
        <f>IF(VLOOKUP(Table73[[#This Row],[Date]],Database!$A:$C,MATCH($C$1,Database!$A$1:$C$1,),)=0,#N/A,VLOOKUP(Table73[[#This Row],[Date]],Database!$A:$C,MATCH($C$1,Database!$A$1:$C$1,),))</f>
        <v/>
      </c>
      <c r="D830">
        <f>IFERROR(Table73[[#This Row],[United States 10y]]-Table73[[#This Row],[United States 2y]],#N/A)</f>
        <v/>
      </c>
    </row>
    <row r="831">
      <c r="A831" s="6">
        <f>Database!A830</f>
        <v/>
      </c>
      <c r="B831">
        <f>IF(VLOOKUP(Table73[[#This Row],[Date]],Database!$A:$E,MATCH($B$1,Database!$A$1:$E$1,),)=0,#N/A,VLOOKUP(Table73[[#This Row],[Date]],Database!$A:$E,MATCH($B$1,Database!$A$1:$E$1,),))</f>
        <v/>
      </c>
      <c r="C831">
        <f>IF(VLOOKUP(Table73[[#This Row],[Date]],Database!$A:$C,MATCH($C$1,Database!$A$1:$C$1,),)=0,#N/A,VLOOKUP(Table73[[#This Row],[Date]],Database!$A:$C,MATCH($C$1,Database!$A$1:$C$1,),))</f>
        <v/>
      </c>
      <c r="D831">
        <f>IFERROR(Table73[[#This Row],[United States 10y]]-Table73[[#This Row],[United States 2y]],#N/A)</f>
        <v/>
      </c>
    </row>
    <row r="832">
      <c r="A832" s="6">
        <f>Database!A831</f>
        <v/>
      </c>
      <c r="B832">
        <f>IF(VLOOKUP(Table73[[#This Row],[Date]],Database!$A:$E,MATCH($B$1,Database!$A$1:$E$1,),)=0,#N/A,VLOOKUP(Table73[[#This Row],[Date]],Database!$A:$E,MATCH($B$1,Database!$A$1:$E$1,),))</f>
        <v/>
      </c>
      <c r="C832">
        <f>IF(VLOOKUP(Table73[[#This Row],[Date]],Database!$A:$C,MATCH($C$1,Database!$A$1:$C$1,),)=0,#N/A,VLOOKUP(Table73[[#This Row],[Date]],Database!$A:$C,MATCH($C$1,Database!$A$1:$C$1,),))</f>
        <v/>
      </c>
      <c r="D832">
        <f>IFERROR(Table73[[#This Row],[United States 10y]]-Table73[[#This Row],[United States 2y]],#N/A)</f>
        <v/>
      </c>
    </row>
    <row r="833">
      <c r="A833" s="6">
        <f>Database!A832</f>
        <v/>
      </c>
      <c r="B833">
        <f>IF(VLOOKUP(Table73[[#This Row],[Date]],Database!$A:$E,MATCH($B$1,Database!$A$1:$E$1,),)=0,#N/A,VLOOKUP(Table73[[#This Row],[Date]],Database!$A:$E,MATCH($B$1,Database!$A$1:$E$1,),))</f>
        <v/>
      </c>
      <c r="C833">
        <f>IF(VLOOKUP(Table73[[#This Row],[Date]],Database!$A:$C,MATCH($C$1,Database!$A$1:$C$1,),)=0,#N/A,VLOOKUP(Table73[[#This Row],[Date]],Database!$A:$C,MATCH($C$1,Database!$A$1:$C$1,),))</f>
        <v/>
      </c>
      <c r="D833">
        <f>IFERROR(Table73[[#This Row],[United States 10y]]-Table73[[#This Row],[United States 2y]],#N/A)</f>
        <v/>
      </c>
    </row>
    <row r="834">
      <c r="A834" s="6">
        <f>Database!A833</f>
        <v/>
      </c>
      <c r="B834">
        <f>IF(VLOOKUP(Table73[[#This Row],[Date]],Database!$A:$E,MATCH($B$1,Database!$A$1:$E$1,),)=0,#N/A,VLOOKUP(Table73[[#This Row],[Date]],Database!$A:$E,MATCH($B$1,Database!$A$1:$E$1,),))</f>
        <v/>
      </c>
      <c r="C834">
        <f>IF(VLOOKUP(Table73[[#This Row],[Date]],Database!$A:$C,MATCH($C$1,Database!$A$1:$C$1,),)=0,#N/A,VLOOKUP(Table73[[#This Row],[Date]],Database!$A:$C,MATCH($C$1,Database!$A$1:$C$1,),))</f>
        <v/>
      </c>
      <c r="D834">
        <f>IFERROR(Table73[[#This Row],[United States 10y]]-Table73[[#This Row],[United States 2y]],#N/A)</f>
        <v/>
      </c>
    </row>
    <row r="835">
      <c r="A835" s="6">
        <f>Database!A834</f>
        <v/>
      </c>
      <c r="B835">
        <f>IF(VLOOKUP(Table73[[#This Row],[Date]],Database!$A:$E,MATCH($B$1,Database!$A$1:$E$1,),)=0,#N/A,VLOOKUP(Table73[[#This Row],[Date]],Database!$A:$E,MATCH($B$1,Database!$A$1:$E$1,),))</f>
        <v/>
      </c>
      <c r="C835">
        <f>IF(VLOOKUP(Table73[[#This Row],[Date]],Database!$A:$C,MATCH($C$1,Database!$A$1:$C$1,),)=0,#N/A,VLOOKUP(Table73[[#This Row],[Date]],Database!$A:$C,MATCH($C$1,Database!$A$1:$C$1,),))</f>
        <v/>
      </c>
      <c r="D835">
        <f>IFERROR(Table73[[#This Row],[United States 10y]]-Table73[[#This Row],[United States 2y]],#N/A)</f>
        <v/>
      </c>
    </row>
    <row r="836">
      <c r="A836" s="6">
        <f>Database!A835</f>
        <v/>
      </c>
      <c r="B836">
        <f>IF(VLOOKUP(Table73[[#This Row],[Date]],Database!$A:$E,MATCH($B$1,Database!$A$1:$E$1,),)=0,#N/A,VLOOKUP(Table73[[#This Row],[Date]],Database!$A:$E,MATCH($B$1,Database!$A$1:$E$1,),))</f>
        <v/>
      </c>
      <c r="C836">
        <f>IF(VLOOKUP(Table73[[#This Row],[Date]],Database!$A:$C,MATCH($C$1,Database!$A$1:$C$1,),)=0,#N/A,VLOOKUP(Table73[[#This Row],[Date]],Database!$A:$C,MATCH($C$1,Database!$A$1:$C$1,),))</f>
        <v/>
      </c>
      <c r="D836">
        <f>IFERROR(Table73[[#This Row],[United States 10y]]-Table73[[#This Row],[United States 2y]],#N/A)</f>
        <v/>
      </c>
    </row>
    <row r="837">
      <c r="A837" s="6">
        <f>Database!A836</f>
        <v/>
      </c>
      <c r="B837">
        <f>IF(VLOOKUP(Table73[[#This Row],[Date]],Database!$A:$E,MATCH($B$1,Database!$A$1:$E$1,),)=0,#N/A,VLOOKUP(Table73[[#This Row],[Date]],Database!$A:$E,MATCH($B$1,Database!$A$1:$E$1,),))</f>
        <v/>
      </c>
      <c r="C837">
        <f>IF(VLOOKUP(Table73[[#This Row],[Date]],Database!$A:$C,MATCH($C$1,Database!$A$1:$C$1,),)=0,#N/A,VLOOKUP(Table73[[#This Row],[Date]],Database!$A:$C,MATCH($C$1,Database!$A$1:$C$1,),))</f>
        <v/>
      </c>
      <c r="D837">
        <f>IFERROR(Table73[[#This Row],[United States 10y]]-Table73[[#This Row],[United States 2y]],#N/A)</f>
        <v/>
      </c>
    </row>
    <row r="838">
      <c r="A838" s="6">
        <f>Database!A837</f>
        <v/>
      </c>
      <c r="B838">
        <f>IF(VLOOKUP(Table73[[#This Row],[Date]],Database!$A:$E,MATCH($B$1,Database!$A$1:$E$1,),)=0,#N/A,VLOOKUP(Table73[[#This Row],[Date]],Database!$A:$E,MATCH($B$1,Database!$A$1:$E$1,),))</f>
        <v/>
      </c>
      <c r="C838">
        <f>IF(VLOOKUP(Table73[[#This Row],[Date]],Database!$A:$C,MATCH($C$1,Database!$A$1:$C$1,),)=0,#N/A,VLOOKUP(Table73[[#This Row],[Date]],Database!$A:$C,MATCH($C$1,Database!$A$1:$C$1,),))</f>
        <v/>
      </c>
      <c r="D838">
        <f>IFERROR(Table73[[#This Row],[United States 10y]]-Table73[[#This Row],[United States 2y]],#N/A)</f>
        <v/>
      </c>
    </row>
    <row r="839">
      <c r="A839" s="6">
        <f>Database!A838</f>
        <v/>
      </c>
      <c r="B839">
        <f>IF(VLOOKUP(Table73[[#This Row],[Date]],Database!$A:$E,MATCH($B$1,Database!$A$1:$E$1,),)=0,#N/A,VLOOKUP(Table73[[#This Row],[Date]],Database!$A:$E,MATCH($B$1,Database!$A$1:$E$1,),))</f>
        <v/>
      </c>
      <c r="C839">
        <f>IF(VLOOKUP(Table73[[#This Row],[Date]],Database!$A:$C,MATCH($C$1,Database!$A$1:$C$1,),)=0,#N/A,VLOOKUP(Table73[[#This Row],[Date]],Database!$A:$C,MATCH($C$1,Database!$A$1:$C$1,),))</f>
        <v/>
      </c>
      <c r="D839">
        <f>IFERROR(Table73[[#This Row],[United States 10y]]-Table73[[#This Row],[United States 2y]],#N/A)</f>
        <v/>
      </c>
    </row>
    <row r="840">
      <c r="A840" s="6">
        <f>Database!A839</f>
        <v/>
      </c>
      <c r="B840">
        <f>IF(VLOOKUP(Table73[[#This Row],[Date]],Database!$A:$E,MATCH($B$1,Database!$A$1:$E$1,),)=0,#N/A,VLOOKUP(Table73[[#This Row],[Date]],Database!$A:$E,MATCH($B$1,Database!$A$1:$E$1,),))</f>
        <v/>
      </c>
      <c r="C840">
        <f>IF(VLOOKUP(Table73[[#This Row],[Date]],Database!$A:$C,MATCH($C$1,Database!$A$1:$C$1,),)=0,#N/A,VLOOKUP(Table73[[#This Row],[Date]],Database!$A:$C,MATCH($C$1,Database!$A$1:$C$1,),))</f>
        <v/>
      </c>
      <c r="D840">
        <f>IFERROR(Table73[[#This Row],[United States 10y]]-Table73[[#This Row],[United States 2y]],#N/A)</f>
        <v/>
      </c>
    </row>
    <row r="841">
      <c r="A841" s="6">
        <f>Database!A840</f>
        <v/>
      </c>
      <c r="B841">
        <f>IF(VLOOKUP(Table73[[#This Row],[Date]],Database!$A:$E,MATCH($B$1,Database!$A$1:$E$1,),)=0,#N/A,VLOOKUP(Table73[[#This Row],[Date]],Database!$A:$E,MATCH($B$1,Database!$A$1:$E$1,),))</f>
        <v/>
      </c>
      <c r="C841">
        <f>IF(VLOOKUP(Table73[[#This Row],[Date]],Database!$A:$C,MATCH($C$1,Database!$A$1:$C$1,),)=0,#N/A,VLOOKUP(Table73[[#This Row],[Date]],Database!$A:$C,MATCH($C$1,Database!$A$1:$C$1,),))</f>
        <v/>
      </c>
      <c r="D841">
        <f>IFERROR(Table73[[#This Row],[United States 10y]]-Table73[[#This Row],[United States 2y]],#N/A)</f>
        <v/>
      </c>
    </row>
    <row r="842">
      <c r="A842" s="6">
        <f>Database!A841</f>
        <v/>
      </c>
      <c r="B842">
        <f>IF(VLOOKUP(Table73[[#This Row],[Date]],Database!$A:$E,MATCH($B$1,Database!$A$1:$E$1,),)=0,#N/A,VLOOKUP(Table73[[#This Row],[Date]],Database!$A:$E,MATCH($B$1,Database!$A$1:$E$1,),))</f>
        <v/>
      </c>
      <c r="C842">
        <f>IF(VLOOKUP(Table73[[#This Row],[Date]],Database!$A:$C,MATCH($C$1,Database!$A$1:$C$1,),)=0,#N/A,VLOOKUP(Table73[[#This Row],[Date]],Database!$A:$C,MATCH($C$1,Database!$A$1:$C$1,),))</f>
        <v/>
      </c>
      <c r="D842">
        <f>IFERROR(Table73[[#This Row],[United States 10y]]-Table73[[#This Row],[United States 2y]],#N/A)</f>
        <v/>
      </c>
    </row>
    <row r="843">
      <c r="A843" s="6">
        <f>Database!A842</f>
        <v/>
      </c>
      <c r="B843">
        <f>IF(VLOOKUP(Table73[[#This Row],[Date]],Database!$A:$E,MATCH($B$1,Database!$A$1:$E$1,),)=0,#N/A,VLOOKUP(Table73[[#This Row],[Date]],Database!$A:$E,MATCH($B$1,Database!$A$1:$E$1,),))</f>
        <v/>
      </c>
      <c r="C843">
        <f>IF(VLOOKUP(Table73[[#This Row],[Date]],Database!$A:$C,MATCH($C$1,Database!$A$1:$C$1,),)=0,#N/A,VLOOKUP(Table73[[#This Row],[Date]],Database!$A:$C,MATCH($C$1,Database!$A$1:$C$1,),))</f>
        <v/>
      </c>
      <c r="D843">
        <f>IFERROR(Table73[[#This Row],[United States 10y]]-Table73[[#This Row],[United States 2y]],#N/A)</f>
        <v/>
      </c>
    </row>
    <row r="844">
      <c r="A844" s="6">
        <f>Database!A843</f>
        <v/>
      </c>
      <c r="B844">
        <f>IF(VLOOKUP(Table73[[#This Row],[Date]],Database!$A:$E,MATCH($B$1,Database!$A$1:$E$1,),)=0,#N/A,VLOOKUP(Table73[[#This Row],[Date]],Database!$A:$E,MATCH($B$1,Database!$A$1:$E$1,),))</f>
        <v/>
      </c>
      <c r="C844">
        <f>IF(VLOOKUP(Table73[[#This Row],[Date]],Database!$A:$C,MATCH($C$1,Database!$A$1:$C$1,),)=0,#N/A,VLOOKUP(Table73[[#This Row],[Date]],Database!$A:$C,MATCH($C$1,Database!$A$1:$C$1,),))</f>
        <v/>
      </c>
      <c r="D844">
        <f>IFERROR(Table73[[#This Row],[United States 10y]]-Table73[[#This Row],[United States 2y]],#N/A)</f>
        <v/>
      </c>
    </row>
    <row r="845">
      <c r="A845" s="6">
        <f>Database!A844</f>
        <v/>
      </c>
      <c r="B845">
        <f>IF(VLOOKUP(Table73[[#This Row],[Date]],Database!$A:$E,MATCH($B$1,Database!$A$1:$E$1,),)=0,#N/A,VLOOKUP(Table73[[#This Row],[Date]],Database!$A:$E,MATCH($B$1,Database!$A$1:$E$1,),))</f>
        <v/>
      </c>
      <c r="C845">
        <f>IF(VLOOKUP(Table73[[#This Row],[Date]],Database!$A:$C,MATCH($C$1,Database!$A$1:$C$1,),)=0,#N/A,VLOOKUP(Table73[[#This Row],[Date]],Database!$A:$C,MATCH($C$1,Database!$A$1:$C$1,),))</f>
        <v/>
      </c>
      <c r="D845">
        <f>IFERROR(Table73[[#This Row],[United States 10y]]-Table73[[#This Row],[United States 2y]],#N/A)</f>
        <v/>
      </c>
    </row>
    <row r="846">
      <c r="A846" s="6">
        <f>Database!A845</f>
        <v/>
      </c>
      <c r="B846">
        <f>IF(VLOOKUP(Table73[[#This Row],[Date]],Database!$A:$E,MATCH($B$1,Database!$A$1:$E$1,),)=0,#N/A,VLOOKUP(Table73[[#This Row],[Date]],Database!$A:$E,MATCH($B$1,Database!$A$1:$E$1,),))</f>
        <v/>
      </c>
      <c r="C846">
        <f>IF(VLOOKUP(Table73[[#This Row],[Date]],Database!$A:$C,MATCH($C$1,Database!$A$1:$C$1,),)=0,#N/A,VLOOKUP(Table73[[#This Row],[Date]],Database!$A:$C,MATCH($C$1,Database!$A$1:$C$1,),))</f>
        <v/>
      </c>
      <c r="D846">
        <f>IFERROR(Table73[[#This Row],[United States 10y]]-Table73[[#This Row],[United States 2y]],#N/A)</f>
        <v/>
      </c>
    </row>
    <row r="847">
      <c r="A847" s="6">
        <f>Database!A846</f>
        <v/>
      </c>
      <c r="B847">
        <f>IF(VLOOKUP(Table73[[#This Row],[Date]],Database!$A:$E,MATCH($B$1,Database!$A$1:$E$1,),)=0,#N/A,VLOOKUP(Table73[[#This Row],[Date]],Database!$A:$E,MATCH($B$1,Database!$A$1:$E$1,),))</f>
        <v/>
      </c>
      <c r="C847">
        <f>IF(VLOOKUP(Table73[[#This Row],[Date]],Database!$A:$C,MATCH($C$1,Database!$A$1:$C$1,),)=0,#N/A,VLOOKUP(Table73[[#This Row],[Date]],Database!$A:$C,MATCH($C$1,Database!$A$1:$C$1,),))</f>
        <v/>
      </c>
      <c r="D847">
        <f>IFERROR(Table73[[#This Row],[United States 10y]]-Table73[[#This Row],[United States 2y]],#N/A)</f>
        <v/>
      </c>
    </row>
    <row r="848">
      <c r="A848" s="6">
        <f>Database!A847</f>
        <v/>
      </c>
      <c r="B848">
        <f>IF(VLOOKUP(Table73[[#This Row],[Date]],Database!$A:$E,MATCH($B$1,Database!$A$1:$E$1,),)=0,#N/A,VLOOKUP(Table73[[#This Row],[Date]],Database!$A:$E,MATCH($B$1,Database!$A$1:$E$1,),))</f>
        <v/>
      </c>
      <c r="C848">
        <f>IF(VLOOKUP(Table73[[#This Row],[Date]],Database!$A:$C,MATCH($C$1,Database!$A$1:$C$1,),)=0,#N/A,VLOOKUP(Table73[[#This Row],[Date]],Database!$A:$C,MATCH($C$1,Database!$A$1:$C$1,),))</f>
        <v/>
      </c>
      <c r="D848">
        <f>IFERROR(Table73[[#This Row],[United States 10y]]-Table73[[#This Row],[United States 2y]],#N/A)</f>
        <v/>
      </c>
    </row>
    <row r="849">
      <c r="A849" s="6">
        <f>Database!A848</f>
        <v/>
      </c>
      <c r="B849">
        <f>IF(VLOOKUP(Table73[[#This Row],[Date]],Database!$A:$E,MATCH($B$1,Database!$A$1:$E$1,),)=0,#N/A,VLOOKUP(Table73[[#This Row],[Date]],Database!$A:$E,MATCH($B$1,Database!$A$1:$E$1,),))</f>
        <v/>
      </c>
      <c r="C849">
        <f>IF(VLOOKUP(Table73[[#This Row],[Date]],Database!$A:$C,MATCH($C$1,Database!$A$1:$C$1,),)=0,#N/A,VLOOKUP(Table73[[#This Row],[Date]],Database!$A:$C,MATCH($C$1,Database!$A$1:$C$1,),))</f>
        <v/>
      </c>
      <c r="D849">
        <f>IFERROR(Table73[[#This Row],[United States 10y]]-Table73[[#This Row],[United States 2y]],#N/A)</f>
        <v/>
      </c>
    </row>
    <row r="850">
      <c r="A850" s="6">
        <f>Database!A849</f>
        <v/>
      </c>
      <c r="B850">
        <f>IF(VLOOKUP(Table73[[#This Row],[Date]],Database!$A:$E,MATCH($B$1,Database!$A$1:$E$1,),)=0,#N/A,VLOOKUP(Table73[[#This Row],[Date]],Database!$A:$E,MATCH($B$1,Database!$A$1:$E$1,),))</f>
        <v/>
      </c>
      <c r="C850">
        <f>IF(VLOOKUP(Table73[[#This Row],[Date]],Database!$A:$C,MATCH($C$1,Database!$A$1:$C$1,),)=0,#N/A,VLOOKUP(Table73[[#This Row],[Date]],Database!$A:$C,MATCH($C$1,Database!$A$1:$C$1,),))</f>
        <v/>
      </c>
      <c r="D850">
        <f>IFERROR(Table73[[#This Row],[United States 10y]]-Table73[[#This Row],[United States 2y]],#N/A)</f>
        <v/>
      </c>
    </row>
    <row r="851">
      <c r="A851" s="6">
        <f>Database!A850</f>
        <v/>
      </c>
      <c r="B851">
        <f>IF(VLOOKUP(Table73[[#This Row],[Date]],Database!$A:$E,MATCH($B$1,Database!$A$1:$E$1,),)=0,#N/A,VLOOKUP(Table73[[#This Row],[Date]],Database!$A:$E,MATCH($B$1,Database!$A$1:$E$1,),))</f>
        <v/>
      </c>
      <c r="C851">
        <f>IF(VLOOKUP(Table73[[#This Row],[Date]],Database!$A:$C,MATCH($C$1,Database!$A$1:$C$1,),)=0,#N/A,VLOOKUP(Table73[[#This Row],[Date]],Database!$A:$C,MATCH($C$1,Database!$A$1:$C$1,),))</f>
        <v/>
      </c>
      <c r="D851">
        <f>IFERROR(Table73[[#This Row],[United States 10y]]-Table73[[#This Row],[United States 2y]],#N/A)</f>
        <v/>
      </c>
    </row>
    <row r="852">
      <c r="A852" s="6">
        <f>Database!A851</f>
        <v/>
      </c>
      <c r="B852">
        <f>IF(VLOOKUP(Table73[[#This Row],[Date]],Database!$A:$E,MATCH($B$1,Database!$A$1:$E$1,),)=0,#N/A,VLOOKUP(Table73[[#This Row],[Date]],Database!$A:$E,MATCH($B$1,Database!$A$1:$E$1,),))</f>
        <v/>
      </c>
      <c r="C852">
        <f>IF(VLOOKUP(Table73[[#This Row],[Date]],Database!$A:$C,MATCH($C$1,Database!$A$1:$C$1,),)=0,#N/A,VLOOKUP(Table73[[#This Row],[Date]],Database!$A:$C,MATCH($C$1,Database!$A$1:$C$1,),))</f>
        <v/>
      </c>
      <c r="D852">
        <f>IFERROR(Table73[[#This Row],[United States 10y]]-Table73[[#This Row],[United States 2y]],#N/A)</f>
        <v/>
      </c>
    </row>
    <row r="853">
      <c r="A853" s="6">
        <f>Database!A852</f>
        <v/>
      </c>
      <c r="B853">
        <f>IF(VLOOKUP(Table73[[#This Row],[Date]],Database!$A:$E,MATCH($B$1,Database!$A$1:$E$1,),)=0,#N/A,VLOOKUP(Table73[[#This Row],[Date]],Database!$A:$E,MATCH($B$1,Database!$A$1:$E$1,),))</f>
        <v/>
      </c>
      <c r="C853">
        <f>IF(VLOOKUP(Table73[[#This Row],[Date]],Database!$A:$C,MATCH($C$1,Database!$A$1:$C$1,),)=0,#N/A,VLOOKUP(Table73[[#This Row],[Date]],Database!$A:$C,MATCH($C$1,Database!$A$1:$C$1,),))</f>
        <v/>
      </c>
      <c r="D853">
        <f>IFERROR(Table73[[#This Row],[United States 10y]]-Table73[[#This Row],[United States 2y]],#N/A)</f>
        <v/>
      </c>
    </row>
    <row r="854">
      <c r="A854" s="6">
        <f>Database!A853</f>
        <v/>
      </c>
      <c r="B854">
        <f>IF(VLOOKUP(Table73[[#This Row],[Date]],Database!$A:$E,MATCH($B$1,Database!$A$1:$E$1,),)=0,#N/A,VLOOKUP(Table73[[#This Row],[Date]],Database!$A:$E,MATCH($B$1,Database!$A$1:$E$1,),))</f>
        <v/>
      </c>
      <c r="C854">
        <f>IF(VLOOKUP(Table73[[#This Row],[Date]],Database!$A:$C,MATCH($C$1,Database!$A$1:$C$1,),)=0,#N/A,VLOOKUP(Table73[[#This Row],[Date]],Database!$A:$C,MATCH($C$1,Database!$A$1:$C$1,),))</f>
        <v/>
      </c>
      <c r="D854">
        <f>IFERROR(Table73[[#This Row],[United States 10y]]-Table73[[#This Row],[United States 2y]],#N/A)</f>
        <v/>
      </c>
    </row>
    <row r="855">
      <c r="A855" s="6">
        <f>Database!A854</f>
        <v/>
      </c>
      <c r="B855">
        <f>IF(VLOOKUP(Table73[[#This Row],[Date]],Database!$A:$E,MATCH($B$1,Database!$A$1:$E$1,),)=0,#N/A,VLOOKUP(Table73[[#This Row],[Date]],Database!$A:$E,MATCH($B$1,Database!$A$1:$E$1,),))</f>
        <v/>
      </c>
      <c r="C855">
        <f>IF(VLOOKUP(Table73[[#This Row],[Date]],Database!$A:$C,MATCH($C$1,Database!$A$1:$C$1,),)=0,#N/A,VLOOKUP(Table73[[#This Row],[Date]],Database!$A:$C,MATCH($C$1,Database!$A$1:$C$1,),))</f>
        <v/>
      </c>
      <c r="D855">
        <f>IFERROR(Table73[[#This Row],[United States 10y]]-Table73[[#This Row],[United States 2y]],#N/A)</f>
        <v/>
      </c>
    </row>
    <row r="856">
      <c r="A856" s="6">
        <f>Database!A855</f>
        <v/>
      </c>
      <c r="B856">
        <f>IF(VLOOKUP(Table73[[#This Row],[Date]],Database!$A:$E,MATCH($B$1,Database!$A$1:$E$1,),)=0,#N/A,VLOOKUP(Table73[[#This Row],[Date]],Database!$A:$E,MATCH($B$1,Database!$A$1:$E$1,),))</f>
        <v/>
      </c>
      <c r="C856">
        <f>IF(VLOOKUP(Table73[[#This Row],[Date]],Database!$A:$C,MATCH($C$1,Database!$A$1:$C$1,),)=0,#N/A,VLOOKUP(Table73[[#This Row],[Date]],Database!$A:$C,MATCH($C$1,Database!$A$1:$C$1,),))</f>
        <v/>
      </c>
      <c r="D856">
        <f>IFERROR(Table73[[#This Row],[United States 10y]]-Table73[[#This Row],[United States 2y]],#N/A)</f>
        <v/>
      </c>
    </row>
    <row r="857">
      <c r="A857" s="6">
        <f>Database!A856</f>
        <v/>
      </c>
      <c r="B857">
        <f>IF(VLOOKUP(Table73[[#This Row],[Date]],Database!$A:$E,MATCH($B$1,Database!$A$1:$E$1,),)=0,#N/A,VLOOKUP(Table73[[#This Row],[Date]],Database!$A:$E,MATCH($B$1,Database!$A$1:$E$1,),))</f>
        <v/>
      </c>
      <c r="C857">
        <f>IF(VLOOKUP(Table73[[#This Row],[Date]],Database!$A:$C,MATCH($C$1,Database!$A$1:$C$1,),)=0,#N/A,VLOOKUP(Table73[[#This Row],[Date]],Database!$A:$C,MATCH($C$1,Database!$A$1:$C$1,),))</f>
        <v/>
      </c>
      <c r="D857">
        <f>IFERROR(Table73[[#This Row],[United States 10y]]-Table73[[#This Row],[United States 2y]],#N/A)</f>
        <v/>
      </c>
    </row>
    <row r="858">
      <c r="A858" s="6">
        <f>Database!A857</f>
        <v/>
      </c>
      <c r="B858">
        <f>IF(VLOOKUP(Table73[[#This Row],[Date]],Database!$A:$E,MATCH($B$1,Database!$A$1:$E$1,),)=0,#N/A,VLOOKUP(Table73[[#This Row],[Date]],Database!$A:$E,MATCH($B$1,Database!$A$1:$E$1,),))</f>
        <v/>
      </c>
      <c r="C858">
        <f>IF(VLOOKUP(Table73[[#This Row],[Date]],Database!$A:$C,MATCH($C$1,Database!$A$1:$C$1,),)=0,#N/A,VLOOKUP(Table73[[#This Row],[Date]],Database!$A:$C,MATCH($C$1,Database!$A$1:$C$1,),))</f>
        <v/>
      </c>
      <c r="D858">
        <f>IFERROR(Table73[[#This Row],[United States 10y]]-Table73[[#This Row],[United States 2y]],#N/A)</f>
        <v/>
      </c>
    </row>
    <row r="859">
      <c r="A859" s="6">
        <f>Database!A858</f>
        <v/>
      </c>
      <c r="B859">
        <f>IF(VLOOKUP(Table73[[#This Row],[Date]],Database!$A:$E,MATCH($B$1,Database!$A$1:$E$1,),)=0,#N/A,VLOOKUP(Table73[[#This Row],[Date]],Database!$A:$E,MATCH($B$1,Database!$A$1:$E$1,),))</f>
        <v/>
      </c>
      <c r="C859">
        <f>IF(VLOOKUP(Table73[[#This Row],[Date]],Database!$A:$C,MATCH($C$1,Database!$A$1:$C$1,),)=0,#N/A,VLOOKUP(Table73[[#This Row],[Date]],Database!$A:$C,MATCH($C$1,Database!$A$1:$C$1,),))</f>
        <v/>
      </c>
      <c r="D859">
        <f>IFERROR(Table73[[#This Row],[United States 10y]]-Table73[[#This Row],[United States 2y]],#N/A)</f>
        <v/>
      </c>
    </row>
    <row r="860">
      <c r="A860" s="6">
        <f>Database!A859</f>
        <v/>
      </c>
      <c r="B860">
        <f>IF(VLOOKUP(Table73[[#This Row],[Date]],Database!$A:$E,MATCH($B$1,Database!$A$1:$E$1,),)=0,#N/A,VLOOKUP(Table73[[#This Row],[Date]],Database!$A:$E,MATCH($B$1,Database!$A$1:$E$1,),))</f>
        <v/>
      </c>
      <c r="C860">
        <f>IF(VLOOKUP(Table73[[#This Row],[Date]],Database!$A:$C,MATCH($C$1,Database!$A$1:$C$1,),)=0,#N/A,VLOOKUP(Table73[[#This Row],[Date]],Database!$A:$C,MATCH($C$1,Database!$A$1:$C$1,),))</f>
        <v/>
      </c>
      <c r="D860">
        <f>IFERROR(Table73[[#This Row],[United States 10y]]-Table73[[#This Row],[United States 2y]],#N/A)</f>
        <v/>
      </c>
    </row>
    <row r="861">
      <c r="A861" s="6">
        <f>Database!A860</f>
        <v/>
      </c>
      <c r="B861">
        <f>IF(VLOOKUP(Table73[[#This Row],[Date]],Database!$A:$E,MATCH($B$1,Database!$A$1:$E$1,),)=0,#N/A,VLOOKUP(Table73[[#This Row],[Date]],Database!$A:$E,MATCH($B$1,Database!$A$1:$E$1,),))</f>
        <v/>
      </c>
      <c r="C861">
        <f>IF(VLOOKUP(Table73[[#This Row],[Date]],Database!$A:$C,MATCH($C$1,Database!$A$1:$C$1,),)=0,#N/A,VLOOKUP(Table73[[#This Row],[Date]],Database!$A:$C,MATCH($C$1,Database!$A$1:$C$1,),))</f>
        <v/>
      </c>
      <c r="D861">
        <f>IFERROR(Table73[[#This Row],[United States 10y]]-Table73[[#This Row],[United States 2y]],#N/A)</f>
        <v/>
      </c>
    </row>
    <row r="862">
      <c r="A862" s="6">
        <f>Database!A861</f>
        <v/>
      </c>
      <c r="B862">
        <f>IF(VLOOKUP(Table73[[#This Row],[Date]],Database!$A:$E,MATCH($B$1,Database!$A$1:$E$1,),)=0,#N/A,VLOOKUP(Table73[[#This Row],[Date]],Database!$A:$E,MATCH($B$1,Database!$A$1:$E$1,),))</f>
        <v/>
      </c>
      <c r="C862">
        <f>IF(VLOOKUP(Table73[[#This Row],[Date]],Database!$A:$C,MATCH($C$1,Database!$A$1:$C$1,),)=0,#N/A,VLOOKUP(Table73[[#This Row],[Date]],Database!$A:$C,MATCH($C$1,Database!$A$1:$C$1,),))</f>
        <v/>
      </c>
      <c r="D862">
        <f>IFERROR(Table73[[#This Row],[United States 10y]]-Table73[[#This Row],[United States 2y]],#N/A)</f>
        <v/>
      </c>
    </row>
    <row r="863">
      <c r="A863" s="6">
        <f>Database!A862</f>
        <v/>
      </c>
      <c r="B863">
        <f>IF(VLOOKUP(Table73[[#This Row],[Date]],Database!$A:$E,MATCH($B$1,Database!$A$1:$E$1,),)=0,#N/A,VLOOKUP(Table73[[#This Row],[Date]],Database!$A:$E,MATCH($B$1,Database!$A$1:$E$1,),))</f>
        <v/>
      </c>
      <c r="C863">
        <f>IF(VLOOKUP(Table73[[#This Row],[Date]],Database!$A:$C,MATCH($C$1,Database!$A$1:$C$1,),)=0,#N/A,VLOOKUP(Table73[[#This Row],[Date]],Database!$A:$C,MATCH($C$1,Database!$A$1:$C$1,),))</f>
        <v/>
      </c>
      <c r="D863">
        <f>IFERROR(Table73[[#This Row],[United States 10y]]-Table73[[#This Row],[United States 2y]],#N/A)</f>
        <v/>
      </c>
    </row>
    <row r="864">
      <c r="A864" s="6">
        <f>Database!A863</f>
        <v/>
      </c>
      <c r="B864">
        <f>IF(VLOOKUP(Table73[[#This Row],[Date]],Database!$A:$E,MATCH($B$1,Database!$A$1:$E$1,),)=0,#N/A,VLOOKUP(Table73[[#This Row],[Date]],Database!$A:$E,MATCH($B$1,Database!$A$1:$E$1,),))</f>
        <v/>
      </c>
      <c r="C864">
        <f>IF(VLOOKUP(Table73[[#This Row],[Date]],Database!$A:$C,MATCH($C$1,Database!$A$1:$C$1,),)=0,#N/A,VLOOKUP(Table73[[#This Row],[Date]],Database!$A:$C,MATCH($C$1,Database!$A$1:$C$1,),))</f>
        <v/>
      </c>
      <c r="D864">
        <f>IFERROR(Table73[[#This Row],[United States 10y]]-Table73[[#This Row],[United States 2y]],#N/A)</f>
        <v/>
      </c>
    </row>
    <row r="865">
      <c r="A865" s="6">
        <f>Database!A864</f>
        <v/>
      </c>
      <c r="B865">
        <f>IF(VLOOKUP(Table73[[#This Row],[Date]],Database!$A:$E,MATCH($B$1,Database!$A$1:$E$1,),)=0,#N/A,VLOOKUP(Table73[[#This Row],[Date]],Database!$A:$E,MATCH($B$1,Database!$A$1:$E$1,),))</f>
        <v/>
      </c>
      <c r="C865">
        <f>IF(VLOOKUP(Table73[[#This Row],[Date]],Database!$A:$C,MATCH($C$1,Database!$A$1:$C$1,),)=0,#N/A,VLOOKUP(Table73[[#This Row],[Date]],Database!$A:$C,MATCH($C$1,Database!$A$1:$C$1,),))</f>
        <v/>
      </c>
      <c r="D865">
        <f>IFERROR(Table73[[#This Row],[United States 10y]]-Table73[[#This Row],[United States 2y]],#N/A)</f>
        <v/>
      </c>
    </row>
    <row r="866">
      <c r="A866" s="6">
        <f>Database!A865</f>
        <v/>
      </c>
      <c r="B866">
        <f>IF(VLOOKUP(Table73[[#This Row],[Date]],Database!$A:$E,MATCH($B$1,Database!$A$1:$E$1,),)=0,#N/A,VLOOKUP(Table73[[#This Row],[Date]],Database!$A:$E,MATCH($B$1,Database!$A$1:$E$1,),))</f>
        <v/>
      </c>
      <c r="C866">
        <f>IF(VLOOKUP(Table73[[#This Row],[Date]],Database!$A:$C,MATCH($C$1,Database!$A$1:$C$1,),)=0,#N/A,VLOOKUP(Table73[[#This Row],[Date]],Database!$A:$C,MATCH($C$1,Database!$A$1:$C$1,),))</f>
        <v/>
      </c>
      <c r="D866">
        <f>IFERROR(Table73[[#This Row],[United States 10y]]-Table73[[#This Row],[United States 2y]],#N/A)</f>
        <v/>
      </c>
    </row>
    <row r="867">
      <c r="A867" s="6">
        <f>Database!A866</f>
        <v/>
      </c>
      <c r="B867">
        <f>IF(VLOOKUP(Table73[[#This Row],[Date]],Database!$A:$E,MATCH($B$1,Database!$A$1:$E$1,),)=0,#N/A,VLOOKUP(Table73[[#This Row],[Date]],Database!$A:$E,MATCH($B$1,Database!$A$1:$E$1,),))</f>
        <v/>
      </c>
      <c r="C867">
        <f>IF(VLOOKUP(Table73[[#This Row],[Date]],Database!$A:$C,MATCH($C$1,Database!$A$1:$C$1,),)=0,#N/A,VLOOKUP(Table73[[#This Row],[Date]],Database!$A:$C,MATCH($C$1,Database!$A$1:$C$1,),))</f>
        <v/>
      </c>
      <c r="D867">
        <f>IFERROR(Table73[[#This Row],[United States 10y]]-Table73[[#This Row],[United States 2y]],#N/A)</f>
        <v/>
      </c>
    </row>
    <row r="868">
      <c r="A868" s="6">
        <f>Database!A867</f>
        <v/>
      </c>
      <c r="B868">
        <f>IF(VLOOKUP(Table73[[#This Row],[Date]],Database!$A:$E,MATCH($B$1,Database!$A$1:$E$1,),)=0,#N/A,VLOOKUP(Table73[[#This Row],[Date]],Database!$A:$E,MATCH($B$1,Database!$A$1:$E$1,),))</f>
        <v/>
      </c>
      <c r="C868">
        <f>IF(VLOOKUP(Table73[[#This Row],[Date]],Database!$A:$C,MATCH($C$1,Database!$A$1:$C$1,),)=0,#N/A,VLOOKUP(Table73[[#This Row],[Date]],Database!$A:$C,MATCH($C$1,Database!$A$1:$C$1,),))</f>
        <v/>
      </c>
      <c r="D868">
        <f>IFERROR(Table73[[#This Row],[United States 10y]]-Table73[[#This Row],[United States 2y]],#N/A)</f>
        <v/>
      </c>
    </row>
    <row r="869">
      <c r="A869" s="6">
        <f>Database!A868</f>
        <v/>
      </c>
      <c r="B869">
        <f>IF(VLOOKUP(Table73[[#This Row],[Date]],Database!$A:$E,MATCH($B$1,Database!$A$1:$E$1,),)=0,#N/A,VLOOKUP(Table73[[#This Row],[Date]],Database!$A:$E,MATCH($B$1,Database!$A$1:$E$1,),))</f>
        <v/>
      </c>
      <c r="C869">
        <f>IF(VLOOKUP(Table73[[#This Row],[Date]],Database!$A:$C,MATCH($C$1,Database!$A$1:$C$1,),)=0,#N/A,VLOOKUP(Table73[[#This Row],[Date]],Database!$A:$C,MATCH($C$1,Database!$A$1:$C$1,),))</f>
        <v/>
      </c>
      <c r="D869">
        <f>IFERROR(Table73[[#This Row],[United States 10y]]-Table73[[#This Row],[United States 2y]],#N/A)</f>
        <v/>
      </c>
    </row>
    <row r="870">
      <c r="A870" s="6">
        <f>Database!A869</f>
        <v/>
      </c>
      <c r="B870">
        <f>IF(VLOOKUP(Table73[[#This Row],[Date]],Database!$A:$E,MATCH($B$1,Database!$A$1:$E$1,),)=0,#N/A,VLOOKUP(Table73[[#This Row],[Date]],Database!$A:$E,MATCH($B$1,Database!$A$1:$E$1,),))</f>
        <v/>
      </c>
      <c r="C870">
        <f>IF(VLOOKUP(Table73[[#This Row],[Date]],Database!$A:$C,MATCH($C$1,Database!$A$1:$C$1,),)=0,#N/A,VLOOKUP(Table73[[#This Row],[Date]],Database!$A:$C,MATCH($C$1,Database!$A$1:$C$1,),))</f>
        <v/>
      </c>
      <c r="D870">
        <f>IFERROR(Table73[[#This Row],[United States 10y]]-Table73[[#This Row],[United States 2y]],#N/A)</f>
        <v/>
      </c>
    </row>
    <row r="871">
      <c r="A871" s="6">
        <f>Database!A870</f>
        <v/>
      </c>
      <c r="B871">
        <f>IF(VLOOKUP(Table73[[#This Row],[Date]],Database!$A:$E,MATCH($B$1,Database!$A$1:$E$1,),)=0,#N/A,VLOOKUP(Table73[[#This Row],[Date]],Database!$A:$E,MATCH($B$1,Database!$A$1:$E$1,),))</f>
        <v/>
      </c>
      <c r="C871">
        <f>IF(VLOOKUP(Table73[[#This Row],[Date]],Database!$A:$C,MATCH($C$1,Database!$A$1:$C$1,),)=0,#N/A,VLOOKUP(Table73[[#This Row],[Date]],Database!$A:$C,MATCH($C$1,Database!$A$1:$C$1,),))</f>
        <v/>
      </c>
      <c r="D871">
        <f>IFERROR(Table73[[#This Row],[United States 10y]]-Table73[[#This Row],[United States 2y]],#N/A)</f>
        <v/>
      </c>
    </row>
    <row r="872">
      <c r="A872" s="6">
        <f>Database!A871</f>
        <v/>
      </c>
      <c r="B872">
        <f>IF(VLOOKUP(Table73[[#This Row],[Date]],Database!$A:$E,MATCH($B$1,Database!$A$1:$E$1,),)=0,#N/A,VLOOKUP(Table73[[#This Row],[Date]],Database!$A:$E,MATCH($B$1,Database!$A$1:$E$1,),))</f>
        <v/>
      </c>
      <c r="C872">
        <f>IF(VLOOKUP(Table73[[#This Row],[Date]],Database!$A:$C,MATCH($C$1,Database!$A$1:$C$1,),)=0,#N/A,VLOOKUP(Table73[[#This Row],[Date]],Database!$A:$C,MATCH($C$1,Database!$A$1:$C$1,),))</f>
        <v/>
      </c>
      <c r="D872">
        <f>IFERROR(Table73[[#This Row],[United States 10y]]-Table73[[#This Row],[United States 2y]],#N/A)</f>
        <v/>
      </c>
    </row>
    <row r="873">
      <c r="A873" s="6">
        <f>Database!A872</f>
        <v/>
      </c>
      <c r="B873">
        <f>IF(VLOOKUP(Table73[[#This Row],[Date]],Database!$A:$E,MATCH($B$1,Database!$A$1:$E$1,),)=0,#N/A,VLOOKUP(Table73[[#This Row],[Date]],Database!$A:$E,MATCH($B$1,Database!$A$1:$E$1,),))</f>
        <v/>
      </c>
      <c r="C873">
        <f>IF(VLOOKUP(Table73[[#This Row],[Date]],Database!$A:$C,MATCH($C$1,Database!$A$1:$C$1,),)=0,#N/A,VLOOKUP(Table73[[#This Row],[Date]],Database!$A:$C,MATCH($C$1,Database!$A$1:$C$1,),))</f>
        <v/>
      </c>
      <c r="D873">
        <f>IFERROR(Table73[[#This Row],[United States 10y]]-Table73[[#This Row],[United States 2y]],#N/A)</f>
        <v/>
      </c>
    </row>
    <row r="874">
      <c r="A874" s="6">
        <f>Database!A873</f>
        <v/>
      </c>
      <c r="B874">
        <f>IF(VLOOKUP(Table73[[#This Row],[Date]],Database!$A:$E,MATCH($B$1,Database!$A$1:$E$1,),)=0,#N/A,VLOOKUP(Table73[[#This Row],[Date]],Database!$A:$E,MATCH($B$1,Database!$A$1:$E$1,),))</f>
        <v/>
      </c>
      <c r="C874">
        <f>IF(VLOOKUP(Table73[[#This Row],[Date]],Database!$A:$C,MATCH($C$1,Database!$A$1:$C$1,),)=0,#N/A,VLOOKUP(Table73[[#This Row],[Date]],Database!$A:$C,MATCH($C$1,Database!$A$1:$C$1,),))</f>
        <v/>
      </c>
      <c r="D874">
        <f>IFERROR(Table73[[#This Row],[United States 10y]]-Table73[[#This Row],[United States 2y]],#N/A)</f>
        <v/>
      </c>
    </row>
    <row r="875">
      <c r="A875" s="6">
        <f>Database!A874</f>
        <v/>
      </c>
      <c r="B875">
        <f>IF(VLOOKUP(Table73[[#This Row],[Date]],Database!$A:$E,MATCH($B$1,Database!$A$1:$E$1,),)=0,#N/A,VLOOKUP(Table73[[#This Row],[Date]],Database!$A:$E,MATCH($B$1,Database!$A$1:$E$1,),))</f>
        <v/>
      </c>
      <c r="C875">
        <f>IF(VLOOKUP(Table73[[#This Row],[Date]],Database!$A:$C,MATCH($C$1,Database!$A$1:$C$1,),)=0,#N/A,VLOOKUP(Table73[[#This Row],[Date]],Database!$A:$C,MATCH($C$1,Database!$A$1:$C$1,),))</f>
        <v/>
      </c>
      <c r="D875">
        <f>IFERROR(Table73[[#This Row],[United States 10y]]-Table73[[#This Row],[United States 2y]],#N/A)</f>
        <v/>
      </c>
    </row>
    <row r="876">
      <c r="A876" s="6">
        <f>Database!A875</f>
        <v/>
      </c>
      <c r="B876">
        <f>IF(VLOOKUP(Table73[[#This Row],[Date]],Database!$A:$E,MATCH($B$1,Database!$A$1:$E$1,),)=0,#N/A,VLOOKUP(Table73[[#This Row],[Date]],Database!$A:$E,MATCH($B$1,Database!$A$1:$E$1,),))</f>
        <v/>
      </c>
      <c r="C876">
        <f>IF(VLOOKUP(Table73[[#This Row],[Date]],Database!$A:$C,MATCH($C$1,Database!$A$1:$C$1,),)=0,#N/A,VLOOKUP(Table73[[#This Row],[Date]],Database!$A:$C,MATCH($C$1,Database!$A$1:$C$1,),))</f>
        <v/>
      </c>
      <c r="D876">
        <f>IFERROR(Table73[[#This Row],[United States 10y]]-Table73[[#This Row],[United States 2y]],#N/A)</f>
        <v/>
      </c>
    </row>
    <row r="877">
      <c r="A877" s="6">
        <f>Database!A876</f>
        <v/>
      </c>
      <c r="B877">
        <f>IF(VLOOKUP(Table73[[#This Row],[Date]],Database!$A:$E,MATCH($B$1,Database!$A$1:$E$1,),)=0,#N/A,VLOOKUP(Table73[[#This Row],[Date]],Database!$A:$E,MATCH($B$1,Database!$A$1:$E$1,),))</f>
        <v/>
      </c>
      <c r="C877">
        <f>IF(VLOOKUP(Table73[[#This Row],[Date]],Database!$A:$C,MATCH($C$1,Database!$A$1:$C$1,),)=0,#N/A,VLOOKUP(Table73[[#This Row],[Date]],Database!$A:$C,MATCH($C$1,Database!$A$1:$C$1,),))</f>
        <v/>
      </c>
      <c r="D877">
        <f>IFERROR(Table73[[#This Row],[United States 10y]]-Table73[[#This Row],[United States 2y]],#N/A)</f>
        <v/>
      </c>
    </row>
    <row r="878">
      <c r="A878" s="6">
        <f>Database!A877</f>
        <v/>
      </c>
      <c r="B878">
        <f>IF(VLOOKUP(Table73[[#This Row],[Date]],Database!$A:$E,MATCH($B$1,Database!$A$1:$E$1,),)=0,#N/A,VLOOKUP(Table73[[#This Row],[Date]],Database!$A:$E,MATCH($B$1,Database!$A$1:$E$1,),))</f>
        <v/>
      </c>
      <c r="C878">
        <f>IF(VLOOKUP(Table73[[#This Row],[Date]],Database!$A:$C,MATCH($C$1,Database!$A$1:$C$1,),)=0,#N/A,VLOOKUP(Table73[[#This Row],[Date]],Database!$A:$C,MATCH($C$1,Database!$A$1:$C$1,),))</f>
        <v/>
      </c>
      <c r="D878">
        <f>IFERROR(Table73[[#This Row],[United States 10y]]-Table73[[#This Row],[United States 2y]],#N/A)</f>
        <v/>
      </c>
    </row>
    <row r="879">
      <c r="A879" s="6">
        <f>Database!A878</f>
        <v/>
      </c>
      <c r="B879">
        <f>IF(VLOOKUP(Table73[[#This Row],[Date]],Database!$A:$E,MATCH($B$1,Database!$A$1:$E$1,),)=0,#N/A,VLOOKUP(Table73[[#This Row],[Date]],Database!$A:$E,MATCH($B$1,Database!$A$1:$E$1,),))</f>
        <v/>
      </c>
      <c r="C879">
        <f>IF(VLOOKUP(Table73[[#This Row],[Date]],Database!$A:$C,MATCH($C$1,Database!$A$1:$C$1,),)=0,#N/A,VLOOKUP(Table73[[#This Row],[Date]],Database!$A:$C,MATCH($C$1,Database!$A$1:$C$1,),))</f>
        <v/>
      </c>
      <c r="D879">
        <f>IFERROR(Table73[[#This Row],[United States 10y]]-Table73[[#This Row],[United States 2y]],#N/A)</f>
        <v/>
      </c>
    </row>
    <row r="880">
      <c r="A880" s="6">
        <f>Database!A879</f>
        <v/>
      </c>
      <c r="B880">
        <f>IF(VLOOKUP(Table73[[#This Row],[Date]],Database!$A:$E,MATCH($B$1,Database!$A$1:$E$1,),)=0,#N/A,VLOOKUP(Table73[[#This Row],[Date]],Database!$A:$E,MATCH($B$1,Database!$A$1:$E$1,),))</f>
        <v/>
      </c>
      <c r="C880">
        <f>IF(VLOOKUP(Table73[[#This Row],[Date]],Database!$A:$C,MATCH($C$1,Database!$A$1:$C$1,),)=0,#N/A,VLOOKUP(Table73[[#This Row],[Date]],Database!$A:$C,MATCH($C$1,Database!$A$1:$C$1,),))</f>
        <v/>
      </c>
      <c r="D880">
        <f>IFERROR(Table73[[#This Row],[United States 10y]]-Table73[[#This Row],[United States 2y]],#N/A)</f>
        <v/>
      </c>
    </row>
    <row r="881">
      <c r="A881" s="6">
        <f>Database!A880</f>
        <v/>
      </c>
      <c r="B881">
        <f>IF(VLOOKUP(Table73[[#This Row],[Date]],Database!$A:$E,MATCH($B$1,Database!$A$1:$E$1,),)=0,#N/A,VLOOKUP(Table73[[#This Row],[Date]],Database!$A:$E,MATCH($B$1,Database!$A$1:$E$1,),))</f>
        <v/>
      </c>
      <c r="C881">
        <f>IF(VLOOKUP(Table73[[#This Row],[Date]],Database!$A:$C,MATCH($C$1,Database!$A$1:$C$1,),)=0,#N/A,VLOOKUP(Table73[[#This Row],[Date]],Database!$A:$C,MATCH($C$1,Database!$A$1:$C$1,),))</f>
        <v/>
      </c>
      <c r="D881">
        <f>IFERROR(Table73[[#This Row],[United States 10y]]-Table73[[#This Row],[United States 2y]],#N/A)</f>
        <v/>
      </c>
    </row>
    <row r="882">
      <c r="A882" s="6">
        <f>Database!A881</f>
        <v/>
      </c>
      <c r="B882">
        <f>IF(VLOOKUP(Table73[[#This Row],[Date]],Database!$A:$E,MATCH($B$1,Database!$A$1:$E$1,),)=0,#N/A,VLOOKUP(Table73[[#This Row],[Date]],Database!$A:$E,MATCH($B$1,Database!$A$1:$E$1,),))</f>
        <v/>
      </c>
      <c r="C882">
        <f>IF(VLOOKUP(Table73[[#This Row],[Date]],Database!$A:$C,MATCH($C$1,Database!$A$1:$C$1,),)=0,#N/A,VLOOKUP(Table73[[#This Row],[Date]],Database!$A:$C,MATCH($C$1,Database!$A$1:$C$1,),))</f>
        <v/>
      </c>
      <c r="D882">
        <f>IFERROR(Table73[[#This Row],[United States 10y]]-Table73[[#This Row],[United States 2y]],#N/A)</f>
        <v/>
      </c>
    </row>
    <row r="883">
      <c r="A883" s="6">
        <f>Database!A882</f>
        <v/>
      </c>
      <c r="B883">
        <f>IF(VLOOKUP(Table73[[#This Row],[Date]],Database!$A:$E,MATCH($B$1,Database!$A$1:$E$1,),)=0,#N/A,VLOOKUP(Table73[[#This Row],[Date]],Database!$A:$E,MATCH($B$1,Database!$A$1:$E$1,),))</f>
        <v/>
      </c>
      <c r="C883">
        <f>IF(VLOOKUP(Table73[[#This Row],[Date]],Database!$A:$C,MATCH($C$1,Database!$A$1:$C$1,),)=0,#N/A,VLOOKUP(Table73[[#This Row],[Date]],Database!$A:$C,MATCH($C$1,Database!$A$1:$C$1,),))</f>
        <v/>
      </c>
      <c r="D883">
        <f>IFERROR(Table73[[#This Row],[United States 10y]]-Table73[[#This Row],[United States 2y]],#N/A)</f>
        <v/>
      </c>
    </row>
    <row r="884">
      <c r="A884" s="6">
        <f>Database!A883</f>
        <v/>
      </c>
      <c r="B884">
        <f>IF(VLOOKUP(Table73[[#This Row],[Date]],Database!$A:$E,MATCH($B$1,Database!$A$1:$E$1,),)=0,#N/A,VLOOKUP(Table73[[#This Row],[Date]],Database!$A:$E,MATCH($B$1,Database!$A$1:$E$1,),))</f>
        <v/>
      </c>
      <c r="C884">
        <f>IF(VLOOKUP(Table73[[#This Row],[Date]],Database!$A:$C,MATCH($C$1,Database!$A$1:$C$1,),)=0,#N/A,VLOOKUP(Table73[[#This Row],[Date]],Database!$A:$C,MATCH($C$1,Database!$A$1:$C$1,),))</f>
        <v/>
      </c>
      <c r="D884">
        <f>IFERROR(Table73[[#This Row],[United States 10y]]-Table73[[#This Row],[United States 2y]],#N/A)</f>
        <v/>
      </c>
    </row>
    <row r="885">
      <c r="A885" s="6">
        <f>Database!A884</f>
        <v/>
      </c>
      <c r="B885">
        <f>IF(VLOOKUP(Table73[[#This Row],[Date]],Database!$A:$E,MATCH($B$1,Database!$A$1:$E$1,),)=0,#N/A,VLOOKUP(Table73[[#This Row],[Date]],Database!$A:$E,MATCH($B$1,Database!$A$1:$E$1,),))</f>
        <v/>
      </c>
      <c r="C885">
        <f>IF(VLOOKUP(Table73[[#This Row],[Date]],Database!$A:$C,MATCH($C$1,Database!$A$1:$C$1,),)=0,#N/A,VLOOKUP(Table73[[#This Row],[Date]],Database!$A:$C,MATCH($C$1,Database!$A$1:$C$1,),))</f>
        <v/>
      </c>
      <c r="D885">
        <f>IFERROR(Table73[[#This Row],[United States 10y]]-Table73[[#This Row],[United States 2y]],#N/A)</f>
        <v/>
      </c>
    </row>
    <row r="886">
      <c r="A886" s="6">
        <f>Database!A885</f>
        <v/>
      </c>
      <c r="B886">
        <f>IF(VLOOKUP(Table73[[#This Row],[Date]],Database!$A:$E,MATCH($B$1,Database!$A$1:$E$1,),)=0,#N/A,VLOOKUP(Table73[[#This Row],[Date]],Database!$A:$E,MATCH($B$1,Database!$A$1:$E$1,),))</f>
        <v/>
      </c>
      <c r="C886">
        <f>IF(VLOOKUP(Table73[[#This Row],[Date]],Database!$A:$C,MATCH($C$1,Database!$A$1:$C$1,),)=0,#N/A,VLOOKUP(Table73[[#This Row],[Date]],Database!$A:$C,MATCH($C$1,Database!$A$1:$C$1,),))</f>
        <v/>
      </c>
      <c r="D886">
        <f>IFERROR(Table73[[#This Row],[United States 10y]]-Table73[[#This Row],[United States 2y]],#N/A)</f>
        <v/>
      </c>
    </row>
    <row r="887">
      <c r="A887" s="6">
        <f>Database!A886</f>
        <v/>
      </c>
      <c r="B887">
        <f>IF(VLOOKUP(Table73[[#This Row],[Date]],Database!$A:$E,MATCH($B$1,Database!$A$1:$E$1,),)=0,#N/A,VLOOKUP(Table73[[#This Row],[Date]],Database!$A:$E,MATCH($B$1,Database!$A$1:$E$1,),))</f>
        <v/>
      </c>
      <c r="C887">
        <f>IF(VLOOKUP(Table73[[#This Row],[Date]],Database!$A:$C,MATCH($C$1,Database!$A$1:$C$1,),)=0,#N/A,VLOOKUP(Table73[[#This Row],[Date]],Database!$A:$C,MATCH($C$1,Database!$A$1:$C$1,),))</f>
        <v/>
      </c>
      <c r="D887">
        <f>IFERROR(Table73[[#This Row],[United States 10y]]-Table73[[#This Row],[United States 2y]],#N/A)</f>
        <v/>
      </c>
    </row>
    <row r="888">
      <c r="A888" s="6">
        <f>Database!A887</f>
        <v/>
      </c>
      <c r="B888">
        <f>IF(VLOOKUP(Table73[[#This Row],[Date]],Database!$A:$E,MATCH($B$1,Database!$A$1:$E$1,),)=0,#N/A,VLOOKUP(Table73[[#This Row],[Date]],Database!$A:$E,MATCH($B$1,Database!$A$1:$E$1,),))</f>
        <v/>
      </c>
      <c r="C888">
        <f>IF(VLOOKUP(Table73[[#This Row],[Date]],Database!$A:$C,MATCH($C$1,Database!$A$1:$C$1,),)=0,#N/A,VLOOKUP(Table73[[#This Row],[Date]],Database!$A:$C,MATCH($C$1,Database!$A$1:$C$1,),))</f>
        <v/>
      </c>
      <c r="D888">
        <f>IFERROR(Table73[[#This Row],[United States 10y]]-Table73[[#This Row],[United States 2y]],#N/A)</f>
        <v/>
      </c>
    </row>
    <row r="889">
      <c r="A889" s="6">
        <f>Database!A888</f>
        <v/>
      </c>
      <c r="B889">
        <f>IF(VLOOKUP(Table73[[#This Row],[Date]],Database!$A:$E,MATCH($B$1,Database!$A$1:$E$1,),)=0,#N/A,VLOOKUP(Table73[[#This Row],[Date]],Database!$A:$E,MATCH($B$1,Database!$A$1:$E$1,),))</f>
        <v/>
      </c>
      <c r="C889">
        <f>IF(VLOOKUP(Table73[[#This Row],[Date]],Database!$A:$C,MATCH($C$1,Database!$A$1:$C$1,),)=0,#N/A,VLOOKUP(Table73[[#This Row],[Date]],Database!$A:$C,MATCH($C$1,Database!$A$1:$C$1,),))</f>
        <v/>
      </c>
      <c r="D889">
        <f>IFERROR(Table73[[#This Row],[United States 10y]]-Table73[[#This Row],[United States 2y]],#N/A)</f>
        <v/>
      </c>
    </row>
    <row r="890">
      <c r="A890" s="6">
        <f>Database!A889</f>
        <v/>
      </c>
      <c r="B890">
        <f>IF(VLOOKUP(Table73[[#This Row],[Date]],Database!$A:$E,MATCH($B$1,Database!$A$1:$E$1,),)=0,#N/A,VLOOKUP(Table73[[#This Row],[Date]],Database!$A:$E,MATCH($B$1,Database!$A$1:$E$1,),))</f>
        <v/>
      </c>
      <c r="C890">
        <f>IF(VLOOKUP(Table73[[#This Row],[Date]],Database!$A:$C,MATCH($C$1,Database!$A$1:$C$1,),)=0,#N/A,VLOOKUP(Table73[[#This Row],[Date]],Database!$A:$C,MATCH($C$1,Database!$A$1:$C$1,),))</f>
        <v/>
      </c>
      <c r="D890">
        <f>IFERROR(Table73[[#This Row],[United States 10y]]-Table73[[#This Row],[United States 2y]],#N/A)</f>
        <v/>
      </c>
    </row>
    <row r="891">
      <c r="A891" s="6">
        <f>Database!A890</f>
        <v/>
      </c>
      <c r="B891">
        <f>IF(VLOOKUP(Table73[[#This Row],[Date]],Database!$A:$E,MATCH($B$1,Database!$A$1:$E$1,),)=0,#N/A,VLOOKUP(Table73[[#This Row],[Date]],Database!$A:$E,MATCH($B$1,Database!$A$1:$E$1,),))</f>
        <v/>
      </c>
      <c r="C891">
        <f>IF(VLOOKUP(Table73[[#This Row],[Date]],Database!$A:$C,MATCH($C$1,Database!$A$1:$C$1,),)=0,#N/A,VLOOKUP(Table73[[#This Row],[Date]],Database!$A:$C,MATCH($C$1,Database!$A$1:$C$1,),))</f>
        <v/>
      </c>
      <c r="D891">
        <f>IFERROR(Table73[[#This Row],[United States 10y]]-Table73[[#This Row],[United States 2y]],#N/A)</f>
        <v/>
      </c>
    </row>
    <row r="892">
      <c r="A892" s="6">
        <f>Database!A891</f>
        <v/>
      </c>
      <c r="B892">
        <f>IF(VLOOKUP(Table73[[#This Row],[Date]],Database!$A:$E,MATCH($B$1,Database!$A$1:$E$1,),)=0,#N/A,VLOOKUP(Table73[[#This Row],[Date]],Database!$A:$E,MATCH($B$1,Database!$A$1:$E$1,),))</f>
        <v/>
      </c>
      <c r="C892">
        <f>IF(VLOOKUP(Table73[[#This Row],[Date]],Database!$A:$C,MATCH($C$1,Database!$A$1:$C$1,),)=0,#N/A,VLOOKUP(Table73[[#This Row],[Date]],Database!$A:$C,MATCH($C$1,Database!$A$1:$C$1,),))</f>
        <v/>
      </c>
      <c r="D892">
        <f>IFERROR(Table73[[#This Row],[United States 10y]]-Table73[[#This Row],[United States 2y]],#N/A)</f>
        <v/>
      </c>
    </row>
    <row r="893">
      <c r="A893" s="6">
        <f>Database!A892</f>
        <v/>
      </c>
      <c r="B893">
        <f>IF(VLOOKUP(Table73[[#This Row],[Date]],Database!$A:$E,MATCH($B$1,Database!$A$1:$E$1,),)=0,#N/A,VLOOKUP(Table73[[#This Row],[Date]],Database!$A:$E,MATCH($B$1,Database!$A$1:$E$1,),))</f>
        <v/>
      </c>
      <c r="C893">
        <f>IF(VLOOKUP(Table73[[#This Row],[Date]],Database!$A:$C,MATCH($C$1,Database!$A$1:$C$1,),)=0,#N/A,VLOOKUP(Table73[[#This Row],[Date]],Database!$A:$C,MATCH($C$1,Database!$A$1:$C$1,),))</f>
        <v/>
      </c>
      <c r="D893">
        <f>IFERROR(Table73[[#This Row],[United States 10y]]-Table73[[#This Row],[United States 2y]],#N/A)</f>
        <v/>
      </c>
    </row>
    <row r="894">
      <c r="A894" s="6">
        <f>Database!A893</f>
        <v/>
      </c>
      <c r="B894">
        <f>IF(VLOOKUP(Table73[[#This Row],[Date]],Database!$A:$E,MATCH($B$1,Database!$A$1:$E$1,),)=0,#N/A,VLOOKUP(Table73[[#This Row],[Date]],Database!$A:$E,MATCH($B$1,Database!$A$1:$E$1,),))</f>
        <v/>
      </c>
      <c r="C894">
        <f>IF(VLOOKUP(Table73[[#This Row],[Date]],Database!$A:$C,MATCH($C$1,Database!$A$1:$C$1,),)=0,#N/A,VLOOKUP(Table73[[#This Row],[Date]],Database!$A:$C,MATCH($C$1,Database!$A$1:$C$1,),))</f>
        <v/>
      </c>
      <c r="D894">
        <f>IFERROR(Table73[[#This Row],[United States 10y]]-Table73[[#This Row],[United States 2y]],#N/A)</f>
        <v/>
      </c>
    </row>
    <row r="895">
      <c r="A895" s="6">
        <f>Database!A894</f>
        <v/>
      </c>
      <c r="B895">
        <f>IF(VLOOKUP(Table73[[#This Row],[Date]],Database!$A:$E,MATCH($B$1,Database!$A$1:$E$1,),)=0,#N/A,VLOOKUP(Table73[[#This Row],[Date]],Database!$A:$E,MATCH($B$1,Database!$A$1:$E$1,),))</f>
        <v/>
      </c>
      <c r="C895">
        <f>IF(VLOOKUP(Table73[[#This Row],[Date]],Database!$A:$C,MATCH($C$1,Database!$A$1:$C$1,),)=0,#N/A,VLOOKUP(Table73[[#This Row],[Date]],Database!$A:$C,MATCH($C$1,Database!$A$1:$C$1,),))</f>
        <v/>
      </c>
      <c r="D895">
        <f>IFERROR(Table73[[#This Row],[United States 10y]]-Table73[[#This Row],[United States 2y]],#N/A)</f>
        <v/>
      </c>
    </row>
    <row r="896">
      <c r="A896" s="6">
        <f>Database!A895</f>
        <v/>
      </c>
      <c r="B896">
        <f>IF(VLOOKUP(Table73[[#This Row],[Date]],Database!$A:$E,MATCH($B$1,Database!$A$1:$E$1,),)=0,#N/A,VLOOKUP(Table73[[#This Row],[Date]],Database!$A:$E,MATCH($B$1,Database!$A$1:$E$1,),))</f>
        <v/>
      </c>
      <c r="C896">
        <f>IF(VLOOKUP(Table73[[#This Row],[Date]],Database!$A:$C,MATCH($C$1,Database!$A$1:$C$1,),)=0,#N/A,VLOOKUP(Table73[[#This Row],[Date]],Database!$A:$C,MATCH($C$1,Database!$A$1:$C$1,),))</f>
        <v/>
      </c>
      <c r="D896">
        <f>IFERROR(Table73[[#This Row],[United States 10y]]-Table73[[#This Row],[United States 2y]],#N/A)</f>
        <v/>
      </c>
    </row>
    <row r="897">
      <c r="A897" s="6">
        <f>Database!A896</f>
        <v/>
      </c>
      <c r="B897">
        <f>IF(VLOOKUP(Table73[[#This Row],[Date]],Database!$A:$E,MATCH($B$1,Database!$A$1:$E$1,),)=0,#N/A,VLOOKUP(Table73[[#This Row],[Date]],Database!$A:$E,MATCH($B$1,Database!$A$1:$E$1,),))</f>
        <v/>
      </c>
      <c r="C897">
        <f>IF(VLOOKUP(Table73[[#This Row],[Date]],Database!$A:$C,MATCH($C$1,Database!$A$1:$C$1,),)=0,#N/A,VLOOKUP(Table73[[#This Row],[Date]],Database!$A:$C,MATCH($C$1,Database!$A$1:$C$1,),))</f>
        <v/>
      </c>
      <c r="D897">
        <f>IFERROR(Table73[[#This Row],[United States 10y]]-Table73[[#This Row],[United States 2y]],#N/A)</f>
        <v/>
      </c>
    </row>
    <row r="898">
      <c r="A898" s="6">
        <f>Database!A897</f>
        <v/>
      </c>
      <c r="B898">
        <f>IF(VLOOKUP(Table73[[#This Row],[Date]],Database!$A:$E,MATCH($B$1,Database!$A$1:$E$1,),)=0,#N/A,VLOOKUP(Table73[[#This Row],[Date]],Database!$A:$E,MATCH($B$1,Database!$A$1:$E$1,),))</f>
        <v/>
      </c>
      <c r="C898">
        <f>IF(VLOOKUP(Table73[[#This Row],[Date]],Database!$A:$C,MATCH($C$1,Database!$A$1:$C$1,),)=0,#N/A,VLOOKUP(Table73[[#This Row],[Date]],Database!$A:$C,MATCH($C$1,Database!$A$1:$C$1,),))</f>
        <v/>
      </c>
      <c r="D898">
        <f>IFERROR(Table73[[#This Row],[United States 10y]]-Table73[[#This Row],[United States 2y]],#N/A)</f>
        <v/>
      </c>
    </row>
    <row r="899">
      <c r="A899" s="6">
        <f>Database!A898</f>
        <v/>
      </c>
      <c r="B899">
        <f>IF(VLOOKUP(Table73[[#This Row],[Date]],Database!$A:$E,MATCH($B$1,Database!$A$1:$E$1,),)=0,#N/A,VLOOKUP(Table73[[#This Row],[Date]],Database!$A:$E,MATCH($B$1,Database!$A$1:$E$1,),))</f>
        <v/>
      </c>
      <c r="C899">
        <f>IF(VLOOKUP(Table73[[#This Row],[Date]],Database!$A:$C,MATCH($C$1,Database!$A$1:$C$1,),)=0,#N/A,VLOOKUP(Table73[[#This Row],[Date]],Database!$A:$C,MATCH($C$1,Database!$A$1:$C$1,),))</f>
        <v/>
      </c>
      <c r="D899">
        <f>IFERROR(Table73[[#This Row],[United States 10y]]-Table73[[#This Row],[United States 2y]],#N/A)</f>
        <v/>
      </c>
    </row>
    <row r="900">
      <c r="A900" s="6">
        <f>Database!A899</f>
        <v/>
      </c>
      <c r="B900">
        <f>IF(VLOOKUP(Table73[[#This Row],[Date]],Database!$A:$E,MATCH($B$1,Database!$A$1:$E$1,),)=0,#N/A,VLOOKUP(Table73[[#This Row],[Date]],Database!$A:$E,MATCH($B$1,Database!$A$1:$E$1,),))</f>
        <v/>
      </c>
      <c r="C900">
        <f>IF(VLOOKUP(Table73[[#This Row],[Date]],Database!$A:$C,MATCH($C$1,Database!$A$1:$C$1,),)=0,#N/A,VLOOKUP(Table73[[#This Row],[Date]],Database!$A:$C,MATCH($C$1,Database!$A$1:$C$1,),))</f>
        <v/>
      </c>
      <c r="D900">
        <f>IFERROR(Table73[[#This Row],[United States 10y]]-Table73[[#This Row],[United States 2y]],#N/A)</f>
        <v/>
      </c>
    </row>
    <row r="901">
      <c r="A901" s="6">
        <f>Database!A900</f>
        <v/>
      </c>
      <c r="B901">
        <f>IF(VLOOKUP(Table73[[#This Row],[Date]],Database!$A:$E,MATCH($B$1,Database!$A$1:$E$1,),)=0,#N/A,VLOOKUP(Table73[[#This Row],[Date]],Database!$A:$E,MATCH($B$1,Database!$A$1:$E$1,),))</f>
        <v/>
      </c>
      <c r="C901">
        <f>IF(VLOOKUP(Table73[[#This Row],[Date]],Database!$A:$C,MATCH($C$1,Database!$A$1:$C$1,),)=0,#N/A,VLOOKUP(Table73[[#This Row],[Date]],Database!$A:$C,MATCH($C$1,Database!$A$1:$C$1,),))</f>
        <v/>
      </c>
      <c r="D901">
        <f>IFERROR(Table73[[#This Row],[United States 10y]]-Table73[[#This Row],[United States 2y]],#N/A)</f>
        <v/>
      </c>
    </row>
    <row r="902">
      <c r="A902" s="6">
        <f>Database!A901</f>
        <v/>
      </c>
      <c r="B902">
        <f>IF(VLOOKUP(Table73[[#This Row],[Date]],Database!$A:$E,MATCH($B$1,Database!$A$1:$E$1,),)=0,#N/A,VLOOKUP(Table73[[#This Row],[Date]],Database!$A:$E,MATCH($B$1,Database!$A$1:$E$1,),))</f>
        <v/>
      </c>
      <c r="C902">
        <f>IF(VLOOKUP(Table73[[#This Row],[Date]],Database!$A:$C,MATCH($C$1,Database!$A$1:$C$1,),)=0,#N/A,VLOOKUP(Table73[[#This Row],[Date]],Database!$A:$C,MATCH($C$1,Database!$A$1:$C$1,),))</f>
        <v/>
      </c>
      <c r="D902">
        <f>IFERROR(Table73[[#This Row],[United States 10y]]-Table73[[#This Row],[United States 2y]],#N/A)</f>
        <v/>
      </c>
    </row>
    <row r="903">
      <c r="A903" s="6">
        <f>Database!A902</f>
        <v/>
      </c>
      <c r="B903">
        <f>IF(VLOOKUP(Table73[[#This Row],[Date]],Database!$A:$E,MATCH($B$1,Database!$A$1:$E$1,),)=0,#N/A,VLOOKUP(Table73[[#This Row],[Date]],Database!$A:$E,MATCH($B$1,Database!$A$1:$E$1,),))</f>
        <v/>
      </c>
      <c r="C903">
        <f>IF(VLOOKUP(Table73[[#This Row],[Date]],Database!$A:$C,MATCH($C$1,Database!$A$1:$C$1,),)=0,#N/A,VLOOKUP(Table73[[#This Row],[Date]],Database!$A:$C,MATCH($C$1,Database!$A$1:$C$1,),))</f>
        <v/>
      </c>
      <c r="D903">
        <f>IFERROR(Table73[[#This Row],[United States 10y]]-Table73[[#This Row],[United States 2y]],#N/A)</f>
        <v/>
      </c>
    </row>
    <row r="904">
      <c r="A904" s="6">
        <f>Database!A903</f>
        <v/>
      </c>
      <c r="B904">
        <f>IF(VLOOKUP(Table73[[#This Row],[Date]],Database!$A:$E,MATCH($B$1,Database!$A$1:$E$1,),)=0,#N/A,VLOOKUP(Table73[[#This Row],[Date]],Database!$A:$E,MATCH($B$1,Database!$A$1:$E$1,),))</f>
        <v/>
      </c>
      <c r="C904">
        <f>IF(VLOOKUP(Table73[[#This Row],[Date]],Database!$A:$C,MATCH($C$1,Database!$A$1:$C$1,),)=0,#N/A,VLOOKUP(Table73[[#This Row],[Date]],Database!$A:$C,MATCH($C$1,Database!$A$1:$C$1,),))</f>
        <v/>
      </c>
      <c r="D904">
        <f>IFERROR(Table73[[#This Row],[United States 10y]]-Table73[[#This Row],[United States 2y]],#N/A)</f>
        <v/>
      </c>
    </row>
    <row r="905">
      <c r="A905" s="6">
        <f>Database!A904</f>
        <v/>
      </c>
      <c r="B905">
        <f>IF(VLOOKUP(Table73[[#This Row],[Date]],Database!$A:$E,MATCH($B$1,Database!$A$1:$E$1,),)=0,#N/A,VLOOKUP(Table73[[#This Row],[Date]],Database!$A:$E,MATCH($B$1,Database!$A$1:$E$1,),))</f>
        <v/>
      </c>
      <c r="C905">
        <f>IF(VLOOKUP(Table73[[#This Row],[Date]],Database!$A:$C,MATCH($C$1,Database!$A$1:$C$1,),)=0,#N/A,VLOOKUP(Table73[[#This Row],[Date]],Database!$A:$C,MATCH($C$1,Database!$A$1:$C$1,),))</f>
        <v/>
      </c>
      <c r="D905">
        <f>IFERROR(Table73[[#This Row],[United States 10y]]-Table73[[#This Row],[United States 2y]],#N/A)</f>
        <v/>
      </c>
    </row>
    <row r="906">
      <c r="A906" s="6">
        <f>Database!A905</f>
        <v/>
      </c>
      <c r="B906">
        <f>IF(VLOOKUP(Table73[[#This Row],[Date]],Database!$A:$E,MATCH($B$1,Database!$A$1:$E$1,),)=0,#N/A,VLOOKUP(Table73[[#This Row],[Date]],Database!$A:$E,MATCH($B$1,Database!$A$1:$E$1,),))</f>
        <v/>
      </c>
      <c r="C906">
        <f>IF(VLOOKUP(Table73[[#This Row],[Date]],Database!$A:$C,MATCH($C$1,Database!$A$1:$C$1,),)=0,#N/A,VLOOKUP(Table73[[#This Row],[Date]],Database!$A:$C,MATCH($C$1,Database!$A$1:$C$1,),))</f>
        <v/>
      </c>
      <c r="D906">
        <f>IFERROR(Table73[[#This Row],[United States 10y]]-Table73[[#This Row],[United States 2y]],#N/A)</f>
        <v/>
      </c>
    </row>
    <row r="907">
      <c r="A907" s="6">
        <f>Database!A906</f>
        <v/>
      </c>
      <c r="B907">
        <f>IF(VLOOKUP(Table73[[#This Row],[Date]],Database!$A:$E,MATCH($B$1,Database!$A$1:$E$1,),)=0,#N/A,VLOOKUP(Table73[[#This Row],[Date]],Database!$A:$E,MATCH($B$1,Database!$A$1:$E$1,),))</f>
        <v/>
      </c>
      <c r="C907">
        <f>IF(VLOOKUP(Table73[[#This Row],[Date]],Database!$A:$C,MATCH($C$1,Database!$A$1:$C$1,),)=0,#N/A,VLOOKUP(Table73[[#This Row],[Date]],Database!$A:$C,MATCH($C$1,Database!$A$1:$C$1,),))</f>
        <v/>
      </c>
      <c r="D907">
        <f>IFERROR(Table73[[#This Row],[United States 10y]]-Table73[[#This Row],[United States 2y]],#N/A)</f>
        <v/>
      </c>
    </row>
    <row r="908">
      <c r="A908" s="6">
        <f>Database!A907</f>
        <v/>
      </c>
      <c r="B908">
        <f>IF(VLOOKUP(Table73[[#This Row],[Date]],Database!$A:$E,MATCH($B$1,Database!$A$1:$E$1,),)=0,#N/A,VLOOKUP(Table73[[#This Row],[Date]],Database!$A:$E,MATCH($B$1,Database!$A$1:$E$1,),))</f>
        <v/>
      </c>
      <c r="C908">
        <f>IF(VLOOKUP(Table73[[#This Row],[Date]],Database!$A:$C,MATCH($C$1,Database!$A$1:$C$1,),)=0,#N/A,VLOOKUP(Table73[[#This Row],[Date]],Database!$A:$C,MATCH($C$1,Database!$A$1:$C$1,),))</f>
        <v/>
      </c>
      <c r="D908">
        <f>IFERROR(Table73[[#This Row],[United States 10y]]-Table73[[#This Row],[United States 2y]],#N/A)</f>
        <v/>
      </c>
    </row>
    <row r="909">
      <c r="A909" s="6">
        <f>Database!A908</f>
        <v/>
      </c>
      <c r="B909">
        <f>IF(VLOOKUP(Table73[[#This Row],[Date]],Database!$A:$E,MATCH($B$1,Database!$A$1:$E$1,),)=0,#N/A,VLOOKUP(Table73[[#This Row],[Date]],Database!$A:$E,MATCH($B$1,Database!$A$1:$E$1,),))</f>
        <v/>
      </c>
      <c r="C909">
        <f>IF(VLOOKUP(Table73[[#This Row],[Date]],Database!$A:$C,MATCH($C$1,Database!$A$1:$C$1,),)=0,#N/A,VLOOKUP(Table73[[#This Row],[Date]],Database!$A:$C,MATCH($C$1,Database!$A$1:$C$1,),))</f>
        <v/>
      </c>
      <c r="D909">
        <f>IFERROR(Table73[[#This Row],[United States 10y]]-Table73[[#This Row],[United States 2y]],#N/A)</f>
        <v/>
      </c>
    </row>
    <row r="910">
      <c r="A910" s="6">
        <f>Database!A909</f>
        <v/>
      </c>
      <c r="B910">
        <f>IF(VLOOKUP(Table73[[#This Row],[Date]],Database!$A:$E,MATCH($B$1,Database!$A$1:$E$1,),)=0,#N/A,VLOOKUP(Table73[[#This Row],[Date]],Database!$A:$E,MATCH($B$1,Database!$A$1:$E$1,),))</f>
        <v/>
      </c>
      <c r="C910">
        <f>IF(VLOOKUP(Table73[[#This Row],[Date]],Database!$A:$C,MATCH($C$1,Database!$A$1:$C$1,),)=0,#N/A,VLOOKUP(Table73[[#This Row],[Date]],Database!$A:$C,MATCH($C$1,Database!$A$1:$C$1,),))</f>
        <v/>
      </c>
      <c r="D910">
        <f>IFERROR(Table73[[#This Row],[United States 10y]]-Table73[[#This Row],[United States 2y]],#N/A)</f>
        <v/>
      </c>
    </row>
    <row r="911">
      <c r="A911" s="6">
        <f>Database!A910</f>
        <v/>
      </c>
      <c r="B911">
        <f>IF(VLOOKUP(Table73[[#This Row],[Date]],Database!$A:$E,MATCH($B$1,Database!$A$1:$E$1,),)=0,#N/A,VLOOKUP(Table73[[#This Row],[Date]],Database!$A:$E,MATCH($B$1,Database!$A$1:$E$1,),))</f>
        <v/>
      </c>
      <c r="C911">
        <f>IF(VLOOKUP(Table73[[#This Row],[Date]],Database!$A:$C,MATCH($C$1,Database!$A$1:$C$1,),)=0,#N/A,VLOOKUP(Table73[[#This Row],[Date]],Database!$A:$C,MATCH($C$1,Database!$A$1:$C$1,),))</f>
        <v/>
      </c>
      <c r="D911">
        <f>IFERROR(Table73[[#This Row],[United States 10y]]-Table73[[#This Row],[United States 2y]],#N/A)</f>
        <v/>
      </c>
    </row>
    <row r="912">
      <c r="A912" s="6">
        <f>Database!A911</f>
        <v/>
      </c>
      <c r="B912">
        <f>IF(VLOOKUP(Table73[[#This Row],[Date]],Database!$A:$E,MATCH($B$1,Database!$A$1:$E$1,),)=0,#N/A,VLOOKUP(Table73[[#This Row],[Date]],Database!$A:$E,MATCH($B$1,Database!$A$1:$E$1,),))</f>
        <v/>
      </c>
      <c r="C912">
        <f>IF(VLOOKUP(Table73[[#This Row],[Date]],Database!$A:$C,MATCH($C$1,Database!$A$1:$C$1,),)=0,#N/A,VLOOKUP(Table73[[#This Row],[Date]],Database!$A:$C,MATCH($C$1,Database!$A$1:$C$1,),))</f>
        <v/>
      </c>
      <c r="D912">
        <f>IFERROR(Table73[[#This Row],[United States 10y]]-Table73[[#This Row],[United States 2y]],#N/A)</f>
        <v/>
      </c>
    </row>
    <row r="913">
      <c r="A913" s="6">
        <f>Database!A912</f>
        <v/>
      </c>
      <c r="B913">
        <f>IF(VLOOKUP(Table73[[#This Row],[Date]],Database!$A:$E,MATCH($B$1,Database!$A$1:$E$1,),)=0,#N/A,VLOOKUP(Table73[[#This Row],[Date]],Database!$A:$E,MATCH($B$1,Database!$A$1:$E$1,),))</f>
        <v/>
      </c>
      <c r="C913">
        <f>IF(VLOOKUP(Table73[[#This Row],[Date]],Database!$A:$C,MATCH($C$1,Database!$A$1:$C$1,),)=0,#N/A,VLOOKUP(Table73[[#This Row],[Date]],Database!$A:$C,MATCH($C$1,Database!$A$1:$C$1,),))</f>
        <v/>
      </c>
      <c r="D913">
        <f>IFERROR(Table73[[#This Row],[United States 10y]]-Table73[[#This Row],[United States 2y]],#N/A)</f>
        <v/>
      </c>
    </row>
    <row r="914">
      <c r="A914" s="6">
        <f>Database!A913</f>
        <v/>
      </c>
      <c r="B914">
        <f>IF(VLOOKUP(Table73[[#This Row],[Date]],Database!$A:$E,MATCH($B$1,Database!$A$1:$E$1,),)=0,#N/A,VLOOKUP(Table73[[#This Row],[Date]],Database!$A:$E,MATCH($B$1,Database!$A$1:$E$1,),))</f>
        <v/>
      </c>
      <c r="C914">
        <f>IF(VLOOKUP(Table73[[#This Row],[Date]],Database!$A:$C,MATCH($C$1,Database!$A$1:$C$1,),)=0,#N/A,VLOOKUP(Table73[[#This Row],[Date]],Database!$A:$C,MATCH($C$1,Database!$A$1:$C$1,),))</f>
        <v/>
      </c>
      <c r="D914">
        <f>IFERROR(Table73[[#This Row],[United States 10y]]-Table73[[#This Row],[United States 2y]],#N/A)</f>
        <v/>
      </c>
    </row>
    <row r="915">
      <c r="A915" s="6">
        <f>Database!A914</f>
        <v/>
      </c>
      <c r="B915">
        <f>IF(VLOOKUP(Table73[[#This Row],[Date]],Database!$A:$E,MATCH($B$1,Database!$A$1:$E$1,),)=0,#N/A,VLOOKUP(Table73[[#This Row],[Date]],Database!$A:$E,MATCH($B$1,Database!$A$1:$E$1,),))</f>
        <v/>
      </c>
      <c r="C915">
        <f>IF(VLOOKUP(Table73[[#This Row],[Date]],Database!$A:$C,MATCH($C$1,Database!$A$1:$C$1,),)=0,#N/A,VLOOKUP(Table73[[#This Row],[Date]],Database!$A:$C,MATCH($C$1,Database!$A$1:$C$1,),))</f>
        <v/>
      </c>
      <c r="D915">
        <f>IFERROR(Table73[[#This Row],[United States 10y]]-Table73[[#This Row],[United States 2y]],#N/A)</f>
        <v/>
      </c>
    </row>
    <row r="916">
      <c r="A916" s="6">
        <f>Database!A915</f>
        <v/>
      </c>
      <c r="B916">
        <f>IF(VLOOKUP(Table73[[#This Row],[Date]],Database!$A:$E,MATCH($B$1,Database!$A$1:$E$1,),)=0,#N/A,VLOOKUP(Table73[[#This Row],[Date]],Database!$A:$E,MATCH($B$1,Database!$A$1:$E$1,),))</f>
        <v/>
      </c>
      <c r="C916">
        <f>IF(VLOOKUP(Table73[[#This Row],[Date]],Database!$A:$C,MATCH($C$1,Database!$A$1:$C$1,),)=0,#N/A,VLOOKUP(Table73[[#This Row],[Date]],Database!$A:$C,MATCH($C$1,Database!$A$1:$C$1,),))</f>
        <v/>
      </c>
      <c r="D916">
        <f>IFERROR(Table73[[#This Row],[United States 10y]]-Table73[[#This Row],[United States 2y]],#N/A)</f>
        <v/>
      </c>
    </row>
    <row r="917">
      <c r="A917" s="6">
        <f>Database!A916</f>
        <v/>
      </c>
      <c r="B917">
        <f>IF(VLOOKUP(Table73[[#This Row],[Date]],Database!$A:$E,MATCH($B$1,Database!$A$1:$E$1,),)=0,#N/A,VLOOKUP(Table73[[#This Row],[Date]],Database!$A:$E,MATCH($B$1,Database!$A$1:$E$1,),))</f>
        <v/>
      </c>
      <c r="C917">
        <f>IF(VLOOKUP(Table73[[#This Row],[Date]],Database!$A:$C,MATCH($C$1,Database!$A$1:$C$1,),)=0,#N/A,VLOOKUP(Table73[[#This Row],[Date]],Database!$A:$C,MATCH($C$1,Database!$A$1:$C$1,),))</f>
        <v/>
      </c>
      <c r="D917">
        <f>IFERROR(Table73[[#This Row],[United States 10y]]-Table73[[#This Row],[United States 2y]],#N/A)</f>
        <v/>
      </c>
    </row>
    <row r="918">
      <c r="A918" s="6">
        <f>Database!A917</f>
        <v/>
      </c>
      <c r="B918">
        <f>IF(VLOOKUP(Table73[[#This Row],[Date]],Database!$A:$E,MATCH($B$1,Database!$A$1:$E$1,),)=0,#N/A,VLOOKUP(Table73[[#This Row],[Date]],Database!$A:$E,MATCH($B$1,Database!$A$1:$E$1,),))</f>
        <v/>
      </c>
      <c r="C918">
        <f>IF(VLOOKUP(Table73[[#This Row],[Date]],Database!$A:$C,MATCH($C$1,Database!$A$1:$C$1,),)=0,#N/A,VLOOKUP(Table73[[#This Row],[Date]],Database!$A:$C,MATCH($C$1,Database!$A$1:$C$1,),))</f>
        <v/>
      </c>
      <c r="D918">
        <f>IFERROR(Table73[[#This Row],[United States 10y]]-Table73[[#This Row],[United States 2y]],#N/A)</f>
        <v/>
      </c>
    </row>
    <row r="919">
      <c r="A919" s="6">
        <f>Database!A918</f>
        <v/>
      </c>
      <c r="B919">
        <f>IF(VLOOKUP(Table73[[#This Row],[Date]],Database!$A:$E,MATCH($B$1,Database!$A$1:$E$1,),)=0,#N/A,VLOOKUP(Table73[[#This Row],[Date]],Database!$A:$E,MATCH($B$1,Database!$A$1:$E$1,),))</f>
        <v/>
      </c>
      <c r="C919">
        <f>IF(VLOOKUP(Table73[[#This Row],[Date]],Database!$A:$C,MATCH($C$1,Database!$A$1:$C$1,),)=0,#N/A,VLOOKUP(Table73[[#This Row],[Date]],Database!$A:$C,MATCH($C$1,Database!$A$1:$C$1,),))</f>
        <v/>
      </c>
      <c r="D919">
        <f>IFERROR(Table73[[#This Row],[United States 10y]]-Table73[[#This Row],[United States 2y]],#N/A)</f>
        <v/>
      </c>
    </row>
    <row r="920">
      <c r="A920" s="6">
        <f>Database!A919</f>
        <v/>
      </c>
      <c r="B920">
        <f>IF(VLOOKUP(Table73[[#This Row],[Date]],Database!$A:$E,MATCH($B$1,Database!$A$1:$E$1,),)=0,#N/A,VLOOKUP(Table73[[#This Row],[Date]],Database!$A:$E,MATCH($B$1,Database!$A$1:$E$1,),))</f>
        <v/>
      </c>
      <c r="C920">
        <f>IF(VLOOKUP(Table73[[#This Row],[Date]],Database!$A:$C,MATCH($C$1,Database!$A$1:$C$1,),)=0,#N/A,VLOOKUP(Table73[[#This Row],[Date]],Database!$A:$C,MATCH($C$1,Database!$A$1:$C$1,),))</f>
        <v/>
      </c>
      <c r="D920">
        <f>IFERROR(Table73[[#This Row],[United States 10y]]-Table73[[#This Row],[United States 2y]],#N/A)</f>
        <v/>
      </c>
    </row>
    <row r="921">
      <c r="A921" s="6">
        <f>Database!A920</f>
        <v/>
      </c>
      <c r="B921">
        <f>IF(VLOOKUP(Table73[[#This Row],[Date]],Database!$A:$E,MATCH($B$1,Database!$A$1:$E$1,),)=0,#N/A,VLOOKUP(Table73[[#This Row],[Date]],Database!$A:$E,MATCH($B$1,Database!$A$1:$E$1,),))</f>
        <v/>
      </c>
      <c r="C921">
        <f>IF(VLOOKUP(Table73[[#This Row],[Date]],Database!$A:$C,MATCH($C$1,Database!$A$1:$C$1,),)=0,#N/A,VLOOKUP(Table73[[#This Row],[Date]],Database!$A:$C,MATCH($C$1,Database!$A$1:$C$1,),))</f>
        <v/>
      </c>
      <c r="D921">
        <f>IFERROR(Table73[[#This Row],[United States 10y]]-Table73[[#This Row],[United States 2y]],#N/A)</f>
        <v/>
      </c>
    </row>
    <row r="922">
      <c r="A922" s="6">
        <f>Database!A921</f>
        <v/>
      </c>
      <c r="B922">
        <f>IF(VLOOKUP(Table73[[#This Row],[Date]],Database!$A:$E,MATCH($B$1,Database!$A$1:$E$1,),)=0,#N/A,VLOOKUP(Table73[[#This Row],[Date]],Database!$A:$E,MATCH($B$1,Database!$A$1:$E$1,),))</f>
        <v/>
      </c>
      <c r="C922">
        <f>IF(VLOOKUP(Table73[[#This Row],[Date]],Database!$A:$C,MATCH($C$1,Database!$A$1:$C$1,),)=0,#N/A,VLOOKUP(Table73[[#This Row],[Date]],Database!$A:$C,MATCH($C$1,Database!$A$1:$C$1,),))</f>
        <v/>
      </c>
      <c r="D922">
        <f>IFERROR(Table73[[#This Row],[United States 10y]]-Table73[[#This Row],[United States 2y]],#N/A)</f>
        <v/>
      </c>
    </row>
    <row r="923">
      <c r="A923" s="6">
        <f>Database!A922</f>
        <v/>
      </c>
      <c r="B923">
        <f>IF(VLOOKUP(Table73[[#This Row],[Date]],Database!$A:$E,MATCH($B$1,Database!$A$1:$E$1,),)=0,#N/A,VLOOKUP(Table73[[#This Row],[Date]],Database!$A:$E,MATCH($B$1,Database!$A$1:$E$1,),))</f>
        <v/>
      </c>
      <c r="C923">
        <f>IF(VLOOKUP(Table73[[#This Row],[Date]],Database!$A:$C,MATCH($C$1,Database!$A$1:$C$1,),)=0,#N/A,VLOOKUP(Table73[[#This Row],[Date]],Database!$A:$C,MATCH($C$1,Database!$A$1:$C$1,),))</f>
        <v/>
      </c>
      <c r="D923">
        <f>IFERROR(Table73[[#This Row],[United States 10y]]-Table73[[#This Row],[United States 2y]],#N/A)</f>
        <v/>
      </c>
    </row>
    <row r="924">
      <c r="A924" s="6">
        <f>Database!A923</f>
        <v/>
      </c>
      <c r="B924">
        <f>IF(VLOOKUP(Table73[[#This Row],[Date]],Database!$A:$E,MATCH($B$1,Database!$A$1:$E$1,),)=0,#N/A,VLOOKUP(Table73[[#This Row],[Date]],Database!$A:$E,MATCH($B$1,Database!$A$1:$E$1,),))</f>
        <v/>
      </c>
      <c r="C924">
        <f>IF(VLOOKUP(Table73[[#This Row],[Date]],Database!$A:$C,MATCH($C$1,Database!$A$1:$C$1,),)=0,#N/A,VLOOKUP(Table73[[#This Row],[Date]],Database!$A:$C,MATCH($C$1,Database!$A$1:$C$1,),))</f>
        <v/>
      </c>
      <c r="D924">
        <f>IFERROR(Table73[[#This Row],[United States 10y]]-Table73[[#This Row],[United States 2y]],#N/A)</f>
        <v/>
      </c>
    </row>
    <row r="925">
      <c r="A925" s="6">
        <f>Database!A924</f>
        <v/>
      </c>
      <c r="B925">
        <f>IF(VLOOKUP(Table73[[#This Row],[Date]],Database!$A:$E,MATCH($B$1,Database!$A$1:$E$1,),)=0,#N/A,VLOOKUP(Table73[[#This Row],[Date]],Database!$A:$E,MATCH($B$1,Database!$A$1:$E$1,),))</f>
        <v/>
      </c>
      <c r="C925">
        <f>IF(VLOOKUP(Table73[[#This Row],[Date]],Database!$A:$C,MATCH($C$1,Database!$A$1:$C$1,),)=0,#N/A,VLOOKUP(Table73[[#This Row],[Date]],Database!$A:$C,MATCH($C$1,Database!$A$1:$C$1,),))</f>
        <v/>
      </c>
      <c r="D925">
        <f>IFERROR(Table73[[#This Row],[United States 10y]]-Table73[[#This Row],[United States 2y]],#N/A)</f>
        <v/>
      </c>
    </row>
    <row r="926">
      <c r="A926" s="6">
        <f>Database!A925</f>
        <v/>
      </c>
      <c r="B926">
        <f>IF(VLOOKUP(Table73[[#This Row],[Date]],Database!$A:$E,MATCH($B$1,Database!$A$1:$E$1,),)=0,#N/A,VLOOKUP(Table73[[#This Row],[Date]],Database!$A:$E,MATCH($B$1,Database!$A$1:$E$1,),))</f>
        <v/>
      </c>
      <c r="C926">
        <f>IF(VLOOKUP(Table73[[#This Row],[Date]],Database!$A:$C,MATCH($C$1,Database!$A$1:$C$1,),)=0,#N/A,VLOOKUP(Table73[[#This Row],[Date]],Database!$A:$C,MATCH($C$1,Database!$A$1:$C$1,),))</f>
        <v/>
      </c>
      <c r="D926">
        <f>IFERROR(Table73[[#This Row],[United States 10y]]-Table73[[#This Row],[United States 2y]],#N/A)</f>
        <v/>
      </c>
    </row>
    <row r="927">
      <c r="A927" s="6">
        <f>Database!A926</f>
        <v/>
      </c>
      <c r="B927">
        <f>IF(VLOOKUP(Table73[[#This Row],[Date]],Database!$A:$E,MATCH($B$1,Database!$A$1:$E$1,),)=0,#N/A,VLOOKUP(Table73[[#This Row],[Date]],Database!$A:$E,MATCH($B$1,Database!$A$1:$E$1,),))</f>
        <v/>
      </c>
      <c r="C927">
        <f>IF(VLOOKUP(Table73[[#This Row],[Date]],Database!$A:$C,MATCH($C$1,Database!$A$1:$C$1,),)=0,#N/A,VLOOKUP(Table73[[#This Row],[Date]],Database!$A:$C,MATCH($C$1,Database!$A$1:$C$1,),))</f>
        <v/>
      </c>
      <c r="D927">
        <f>IFERROR(Table73[[#This Row],[United States 10y]]-Table73[[#This Row],[United States 2y]],#N/A)</f>
        <v/>
      </c>
    </row>
    <row r="928">
      <c r="A928" s="6">
        <f>Database!A927</f>
        <v/>
      </c>
      <c r="B928">
        <f>IF(VLOOKUP(Table73[[#This Row],[Date]],Database!$A:$E,MATCH($B$1,Database!$A$1:$E$1,),)=0,#N/A,VLOOKUP(Table73[[#This Row],[Date]],Database!$A:$E,MATCH($B$1,Database!$A$1:$E$1,),))</f>
        <v/>
      </c>
      <c r="C928">
        <f>IF(VLOOKUP(Table73[[#This Row],[Date]],Database!$A:$C,MATCH($C$1,Database!$A$1:$C$1,),)=0,#N/A,VLOOKUP(Table73[[#This Row],[Date]],Database!$A:$C,MATCH($C$1,Database!$A$1:$C$1,),))</f>
        <v/>
      </c>
      <c r="D928">
        <f>IFERROR(Table73[[#This Row],[United States 10y]]-Table73[[#This Row],[United States 2y]],#N/A)</f>
        <v/>
      </c>
    </row>
    <row r="929">
      <c r="A929" s="6">
        <f>Database!A928</f>
        <v/>
      </c>
      <c r="B929">
        <f>IF(VLOOKUP(Table73[[#This Row],[Date]],Database!$A:$E,MATCH($B$1,Database!$A$1:$E$1,),)=0,#N/A,VLOOKUP(Table73[[#This Row],[Date]],Database!$A:$E,MATCH($B$1,Database!$A$1:$E$1,),))</f>
        <v/>
      </c>
      <c r="C929">
        <f>IF(VLOOKUP(Table73[[#This Row],[Date]],Database!$A:$C,MATCH($C$1,Database!$A$1:$C$1,),)=0,#N/A,VLOOKUP(Table73[[#This Row],[Date]],Database!$A:$C,MATCH($C$1,Database!$A$1:$C$1,),))</f>
        <v/>
      </c>
      <c r="D929">
        <f>IFERROR(Table73[[#This Row],[United States 10y]]-Table73[[#This Row],[United States 2y]],#N/A)</f>
        <v/>
      </c>
    </row>
    <row r="930">
      <c r="A930" s="6">
        <f>Database!A929</f>
        <v/>
      </c>
      <c r="B930">
        <f>IF(VLOOKUP(Table73[[#This Row],[Date]],Database!$A:$E,MATCH($B$1,Database!$A$1:$E$1,),)=0,#N/A,VLOOKUP(Table73[[#This Row],[Date]],Database!$A:$E,MATCH($B$1,Database!$A$1:$E$1,),))</f>
        <v/>
      </c>
      <c r="C930">
        <f>IF(VLOOKUP(Table73[[#This Row],[Date]],Database!$A:$C,MATCH($C$1,Database!$A$1:$C$1,),)=0,#N/A,VLOOKUP(Table73[[#This Row],[Date]],Database!$A:$C,MATCH($C$1,Database!$A$1:$C$1,),))</f>
        <v/>
      </c>
      <c r="D930">
        <f>IFERROR(Table73[[#This Row],[United States 10y]]-Table73[[#This Row],[United States 2y]],#N/A)</f>
        <v/>
      </c>
    </row>
    <row r="931">
      <c r="A931" s="6">
        <f>Database!A930</f>
        <v/>
      </c>
      <c r="B931">
        <f>IF(VLOOKUP(Table73[[#This Row],[Date]],Database!$A:$E,MATCH($B$1,Database!$A$1:$E$1,),)=0,#N/A,VLOOKUP(Table73[[#This Row],[Date]],Database!$A:$E,MATCH($B$1,Database!$A$1:$E$1,),))</f>
        <v/>
      </c>
      <c r="C931">
        <f>IF(VLOOKUP(Table73[[#This Row],[Date]],Database!$A:$C,MATCH($C$1,Database!$A$1:$C$1,),)=0,#N/A,VLOOKUP(Table73[[#This Row],[Date]],Database!$A:$C,MATCH($C$1,Database!$A$1:$C$1,),))</f>
        <v/>
      </c>
      <c r="D931">
        <f>IFERROR(Table73[[#This Row],[United States 10y]]-Table73[[#This Row],[United States 2y]],#N/A)</f>
        <v/>
      </c>
    </row>
    <row r="932">
      <c r="A932" s="6">
        <f>Database!A931</f>
        <v/>
      </c>
      <c r="B932">
        <f>IF(VLOOKUP(Table73[[#This Row],[Date]],Database!$A:$E,MATCH($B$1,Database!$A$1:$E$1,),)=0,#N/A,VLOOKUP(Table73[[#This Row],[Date]],Database!$A:$E,MATCH($B$1,Database!$A$1:$E$1,),))</f>
        <v/>
      </c>
      <c r="C932">
        <f>IF(VLOOKUP(Table73[[#This Row],[Date]],Database!$A:$C,MATCH($C$1,Database!$A$1:$C$1,),)=0,#N/A,VLOOKUP(Table73[[#This Row],[Date]],Database!$A:$C,MATCH($C$1,Database!$A$1:$C$1,),))</f>
        <v/>
      </c>
      <c r="D932">
        <f>IFERROR(Table73[[#This Row],[United States 10y]]-Table73[[#This Row],[United States 2y]],#N/A)</f>
        <v/>
      </c>
    </row>
    <row r="933">
      <c r="A933" s="6">
        <f>Database!A932</f>
        <v/>
      </c>
      <c r="B933">
        <f>IF(VLOOKUP(Table73[[#This Row],[Date]],Database!$A:$E,MATCH($B$1,Database!$A$1:$E$1,),)=0,#N/A,VLOOKUP(Table73[[#This Row],[Date]],Database!$A:$E,MATCH($B$1,Database!$A$1:$E$1,),))</f>
        <v/>
      </c>
      <c r="C933">
        <f>IF(VLOOKUP(Table73[[#This Row],[Date]],Database!$A:$C,MATCH($C$1,Database!$A$1:$C$1,),)=0,#N/A,VLOOKUP(Table73[[#This Row],[Date]],Database!$A:$C,MATCH($C$1,Database!$A$1:$C$1,),))</f>
        <v/>
      </c>
      <c r="D933">
        <f>IFERROR(Table73[[#This Row],[United States 10y]]-Table73[[#This Row],[United States 2y]],#N/A)</f>
        <v/>
      </c>
    </row>
    <row r="934">
      <c r="A934" s="6">
        <f>Database!A933</f>
        <v/>
      </c>
      <c r="B934">
        <f>IF(VLOOKUP(Table73[[#This Row],[Date]],Database!$A:$E,MATCH($B$1,Database!$A$1:$E$1,),)=0,#N/A,VLOOKUP(Table73[[#This Row],[Date]],Database!$A:$E,MATCH($B$1,Database!$A$1:$E$1,),))</f>
        <v/>
      </c>
      <c r="C934">
        <f>IF(VLOOKUP(Table73[[#This Row],[Date]],Database!$A:$C,MATCH($C$1,Database!$A$1:$C$1,),)=0,#N/A,VLOOKUP(Table73[[#This Row],[Date]],Database!$A:$C,MATCH($C$1,Database!$A$1:$C$1,),))</f>
        <v/>
      </c>
      <c r="D934">
        <f>IFERROR(Table73[[#This Row],[United States 10y]]-Table73[[#This Row],[United States 2y]],#N/A)</f>
        <v/>
      </c>
    </row>
    <row r="935">
      <c r="A935" s="6">
        <f>Database!A934</f>
        <v/>
      </c>
      <c r="B935">
        <f>IF(VLOOKUP(Table73[[#This Row],[Date]],Database!$A:$E,MATCH($B$1,Database!$A$1:$E$1,),)=0,#N/A,VLOOKUP(Table73[[#This Row],[Date]],Database!$A:$E,MATCH($B$1,Database!$A$1:$E$1,),))</f>
        <v/>
      </c>
      <c r="C935">
        <f>IF(VLOOKUP(Table73[[#This Row],[Date]],Database!$A:$C,MATCH($C$1,Database!$A$1:$C$1,),)=0,#N/A,VLOOKUP(Table73[[#This Row],[Date]],Database!$A:$C,MATCH($C$1,Database!$A$1:$C$1,),))</f>
        <v/>
      </c>
      <c r="D935">
        <f>IFERROR(Table73[[#This Row],[United States 10y]]-Table73[[#This Row],[United States 2y]],#N/A)</f>
        <v/>
      </c>
    </row>
    <row r="936">
      <c r="A936" s="6">
        <f>Database!A935</f>
        <v/>
      </c>
      <c r="B936">
        <f>IF(VLOOKUP(Table73[[#This Row],[Date]],Database!$A:$E,MATCH($B$1,Database!$A$1:$E$1,),)=0,#N/A,VLOOKUP(Table73[[#This Row],[Date]],Database!$A:$E,MATCH($B$1,Database!$A$1:$E$1,),))</f>
        <v/>
      </c>
      <c r="C936">
        <f>IF(VLOOKUP(Table73[[#This Row],[Date]],Database!$A:$C,MATCH($C$1,Database!$A$1:$C$1,),)=0,#N/A,VLOOKUP(Table73[[#This Row],[Date]],Database!$A:$C,MATCH($C$1,Database!$A$1:$C$1,),))</f>
        <v/>
      </c>
      <c r="D936">
        <f>IFERROR(Table73[[#This Row],[United States 10y]]-Table73[[#This Row],[United States 2y]],#N/A)</f>
        <v/>
      </c>
    </row>
    <row r="937">
      <c r="A937" s="6">
        <f>Database!A936</f>
        <v/>
      </c>
      <c r="B937">
        <f>IF(VLOOKUP(Table73[[#This Row],[Date]],Database!$A:$E,MATCH($B$1,Database!$A$1:$E$1,),)=0,#N/A,VLOOKUP(Table73[[#This Row],[Date]],Database!$A:$E,MATCH($B$1,Database!$A$1:$E$1,),))</f>
        <v/>
      </c>
      <c r="C937">
        <f>IF(VLOOKUP(Table73[[#This Row],[Date]],Database!$A:$C,MATCH($C$1,Database!$A$1:$C$1,),)=0,#N/A,VLOOKUP(Table73[[#This Row],[Date]],Database!$A:$C,MATCH($C$1,Database!$A$1:$C$1,),))</f>
        <v/>
      </c>
      <c r="D937">
        <f>IFERROR(Table73[[#This Row],[United States 10y]]-Table73[[#This Row],[United States 2y]],#N/A)</f>
        <v/>
      </c>
    </row>
    <row r="938">
      <c r="A938" s="6">
        <f>Database!A937</f>
        <v/>
      </c>
      <c r="B938">
        <f>IF(VLOOKUP(Table73[[#This Row],[Date]],Database!$A:$E,MATCH($B$1,Database!$A$1:$E$1,),)=0,#N/A,VLOOKUP(Table73[[#This Row],[Date]],Database!$A:$E,MATCH($B$1,Database!$A$1:$E$1,),))</f>
        <v/>
      </c>
      <c r="C938">
        <f>IF(VLOOKUP(Table73[[#This Row],[Date]],Database!$A:$C,MATCH($C$1,Database!$A$1:$C$1,),)=0,#N/A,VLOOKUP(Table73[[#This Row],[Date]],Database!$A:$C,MATCH($C$1,Database!$A$1:$C$1,),))</f>
        <v/>
      </c>
      <c r="D938">
        <f>IFERROR(Table73[[#This Row],[United States 10y]]-Table73[[#This Row],[United States 2y]],#N/A)</f>
        <v/>
      </c>
    </row>
    <row r="939">
      <c r="A939" s="6">
        <f>Database!A938</f>
        <v/>
      </c>
      <c r="B939">
        <f>IF(VLOOKUP(Table73[[#This Row],[Date]],Database!$A:$E,MATCH($B$1,Database!$A$1:$E$1,),)=0,#N/A,VLOOKUP(Table73[[#This Row],[Date]],Database!$A:$E,MATCH($B$1,Database!$A$1:$E$1,),))</f>
        <v/>
      </c>
      <c r="C939">
        <f>IF(VLOOKUP(Table73[[#This Row],[Date]],Database!$A:$C,MATCH($C$1,Database!$A$1:$C$1,),)=0,#N/A,VLOOKUP(Table73[[#This Row],[Date]],Database!$A:$C,MATCH($C$1,Database!$A$1:$C$1,),))</f>
        <v/>
      </c>
      <c r="D939">
        <f>IFERROR(Table73[[#This Row],[United States 10y]]-Table73[[#This Row],[United States 2y]],#N/A)</f>
        <v/>
      </c>
    </row>
    <row r="940">
      <c r="A940" s="6">
        <f>Database!A939</f>
        <v/>
      </c>
      <c r="B940">
        <f>IF(VLOOKUP(Table73[[#This Row],[Date]],Database!$A:$E,MATCH($B$1,Database!$A$1:$E$1,),)=0,#N/A,VLOOKUP(Table73[[#This Row],[Date]],Database!$A:$E,MATCH($B$1,Database!$A$1:$E$1,),))</f>
        <v/>
      </c>
      <c r="C940">
        <f>IF(VLOOKUP(Table73[[#This Row],[Date]],Database!$A:$C,MATCH($C$1,Database!$A$1:$C$1,),)=0,#N/A,VLOOKUP(Table73[[#This Row],[Date]],Database!$A:$C,MATCH($C$1,Database!$A$1:$C$1,),))</f>
        <v/>
      </c>
      <c r="D940">
        <f>IFERROR(Table73[[#This Row],[United States 10y]]-Table73[[#This Row],[United States 2y]],#N/A)</f>
        <v/>
      </c>
    </row>
    <row r="941">
      <c r="A941" s="6">
        <f>Database!A940</f>
        <v/>
      </c>
      <c r="B941">
        <f>IF(VLOOKUP(Table73[[#This Row],[Date]],Database!$A:$E,MATCH($B$1,Database!$A$1:$E$1,),)=0,#N/A,VLOOKUP(Table73[[#This Row],[Date]],Database!$A:$E,MATCH($B$1,Database!$A$1:$E$1,),))</f>
        <v/>
      </c>
      <c r="C941">
        <f>IF(VLOOKUP(Table73[[#This Row],[Date]],Database!$A:$C,MATCH($C$1,Database!$A$1:$C$1,),)=0,#N/A,VLOOKUP(Table73[[#This Row],[Date]],Database!$A:$C,MATCH($C$1,Database!$A$1:$C$1,),))</f>
        <v/>
      </c>
      <c r="D941">
        <f>IFERROR(Table73[[#This Row],[United States 10y]]-Table73[[#This Row],[United States 2y]],#N/A)</f>
        <v/>
      </c>
    </row>
    <row r="942">
      <c r="A942" s="6">
        <f>Database!A941</f>
        <v/>
      </c>
      <c r="B942">
        <f>IF(VLOOKUP(Table73[[#This Row],[Date]],Database!$A:$E,MATCH($B$1,Database!$A$1:$E$1,),)=0,#N/A,VLOOKUP(Table73[[#This Row],[Date]],Database!$A:$E,MATCH($B$1,Database!$A$1:$E$1,),))</f>
        <v/>
      </c>
      <c r="C942">
        <f>IF(VLOOKUP(Table73[[#This Row],[Date]],Database!$A:$C,MATCH($C$1,Database!$A$1:$C$1,),)=0,#N/A,VLOOKUP(Table73[[#This Row],[Date]],Database!$A:$C,MATCH($C$1,Database!$A$1:$C$1,),))</f>
        <v/>
      </c>
      <c r="D942">
        <f>IFERROR(Table73[[#This Row],[United States 10y]]-Table73[[#This Row],[United States 2y]],#N/A)</f>
        <v/>
      </c>
    </row>
    <row r="943">
      <c r="A943" s="6">
        <f>Database!A942</f>
        <v/>
      </c>
      <c r="B943">
        <f>IF(VLOOKUP(Table73[[#This Row],[Date]],Database!$A:$E,MATCH($B$1,Database!$A$1:$E$1,),)=0,#N/A,VLOOKUP(Table73[[#This Row],[Date]],Database!$A:$E,MATCH($B$1,Database!$A$1:$E$1,),))</f>
        <v/>
      </c>
      <c r="C943">
        <f>IF(VLOOKUP(Table73[[#This Row],[Date]],Database!$A:$C,MATCH($C$1,Database!$A$1:$C$1,),)=0,#N/A,VLOOKUP(Table73[[#This Row],[Date]],Database!$A:$C,MATCH($C$1,Database!$A$1:$C$1,),))</f>
        <v/>
      </c>
      <c r="D943">
        <f>IFERROR(Table73[[#This Row],[United States 10y]]-Table73[[#This Row],[United States 2y]],#N/A)</f>
        <v/>
      </c>
    </row>
    <row r="944">
      <c r="A944" s="6">
        <f>Database!A943</f>
        <v/>
      </c>
      <c r="B944">
        <f>IF(VLOOKUP(Table73[[#This Row],[Date]],Database!$A:$E,MATCH($B$1,Database!$A$1:$E$1,),)=0,#N/A,VLOOKUP(Table73[[#This Row],[Date]],Database!$A:$E,MATCH($B$1,Database!$A$1:$E$1,),))</f>
        <v/>
      </c>
      <c r="C944">
        <f>IF(VLOOKUP(Table73[[#This Row],[Date]],Database!$A:$C,MATCH($C$1,Database!$A$1:$C$1,),)=0,#N/A,VLOOKUP(Table73[[#This Row],[Date]],Database!$A:$C,MATCH($C$1,Database!$A$1:$C$1,),))</f>
        <v/>
      </c>
      <c r="D944">
        <f>IFERROR(Table73[[#This Row],[United States 10y]]-Table73[[#This Row],[United States 2y]],#N/A)</f>
        <v/>
      </c>
    </row>
    <row r="945">
      <c r="A945" s="6">
        <f>Database!A944</f>
        <v/>
      </c>
      <c r="B945">
        <f>IF(VLOOKUP(Table73[[#This Row],[Date]],Database!$A:$E,MATCH($B$1,Database!$A$1:$E$1,),)=0,#N/A,VLOOKUP(Table73[[#This Row],[Date]],Database!$A:$E,MATCH($B$1,Database!$A$1:$E$1,),))</f>
        <v/>
      </c>
      <c r="C945">
        <f>IF(VLOOKUP(Table73[[#This Row],[Date]],Database!$A:$C,MATCH($C$1,Database!$A$1:$C$1,),)=0,#N/A,VLOOKUP(Table73[[#This Row],[Date]],Database!$A:$C,MATCH($C$1,Database!$A$1:$C$1,),))</f>
        <v/>
      </c>
      <c r="D945">
        <f>IFERROR(Table73[[#This Row],[United States 10y]]-Table73[[#This Row],[United States 2y]],#N/A)</f>
        <v/>
      </c>
    </row>
    <row r="946">
      <c r="A946" s="6">
        <f>Database!A945</f>
        <v/>
      </c>
      <c r="B946">
        <f>IF(VLOOKUP(Table73[[#This Row],[Date]],Database!$A:$E,MATCH($B$1,Database!$A$1:$E$1,),)=0,#N/A,VLOOKUP(Table73[[#This Row],[Date]],Database!$A:$E,MATCH($B$1,Database!$A$1:$E$1,),))</f>
        <v/>
      </c>
      <c r="C946">
        <f>IF(VLOOKUP(Table73[[#This Row],[Date]],Database!$A:$C,MATCH($C$1,Database!$A$1:$C$1,),)=0,#N/A,VLOOKUP(Table73[[#This Row],[Date]],Database!$A:$C,MATCH($C$1,Database!$A$1:$C$1,),))</f>
        <v/>
      </c>
      <c r="D946">
        <f>IFERROR(Table73[[#This Row],[United States 10y]]-Table73[[#This Row],[United States 2y]],#N/A)</f>
        <v/>
      </c>
    </row>
    <row r="947">
      <c r="A947" s="6">
        <f>Database!A946</f>
        <v/>
      </c>
      <c r="B947">
        <f>IF(VLOOKUP(Table73[[#This Row],[Date]],Database!$A:$E,MATCH($B$1,Database!$A$1:$E$1,),)=0,#N/A,VLOOKUP(Table73[[#This Row],[Date]],Database!$A:$E,MATCH($B$1,Database!$A$1:$E$1,),))</f>
        <v/>
      </c>
      <c r="C947">
        <f>IF(VLOOKUP(Table73[[#This Row],[Date]],Database!$A:$C,MATCH($C$1,Database!$A$1:$C$1,),)=0,#N/A,VLOOKUP(Table73[[#This Row],[Date]],Database!$A:$C,MATCH($C$1,Database!$A$1:$C$1,),))</f>
        <v/>
      </c>
      <c r="D947">
        <f>IFERROR(Table73[[#This Row],[United States 10y]]-Table73[[#This Row],[United States 2y]],#N/A)</f>
        <v/>
      </c>
    </row>
    <row r="948">
      <c r="A948" s="6">
        <f>Database!A947</f>
        <v/>
      </c>
      <c r="B948">
        <f>IF(VLOOKUP(Table73[[#This Row],[Date]],Database!$A:$E,MATCH($B$1,Database!$A$1:$E$1,),)=0,#N/A,VLOOKUP(Table73[[#This Row],[Date]],Database!$A:$E,MATCH($B$1,Database!$A$1:$E$1,),))</f>
        <v/>
      </c>
      <c r="C948">
        <f>IF(VLOOKUP(Table73[[#This Row],[Date]],Database!$A:$C,MATCH($C$1,Database!$A$1:$C$1,),)=0,#N/A,VLOOKUP(Table73[[#This Row],[Date]],Database!$A:$C,MATCH($C$1,Database!$A$1:$C$1,),))</f>
        <v/>
      </c>
      <c r="D948">
        <f>IFERROR(Table73[[#This Row],[United States 10y]]-Table73[[#This Row],[United States 2y]],#N/A)</f>
        <v/>
      </c>
    </row>
    <row r="949">
      <c r="A949" s="6">
        <f>Database!A948</f>
        <v/>
      </c>
      <c r="B949">
        <f>IF(VLOOKUP(Table73[[#This Row],[Date]],Database!$A:$E,MATCH($B$1,Database!$A$1:$E$1,),)=0,#N/A,VLOOKUP(Table73[[#This Row],[Date]],Database!$A:$E,MATCH($B$1,Database!$A$1:$E$1,),))</f>
        <v/>
      </c>
      <c r="C949">
        <f>IF(VLOOKUP(Table73[[#This Row],[Date]],Database!$A:$C,MATCH($C$1,Database!$A$1:$C$1,),)=0,#N/A,VLOOKUP(Table73[[#This Row],[Date]],Database!$A:$C,MATCH($C$1,Database!$A$1:$C$1,),))</f>
        <v/>
      </c>
      <c r="D949">
        <f>IFERROR(Table73[[#This Row],[United States 10y]]-Table73[[#This Row],[United States 2y]],#N/A)</f>
        <v/>
      </c>
    </row>
    <row r="950">
      <c r="A950" s="6">
        <f>Database!A949</f>
        <v/>
      </c>
      <c r="B950">
        <f>IF(VLOOKUP(Table73[[#This Row],[Date]],Database!$A:$E,MATCH($B$1,Database!$A$1:$E$1,),)=0,#N/A,VLOOKUP(Table73[[#This Row],[Date]],Database!$A:$E,MATCH($B$1,Database!$A$1:$E$1,),))</f>
        <v/>
      </c>
      <c r="C950">
        <f>IF(VLOOKUP(Table73[[#This Row],[Date]],Database!$A:$C,MATCH($C$1,Database!$A$1:$C$1,),)=0,#N/A,VLOOKUP(Table73[[#This Row],[Date]],Database!$A:$C,MATCH($C$1,Database!$A$1:$C$1,),))</f>
        <v/>
      </c>
      <c r="D950">
        <f>IFERROR(Table73[[#This Row],[United States 10y]]-Table73[[#This Row],[United States 2y]],#N/A)</f>
        <v/>
      </c>
    </row>
    <row r="951">
      <c r="A951" s="6">
        <f>Database!A950</f>
        <v/>
      </c>
      <c r="B951">
        <f>IF(VLOOKUP(Table73[[#This Row],[Date]],Database!$A:$E,MATCH($B$1,Database!$A$1:$E$1,),)=0,#N/A,VLOOKUP(Table73[[#This Row],[Date]],Database!$A:$E,MATCH($B$1,Database!$A$1:$E$1,),))</f>
        <v/>
      </c>
      <c r="C951">
        <f>IF(VLOOKUP(Table73[[#This Row],[Date]],Database!$A:$C,MATCH($C$1,Database!$A$1:$C$1,),)=0,#N/A,VLOOKUP(Table73[[#This Row],[Date]],Database!$A:$C,MATCH($C$1,Database!$A$1:$C$1,),))</f>
        <v/>
      </c>
      <c r="D951">
        <f>IFERROR(Table73[[#This Row],[United States 10y]]-Table73[[#This Row],[United States 2y]],#N/A)</f>
        <v/>
      </c>
    </row>
    <row r="952">
      <c r="A952" s="6">
        <f>Database!A951</f>
        <v/>
      </c>
      <c r="B952">
        <f>IF(VLOOKUP(Table73[[#This Row],[Date]],Database!$A:$E,MATCH($B$1,Database!$A$1:$E$1,),)=0,#N/A,VLOOKUP(Table73[[#This Row],[Date]],Database!$A:$E,MATCH($B$1,Database!$A$1:$E$1,),))</f>
        <v/>
      </c>
      <c r="C952">
        <f>IF(VLOOKUP(Table73[[#This Row],[Date]],Database!$A:$C,MATCH($C$1,Database!$A$1:$C$1,),)=0,#N/A,VLOOKUP(Table73[[#This Row],[Date]],Database!$A:$C,MATCH($C$1,Database!$A$1:$C$1,),))</f>
        <v/>
      </c>
      <c r="D952">
        <f>IFERROR(Table73[[#This Row],[United States 10y]]-Table73[[#This Row],[United States 2y]],#N/A)</f>
        <v/>
      </c>
    </row>
    <row r="953">
      <c r="A953" s="6">
        <f>Database!A952</f>
        <v/>
      </c>
      <c r="B953">
        <f>IF(VLOOKUP(Table73[[#This Row],[Date]],Database!$A:$E,MATCH($B$1,Database!$A$1:$E$1,),)=0,#N/A,VLOOKUP(Table73[[#This Row],[Date]],Database!$A:$E,MATCH($B$1,Database!$A$1:$E$1,),))</f>
        <v/>
      </c>
      <c r="C953">
        <f>IF(VLOOKUP(Table73[[#This Row],[Date]],Database!$A:$C,MATCH($C$1,Database!$A$1:$C$1,),)=0,#N/A,VLOOKUP(Table73[[#This Row],[Date]],Database!$A:$C,MATCH($C$1,Database!$A$1:$C$1,),))</f>
        <v/>
      </c>
      <c r="D953">
        <f>IFERROR(Table73[[#This Row],[United States 10y]]-Table73[[#This Row],[United States 2y]],#N/A)</f>
        <v/>
      </c>
    </row>
    <row r="954">
      <c r="A954" s="6">
        <f>Database!A953</f>
        <v/>
      </c>
      <c r="B954">
        <f>IF(VLOOKUP(Table73[[#This Row],[Date]],Database!$A:$E,MATCH($B$1,Database!$A$1:$E$1,),)=0,#N/A,VLOOKUP(Table73[[#This Row],[Date]],Database!$A:$E,MATCH($B$1,Database!$A$1:$E$1,),))</f>
        <v/>
      </c>
      <c r="C954">
        <f>IF(VLOOKUP(Table73[[#This Row],[Date]],Database!$A:$C,MATCH($C$1,Database!$A$1:$C$1,),)=0,#N/A,VLOOKUP(Table73[[#This Row],[Date]],Database!$A:$C,MATCH($C$1,Database!$A$1:$C$1,),))</f>
        <v/>
      </c>
      <c r="D954">
        <f>IFERROR(Table73[[#This Row],[United States 10y]]-Table73[[#This Row],[United States 2y]],#N/A)</f>
        <v/>
      </c>
    </row>
    <row r="955">
      <c r="A955" s="6">
        <f>Database!A954</f>
        <v/>
      </c>
      <c r="B955">
        <f>IF(VLOOKUP(Table73[[#This Row],[Date]],Database!$A:$E,MATCH($B$1,Database!$A$1:$E$1,),)=0,#N/A,VLOOKUP(Table73[[#This Row],[Date]],Database!$A:$E,MATCH($B$1,Database!$A$1:$E$1,),))</f>
        <v/>
      </c>
      <c r="C955">
        <f>IF(VLOOKUP(Table73[[#This Row],[Date]],Database!$A:$C,MATCH($C$1,Database!$A$1:$C$1,),)=0,#N/A,VLOOKUP(Table73[[#This Row],[Date]],Database!$A:$C,MATCH($C$1,Database!$A$1:$C$1,),))</f>
        <v/>
      </c>
      <c r="D955">
        <f>IFERROR(Table73[[#This Row],[United States 10y]]-Table73[[#This Row],[United States 2y]],#N/A)</f>
        <v/>
      </c>
    </row>
    <row r="956">
      <c r="A956" s="6">
        <f>Database!A955</f>
        <v/>
      </c>
      <c r="B956">
        <f>IF(VLOOKUP(Table73[[#This Row],[Date]],Database!$A:$E,MATCH($B$1,Database!$A$1:$E$1,),)=0,#N/A,VLOOKUP(Table73[[#This Row],[Date]],Database!$A:$E,MATCH($B$1,Database!$A$1:$E$1,),))</f>
        <v/>
      </c>
      <c r="C956">
        <f>IF(VLOOKUP(Table73[[#This Row],[Date]],Database!$A:$C,MATCH($C$1,Database!$A$1:$C$1,),)=0,#N/A,VLOOKUP(Table73[[#This Row],[Date]],Database!$A:$C,MATCH($C$1,Database!$A$1:$C$1,),))</f>
        <v/>
      </c>
      <c r="D956">
        <f>IFERROR(Table73[[#This Row],[United States 10y]]-Table73[[#This Row],[United States 2y]],#N/A)</f>
        <v/>
      </c>
    </row>
    <row r="957">
      <c r="A957" s="6">
        <f>Database!A956</f>
        <v/>
      </c>
      <c r="B957">
        <f>IF(VLOOKUP(Table73[[#This Row],[Date]],Database!$A:$E,MATCH($B$1,Database!$A$1:$E$1,),)=0,#N/A,VLOOKUP(Table73[[#This Row],[Date]],Database!$A:$E,MATCH($B$1,Database!$A$1:$E$1,),))</f>
        <v/>
      </c>
      <c r="C957">
        <f>IF(VLOOKUP(Table73[[#This Row],[Date]],Database!$A:$C,MATCH($C$1,Database!$A$1:$C$1,),)=0,#N/A,VLOOKUP(Table73[[#This Row],[Date]],Database!$A:$C,MATCH($C$1,Database!$A$1:$C$1,),))</f>
        <v/>
      </c>
      <c r="D957">
        <f>IFERROR(Table73[[#This Row],[United States 10y]]-Table73[[#This Row],[United States 2y]],#N/A)</f>
        <v/>
      </c>
    </row>
    <row r="958">
      <c r="A958" s="6">
        <f>Database!A957</f>
        <v/>
      </c>
      <c r="B958">
        <f>IF(VLOOKUP(Table73[[#This Row],[Date]],Database!$A:$E,MATCH($B$1,Database!$A$1:$E$1,),)=0,#N/A,VLOOKUP(Table73[[#This Row],[Date]],Database!$A:$E,MATCH($B$1,Database!$A$1:$E$1,),))</f>
        <v/>
      </c>
      <c r="C958">
        <f>IF(VLOOKUP(Table73[[#This Row],[Date]],Database!$A:$C,MATCH($C$1,Database!$A$1:$C$1,),)=0,#N/A,VLOOKUP(Table73[[#This Row],[Date]],Database!$A:$C,MATCH($C$1,Database!$A$1:$C$1,),))</f>
        <v/>
      </c>
      <c r="D958">
        <f>IFERROR(Table73[[#This Row],[United States 10y]]-Table73[[#This Row],[United States 2y]],#N/A)</f>
        <v/>
      </c>
    </row>
    <row r="959">
      <c r="A959" s="6">
        <f>Database!A958</f>
        <v/>
      </c>
      <c r="B959">
        <f>IF(VLOOKUP(Table73[[#This Row],[Date]],Database!$A:$E,MATCH($B$1,Database!$A$1:$E$1,),)=0,#N/A,VLOOKUP(Table73[[#This Row],[Date]],Database!$A:$E,MATCH($B$1,Database!$A$1:$E$1,),))</f>
        <v/>
      </c>
      <c r="C959">
        <f>IF(VLOOKUP(Table73[[#This Row],[Date]],Database!$A:$C,MATCH($C$1,Database!$A$1:$C$1,),)=0,#N/A,VLOOKUP(Table73[[#This Row],[Date]],Database!$A:$C,MATCH($C$1,Database!$A$1:$C$1,),))</f>
        <v/>
      </c>
      <c r="D959">
        <f>IFERROR(Table73[[#This Row],[United States 10y]]-Table73[[#This Row],[United States 2y]],#N/A)</f>
        <v/>
      </c>
    </row>
    <row r="960">
      <c r="A960" s="6">
        <f>Database!A959</f>
        <v/>
      </c>
      <c r="B960">
        <f>IF(VLOOKUP(Table73[[#This Row],[Date]],Database!$A:$E,MATCH($B$1,Database!$A$1:$E$1,),)=0,#N/A,VLOOKUP(Table73[[#This Row],[Date]],Database!$A:$E,MATCH($B$1,Database!$A$1:$E$1,),))</f>
        <v/>
      </c>
      <c r="C960">
        <f>IF(VLOOKUP(Table73[[#This Row],[Date]],Database!$A:$C,MATCH($C$1,Database!$A$1:$C$1,),)=0,#N/A,VLOOKUP(Table73[[#This Row],[Date]],Database!$A:$C,MATCH($C$1,Database!$A$1:$C$1,),))</f>
        <v/>
      </c>
      <c r="D960">
        <f>IFERROR(Table73[[#This Row],[United States 10y]]-Table73[[#This Row],[United States 2y]],#N/A)</f>
        <v/>
      </c>
    </row>
    <row r="961">
      <c r="A961" s="6">
        <f>Database!A960</f>
        <v/>
      </c>
      <c r="B961">
        <f>IF(VLOOKUP(Table73[[#This Row],[Date]],Database!$A:$E,MATCH($B$1,Database!$A$1:$E$1,),)=0,#N/A,VLOOKUP(Table73[[#This Row],[Date]],Database!$A:$E,MATCH($B$1,Database!$A$1:$E$1,),))</f>
        <v/>
      </c>
      <c r="C961">
        <f>IF(VLOOKUP(Table73[[#This Row],[Date]],Database!$A:$C,MATCH($C$1,Database!$A$1:$C$1,),)=0,#N/A,VLOOKUP(Table73[[#This Row],[Date]],Database!$A:$C,MATCH($C$1,Database!$A$1:$C$1,),))</f>
        <v/>
      </c>
      <c r="D961">
        <f>IFERROR(Table73[[#This Row],[United States 10y]]-Table73[[#This Row],[United States 2y]],#N/A)</f>
        <v/>
      </c>
    </row>
    <row r="962">
      <c r="A962" s="6">
        <f>Database!A961</f>
        <v/>
      </c>
      <c r="B962">
        <f>IF(VLOOKUP(Table73[[#This Row],[Date]],Database!$A:$E,MATCH($B$1,Database!$A$1:$E$1,),)=0,#N/A,VLOOKUP(Table73[[#This Row],[Date]],Database!$A:$E,MATCH($B$1,Database!$A$1:$E$1,),))</f>
        <v/>
      </c>
      <c r="C962">
        <f>IF(VLOOKUP(Table73[[#This Row],[Date]],Database!$A:$C,MATCH($C$1,Database!$A$1:$C$1,),)=0,#N/A,VLOOKUP(Table73[[#This Row],[Date]],Database!$A:$C,MATCH($C$1,Database!$A$1:$C$1,),))</f>
        <v/>
      </c>
      <c r="D962">
        <f>IFERROR(Table73[[#This Row],[United States 10y]]-Table73[[#This Row],[United States 2y]],#N/A)</f>
        <v/>
      </c>
    </row>
    <row r="963">
      <c r="A963" s="6">
        <f>Database!A962</f>
        <v/>
      </c>
      <c r="B963">
        <f>IF(VLOOKUP(Table73[[#This Row],[Date]],Database!$A:$E,MATCH($B$1,Database!$A$1:$E$1,),)=0,#N/A,VLOOKUP(Table73[[#This Row],[Date]],Database!$A:$E,MATCH($B$1,Database!$A$1:$E$1,),))</f>
        <v/>
      </c>
      <c r="C963">
        <f>IF(VLOOKUP(Table73[[#This Row],[Date]],Database!$A:$C,MATCH($C$1,Database!$A$1:$C$1,),)=0,#N/A,VLOOKUP(Table73[[#This Row],[Date]],Database!$A:$C,MATCH($C$1,Database!$A$1:$C$1,),))</f>
        <v/>
      </c>
      <c r="D963">
        <f>IFERROR(Table73[[#This Row],[United States 10y]]-Table73[[#This Row],[United States 2y]],#N/A)</f>
        <v/>
      </c>
    </row>
    <row r="964">
      <c r="A964" s="6">
        <f>Database!A963</f>
        <v/>
      </c>
      <c r="B964">
        <f>IF(VLOOKUP(Table73[[#This Row],[Date]],Database!$A:$E,MATCH($B$1,Database!$A$1:$E$1,),)=0,#N/A,VLOOKUP(Table73[[#This Row],[Date]],Database!$A:$E,MATCH($B$1,Database!$A$1:$E$1,),))</f>
        <v/>
      </c>
      <c r="C964">
        <f>IF(VLOOKUP(Table73[[#This Row],[Date]],Database!$A:$C,MATCH($C$1,Database!$A$1:$C$1,),)=0,#N/A,VLOOKUP(Table73[[#This Row],[Date]],Database!$A:$C,MATCH($C$1,Database!$A$1:$C$1,),))</f>
        <v/>
      </c>
      <c r="D964">
        <f>IFERROR(Table73[[#This Row],[United States 10y]]-Table73[[#This Row],[United States 2y]],#N/A)</f>
        <v/>
      </c>
    </row>
    <row r="965">
      <c r="A965" s="6">
        <f>Database!A964</f>
        <v/>
      </c>
      <c r="B965">
        <f>IF(VLOOKUP(Table73[[#This Row],[Date]],Database!$A:$E,MATCH($B$1,Database!$A$1:$E$1,),)=0,#N/A,VLOOKUP(Table73[[#This Row],[Date]],Database!$A:$E,MATCH($B$1,Database!$A$1:$E$1,),))</f>
        <v/>
      </c>
      <c r="C965">
        <f>IF(VLOOKUP(Table73[[#This Row],[Date]],Database!$A:$C,MATCH($C$1,Database!$A$1:$C$1,),)=0,#N/A,VLOOKUP(Table73[[#This Row],[Date]],Database!$A:$C,MATCH($C$1,Database!$A$1:$C$1,),))</f>
        <v/>
      </c>
      <c r="D965">
        <f>IFERROR(Table73[[#This Row],[United States 10y]]-Table73[[#This Row],[United States 2y]],#N/A)</f>
        <v/>
      </c>
    </row>
    <row r="966">
      <c r="A966" s="6">
        <f>Database!A965</f>
        <v/>
      </c>
      <c r="B966">
        <f>IF(VLOOKUP(Table73[[#This Row],[Date]],Database!$A:$E,MATCH($B$1,Database!$A$1:$E$1,),)=0,#N/A,VLOOKUP(Table73[[#This Row],[Date]],Database!$A:$E,MATCH($B$1,Database!$A$1:$E$1,),))</f>
        <v/>
      </c>
      <c r="C966">
        <f>IF(VLOOKUP(Table73[[#This Row],[Date]],Database!$A:$C,MATCH($C$1,Database!$A$1:$C$1,),)=0,#N/A,VLOOKUP(Table73[[#This Row],[Date]],Database!$A:$C,MATCH($C$1,Database!$A$1:$C$1,),))</f>
        <v/>
      </c>
      <c r="D966">
        <f>IFERROR(Table73[[#This Row],[United States 10y]]-Table73[[#This Row],[United States 2y]],#N/A)</f>
        <v/>
      </c>
    </row>
    <row r="967">
      <c r="A967" s="6">
        <f>Database!A966</f>
        <v/>
      </c>
      <c r="B967">
        <f>IF(VLOOKUP(Table73[[#This Row],[Date]],Database!$A:$E,MATCH($B$1,Database!$A$1:$E$1,),)=0,#N/A,VLOOKUP(Table73[[#This Row],[Date]],Database!$A:$E,MATCH($B$1,Database!$A$1:$E$1,),))</f>
        <v/>
      </c>
      <c r="C967">
        <f>IF(VLOOKUP(Table73[[#This Row],[Date]],Database!$A:$C,MATCH($C$1,Database!$A$1:$C$1,),)=0,#N/A,VLOOKUP(Table73[[#This Row],[Date]],Database!$A:$C,MATCH($C$1,Database!$A$1:$C$1,),))</f>
        <v/>
      </c>
      <c r="D967">
        <f>IFERROR(Table73[[#This Row],[United States 10y]]-Table73[[#This Row],[United States 2y]],#N/A)</f>
        <v/>
      </c>
    </row>
    <row r="968">
      <c r="A968" s="6">
        <f>Database!A967</f>
        <v/>
      </c>
      <c r="B968">
        <f>IF(VLOOKUP(Table73[[#This Row],[Date]],Database!$A:$E,MATCH($B$1,Database!$A$1:$E$1,),)=0,#N/A,VLOOKUP(Table73[[#This Row],[Date]],Database!$A:$E,MATCH($B$1,Database!$A$1:$E$1,),))</f>
        <v/>
      </c>
      <c r="C968">
        <f>IF(VLOOKUP(Table73[[#This Row],[Date]],Database!$A:$C,MATCH($C$1,Database!$A$1:$C$1,),)=0,#N/A,VLOOKUP(Table73[[#This Row],[Date]],Database!$A:$C,MATCH($C$1,Database!$A$1:$C$1,),))</f>
        <v/>
      </c>
      <c r="D968">
        <f>IFERROR(Table73[[#This Row],[United States 10y]]-Table73[[#This Row],[United States 2y]],#N/A)</f>
        <v/>
      </c>
    </row>
    <row r="969">
      <c r="A969" s="6">
        <f>Database!A968</f>
        <v/>
      </c>
      <c r="B969">
        <f>IF(VLOOKUP(Table73[[#This Row],[Date]],Database!$A:$E,MATCH($B$1,Database!$A$1:$E$1,),)=0,#N/A,VLOOKUP(Table73[[#This Row],[Date]],Database!$A:$E,MATCH($B$1,Database!$A$1:$E$1,),))</f>
        <v/>
      </c>
      <c r="C969">
        <f>IF(VLOOKUP(Table73[[#This Row],[Date]],Database!$A:$C,MATCH($C$1,Database!$A$1:$C$1,),)=0,#N/A,VLOOKUP(Table73[[#This Row],[Date]],Database!$A:$C,MATCH($C$1,Database!$A$1:$C$1,),))</f>
        <v/>
      </c>
      <c r="D969">
        <f>IFERROR(Table73[[#This Row],[United States 10y]]-Table73[[#This Row],[United States 2y]],#N/A)</f>
        <v/>
      </c>
    </row>
    <row r="970">
      <c r="A970" s="6">
        <f>Database!A969</f>
        <v/>
      </c>
      <c r="B970">
        <f>IF(VLOOKUP(Table73[[#This Row],[Date]],Database!$A:$E,MATCH($B$1,Database!$A$1:$E$1,),)=0,#N/A,VLOOKUP(Table73[[#This Row],[Date]],Database!$A:$E,MATCH($B$1,Database!$A$1:$E$1,),))</f>
        <v/>
      </c>
      <c r="C970">
        <f>IF(VLOOKUP(Table73[[#This Row],[Date]],Database!$A:$C,MATCH($C$1,Database!$A$1:$C$1,),)=0,#N/A,VLOOKUP(Table73[[#This Row],[Date]],Database!$A:$C,MATCH($C$1,Database!$A$1:$C$1,),))</f>
        <v/>
      </c>
      <c r="D970">
        <f>IFERROR(Table73[[#This Row],[United States 10y]]-Table73[[#This Row],[United States 2y]],#N/A)</f>
        <v/>
      </c>
    </row>
    <row r="971">
      <c r="A971" s="6">
        <f>Database!A970</f>
        <v/>
      </c>
      <c r="B971">
        <f>IF(VLOOKUP(Table73[[#This Row],[Date]],Database!$A:$E,MATCH($B$1,Database!$A$1:$E$1,),)=0,#N/A,VLOOKUP(Table73[[#This Row],[Date]],Database!$A:$E,MATCH($B$1,Database!$A$1:$E$1,),))</f>
        <v/>
      </c>
      <c r="C971">
        <f>IF(VLOOKUP(Table73[[#This Row],[Date]],Database!$A:$C,MATCH($C$1,Database!$A$1:$C$1,),)=0,#N/A,VLOOKUP(Table73[[#This Row],[Date]],Database!$A:$C,MATCH($C$1,Database!$A$1:$C$1,),))</f>
        <v/>
      </c>
      <c r="D971">
        <f>IFERROR(Table73[[#This Row],[United States 10y]]-Table73[[#This Row],[United States 2y]],#N/A)</f>
        <v/>
      </c>
    </row>
    <row r="972">
      <c r="A972" s="6">
        <f>Database!A971</f>
        <v/>
      </c>
      <c r="B972">
        <f>IF(VLOOKUP(Table73[[#This Row],[Date]],Database!$A:$E,MATCH($B$1,Database!$A$1:$E$1,),)=0,#N/A,VLOOKUP(Table73[[#This Row],[Date]],Database!$A:$E,MATCH($B$1,Database!$A$1:$E$1,),))</f>
        <v/>
      </c>
      <c r="C972">
        <f>IF(VLOOKUP(Table73[[#This Row],[Date]],Database!$A:$C,MATCH($C$1,Database!$A$1:$C$1,),)=0,#N/A,VLOOKUP(Table73[[#This Row],[Date]],Database!$A:$C,MATCH($C$1,Database!$A$1:$C$1,),))</f>
        <v/>
      </c>
      <c r="D972">
        <f>IFERROR(Table73[[#This Row],[United States 10y]]-Table73[[#This Row],[United States 2y]],#N/A)</f>
        <v/>
      </c>
    </row>
    <row r="973">
      <c r="A973" s="6">
        <f>Database!A972</f>
        <v/>
      </c>
      <c r="B973">
        <f>IF(VLOOKUP(Table73[[#This Row],[Date]],Database!$A:$E,MATCH($B$1,Database!$A$1:$E$1,),)=0,#N/A,VLOOKUP(Table73[[#This Row],[Date]],Database!$A:$E,MATCH($B$1,Database!$A$1:$E$1,),))</f>
        <v/>
      </c>
      <c r="C973">
        <f>IF(VLOOKUP(Table73[[#This Row],[Date]],Database!$A:$C,MATCH($C$1,Database!$A$1:$C$1,),)=0,#N/A,VLOOKUP(Table73[[#This Row],[Date]],Database!$A:$C,MATCH($C$1,Database!$A$1:$C$1,),))</f>
        <v/>
      </c>
      <c r="D973">
        <f>IFERROR(Table73[[#This Row],[United States 10y]]-Table73[[#This Row],[United States 2y]],#N/A)</f>
        <v/>
      </c>
    </row>
    <row r="974">
      <c r="A974" s="6">
        <f>Database!A973</f>
        <v/>
      </c>
      <c r="B974">
        <f>IF(VLOOKUP(Table73[[#This Row],[Date]],Database!$A:$E,MATCH($B$1,Database!$A$1:$E$1,),)=0,#N/A,VLOOKUP(Table73[[#This Row],[Date]],Database!$A:$E,MATCH($B$1,Database!$A$1:$E$1,),))</f>
        <v/>
      </c>
      <c r="C974">
        <f>IF(VLOOKUP(Table73[[#This Row],[Date]],Database!$A:$C,MATCH($C$1,Database!$A$1:$C$1,),)=0,#N/A,VLOOKUP(Table73[[#This Row],[Date]],Database!$A:$C,MATCH($C$1,Database!$A$1:$C$1,),))</f>
        <v/>
      </c>
      <c r="D974">
        <f>IFERROR(Table73[[#This Row],[United States 10y]]-Table73[[#This Row],[United States 2y]],#N/A)</f>
        <v/>
      </c>
    </row>
    <row r="975">
      <c r="A975" s="6">
        <f>Database!A974</f>
        <v/>
      </c>
      <c r="B975">
        <f>IF(VLOOKUP(Table73[[#This Row],[Date]],Database!$A:$E,MATCH($B$1,Database!$A$1:$E$1,),)=0,#N/A,VLOOKUP(Table73[[#This Row],[Date]],Database!$A:$E,MATCH($B$1,Database!$A$1:$E$1,),))</f>
        <v/>
      </c>
      <c r="C975">
        <f>IF(VLOOKUP(Table73[[#This Row],[Date]],Database!$A:$C,MATCH($C$1,Database!$A$1:$C$1,),)=0,#N/A,VLOOKUP(Table73[[#This Row],[Date]],Database!$A:$C,MATCH($C$1,Database!$A$1:$C$1,),))</f>
        <v/>
      </c>
      <c r="D975">
        <f>IFERROR(Table73[[#This Row],[United States 10y]]-Table73[[#This Row],[United States 2y]],#N/A)</f>
        <v/>
      </c>
    </row>
    <row r="976">
      <c r="A976" s="6">
        <f>Database!A975</f>
        <v/>
      </c>
      <c r="B976">
        <f>IF(VLOOKUP(Table73[[#This Row],[Date]],Database!$A:$E,MATCH($B$1,Database!$A$1:$E$1,),)=0,#N/A,VLOOKUP(Table73[[#This Row],[Date]],Database!$A:$E,MATCH($B$1,Database!$A$1:$E$1,),))</f>
        <v/>
      </c>
      <c r="C976">
        <f>IF(VLOOKUP(Table73[[#This Row],[Date]],Database!$A:$C,MATCH($C$1,Database!$A$1:$C$1,),)=0,#N/A,VLOOKUP(Table73[[#This Row],[Date]],Database!$A:$C,MATCH($C$1,Database!$A$1:$C$1,),))</f>
        <v/>
      </c>
      <c r="D976">
        <f>IFERROR(Table73[[#This Row],[United States 10y]]-Table73[[#This Row],[United States 2y]],#N/A)</f>
        <v/>
      </c>
    </row>
    <row r="977">
      <c r="A977" s="6">
        <f>Database!A976</f>
        <v/>
      </c>
      <c r="B977">
        <f>IF(VLOOKUP(Table73[[#This Row],[Date]],Database!$A:$E,MATCH($B$1,Database!$A$1:$E$1,),)=0,#N/A,VLOOKUP(Table73[[#This Row],[Date]],Database!$A:$E,MATCH($B$1,Database!$A$1:$E$1,),))</f>
        <v/>
      </c>
      <c r="C977">
        <f>IF(VLOOKUP(Table73[[#This Row],[Date]],Database!$A:$C,MATCH($C$1,Database!$A$1:$C$1,),)=0,#N/A,VLOOKUP(Table73[[#This Row],[Date]],Database!$A:$C,MATCH($C$1,Database!$A$1:$C$1,),))</f>
        <v/>
      </c>
      <c r="D977">
        <f>IFERROR(Table73[[#This Row],[United States 10y]]-Table73[[#This Row],[United States 2y]],#N/A)</f>
        <v/>
      </c>
    </row>
    <row r="978">
      <c r="A978" s="6">
        <f>Database!A977</f>
        <v/>
      </c>
      <c r="B978">
        <f>IF(VLOOKUP(Table73[[#This Row],[Date]],Database!$A:$E,MATCH($B$1,Database!$A$1:$E$1,),)=0,#N/A,VLOOKUP(Table73[[#This Row],[Date]],Database!$A:$E,MATCH($B$1,Database!$A$1:$E$1,),))</f>
        <v/>
      </c>
      <c r="C978">
        <f>IF(VLOOKUP(Table73[[#This Row],[Date]],Database!$A:$C,MATCH($C$1,Database!$A$1:$C$1,),)=0,#N/A,VLOOKUP(Table73[[#This Row],[Date]],Database!$A:$C,MATCH($C$1,Database!$A$1:$C$1,),))</f>
        <v/>
      </c>
      <c r="D978">
        <f>IFERROR(Table73[[#This Row],[United States 10y]]-Table73[[#This Row],[United States 2y]],#N/A)</f>
        <v/>
      </c>
    </row>
    <row r="979">
      <c r="A979" s="6">
        <f>Database!A978</f>
        <v/>
      </c>
      <c r="B979">
        <f>IF(VLOOKUP(Table73[[#This Row],[Date]],Database!$A:$E,MATCH($B$1,Database!$A$1:$E$1,),)=0,#N/A,VLOOKUP(Table73[[#This Row],[Date]],Database!$A:$E,MATCH($B$1,Database!$A$1:$E$1,),))</f>
        <v/>
      </c>
      <c r="C979">
        <f>IF(VLOOKUP(Table73[[#This Row],[Date]],Database!$A:$C,MATCH($C$1,Database!$A$1:$C$1,),)=0,#N/A,VLOOKUP(Table73[[#This Row],[Date]],Database!$A:$C,MATCH($C$1,Database!$A$1:$C$1,),))</f>
        <v/>
      </c>
      <c r="D979">
        <f>IFERROR(Table73[[#This Row],[United States 10y]]-Table73[[#This Row],[United States 2y]],#N/A)</f>
        <v/>
      </c>
    </row>
    <row r="980">
      <c r="A980" s="6">
        <f>Database!A979</f>
        <v/>
      </c>
      <c r="B980">
        <f>IF(VLOOKUP(Table73[[#This Row],[Date]],Database!$A:$E,MATCH($B$1,Database!$A$1:$E$1,),)=0,#N/A,VLOOKUP(Table73[[#This Row],[Date]],Database!$A:$E,MATCH($B$1,Database!$A$1:$E$1,),))</f>
        <v/>
      </c>
      <c r="C980">
        <f>IF(VLOOKUP(Table73[[#This Row],[Date]],Database!$A:$C,MATCH($C$1,Database!$A$1:$C$1,),)=0,#N/A,VLOOKUP(Table73[[#This Row],[Date]],Database!$A:$C,MATCH($C$1,Database!$A$1:$C$1,),))</f>
        <v/>
      </c>
      <c r="D980">
        <f>IFERROR(Table73[[#This Row],[United States 10y]]-Table73[[#This Row],[United States 2y]],#N/A)</f>
        <v/>
      </c>
    </row>
    <row r="981">
      <c r="A981" s="6">
        <f>Database!A980</f>
        <v/>
      </c>
      <c r="B981">
        <f>IF(VLOOKUP(Table73[[#This Row],[Date]],Database!$A:$E,MATCH($B$1,Database!$A$1:$E$1,),)=0,#N/A,VLOOKUP(Table73[[#This Row],[Date]],Database!$A:$E,MATCH($B$1,Database!$A$1:$E$1,),))</f>
        <v/>
      </c>
      <c r="C981">
        <f>IF(VLOOKUP(Table73[[#This Row],[Date]],Database!$A:$C,MATCH($C$1,Database!$A$1:$C$1,),)=0,#N/A,VLOOKUP(Table73[[#This Row],[Date]],Database!$A:$C,MATCH($C$1,Database!$A$1:$C$1,),))</f>
        <v/>
      </c>
      <c r="D981">
        <f>IFERROR(Table73[[#This Row],[United States 10y]]-Table73[[#This Row],[United States 2y]],#N/A)</f>
        <v/>
      </c>
    </row>
    <row r="982">
      <c r="A982" s="6">
        <f>Database!A981</f>
        <v/>
      </c>
      <c r="B982">
        <f>IF(VLOOKUP(Table73[[#This Row],[Date]],Database!$A:$E,MATCH($B$1,Database!$A$1:$E$1,),)=0,#N/A,VLOOKUP(Table73[[#This Row],[Date]],Database!$A:$E,MATCH($B$1,Database!$A$1:$E$1,),))</f>
        <v/>
      </c>
      <c r="C982">
        <f>IF(VLOOKUP(Table73[[#This Row],[Date]],Database!$A:$C,MATCH($C$1,Database!$A$1:$C$1,),)=0,#N/A,VLOOKUP(Table73[[#This Row],[Date]],Database!$A:$C,MATCH($C$1,Database!$A$1:$C$1,),))</f>
        <v/>
      </c>
      <c r="D982">
        <f>IFERROR(Table73[[#This Row],[United States 10y]]-Table73[[#This Row],[United States 2y]],#N/A)</f>
        <v/>
      </c>
    </row>
    <row r="983">
      <c r="A983" s="6">
        <f>Database!A982</f>
        <v/>
      </c>
      <c r="B983">
        <f>IF(VLOOKUP(Table73[[#This Row],[Date]],Database!$A:$E,MATCH($B$1,Database!$A$1:$E$1,),)=0,#N/A,VLOOKUP(Table73[[#This Row],[Date]],Database!$A:$E,MATCH($B$1,Database!$A$1:$E$1,),))</f>
        <v/>
      </c>
      <c r="C983">
        <f>IF(VLOOKUP(Table73[[#This Row],[Date]],Database!$A:$C,MATCH($C$1,Database!$A$1:$C$1,),)=0,#N/A,VLOOKUP(Table73[[#This Row],[Date]],Database!$A:$C,MATCH($C$1,Database!$A$1:$C$1,),))</f>
        <v/>
      </c>
      <c r="D983">
        <f>IFERROR(Table73[[#This Row],[United States 10y]]-Table73[[#This Row],[United States 2y]],#N/A)</f>
        <v/>
      </c>
    </row>
    <row r="984">
      <c r="A984" s="6">
        <f>Database!A983</f>
        <v/>
      </c>
      <c r="B984">
        <f>IF(VLOOKUP(Table73[[#This Row],[Date]],Database!$A:$E,MATCH($B$1,Database!$A$1:$E$1,),)=0,#N/A,VLOOKUP(Table73[[#This Row],[Date]],Database!$A:$E,MATCH($B$1,Database!$A$1:$E$1,),))</f>
        <v/>
      </c>
      <c r="C984">
        <f>IF(VLOOKUP(Table73[[#This Row],[Date]],Database!$A:$C,MATCH($C$1,Database!$A$1:$C$1,),)=0,#N/A,VLOOKUP(Table73[[#This Row],[Date]],Database!$A:$C,MATCH($C$1,Database!$A$1:$C$1,),))</f>
        <v/>
      </c>
      <c r="D984">
        <f>IFERROR(Table73[[#This Row],[United States 10y]]-Table73[[#This Row],[United States 2y]],#N/A)</f>
        <v/>
      </c>
    </row>
    <row r="985">
      <c r="A985" s="6">
        <f>Database!A984</f>
        <v/>
      </c>
      <c r="B985">
        <f>IF(VLOOKUP(Table73[[#This Row],[Date]],Database!$A:$E,MATCH($B$1,Database!$A$1:$E$1,),)=0,#N/A,VLOOKUP(Table73[[#This Row],[Date]],Database!$A:$E,MATCH($B$1,Database!$A$1:$E$1,),))</f>
        <v/>
      </c>
      <c r="C985">
        <f>IF(VLOOKUP(Table73[[#This Row],[Date]],Database!$A:$C,MATCH($C$1,Database!$A$1:$C$1,),)=0,#N/A,VLOOKUP(Table73[[#This Row],[Date]],Database!$A:$C,MATCH($C$1,Database!$A$1:$C$1,),))</f>
        <v/>
      </c>
      <c r="D985">
        <f>IFERROR(Table73[[#This Row],[United States 10y]]-Table73[[#This Row],[United States 2y]],#N/A)</f>
        <v/>
      </c>
    </row>
    <row r="986">
      <c r="A986" s="6">
        <f>Database!A985</f>
        <v/>
      </c>
      <c r="B986">
        <f>IF(VLOOKUP(Table73[[#This Row],[Date]],Database!$A:$E,MATCH($B$1,Database!$A$1:$E$1,),)=0,#N/A,VLOOKUP(Table73[[#This Row],[Date]],Database!$A:$E,MATCH($B$1,Database!$A$1:$E$1,),))</f>
        <v/>
      </c>
      <c r="C986">
        <f>IF(VLOOKUP(Table73[[#This Row],[Date]],Database!$A:$C,MATCH($C$1,Database!$A$1:$C$1,),)=0,#N/A,VLOOKUP(Table73[[#This Row],[Date]],Database!$A:$C,MATCH($C$1,Database!$A$1:$C$1,),))</f>
        <v/>
      </c>
      <c r="D986">
        <f>IFERROR(Table73[[#This Row],[United States 10y]]-Table73[[#This Row],[United States 2y]],#N/A)</f>
        <v/>
      </c>
    </row>
    <row r="987">
      <c r="A987" s="6">
        <f>Database!A986</f>
        <v/>
      </c>
      <c r="B987">
        <f>IF(VLOOKUP(Table73[[#This Row],[Date]],Database!$A:$E,MATCH($B$1,Database!$A$1:$E$1,),)=0,#N/A,VLOOKUP(Table73[[#This Row],[Date]],Database!$A:$E,MATCH($B$1,Database!$A$1:$E$1,),))</f>
        <v/>
      </c>
      <c r="C987">
        <f>IF(VLOOKUP(Table73[[#This Row],[Date]],Database!$A:$C,MATCH($C$1,Database!$A$1:$C$1,),)=0,#N/A,VLOOKUP(Table73[[#This Row],[Date]],Database!$A:$C,MATCH($C$1,Database!$A$1:$C$1,),))</f>
        <v/>
      </c>
      <c r="D987">
        <f>IFERROR(Table73[[#This Row],[United States 10y]]-Table73[[#This Row],[United States 2y]],#N/A)</f>
        <v/>
      </c>
    </row>
    <row r="988">
      <c r="A988" s="6">
        <f>Database!A987</f>
        <v/>
      </c>
      <c r="B988">
        <f>IF(VLOOKUP(Table73[[#This Row],[Date]],Database!$A:$E,MATCH($B$1,Database!$A$1:$E$1,),)=0,#N/A,VLOOKUP(Table73[[#This Row],[Date]],Database!$A:$E,MATCH($B$1,Database!$A$1:$E$1,),))</f>
        <v/>
      </c>
      <c r="C988">
        <f>IF(VLOOKUP(Table73[[#This Row],[Date]],Database!$A:$C,MATCH($C$1,Database!$A$1:$C$1,),)=0,#N/A,VLOOKUP(Table73[[#This Row],[Date]],Database!$A:$C,MATCH($C$1,Database!$A$1:$C$1,),))</f>
        <v/>
      </c>
      <c r="D988">
        <f>IFERROR(Table73[[#This Row],[United States 10y]]-Table73[[#This Row],[United States 2y]],#N/A)</f>
        <v/>
      </c>
    </row>
    <row r="989">
      <c r="A989" s="6">
        <f>Database!A988</f>
        <v/>
      </c>
      <c r="B989">
        <f>IF(VLOOKUP(Table73[[#This Row],[Date]],Database!$A:$E,MATCH($B$1,Database!$A$1:$E$1,),)=0,#N/A,VLOOKUP(Table73[[#This Row],[Date]],Database!$A:$E,MATCH($B$1,Database!$A$1:$E$1,),))</f>
        <v/>
      </c>
      <c r="C989">
        <f>IF(VLOOKUP(Table73[[#This Row],[Date]],Database!$A:$C,MATCH($C$1,Database!$A$1:$C$1,),)=0,#N/A,VLOOKUP(Table73[[#This Row],[Date]],Database!$A:$C,MATCH($C$1,Database!$A$1:$C$1,),))</f>
        <v/>
      </c>
      <c r="D989">
        <f>IFERROR(Table73[[#This Row],[United States 10y]]-Table73[[#This Row],[United States 2y]],#N/A)</f>
        <v/>
      </c>
    </row>
    <row r="990">
      <c r="A990" s="6">
        <f>Database!A989</f>
        <v/>
      </c>
      <c r="B990">
        <f>IF(VLOOKUP(Table73[[#This Row],[Date]],Database!$A:$E,MATCH($B$1,Database!$A$1:$E$1,),)=0,#N/A,VLOOKUP(Table73[[#This Row],[Date]],Database!$A:$E,MATCH($B$1,Database!$A$1:$E$1,),))</f>
        <v/>
      </c>
      <c r="C990">
        <f>IF(VLOOKUP(Table73[[#This Row],[Date]],Database!$A:$C,MATCH($C$1,Database!$A$1:$C$1,),)=0,#N/A,VLOOKUP(Table73[[#This Row],[Date]],Database!$A:$C,MATCH($C$1,Database!$A$1:$C$1,),))</f>
        <v/>
      </c>
      <c r="D990">
        <f>IFERROR(Table73[[#This Row],[United States 10y]]-Table73[[#This Row],[United States 2y]],#N/A)</f>
        <v/>
      </c>
    </row>
    <row r="991">
      <c r="A991" s="6">
        <f>Database!A990</f>
        <v/>
      </c>
      <c r="B991">
        <f>IF(VLOOKUP(Table73[[#This Row],[Date]],Database!$A:$E,MATCH($B$1,Database!$A$1:$E$1,),)=0,#N/A,VLOOKUP(Table73[[#This Row],[Date]],Database!$A:$E,MATCH($B$1,Database!$A$1:$E$1,),))</f>
        <v/>
      </c>
      <c r="C991">
        <f>IF(VLOOKUP(Table73[[#This Row],[Date]],Database!$A:$C,MATCH($C$1,Database!$A$1:$C$1,),)=0,#N/A,VLOOKUP(Table73[[#This Row],[Date]],Database!$A:$C,MATCH($C$1,Database!$A$1:$C$1,),))</f>
        <v/>
      </c>
      <c r="D991">
        <f>IFERROR(Table73[[#This Row],[United States 10y]]-Table73[[#This Row],[United States 2y]],#N/A)</f>
        <v/>
      </c>
    </row>
    <row r="992">
      <c r="A992" s="6">
        <f>Database!A991</f>
        <v/>
      </c>
      <c r="B992">
        <f>IF(VLOOKUP(Table73[[#This Row],[Date]],Database!$A:$E,MATCH($B$1,Database!$A$1:$E$1,),)=0,#N/A,VLOOKUP(Table73[[#This Row],[Date]],Database!$A:$E,MATCH($B$1,Database!$A$1:$E$1,),))</f>
        <v/>
      </c>
      <c r="C992">
        <f>IF(VLOOKUP(Table73[[#This Row],[Date]],Database!$A:$C,MATCH($C$1,Database!$A$1:$C$1,),)=0,#N/A,VLOOKUP(Table73[[#This Row],[Date]],Database!$A:$C,MATCH($C$1,Database!$A$1:$C$1,),))</f>
        <v/>
      </c>
      <c r="D992">
        <f>IFERROR(Table73[[#This Row],[United States 10y]]-Table73[[#This Row],[United States 2y]],#N/A)</f>
        <v/>
      </c>
    </row>
    <row r="993">
      <c r="A993" s="6">
        <f>Database!A992</f>
        <v/>
      </c>
      <c r="B993">
        <f>IF(VLOOKUP(Table73[[#This Row],[Date]],Database!$A:$E,MATCH($B$1,Database!$A$1:$E$1,),)=0,#N/A,VLOOKUP(Table73[[#This Row],[Date]],Database!$A:$E,MATCH($B$1,Database!$A$1:$E$1,),))</f>
        <v/>
      </c>
      <c r="C993">
        <f>IF(VLOOKUP(Table73[[#This Row],[Date]],Database!$A:$C,MATCH($C$1,Database!$A$1:$C$1,),)=0,#N/A,VLOOKUP(Table73[[#This Row],[Date]],Database!$A:$C,MATCH($C$1,Database!$A$1:$C$1,),))</f>
        <v/>
      </c>
      <c r="D993">
        <f>IFERROR(Table73[[#This Row],[United States 10y]]-Table73[[#This Row],[United States 2y]],#N/A)</f>
        <v/>
      </c>
    </row>
    <row r="994">
      <c r="A994" s="6">
        <f>Database!A993</f>
        <v/>
      </c>
      <c r="B994">
        <f>IF(VLOOKUP(Table73[[#This Row],[Date]],Database!$A:$E,MATCH($B$1,Database!$A$1:$E$1,),)=0,#N/A,VLOOKUP(Table73[[#This Row],[Date]],Database!$A:$E,MATCH($B$1,Database!$A$1:$E$1,),))</f>
        <v/>
      </c>
      <c r="C994">
        <f>IF(VLOOKUP(Table73[[#This Row],[Date]],Database!$A:$C,MATCH($C$1,Database!$A$1:$C$1,),)=0,#N/A,VLOOKUP(Table73[[#This Row],[Date]],Database!$A:$C,MATCH($C$1,Database!$A$1:$C$1,),))</f>
        <v/>
      </c>
      <c r="D994">
        <f>IFERROR(Table73[[#This Row],[United States 10y]]-Table73[[#This Row],[United States 2y]],#N/A)</f>
        <v/>
      </c>
    </row>
    <row r="995">
      <c r="A995" s="6">
        <f>Database!A994</f>
        <v/>
      </c>
      <c r="B995">
        <f>IF(VLOOKUP(Table73[[#This Row],[Date]],Database!$A:$E,MATCH($B$1,Database!$A$1:$E$1,),)=0,#N/A,VLOOKUP(Table73[[#This Row],[Date]],Database!$A:$E,MATCH($B$1,Database!$A$1:$E$1,),))</f>
        <v/>
      </c>
      <c r="C995">
        <f>IF(VLOOKUP(Table73[[#This Row],[Date]],Database!$A:$C,MATCH($C$1,Database!$A$1:$C$1,),)=0,#N/A,VLOOKUP(Table73[[#This Row],[Date]],Database!$A:$C,MATCH($C$1,Database!$A$1:$C$1,),))</f>
        <v/>
      </c>
      <c r="D995">
        <f>IFERROR(Table73[[#This Row],[United States 10y]]-Table73[[#This Row],[United States 2y]],#N/A)</f>
        <v/>
      </c>
    </row>
    <row r="996">
      <c r="A996" s="6">
        <f>Database!A995</f>
        <v/>
      </c>
      <c r="B996">
        <f>IF(VLOOKUP(Table73[[#This Row],[Date]],Database!$A:$E,MATCH($B$1,Database!$A$1:$E$1,),)=0,#N/A,VLOOKUP(Table73[[#This Row],[Date]],Database!$A:$E,MATCH($B$1,Database!$A$1:$E$1,),))</f>
        <v/>
      </c>
      <c r="C996">
        <f>IF(VLOOKUP(Table73[[#This Row],[Date]],Database!$A:$C,MATCH($C$1,Database!$A$1:$C$1,),)=0,#N/A,VLOOKUP(Table73[[#This Row],[Date]],Database!$A:$C,MATCH($C$1,Database!$A$1:$C$1,),))</f>
        <v/>
      </c>
      <c r="D996">
        <f>IFERROR(Table73[[#This Row],[United States 10y]]-Table73[[#This Row],[United States 2y]],#N/A)</f>
        <v/>
      </c>
    </row>
    <row r="997">
      <c r="A997" s="6">
        <f>Database!A996</f>
        <v/>
      </c>
      <c r="B997">
        <f>IF(VLOOKUP(Table73[[#This Row],[Date]],Database!$A:$E,MATCH($B$1,Database!$A$1:$E$1,),)=0,#N/A,VLOOKUP(Table73[[#This Row],[Date]],Database!$A:$E,MATCH($B$1,Database!$A$1:$E$1,),))</f>
        <v/>
      </c>
      <c r="C997">
        <f>IF(VLOOKUP(Table73[[#This Row],[Date]],Database!$A:$C,MATCH($C$1,Database!$A$1:$C$1,),)=0,#N/A,VLOOKUP(Table73[[#This Row],[Date]],Database!$A:$C,MATCH($C$1,Database!$A$1:$C$1,),))</f>
        <v/>
      </c>
      <c r="D997">
        <f>IFERROR(Table73[[#This Row],[United States 10y]]-Table73[[#This Row],[United States 2y]],#N/A)</f>
        <v/>
      </c>
    </row>
    <row r="998">
      <c r="A998" s="6">
        <f>Database!A997</f>
        <v/>
      </c>
      <c r="B998">
        <f>IF(VLOOKUP(Table73[[#This Row],[Date]],Database!$A:$E,MATCH($B$1,Database!$A$1:$E$1,),)=0,#N/A,VLOOKUP(Table73[[#This Row],[Date]],Database!$A:$E,MATCH($B$1,Database!$A$1:$E$1,),))</f>
        <v/>
      </c>
      <c r="C998">
        <f>IF(VLOOKUP(Table73[[#This Row],[Date]],Database!$A:$C,MATCH($C$1,Database!$A$1:$C$1,),)=0,#N/A,VLOOKUP(Table73[[#This Row],[Date]],Database!$A:$C,MATCH($C$1,Database!$A$1:$C$1,),))</f>
        <v/>
      </c>
      <c r="D998">
        <f>IFERROR(Table73[[#This Row],[United States 10y]]-Table73[[#This Row],[United States 2y]],#N/A)</f>
        <v/>
      </c>
    </row>
    <row r="999">
      <c r="A999" s="6">
        <f>Database!A998</f>
        <v/>
      </c>
      <c r="B999">
        <f>IF(VLOOKUP(Table73[[#This Row],[Date]],Database!$A:$E,MATCH($B$1,Database!$A$1:$E$1,),)=0,#N/A,VLOOKUP(Table73[[#This Row],[Date]],Database!$A:$E,MATCH($B$1,Database!$A$1:$E$1,),))</f>
        <v/>
      </c>
      <c r="C999">
        <f>IF(VLOOKUP(Table73[[#This Row],[Date]],Database!$A:$C,MATCH($C$1,Database!$A$1:$C$1,),)=0,#N/A,VLOOKUP(Table73[[#This Row],[Date]],Database!$A:$C,MATCH($C$1,Database!$A$1:$C$1,),))</f>
        <v/>
      </c>
      <c r="D999">
        <f>IFERROR(Table73[[#This Row],[United States 10y]]-Table73[[#This Row],[United States 2y]],#N/A)</f>
        <v/>
      </c>
    </row>
    <row r="1000">
      <c r="A1000" s="6">
        <f>Database!A999</f>
        <v/>
      </c>
      <c r="B1000">
        <f>IF(VLOOKUP(Table73[[#This Row],[Date]],Database!$A:$E,MATCH($B$1,Database!$A$1:$E$1,),)=0,#N/A,VLOOKUP(Table73[[#This Row],[Date]],Database!$A:$E,MATCH($B$1,Database!$A$1:$E$1,),))</f>
        <v/>
      </c>
      <c r="C1000">
        <f>IF(VLOOKUP(Table73[[#This Row],[Date]],Database!$A:$C,MATCH($C$1,Database!$A$1:$C$1,),)=0,#N/A,VLOOKUP(Table73[[#This Row],[Date]],Database!$A:$C,MATCH($C$1,Database!$A$1:$C$1,),))</f>
        <v/>
      </c>
      <c r="D1000">
        <f>IFERROR(Table73[[#This Row],[United States 10y]]-Table73[[#This Row],[United States 2y]],#N/A)</f>
        <v/>
      </c>
    </row>
    <row r="1001">
      <c r="A1001" s="6">
        <f>Database!A1000</f>
        <v/>
      </c>
      <c r="B1001">
        <f>IF(VLOOKUP(Table73[[#This Row],[Date]],Database!$A:$E,MATCH($B$1,Database!$A$1:$E$1,),)=0,#N/A,VLOOKUP(Table73[[#This Row],[Date]],Database!$A:$E,MATCH($B$1,Database!$A$1:$E$1,),))</f>
        <v/>
      </c>
      <c r="C1001">
        <f>IF(VLOOKUP(Table73[[#This Row],[Date]],Database!$A:$C,MATCH($C$1,Database!$A$1:$C$1,),)=0,#N/A,VLOOKUP(Table73[[#This Row],[Date]],Database!$A:$C,MATCH($C$1,Database!$A$1:$C$1,),))</f>
        <v/>
      </c>
      <c r="D1001">
        <f>IFERROR(Table73[[#This Row],[United States 10y]]-Table73[[#This Row],[United States 2y]],#N/A)</f>
        <v/>
      </c>
    </row>
    <row r="1002">
      <c r="A1002" s="6">
        <f>Database!A1001</f>
        <v/>
      </c>
      <c r="B1002">
        <f>IF(VLOOKUP(Table73[[#This Row],[Date]],Database!$A:$E,MATCH($B$1,Database!$A$1:$E$1,),)=0,#N/A,VLOOKUP(Table73[[#This Row],[Date]],Database!$A:$E,MATCH($B$1,Database!$A$1:$E$1,),))</f>
        <v/>
      </c>
      <c r="C1002">
        <f>IF(VLOOKUP(Table73[[#This Row],[Date]],Database!$A:$C,MATCH($C$1,Database!$A$1:$C$1,),)=0,#N/A,VLOOKUP(Table73[[#This Row],[Date]],Database!$A:$C,MATCH($C$1,Database!$A$1:$C$1,),))</f>
        <v/>
      </c>
      <c r="D1002">
        <f>IFERROR(Table73[[#This Row],[United States 10y]]-Table73[[#This Row],[United States 2y]],#N/A)</f>
        <v/>
      </c>
    </row>
    <row r="1003">
      <c r="A1003" s="6">
        <f>Database!A1002</f>
        <v/>
      </c>
      <c r="B1003">
        <f>IF(VLOOKUP(Table73[[#This Row],[Date]],Database!$A:$E,MATCH($B$1,Database!$A$1:$E$1,),)=0,#N/A,VLOOKUP(Table73[[#This Row],[Date]],Database!$A:$E,MATCH($B$1,Database!$A$1:$E$1,),))</f>
        <v/>
      </c>
      <c r="C1003">
        <f>IF(VLOOKUP(Table73[[#This Row],[Date]],Database!$A:$C,MATCH($C$1,Database!$A$1:$C$1,),)=0,#N/A,VLOOKUP(Table73[[#This Row],[Date]],Database!$A:$C,MATCH($C$1,Database!$A$1:$C$1,),))</f>
        <v/>
      </c>
      <c r="D1003">
        <f>IFERROR(Table73[[#This Row],[United States 10y]]-Table73[[#This Row],[United States 2y]],#N/A)</f>
        <v/>
      </c>
    </row>
    <row r="1004">
      <c r="A1004" s="6">
        <f>Database!A1003</f>
        <v/>
      </c>
      <c r="B1004">
        <f>IF(VLOOKUP(Table73[[#This Row],[Date]],Database!$A:$E,MATCH($B$1,Database!$A$1:$E$1,),)=0,#N/A,VLOOKUP(Table73[[#This Row],[Date]],Database!$A:$E,MATCH($B$1,Database!$A$1:$E$1,),))</f>
        <v/>
      </c>
      <c r="C1004">
        <f>IF(VLOOKUP(Table73[[#This Row],[Date]],Database!$A:$C,MATCH($C$1,Database!$A$1:$C$1,),)=0,#N/A,VLOOKUP(Table73[[#This Row],[Date]],Database!$A:$C,MATCH($C$1,Database!$A$1:$C$1,),))</f>
        <v/>
      </c>
      <c r="D1004">
        <f>IFERROR(Table73[[#This Row],[United States 10y]]-Table73[[#This Row],[United States 2y]],#N/A)</f>
        <v/>
      </c>
    </row>
    <row r="1005">
      <c r="A1005" s="6">
        <f>Database!A1004</f>
        <v/>
      </c>
      <c r="B1005">
        <f>IF(VLOOKUP(Table73[[#This Row],[Date]],Database!$A:$E,MATCH($B$1,Database!$A$1:$E$1,),)=0,#N/A,VLOOKUP(Table73[[#This Row],[Date]],Database!$A:$E,MATCH($B$1,Database!$A$1:$E$1,),))</f>
        <v/>
      </c>
      <c r="C1005">
        <f>IF(VLOOKUP(Table73[[#This Row],[Date]],Database!$A:$C,MATCH($C$1,Database!$A$1:$C$1,),)=0,#N/A,VLOOKUP(Table73[[#This Row],[Date]],Database!$A:$C,MATCH($C$1,Database!$A$1:$C$1,),))</f>
        <v/>
      </c>
      <c r="D1005">
        <f>IFERROR(Table73[[#This Row],[United States 10y]]-Table73[[#This Row],[United States 2y]],#N/A)</f>
        <v/>
      </c>
    </row>
    <row r="1006">
      <c r="A1006" s="6">
        <f>Database!A1005</f>
        <v/>
      </c>
      <c r="B1006">
        <f>IF(VLOOKUP(Table73[[#This Row],[Date]],Database!$A:$E,MATCH($B$1,Database!$A$1:$E$1,),)=0,#N/A,VLOOKUP(Table73[[#This Row],[Date]],Database!$A:$E,MATCH($B$1,Database!$A$1:$E$1,),))</f>
        <v/>
      </c>
      <c r="C1006">
        <f>IF(VLOOKUP(Table73[[#This Row],[Date]],Database!$A:$C,MATCH($C$1,Database!$A$1:$C$1,),)=0,#N/A,VLOOKUP(Table73[[#This Row],[Date]],Database!$A:$C,MATCH($C$1,Database!$A$1:$C$1,),))</f>
        <v/>
      </c>
      <c r="D1006">
        <f>IFERROR(Table73[[#This Row],[United States 10y]]-Table73[[#This Row],[United States 2y]],#N/A)</f>
        <v/>
      </c>
    </row>
    <row r="1007">
      <c r="A1007" s="6">
        <f>Database!A1006</f>
        <v/>
      </c>
      <c r="B1007">
        <f>IF(VLOOKUP(Table73[[#This Row],[Date]],Database!$A:$E,MATCH($B$1,Database!$A$1:$E$1,),)=0,#N/A,VLOOKUP(Table73[[#This Row],[Date]],Database!$A:$E,MATCH($B$1,Database!$A$1:$E$1,),))</f>
        <v/>
      </c>
      <c r="C1007">
        <f>IF(VLOOKUP(Table73[[#This Row],[Date]],Database!$A:$C,MATCH($C$1,Database!$A$1:$C$1,),)=0,#N/A,VLOOKUP(Table73[[#This Row],[Date]],Database!$A:$C,MATCH($C$1,Database!$A$1:$C$1,),))</f>
        <v/>
      </c>
      <c r="D1007">
        <f>IFERROR(Table73[[#This Row],[United States 10y]]-Table73[[#This Row],[United States 2y]],#N/A)</f>
        <v/>
      </c>
    </row>
    <row r="1008">
      <c r="A1008" s="6">
        <f>Database!A1007</f>
        <v/>
      </c>
      <c r="B1008">
        <f>IF(VLOOKUP(Table73[[#This Row],[Date]],Database!$A:$E,MATCH($B$1,Database!$A$1:$E$1,),)=0,#N/A,VLOOKUP(Table73[[#This Row],[Date]],Database!$A:$E,MATCH($B$1,Database!$A$1:$E$1,),))</f>
        <v/>
      </c>
      <c r="C1008">
        <f>IF(VLOOKUP(Table73[[#This Row],[Date]],Database!$A:$C,MATCH($C$1,Database!$A$1:$C$1,),)=0,#N/A,VLOOKUP(Table73[[#This Row],[Date]],Database!$A:$C,MATCH($C$1,Database!$A$1:$C$1,),))</f>
        <v/>
      </c>
      <c r="D1008">
        <f>IFERROR(Table73[[#This Row],[United States 10y]]-Table73[[#This Row],[United States 2y]],#N/A)</f>
        <v/>
      </c>
    </row>
    <row r="1009">
      <c r="A1009" s="6">
        <f>Database!A1008</f>
        <v/>
      </c>
      <c r="B1009">
        <f>IF(VLOOKUP(Table73[[#This Row],[Date]],Database!$A:$E,MATCH($B$1,Database!$A$1:$E$1,),)=0,#N/A,VLOOKUP(Table73[[#This Row],[Date]],Database!$A:$E,MATCH($B$1,Database!$A$1:$E$1,),))</f>
        <v/>
      </c>
      <c r="C1009">
        <f>IF(VLOOKUP(Table73[[#This Row],[Date]],Database!$A:$C,MATCH($C$1,Database!$A$1:$C$1,),)=0,#N/A,VLOOKUP(Table73[[#This Row],[Date]],Database!$A:$C,MATCH($C$1,Database!$A$1:$C$1,),))</f>
        <v/>
      </c>
      <c r="D1009">
        <f>IFERROR(Table73[[#This Row],[United States 10y]]-Table73[[#This Row],[United States 2y]],#N/A)</f>
        <v/>
      </c>
    </row>
    <row r="1010">
      <c r="A1010" s="6">
        <f>Database!A1009</f>
        <v/>
      </c>
      <c r="B1010">
        <f>IF(VLOOKUP(Table73[[#This Row],[Date]],Database!$A:$E,MATCH($B$1,Database!$A$1:$E$1,),)=0,#N/A,VLOOKUP(Table73[[#This Row],[Date]],Database!$A:$E,MATCH($B$1,Database!$A$1:$E$1,),))</f>
        <v/>
      </c>
      <c r="C1010">
        <f>IF(VLOOKUP(Table73[[#This Row],[Date]],Database!$A:$C,MATCH($C$1,Database!$A$1:$C$1,),)=0,#N/A,VLOOKUP(Table73[[#This Row],[Date]],Database!$A:$C,MATCH($C$1,Database!$A$1:$C$1,),))</f>
        <v/>
      </c>
      <c r="D1010">
        <f>IFERROR(Table73[[#This Row],[United States 10y]]-Table73[[#This Row],[United States 2y]],#N/A)</f>
        <v/>
      </c>
    </row>
    <row r="1011">
      <c r="A1011" s="6">
        <f>Database!A1010</f>
        <v/>
      </c>
      <c r="B1011">
        <f>IF(VLOOKUP(Table73[[#This Row],[Date]],Database!$A:$E,MATCH($B$1,Database!$A$1:$E$1,),)=0,#N/A,VLOOKUP(Table73[[#This Row],[Date]],Database!$A:$E,MATCH($B$1,Database!$A$1:$E$1,),))</f>
        <v/>
      </c>
      <c r="C1011">
        <f>IF(VLOOKUP(Table73[[#This Row],[Date]],Database!$A:$C,MATCH($C$1,Database!$A$1:$C$1,),)=0,#N/A,VLOOKUP(Table73[[#This Row],[Date]],Database!$A:$C,MATCH($C$1,Database!$A$1:$C$1,),))</f>
        <v/>
      </c>
      <c r="D1011">
        <f>IFERROR(Table73[[#This Row],[United States 10y]]-Table73[[#This Row],[United States 2y]],#N/A)</f>
        <v/>
      </c>
    </row>
    <row r="1012">
      <c r="A1012" s="6">
        <f>Database!A1011</f>
        <v/>
      </c>
      <c r="B1012">
        <f>IF(VLOOKUP(Table73[[#This Row],[Date]],Database!$A:$E,MATCH($B$1,Database!$A$1:$E$1,),)=0,#N/A,VLOOKUP(Table73[[#This Row],[Date]],Database!$A:$E,MATCH($B$1,Database!$A$1:$E$1,),))</f>
        <v/>
      </c>
      <c r="C1012">
        <f>IF(VLOOKUP(Table73[[#This Row],[Date]],Database!$A:$C,MATCH($C$1,Database!$A$1:$C$1,),)=0,#N/A,VLOOKUP(Table73[[#This Row],[Date]],Database!$A:$C,MATCH($C$1,Database!$A$1:$C$1,),))</f>
        <v/>
      </c>
      <c r="D1012">
        <f>IFERROR(Table73[[#This Row],[United States 10y]]-Table73[[#This Row],[United States 2y]],#N/A)</f>
        <v/>
      </c>
    </row>
    <row r="1013">
      <c r="A1013" s="6">
        <f>Database!A1012</f>
        <v/>
      </c>
      <c r="B1013">
        <f>IF(VLOOKUP(Table73[[#This Row],[Date]],Database!$A:$E,MATCH($B$1,Database!$A$1:$E$1,),)=0,#N/A,VLOOKUP(Table73[[#This Row],[Date]],Database!$A:$E,MATCH($B$1,Database!$A$1:$E$1,),))</f>
        <v/>
      </c>
      <c r="C1013">
        <f>IF(VLOOKUP(Table73[[#This Row],[Date]],Database!$A:$C,MATCH($C$1,Database!$A$1:$C$1,),)=0,#N/A,VLOOKUP(Table73[[#This Row],[Date]],Database!$A:$C,MATCH($C$1,Database!$A$1:$C$1,),))</f>
        <v/>
      </c>
      <c r="D1013">
        <f>IFERROR(Table73[[#This Row],[United States 10y]]-Table73[[#This Row],[United States 2y]],#N/A)</f>
        <v/>
      </c>
    </row>
    <row r="1014">
      <c r="A1014" s="6">
        <f>Database!A1013</f>
        <v/>
      </c>
      <c r="B1014">
        <f>IF(VLOOKUP(Table73[[#This Row],[Date]],Database!$A:$E,MATCH($B$1,Database!$A$1:$E$1,),)=0,#N/A,VLOOKUP(Table73[[#This Row],[Date]],Database!$A:$E,MATCH($B$1,Database!$A$1:$E$1,),))</f>
        <v/>
      </c>
      <c r="C1014">
        <f>IF(VLOOKUP(Table73[[#This Row],[Date]],Database!$A:$C,MATCH($C$1,Database!$A$1:$C$1,),)=0,#N/A,VLOOKUP(Table73[[#This Row],[Date]],Database!$A:$C,MATCH($C$1,Database!$A$1:$C$1,),))</f>
        <v/>
      </c>
      <c r="D1014">
        <f>IFERROR(Table73[[#This Row],[United States 10y]]-Table73[[#This Row],[United States 2y]],#N/A)</f>
        <v/>
      </c>
    </row>
    <row r="1015">
      <c r="A1015" s="6">
        <f>Database!A1014</f>
        <v/>
      </c>
      <c r="B1015">
        <f>IF(VLOOKUP(Table73[[#This Row],[Date]],Database!$A:$E,MATCH($B$1,Database!$A$1:$E$1,),)=0,#N/A,VLOOKUP(Table73[[#This Row],[Date]],Database!$A:$E,MATCH($B$1,Database!$A$1:$E$1,),))</f>
        <v/>
      </c>
      <c r="C1015">
        <f>IF(VLOOKUP(Table73[[#This Row],[Date]],Database!$A:$C,MATCH($C$1,Database!$A$1:$C$1,),)=0,#N/A,VLOOKUP(Table73[[#This Row],[Date]],Database!$A:$C,MATCH($C$1,Database!$A$1:$C$1,),))</f>
        <v/>
      </c>
      <c r="D1015">
        <f>IFERROR(Table73[[#This Row],[United States 10y]]-Table73[[#This Row],[United States 2y]],#N/A)</f>
        <v/>
      </c>
    </row>
    <row r="1016">
      <c r="A1016" s="6">
        <f>Database!A1015</f>
        <v/>
      </c>
      <c r="B1016">
        <f>IF(VLOOKUP(Table73[[#This Row],[Date]],Database!$A:$E,MATCH($B$1,Database!$A$1:$E$1,),)=0,#N/A,VLOOKUP(Table73[[#This Row],[Date]],Database!$A:$E,MATCH($B$1,Database!$A$1:$E$1,),))</f>
        <v/>
      </c>
      <c r="C1016">
        <f>IF(VLOOKUP(Table73[[#This Row],[Date]],Database!$A:$C,MATCH($C$1,Database!$A$1:$C$1,),)=0,#N/A,VLOOKUP(Table73[[#This Row],[Date]],Database!$A:$C,MATCH($C$1,Database!$A$1:$C$1,),))</f>
        <v/>
      </c>
      <c r="D1016">
        <f>IFERROR(Table73[[#This Row],[United States 10y]]-Table73[[#This Row],[United States 2y]],#N/A)</f>
        <v/>
      </c>
    </row>
    <row r="1017">
      <c r="A1017" s="6">
        <f>Database!A1016</f>
        <v/>
      </c>
      <c r="B1017">
        <f>IF(VLOOKUP(Table73[[#This Row],[Date]],Database!$A:$E,MATCH($B$1,Database!$A$1:$E$1,),)=0,#N/A,VLOOKUP(Table73[[#This Row],[Date]],Database!$A:$E,MATCH($B$1,Database!$A$1:$E$1,),))</f>
        <v/>
      </c>
      <c r="C1017">
        <f>IF(VLOOKUP(Table73[[#This Row],[Date]],Database!$A:$C,MATCH($C$1,Database!$A$1:$C$1,),)=0,#N/A,VLOOKUP(Table73[[#This Row],[Date]],Database!$A:$C,MATCH($C$1,Database!$A$1:$C$1,),))</f>
        <v/>
      </c>
      <c r="D1017">
        <f>IFERROR(Table73[[#This Row],[United States 10y]]-Table73[[#This Row],[United States 2y]],#N/A)</f>
        <v/>
      </c>
    </row>
    <row r="1018">
      <c r="A1018" s="6">
        <f>Database!A1017</f>
        <v/>
      </c>
      <c r="B1018">
        <f>IF(VLOOKUP(Table73[[#This Row],[Date]],Database!$A:$E,MATCH($B$1,Database!$A$1:$E$1,),)=0,#N/A,VLOOKUP(Table73[[#This Row],[Date]],Database!$A:$E,MATCH($B$1,Database!$A$1:$E$1,),))</f>
        <v/>
      </c>
      <c r="C1018">
        <f>IF(VLOOKUP(Table73[[#This Row],[Date]],Database!$A:$C,MATCH($C$1,Database!$A$1:$C$1,),)=0,#N/A,VLOOKUP(Table73[[#This Row],[Date]],Database!$A:$C,MATCH($C$1,Database!$A$1:$C$1,),))</f>
        <v/>
      </c>
      <c r="D1018">
        <f>IFERROR(Table73[[#This Row],[United States 10y]]-Table73[[#This Row],[United States 2y]],#N/A)</f>
        <v/>
      </c>
    </row>
    <row r="1019">
      <c r="A1019" s="6">
        <f>Database!A1018</f>
        <v/>
      </c>
      <c r="B1019">
        <f>IF(VLOOKUP(Table73[[#This Row],[Date]],Database!$A:$E,MATCH($B$1,Database!$A$1:$E$1,),)=0,#N/A,VLOOKUP(Table73[[#This Row],[Date]],Database!$A:$E,MATCH($B$1,Database!$A$1:$E$1,),))</f>
        <v/>
      </c>
      <c r="C1019">
        <f>IF(VLOOKUP(Table73[[#This Row],[Date]],Database!$A:$C,MATCH($C$1,Database!$A$1:$C$1,),)=0,#N/A,VLOOKUP(Table73[[#This Row],[Date]],Database!$A:$C,MATCH($C$1,Database!$A$1:$C$1,),))</f>
        <v/>
      </c>
      <c r="D1019">
        <f>IFERROR(Table73[[#This Row],[United States 10y]]-Table73[[#This Row],[United States 2y]],#N/A)</f>
        <v/>
      </c>
    </row>
    <row r="1020">
      <c r="A1020" s="6">
        <f>Database!A1019</f>
        <v/>
      </c>
      <c r="B1020">
        <f>IF(VLOOKUP(Table73[[#This Row],[Date]],Database!$A:$E,MATCH($B$1,Database!$A$1:$E$1,),)=0,#N/A,VLOOKUP(Table73[[#This Row],[Date]],Database!$A:$E,MATCH($B$1,Database!$A$1:$E$1,),))</f>
        <v/>
      </c>
      <c r="C1020">
        <f>IF(VLOOKUP(Table73[[#This Row],[Date]],Database!$A:$C,MATCH($C$1,Database!$A$1:$C$1,),)=0,#N/A,VLOOKUP(Table73[[#This Row],[Date]],Database!$A:$C,MATCH($C$1,Database!$A$1:$C$1,),))</f>
        <v/>
      </c>
      <c r="D1020">
        <f>IFERROR(Table73[[#This Row],[United States 10y]]-Table73[[#This Row],[United States 2y]],#N/A)</f>
        <v/>
      </c>
    </row>
    <row r="1021">
      <c r="A1021" s="6">
        <f>Database!A1020</f>
        <v/>
      </c>
      <c r="B1021">
        <f>IF(VLOOKUP(Table73[[#This Row],[Date]],Database!$A:$E,MATCH($B$1,Database!$A$1:$E$1,),)=0,#N/A,VLOOKUP(Table73[[#This Row],[Date]],Database!$A:$E,MATCH($B$1,Database!$A$1:$E$1,),))</f>
        <v/>
      </c>
      <c r="C1021">
        <f>IF(VLOOKUP(Table73[[#This Row],[Date]],Database!$A:$C,MATCH($C$1,Database!$A$1:$C$1,),)=0,#N/A,VLOOKUP(Table73[[#This Row],[Date]],Database!$A:$C,MATCH($C$1,Database!$A$1:$C$1,),))</f>
        <v/>
      </c>
      <c r="D1021">
        <f>IFERROR(Table73[[#This Row],[United States 10y]]-Table73[[#This Row],[United States 2y]],#N/A)</f>
        <v/>
      </c>
    </row>
    <row r="1022">
      <c r="A1022" s="6">
        <f>Database!A1021</f>
        <v/>
      </c>
      <c r="B1022">
        <f>IF(VLOOKUP(Table73[[#This Row],[Date]],Database!$A:$E,MATCH($B$1,Database!$A$1:$E$1,),)=0,#N/A,VLOOKUP(Table73[[#This Row],[Date]],Database!$A:$E,MATCH($B$1,Database!$A$1:$E$1,),))</f>
        <v/>
      </c>
      <c r="C1022">
        <f>IF(VLOOKUP(Table73[[#This Row],[Date]],Database!$A:$C,MATCH($C$1,Database!$A$1:$C$1,),)=0,#N/A,VLOOKUP(Table73[[#This Row],[Date]],Database!$A:$C,MATCH($C$1,Database!$A$1:$C$1,),))</f>
        <v/>
      </c>
      <c r="D1022">
        <f>IFERROR(Table73[[#This Row],[United States 10y]]-Table73[[#This Row],[United States 2y]],#N/A)</f>
        <v/>
      </c>
    </row>
    <row r="1023">
      <c r="A1023" s="6">
        <f>Database!A1022</f>
        <v/>
      </c>
      <c r="B1023">
        <f>IF(VLOOKUP(Table73[[#This Row],[Date]],Database!$A:$E,MATCH($B$1,Database!$A$1:$E$1,),)=0,#N/A,VLOOKUP(Table73[[#This Row],[Date]],Database!$A:$E,MATCH($B$1,Database!$A$1:$E$1,),))</f>
        <v/>
      </c>
      <c r="C1023">
        <f>IF(VLOOKUP(Table73[[#This Row],[Date]],Database!$A:$C,MATCH($C$1,Database!$A$1:$C$1,),)=0,#N/A,VLOOKUP(Table73[[#This Row],[Date]],Database!$A:$C,MATCH($C$1,Database!$A$1:$C$1,),))</f>
        <v/>
      </c>
      <c r="D1023">
        <f>IFERROR(Table73[[#This Row],[United States 10y]]-Table73[[#This Row],[United States 2y]],#N/A)</f>
        <v/>
      </c>
    </row>
    <row r="1024">
      <c r="A1024" s="6">
        <f>Database!A1023</f>
        <v/>
      </c>
      <c r="B1024">
        <f>IF(VLOOKUP(Table73[[#This Row],[Date]],Database!$A:$E,MATCH($B$1,Database!$A$1:$E$1,),)=0,#N/A,VLOOKUP(Table73[[#This Row],[Date]],Database!$A:$E,MATCH($B$1,Database!$A$1:$E$1,),))</f>
        <v/>
      </c>
      <c r="C1024">
        <f>IF(VLOOKUP(Table73[[#This Row],[Date]],Database!$A:$C,MATCH($C$1,Database!$A$1:$C$1,),)=0,#N/A,VLOOKUP(Table73[[#This Row],[Date]],Database!$A:$C,MATCH($C$1,Database!$A$1:$C$1,),))</f>
        <v/>
      </c>
      <c r="D1024">
        <f>IFERROR(Table73[[#This Row],[United States 10y]]-Table73[[#This Row],[United States 2y]],#N/A)</f>
        <v/>
      </c>
    </row>
    <row r="1025">
      <c r="A1025" s="6">
        <f>Database!A1024</f>
        <v/>
      </c>
      <c r="B1025">
        <f>IF(VLOOKUP(Table73[[#This Row],[Date]],Database!$A:$E,MATCH($B$1,Database!$A$1:$E$1,),)=0,#N/A,VLOOKUP(Table73[[#This Row],[Date]],Database!$A:$E,MATCH($B$1,Database!$A$1:$E$1,),))</f>
        <v/>
      </c>
      <c r="C1025">
        <f>IF(VLOOKUP(Table73[[#This Row],[Date]],Database!$A:$C,MATCH($C$1,Database!$A$1:$C$1,),)=0,#N/A,VLOOKUP(Table73[[#This Row],[Date]],Database!$A:$C,MATCH($C$1,Database!$A$1:$C$1,),))</f>
        <v/>
      </c>
      <c r="D1025">
        <f>IFERROR(Table73[[#This Row],[United States 10y]]-Table73[[#This Row],[United States 2y]],#N/A)</f>
        <v/>
      </c>
    </row>
    <row r="1026">
      <c r="A1026" s="6">
        <f>Database!A1025</f>
        <v/>
      </c>
      <c r="B1026">
        <f>IF(VLOOKUP(Table73[[#This Row],[Date]],Database!$A:$E,MATCH($B$1,Database!$A$1:$E$1,),)=0,#N/A,VLOOKUP(Table73[[#This Row],[Date]],Database!$A:$E,MATCH($B$1,Database!$A$1:$E$1,),))</f>
        <v/>
      </c>
      <c r="C1026">
        <f>IF(VLOOKUP(Table73[[#This Row],[Date]],Database!$A:$C,MATCH($C$1,Database!$A$1:$C$1,),)=0,#N/A,VLOOKUP(Table73[[#This Row],[Date]],Database!$A:$C,MATCH($C$1,Database!$A$1:$C$1,),))</f>
        <v/>
      </c>
      <c r="D1026">
        <f>IFERROR(Table73[[#This Row],[United States 10y]]-Table73[[#This Row],[United States 2y]],#N/A)</f>
        <v/>
      </c>
    </row>
    <row r="1027">
      <c r="A1027" s="6">
        <f>Database!A1026</f>
        <v/>
      </c>
      <c r="B1027">
        <f>IF(VLOOKUP(Table73[[#This Row],[Date]],Database!$A:$E,MATCH($B$1,Database!$A$1:$E$1,),)=0,#N/A,VLOOKUP(Table73[[#This Row],[Date]],Database!$A:$E,MATCH($B$1,Database!$A$1:$E$1,),))</f>
        <v/>
      </c>
      <c r="C1027">
        <f>IF(VLOOKUP(Table73[[#This Row],[Date]],Database!$A:$C,MATCH($C$1,Database!$A$1:$C$1,),)=0,#N/A,VLOOKUP(Table73[[#This Row],[Date]],Database!$A:$C,MATCH($C$1,Database!$A$1:$C$1,),))</f>
        <v/>
      </c>
      <c r="D1027">
        <f>IFERROR(Table73[[#This Row],[United States 10y]]-Table73[[#This Row],[United States 2y]],#N/A)</f>
        <v/>
      </c>
    </row>
    <row r="1028">
      <c r="A1028" s="6">
        <f>Database!A1027</f>
        <v/>
      </c>
      <c r="B1028">
        <f>IF(VLOOKUP(Table73[[#This Row],[Date]],Database!$A:$E,MATCH($B$1,Database!$A$1:$E$1,),)=0,#N/A,VLOOKUP(Table73[[#This Row],[Date]],Database!$A:$E,MATCH($B$1,Database!$A$1:$E$1,),))</f>
        <v/>
      </c>
      <c r="C1028">
        <f>IF(VLOOKUP(Table73[[#This Row],[Date]],Database!$A:$C,MATCH($C$1,Database!$A$1:$C$1,),)=0,#N/A,VLOOKUP(Table73[[#This Row],[Date]],Database!$A:$C,MATCH($C$1,Database!$A$1:$C$1,),))</f>
        <v/>
      </c>
      <c r="D1028">
        <f>IFERROR(Table73[[#This Row],[United States 10y]]-Table73[[#This Row],[United States 2y]],#N/A)</f>
        <v/>
      </c>
    </row>
    <row r="1029">
      <c r="A1029" s="6">
        <f>Database!A1028</f>
        <v/>
      </c>
      <c r="B1029">
        <f>IF(VLOOKUP(Table73[[#This Row],[Date]],Database!$A:$E,MATCH($B$1,Database!$A$1:$E$1,),)=0,#N/A,VLOOKUP(Table73[[#This Row],[Date]],Database!$A:$E,MATCH($B$1,Database!$A$1:$E$1,),))</f>
        <v/>
      </c>
      <c r="C1029">
        <f>IF(VLOOKUP(Table73[[#This Row],[Date]],Database!$A:$C,MATCH($C$1,Database!$A$1:$C$1,),)=0,#N/A,VLOOKUP(Table73[[#This Row],[Date]],Database!$A:$C,MATCH($C$1,Database!$A$1:$C$1,),))</f>
        <v/>
      </c>
      <c r="D1029">
        <f>IFERROR(Table73[[#This Row],[United States 10y]]-Table73[[#This Row],[United States 2y]],#N/A)</f>
        <v/>
      </c>
    </row>
    <row r="1030">
      <c r="A1030" s="6">
        <f>Database!A1029</f>
        <v/>
      </c>
      <c r="B1030">
        <f>IF(VLOOKUP(Table73[[#This Row],[Date]],Database!$A:$E,MATCH($B$1,Database!$A$1:$E$1,),)=0,#N/A,VLOOKUP(Table73[[#This Row],[Date]],Database!$A:$E,MATCH($B$1,Database!$A$1:$E$1,),))</f>
        <v/>
      </c>
      <c r="C1030">
        <f>IF(VLOOKUP(Table73[[#This Row],[Date]],Database!$A:$C,MATCH($C$1,Database!$A$1:$C$1,),)=0,#N/A,VLOOKUP(Table73[[#This Row],[Date]],Database!$A:$C,MATCH($C$1,Database!$A$1:$C$1,),))</f>
        <v/>
      </c>
      <c r="D1030">
        <f>IFERROR(Table73[[#This Row],[United States 10y]]-Table73[[#This Row],[United States 2y]],#N/A)</f>
        <v/>
      </c>
    </row>
    <row r="1031">
      <c r="A1031" s="6">
        <f>Database!A1030</f>
        <v/>
      </c>
      <c r="B1031">
        <f>IF(VLOOKUP(Table73[[#This Row],[Date]],Database!$A:$E,MATCH($B$1,Database!$A$1:$E$1,),)=0,#N/A,VLOOKUP(Table73[[#This Row],[Date]],Database!$A:$E,MATCH($B$1,Database!$A$1:$E$1,),))</f>
        <v/>
      </c>
      <c r="C1031">
        <f>IF(VLOOKUP(Table73[[#This Row],[Date]],Database!$A:$C,MATCH($C$1,Database!$A$1:$C$1,),)=0,#N/A,VLOOKUP(Table73[[#This Row],[Date]],Database!$A:$C,MATCH($C$1,Database!$A$1:$C$1,),))</f>
        <v/>
      </c>
      <c r="D1031">
        <f>IFERROR(Table73[[#This Row],[United States 10y]]-Table73[[#This Row],[United States 2y]],#N/A)</f>
        <v/>
      </c>
    </row>
    <row r="1032">
      <c r="A1032" s="6">
        <f>Database!A1031</f>
        <v/>
      </c>
      <c r="B1032">
        <f>IF(VLOOKUP(Table73[[#This Row],[Date]],Database!$A:$E,MATCH($B$1,Database!$A$1:$E$1,),)=0,#N/A,VLOOKUP(Table73[[#This Row],[Date]],Database!$A:$E,MATCH($B$1,Database!$A$1:$E$1,),))</f>
        <v/>
      </c>
      <c r="C1032">
        <f>IF(VLOOKUP(Table73[[#This Row],[Date]],Database!$A:$C,MATCH($C$1,Database!$A$1:$C$1,),)=0,#N/A,VLOOKUP(Table73[[#This Row],[Date]],Database!$A:$C,MATCH($C$1,Database!$A$1:$C$1,),))</f>
        <v/>
      </c>
      <c r="D1032">
        <f>IFERROR(Table73[[#This Row],[United States 10y]]-Table73[[#This Row],[United States 2y]],#N/A)</f>
        <v/>
      </c>
    </row>
    <row r="1033">
      <c r="A1033" s="6">
        <f>Database!A1032</f>
        <v/>
      </c>
      <c r="B1033">
        <f>IF(VLOOKUP(Table73[[#This Row],[Date]],Database!$A:$E,MATCH($B$1,Database!$A$1:$E$1,),)=0,#N/A,VLOOKUP(Table73[[#This Row],[Date]],Database!$A:$E,MATCH($B$1,Database!$A$1:$E$1,),))</f>
        <v/>
      </c>
      <c r="C1033">
        <f>IF(VLOOKUP(Table73[[#This Row],[Date]],Database!$A:$C,MATCH($C$1,Database!$A$1:$C$1,),)=0,#N/A,VLOOKUP(Table73[[#This Row],[Date]],Database!$A:$C,MATCH($C$1,Database!$A$1:$C$1,),))</f>
        <v/>
      </c>
      <c r="D1033">
        <f>IFERROR(Table73[[#This Row],[United States 10y]]-Table73[[#This Row],[United States 2y]],#N/A)</f>
        <v/>
      </c>
    </row>
    <row r="1034">
      <c r="A1034" s="6">
        <f>Database!A1033</f>
        <v/>
      </c>
      <c r="B1034">
        <f>IF(VLOOKUP(Table73[[#This Row],[Date]],Database!$A:$E,MATCH($B$1,Database!$A$1:$E$1,),)=0,#N/A,VLOOKUP(Table73[[#This Row],[Date]],Database!$A:$E,MATCH($B$1,Database!$A$1:$E$1,),))</f>
        <v/>
      </c>
      <c r="C1034">
        <f>IF(VLOOKUP(Table73[[#This Row],[Date]],Database!$A:$C,MATCH($C$1,Database!$A$1:$C$1,),)=0,#N/A,VLOOKUP(Table73[[#This Row],[Date]],Database!$A:$C,MATCH($C$1,Database!$A$1:$C$1,),))</f>
        <v/>
      </c>
      <c r="D1034">
        <f>IFERROR(Table73[[#This Row],[United States 10y]]-Table73[[#This Row],[United States 2y]],#N/A)</f>
        <v/>
      </c>
    </row>
    <row r="1035">
      <c r="A1035" s="6">
        <f>Database!A1034</f>
        <v/>
      </c>
      <c r="B1035">
        <f>IF(VLOOKUP(Table73[[#This Row],[Date]],Database!$A:$E,MATCH($B$1,Database!$A$1:$E$1,),)=0,#N/A,VLOOKUP(Table73[[#This Row],[Date]],Database!$A:$E,MATCH($B$1,Database!$A$1:$E$1,),))</f>
        <v/>
      </c>
      <c r="C1035">
        <f>IF(VLOOKUP(Table73[[#This Row],[Date]],Database!$A:$C,MATCH($C$1,Database!$A$1:$C$1,),)=0,#N/A,VLOOKUP(Table73[[#This Row],[Date]],Database!$A:$C,MATCH($C$1,Database!$A$1:$C$1,),))</f>
        <v/>
      </c>
      <c r="D1035">
        <f>IFERROR(Table73[[#This Row],[United States 10y]]-Table73[[#This Row],[United States 2y]],#N/A)</f>
        <v/>
      </c>
    </row>
    <row r="1036">
      <c r="A1036" s="6">
        <f>Database!A1035</f>
        <v/>
      </c>
      <c r="B1036">
        <f>IF(VLOOKUP(Table73[[#This Row],[Date]],Database!$A:$E,MATCH($B$1,Database!$A$1:$E$1,),)=0,#N/A,VLOOKUP(Table73[[#This Row],[Date]],Database!$A:$E,MATCH($B$1,Database!$A$1:$E$1,),))</f>
        <v/>
      </c>
      <c r="C1036">
        <f>IF(VLOOKUP(Table73[[#This Row],[Date]],Database!$A:$C,MATCH($C$1,Database!$A$1:$C$1,),)=0,#N/A,VLOOKUP(Table73[[#This Row],[Date]],Database!$A:$C,MATCH($C$1,Database!$A$1:$C$1,),))</f>
        <v/>
      </c>
      <c r="D1036">
        <f>IFERROR(Table73[[#This Row],[United States 10y]]-Table73[[#This Row],[United States 2y]],#N/A)</f>
        <v/>
      </c>
    </row>
    <row r="1037">
      <c r="A1037" s="6">
        <f>Database!A1036</f>
        <v/>
      </c>
      <c r="B1037">
        <f>IF(VLOOKUP(Table73[[#This Row],[Date]],Database!$A:$E,MATCH($B$1,Database!$A$1:$E$1,),)=0,#N/A,VLOOKUP(Table73[[#This Row],[Date]],Database!$A:$E,MATCH($B$1,Database!$A$1:$E$1,),))</f>
        <v/>
      </c>
      <c r="C1037">
        <f>IF(VLOOKUP(Table73[[#This Row],[Date]],Database!$A:$C,MATCH($C$1,Database!$A$1:$C$1,),)=0,#N/A,VLOOKUP(Table73[[#This Row],[Date]],Database!$A:$C,MATCH($C$1,Database!$A$1:$C$1,),))</f>
        <v/>
      </c>
      <c r="D1037">
        <f>IFERROR(Table73[[#This Row],[United States 10y]]-Table73[[#This Row],[United States 2y]],#N/A)</f>
        <v/>
      </c>
    </row>
    <row r="1038">
      <c r="A1038" s="6">
        <f>Database!A1037</f>
        <v/>
      </c>
      <c r="B1038">
        <f>IF(VLOOKUP(Table73[[#This Row],[Date]],Database!$A:$E,MATCH($B$1,Database!$A$1:$E$1,),)=0,#N/A,VLOOKUP(Table73[[#This Row],[Date]],Database!$A:$E,MATCH($B$1,Database!$A$1:$E$1,),))</f>
        <v/>
      </c>
      <c r="C1038">
        <f>IF(VLOOKUP(Table73[[#This Row],[Date]],Database!$A:$C,MATCH($C$1,Database!$A$1:$C$1,),)=0,#N/A,VLOOKUP(Table73[[#This Row],[Date]],Database!$A:$C,MATCH($C$1,Database!$A$1:$C$1,),))</f>
        <v/>
      </c>
      <c r="D1038">
        <f>IFERROR(Table73[[#This Row],[United States 10y]]-Table73[[#This Row],[United States 2y]],#N/A)</f>
        <v/>
      </c>
    </row>
    <row r="1039">
      <c r="A1039" s="6">
        <f>Database!A1038</f>
        <v/>
      </c>
      <c r="B1039">
        <f>IF(VLOOKUP(Table73[[#This Row],[Date]],Database!$A:$E,MATCH($B$1,Database!$A$1:$E$1,),)=0,#N/A,VLOOKUP(Table73[[#This Row],[Date]],Database!$A:$E,MATCH($B$1,Database!$A$1:$E$1,),))</f>
        <v/>
      </c>
      <c r="C1039">
        <f>IF(VLOOKUP(Table73[[#This Row],[Date]],Database!$A:$C,MATCH($C$1,Database!$A$1:$C$1,),)=0,#N/A,VLOOKUP(Table73[[#This Row],[Date]],Database!$A:$C,MATCH($C$1,Database!$A$1:$C$1,),))</f>
        <v/>
      </c>
      <c r="D1039">
        <f>IFERROR(Table73[[#This Row],[United States 10y]]-Table73[[#This Row],[United States 2y]],#N/A)</f>
        <v/>
      </c>
    </row>
    <row r="1040">
      <c r="A1040" s="6">
        <f>Database!A1039</f>
        <v/>
      </c>
      <c r="B1040">
        <f>IF(VLOOKUP(Table73[[#This Row],[Date]],Database!$A:$E,MATCH($B$1,Database!$A$1:$E$1,),)=0,#N/A,VLOOKUP(Table73[[#This Row],[Date]],Database!$A:$E,MATCH($B$1,Database!$A$1:$E$1,),))</f>
        <v/>
      </c>
      <c r="C1040">
        <f>IF(VLOOKUP(Table73[[#This Row],[Date]],Database!$A:$C,MATCH($C$1,Database!$A$1:$C$1,),)=0,#N/A,VLOOKUP(Table73[[#This Row],[Date]],Database!$A:$C,MATCH($C$1,Database!$A$1:$C$1,),))</f>
        <v/>
      </c>
      <c r="D1040">
        <f>IFERROR(Table73[[#This Row],[United States 10y]]-Table73[[#This Row],[United States 2y]],#N/A)</f>
        <v/>
      </c>
    </row>
    <row r="1041">
      <c r="A1041" s="6">
        <f>Database!A1040</f>
        <v/>
      </c>
      <c r="B1041">
        <f>IF(VLOOKUP(Table73[[#This Row],[Date]],Database!$A:$E,MATCH($B$1,Database!$A$1:$E$1,),)=0,#N/A,VLOOKUP(Table73[[#This Row],[Date]],Database!$A:$E,MATCH($B$1,Database!$A$1:$E$1,),))</f>
        <v/>
      </c>
      <c r="C1041">
        <f>IF(VLOOKUP(Table73[[#This Row],[Date]],Database!$A:$C,MATCH($C$1,Database!$A$1:$C$1,),)=0,#N/A,VLOOKUP(Table73[[#This Row],[Date]],Database!$A:$C,MATCH($C$1,Database!$A$1:$C$1,),))</f>
        <v/>
      </c>
      <c r="D1041">
        <f>IFERROR(Table73[[#This Row],[United States 10y]]-Table73[[#This Row],[United States 2y]],#N/A)</f>
        <v/>
      </c>
    </row>
    <row r="1042">
      <c r="A1042" s="6">
        <f>Database!A1041</f>
        <v/>
      </c>
      <c r="B1042">
        <f>IF(VLOOKUP(Table73[[#This Row],[Date]],Database!$A:$E,MATCH($B$1,Database!$A$1:$E$1,),)=0,#N/A,VLOOKUP(Table73[[#This Row],[Date]],Database!$A:$E,MATCH($B$1,Database!$A$1:$E$1,),))</f>
        <v/>
      </c>
      <c r="C1042">
        <f>IF(VLOOKUP(Table73[[#This Row],[Date]],Database!$A:$C,MATCH($C$1,Database!$A$1:$C$1,),)=0,#N/A,VLOOKUP(Table73[[#This Row],[Date]],Database!$A:$C,MATCH($C$1,Database!$A$1:$C$1,),))</f>
        <v/>
      </c>
      <c r="D1042">
        <f>IFERROR(Table73[[#This Row],[United States 10y]]-Table73[[#This Row],[United States 2y]],#N/A)</f>
        <v/>
      </c>
    </row>
    <row r="1043">
      <c r="A1043" s="6">
        <f>Database!A1042</f>
        <v/>
      </c>
      <c r="B1043">
        <f>IF(VLOOKUP(Table73[[#This Row],[Date]],Database!$A:$E,MATCH($B$1,Database!$A$1:$E$1,),)=0,#N/A,VLOOKUP(Table73[[#This Row],[Date]],Database!$A:$E,MATCH($B$1,Database!$A$1:$E$1,),))</f>
        <v/>
      </c>
      <c r="C1043">
        <f>IF(VLOOKUP(Table73[[#This Row],[Date]],Database!$A:$C,MATCH($C$1,Database!$A$1:$C$1,),)=0,#N/A,VLOOKUP(Table73[[#This Row],[Date]],Database!$A:$C,MATCH($C$1,Database!$A$1:$C$1,),))</f>
        <v/>
      </c>
      <c r="D1043">
        <f>IFERROR(Table73[[#This Row],[United States 10y]]-Table73[[#This Row],[United States 2y]],#N/A)</f>
        <v/>
      </c>
    </row>
    <row r="1044">
      <c r="A1044" s="6">
        <f>Database!A1043</f>
        <v/>
      </c>
      <c r="B1044">
        <f>IF(VLOOKUP(Table73[[#This Row],[Date]],Database!$A:$E,MATCH($B$1,Database!$A$1:$E$1,),)=0,#N/A,VLOOKUP(Table73[[#This Row],[Date]],Database!$A:$E,MATCH($B$1,Database!$A$1:$E$1,),))</f>
        <v/>
      </c>
      <c r="C1044">
        <f>IF(VLOOKUP(Table73[[#This Row],[Date]],Database!$A:$C,MATCH($C$1,Database!$A$1:$C$1,),)=0,#N/A,VLOOKUP(Table73[[#This Row],[Date]],Database!$A:$C,MATCH($C$1,Database!$A$1:$C$1,),))</f>
        <v/>
      </c>
      <c r="D1044">
        <f>IFERROR(Table73[[#This Row],[United States 10y]]-Table73[[#This Row],[United States 2y]],#N/A)</f>
        <v/>
      </c>
    </row>
    <row r="1045">
      <c r="A1045" s="6">
        <f>Database!A1044</f>
        <v/>
      </c>
      <c r="B1045">
        <f>IF(VLOOKUP(Table73[[#This Row],[Date]],Database!$A:$E,MATCH($B$1,Database!$A$1:$E$1,),)=0,#N/A,VLOOKUP(Table73[[#This Row],[Date]],Database!$A:$E,MATCH($B$1,Database!$A$1:$E$1,),))</f>
        <v/>
      </c>
      <c r="C1045">
        <f>IF(VLOOKUP(Table73[[#This Row],[Date]],Database!$A:$C,MATCH($C$1,Database!$A$1:$C$1,),)=0,#N/A,VLOOKUP(Table73[[#This Row],[Date]],Database!$A:$C,MATCH($C$1,Database!$A$1:$C$1,),))</f>
        <v/>
      </c>
      <c r="D1045">
        <f>IFERROR(Table73[[#This Row],[United States 10y]]-Table73[[#This Row],[United States 2y]],#N/A)</f>
        <v/>
      </c>
    </row>
    <row r="1046">
      <c r="A1046" s="6">
        <f>Database!A1045</f>
        <v/>
      </c>
      <c r="B1046">
        <f>IF(VLOOKUP(Table73[[#This Row],[Date]],Database!$A:$E,MATCH($B$1,Database!$A$1:$E$1,),)=0,#N/A,VLOOKUP(Table73[[#This Row],[Date]],Database!$A:$E,MATCH($B$1,Database!$A$1:$E$1,),))</f>
        <v/>
      </c>
      <c r="C1046">
        <f>IF(VLOOKUP(Table73[[#This Row],[Date]],Database!$A:$C,MATCH($C$1,Database!$A$1:$C$1,),)=0,#N/A,VLOOKUP(Table73[[#This Row],[Date]],Database!$A:$C,MATCH($C$1,Database!$A$1:$C$1,),))</f>
        <v/>
      </c>
      <c r="D1046">
        <f>IFERROR(Table73[[#This Row],[United States 10y]]-Table73[[#This Row],[United States 2y]],#N/A)</f>
        <v/>
      </c>
    </row>
    <row r="1047">
      <c r="A1047" s="6">
        <f>Database!A1046</f>
        <v/>
      </c>
      <c r="B1047">
        <f>IF(VLOOKUP(Table73[[#This Row],[Date]],Database!$A:$E,MATCH($B$1,Database!$A$1:$E$1,),)=0,#N/A,VLOOKUP(Table73[[#This Row],[Date]],Database!$A:$E,MATCH($B$1,Database!$A$1:$E$1,),))</f>
        <v/>
      </c>
      <c r="C1047">
        <f>IF(VLOOKUP(Table73[[#This Row],[Date]],Database!$A:$C,MATCH($C$1,Database!$A$1:$C$1,),)=0,#N/A,VLOOKUP(Table73[[#This Row],[Date]],Database!$A:$C,MATCH($C$1,Database!$A$1:$C$1,),))</f>
        <v/>
      </c>
      <c r="D1047">
        <f>IFERROR(Table73[[#This Row],[United States 10y]]-Table73[[#This Row],[United States 2y]],#N/A)</f>
        <v/>
      </c>
    </row>
    <row r="1048">
      <c r="A1048" s="6">
        <f>Database!A1047</f>
        <v/>
      </c>
      <c r="B1048">
        <f>IF(VLOOKUP(Table73[[#This Row],[Date]],Database!$A:$E,MATCH($B$1,Database!$A$1:$E$1,),)=0,#N/A,VLOOKUP(Table73[[#This Row],[Date]],Database!$A:$E,MATCH($B$1,Database!$A$1:$E$1,),))</f>
        <v/>
      </c>
      <c r="C1048">
        <f>IF(VLOOKUP(Table73[[#This Row],[Date]],Database!$A:$C,MATCH($C$1,Database!$A$1:$C$1,),)=0,#N/A,VLOOKUP(Table73[[#This Row],[Date]],Database!$A:$C,MATCH($C$1,Database!$A$1:$C$1,),))</f>
        <v/>
      </c>
      <c r="D1048">
        <f>IFERROR(Table73[[#This Row],[United States 10y]]-Table73[[#This Row],[United States 2y]],#N/A)</f>
        <v/>
      </c>
    </row>
    <row r="1049">
      <c r="A1049" s="6">
        <f>Database!A1048</f>
        <v/>
      </c>
      <c r="B1049">
        <f>IF(VLOOKUP(Table73[[#This Row],[Date]],Database!$A:$E,MATCH($B$1,Database!$A$1:$E$1,),)=0,#N/A,VLOOKUP(Table73[[#This Row],[Date]],Database!$A:$E,MATCH($B$1,Database!$A$1:$E$1,),))</f>
        <v/>
      </c>
      <c r="C1049">
        <f>IF(VLOOKUP(Table73[[#This Row],[Date]],Database!$A:$C,MATCH($C$1,Database!$A$1:$C$1,),)=0,#N/A,VLOOKUP(Table73[[#This Row],[Date]],Database!$A:$C,MATCH($C$1,Database!$A$1:$C$1,),))</f>
        <v/>
      </c>
      <c r="D1049">
        <f>IFERROR(Table73[[#This Row],[United States 10y]]-Table73[[#This Row],[United States 2y]],#N/A)</f>
        <v/>
      </c>
    </row>
    <row r="1050">
      <c r="A1050" s="6">
        <f>Database!A1049</f>
        <v/>
      </c>
      <c r="B1050">
        <f>IF(VLOOKUP(Table73[[#This Row],[Date]],Database!$A:$E,MATCH($B$1,Database!$A$1:$E$1,),)=0,#N/A,VLOOKUP(Table73[[#This Row],[Date]],Database!$A:$E,MATCH($B$1,Database!$A$1:$E$1,),))</f>
        <v/>
      </c>
      <c r="C1050">
        <f>IF(VLOOKUP(Table73[[#This Row],[Date]],Database!$A:$C,MATCH($C$1,Database!$A$1:$C$1,),)=0,#N/A,VLOOKUP(Table73[[#This Row],[Date]],Database!$A:$C,MATCH($C$1,Database!$A$1:$C$1,),))</f>
        <v/>
      </c>
      <c r="D1050">
        <f>IFERROR(Table73[[#This Row],[United States 10y]]-Table73[[#This Row],[United States 2y]],#N/A)</f>
        <v/>
      </c>
    </row>
    <row r="1051">
      <c r="A1051" s="6">
        <f>Database!A1050</f>
        <v/>
      </c>
      <c r="B1051">
        <f>IF(VLOOKUP(Table73[[#This Row],[Date]],Database!$A:$E,MATCH($B$1,Database!$A$1:$E$1,),)=0,#N/A,VLOOKUP(Table73[[#This Row],[Date]],Database!$A:$E,MATCH($B$1,Database!$A$1:$E$1,),))</f>
        <v/>
      </c>
      <c r="C1051">
        <f>IF(VLOOKUP(Table73[[#This Row],[Date]],Database!$A:$C,MATCH($C$1,Database!$A$1:$C$1,),)=0,#N/A,VLOOKUP(Table73[[#This Row],[Date]],Database!$A:$C,MATCH($C$1,Database!$A$1:$C$1,),))</f>
        <v/>
      </c>
      <c r="D1051">
        <f>IFERROR(Table73[[#This Row],[United States 10y]]-Table73[[#This Row],[United States 2y]],#N/A)</f>
        <v/>
      </c>
    </row>
    <row r="1052">
      <c r="A1052" s="6">
        <f>Database!A1051</f>
        <v/>
      </c>
      <c r="B1052">
        <f>IF(VLOOKUP(Table73[[#This Row],[Date]],Database!$A:$E,MATCH($B$1,Database!$A$1:$E$1,),)=0,#N/A,VLOOKUP(Table73[[#This Row],[Date]],Database!$A:$E,MATCH($B$1,Database!$A$1:$E$1,),))</f>
        <v/>
      </c>
      <c r="C1052">
        <f>IF(VLOOKUP(Table73[[#This Row],[Date]],Database!$A:$C,MATCH($C$1,Database!$A$1:$C$1,),)=0,#N/A,VLOOKUP(Table73[[#This Row],[Date]],Database!$A:$C,MATCH($C$1,Database!$A$1:$C$1,),))</f>
        <v/>
      </c>
      <c r="D1052">
        <f>IFERROR(Table73[[#This Row],[United States 10y]]-Table73[[#This Row],[United States 2y]],#N/A)</f>
        <v/>
      </c>
    </row>
    <row r="1053">
      <c r="A1053" s="6">
        <f>Database!A1052</f>
        <v/>
      </c>
      <c r="B1053">
        <f>IF(VLOOKUP(Table73[[#This Row],[Date]],Database!$A:$E,MATCH($B$1,Database!$A$1:$E$1,),)=0,#N/A,VLOOKUP(Table73[[#This Row],[Date]],Database!$A:$E,MATCH($B$1,Database!$A$1:$E$1,),))</f>
        <v/>
      </c>
      <c r="C1053">
        <f>IF(VLOOKUP(Table73[[#This Row],[Date]],Database!$A:$C,MATCH($C$1,Database!$A$1:$C$1,),)=0,#N/A,VLOOKUP(Table73[[#This Row],[Date]],Database!$A:$C,MATCH($C$1,Database!$A$1:$C$1,),))</f>
        <v/>
      </c>
      <c r="D1053">
        <f>IFERROR(Table73[[#This Row],[United States 10y]]-Table73[[#This Row],[United States 2y]],#N/A)</f>
        <v/>
      </c>
    </row>
    <row r="1054">
      <c r="A1054" s="6">
        <f>Database!A1053</f>
        <v/>
      </c>
      <c r="B1054">
        <f>IF(VLOOKUP(Table73[[#This Row],[Date]],Database!$A:$E,MATCH($B$1,Database!$A$1:$E$1,),)=0,#N/A,VLOOKUP(Table73[[#This Row],[Date]],Database!$A:$E,MATCH($B$1,Database!$A$1:$E$1,),))</f>
        <v/>
      </c>
      <c r="C1054">
        <f>IF(VLOOKUP(Table73[[#This Row],[Date]],Database!$A:$C,MATCH($C$1,Database!$A$1:$C$1,),)=0,#N/A,VLOOKUP(Table73[[#This Row],[Date]],Database!$A:$C,MATCH($C$1,Database!$A$1:$C$1,),))</f>
        <v/>
      </c>
      <c r="D1054">
        <f>IFERROR(Table73[[#This Row],[United States 10y]]-Table73[[#This Row],[United States 2y]],#N/A)</f>
        <v/>
      </c>
    </row>
    <row r="1055">
      <c r="A1055" s="6">
        <f>Database!A1054</f>
        <v/>
      </c>
      <c r="B1055">
        <f>IF(VLOOKUP(Table73[[#This Row],[Date]],Database!$A:$E,MATCH($B$1,Database!$A$1:$E$1,),)=0,#N/A,VLOOKUP(Table73[[#This Row],[Date]],Database!$A:$E,MATCH($B$1,Database!$A$1:$E$1,),))</f>
        <v/>
      </c>
      <c r="C1055">
        <f>IF(VLOOKUP(Table73[[#This Row],[Date]],Database!$A:$C,MATCH($C$1,Database!$A$1:$C$1,),)=0,#N/A,VLOOKUP(Table73[[#This Row],[Date]],Database!$A:$C,MATCH($C$1,Database!$A$1:$C$1,),))</f>
        <v/>
      </c>
      <c r="D1055">
        <f>IFERROR(Table73[[#This Row],[United States 10y]]-Table73[[#This Row],[United States 2y]],#N/A)</f>
        <v/>
      </c>
    </row>
    <row r="1056">
      <c r="A1056" s="6">
        <f>Database!A1055</f>
        <v/>
      </c>
      <c r="B1056">
        <f>IF(VLOOKUP(Table73[[#This Row],[Date]],Database!$A:$E,MATCH($B$1,Database!$A$1:$E$1,),)=0,#N/A,VLOOKUP(Table73[[#This Row],[Date]],Database!$A:$E,MATCH($B$1,Database!$A$1:$E$1,),))</f>
        <v/>
      </c>
      <c r="C1056">
        <f>IF(VLOOKUP(Table73[[#This Row],[Date]],Database!$A:$C,MATCH($C$1,Database!$A$1:$C$1,),)=0,#N/A,VLOOKUP(Table73[[#This Row],[Date]],Database!$A:$C,MATCH($C$1,Database!$A$1:$C$1,),))</f>
        <v/>
      </c>
      <c r="D1056">
        <f>IFERROR(Table73[[#This Row],[United States 10y]]-Table73[[#This Row],[United States 2y]],#N/A)</f>
        <v/>
      </c>
    </row>
    <row r="1057">
      <c r="A1057" s="6">
        <f>Database!A1056</f>
        <v/>
      </c>
      <c r="B1057">
        <f>IF(VLOOKUP(Table73[[#This Row],[Date]],Database!$A:$E,MATCH($B$1,Database!$A$1:$E$1,),)=0,#N/A,VLOOKUP(Table73[[#This Row],[Date]],Database!$A:$E,MATCH($B$1,Database!$A$1:$E$1,),))</f>
        <v/>
      </c>
      <c r="C1057">
        <f>IF(VLOOKUP(Table73[[#This Row],[Date]],Database!$A:$C,MATCH($C$1,Database!$A$1:$C$1,),)=0,#N/A,VLOOKUP(Table73[[#This Row],[Date]],Database!$A:$C,MATCH($C$1,Database!$A$1:$C$1,),))</f>
        <v/>
      </c>
      <c r="D1057">
        <f>IFERROR(Table73[[#This Row],[United States 10y]]-Table73[[#This Row],[United States 2y]],#N/A)</f>
        <v/>
      </c>
    </row>
    <row r="1058">
      <c r="A1058" s="6">
        <f>Database!A1057</f>
        <v/>
      </c>
      <c r="B1058">
        <f>IF(VLOOKUP(Table73[[#This Row],[Date]],Database!$A:$E,MATCH($B$1,Database!$A$1:$E$1,),)=0,#N/A,VLOOKUP(Table73[[#This Row],[Date]],Database!$A:$E,MATCH($B$1,Database!$A$1:$E$1,),))</f>
        <v/>
      </c>
      <c r="C1058">
        <f>IF(VLOOKUP(Table73[[#This Row],[Date]],Database!$A:$C,MATCH($C$1,Database!$A$1:$C$1,),)=0,#N/A,VLOOKUP(Table73[[#This Row],[Date]],Database!$A:$C,MATCH($C$1,Database!$A$1:$C$1,),))</f>
        <v/>
      </c>
      <c r="D1058">
        <f>IFERROR(Table73[[#This Row],[United States 10y]]-Table73[[#This Row],[United States 2y]],#N/A)</f>
        <v/>
      </c>
    </row>
    <row r="1059">
      <c r="A1059" s="6">
        <f>Database!A1058</f>
        <v/>
      </c>
      <c r="B1059">
        <f>IF(VLOOKUP(Table73[[#This Row],[Date]],Database!$A:$E,MATCH($B$1,Database!$A$1:$E$1,),)=0,#N/A,VLOOKUP(Table73[[#This Row],[Date]],Database!$A:$E,MATCH($B$1,Database!$A$1:$E$1,),))</f>
        <v/>
      </c>
      <c r="C1059">
        <f>IF(VLOOKUP(Table73[[#This Row],[Date]],Database!$A:$C,MATCH($C$1,Database!$A$1:$C$1,),)=0,#N/A,VLOOKUP(Table73[[#This Row],[Date]],Database!$A:$C,MATCH($C$1,Database!$A$1:$C$1,),))</f>
        <v/>
      </c>
      <c r="D1059">
        <f>IFERROR(Table73[[#This Row],[United States 10y]]-Table73[[#This Row],[United States 2y]],#N/A)</f>
        <v/>
      </c>
    </row>
    <row r="1060">
      <c r="A1060" s="6">
        <f>Database!A1059</f>
        <v/>
      </c>
      <c r="B1060">
        <f>IF(VLOOKUP(Table73[[#This Row],[Date]],Database!$A:$E,MATCH($B$1,Database!$A$1:$E$1,),)=0,#N/A,VLOOKUP(Table73[[#This Row],[Date]],Database!$A:$E,MATCH($B$1,Database!$A$1:$E$1,),))</f>
        <v/>
      </c>
      <c r="C1060">
        <f>IF(VLOOKUP(Table73[[#This Row],[Date]],Database!$A:$C,MATCH($C$1,Database!$A$1:$C$1,),)=0,#N/A,VLOOKUP(Table73[[#This Row],[Date]],Database!$A:$C,MATCH($C$1,Database!$A$1:$C$1,),))</f>
        <v/>
      </c>
      <c r="D1060">
        <f>IFERROR(Table73[[#This Row],[United States 10y]]-Table73[[#This Row],[United States 2y]],#N/A)</f>
        <v/>
      </c>
    </row>
    <row r="1061">
      <c r="A1061" s="6">
        <f>Database!A1060</f>
        <v/>
      </c>
      <c r="B1061">
        <f>IF(VLOOKUP(Table73[[#This Row],[Date]],Database!$A:$E,MATCH($B$1,Database!$A$1:$E$1,),)=0,#N/A,VLOOKUP(Table73[[#This Row],[Date]],Database!$A:$E,MATCH($B$1,Database!$A$1:$E$1,),))</f>
        <v/>
      </c>
      <c r="C1061">
        <f>IF(VLOOKUP(Table73[[#This Row],[Date]],Database!$A:$C,MATCH($C$1,Database!$A$1:$C$1,),)=0,#N/A,VLOOKUP(Table73[[#This Row],[Date]],Database!$A:$C,MATCH($C$1,Database!$A$1:$C$1,),))</f>
        <v/>
      </c>
      <c r="D1061">
        <f>IFERROR(Table73[[#This Row],[United States 10y]]-Table73[[#This Row],[United States 2y]],#N/A)</f>
        <v/>
      </c>
    </row>
    <row r="1062">
      <c r="A1062" s="6">
        <f>Database!A1061</f>
        <v/>
      </c>
      <c r="B1062">
        <f>IF(VLOOKUP(Table73[[#This Row],[Date]],Database!$A:$E,MATCH($B$1,Database!$A$1:$E$1,),)=0,#N/A,VLOOKUP(Table73[[#This Row],[Date]],Database!$A:$E,MATCH($B$1,Database!$A$1:$E$1,),))</f>
        <v/>
      </c>
      <c r="C1062">
        <f>IF(VLOOKUP(Table73[[#This Row],[Date]],Database!$A:$C,MATCH($C$1,Database!$A$1:$C$1,),)=0,#N/A,VLOOKUP(Table73[[#This Row],[Date]],Database!$A:$C,MATCH($C$1,Database!$A$1:$C$1,),))</f>
        <v/>
      </c>
      <c r="D1062">
        <f>IFERROR(Table73[[#This Row],[United States 10y]]-Table73[[#This Row],[United States 2y]],#N/A)</f>
        <v/>
      </c>
    </row>
    <row r="1063">
      <c r="A1063" s="6">
        <f>Database!A1062</f>
        <v/>
      </c>
      <c r="B1063">
        <f>IF(VLOOKUP(Table73[[#This Row],[Date]],Database!$A:$E,MATCH($B$1,Database!$A$1:$E$1,),)=0,#N/A,VLOOKUP(Table73[[#This Row],[Date]],Database!$A:$E,MATCH($B$1,Database!$A$1:$E$1,),))</f>
        <v/>
      </c>
      <c r="C1063">
        <f>IF(VLOOKUP(Table73[[#This Row],[Date]],Database!$A:$C,MATCH($C$1,Database!$A$1:$C$1,),)=0,#N/A,VLOOKUP(Table73[[#This Row],[Date]],Database!$A:$C,MATCH($C$1,Database!$A$1:$C$1,),))</f>
        <v/>
      </c>
      <c r="D1063">
        <f>IFERROR(Table73[[#This Row],[United States 10y]]-Table73[[#This Row],[United States 2y]],#N/A)</f>
        <v/>
      </c>
    </row>
    <row r="1064">
      <c r="A1064" s="6">
        <f>Database!A1063</f>
        <v/>
      </c>
      <c r="B1064">
        <f>IF(VLOOKUP(Table73[[#This Row],[Date]],Database!$A:$E,MATCH($B$1,Database!$A$1:$E$1,),)=0,#N/A,VLOOKUP(Table73[[#This Row],[Date]],Database!$A:$E,MATCH($B$1,Database!$A$1:$E$1,),))</f>
        <v/>
      </c>
      <c r="C1064">
        <f>IF(VLOOKUP(Table73[[#This Row],[Date]],Database!$A:$C,MATCH($C$1,Database!$A$1:$C$1,),)=0,#N/A,VLOOKUP(Table73[[#This Row],[Date]],Database!$A:$C,MATCH($C$1,Database!$A$1:$C$1,),))</f>
        <v/>
      </c>
      <c r="D1064">
        <f>IFERROR(Table73[[#This Row],[United States 10y]]-Table73[[#This Row],[United States 2y]],#N/A)</f>
        <v/>
      </c>
    </row>
    <row r="1065">
      <c r="A1065" s="6">
        <f>Database!A1064</f>
        <v/>
      </c>
      <c r="B1065">
        <f>IF(VLOOKUP(Table73[[#This Row],[Date]],Database!$A:$E,MATCH($B$1,Database!$A$1:$E$1,),)=0,#N/A,VLOOKUP(Table73[[#This Row],[Date]],Database!$A:$E,MATCH($B$1,Database!$A$1:$E$1,),))</f>
        <v/>
      </c>
      <c r="C1065">
        <f>IF(VLOOKUP(Table73[[#This Row],[Date]],Database!$A:$C,MATCH($C$1,Database!$A$1:$C$1,),)=0,#N/A,VLOOKUP(Table73[[#This Row],[Date]],Database!$A:$C,MATCH($C$1,Database!$A$1:$C$1,),))</f>
        <v/>
      </c>
      <c r="D1065">
        <f>IFERROR(Table73[[#This Row],[United States 10y]]-Table73[[#This Row],[United States 2y]],#N/A)</f>
        <v/>
      </c>
    </row>
    <row r="1066">
      <c r="A1066" s="6">
        <f>Database!A1065</f>
        <v/>
      </c>
      <c r="B1066">
        <f>IF(VLOOKUP(Table73[[#This Row],[Date]],Database!$A:$E,MATCH($B$1,Database!$A$1:$E$1,),)=0,#N/A,VLOOKUP(Table73[[#This Row],[Date]],Database!$A:$E,MATCH($B$1,Database!$A$1:$E$1,),))</f>
        <v/>
      </c>
      <c r="C1066">
        <f>IF(VLOOKUP(Table73[[#This Row],[Date]],Database!$A:$C,MATCH($C$1,Database!$A$1:$C$1,),)=0,#N/A,VLOOKUP(Table73[[#This Row],[Date]],Database!$A:$C,MATCH($C$1,Database!$A$1:$C$1,),))</f>
        <v/>
      </c>
      <c r="D1066">
        <f>IFERROR(Table73[[#This Row],[United States 10y]]-Table73[[#This Row],[United States 2y]],#N/A)</f>
        <v/>
      </c>
    </row>
    <row r="1067">
      <c r="A1067" s="6">
        <f>Database!A1066</f>
        <v/>
      </c>
      <c r="B1067">
        <f>IF(VLOOKUP(Table73[[#This Row],[Date]],Database!$A:$E,MATCH($B$1,Database!$A$1:$E$1,),)=0,#N/A,VLOOKUP(Table73[[#This Row],[Date]],Database!$A:$E,MATCH($B$1,Database!$A$1:$E$1,),))</f>
        <v/>
      </c>
      <c r="C1067">
        <f>IF(VLOOKUP(Table73[[#This Row],[Date]],Database!$A:$C,MATCH($C$1,Database!$A$1:$C$1,),)=0,#N/A,VLOOKUP(Table73[[#This Row],[Date]],Database!$A:$C,MATCH($C$1,Database!$A$1:$C$1,),))</f>
        <v/>
      </c>
      <c r="D1067">
        <f>IFERROR(Table73[[#This Row],[United States 10y]]-Table73[[#This Row],[United States 2y]],#N/A)</f>
        <v/>
      </c>
    </row>
    <row r="1068">
      <c r="A1068" s="6">
        <f>Database!A1067</f>
        <v/>
      </c>
      <c r="B1068">
        <f>IF(VLOOKUP(Table73[[#This Row],[Date]],Database!$A:$E,MATCH($B$1,Database!$A$1:$E$1,),)=0,#N/A,VLOOKUP(Table73[[#This Row],[Date]],Database!$A:$E,MATCH($B$1,Database!$A$1:$E$1,),))</f>
        <v/>
      </c>
      <c r="C1068">
        <f>IF(VLOOKUP(Table73[[#This Row],[Date]],Database!$A:$C,MATCH($C$1,Database!$A$1:$C$1,),)=0,#N/A,VLOOKUP(Table73[[#This Row],[Date]],Database!$A:$C,MATCH($C$1,Database!$A$1:$C$1,),))</f>
        <v/>
      </c>
      <c r="D1068">
        <f>IFERROR(Table73[[#This Row],[United States 10y]]-Table73[[#This Row],[United States 2y]],#N/A)</f>
        <v/>
      </c>
    </row>
    <row r="1069">
      <c r="A1069" s="6">
        <f>Database!A1068</f>
        <v/>
      </c>
      <c r="B1069">
        <f>IF(VLOOKUP(Table73[[#This Row],[Date]],Database!$A:$E,MATCH($B$1,Database!$A$1:$E$1,),)=0,#N/A,VLOOKUP(Table73[[#This Row],[Date]],Database!$A:$E,MATCH($B$1,Database!$A$1:$E$1,),))</f>
        <v/>
      </c>
      <c r="C1069">
        <f>IF(VLOOKUP(Table73[[#This Row],[Date]],Database!$A:$C,MATCH($C$1,Database!$A$1:$C$1,),)=0,#N/A,VLOOKUP(Table73[[#This Row],[Date]],Database!$A:$C,MATCH($C$1,Database!$A$1:$C$1,),))</f>
        <v/>
      </c>
      <c r="D1069">
        <f>IFERROR(Table73[[#This Row],[United States 10y]]-Table73[[#This Row],[United States 2y]],#N/A)</f>
        <v/>
      </c>
    </row>
    <row r="1070">
      <c r="A1070" s="6">
        <f>Database!A1069</f>
        <v/>
      </c>
      <c r="B1070">
        <f>IF(VLOOKUP(Table73[[#This Row],[Date]],Database!$A:$E,MATCH($B$1,Database!$A$1:$E$1,),)=0,#N/A,VLOOKUP(Table73[[#This Row],[Date]],Database!$A:$E,MATCH($B$1,Database!$A$1:$E$1,),))</f>
        <v/>
      </c>
      <c r="C1070">
        <f>IF(VLOOKUP(Table73[[#This Row],[Date]],Database!$A:$C,MATCH($C$1,Database!$A$1:$C$1,),)=0,#N/A,VLOOKUP(Table73[[#This Row],[Date]],Database!$A:$C,MATCH($C$1,Database!$A$1:$C$1,),))</f>
        <v/>
      </c>
      <c r="D1070">
        <f>IFERROR(Table73[[#This Row],[United States 10y]]-Table73[[#This Row],[United States 2y]],#N/A)</f>
        <v/>
      </c>
    </row>
    <row r="1071">
      <c r="A1071" s="6">
        <f>Database!A1070</f>
        <v/>
      </c>
      <c r="B1071">
        <f>IF(VLOOKUP(Table73[[#This Row],[Date]],Database!$A:$E,MATCH($B$1,Database!$A$1:$E$1,),)=0,#N/A,VLOOKUP(Table73[[#This Row],[Date]],Database!$A:$E,MATCH($B$1,Database!$A$1:$E$1,),))</f>
        <v/>
      </c>
      <c r="C1071">
        <f>IF(VLOOKUP(Table73[[#This Row],[Date]],Database!$A:$C,MATCH($C$1,Database!$A$1:$C$1,),)=0,#N/A,VLOOKUP(Table73[[#This Row],[Date]],Database!$A:$C,MATCH($C$1,Database!$A$1:$C$1,),))</f>
        <v/>
      </c>
      <c r="D1071">
        <f>IFERROR(Table73[[#This Row],[United States 10y]]-Table73[[#This Row],[United States 2y]],#N/A)</f>
        <v/>
      </c>
    </row>
    <row r="1072">
      <c r="A1072" s="6">
        <f>Database!A1071</f>
        <v/>
      </c>
      <c r="B1072">
        <f>IF(VLOOKUP(Table73[[#This Row],[Date]],Database!$A:$E,MATCH($B$1,Database!$A$1:$E$1,),)=0,#N/A,VLOOKUP(Table73[[#This Row],[Date]],Database!$A:$E,MATCH($B$1,Database!$A$1:$E$1,),))</f>
        <v/>
      </c>
      <c r="C1072">
        <f>IF(VLOOKUP(Table73[[#This Row],[Date]],Database!$A:$C,MATCH($C$1,Database!$A$1:$C$1,),)=0,#N/A,VLOOKUP(Table73[[#This Row],[Date]],Database!$A:$C,MATCH($C$1,Database!$A$1:$C$1,),))</f>
        <v/>
      </c>
      <c r="D1072">
        <f>IFERROR(Table73[[#This Row],[United States 10y]]-Table73[[#This Row],[United States 2y]],#N/A)</f>
        <v/>
      </c>
    </row>
    <row r="1073">
      <c r="A1073" s="6">
        <f>Database!A1072</f>
        <v/>
      </c>
      <c r="B1073">
        <f>IF(VLOOKUP(Table73[[#This Row],[Date]],Database!$A:$E,MATCH($B$1,Database!$A$1:$E$1,),)=0,#N/A,VLOOKUP(Table73[[#This Row],[Date]],Database!$A:$E,MATCH($B$1,Database!$A$1:$E$1,),))</f>
        <v/>
      </c>
      <c r="C1073">
        <f>IF(VLOOKUP(Table73[[#This Row],[Date]],Database!$A:$C,MATCH($C$1,Database!$A$1:$C$1,),)=0,#N/A,VLOOKUP(Table73[[#This Row],[Date]],Database!$A:$C,MATCH($C$1,Database!$A$1:$C$1,),))</f>
        <v/>
      </c>
      <c r="D1073">
        <f>IFERROR(Table73[[#This Row],[United States 10y]]-Table73[[#This Row],[United States 2y]],#N/A)</f>
        <v/>
      </c>
    </row>
    <row r="1074">
      <c r="A1074" s="6">
        <f>Database!A1073</f>
        <v/>
      </c>
      <c r="B1074">
        <f>IF(VLOOKUP(Table73[[#This Row],[Date]],Database!$A:$E,MATCH($B$1,Database!$A$1:$E$1,),)=0,#N/A,VLOOKUP(Table73[[#This Row],[Date]],Database!$A:$E,MATCH($B$1,Database!$A$1:$E$1,),))</f>
        <v/>
      </c>
      <c r="C1074">
        <f>IF(VLOOKUP(Table73[[#This Row],[Date]],Database!$A:$C,MATCH($C$1,Database!$A$1:$C$1,),)=0,#N/A,VLOOKUP(Table73[[#This Row],[Date]],Database!$A:$C,MATCH($C$1,Database!$A$1:$C$1,),))</f>
        <v/>
      </c>
      <c r="D1074">
        <f>IFERROR(Table73[[#This Row],[United States 10y]]-Table73[[#This Row],[United States 2y]],#N/A)</f>
        <v/>
      </c>
    </row>
    <row r="1075">
      <c r="A1075" s="6">
        <f>Database!A1074</f>
        <v/>
      </c>
      <c r="B1075">
        <f>IF(VLOOKUP(Table73[[#This Row],[Date]],Database!$A:$E,MATCH($B$1,Database!$A$1:$E$1,),)=0,#N/A,VLOOKUP(Table73[[#This Row],[Date]],Database!$A:$E,MATCH($B$1,Database!$A$1:$E$1,),))</f>
        <v/>
      </c>
      <c r="C1075">
        <f>IF(VLOOKUP(Table73[[#This Row],[Date]],Database!$A:$C,MATCH($C$1,Database!$A$1:$C$1,),)=0,#N/A,VLOOKUP(Table73[[#This Row],[Date]],Database!$A:$C,MATCH($C$1,Database!$A$1:$C$1,),))</f>
        <v/>
      </c>
      <c r="D1075">
        <f>IFERROR(Table73[[#This Row],[United States 10y]]-Table73[[#This Row],[United States 2y]],#N/A)</f>
        <v/>
      </c>
    </row>
    <row r="1076">
      <c r="A1076" s="6">
        <f>Database!A1075</f>
        <v/>
      </c>
      <c r="B1076">
        <f>IF(VLOOKUP(Table73[[#This Row],[Date]],Database!$A:$E,MATCH($B$1,Database!$A$1:$E$1,),)=0,#N/A,VLOOKUP(Table73[[#This Row],[Date]],Database!$A:$E,MATCH($B$1,Database!$A$1:$E$1,),))</f>
        <v/>
      </c>
      <c r="C1076">
        <f>IF(VLOOKUP(Table73[[#This Row],[Date]],Database!$A:$C,MATCH($C$1,Database!$A$1:$C$1,),)=0,#N/A,VLOOKUP(Table73[[#This Row],[Date]],Database!$A:$C,MATCH($C$1,Database!$A$1:$C$1,),))</f>
        <v/>
      </c>
      <c r="D1076">
        <f>IFERROR(Table73[[#This Row],[United States 10y]]-Table73[[#This Row],[United States 2y]],#N/A)</f>
        <v/>
      </c>
    </row>
    <row r="1077">
      <c r="A1077" s="6">
        <f>Database!A1076</f>
        <v/>
      </c>
      <c r="B1077">
        <f>IF(VLOOKUP(Table73[[#This Row],[Date]],Database!$A:$E,MATCH($B$1,Database!$A$1:$E$1,),)=0,#N/A,VLOOKUP(Table73[[#This Row],[Date]],Database!$A:$E,MATCH($B$1,Database!$A$1:$E$1,),))</f>
        <v/>
      </c>
      <c r="C1077">
        <f>IF(VLOOKUP(Table73[[#This Row],[Date]],Database!$A:$C,MATCH($C$1,Database!$A$1:$C$1,),)=0,#N/A,VLOOKUP(Table73[[#This Row],[Date]],Database!$A:$C,MATCH($C$1,Database!$A$1:$C$1,),))</f>
        <v/>
      </c>
      <c r="D1077">
        <f>IFERROR(Table73[[#This Row],[United States 10y]]-Table73[[#This Row],[United States 2y]],#N/A)</f>
        <v/>
      </c>
    </row>
    <row r="1078">
      <c r="A1078" s="6">
        <f>Database!A1077</f>
        <v/>
      </c>
      <c r="B1078">
        <f>IF(VLOOKUP(Table73[[#This Row],[Date]],Database!$A:$E,MATCH($B$1,Database!$A$1:$E$1,),)=0,#N/A,VLOOKUP(Table73[[#This Row],[Date]],Database!$A:$E,MATCH($B$1,Database!$A$1:$E$1,),))</f>
        <v/>
      </c>
      <c r="C1078">
        <f>IF(VLOOKUP(Table73[[#This Row],[Date]],Database!$A:$C,MATCH($C$1,Database!$A$1:$C$1,),)=0,#N/A,VLOOKUP(Table73[[#This Row],[Date]],Database!$A:$C,MATCH($C$1,Database!$A$1:$C$1,),))</f>
        <v/>
      </c>
      <c r="D1078">
        <f>IFERROR(Table73[[#This Row],[United States 10y]]-Table73[[#This Row],[United States 2y]],#N/A)</f>
        <v/>
      </c>
    </row>
    <row r="1079">
      <c r="A1079" s="6">
        <f>Database!A1078</f>
        <v/>
      </c>
      <c r="B1079">
        <f>IF(VLOOKUP(Table73[[#This Row],[Date]],Database!$A:$E,MATCH($B$1,Database!$A$1:$E$1,),)=0,#N/A,VLOOKUP(Table73[[#This Row],[Date]],Database!$A:$E,MATCH($B$1,Database!$A$1:$E$1,),))</f>
        <v/>
      </c>
      <c r="C1079">
        <f>IF(VLOOKUP(Table73[[#This Row],[Date]],Database!$A:$C,MATCH($C$1,Database!$A$1:$C$1,),)=0,#N/A,VLOOKUP(Table73[[#This Row],[Date]],Database!$A:$C,MATCH($C$1,Database!$A$1:$C$1,),))</f>
        <v/>
      </c>
      <c r="D1079">
        <f>IFERROR(Table73[[#This Row],[United States 10y]]-Table73[[#This Row],[United States 2y]],#N/A)</f>
        <v/>
      </c>
    </row>
    <row r="1080">
      <c r="A1080" s="6">
        <f>Database!A1079</f>
        <v/>
      </c>
      <c r="B1080">
        <f>IF(VLOOKUP(Table73[[#This Row],[Date]],Database!$A:$E,MATCH($B$1,Database!$A$1:$E$1,),)=0,#N/A,VLOOKUP(Table73[[#This Row],[Date]],Database!$A:$E,MATCH($B$1,Database!$A$1:$E$1,),))</f>
        <v/>
      </c>
      <c r="C1080">
        <f>IF(VLOOKUP(Table73[[#This Row],[Date]],Database!$A:$C,MATCH($C$1,Database!$A$1:$C$1,),)=0,#N/A,VLOOKUP(Table73[[#This Row],[Date]],Database!$A:$C,MATCH($C$1,Database!$A$1:$C$1,),))</f>
        <v/>
      </c>
      <c r="D1080">
        <f>IFERROR(Table73[[#This Row],[United States 10y]]-Table73[[#This Row],[United States 2y]],#N/A)</f>
        <v/>
      </c>
    </row>
    <row r="1081">
      <c r="A1081" s="6">
        <f>Database!A1080</f>
        <v/>
      </c>
      <c r="B1081">
        <f>IF(VLOOKUP(Table73[[#This Row],[Date]],Database!$A:$E,MATCH($B$1,Database!$A$1:$E$1,),)=0,#N/A,VLOOKUP(Table73[[#This Row],[Date]],Database!$A:$E,MATCH($B$1,Database!$A$1:$E$1,),))</f>
        <v/>
      </c>
      <c r="C1081">
        <f>IF(VLOOKUP(Table73[[#This Row],[Date]],Database!$A:$C,MATCH($C$1,Database!$A$1:$C$1,),)=0,#N/A,VLOOKUP(Table73[[#This Row],[Date]],Database!$A:$C,MATCH($C$1,Database!$A$1:$C$1,),))</f>
        <v/>
      </c>
      <c r="D1081">
        <f>IFERROR(Table73[[#This Row],[United States 10y]]-Table73[[#This Row],[United States 2y]],#N/A)</f>
        <v/>
      </c>
    </row>
    <row r="1082">
      <c r="A1082" s="6">
        <f>Database!A1081</f>
        <v/>
      </c>
      <c r="B1082">
        <f>IF(VLOOKUP(Table73[[#This Row],[Date]],Database!$A:$E,MATCH($B$1,Database!$A$1:$E$1,),)=0,#N/A,VLOOKUP(Table73[[#This Row],[Date]],Database!$A:$E,MATCH($B$1,Database!$A$1:$E$1,),))</f>
        <v/>
      </c>
      <c r="C1082">
        <f>IF(VLOOKUP(Table73[[#This Row],[Date]],Database!$A:$C,MATCH($C$1,Database!$A$1:$C$1,),)=0,#N/A,VLOOKUP(Table73[[#This Row],[Date]],Database!$A:$C,MATCH($C$1,Database!$A$1:$C$1,),))</f>
        <v/>
      </c>
      <c r="D1082">
        <f>IFERROR(Table73[[#This Row],[United States 10y]]-Table73[[#This Row],[United States 2y]],#N/A)</f>
        <v/>
      </c>
    </row>
    <row r="1083">
      <c r="A1083" s="6">
        <f>Database!A1082</f>
        <v/>
      </c>
      <c r="B1083">
        <f>IF(VLOOKUP(Table73[[#This Row],[Date]],Database!$A:$E,MATCH($B$1,Database!$A$1:$E$1,),)=0,#N/A,VLOOKUP(Table73[[#This Row],[Date]],Database!$A:$E,MATCH($B$1,Database!$A$1:$E$1,),))</f>
        <v/>
      </c>
      <c r="C1083">
        <f>IF(VLOOKUP(Table73[[#This Row],[Date]],Database!$A:$C,MATCH($C$1,Database!$A$1:$C$1,),)=0,#N/A,VLOOKUP(Table73[[#This Row],[Date]],Database!$A:$C,MATCH($C$1,Database!$A$1:$C$1,),))</f>
        <v/>
      </c>
      <c r="D1083">
        <f>IFERROR(Table73[[#This Row],[United States 10y]]-Table73[[#This Row],[United States 2y]],#N/A)</f>
        <v/>
      </c>
    </row>
    <row r="1084">
      <c r="A1084" s="6">
        <f>Database!A1083</f>
        <v/>
      </c>
      <c r="B1084">
        <f>IF(VLOOKUP(Table73[[#This Row],[Date]],Database!$A:$E,MATCH($B$1,Database!$A$1:$E$1,),)=0,#N/A,VLOOKUP(Table73[[#This Row],[Date]],Database!$A:$E,MATCH($B$1,Database!$A$1:$E$1,),))</f>
        <v/>
      </c>
      <c r="C1084">
        <f>IF(VLOOKUP(Table73[[#This Row],[Date]],Database!$A:$C,MATCH($C$1,Database!$A$1:$C$1,),)=0,#N/A,VLOOKUP(Table73[[#This Row],[Date]],Database!$A:$C,MATCH($C$1,Database!$A$1:$C$1,),))</f>
        <v/>
      </c>
      <c r="D1084">
        <f>IFERROR(Table73[[#This Row],[United States 10y]]-Table73[[#This Row],[United States 2y]],#N/A)</f>
        <v/>
      </c>
    </row>
    <row r="1085">
      <c r="A1085" s="6">
        <f>Database!A1084</f>
        <v/>
      </c>
      <c r="B1085">
        <f>IF(VLOOKUP(Table73[[#This Row],[Date]],Database!$A:$E,MATCH($B$1,Database!$A$1:$E$1,),)=0,#N/A,VLOOKUP(Table73[[#This Row],[Date]],Database!$A:$E,MATCH($B$1,Database!$A$1:$E$1,),))</f>
        <v/>
      </c>
      <c r="C1085">
        <f>IF(VLOOKUP(Table73[[#This Row],[Date]],Database!$A:$C,MATCH($C$1,Database!$A$1:$C$1,),)=0,#N/A,VLOOKUP(Table73[[#This Row],[Date]],Database!$A:$C,MATCH($C$1,Database!$A$1:$C$1,),))</f>
        <v/>
      </c>
      <c r="D1085">
        <f>IFERROR(Table73[[#This Row],[United States 10y]]-Table73[[#This Row],[United States 2y]],#N/A)</f>
        <v/>
      </c>
    </row>
    <row r="1086">
      <c r="A1086" s="6">
        <f>Database!A1085</f>
        <v/>
      </c>
      <c r="B1086">
        <f>IF(VLOOKUP(Table73[[#This Row],[Date]],Database!$A:$E,MATCH($B$1,Database!$A$1:$E$1,),)=0,#N/A,VLOOKUP(Table73[[#This Row],[Date]],Database!$A:$E,MATCH($B$1,Database!$A$1:$E$1,),))</f>
        <v/>
      </c>
      <c r="C1086">
        <f>IF(VLOOKUP(Table73[[#This Row],[Date]],Database!$A:$C,MATCH($C$1,Database!$A$1:$C$1,),)=0,#N/A,VLOOKUP(Table73[[#This Row],[Date]],Database!$A:$C,MATCH($C$1,Database!$A$1:$C$1,),))</f>
        <v/>
      </c>
      <c r="D1086">
        <f>IFERROR(Table73[[#This Row],[United States 10y]]-Table73[[#This Row],[United States 2y]],#N/A)</f>
        <v/>
      </c>
    </row>
    <row r="1087">
      <c r="A1087" s="6">
        <f>Database!A1086</f>
        <v/>
      </c>
      <c r="B1087">
        <f>IF(VLOOKUP(Table73[[#This Row],[Date]],Database!$A:$E,MATCH($B$1,Database!$A$1:$E$1,),)=0,#N/A,VLOOKUP(Table73[[#This Row],[Date]],Database!$A:$E,MATCH($B$1,Database!$A$1:$E$1,),))</f>
        <v/>
      </c>
      <c r="C1087">
        <f>IF(VLOOKUP(Table73[[#This Row],[Date]],Database!$A:$C,MATCH($C$1,Database!$A$1:$C$1,),)=0,#N/A,VLOOKUP(Table73[[#This Row],[Date]],Database!$A:$C,MATCH($C$1,Database!$A$1:$C$1,),))</f>
        <v/>
      </c>
      <c r="D1087">
        <f>IFERROR(Table73[[#This Row],[United States 10y]]-Table73[[#This Row],[United States 2y]],#N/A)</f>
        <v/>
      </c>
    </row>
    <row r="1088">
      <c r="A1088" s="6">
        <f>Database!A1087</f>
        <v/>
      </c>
      <c r="B1088">
        <f>IF(VLOOKUP(Table73[[#This Row],[Date]],Database!$A:$E,MATCH($B$1,Database!$A$1:$E$1,),)=0,#N/A,VLOOKUP(Table73[[#This Row],[Date]],Database!$A:$E,MATCH($B$1,Database!$A$1:$E$1,),))</f>
        <v/>
      </c>
      <c r="C1088">
        <f>IF(VLOOKUP(Table73[[#This Row],[Date]],Database!$A:$C,MATCH($C$1,Database!$A$1:$C$1,),)=0,#N/A,VLOOKUP(Table73[[#This Row],[Date]],Database!$A:$C,MATCH($C$1,Database!$A$1:$C$1,),))</f>
        <v/>
      </c>
      <c r="D1088">
        <f>IFERROR(Table73[[#This Row],[United States 10y]]-Table73[[#This Row],[United States 2y]],#N/A)</f>
        <v/>
      </c>
    </row>
    <row r="1089">
      <c r="A1089" s="6">
        <f>Database!A1088</f>
        <v/>
      </c>
      <c r="B1089">
        <f>IF(VLOOKUP(Table73[[#This Row],[Date]],Database!$A:$E,MATCH($B$1,Database!$A$1:$E$1,),)=0,#N/A,VLOOKUP(Table73[[#This Row],[Date]],Database!$A:$E,MATCH($B$1,Database!$A$1:$E$1,),))</f>
        <v/>
      </c>
      <c r="C1089">
        <f>IF(VLOOKUP(Table73[[#This Row],[Date]],Database!$A:$C,MATCH($C$1,Database!$A$1:$C$1,),)=0,#N/A,VLOOKUP(Table73[[#This Row],[Date]],Database!$A:$C,MATCH($C$1,Database!$A$1:$C$1,),))</f>
        <v/>
      </c>
      <c r="D1089">
        <f>IFERROR(Table73[[#This Row],[United States 10y]]-Table73[[#This Row],[United States 2y]],#N/A)</f>
        <v/>
      </c>
    </row>
    <row r="1090">
      <c r="A1090" s="6">
        <f>Database!A1089</f>
        <v/>
      </c>
      <c r="B1090">
        <f>IF(VLOOKUP(Table73[[#This Row],[Date]],Database!$A:$E,MATCH($B$1,Database!$A$1:$E$1,),)=0,#N/A,VLOOKUP(Table73[[#This Row],[Date]],Database!$A:$E,MATCH($B$1,Database!$A$1:$E$1,),))</f>
        <v/>
      </c>
      <c r="C1090">
        <f>IF(VLOOKUP(Table73[[#This Row],[Date]],Database!$A:$C,MATCH($C$1,Database!$A$1:$C$1,),)=0,#N/A,VLOOKUP(Table73[[#This Row],[Date]],Database!$A:$C,MATCH($C$1,Database!$A$1:$C$1,),))</f>
        <v/>
      </c>
      <c r="D1090">
        <f>IFERROR(Table73[[#This Row],[United States 10y]]-Table73[[#This Row],[United States 2y]],#N/A)</f>
        <v/>
      </c>
    </row>
    <row r="1091">
      <c r="A1091" s="6">
        <f>Database!A1090</f>
        <v/>
      </c>
      <c r="B1091">
        <f>IF(VLOOKUP(Table73[[#This Row],[Date]],Database!$A:$E,MATCH($B$1,Database!$A$1:$E$1,),)=0,#N/A,VLOOKUP(Table73[[#This Row],[Date]],Database!$A:$E,MATCH($B$1,Database!$A$1:$E$1,),))</f>
        <v/>
      </c>
      <c r="C1091">
        <f>IF(VLOOKUP(Table73[[#This Row],[Date]],Database!$A:$C,MATCH($C$1,Database!$A$1:$C$1,),)=0,#N/A,VLOOKUP(Table73[[#This Row],[Date]],Database!$A:$C,MATCH($C$1,Database!$A$1:$C$1,),))</f>
        <v/>
      </c>
      <c r="D1091">
        <f>IFERROR(Table73[[#This Row],[United States 10y]]-Table73[[#This Row],[United States 2y]],#N/A)</f>
        <v/>
      </c>
    </row>
    <row r="1092">
      <c r="A1092" s="6">
        <f>Database!A1091</f>
        <v/>
      </c>
      <c r="B1092">
        <f>IF(VLOOKUP(Table73[[#This Row],[Date]],Database!$A:$E,MATCH($B$1,Database!$A$1:$E$1,),)=0,#N/A,VLOOKUP(Table73[[#This Row],[Date]],Database!$A:$E,MATCH($B$1,Database!$A$1:$E$1,),))</f>
        <v/>
      </c>
      <c r="C1092">
        <f>IF(VLOOKUP(Table73[[#This Row],[Date]],Database!$A:$C,MATCH($C$1,Database!$A$1:$C$1,),)=0,#N/A,VLOOKUP(Table73[[#This Row],[Date]],Database!$A:$C,MATCH($C$1,Database!$A$1:$C$1,),))</f>
        <v/>
      </c>
      <c r="D1092">
        <f>IFERROR(Table73[[#This Row],[United States 10y]]-Table73[[#This Row],[United States 2y]],#N/A)</f>
        <v/>
      </c>
    </row>
    <row r="1093">
      <c r="A1093" s="6">
        <f>Database!A1092</f>
        <v/>
      </c>
      <c r="B1093">
        <f>IF(VLOOKUP(Table73[[#This Row],[Date]],Database!$A:$E,MATCH($B$1,Database!$A$1:$E$1,),)=0,#N/A,VLOOKUP(Table73[[#This Row],[Date]],Database!$A:$E,MATCH($B$1,Database!$A$1:$E$1,),))</f>
        <v/>
      </c>
      <c r="C1093">
        <f>IF(VLOOKUP(Table73[[#This Row],[Date]],Database!$A:$C,MATCH($C$1,Database!$A$1:$C$1,),)=0,#N/A,VLOOKUP(Table73[[#This Row],[Date]],Database!$A:$C,MATCH($C$1,Database!$A$1:$C$1,),))</f>
        <v/>
      </c>
      <c r="D1093">
        <f>IFERROR(Table73[[#This Row],[United States 10y]]-Table73[[#This Row],[United States 2y]],#N/A)</f>
        <v/>
      </c>
    </row>
    <row r="1094">
      <c r="A1094" s="6">
        <f>Database!A1093</f>
        <v/>
      </c>
      <c r="B1094">
        <f>IF(VLOOKUP(Table73[[#This Row],[Date]],Database!$A:$E,MATCH($B$1,Database!$A$1:$E$1,),)=0,#N/A,VLOOKUP(Table73[[#This Row],[Date]],Database!$A:$E,MATCH($B$1,Database!$A$1:$E$1,),))</f>
        <v/>
      </c>
      <c r="C1094">
        <f>IF(VLOOKUP(Table73[[#This Row],[Date]],Database!$A:$C,MATCH($C$1,Database!$A$1:$C$1,),)=0,#N/A,VLOOKUP(Table73[[#This Row],[Date]],Database!$A:$C,MATCH($C$1,Database!$A$1:$C$1,),))</f>
        <v/>
      </c>
      <c r="D1094">
        <f>IFERROR(Table73[[#This Row],[United States 10y]]-Table73[[#This Row],[United States 2y]],#N/A)</f>
        <v/>
      </c>
    </row>
    <row r="1095">
      <c r="A1095" s="6">
        <f>Database!A1094</f>
        <v/>
      </c>
      <c r="B1095">
        <f>IF(VLOOKUP(Table73[[#This Row],[Date]],Database!$A:$E,MATCH($B$1,Database!$A$1:$E$1,),)=0,#N/A,VLOOKUP(Table73[[#This Row],[Date]],Database!$A:$E,MATCH($B$1,Database!$A$1:$E$1,),))</f>
        <v/>
      </c>
      <c r="C1095">
        <f>IF(VLOOKUP(Table73[[#This Row],[Date]],Database!$A:$C,MATCH($C$1,Database!$A$1:$C$1,),)=0,#N/A,VLOOKUP(Table73[[#This Row],[Date]],Database!$A:$C,MATCH($C$1,Database!$A$1:$C$1,),))</f>
        <v/>
      </c>
      <c r="D1095">
        <f>IFERROR(Table73[[#This Row],[United States 10y]]-Table73[[#This Row],[United States 2y]],#N/A)</f>
        <v/>
      </c>
    </row>
    <row r="1096">
      <c r="A1096" s="6">
        <f>Database!A1095</f>
        <v/>
      </c>
      <c r="B1096">
        <f>IF(VLOOKUP(Table73[[#This Row],[Date]],Database!$A:$E,MATCH($B$1,Database!$A$1:$E$1,),)=0,#N/A,VLOOKUP(Table73[[#This Row],[Date]],Database!$A:$E,MATCH($B$1,Database!$A$1:$E$1,),))</f>
        <v/>
      </c>
      <c r="C1096">
        <f>IF(VLOOKUP(Table73[[#This Row],[Date]],Database!$A:$C,MATCH($C$1,Database!$A$1:$C$1,),)=0,#N/A,VLOOKUP(Table73[[#This Row],[Date]],Database!$A:$C,MATCH($C$1,Database!$A$1:$C$1,),))</f>
        <v/>
      </c>
      <c r="D1096">
        <f>IFERROR(Table73[[#This Row],[United States 10y]]-Table73[[#This Row],[United States 2y]],#N/A)</f>
        <v/>
      </c>
    </row>
    <row r="1097">
      <c r="A1097" s="6">
        <f>Database!A1096</f>
        <v/>
      </c>
      <c r="B1097">
        <f>IF(VLOOKUP(Table73[[#This Row],[Date]],Database!$A:$E,MATCH($B$1,Database!$A$1:$E$1,),)=0,#N/A,VLOOKUP(Table73[[#This Row],[Date]],Database!$A:$E,MATCH($B$1,Database!$A$1:$E$1,),))</f>
        <v/>
      </c>
      <c r="C1097">
        <f>IF(VLOOKUP(Table73[[#This Row],[Date]],Database!$A:$C,MATCH($C$1,Database!$A$1:$C$1,),)=0,#N/A,VLOOKUP(Table73[[#This Row],[Date]],Database!$A:$C,MATCH($C$1,Database!$A$1:$C$1,),))</f>
        <v/>
      </c>
      <c r="D1097">
        <f>IFERROR(Table73[[#This Row],[United States 10y]]-Table73[[#This Row],[United States 2y]],#N/A)</f>
        <v/>
      </c>
    </row>
    <row r="1098">
      <c r="A1098" s="6">
        <f>Database!A1097</f>
        <v/>
      </c>
      <c r="B1098">
        <f>IF(VLOOKUP(Table73[[#This Row],[Date]],Database!$A:$E,MATCH($B$1,Database!$A$1:$E$1,),)=0,#N/A,VLOOKUP(Table73[[#This Row],[Date]],Database!$A:$E,MATCH($B$1,Database!$A$1:$E$1,),))</f>
        <v/>
      </c>
      <c r="C1098">
        <f>IF(VLOOKUP(Table73[[#This Row],[Date]],Database!$A:$C,MATCH($C$1,Database!$A$1:$C$1,),)=0,#N/A,VLOOKUP(Table73[[#This Row],[Date]],Database!$A:$C,MATCH($C$1,Database!$A$1:$C$1,),))</f>
        <v/>
      </c>
      <c r="D1098">
        <f>IFERROR(Table73[[#This Row],[United States 10y]]-Table73[[#This Row],[United States 2y]],#N/A)</f>
        <v/>
      </c>
    </row>
    <row r="1099">
      <c r="A1099" s="6">
        <f>Database!A1098</f>
        <v/>
      </c>
      <c r="B1099">
        <f>IF(VLOOKUP(Table73[[#This Row],[Date]],Database!$A:$E,MATCH($B$1,Database!$A$1:$E$1,),)=0,#N/A,VLOOKUP(Table73[[#This Row],[Date]],Database!$A:$E,MATCH($B$1,Database!$A$1:$E$1,),))</f>
        <v/>
      </c>
      <c r="C1099">
        <f>IF(VLOOKUP(Table73[[#This Row],[Date]],Database!$A:$C,MATCH($C$1,Database!$A$1:$C$1,),)=0,#N/A,VLOOKUP(Table73[[#This Row],[Date]],Database!$A:$C,MATCH($C$1,Database!$A$1:$C$1,),))</f>
        <v/>
      </c>
      <c r="D1099">
        <f>IFERROR(Table73[[#This Row],[United States 10y]]-Table73[[#This Row],[United States 2y]],#N/A)</f>
        <v/>
      </c>
    </row>
    <row r="1100">
      <c r="A1100" s="6">
        <f>Database!A1099</f>
        <v/>
      </c>
      <c r="B1100">
        <f>IF(VLOOKUP(Table73[[#This Row],[Date]],Database!$A:$E,MATCH($B$1,Database!$A$1:$E$1,),)=0,#N/A,VLOOKUP(Table73[[#This Row],[Date]],Database!$A:$E,MATCH($B$1,Database!$A$1:$E$1,),))</f>
        <v/>
      </c>
      <c r="C1100">
        <f>IF(VLOOKUP(Table73[[#This Row],[Date]],Database!$A:$C,MATCH($C$1,Database!$A$1:$C$1,),)=0,#N/A,VLOOKUP(Table73[[#This Row],[Date]],Database!$A:$C,MATCH($C$1,Database!$A$1:$C$1,),))</f>
        <v/>
      </c>
      <c r="D1100">
        <f>IFERROR(Table73[[#This Row],[United States 10y]]-Table73[[#This Row],[United States 2y]],#N/A)</f>
        <v/>
      </c>
    </row>
    <row r="1101">
      <c r="A1101" s="6">
        <f>Database!A1100</f>
        <v/>
      </c>
      <c r="B1101">
        <f>IF(VLOOKUP(Table73[[#This Row],[Date]],Database!$A:$E,MATCH($B$1,Database!$A$1:$E$1,),)=0,#N/A,VLOOKUP(Table73[[#This Row],[Date]],Database!$A:$E,MATCH($B$1,Database!$A$1:$E$1,),))</f>
        <v/>
      </c>
      <c r="C1101">
        <f>IF(VLOOKUP(Table73[[#This Row],[Date]],Database!$A:$C,MATCH($C$1,Database!$A$1:$C$1,),)=0,#N/A,VLOOKUP(Table73[[#This Row],[Date]],Database!$A:$C,MATCH($C$1,Database!$A$1:$C$1,),))</f>
        <v/>
      </c>
      <c r="D1101">
        <f>IFERROR(Table73[[#This Row],[United States 10y]]-Table73[[#This Row],[United States 2y]],#N/A)</f>
        <v/>
      </c>
    </row>
    <row r="1102">
      <c r="A1102" s="6">
        <f>Database!A1101</f>
        <v/>
      </c>
      <c r="B1102">
        <f>IF(VLOOKUP(Table73[[#This Row],[Date]],Database!$A:$E,MATCH($B$1,Database!$A$1:$E$1,),)=0,#N/A,VLOOKUP(Table73[[#This Row],[Date]],Database!$A:$E,MATCH($B$1,Database!$A$1:$E$1,),))</f>
        <v/>
      </c>
      <c r="C1102">
        <f>IF(VLOOKUP(Table73[[#This Row],[Date]],Database!$A:$C,MATCH($C$1,Database!$A$1:$C$1,),)=0,#N/A,VLOOKUP(Table73[[#This Row],[Date]],Database!$A:$C,MATCH($C$1,Database!$A$1:$C$1,),))</f>
        <v/>
      </c>
      <c r="D1102">
        <f>IFERROR(Table73[[#This Row],[United States 10y]]-Table73[[#This Row],[United States 2y]],#N/A)</f>
        <v/>
      </c>
    </row>
    <row r="1103">
      <c r="A1103" s="6">
        <f>Database!A1102</f>
        <v/>
      </c>
      <c r="B1103">
        <f>IF(VLOOKUP(Table73[[#This Row],[Date]],Database!$A:$E,MATCH($B$1,Database!$A$1:$E$1,),)=0,#N/A,VLOOKUP(Table73[[#This Row],[Date]],Database!$A:$E,MATCH($B$1,Database!$A$1:$E$1,),))</f>
        <v/>
      </c>
      <c r="C1103">
        <f>IF(VLOOKUP(Table73[[#This Row],[Date]],Database!$A:$C,MATCH($C$1,Database!$A$1:$C$1,),)=0,#N/A,VLOOKUP(Table73[[#This Row],[Date]],Database!$A:$C,MATCH($C$1,Database!$A$1:$C$1,),))</f>
        <v/>
      </c>
      <c r="D1103">
        <f>IFERROR(Table73[[#This Row],[United States 10y]]-Table73[[#This Row],[United States 2y]],#N/A)</f>
        <v/>
      </c>
    </row>
    <row r="1104">
      <c r="A1104" s="6">
        <f>Database!A1103</f>
        <v/>
      </c>
      <c r="B1104">
        <f>IF(VLOOKUP(Table73[[#This Row],[Date]],Database!$A:$E,MATCH($B$1,Database!$A$1:$E$1,),)=0,#N/A,VLOOKUP(Table73[[#This Row],[Date]],Database!$A:$E,MATCH($B$1,Database!$A$1:$E$1,),))</f>
        <v/>
      </c>
      <c r="C1104">
        <f>IF(VLOOKUP(Table73[[#This Row],[Date]],Database!$A:$C,MATCH($C$1,Database!$A$1:$C$1,),)=0,#N/A,VLOOKUP(Table73[[#This Row],[Date]],Database!$A:$C,MATCH($C$1,Database!$A$1:$C$1,),))</f>
        <v/>
      </c>
      <c r="D1104">
        <f>IFERROR(Table73[[#This Row],[United States 10y]]-Table73[[#This Row],[United States 2y]],#N/A)</f>
        <v/>
      </c>
    </row>
    <row r="1105">
      <c r="A1105" s="6">
        <f>Database!A1104</f>
        <v/>
      </c>
      <c r="B1105">
        <f>IF(VLOOKUP(Table73[[#This Row],[Date]],Database!$A:$E,MATCH($B$1,Database!$A$1:$E$1,),)=0,#N/A,VLOOKUP(Table73[[#This Row],[Date]],Database!$A:$E,MATCH($B$1,Database!$A$1:$E$1,),))</f>
        <v/>
      </c>
      <c r="C1105">
        <f>IF(VLOOKUP(Table73[[#This Row],[Date]],Database!$A:$C,MATCH($C$1,Database!$A$1:$C$1,),)=0,#N/A,VLOOKUP(Table73[[#This Row],[Date]],Database!$A:$C,MATCH($C$1,Database!$A$1:$C$1,),))</f>
        <v/>
      </c>
      <c r="D1105">
        <f>IFERROR(Table73[[#This Row],[United States 10y]]-Table73[[#This Row],[United States 2y]],#N/A)</f>
        <v/>
      </c>
    </row>
    <row r="1106">
      <c r="A1106" s="6">
        <f>Database!A1105</f>
        <v/>
      </c>
      <c r="B1106">
        <f>IF(VLOOKUP(Table73[[#This Row],[Date]],Database!$A:$E,MATCH($B$1,Database!$A$1:$E$1,),)=0,#N/A,VLOOKUP(Table73[[#This Row],[Date]],Database!$A:$E,MATCH($B$1,Database!$A$1:$E$1,),))</f>
        <v/>
      </c>
      <c r="C1106">
        <f>IF(VLOOKUP(Table73[[#This Row],[Date]],Database!$A:$C,MATCH($C$1,Database!$A$1:$C$1,),)=0,#N/A,VLOOKUP(Table73[[#This Row],[Date]],Database!$A:$C,MATCH($C$1,Database!$A$1:$C$1,),))</f>
        <v/>
      </c>
      <c r="D1106">
        <f>IFERROR(Table73[[#This Row],[United States 10y]]-Table73[[#This Row],[United States 2y]],#N/A)</f>
        <v/>
      </c>
    </row>
    <row r="1107">
      <c r="A1107" s="6">
        <f>Database!A1106</f>
        <v/>
      </c>
      <c r="B1107">
        <f>IF(VLOOKUP(Table73[[#This Row],[Date]],Database!$A:$E,MATCH($B$1,Database!$A$1:$E$1,),)=0,#N/A,VLOOKUP(Table73[[#This Row],[Date]],Database!$A:$E,MATCH($B$1,Database!$A$1:$E$1,),))</f>
        <v/>
      </c>
      <c r="C1107">
        <f>IF(VLOOKUP(Table73[[#This Row],[Date]],Database!$A:$C,MATCH($C$1,Database!$A$1:$C$1,),)=0,#N/A,VLOOKUP(Table73[[#This Row],[Date]],Database!$A:$C,MATCH($C$1,Database!$A$1:$C$1,),))</f>
        <v/>
      </c>
      <c r="D1107">
        <f>IFERROR(Table73[[#This Row],[United States 10y]]-Table73[[#This Row],[United States 2y]],#N/A)</f>
        <v/>
      </c>
    </row>
    <row r="1108">
      <c r="A1108" s="6">
        <f>Database!A1107</f>
        <v/>
      </c>
      <c r="B1108">
        <f>IF(VLOOKUP(Table73[[#This Row],[Date]],Database!$A:$E,MATCH($B$1,Database!$A$1:$E$1,),)=0,#N/A,VLOOKUP(Table73[[#This Row],[Date]],Database!$A:$E,MATCH($B$1,Database!$A$1:$E$1,),))</f>
        <v/>
      </c>
      <c r="C1108">
        <f>IF(VLOOKUP(Table73[[#This Row],[Date]],Database!$A:$C,MATCH($C$1,Database!$A$1:$C$1,),)=0,#N/A,VLOOKUP(Table73[[#This Row],[Date]],Database!$A:$C,MATCH($C$1,Database!$A$1:$C$1,),))</f>
        <v/>
      </c>
      <c r="D1108">
        <f>IFERROR(Table73[[#This Row],[United States 10y]]-Table73[[#This Row],[United States 2y]],#N/A)</f>
        <v/>
      </c>
    </row>
    <row r="1109">
      <c r="A1109" s="6">
        <f>Database!A1108</f>
        <v/>
      </c>
      <c r="B1109">
        <f>IF(VLOOKUP(Table73[[#This Row],[Date]],Database!$A:$E,MATCH($B$1,Database!$A$1:$E$1,),)=0,#N/A,VLOOKUP(Table73[[#This Row],[Date]],Database!$A:$E,MATCH($B$1,Database!$A$1:$E$1,),))</f>
        <v/>
      </c>
      <c r="C1109">
        <f>IF(VLOOKUP(Table73[[#This Row],[Date]],Database!$A:$C,MATCH($C$1,Database!$A$1:$C$1,),)=0,#N/A,VLOOKUP(Table73[[#This Row],[Date]],Database!$A:$C,MATCH($C$1,Database!$A$1:$C$1,),))</f>
        <v/>
      </c>
      <c r="D1109">
        <f>IFERROR(Table73[[#This Row],[United States 10y]]-Table73[[#This Row],[United States 2y]],#N/A)</f>
        <v/>
      </c>
    </row>
    <row r="1110">
      <c r="A1110" s="6">
        <f>Database!A1109</f>
        <v/>
      </c>
      <c r="B1110">
        <f>IF(VLOOKUP(Table73[[#This Row],[Date]],Database!$A:$E,MATCH($B$1,Database!$A$1:$E$1,),)=0,#N/A,VLOOKUP(Table73[[#This Row],[Date]],Database!$A:$E,MATCH($B$1,Database!$A$1:$E$1,),))</f>
        <v/>
      </c>
      <c r="C1110">
        <f>IF(VLOOKUP(Table73[[#This Row],[Date]],Database!$A:$C,MATCH($C$1,Database!$A$1:$C$1,),)=0,#N/A,VLOOKUP(Table73[[#This Row],[Date]],Database!$A:$C,MATCH($C$1,Database!$A$1:$C$1,),))</f>
        <v/>
      </c>
      <c r="D1110">
        <f>IFERROR(Table73[[#This Row],[United States 10y]]-Table73[[#This Row],[United States 2y]],#N/A)</f>
        <v/>
      </c>
    </row>
    <row r="1111">
      <c r="A1111" s="6">
        <f>Database!A1110</f>
        <v/>
      </c>
      <c r="B1111">
        <f>IF(VLOOKUP(Table73[[#This Row],[Date]],Database!$A:$E,MATCH($B$1,Database!$A$1:$E$1,),)=0,#N/A,VLOOKUP(Table73[[#This Row],[Date]],Database!$A:$E,MATCH($B$1,Database!$A$1:$E$1,),))</f>
        <v/>
      </c>
      <c r="C1111">
        <f>IF(VLOOKUP(Table73[[#This Row],[Date]],Database!$A:$C,MATCH($C$1,Database!$A$1:$C$1,),)=0,#N/A,VLOOKUP(Table73[[#This Row],[Date]],Database!$A:$C,MATCH($C$1,Database!$A$1:$C$1,),))</f>
        <v/>
      </c>
      <c r="D1111">
        <f>IFERROR(Table73[[#This Row],[United States 10y]]-Table73[[#This Row],[United States 2y]],#N/A)</f>
        <v/>
      </c>
    </row>
    <row r="1112">
      <c r="A1112" s="6">
        <f>Database!A1111</f>
        <v/>
      </c>
      <c r="B1112">
        <f>IF(VLOOKUP(Table73[[#This Row],[Date]],Database!$A:$E,MATCH($B$1,Database!$A$1:$E$1,),)=0,#N/A,VLOOKUP(Table73[[#This Row],[Date]],Database!$A:$E,MATCH($B$1,Database!$A$1:$E$1,),))</f>
        <v/>
      </c>
      <c r="C1112">
        <f>IF(VLOOKUP(Table73[[#This Row],[Date]],Database!$A:$C,MATCH($C$1,Database!$A$1:$C$1,),)=0,#N/A,VLOOKUP(Table73[[#This Row],[Date]],Database!$A:$C,MATCH($C$1,Database!$A$1:$C$1,),))</f>
        <v/>
      </c>
      <c r="D1112">
        <f>IFERROR(Table73[[#This Row],[United States 10y]]-Table73[[#This Row],[United States 2y]],#N/A)</f>
        <v/>
      </c>
    </row>
    <row r="1113">
      <c r="A1113" s="6">
        <f>Database!A1112</f>
        <v/>
      </c>
      <c r="B1113">
        <f>IF(VLOOKUP(Table73[[#This Row],[Date]],Database!$A:$E,MATCH($B$1,Database!$A$1:$E$1,),)=0,#N/A,VLOOKUP(Table73[[#This Row],[Date]],Database!$A:$E,MATCH($B$1,Database!$A$1:$E$1,),))</f>
        <v/>
      </c>
      <c r="C1113">
        <f>IF(VLOOKUP(Table73[[#This Row],[Date]],Database!$A:$C,MATCH($C$1,Database!$A$1:$C$1,),)=0,#N/A,VLOOKUP(Table73[[#This Row],[Date]],Database!$A:$C,MATCH($C$1,Database!$A$1:$C$1,),))</f>
        <v/>
      </c>
      <c r="D1113">
        <f>IFERROR(Table73[[#This Row],[United States 10y]]-Table73[[#This Row],[United States 2y]],#N/A)</f>
        <v/>
      </c>
    </row>
    <row r="1114">
      <c r="A1114" s="6">
        <f>Database!A1113</f>
        <v/>
      </c>
      <c r="B1114">
        <f>IF(VLOOKUP(Table73[[#This Row],[Date]],Database!$A:$E,MATCH($B$1,Database!$A$1:$E$1,),)=0,#N/A,VLOOKUP(Table73[[#This Row],[Date]],Database!$A:$E,MATCH($B$1,Database!$A$1:$E$1,),))</f>
        <v/>
      </c>
      <c r="C1114">
        <f>IF(VLOOKUP(Table73[[#This Row],[Date]],Database!$A:$C,MATCH($C$1,Database!$A$1:$C$1,),)=0,#N/A,VLOOKUP(Table73[[#This Row],[Date]],Database!$A:$C,MATCH($C$1,Database!$A$1:$C$1,),))</f>
        <v/>
      </c>
      <c r="D1114">
        <f>IFERROR(Table73[[#This Row],[United States 10y]]-Table73[[#This Row],[United States 2y]],#N/A)</f>
        <v/>
      </c>
    </row>
    <row r="1115">
      <c r="A1115" s="6">
        <f>Database!A1114</f>
        <v/>
      </c>
      <c r="B1115">
        <f>IF(VLOOKUP(Table73[[#This Row],[Date]],Database!$A:$E,MATCH($B$1,Database!$A$1:$E$1,),)=0,#N/A,VLOOKUP(Table73[[#This Row],[Date]],Database!$A:$E,MATCH($B$1,Database!$A$1:$E$1,),))</f>
        <v/>
      </c>
      <c r="C1115">
        <f>IF(VLOOKUP(Table73[[#This Row],[Date]],Database!$A:$C,MATCH($C$1,Database!$A$1:$C$1,),)=0,#N/A,VLOOKUP(Table73[[#This Row],[Date]],Database!$A:$C,MATCH($C$1,Database!$A$1:$C$1,),))</f>
        <v/>
      </c>
      <c r="D1115">
        <f>IFERROR(Table73[[#This Row],[United States 10y]]-Table73[[#This Row],[United States 2y]],#N/A)</f>
        <v/>
      </c>
    </row>
    <row r="1116">
      <c r="A1116" s="6">
        <f>Database!A1115</f>
        <v/>
      </c>
      <c r="B1116">
        <f>IF(VLOOKUP(Table73[[#This Row],[Date]],Database!$A:$E,MATCH($B$1,Database!$A$1:$E$1,),)=0,#N/A,VLOOKUP(Table73[[#This Row],[Date]],Database!$A:$E,MATCH($B$1,Database!$A$1:$E$1,),))</f>
        <v/>
      </c>
      <c r="C1116">
        <f>IF(VLOOKUP(Table73[[#This Row],[Date]],Database!$A:$C,MATCH($C$1,Database!$A$1:$C$1,),)=0,#N/A,VLOOKUP(Table73[[#This Row],[Date]],Database!$A:$C,MATCH($C$1,Database!$A$1:$C$1,),))</f>
        <v/>
      </c>
      <c r="D1116">
        <f>IFERROR(Table73[[#This Row],[United States 10y]]-Table73[[#This Row],[United States 2y]],#N/A)</f>
        <v/>
      </c>
    </row>
    <row r="1117">
      <c r="A1117" s="6">
        <f>Database!A1116</f>
        <v/>
      </c>
      <c r="B1117">
        <f>IF(VLOOKUP(Table73[[#This Row],[Date]],Database!$A:$E,MATCH($B$1,Database!$A$1:$E$1,),)=0,#N/A,VLOOKUP(Table73[[#This Row],[Date]],Database!$A:$E,MATCH($B$1,Database!$A$1:$E$1,),))</f>
        <v/>
      </c>
      <c r="C1117">
        <f>IF(VLOOKUP(Table73[[#This Row],[Date]],Database!$A:$C,MATCH($C$1,Database!$A$1:$C$1,),)=0,#N/A,VLOOKUP(Table73[[#This Row],[Date]],Database!$A:$C,MATCH($C$1,Database!$A$1:$C$1,),))</f>
        <v/>
      </c>
      <c r="D1117">
        <f>IFERROR(Table73[[#This Row],[United States 10y]]-Table73[[#This Row],[United States 2y]],#N/A)</f>
        <v/>
      </c>
    </row>
    <row r="1118">
      <c r="A1118" s="6">
        <f>Database!A1117</f>
        <v/>
      </c>
      <c r="B1118">
        <f>IF(VLOOKUP(Table73[[#This Row],[Date]],Database!$A:$E,MATCH($B$1,Database!$A$1:$E$1,),)=0,#N/A,VLOOKUP(Table73[[#This Row],[Date]],Database!$A:$E,MATCH($B$1,Database!$A$1:$E$1,),))</f>
        <v/>
      </c>
      <c r="C1118">
        <f>IF(VLOOKUP(Table73[[#This Row],[Date]],Database!$A:$C,MATCH($C$1,Database!$A$1:$C$1,),)=0,#N/A,VLOOKUP(Table73[[#This Row],[Date]],Database!$A:$C,MATCH($C$1,Database!$A$1:$C$1,),))</f>
        <v/>
      </c>
      <c r="D1118">
        <f>IFERROR(Table73[[#This Row],[United States 10y]]-Table73[[#This Row],[United States 2y]],#N/A)</f>
        <v/>
      </c>
    </row>
    <row r="1119">
      <c r="A1119" s="6">
        <f>Database!A1118</f>
        <v/>
      </c>
      <c r="B1119">
        <f>IF(VLOOKUP(Table73[[#This Row],[Date]],Database!$A:$E,MATCH($B$1,Database!$A$1:$E$1,),)=0,#N/A,VLOOKUP(Table73[[#This Row],[Date]],Database!$A:$E,MATCH($B$1,Database!$A$1:$E$1,),))</f>
        <v/>
      </c>
      <c r="C1119">
        <f>IF(VLOOKUP(Table73[[#This Row],[Date]],Database!$A:$C,MATCH($C$1,Database!$A$1:$C$1,),)=0,#N/A,VLOOKUP(Table73[[#This Row],[Date]],Database!$A:$C,MATCH($C$1,Database!$A$1:$C$1,),))</f>
        <v/>
      </c>
      <c r="D1119">
        <f>IFERROR(Table73[[#This Row],[United States 10y]]-Table73[[#This Row],[United States 2y]],#N/A)</f>
        <v/>
      </c>
    </row>
    <row r="1120">
      <c r="A1120" s="6">
        <f>Database!A1119</f>
        <v/>
      </c>
      <c r="B1120">
        <f>IF(VLOOKUP(Table73[[#This Row],[Date]],Database!$A:$E,MATCH($B$1,Database!$A$1:$E$1,),)=0,#N/A,VLOOKUP(Table73[[#This Row],[Date]],Database!$A:$E,MATCH($B$1,Database!$A$1:$E$1,),))</f>
        <v/>
      </c>
      <c r="C1120">
        <f>IF(VLOOKUP(Table73[[#This Row],[Date]],Database!$A:$C,MATCH($C$1,Database!$A$1:$C$1,),)=0,#N/A,VLOOKUP(Table73[[#This Row],[Date]],Database!$A:$C,MATCH($C$1,Database!$A$1:$C$1,),))</f>
        <v/>
      </c>
      <c r="D1120">
        <f>IFERROR(Table73[[#This Row],[United States 10y]]-Table73[[#This Row],[United States 2y]],#N/A)</f>
        <v/>
      </c>
    </row>
    <row r="1121">
      <c r="A1121" s="6">
        <f>Database!A1120</f>
        <v/>
      </c>
      <c r="B1121">
        <f>IF(VLOOKUP(Table73[[#This Row],[Date]],Database!$A:$E,MATCH($B$1,Database!$A$1:$E$1,),)=0,#N/A,VLOOKUP(Table73[[#This Row],[Date]],Database!$A:$E,MATCH($B$1,Database!$A$1:$E$1,),))</f>
        <v/>
      </c>
      <c r="C1121">
        <f>IF(VLOOKUP(Table73[[#This Row],[Date]],Database!$A:$C,MATCH($C$1,Database!$A$1:$C$1,),)=0,#N/A,VLOOKUP(Table73[[#This Row],[Date]],Database!$A:$C,MATCH($C$1,Database!$A$1:$C$1,),))</f>
        <v/>
      </c>
      <c r="D1121">
        <f>IFERROR(Table73[[#This Row],[United States 10y]]-Table73[[#This Row],[United States 2y]],#N/A)</f>
        <v/>
      </c>
    </row>
    <row r="1122">
      <c r="A1122" s="6">
        <f>Database!A1121</f>
        <v/>
      </c>
      <c r="B1122">
        <f>IF(VLOOKUP(Table73[[#This Row],[Date]],Database!$A:$E,MATCH($B$1,Database!$A$1:$E$1,),)=0,#N/A,VLOOKUP(Table73[[#This Row],[Date]],Database!$A:$E,MATCH($B$1,Database!$A$1:$E$1,),))</f>
        <v/>
      </c>
      <c r="C1122">
        <f>IF(VLOOKUP(Table73[[#This Row],[Date]],Database!$A:$C,MATCH($C$1,Database!$A$1:$C$1,),)=0,#N/A,VLOOKUP(Table73[[#This Row],[Date]],Database!$A:$C,MATCH($C$1,Database!$A$1:$C$1,),))</f>
        <v/>
      </c>
      <c r="D1122">
        <f>IFERROR(Table73[[#This Row],[United States 10y]]-Table73[[#This Row],[United States 2y]],#N/A)</f>
        <v/>
      </c>
    </row>
    <row r="1123">
      <c r="A1123" s="6">
        <f>Database!A1122</f>
        <v/>
      </c>
      <c r="B1123">
        <f>IF(VLOOKUP(Table73[[#This Row],[Date]],Database!$A:$E,MATCH($B$1,Database!$A$1:$E$1,),)=0,#N/A,VLOOKUP(Table73[[#This Row],[Date]],Database!$A:$E,MATCH($B$1,Database!$A$1:$E$1,),))</f>
        <v/>
      </c>
      <c r="C1123">
        <f>IF(VLOOKUP(Table73[[#This Row],[Date]],Database!$A:$C,MATCH($C$1,Database!$A$1:$C$1,),)=0,#N/A,VLOOKUP(Table73[[#This Row],[Date]],Database!$A:$C,MATCH($C$1,Database!$A$1:$C$1,),))</f>
        <v/>
      </c>
      <c r="D1123">
        <f>IFERROR(Table73[[#This Row],[United States 10y]]-Table73[[#This Row],[United States 2y]],#N/A)</f>
        <v/>
      </c>
    </row>
    <row r="1124">
      <c r="A1124" s="6">
        <f>Database!A1123</f>
        <v/>
      </c>
      <c r="B1124">
        <f>IF(VLOOKUP(Table73[[#This Row],[Date]],Database!$A:$E,MATCH($B$1,Database!$A$1:$E$1,),)=0,#N/A,VLOOKUP(Table73[[#This Row],[Date]],Database!$A:$E,MATCH($B$1,Database!$A$1:$E$1,),))</f>
        <v/>
      </c>
      <c r="C1124">
        <f>IF(VLOOKUP(Table73[[#This Row],[Date]],Database!$A:$C,MATCH($C$1,Database!$A$1:$C$1,),)=0,#N/A,VLOOKUP(Table73[[#This Row],[Date]],Database!$A:$C,MATCH($C$1,Database!$A$1:$C$1,),))</f>
        <v/>
      </c>
      <c r="D1124">
        <f>IFERROR(Table73[[#This Row],[United States 10y]]-Table73[[#This Row],[United States 2y]],#N/A)</f>
        <v/>
      </c>
    </row>
    <row r="1125">
      <c r="A1125" s="6">
        <f>Database!A1124</f>
        <v/>
      </c>
      <c r="B1125">
        <f>IF(VLOOKUP(Table73[[#This Row],[Date]],Database!$A:$E,MATCH($B$1,Database!$A$1:$E$1,),)=0,#N/A,VLOOKUP(Table73[[#This Row],[Date]],Database!$A:$E,MATCH($B$1,Database!$A$1:$E$1,),))</f>
        <v/>
      </c>
      <c r="C1125">
        <f>IF(VLOOKUP(Table73[[#This Row],[Date]],Database!$A:$C,MATCH($C$1,Database!$A$1:$C$1,),)=0,#N/A,VLOOKUP(Table73[[#This Row],[Date]],Database!$A:$C,MATCH($C$1,Database!$A$1:$C$1,),))</f>
        <v/>
      </c>
      <c r="D1125">
        <f>IFERROR(Table73[[#This Row],[United States 10y]]-Table73[[#This Row],[United States 2y]],#N/A)</f>
        <v/>
      </c>
    </row>
    <row r="1126">
      <c r="A1126" s="6">
        <f>Database!A1125</f>
        <v/>
      </c>
      <c r="B1126">
        <f>IF(VLOOKUP(Table73[[#This Row],[Date]],Database!$A:$E,MATCH($B$1,Database!$A$1:$E$1,),)=0,#N/A,VLOOKUP(Table73[[#This Row],[Date]],Database!$A:$E,MATCH($B$1,Database!$A$1:$E$1,),))</f>
        <v/>
      </c>
      <c r="C1126">
        <f>IF(VLOOKUP(Table73[[#This Row],[Date]],Database!$A:$C,MATCH($C$1,Database!$A$1:$C$1,),)=0,#N/A,VLOOKUP(Table73[[#This Row],[Date]],Database!$A:$C,MATCH($C$1,Database!$A$1:$C$1,),))</f>
        <v/>
      </c>
      <c r="D1126">
        <f>IFERROR(Table73[[#This Row],[United States 10y]]-Table73[[#This Row],[United States 2y]],#N/A)</f>
        <v/>
      </c>
    </row>
    <row r="1127">
      <c r="A1127" s="6">
        <f>Database!A1126</f>
        <v/>
      </c>
      <c r="B1127">
        <f>IF(VLOOKUP(Table73[[#This Row],[Date]],Database!$A:$E,MATCH($B$1,Database!$A$1:$E$1,),)=0,#N/A,VLOOKUP(Table73[[#This Row],[Date]],Database!$A:$E,MATCH($B$1,Database!$A$1:$E$1,),))</f>
        <v/>
      </c>
      <c r="C1127">
        <f>IF(VLOOKUP(Table73[[#This Row],[Date]],Database!$A:$C,MATCH($C$1,Database!$A$1:$C$1,),)=0,#N/A,VLOOKUP(Table73[[#This Row],[Date]],Database!$A:$C,MATCH($C$1,Database!$A$1:$C$1,),))</f>
        <v/>
      </c>
      <c r="D1127">
        <f>IFERROR(Table73[[#This Row],[United States 10y]]-Table73[[#This Row],[United States 2y]],#N/A)</f>
        <v/>
      </c>
    </row>
    <row r="1128">
      <c r="A1128" s="6">
        <f>Database!A1127</f>
        <v/>
      </c>
      <c r="B1128">
        <f>IF(VLOOKUP(Table73[[#This Row],[Date]],Database!$A:$E,MATCH($B$1,Database!$A$1:$E$1,),)=0,#N/A,VLOOKUP(Table73[[#This Row],[Date]],Database!$A:$E,MATCH($B$1,Database!$A$1:$E$1,),))</f>
        <v/>
      </c>
      <c r="C1128">
        <f>IF(VLOOKUP(Table73[[#This Row],[Date]],Database!$A:$C,MATCH($C$1,Database!$A$1:$C$1,),)=0,#N/A,VLOOKUP(Table73[[#This Row],[Date]],Database!$A:$C,MATCH($C$1,Database!$A$1:$C$1,),))</f>
        <v/>
      </c>
      <c r="D1128">
        <f>IFERROR(Table73[[#This Row],[United States 10y]]-Table73[[#This Row],[United States 2y]],#N/A)</f>
        <v/>
      </c>
    </row>
    <row r="1129">
      <c r="A1129" s="6">
        <f>Database!A1128</f>
        <v/>
      </c>
      <c r="B1129">
        <f>IF(VLOOKUP(Table73[[#This Row],[Date]],Database!$A:$E,MATCH($B$1,Database!$A$1:$E$1,),)=0,#N/A,VLOOKUP(Table73[[#This Row],[Date]],Database!$A:$E,MATCH($B$1,Database!$A$1:$E$1,),))</f>
        <v/>
      </c>
      <c r="C1129">
        <f>IF(VLOOKUP(Table73[[#This Row],[Date]],Database!$A:$C,MATCH($C$1,Database!$A$1:$C$1,),)=0,#N/A,VLOOKUP(Table73[[#This Row],[Date]],Database!$A:$C,MATCH($C$1,Database!$A$1:$C$1,),))</f>
        <v/>
      </c>
      <c r="D1129">
        <f>IFERROR(Table73[[#This Row],[United States 10y]]-Table73[[#This Row],[United States 2y]],#N/A)</f>
        <v/>
      </c>
    </row>
    <row r="1130">
      <c r="A1130" s="6">
        <f>Database!A1129</f>
        <v/>
      </c>
      <c r="B1130">
        <f>IF(VLOOKUP(Table73[[#This Row],[Date]],Database!$A:$E,MATCH($B$1,Database!$A$1:$E$1,),)=0,#N/A,VLOOKUP(Table73[[#This Row],[Date]],Database!$A:$E,MATCH($B$1,Database!$A$1:$E$1,),))</f>
        <v/>
      </c>
      <c r="C1130">
        <f>IF(VLOOKUP(Table73[[#This Row],[Date]],Database!$A:$C,MATCH($C$1,Database!$A$1:$C$1,),)=0,#N/A,VLOOKUP(Table73[[#This Row],[Date]],Database!$A:$C,MATCH($C$1,Database!$A$1:$C$1,),))</f>
        <v/>
      </c>
      <c r="D1130">
        <f>IFERROR(Table73[[#This Row],[United States 10y]]-Table73[[#This Row],[United States 2y]],#N/A)</f>
        <v/>
      </c>
    </row>
    <row r="1131">
      <c r="A1131" s="6">
        <f>Database!A1130</f>
        <v/>
      </c>
      <c r="B1131">
        <f>IF(VLOOKUP(Table73[[#This Row],[Date]],Database!$A:$E,MATCH($B$1,Database!$A$1:$E$1,),)=0,#N/A,VLOOKUP(Table73[[#This Row],[Date]],Database!$A:$E,MATCH($B$1,Database!$A$1:$E$1,),))</f>
        <v/>
      </c>
      <c r="C1131">
        <f>IF(VLOOKUP(Table73[[#This Row],[Date]],Database!$A:$C,MATCH($C$1,Database!$A$1:$C$1,),)=0,#N/A,VLOOKUP(Table73[[#This Row],[Date]],Database!$A:$C,MATCH($C$1,Database!$A$1:$C$1,),))</f>
        <v/>
      </c>
      <c r="D1131">
        <f>IFERROR(Table73[[#This Row],[United States 10y]]-Table73[[#This Row],[United States 2y]],#N/A)</f>
        <v/>
      </c>
    </row>
    <row r="1132">
      <c r="A1132" s="6">
        <f>Database!A1131</f>
        <v/>
      </c>
      <c r="B1132">
        <f>IF(VLOOKUP(Table73[[#This Row],[Date]],Database!$A:$E,MATCH($B$1,Database!$A$1:$E$1,),)=0,#N/A,VLOOKUP(Table73[[#This Row],[Date]],Database!$A:$E,MATCH($B$1,Database!$A$1:$E$1,),))</f>
        <v/>
      </c>
      <c r="C1132">
        <f>IF(VLOOKUP(Table73[[#This Row],[Date]],Database!$A:$C,MATCH($C$1,Database!$A$1:$C$1,),)=0,#N/A,VLOOKUP(Table73[[#This Row],[Date]],Database!$A:$C,MATCH($C$1,Database!$A$1:$C$1,),))</f>
        <v/>
      </c>
      <c r="D1132">
        <f>IFERROR(Table73[[#This Row],[United States 10y]]-Table73[[#This Row],[United States 2y]],#N/A)</f>
        <v/>
      </c>
    </row>
    <row r="1133">
      <c r="A1133" s="6">
        <f>Database!A1132</f>
        <v/>
      </c>
      <c r="B1133">
        <f>IF(VLOOKUP(Table73[[#This Row],[Date]],Database!$A:$E,MATCH($B$1,Database!$A$1:$E$1,),)=0,#N/A,VLOOKUP(Table73[[#This Row],[Date]],Database!$A:$E,MATCH($B$1,Database!$A$1:$E$1,),))</f>
        <v/>
      </c>
      <c r="C1133">
        <f>IF(VLOOKUP(Table73[[#This Row],[Date]],Database!$A:$C,MATCH($C$1,Database!$A$1:$C$1,),)=0,#N/A,VLOOKUP(Table73[[#This Row],[Date]],Database!$A:$C,MATCH($C$1,Database!$A$1:$C$1,),))</f>
        <v/>
      </c>
      <c r="D1133">
        <f>IFERROR(Table73[[#This Row],[United States 10y]]-Table73[[#This Row],[United States 2y]],#N/A)</f>
        <v/>
      </c>
    </row>
    <row r="1134">
      <c r="A1134" s="6">
        <f>Database!A1133</f>
        <v/>
      </c>
      <c r="B1134">
        <f>IF(VLOOKUP(Table73[[#This Row],[Date]],Database!$A:$E,MATCH($B$1,Database!$A$1:$E$1,),)=0,#N/A,VLOOKUP(Table73[[#This Row],[Date]],Database!$A:$E,MATCH($B$1,Database!$A$1:$E$1,),))</f>
        <v/>
      </c>
      <c r="C1134">
        <f>IF(VLOOKUP(Table73[[#This Row],[Date]],Database!$A:$C,MATCH($C$1,Database!$A$1:$C$1,),)=0,#N/A,VLOOKUP(Table73[[#This Row],[Date]],Database!$A:$C,MATCH($C$1,Database!$A$1:$C$1,),))</f>
        <v/>
      </c>
      <c r="D1134">
        <f>IFERROR(Table73[[#This Row],[United States 10y]]-Table73[[#This Row],[United States 2y]],#N/A)</f>
        <v/>
      </c>
    </row>
    <row r="1135">
      <c r="A1135" s="6">
        <f>Database!A1134</f>
        <v/>
      </c>
      <c r="B1135">
        <f>IF(VLOOKUP(Table73[[#This Row],[Date]],Database!$A:$E,MATCH($B$1,Database!$A$1:$E$1,),)=0,#N/A,VLOOKUP(Table73[[#This Row],[Date]],Database!$A:$E,MATCH($B$1,Database!$A$1:$E$1,),))</f>
        <v/>
      </c>
      <c r="C1135">
        <f>IF(VLOOKUP(Table73[[#This Row],[Date]],Database!$A:$C,MATCH($C$1,Database!$A$1:$C$1,),)=0,#N/A,VLOOKUP(Table73[[#This Row],[Date]],Database!$A:$C,MATCH($C$1,Database!$A$1:$C$1,),))</f>
        <v/>
      </c>
      <c r="D1135">
        <f>IFERROR(Table73[[#This Row],[United States 10y]]-Table73[[#This Row],[United States 2y]],#N/A)</f>
        <v/>
      </c>
    </row>
    <row r="1136">
      <c r="A1136" s="6">
        <f>Database!A1135</f>
        <v/>
      </c>
      <c r="B1136">
        <f>IF(VLOOKUP(Table73[[#This Row],[Date]],Database!$A:$E,MATCH($B$1,Database!$A$1:$E$1,),)=0,#N/A,VLOOKUP(Table73[[#This Row],[Date]],Database!$A:$E,MATCH($B$1,Database!$A$1:$E$1,),))</f>
        <v/>
      </c>
      <c r="C1136">
        <f>IF(VLOOKUP(Table73[[#This Row],[Date]],Database!$A:$C,MATCH($C$1,Database!$A$1:$C$1,),)=0,#N/A,VLOOKUP(Table73[[#This Row],[Date]],Database!$A:$C,MATCH($C$1,Database!$A$1:$C$1,),))</f>
        <v/>
      </c>
      <c r="D1136">
        <f>IFERROR(Table73[[#This Row],[United States 10y]]-Table73[[#This Row],[United States 2y]],#N/A)</f>
        <v/>
      </c>
    </row>
    <row r="1137">
      <c r="A1137" s="6">
        <f>Database!A1136</f>
        <v/>
      </c>
      <c r="B1137">
        <f>IF(VLOOKUP(Table73[[#This Row],[Date]],Database!$A:$E,MATCH($B$1,Database!$A$1:$E$1,),)=0,#N/A,VLOOKUP(Table73[[#This Row],[Date]],Database!$A:$E,MATCH($B$1,Database!$A$1:$E$1,),))</f>
        <v/>
      </c>
      <c r="C1137">
        <f>IF(VLOOKUP(Table73[[#This Row],[Date]],Database!$A:$C,MATCH($C$1,Database!$A$1:$C$1,),)=0,#N/A,VLOOKUP(Table73[[#This Row],[Date]],Database!$A:$C,MATCH($C$1,Database!$A$1:$C$1,),))</f>
        <v/>
      </c>
      <c r="D1137">
        <f>IFERROR(Table73[[#This Row],[United States 10y]]-Table73[[#This Row],[United States 2y]],#N/A)</f>
        <v/>
      </c>
    </row>
    <row r="1138">
      <c r="A1138" s="6">
        <f>Database!A1137</f>
        <v/>
      </c>
      <c r="B1138">
        <f>IF(VLOOKUP(Table73[[#This Row],[Date]],Database!$A:$E,MATCH($B$1,Database!$A$1:$E$1,),)=0,#N/A,VLOOKUP(Table73[[#This Row],[Date]],Database!$A:$E,MATCH($B$1,Database!$A$1:$E$1,),))</f>
        <v/>
      </c>
      <c r="C1138">
        <f>IF(VLOOKUP(Table73[[#This Row],[Date]],Database!$A:$C,MATCH($C$1,Database!$A$1:$C$1,),)=0,#N/A,VLOOKUP(Table73[[#This Row],[Date]],Database!$A:$C,MATCH($C$1,Database!$A$1:$C$1,),))</f>
        <v/>
      </c>
      <c r="D1138">
        <f>IFERROR(Table73[[#This Row],[United States 10y]]-Table73[[#This Row],[United States 2y]],#N/A)</f>
        <v/>
      </c>
    </row>
    <row r="1139">
      <c r="A1139" s="6">
        <f>Database!A1138</f>
        <v/>
      </c>
      <c r="B1139">
        <f>IF(VLOOKUP(Table73[[#This Row],[Date]],Database!$A:$E,MATCH($B$1,Database!$A$1:$E$1,),)=0,#N/A,VLOOKUP(Table73[[#This Row],[Date]],Database!$A:$E,MATCH($B$1,Database!$A$1:$E$1,),))</f>
        <v/>
      </c>
      <c r="C1139">
        <f>IF(VLOOKUP(Table73[[#This Row],[Date]],Database!$A:$C,MATCH($C$1,Database!$A$1:$C$1,),)=0,#N/A,VLOOKUP(Table73[[#This Row],[Date]],Database!$A:$C,MATCH($C$1,Database!$A$1:$C$1,),))</f>
        <v/>
      </c>
      <c r="D1139">
        <f>IFERROR(Table73[[#This Row],[United States 10y]]-Table73[[#This Row],[United States 2y]],#N/A)</f>
        <v/>
      </c>
    </row>
    <row r="1140">
      <c r="A1140" s="6">
        <f>Database!A1139</f>
        <v/>
      </c>
      <c r="B1140">
        <f>IF(VLOOKUP(Table73[[#This Row],[Date]],Database!$A:$E,MATCH($B$1,Database!$A$1:$E$1,),)=0,#N/A,VLOOKUP(Table73[[#This Row],[Date]],Database!$A:$E,MATCH($B$1,Database!$A$1:$E$1,),))</f>
        <v/>
      </c>
      <c r="C1140">
        <f>IF(VLOOKUP(Table73[[#This Row],[Date]],Database!$A:$C,MATCH($C$1,Database!$A$1:$C$1,),)=0,#N/A,VLOOKUP(Table73[[#This Row],[Date]],Database!$A:$C,MATCH($C$1,Database!$A$1:$C$1,),))</f>
        <v/>
      </c>
      <c r="D1140">
        <f>IFERROR(Table73[[#This Row],[United States 10y]]-Table73[[#This Row],[United States 2y]],#N/A)</f>
        <v/>
      </c>
    </row>
    <row r="1141">
      <c r="A1141" s="6">
        <f>Database!A1140</f>
        <v/>
      </c>
      <c r="B1141">
        <f>IF(VLOOKUP(Table73[[#This Row],[Date]],Database!$A:$E,MATCH($B$1,Database!$A$1:$E$1,),)=0,#N/A,VLOOKUP(Table73[[#This Row],[Date]],Database!$A:$E,MATCH($B$1,Database!$A$1:$E$1,),))</f>
        <v/>
      </c>
      <c r="C1141">
        <f>IF(VLOOKUP(Table73[[#This Row],[Date]],Database!$A:$C,MATCH($C$1,Database!$A$1:$C$1,),)=0,#N/A,VLOOKUP(Table73[[#This Row],[Date]],Database!$A:$C,MATCH($C$1,Database!$A$1:$C$1,),))</f>
        <v/>
      </c>
      <c r="D1141">
        <f>IFERROR(Table73[[#This Row],[United States 10y]]-Table73[[#This Row],[United States 2y]],#N/A)</f>
        <v/>
      </c>
    </row>
    <row r="1142">
      <c r="A1142" s="6">
        <f>Database!A1141</f>
        <v/>
      </c>
      <c r="B1142">
        <f>IF(VLOOKUP(Table73[[#This Row],[Date]],Database!$A:$E,MATCH($B$1,Database!$A$1:$E$1,),)=0,#N/A,VLOOKUP(Table73[[#This Row],[Date]],Database!$A:$E,MATCH($B$1,Database!$A$1:$E$1,),))</f>
        <v/>
      </c>
      <c r="C1142">
        <f>IF(VLOOKUP(Table73[[#This Row],[Date]],Database!$A:$C,MATCH($C$1,Database!$A$1:$C$1,),)=0,#N/A,VLOOKUP(Table73[[#This Row],[Date]],Database!$A:$C,MATCH($C$1,Database!$A$1:$C$1,),))</f>
        <v/>
      </c>
      <c r="D1142">
        <f>IFERROR(Table73[[#This Row],[United States 10y]]-Table73[[#This Row],[United States 2y]],#N/A)</f>
        <v/>
      </c>
    </row>
    <row r="1143">
      <c r="A1143" s="6">
        <f>Database!A1142</f>
        <v/>
      </c>
      <c r="B1143">
        <f>IF(VLOOKUP(Table73[[#This Row],[Date]],Database!$A:$E,MATCH($B$1,Database!$A$1:$E$1,),)=0,#N/A,VLOOKUP(Table73[[#This Row],[Date]],Database!$A:$E,MATCH($B$1,Database!$A$1:$E$1,),))</f>
        <v/>
      </c>
      <c r="C1143">
        <f>IF(VLOOKUP(Table73[[#This Row],[Date]],Database!$A:$C,MATCH($C$1,Database!$A$1:$C$1,),)=0,#N/A,VLOOKUP(Table73[[#This Row],[Date]],Database!$A:$C,MATCH($C$1,Database!$A$1:$C$1,),))</f>
        <v/>
      </c>
      <c r="D1143">
        <f>IFERROR(Table73[[#This Row],[United States 10y]]-Table73[[#This Row],[United States 2y]],#N/A)</f>
        <v/>
      </c>
    </row>
    <row r="1144">
      <c r="A1144" s="6">
        <f>Database!A1143</f>
        <v/>
      </c>
      <c r="B1144">
        <f>IF(VLOOKUP(Table73[[#This Row],[Date]],Database!$A:$E,MATCH($B$1,Database!$A$1:$E$1,),)=0,#N/A,VLOOKUP(Table73[[#This Row],[Date]],Database!$A:$E,MATCH($B$1,Database!$A$1:$E$1,),))</f>
        <v/>
      </c>
      <c r="C1144">
        <f>IF(VLOOKUP(Table73[[#This Row],[Date]],Database!$A:$C,MATCH($C$1,Database!$A$1:$C$1,),)=0,#N/A,VLOOKUP(Table73[[#This Row],[Date]],Database!$A:$C,MATCH($C$1,Database!$A$1:$C$1,),))</f>
        <v/>
      </c>
      <c r="D1144">
        <f>IFERROR(Table73[[#This Row],[United States 10y]]-Table73[[#This Row],[United States 2y]],#N/A)</f>
        <v/>
      </c>
    </row>
    <row r="1145">
      <c r="A1145" s="6">
        <f>Database!A1144</f>
        <v/>
      </c>
      <c r="B1145">
        <f>IF(VLOOKUP(Table73[[#This Row],[Date]],Database!$A:$E,MATCH($B$1,Database!$A$1:$E$1,),)=0,#N/A,VLOOKUP(Table73[[#This Row],[Date]],Database!$A:$E,MATCH($B$1,Database!$A$1:$E$1,),))</f>
        <v/>
      </c>
      <c r="C1145">
        <f>IF(VLOOKUP(Table73[[#This Row],[Date]],Database!$A:$C,MATCH($C$1,Database!$A$1:$C$1,),)=0,#N/A,VLOOKUP(Table73[[#This Row],[Date]],Database!$A:$C,MATCH($C$1,Database!$A$1:$C$1,),))</f>
        <v/>
      </c>
      <c r="D1145">
        <f>IFERROR(Table73[[#This Row],[United States 10y]]-Table73[[#This Row],[United States 2y]],#N/A)</f>
        <v/>
      </c>
    </row>
    <row r="1146">
      <c r="A1146" s="6">
        <f>Database!A1145</f>
        <v/>
      </c>
      <c r="B1146">
        <f>IF(VLOOKUP(Table73[[#This Row],[Date]],Database!$A:$E,MATCH($B$1,Database!$A$1:$E$1,),)=0,#N/A,VLOOKUP(Table73[[#This Row],[Date]],Database!$A:$E,MATCH($B$1,Database!$A$1:$E$1,),))</f>
        <v/>
      </c>
      <c r="C1146">
        <f>IF(VLOOKUP(Table73[[#This Row],[Date]],Database!$A:$C,MATCH($C$1,Database!$A$1:$C$1,),)=0,#N/A,VLOOKUP(Table73[[#This Row],[Date]],Database!$A:$C,MATCH($C$1,Database!$A$1:$C$1,),))</f>
        <v/>
      </c>
      <c r="D1146">
        <f>IFERROR(Table73[[#This Row],[United States 10y]]-Table73[[#This Row],[United States 2y]],#N/A)</f>
        <v/>
      </c>
    </row>
    <row r="1147">
      <c r="A1147" s="6">
        <f>Database!A1146</f>
        <v/>
      </c>
      <c r="B1147">
        <f>IF(VLOOKUP(Table73[[#This Row],[Date]],Database!$A:$E,MATCH($B$1,Database!$A$1:$E$1,),)=0,#N/A,VLOOKUP(Table73[[#This Row],[Date]],Database!$A:$E,MATCH($B$1,Database!$A$1:$E$1,),))</f>
        <v/>
      </c>
      <c r="C1147">
        <f>IF(VLOOKUP(Table73[[#This Row],[Date]],Database!$A:$C,MATCH($C$1,Database!$A$1:$C$1,),)=0,#N/A,VLOOKUP(Table73[[#This Row],[Date]],Database!$A:$C,MATCH($C$1,Database!$A$1:$C$1,),))</f>
        <v/>
      </c>
      <c r="D1147">
        <f>IFERROR(Table73[[#This Row],[United States 10y]]-Table73[[#This Row],[United States 2y]],#N/A)</f>
        <v/>
      </c>
    </row>
    <row r="1148">
      <c r="A1148" s="6">
        <f>Database!A1147</f>
        <v/>
      </c>
      <c r="B1148">
        <f>IF(VLOOKUP(Table73[[#This Row],[Date]],Database!$A:$E,MATCH($B$1,Database!$A$1:$E$1,),)=0,#N/A,VLOOKUP(Table73[[#This Row],[Date]],Database!$A:$E,MATCH($B$1,Database!$A$1:$E$1,),))</f>
        <v/>
      </c>
      <c r="C1148">
        <f>IF(VLOOKUP(Table73[[#This Row],[Date]],Database!$A:$C,MATCH($C$1,Database!$A$1:$C$1,),)=0,#N/A,VLOOKUP(Table73[[#This Row],[Date]],Database!$A:$C,MATCH($C$1,Database!$A$1:$C$1,),))</f>
        <v/>
      </c>
      <c r="D1148">
        <f>IFERROR(Table73[[#This Row],[United States 10y]]-Table73[[#This Row],[United States 2y]],#N/A)</f>
        <v/>
      </c>
    </row>
    <row r="1149">
      <c r="A1149" s="6">
        <f>Database!A1148</f>
        <v/>
      </c>
      <c r="B1149">
        <f>IF(VLOOKUP(Table73[[#This Row],[Date]],Database!$A:$E,MATCH($B$1,Database!$A$1:$E$1,),)=0,#N/A,VLOOKUP(Table73[[#This Row],[Date]],Database!$A:$E,MATCH($B$1,Database!$A$1:$E$1,),))</f>
        <v/>
      </c>
      <c r="C1149">
        <f>IF(VLOOKUP(Table73[[#This Row],[Date]],Database!$A:$C,MATCH($C$1,Database!$A$1:$C$1,),)=0,#N/A,VLOOKUP(Table73[[#This Row],[Date]],Database!$A:$C,MATCH($C$1,Database!$A$1:$C$1,),))</f>
        <v/>
      </c>
      <c r="D1149">
        <f>IFERROR(Table73[[#This Row],[United States 10y]]-Table73[[#This Row],[United States 2y]],#N/A)</f>
        <v/>
      </c>
    </row>
    <row r="1150">
      <c r="A1150" s="6">
        <f>Database!A1149</f>
        <v/>
      </c>
      <c r="B1150">
        <f>IF(VLOOKUP(Table73[[#This Row],[Date]],Database!$A:$E,MATCH($B$1,Database!$A$1:$E$1,),)=0,#N/A,VLOOKUP(Table73[[#This Row],[Date]],Database!$A:$E,MATCH($B$1,Database!$A$1:$E$1,),))</f>
        <v/>
      </c>
      <c r="C1150">
        <f>IF(VLOOKUP(Table73[[#This Row],[Date]],Database!$A:$C,MATCH($C$1,Database!$A$1:$C$1,),)=0,#N/A,VLOOKUP(Table73[[#This Row],[Date]],Database!$A:$C,MATCH($C$1,Database!$A$1:$C$1,),))</f>
        <v/>
      </c>
      <c r="D1150">
        <f>IFERROR(Table73[[#This Row],[United States 10y]]-Table73[[#This Row],[United States 2y]],#N/A)</f>
        <v/>
      </c>
    </row>
    <row r="1151">
      <c r="A1151" s="6">
        <f>Database!A1150</f>
        <v/>
      </c>
      <c r="B1151">
        <f>IF(VLOOKUP(Table73[[#This Row],[Date]],Database!$A:$E,MATCH($B$1,Database!$A$1:$E$1,),)=0,#N/A,VLOOKUP(Table73[[#This Row],[Date]],Database!$A:$E,MATCH($B$1,Database!$A$1:$E$1,),))</f>
        <v/>
      </c>
      <c r="C1151">
        <f>IF(VLOOKUP(Table73[[#This Row],[Date]],Database!$A:$C,MATCH($C$1,Database!$A$1:$C$1,),)=0,#N/A,VLOOKUP(Table73[[#This Row],[Date]],Database!$A:$C,MATCH($C$1,Database!$A$1:$C$1,),))</f>
        <v/>
      </c>
      <c r="D1151">
        <f>IFERROR(Table73[[#This Row],[United States 10y]]-Table73[[#This Row],[United States 2y]],#N/A)</f>
        <v/>
      </c>
    </row>
    <row r="1152">
      <c r="A1152" s="6">
        <f>Database!A1151</f>
        <v/>
      </c>
      <c r="B1152">
        <f>IF(VLOOKUP(Table73[[#This Row],[Date]],Database!$A:$E,MATCH($B$1,Database!$A$1:$E$1,),)=0,#N/A,VLOOKUP(Table73[[#This Row],[Date]],Database!$A:$E,MATCH($B$1,Database!$A$1:$E$1,),))</f>
        <v/>
      </c>
      <c r="C1152">
        <f>IF(VLOOKUP(Table73[[#This Row],[Date]],Database!$A:$C,MATCH($C$1,Database!$A$1:$C$1,),)=0,#N/A,VLOOKUP(Table73[[#This Row],[Date]],Database!$A:$C,MATCH($C$1,Database!$A$1:$C$1,),))</f>
        <v/>
      </c>
      <c r="D1152">
        <f>IFERROR(Table73[[#This Row],[United States 10y]]-Table73[[#This Row],[United States 2y]],#N/A)</f>
        <v/>
      </c>
    </row>
    <row r="1153">
      <c r="A1153" s="6">
        <f>Database!A1152</f>
        <v/>
      </c>
      <c r="B1153">
        <f>IF(VLOOKUP(Table73[[#This Row],[Date]],Database!$A:$E,MATCH($B$1,Database!$A$1:$E$1,),)=0,#N/A,VLOOKUP(Table73[[#This Row],[Date]],Database!$A:$E,MATCH($B$1,Database!$A$1:$E$1,),))</f>
        <v/>
      </c>
      <c r="C1153">
        <f>IF(VLOOKUP(Table73[[#This Row],[Date]],Database!$A:$C,MATCH($C$1,Database!$A$1:$C$1,),)=0,#N/A,VLOOKUP(Table73[[#This Row],[Date]],Database!$A:$C,MATCH($C$1,Database!$A$1:$C$1,),))</f>
        <v/>
      </c>
      <c r="D1153">
        <f>IFERROR(Table73[[#This Row],[United States 10y]]-Table73[[#This Row],[United States 2y]],#N/A)</f>
        <v/>
      </c>
    </row>
    <row r="1154">
      <c r="A1154" s="6">
        <f>Database!A1153</f>
        <v/>
      </c>
      <c r="B1154">
        <f>IF(VLOOKUP(Table73[[#This Row],[Date]],Database!$A:$E,MATCH($B$1,Database!$A$1:$E$1,),)=0,#N/A,VLOOKUP(Table73[[#This Row],[Date]],Database!$A:$E,MATCH($B$1,Database!$A$1:$E$1,),))</f>
        <v/>
      </c>
      <c r="C1154">
        <f>IF(VLOOKUP(Table73[[#This Row],[Date]],Database!$A:$C,MATCH($C$1,Database!$A$1:$C$1,),)=0,#N/A,VLOOKUP(Table73[[#This Row],[Date]],Database!$A:$C,MATCH($C$1,Database!$A$1:$C$1,),))</f>
        <v/>
      </c>
      <c r="D1154">
        <f>IFERROR(Table73[[#This Row],[United States 10y]]-Table73[[#This Row],[United States 2y]],#N/A)</f>
        <v/>
      </c>
    </row>
    <row r="1155">
      <c r="A1155" s="6">
        <f>Database!A1154</f>
        <v/>
      </c>
      <c r="B1155">
        <f>IF(VLOOKUP(Table73[[#This Row],[Date]],Database!$A:$E,MATCH($B$1,Database!$A$1:$E$1,),)=0,#N/A,VLOOKUP(Table73[[#This Row],[Date]],Database!$A:$E,MATCH($B$1,Database!$A$1:$E$1,),))</f>
        <v/>
      </c>
      <c r="C1155">
        <f>IF(VLOOKUP(Table73[[#This Row],[Date]],Database!$A:$C,MATCH($C$1,Database!$A$1:$C$1,),)=0,#N/A,VLOOKUP(Table73[[#This Row],[Date]],Database!$A:$C,MATCH($C$1,Database!$A$1:$C$1,),))</f>
        <v/>
      </c>
      <c r="D1155">
        <f>IFERROR(Table73[[#This Row],[United States 10y]]-Table73[[#This Row],[United States 2y]],#N/A)</f>
        <v/>
      </c>
    </row>
    <row r="1156">
      <c r="A1156" s="6">
        <f>Database!A1155</f>
        <v/>
      </c>
      <c r="B1156">
        <f>IF(VLOOKUP(Table73[[#This Row],[Date]],Database!$A:$E,MATCH($B$1,Database!$A$1:$E$1,),)=0,#N/A,VLOOKUP(Table73[[#This Row],[Date]],Database!$A:$E,MATCH($B$1,Database!$A$1:$E$1,),))</f>
        <v/>
      </c>
      <c r="C1156">
        <f>IF(VLOOKUP(Table73[[#This Row],[Date]],Database!$A:$C,MATCH($C$1,Database!$A$1:$C$1,),)=0,#N/A,VLOOKUP(Table73[[#This Row],[Date]],Database!$A:$C,MATCH($C$1,Database!$A$1:$C$1,),))</f>
        <v/>
      </c>
      <c r="D1156">
        <f>IFERROR(Table73[[#This Row],[United States 10y]]-Table73[[#This Row],[United States 2y]],#N/A)</f>
        <v/>
      </c>
    </row>
    <row r="1157">
      <c r="A1157" s="6">
        <f>Database!A1156</f>
        <v/>
      </c>
      <c r="B1157">
        <f>IF(VLOOKUP(Table73[[#This Row],[Date]],Database!$A:$E,MATCH($B$1,Database!$A$1:$E$1,),)=0,#N/A,VLOOKUP(Table73[[#This Row],[Date]],Database!$A:$E,MATCH($B$1,Database!$A$1:$E$1,),))</f>
        <v/>
      </c>
      <c r="C1157">
        <f>IF(VLOOKUP(Table73[[#This Row],[Date]],Database!$A:$C,MATCH($C$1,Database!$A$1:$C$1,),)=0,#N/A,VLOOKUP(Table73[[#This Row],[Date]],Database!$A:$C,MATCH($C$1,Database!$A$1:$C$1,),))</f>
        <v/>
      </c>
      <c r="D1157">
        <f>IFERROR(Table73[[#This Row],[United States 10y]]-Table73[[#This Row],[United States 2y]],#N/A)</f>
        <v/>
      </c>
    </row>
    <row r="1158">
      <c r="A1158" s="6">
        <f>Database!A1157</f>
        <v/>
      </c>
      <c r="B1158">
        <f>IF(VLOOKUP(Table73[[#This Row],[Date]],Database!$A:$E,MATCH($B$1,Database!$A$1:$E$1,),)=0,#N/A,VLOOKUP(Table73[[#This Row],[Date]],Database!$A:$E,MATCH($B$1,Database!$A$1:$E$1,),))</f>
        <v/>
      </c>
      <c r="C1158">
        <f>IF(VLOOKUP(Table73[[#This Row],[Date]],Database!$A:$C,MATCH($C$1,Database!$A$1:$C$1,),)=0,#N/A,VLOOKUP(Table73[[#This Row],[Date]],Database!$A:$C,MATCH($C$1,Database!$A$1:$C$1,),))</f>
        <v/>
      </c>
      <c r="D1158">
        <f>IFERROR(Table73[[#This Row],[United States 10y]]-Table73[[#This Row],[United States 2y]],#N/A)</f>
        <v/>
      </c>
    </row>
    <row r="1159">
      <c r="A1159" s="6">
        <f>Database!A1158</f>
        <v/>
      </c>
      <c r="B1159">
        <f>IF(VLOOKUP(Table73[[#This Row],[Date]],Database!$A:$E,MATCH($B$1,Database!$A$1:$E$1,),)=0,#N/A,VLOOKUP(Table73[[#This Row],[Date]],Database!$A:$E,MATCH($B$1,Database!$A$1:$E$1,),))</f>
        <v/>
      </c>
      <c r="C1159">
        <f>IF(VLOOKUP(Table73[[#This Row],[Date]],Database!$A:$C,MATCH($C$1,Database!$A$1:$C$1,),)=0,#N/A,VLOOKUP(Table73[[#This Row],[Date]],Database!$A:$C,MATCH($C$1,Database!$A$1:$C$1,),))</f>
        <v/>
      </c>
      <c r="D1159">
        <f>IFERROR(Table73[[#This Row],[United States 10y]]-Table73[[#This Row],[United States 2y]],#N/A)</f>
        <v/>
      </c>
    </row>
    <row r="1160">
      <c r="A1160" s="6">
        <f>Database!A1159</f>
        <v/>
      </c>
      <c r="B1160">
        <f>IF(VLOOKUP(Table73[[#This Row],[Date]],Database!$A:$E,MATCH($B$1,Database!$A$1:$E$1,),)=0,#N/A,VLOOKUP(Table73[[#This Row],[Date]],Database!$A:$E,MATCH($B$1,Database!$A$1:$E$1,),))</f>
        <v/>
      </c>
      <c r="C1160">
        <f>IF(VLOOKUP(Table73[[#This Row],[Date]],Database!$A:$C,MATCH($C$1,Database!$A$1:$C$1,),)=0,#N/A,VLOOKUP(Table73[[#This Row],[Date]],Database!$A:$C,MATCH($C$1,Database!$A$1:$C$1,),))</f>
        <v/>
      </c>
      <c r="D1160">
        <f>IFERROR(Table73[[#This Row],[United States 10y]]-Table73[[#This Row],[United States 2y]],#N/A)</f>
        <v/>
      </c>
    </row>
    <row r="1161">
      <c r="A1161" s="6">
        <f>Database!A1160</f>
        <v/>
      </c>
      <c r="B1161">
        <f>IF(VLOOKUP(Table73[[#This Row],[Date]],Database!$A:$E,MATCH($B$1,Database!$A$1:$E$1,),)=0,#N/A,VLOOKUP(Table73[[#This Row],[Date]],Database!$A:$E,MATCH($B$1,Database!$A$1:$E$1,),))</f>
        <v/>
      </c>
      <c r="C1161">
        <f>IF(VLOOKUP(Table73[[#This Row],[Date]],Database!$A:$C,MATCH($C$1,Database!$A$1:$C$1,),)=0,#N/A,VLOOKUP(Table73[[#This Row],[Date]],Database!$A:$C,MATCH($C$1,Database!$A$1:$C$1,),))</f>
        <v/>
      </c>
      <c r="D1161">
        <f>IFERROR(Table73[[#This Row],[United States 10y]]-Table73[[#This Row],[United States 2y]],#N/A)</f>
        <v/>
      </c>
    </row>
    <row r="1162">
      <c r="A1162" s="6">
        <f>Database!A1161</f>
        <v/>
      </c>
      <c r="B1162">
        <f>IF(VLOOKUP(Table73[[#This Row],[Date]],Database!$A:$E,MATCH($B$1,Database!$A$1:$E$1,),)=0,#N/A,VLOOKUP(Table73[[#This Row],[Date]],Database!$A:$E,MATCH($B$1,Database!$A$1:$E$1,),))</f>
        <v/>
      </c>
      <c r="C1162">
        <f>IF(VLOOKUP(Table73[[#This Row],[Date]],Database!$A:$C,MATCH($C$1,Database!$A$1:$C$1,),)=0,#N/A,VLOOKUP(Table73[[#This Row],[Date]],Database!$A:$C,MATCH($C$1,Database!$A$1:$C$1,),))</f>
        <v/>
      </c>
      <c r="D1162">
        <f>IFERROR(Table73[[#This Row],[United States 10y]]-Table73[[#This Row],[United States 2y]],#N/A)</f>
        <v/>
      </c>
    </row>
    <row r="1163">
      <c r="A1163" s="6">
        <f>Database!A1162</f>
        <v/>
      </c>
      <c r="B1163">
        <f>IF(VLOOKUP(Table73[[#This Row],[Date]],Database!$A:$E,MATCH($B$1,Database!$A$1:$E$1,),)=0,#N/A,VLOOKUP(Table73[[#This Row],[Date]],Database!$A:$E,MATCH($B$1,Database!$A$1:$E$1,),))</f>
        <v/>
      </c>
      <c r="C1163">
        <f>IF(VLOOKUP(Table73[[#This Row],[Date]],Database!$A:$C,MATCH($C$1,Database!$A$1:$C$1,),)=0,#N/A,VLOOKUP(Table73[[#This Row],[Date]],Database!$A:$C,MATCH($C$1,Database!$A$1:$C$1,),))</f>
        <v/>
      </c>
      <c r="D1163">
        <f>IFERROR(Table73[[#This Row],[United States 10y]]-Table73[[#This Row],[United States 2y]],#N/A)</f>
        <v/>
      </c>
    </row>
    <row r="1164">
      <c r="A1164" s="6">
        <f>Database!A1163</f>
        <v/>
      </c>
      <c r="B1164">
        <f>IF(VLOOKUP(Table73[[#This Row],[Date]],Database!$A:$E,MATCH($B$1,Database!$A$1:$E$1,),)=0,#N/A,VLOOKUP(Table73[[#This Row],[Date]],Database!$A:$E,MATCH($B$1,Database!$A$1:$E$1,),))</f>
        <v/>
      </c>
      <c r="C1164">
        <f>IF(VLOOKUP(Table73[[#This Row],[Date]],Database!$A:$C,MATCH($C$1,Database!$A$1:$C$1,),)=0,#N/A,VLOOKUP(Table73[[#This Row],[Date]],Database!$A:$C,MATCH($C$1,Database!$A$1:$C$1,),))</f>
        <v/>
      </c>
      <c r="D1164">
        <f>IFERROR(Table73[[#This Row],[United States 10y]]-Table73[[#This Row],[United States 2y]],#N/A)</f>
        <v/>
      </c>
    </row>
    <row r="1165">
      <c r="A1165" s="6">
        <f>Database!A1164</f>
        <v/>
      </c>
      <c r="B1165">
        <f>IF(VLOOKUP(Table73[[#This Row],[Date]],Database!$A:$E,MATCH($B$1,Database!$A$1:$E$1,),)=0,#N/A,VLOOKUP(Table73[[#This Row],[Date]],Database!$A:$E,MATCH($B$1,Database!$A$1:$E$1,),))</f>
        <v/>
      </c>
      <c r="C1165">
        <f>IF(VLOOKUP(Table73[[#This Row],[Date]],Database!$A:$C,MATCH($C$1,Database!$A$1:$C$1,),)=0,#N/A,VLOOKUP(Table73[[#This Row],[Date]],Database!$A:$C,MATCH($C$1,Database!$A$1:$C$1,),))</f>
        <v/>
      </c>
      <c r="D1165">
        <f>IFERROR(Table73[[#This Row],[United States 10y]]-Table73[[#This Row],[United States 2y]],#N/A)</f>
        <v/>
      </c>
    </row>
    <row r="1166">
      <c r="A1166" s="6">
        <f>Database!A1165</f>
        <v/>
      </c>
      <c r="B1166">
        <f>IF(VLOOKUP(Table73[[#This Row],[Date]],Database!$A:$E,MATCH($B$1,Database!$A$1:$E$1,),)=0,#N/A,VLOOKUP(Table73[[#This Row],[Date]],Database!$A:$E,MATCH($B$1,Database!$A$1:$E$1,),))</f>
        <v/>
      </c>
      <c r="C1166">
        <f>IF(VLOOKUP(Table73[[#This Row],[Date]],Database!$A:$C,MATCH($C$1,Database!$A$1:$C$1,),)=0,#N/A,VLOOKUP(Table73[[#This Row],[Date]],Database!$A:$C,MATCH($C$1,Database!$A$1:$C$1,),))</f>
        <v/>
      </c>
      <c r="D1166">
        <f>IFERROR(Table73[[#This Row],[United States 10y]]-Table73[[#This Row],[United States 2y]],#N/A)</f>
        <v/>
      </c>
    </row>
    <row r="1167">
      <c r="A1167" s="6">
        <f>Database!A1166</f>
        <v/>
      </c>
      <c r="B1167">
        <f>IF(VLOOKUP(Table73[[#This Row],[Date]],Database!$A:$E,MATCH($B$1,Database!$A$1:$E$1,),)=0,#N/A,VLOOKUP(Table73[[#This Row],[Date]],Database!$A:$E,MATCH($B$1,Database!$A$1:$E$1,),))</f>
        <v/>
      </c>
      <c r="C1167">
        <f>IF(VLOOKUP(Table73[[#This Row],[Date]],Database!$A:$C,MATCH($C$1,Database!$A$1:$C$1,),)=0,#N/A,VLOOKUP(Table73[[#This Row],[Date]],Database!$A:$C,MATCH($C$1,Database!$A$1:$C$1,),))</f>
        <v/>
      </c>
      <c r="D1167">
        <f>IFERROR(Table73[[#This Row],[United States 10y]]-Table73[[#This Row],[United States 2y]],#N/A)</f>
        <v/>
      </c>
    </row>
    <row r="1168">
      <c r="A1168" s="6">
        <f>Database!A1167</f>
        <v/>
      </c>
      <c r="B1168">
        <f>IF(VLOOKUP(Table73[[#This Row],[Date]],Database!$A:$E,MATCH($B$1,Database!$A$1:$E$1,),)=0,#N/A,VLOOKUP(Table73[[#This Row],[Date]],Database!$A:$E,MATCH($B$1,Database!$A$1:$E$1,),))</f>
        <v/>
      </c>
      <c r="C1168">
        <f>IF(VLOOKUP(Table73[[#This Row],[Date]],Database!$A:$C,MATCH($C$1,Database!$A$1:$C$1,),)=0,#N/A,VLOOKUP(Table73[[#This Row],[Date]],Database!$A:$C,MATCH($C$1,Database!$A$1:$C$1,),))</f>
        <v/>
      </c>
      <c r="D1168">
        <f>IFERROR(Table73[[#This Row],[United States 10y]]-Table73[[#This Row],[United States 2y]],#N/A)</f>
        <v/>
      </c>
    </row>
    <row r="1169">
      <c r="A1169" s="6">
        <f>Database!A1168</f>
        <v/>
      </c>
      <c r="B1169">
        <f>IF(VLOOKUP(Table73[[#This Row],[Date]],Database!$A:$E,MATCH($B$1,Database!$A$1:$E$1,),)=0,#N/A,VLOOKUP(Table73[[#This Row],[Date]],Database!$A:$E,MATCH($B$1,Database!$A$1:$E$1,),))</f>
        <v/>
      </c>
      <c r="C1169">
        <f>IF(VLOOKUP(Table73[[#This Row],[Date]],Database!$A:$C,MATCH($C$1,Database!$A$1:$C$1,),)=0,#N/A,VLOOKUP(Table73[[#This Row],[Date]],Database!$A:$C,MATCH($C$1,Database!$A$1:$C$1,),))</f>
        <v/>
      </c>
      <c r="D1169">
        <f>IFERROR(Table73[[#This Row],[United States 10y]]-Table73[[#This Row],[United States 2y]],#N/A)</f>
        <v/>
      </c>
    </row>
    <row r="1170">
      <c r="A1170" s="6">
        <f>Database!A1169</f>
        <v/>
      </c>
      <c r="B1170">
        <f>IF(VLOOKUP(Table73[[#This Row],[Date]],Database!$A:$E,MATCH($B$1,Database!$A$1:$E$1,),)=0,#N/A,VLOOKUP(Table73[[#This Row],[Date]],Database!$A:$E,MATCH($B$1,Database!$A$1:$E$1,),))</f>
        <v/>
      </c>
      <c r="C1170">
        <f>IF(VLOOKUP(Table73[[#This Row],[Date]],Database!$A:$C,MATCH($C$1,Database!$A$1:$C$1,),)=0,#N/A,VLOOKUP(Table73[[#This Row],[Date]],Database!$A:$C,MATCH($C$1,Database!$A$1:$C$1,),))</f>
        <v/>
      </c>
      <c r="D1170">
        <f>IFERROR(Table73[[#This Row],[United States 10y]]-Table73[[#This Row],[United States 2y]],#N/A)</f>
        <v/>
      </c>
    </row>
    <row r="1171">
      <c r="A1171" s="6">
        <f>Database!A1170</f>
        <v/>
      </c>
      <c r="B1171">
        <f>IF(VLOOKUP(Table73[[#This Row],[Date]],Database!$A:$E,MATCH($B$1,Database!$A$1:$E$1,),)=0,#N/A,VLOOKUP(Table73[[#This Row],[Date]],Database!$A:$E,MATCH($B$1,Database!$A$1:$E$1,),))</f>
        <v/>
      </c>
      <c r="C1171">
        <f>IF(VLOOKUP(Table73[[#This Row],[Date]],Database!$A:$C,MATCH($C$1,Database!$A$1:$C$1,),)=0,#N/A,VLOOKUP(Table73[[#This Row],[Date]],Database!$A:$C,MATCH($C$1,Database!$A$1:$C$1,),))</f>
        <v/>
      </c>
      <c r="D1171">
        <f>IFERROR(Table73[[#This Row],[United States 10y]]-Table73[[#This Row],[United States 2y]],#N/A)</f>
        <v/>
      </c>
    </row>
    <row r="1172">
      <c r="A1172" s="6">
        <f>Database!A1171</f>
        <v/>
      </c>
      <c r="B1172">
        <f>IF(VLOOKUP(Table73[[#This Row],[Date]],Database!$A:$E,MATCH($B$1,Database!$A$1:$E$1,),)=0,#N/A,VLOOKUP(Table73[[#This Row],[Date]],Database!$A:$E,MATCH($B$1,Database!$A$1:$E$1,),))</f>
        <v/>
      </c>
      <c r="C1172">
        <f>IF(VLOOKUP(Table73[[#This Row],[Date]],Database!$A:$C,MATCH($C$1,Database!$A$1:$C$1,),)=0,#N/A,VLOOKUP(Table73[[#This Row],[Date]],Database!$A:$C,MATCH($C$1,Database!$A$1:$C$1,),))</f>
        <v/>
      </c>
      <c r="D1172">
        <f>IFERROR(Table73[[#This Row],[United States 10y]]-Table73[[#This Row],[United States 2y]],#N/A)</f>
        <v/>
      </c>
    </row>
    <row r="1173">
      <c r="A1173" s="6">
        <f>Database!A1172</f>
        <v/>
      </c>
      <c r="B1173">
        <f>IF(VLOOKUP(Table73[[#This Row],[Date]],Database!$A:$E,MATCH($B$1,Database!$A$1:$E$1,),)=0,#N/A,VLOOKUP(Table73[[#This Row],[Date]],Database!$A:$E,MATCH($B$1,Database!$A$1:$E$1,),))</f>
        <v/>
      </c>
      <c r="C1173">
        <f>IF(VLOOKUP(Table73[[#This Row],[Date]],Database!$A:$C,MATCH($C$1,Database!$A$1:$C$1,),)=0,#N/A,VLOOKUP(Table73[[#This Row],[Date]],Database!$A:$C,MATCH($C$1,Database!$A$1:$C$1,),))</f>
        <v/>
      </c>
      <c r="D1173">
        <f>IFERROR(Table73[[#This Row],[United States 10y]]-Table73[[#This Row],[United States 2y]],#N/A)</f>
        <v/>
      </c>
    </row>
    <row r="1174">
      <c r="A1174" s="6">
        <f>Database!A1173</f>
        <v/>
      </c>
      <c r="B1174">
        <f>IF(VLOOKUP(Table73[[#This Row],[Date]],Database!$A:$E,MATCH($B$1,Database!$A$1:$E$1,),)=0,#N/A,VLOOKUP(Table73[[#This Row],[Date]],Database!$A:$E,MATCH($B$1,Database!$A$1:$E$1,),))</f>
        <v/>
      </c>
      <c r="C1174">
        <f>IF(VLOOKUP(Table73[[#This Row],[Date]],Database!$A:$C,MATCH($C$1,Database!$A$1:$C$1,),)=0,#N/A,VLOOKUP(Table73[[#This Row],[Date]],Database!$A:$C,MATCH($C$1,Database!$A$1:$C$1,),))</f>
        <v/>
      </c>
      <c r="D1174">
        <f>IFERROR(Table73[[#This Row],[United States 10y]]-Table73[[#This Row],[United States 2y]],#N/A)</f>
        <v/>
      </c>
    </row>
    <row r="1175">
      <c r="A1175" s="6">
        <f>Database!A1174</f>
        <v/>
      </c>
      <c r="B1175">
        <f>IF(VLOOKUP(Table73[[#This Row],[Date]],Database!$A:$E,MATCH($B$1,Database!$A$1:$E$1,),)=0,#N/A,VLOOKUP(Table73[[#This Row],[Date]],Database!$A:$E,MATCH($B$1,Database!$A$1:$E$1,),))</f>
        <v/>
      </c>
      <c r="C1175">
        <f>IF(VLOOKUP(Table73[[#This Row],[Date]],Database!$A:$C,MATCH($C$1,Database!$A$1:$C$1,),)=0,#N/A,VLOOKUP(Table73[[#This Row],[Date]],Database!$A:$C,MATCH($C$1,Database!$A$1:$C$1,),))</f>
        <v/>
      </c>
      <c r="D1175">
        <f>IFERROR(Table73[[#This Row],[United States 10y]]-Table73[[#This Row],[United States 2y]],#N/A)</f>
        <v/>
      </c>
    </row>
    <row r="1176">
      <c r="A1176" s="6">
        <f>Database!A1175</f>
        <v/>
      </c>
      <c r="B1176">
        <f>IF(VLOOKUP(Table73[[#This Row],[Date]],Database!$A:$E,MATCH($B$1,Database!$A$1:$E$1,),)=0,#N/A,VLOOKUP(Table73[[#This Row],[Date]],Database!$A:$E,MATCH($B$1,Database!$A$1:$E$1,),))</f>
        <v/>
      </c>
      <c r="C1176">
        <f>IF(VLOOKUP(Table73[[#This Row],[Date]],Database!$A:$C,MATCH($C$1,Database!$A$1:$C$1,),)=0,#N/A,VLOOKUP(Table73[[#This Row],[Date]],Database!$A:$C,MATCH($C$1,Database!$A$1:$C$1,),))</f>
        <v/>
      </c>
      <c r="D1176">
        <f>IFERROR(Table73[[#This Row],[United States 10y]]-Table73[[#This Row],[United States 2y]],#N/A)</f>
        <v/>
      </c>
    </row>
    <row r="1177">
      <c r="A1177" s="6">
        <f>Database!A1176</f>
        <v/>
      </c>
      <c r="B1177">
        <f>IF(VLOOKUP(Table73[[#This Row],[Date]],Database!$A:$E,MATCH($B$1,Database!$A$1:$E$1,),)=0,#N/A,VLOOKUP(Table73[[#This Row],[Date]],Database!$A:$E,MATCH($B$1,Database!$A$1:$E$1,),))</f>
        <v/>
      </c>
      <c r="C1177">
        <f>IF(VLOOKUP(Table73[[#This Row],[Date]],Database!$A:$C,MATCH($C$1,Database!$A$1:$C$1,),)=0,#N/A,VLOOKUP(Table73[[#This Row],[Date]],Database!$A:$C,MATCH($C$1,Database!$A$1:$C$1,),))</f>
        <v/>
      </c>
      <c r="D1177">
        <f>IFERROR(Table73[[#This Row],[United States 10y]]-Table73[[#This Row],[United States 2y]],#N/A)</f>
        <v/>
      </c>
    </row>
    <row r="1178">
      <c r="A1178" s="6">
        <f>Database!A1177</f>
        <v/>
      </c>
      <c r="B1178">
        <f>IF(VLOOKUP(Table73[[#This Row],[Date]],Database!$A:$E,MATCH($B$1,Database!$A$1:$E$1,),)=0,#N/A,VLOOKUP(Table73[[#This Row],[Date]],Database!$A:$E,MATCH($B$1,Database!$A$1:$E$1,),))</f>
        <v/>
      </c>
      <c r="C1178">
        <f>IF(VLOOKUP(Table73[[#This Row],[Date]],Database!$A:$C,MATCH($C$1,Database!$A$1:$C$1,),)=0,#N/A,VLOOKUP(Table73[[#This Row],[Date]],Database!$A:$C,MATCH($C$1,Database!$A$1:$C$1,),))</f>
        <v/>
      </c>
      <c r="D1178">
        <f>IFERROR(Table73[[#This Row],[United States 10y]]-Table73[[#This Row],[United States 2y]],#N/A)</f>
        <v/>
      </c>
    </row>
    <row r="1179">
      <c r="A1179" s="6">
        <f>Database!A1178</f>
        <v/>
      </c>
      <c r="B1179">
        <f>IF(VLOOKUP(Table73[[#This Row],[Date]],Database!$A:$E,MATCH($B$1,Database!$A$1:$E$1,),)=0,#N/A,VLOOKUP(Table73[[#This Row],[Date]],Database!$A:$E,MATCH($B$1,Database!$A$1:$E$1,),))</f>
        <v/>
      </c>
      <c r="C1179">
        <f>IF(VLOOKUP(Table73[[#This Row],[Date]],Database!$A:$C,MATCH($C$1,Database!$A$1:$C$1,),)=0,#N/A,VLOOKUP(Table73[[#This Row],[Date]],Database!$A:$C,MATCH($C$1,Database!$A$1:$C$1,),))</f>
        <v/>
      </c>
      <c r="D1179">
        <f>IFERROR(Table73[[#This Row],[United States 10y]]-Table73[[#This Row],[United States 2y]],#N/A)</f>
        <v/>
      </c>
    </row>
    <row r="1180">
      <c r="A1180" s="6">
        <f>Database!A1179</f>
        <v/>
      </c>
      <c r="B1180">
        <f>IF(VLOOKUP(Table73[[#This Row],[Date]],Database!$A:$E,MATCH($B$1,Database!$A$1:$E$1,),)=0,#N/A,VLOOKUP(Table73[[#This Row],[Date]],Database!$A:$E,MATCH($B$1,Database!$A$1:$E$1,),))</f>
        <v/>
      </c>
      <c r="C1180">
        <f>IF(VLOOKUP(Table73[[#This Row],[Date]],Database!$A:$C,MATCH($C$1,Database!$A$1:$C$1,),)=0,#N/A,VLOOKUP(Table73[[#This Row],[Date]],Database!$A:$C,MATCH($C$1,Database!$A$1:$C$1,),))</f>
        <v/>
      </c>
      <c r="D1180">
        <f>IFERROR(Table73[[#This Row],[United States 10y]]-Table73[[#This Row],[United States 2y]],#N/A)</f>
        <v/>
      </c>
    </row>
    <row r="1181">
      <c r="A1181" s="6">
        <f>Database!A1180</f>
        <v/>
      </c>
      <c r="B1181">
        <f>IF(VLOOKUP(Table73[[#This Row],[Date]],Database!$A:$E,MATCH($B$1,Database!$A$1:$E$1,),)=0,#N/A,VLOOKUP(Table73[[#This Row],[Date]],Database!$A:$E,MATCH($B$1,Database!$A$1:$E$1,),))</f>
        <v/>
      </c>
      <c r="C1181">
        <f>IF(VLOOKUP(Table73[[#This Row],[Date]],Database!$A:$C,MATCH($C$1,Database!$A$1:$C$1,),)=0,#N/A,VLOOKUP(Table73[[#This Row],[Date]],Database!$A:$C,MATCH($C$1,Database!$A$1:$C$1,),))</f>
        <v/>
      </c>
      <c r="D1181">
        <f>IFERROR(Table73[[#This Row],[United States 10y]]-Table73[[#This Row],[United States 2y]],#N/A)</f>
        <v/>
      </c>
    </row>
    <row r="1182">
      <c r="A1182" s="6">
        <f>Database!A1181</f>
        <v/>
      </c>
      <c r="B1182">
        <f>IF(VLOOKUP(Table73[[#This Row],[Date]],Database!$A:$E,MATCH($B$1,Database!$A$1:$E$1,),)=0,#N/A,VLOOKUP(Table73[[#This Row],[Date]],Database!$A:$E,MATCH($B$1,Database!$A$1:$E$1,),))</f>
        <v/>
      </c>
      <c r="C1182">
        <f>IF(VLOOKUP(Table73[[#This Row],[Date]],Database!$A:$C,MATCH($C$1,Database!$A$1:$C$1,),)=0,#N/A,VLOOKUP(Table73[[#This Row],[Date]],Database!$A:$C,MATCH($C$1,Database!$A$1:$C$1,),))</f>
        <v/>
      </c>
      <c r="D1182">
        <f>IFERROR(Table73[[#This Row],[United States 10y]]-Table73[[#This Row],[United States 2y]],#N/A)</f>
        <v/>
      </c>
    </row>
    <row r="1183">
      <c r="A1183" s="6">
        <f>Database!A1182</f>
        <v/>
      </c>
      <c r="B1183">
        <f>IF(VLOOKUP(Table73[[#This Row],[Date]],Database!$A:$E,MATCH($B$1,Database!$A$1:$E$1,),)=0,#N/A,VLOOKUP(Table73[[#This Row],[Date]],Database!$A:$E,MATCH($B$1,Database!$A$1:$E$1,),))</f>
        <v/>
      </c>
      <c r="C1183">
        <f>IF(VLOOKUP(Table73[[#This Row],[Date]],Database!$A:$C,MATCH($C$1,Database!$A$1:$C$1,),)=0,#N/A,VLOOKUP(Table73[[#This Row],[Date]],Database!$A:$C,MATCH($C$1,Database!$A$1:$C$1,),))</f>
        <v/>
      </c>
      <c r="D1183">
        <f>IFERROR(Table73[[#This Row],[United States 10y]]-Table73[[#This Row],[United States 2y]],#N/A)</f>
        <v/>
      </c>
    </row>
    <row r="1184">
      <c r="A1184" s="6">
        <f>Database!A1183</f>
        <v/>
      </c>
      <c r="B1184">
        <f>IF(VLOOKUP(Table73[[#This Row],[Date]],Database!$A:$E,MATCH($B$1,Database!$A$1:$E$1,),)=0,#N/A,VLOOKUP(Table73[[#This Row],[Date]],Database!$A:$E,MATCH($B$1,Database!$A$1:$E$1,),))</f>
        <v/>
      </c>
      <c r="C1184">
        <f>IF(VLOOKUP(Table73[[#This Row],[Date]],Database!$A:$C,MATCH($C$1,Database!$A$1:$C$1,),)=0,#N/A,VLOOKUP(Table73[[#This Row],[Date]],Database!$A:$C,MATCH($C$1,Database!$A$1:$C$1,),))</f>
        <v/>
      </c>
      <c r="D1184">
        <f>IFERROR(Table73[[#This Row],[United States 10y]]-Table73[[#This Row],[United States 2y]],#N/A)</f>
        <v/>
      </c>
    </row>
    <row r="1185">
      <c r="A1185" s="6">
        <f>Database!A1184</f>
        <v/>
      </c>
      <c r="B1185">
        <f>IF(VLOOKUP(Table73[[#This Row],[Date]],Database!$A:$E,MATCH($B$1,Database!$A$1:$E$1,),)=0,#N/A,VLOOKUP(Table73[[#This Row],[Date]],Database!$A:$E,MATCH($B$1,Database!$A$1:$E$1,),))</f>
        <v/>
      </c>
      <c r="C1185">
        <f>IF(VLOOKUP(Table73[[#This Row],[Date]],Database!$A:$C,MATCH($C$1,Database!$A$1:$C$1,),)=0,#N/A,VLOOKUP(Table73[[#This Row],[Date]],Database!$A:$C,MATCH($C$1,Database!$A$1:$C$1,),))</f>
        <v/>
      </c>
      <c r="D1185">
        <f>IFERROR(Table73[[#This Row],[United States 10y]]-Table73[[#This Row],[United States 2y]],#N/A)</f>
        <v/>
      </c>
    </row>
    <row r="1186">
      <c r="A1186" s="6">
        <f>Database!A1185</f>
        <v/>
      </c>
      <c r="B1186">
        <f>IF(VLOOKUP(Table73[[#This Row],[Date]],Database!$A:$E,MATCH($B$1,Database!$A$1:$E$1,),)=0,#N/A,VLOOKUP(Table73[[#This Row],[Date]],Database!$A:$E,MATCH($B$1,Database!$A$1:$E$1,),))</f>
        <v/>
      </c>
      <c r="C1186">
        <f>IF(VLOOKUP(Table73[[#This Row],[Date]],Database!$A:$C,MATCH($C$1,Database!$A$1:$C$1,),)=0,#N/A,VLOOKUP(Table73[[#This Row],[Date]],Database!$A:$C,MATCH($C$1,Database!$A$1:$C$1,),))</f>
        <v/>
      </c>
      <c r="D1186">
        <f>IFERROR(Table73[[#This Row],[United States 10y]]-Table73[[#This Row],[United States 2y]],#N/A)</f>
        <v/>
      </c>
    </row>
    <row r="1187">
      <c r="A1187" s="6">
        <f>Database!A1186</f>
        <v/>
      </c>
      <c r="B1187">
        <f>IF(VLOOKUP(Table73[[#This Row],[Date]],Database!$A:$E,MATCH($B$1,Database!$A$1:$E$1,),)=0,#N/A,VLOOKUP(Table73[[#This Row],[Date]],Database!$A:$E,MATCH($B$1,Database!$A$1:$E$1,),))</f>
        <v/>
      </c>
      <c r="C1187">
        <f>IF(VLOOKUP(Table73[[#This Row],[Date]],Database!$A:$C,MATCH($C$1,Database!$A$1:$C$1,),)=0,#N/A,VLOOKUP(Table73[[#This Row],[Date]],Database!$A:$C,MATCH($C$1,Database!$A$1:$C$1,),))</f>
        <v/>
      </c>
      <c r="D1187">
        <f>IFERROR(Table73[[#This Row],[United States 10y]]-Table73[[#This Row],[United States 2y]],#N/A)</f>
        <v/>
      </c>
    </row>
    <row r="1188">
      <c r="A1188" s="6">
        <f>Database!A1187</f>
        <v/>
      </c>
      <c r="B1188">
        <f>IF(VLOOKUP(Table73[[#This Row],[Date]],Database!$A:$E,MATCH($B$1,Database!$A$1:$E$1,),)=0,#N/A,VLOOKUP(Table73[[#This Row],[Date]],Database!$A:$E,MATCH($B$1,Database!$A$1:$E$1,),))</f>
        <v/>
      </c>
      <c r="C1188">
        <f>IF(VLOOKUP(Table73[[#This Row],[Date]],Database!$A:$C,MATCH($C$1,Database!$A$1:$C$1,),)=0,#N/A,VLOOKUP(Table73[[#This Row],[Date]],Database!$A:$C,MATCH($C$1,Database!$A$1:$C$1,),))</f>
        <v/>
      </c>
      <c r="D1188">
        <f>IFERROR(Table73[[#This Row],[United States 10y]]-Table73[[#This Row],[United States 2y]],#N/A)</f>
        <v/>
      </c>
    </row>
    <row r="1189">
      <c r="A1189" s="6">
        <f>Database!A1188</f>
        <v/>
      </c>
      <c r="B1189">
        <f>IF(VLOOKUP(Table73[[#This Row],[Date]],Database!$A:$E,MATCH($B$1,Database!$A$1:$E$1,),)=0,#N/A,VLOOKUP(Table73[[#This Row],[Date]],Database!$A:$E,MATCH($B$1,Database!$A$1:$E$1,),))</f>
        <v/>
      </c>
      <c r="C1189">
        <f>IF(VLOOKUP(Table73[[#This Row],[Date]],Database!$A:$C,MATCH($C$1,Database!$A$1:$C$1,),)=0,#N/A,VLOOKUP(Table73[[#This Row],[Date]],Database!$A:$C,MATCH($C$1,Database!$A$1:$C$1,),))</f>
        <v/>
      </c>
      <c r="D1189">
        <f>IFERROR(Table73[[#This Row],[United States 10y]]-Table73[[#This Row],[United States 2y]],#N/A)</f>
        <v/>
      </c>
    </row>
    <row r="1190">
      <c r="A1190" s="6">
        <f>Database!A1189</f>
        <v/>
      </c>
      <c r="B1190">
        <f>IF(VLOOKUP(Table73[[#This Row],[Date]],Database!$A:$E,MATCH($B$1,Database!$A$1:$E$1,),)=0,#N/A,VLOOKUP(Table73[[#This Row],[Date]],Database!$A:$E,MATCH($B$1,Database!$A$1:$E$1,),))</f>
        <v/>
      </c>
      <c r="C1190">
        <f>IF(VLOOKUP(Table73[[#This Row],[Date]],Database!$A:$C,MATCH($C$1,Database!$A$1:$C$1,),)=0,#N/A,VLOOKUP(Table73[[#This Row],[Date]],Database!$A:$C,MATCH($C$1,Database!$A$1:$C$1,),))</f>
        <v/>
      </c>
      <c r="D1190">
        <f>IFERROR(Table73[[#This Row],[United States 10y]]-Table73[[#This Row],[United States 2y]],#N/A)</f>
        <v/>
      </c>
    </row>
    <row r="1191">
      <c r="A1191" s="6">
        <f>Database!A1190</f>
        <v/>
      </c>
      <c r="B1191">
        <f>IF(VLOOKUP(Table73[[#This Row],[Date]],Database!$A:$E,MATCH($B$1,Database!$A$1:$E$1,),)=0,#N/A,VLOOKUP(Table73[[#This Row],[Date]],Database!$A:$E,MATCH($B$1,Database!$A$1:$E$1,),))</f>
        <v/>
      </c>
      <c r="C1191">
        <f>IF(VLOOKUP(Table73[[#This Row],[Date]],Database!$A:$C,MATCH($C$1,Database!$A$1:$C$1,),)=0,#N/A,VLOOKUP(Table73[[#This Row],[Date]],Database!$A:$C,MATCH($C$1,Database!$A$1:$C$1,),))</f>
        <v/>
      </c>
      <c r="D1191">
        <f>IFERROR(Table73[[#This Row],[United States 10y]]-Table73[[#This Row],[United States 2y]],#N/A)</f>
        <v/>
      </c>
    </row>
    <row r="1192">
      <c r="A1192" s="6">
        <f>Database!A1191</f>
        <v/>
      </c>
      <c r="B1192">
        <f>IF(VLOOKUP(Table73[[#This Row],[Date]],Database!$A:$E,MATCH($B$1,Database!$A$1:$E$1,),)=0,#N/A,VLOOKUP(Table73[[#This Row],[Date]],Database!$A:$E,MATCH($B$1,Database!$A$1:$E$1,),))</f>
        <v/>
      </c>
      <c r="C1192">
        <f>IF(VLOOKUP(Table73[[#This Row],[Date]],Database!$A:$C,MATCH($C$1,Database!$A$1:$C$1,),)=0,#N/A,VLOOKUP(Table73[[#This Row],[Date]],Database!$A:$C,MATCH($C$1,Database!$A$1:$C$1,),))</f>
        <v/>
      </c>
      <c r="D1192">
        <f>IFERROR(Table73[[#This Row],[United States 10y]]-Table73[[#This Row],[United States 2y]],#N/A)</f>
        <v/>
      </c>
    </row>
    <row r="1193">
      <c r="A1193" s="6">
        <f>Database!A1192</f>
        <v/>
      </c>
      <c r="B1193">
        <f>IF(VLOOKUP(Table73[[#This Row],[Date]],Database!$A:$E,MATCH($B$1,Database!$A$1:$E$1,),)=0,#N/A,VLOOKUP(Table73[[#This Row],[Date]],Database!$A:$E,MATCH($B$1,Database!$A$1:$E$1,),))</f>
        <v/>
      </c>
      <c r="C1193">
        <f>IF(VLOOKUP(Table73[[#This Row],[Date]],Database!$A:$C,MATCH($C$1,Database!$A$1:$C$1,),)=0,#N/A,VLOOKUP(Table73[[#This Row],[Date]],Database!$A:$C,MATCH($C$1,Database!$A$1:$C$1,),))</f>
        <v/>
      </c>
      <c r="D1193">
        <f>IFERROR(Table73[[#This Row],[United States 10y]]-Table73[[#This Row],[United States 2y]],#N/A)</f>
        <v/>
      </c>
    </row>
    <row r="1194">
      <c r="A1194" s="6">
        <f>Database!A1193</f>
        <v/>
      </c>
      <c r="B1194">
        <f>IF(VLOOKUP(Table73[[#This Row],[Date]],Database!$A:$E,MATCH($B$1,Database!$A$1:$E$1,),)=0,#N/A,VLOOKUP(Table73[[#This Row],[Date]],Database!$A:$E,MATCH($B$1,Database!$A$1:$E$1,),))</f>
        <v/>
      </c>
      <c r="C1194">
        <f>IF(VLOOKUP(Table73[[#This Row],[Date]],Database!$A:$C,MATCH($C$1,Database!$A$1:$C$1,),)=0,#N/A,VLOOKUP(Table73[[#This Row],[Date]],Database!$A:$C,MATCH($C$1,Database!$A$1:$C$1,),))</f>
        <v/>
      </c>
      <c r="D1194">
        <f>IFERROR(Table73[[#This Row],[United States 10y]]-Table73[[#This Row],[United States 2y]],#N/A)</f>
        <v/>
      </c>
    </row>
    <row r="1195">
      <c r="A1195" s="6">
        <f>Database!A1194</f>
        <v/>
      </c>
      <c r="B1195">
        <f>IF(VLOOKUP(Table73[[#This Row],[Date]],Database!$A:$E,MATCH($B$1,Database!$A$1:$E$1,),)=0,#N/A,VLOOKUP(Table73[[#This Row],[Date]],Database!$A:$E,MATCH($B$1,Database!$A$1:$E$1,),))</f>
        <v/>
      </c>
      <c r="C1195">
        <f>IF(VLOOKUP(Table73[[#This Row],[Date]],Database!$A:$C,MATCH($C$1,Database!$A$1:$C$1,),)=0,#N/A,VLOOKUP(Table73[[#This Row],[Date]],Database!$A:$C,MATCH($C$1,Database!$A$1:$C$1,),))</f>
        <v/>
      </c>
      <c r="D1195">
        <f>IFERROR(Table73[[#This Row],[United States 10y]]-Table73[[#This Row],[United States 2y]],#N/A)</f>
        <v/>
      </c>
    </row>
    <row r="1196">
      <c r="A1196" s="6">
        <f>Database!A1195</f>
        <v/>
      </c>
      <c r="B1196">
        <f>IF(VLOOKUP(Table73[[#This Row],[Date]],Database!$A:$E,MATCH($B$1,Database!$A$1:$E$1,),)=0,#N/A,VLOOKUP(Table73[[#This Row],[Date]],Database!$A:$E,MATCH($B$1,Database!$A$1:$E$1,),))</f>
        <v/>
      </c>
      <c r="C1196">
        <f>IF(VLOOKUP(Table73[[#This Row],[Date]],Database!$A:$C,MATCH($C$1,Database!$A$1:$C$1,),)=0,#N/A,VLOOKUP(Table73[[#This Row],[Date]],Database!$A:$C,MATCH($C$1,Database!$A$1:$C$1,),))</f>
        <v/>
      </c>
      <c r="D1196">
        <f>IFERROR(Table73[[#This Row],[United States 10y]]-Table73[[#This Row],[United States 2y]],#N/A)</f>
        <v/>
      </c>
    </row>
    <row r="1197">
      <c r="A1197" s="6">
        <f>Database!A1196</f>
        <v/>
      </c>
      <c r="B1197">
        <f>IF(VLOOKUP(Table73[[#This Row],[Date]],Database!$A:$E,MATCH($B$1,Database!$A$1:$E$1,),)=0,#N/A,VLOOKUP(Table73[[#This Row],[Date]],Database!$A:$E,MATCH($B$1,Database!$A$1:$E$1,),))</f>
        <v/>
      </c>
      <c r="C1197">
        <f>IF(VLOOKUP(Table73[[#This Row],[Date]],Database!$A:$C,MATCH($C$1,Database!$A$1:$C$1,),)=0,#N/A,VLOOKUP(Table73[[#This Row],[Date]],Database!$A:$C,MATCH($C$1,Database!$A$1:$C$1,),))</f>
        <v/>
      </c>
      <c r="D1197">
        <f>IFERROR(Table73[[#This Row],[United States 10y]]-Table73[[#This Row],[United States 2y]],#N/A)</f>
        <v/>
      </c>
    </row>
    <row r="1198">
      <c r="A1198" s="6">
        <f>Database!A1197</f>
        <v/>
      </c>
      <c r="B1198">
        <f>IF(VLOOKUP(Table73[[#This Row],[Date]],Database!$A:$E,MATCH($B$1,Database!$A$1:$E$1,),)=0,#N/A,VLOOKUP(Table73[[#This Row],[Date]],Database!$A:$E,MATCH($B$1,Database!$A$1:$E$1,),))</f>
        <v/>
      </c>
      <c r="C1198">
        <f>IF(VLOOKUP(Table73[[#This Row],[Date]],Database!$A:$C,MATCH($C$1,Database!$A$1:$C$1,),)=0,#N/A,VLOOKUP(Table73[[#This Row],[Date]],Database!$A:$C,MATCH($C$1,Database!$A$1:$C$1,),))</f>
        <v/>
      </c>
      <c r="D1198">
        <f>IFERROR(Table73[[#This Row],[United States 10y]]-Table73[[#This Row],[United States 2y]],#N/A)</f>
        <v/>
      </c>
    </row>
    <row r="1199">
      <c r="A1199" s="6">
        <f>Database!A1198</f>
        <v/>
      </c>
      <c r="B1199">
        <f>IF(VLOOKUP(Table73[[#This Row],[Date]],Database!$A:$E,MATCH($B$1,Database!$A$1:$E$1,),)=0,#N/A,VLOOKUP(Table73[[#This Row],[Date]],Database!$A:$E,MATCH($B$1,Database!$A$1:$E$1,),))</f>
        <v/>
      </c>
      <c r="C1199">
        <f>IF(VLOOKUP(Table73[[#This Row],[Date]],Database!$A:$C,MATCH($C$1,Database!$A$1:$C$1,),)=0,#N/A,VLOOKUP(Table73[[#This Row],[Date]],Database!$A:$C,MATCH($C$1,Database!$A$1:$C$1,),))</f>
        <v/>
      </c>
      <c r="D1199">
        <f>IFERROR(Table73[[#This Row],[United States 10y]]-Table73[[#This Row],[United States 2y]],#N/A)</f>
        <v/>
      </c>
    </row>
    <row r="1200">
      <c r="A1200" s="6">
        <f>Database!A1199</f>
        <v/>
      </c>
      <c r="B1200">
        <f>IF(VLOOKUP(Table73[[#This Row],[Date]],Database!$A:$E,MATCH($B$1,Database!$A$1:$E$1,),)=0,#N/A,VLOOKUP(Table73[[#This Row],[Date]],Database!$A:$E,MATCH($B$1,Database!$A$1:$E$1,),))</f>
        <v/>
      </c>
      <c r="C1200">
        <f>IF(VLOOKUP(Table73[[#This Row],[Date]],Database!$A:$C,MATCH($C$1,Database!$A$1:$C$1,),)=0,#N/A,VLOOKUP(Table73[[#This Row],[Date]],Database!$A:$C,MATCH($C$1,Database!$A$1:$C$1,),))</f>
        <v/>
      </c>
      <c r="D1200">
        <f>IFERROR(Table73[[#This Row],[United States 10y]]-Table73[[#This Row],[United States 2y]],#N/A)</f>
        <v/>
      </c>
    </row>
    <row r="1201">
      <c r="A1201" s="6">
        <f>Database!A1200</f>
        <v/>
      </c>
      <c r="B1201">
        <f>IF(VLOOKUP(Table73[[#This Row],[Date]],Database!$A:$E,MATCH($B$1,Database!$A$1:$E$1,),)=0,#N/A,VLOOKUP(Table73[[#This Row],[Date]],Database!$A:$E,MATCH($B$1,Database!$A$1:$E$1,),))</f>
        <v/>
      </c>
      <c r="C1201">
        <f>IF(VLOOKUP(Table73[[#This Row],[Date]],Database!$A:$C,MATCH($C$1,Database!$A$1:$C$1,),)=0,#N/A,VLOOKUP(Table73[[#This Row],[Date]],Database!$A:$C,MATCH($C$1,Database!$A$1:$C$1,),))</f>
        <v/>
      </c>
      <c r="D1201">
        <f>IFERROR(Table73[[#This Row],[United States 10y]]-Table73[[#This Row],[United States 2y]],#N/A)</f>
        <v/>
      </c>
    </row>
    <row r="1202">
      <c r="A1202" s="6">
        <f>Database!A1201</f>
        <v/>
      </c>
      <c r="B1202">
        <f>IF(VLOOKUP(Table73[[#This Row],[Date]],Database!$A:$E,MATCH($B$1,Database!$A$1:$E$1,),)=0,#N/A,VLOOKUP(Table73[[#This Row],[Date]],Database!$A:$E,MATCH($B$1,Database!$A$1:$E$1,),))</f>
        <v/>
      </c>
      <c r="C1202">
        <f>IF(VLOOKUP(Table73[[#This Row],[Date]],Database!$A:$C,MATCH($C$1,Database!$A$1:$C$1,),)=0,#N/A,VLOOKUP(Table73[[#This Row],[Date]],Database!$A:$C,MATCH($C$1,Database!$A$1:$C$1,),))</f>
        <v/>
      </c>
      <c r="D1202">
        <f>IFERROR(Table73[[#This Row],[United States 10y]]-Table73[[#This Row],[United States 2y]],#N/A)</f>
        <v/>
      </c>
    </row>
    <row r="1203">
      <c r="A1203" s="6">
        <f>Database!A1202</f>
        <v/>
      </c>
      <c r="B1203">
        <f>IF(VLOOKUP(Table73[[#This Row],[Date]],Database!$A:$E,MATCH($B$1,Database!$A$1:$E$1,),)=0,#N/A,VLOOKUP(Table73[[#This Row],[Date]],Database!$A:$E,MATCH($B$1,Database!$A$1:$E$1,),))</f>
        <v/>
      </c>
      <c r="C1203">
        <f>IF(VLOOKUP(Table73[[#This Row],[Date]],Database!$A:$C,MATCH($C$1,Database!$A$1:$C$1,),)=0,#N/A,VLOOKUP(Table73[[#This Row],[Date]],Database!$A:$C,MATCH($C$1,Database!$A$1:$C$1,),))</f>
        <v/>
      </c>
      <c r="D1203">
        <f>IFERROR(Table73[[#This Row],[United States 10y]]-Table73[[#This Row],[United States 2y]],#N/A)</f>
        <v/>
      </c>
    </row>
    <row r="1204">
      <c r="A1204" s="6">
        <f>Database!A1203</f>
        <v/>
      </c>
      <c r="B1204">
        <f>IF(VLOOKUP(Table73[[#This Row],[Date]],Database!$A:$E,MATCH($B$1,Database!$A$1:$E$1,),)=0,#N/A,VLOOKUP(Table73[[#This Row],[Date]],Database!$A:$E,MATCH($B$1,Database!$A$1:$E$1,),))</f>
        <v/>
      </c>
      <c r="C1204">
        <f>IF(VLOOKUP(Table73[[#This Row],[Date]],Database!$A:$C,MATCH($C$1,Database!$A$1:$C$1,),)=0,#N/A,VLOOKUP(Table73[[#This Row],[Date]],Database!$A:$C,MATCH($C$1,Database!$A$1:$C$1,),))</f>
        <v/>
      </c>
      <c r="D1204">
        <f>IFERROR(Table73[[#This Row],[United States 10y]]-Table73[[#This Row],[United States 2y]],#N/A)</f>
        <v/>
      </c>
    </row>
    <row r="1205">
      <c r="A1205" s="6">
        <f>Database!A1204</f>
        <v/>
      </c>
      <c r="B1205">
        <f>IF(VLOOKUP(Table73[[#This Row],[Date]],Database!$A:$E,MATCH($B$1,Database!$A$1:$E$1,),)=0,#N/A,VLOOKUP(Table73[[#This Row],[Date]],Database!$A:$E,MATCH($B$1,Database!$A$1:$E$1,),))</f>
        <v/>
      </c>
      <c r="C1205">
        <f>IF(VLOOKUP(Table73[[#This Row],[Date]],Database!$A:$C,MATCH($C$1,Database!$A$1:$C$1,),)=0,#N/A,VLOOKUP(Table73[[#This Row],[Date]],Database!$A:$C,MATCH($C$1,Database!$A$1:$C$1,),))</f>
        <v/>
      </c>
      <c r="D1205">
        <f>IFERROR(Table73[[#This Row],[United States 10y]]-Table73[[#This Row],[United States 2y]],#N/A)</f>
        <v/>
      </c>
    </row>
    <row r="1206">
      <c r="A1206" s="6">
        <f>Database!A1205</f>
        <v/>
      </c>
      <c r="B1206">
        <f>IF(VLOOKUP(Table73[[#This Row],[Date]],Database!$A:$E,MATCH($B$1,Database!$A$1:$E$1,),)=0,#N/A,VLOOKUP(Table73[[#This Row],[Date]],Database!$A:$E,MATCH($B$1,Database!$A$1:$E$1,),))</f>
        <v/>
      </c>
      <c r="C1206">
        <f>IF(VLOOKUP(Table73[[#This Row],[Date]],Database!$A:$C,MATCH($C$1,Database!$A$1:$C$1,),)=0,#N/A,VLOOKUP(Table73[[#This Row],[Date]],Database!$A:$C,MATCH($C$1,Database!$A$1:$C$1,),))</f>
        <v/>
      </c>
      <c r="D1206">
        <f>IFERROR(Table73[[#This Row],[United States 10y]]-Table73[[#This Row],[United States 2y]],#N/A)</f>
        <v/>
      </c>
    </row>
    <row r="1207">
      <c r="A1207" s="6">
        <f>Database!A1206</f>
        <v/>
      </c>
      <c r="B1207">
        <f>IF(VLOOKUP(Table73[[#This Row],[Date]],Database!$A:$E,MATCH($B$1,Database!$A$1:$E$1,),)=0,#N/A,VLOOKUP(Table73[[#This Row],[Date]],Database!$A:$E,MATCH($B$1,Database!$A$1:$E$1,),))</f>
        <v/>
      </c>
      <c r="C1207">
        <f>IF(VLOOKUP(Table73[[#This Row],[Date]],Database!$A:$C,MATCH($C$1,Database!$A$1:$C$1,),)=0,#N/A,VLOOKUP(Table73[[#This Row],[Date]],Database!$A:$C,MATCH($C$1,Database!$A$1:$C$1,),))</f>
        <v/>
      </c>
      <c r="D1207">
        <f>IFERROR(Table73[[#This Row],[United States 10y]]-Table73[[#This Row],[United States 2y]],#N/A)</f>
        <v/>
      </c>
    </row>
    <row r="1208">
      <c r="A1208" s="6">
        <f>Database!A1207</f>
        <v/>
      </c>
      <c r="B1208">
        <f>IF(VLOOKUP(Table73[[#This Row],[Date]],Database!$A:$E,MATCH($B$1,Database!$A$1:$E$1,),)=0,#N/A,VLOOKUP(Table73[[#This Row],[Date]],Database!$A:$E,MATCH($B$1,Database!$A$1:$E$1,),))</f>
        <v/>
      </c>
      <c r="C1208">
        <f>IF(VLOOKUP(Table73[[#This Row],[Date]],Database!$A:$C,MATCH($C$1,Database!$A$1:$C$1,),)=0,#N/A,VLOOKUP(Table73[[#This Row],[Date]],Database!$A:$C,MATCH($C$1,Database!$A$1:$C$1,),))</f>
        <v/>
      </c>
      <c r="D1208">
        <f>IFERROR(Table73[[#This Row],[United States 10y]]-Table73[[#This Row],[United States 2y]],#N/A)</f>
        <v/>
      </c>
    </row>
    <row r="1209">
      <c r="A1209" s="6">
        <f>Database!A1208</f>
        <v/>
      </c>
      <c r="B1209">
        <f>IF(VLOOKUP(Table73[[#This Row],[Date]],Database!$A:$E,MATCH($B$1,Database!$A$1:$E$1,),)=0,#N/A,VLOOKUP(Table73[[#This Row],[Date]],Database!$A:$E,MATCH($B$1,Database!$A$1:$E$1,),))</f>
        <v/>
      </c>
      <c r="C1209">
        <f>IF(VLOOKUP(Table73[[#This Row],[Date]],Database!$A:$C,MATCH($C$1,Database!$A$1:$C$1,),)=0,#N/A,VLOOKUP(Table73[[#This Row],[Date]],Database!$A:$C,MATCH($C$1,Database!$A$1:$C$1,),))</f>
        <v/>
      </c>
      <c r="D1209">
        <f>IFERROR(Table73[[#This Row],[United States 10y]]-Table73[[#This Row],[United States 2y]],#N/A)</f>
        <v/>
      </c>
    </row>
    <row r="1210">
      <c r="A1210" s="6">
        <f>Database!A1209</f>
        <v/>
      </c>
      <c r="B1210">
        <f>IF(VLOOKUP(Table73[[#This Row],[Date]],Database!$A:$E,MATCH($B$1,Database!$A$1:$E$1,),)=0,#N/A,VLOOKUP(Table73[[#This Row],[Date]],Database!$A:$E,MATCH($B$1,Database!$A$1:$E$1,),))</f>
        <v/>
      </c>
      <c r="C1210">
        <f>IF(VLOOKUP(Table73[[#This Row],[Date]],Database!$A:$C,MATCH($C$1,Database!$A$1:$C$1,),)=0,#N/A,VLOOKUP(Table73[[#This Row],[Date]],Database!$A:$C,MATCH($C$1,Database!$A$1:$C$1,),))</f>
        <v/>
      </c>
      <c r="D1210">
        <f>IFERROR(Table73[[#This Row],[United States 10y]]-Table73[[#This Row],[United States 2y]],#N/A)</f>
        <v/>
      </c>
    </row>
    <row r="1211">
      <c r="A1211" s="6">
        <f>Database!A1210</f>
        <v/>
      </c>
      <c r="B1211">
        <f>IF(VLOOKUP(Table73[[#This Row],[Date]],Database!$A:$E,MATCH($B$1,Database!$A$1:$E$1,),)=0,#N/A,VLOOKUP(Table73[[#This Row],[Date]],Database!$A:$E,MATCH($B$1,Database!$A$1:$E$1,),))</f>
        <v/>
      </c>
      <c r="C1211">
        <f>IF(VLOOKUP(Table73[[#This Row],[Date]],Database!$A:$C,MATCH($C$1,Database!$A$1:$C$1,),)=0,#N/A,VLOOKUP(Table73[[#This Row],[Date]],Database!$A:$C,MATCH($C$1,Database!$A$1:$C$1,),))</f>
        <v/>
      </c>
      <c r="D1211">
        <f>IFERROR(Table73[[#This Row],[United States 10y]]-Table73[[#This Row],[United States 2y]],#N/A)</f>
        <v/>
      </c>
    </row>
    <row r="1212">
      <c r="A1212" s="6">
        <f>Database!A1211</f>
        <v/>
      </c>
      <c r="B1212">
        <f>IF(VLOOKUP(Table73[[#This Row],[Date]],Database!$A:$E,MATCH($B$1,Database!$A$1:$E$1,),)=0,#N/A,VLOOKUP(Table73[[#This Row],[Date]],Database!$A:$E,MATCH($B$1,Database!$A$1:$E$1,),))</f>
        <v/>
      </c>
      <c r="C1212">
        <f>IF(VLOOKUP(Table73[[#This Row],[Date]],Database!$A:$C,MATCH($C$1,Database!$A$1:$C$1,),)=0,#N/A,VLOOKUP(Table73[[#This Row],[Date]],Database!$A:$C,MATCH($C$1,Database!$A$1:$C$1,),))</f>
        <v/>
      </c>
      <c r="D1212">
        <f>IFERROR(Table73[[#This Row],[United States 10y]]-Table73[[#This Row],[United States 2y]],#N/A)</f>
        <v/>
      </c>
    </row>
    <row r="1213">
      <c r="A1213" s="6">
        <f>Database!A1212</f>
        <v/>
      </c>
      <c r="B1213">
        <f>IF(VLOOKUP(Table73[[#This Row],[Date]],Database!$A:$E,MATCH($B$1,Database!$A$1:$E$1,),)=0,#N/A,VLOOKUP(Table73[[#This Row],[Date]],Database!$A:$E,MATCH($B$1,Database!$A$1:$E$1,),))</f>
        <v/>
      </c>
      <c r="C1213">
        <f>IF(VLOOKUP(Table73[[#This Row],[Date]],Database!$A:$C,MATCH($C$1,Database!$A$1:$C$1,),)=0,#N/A,VLOOKUP(Table73[[#This Row],[Date]],Database!$A:$C,MATCH($C$1,Database!$A$1:$C$1,),))</f>
        <v/>
      </c>
      <c r="D1213">
        <f>IFERROR(Table73[[#This Row],[United States 10y]]-Table73[[#This Row],[United States 2y]],#N/A)</f>
        <v/>
      </c>
    </row>
    <row r="1214">
      <c r="A1214" s="6">
        <f>Database!A1213</f>
        <v/>
      </c>
      <c r="B1214">
        <f>IF(VLOOKUP(Table73[[#This Row],[Date]],Database!$A:$E,MATCH($B$1,Database!$A$1:$E$1,),)=0,#N/A,VLOOKUP(Table73[[#This Row],[Date]],Database!$A:$E,MATCH($B$1,Database!$A$1:$E$1,),))</f>
        <v/>
      </c>
      <c r="C1214">
        <f>IF(VLOOKUP(Table73[[#This Row],[Date]],Database!$A:$C,MATCH($C$1,Database!$A$1:$C$1,),)=0,#N/A,VLOOKUP(Table73[[#This Row],[Date]],Database!$A:$C,MATCH($C$1,Database!$A$1:$C$1,),))</f>
        <v/>
      </c>
      <c r="D1214">
        <f>IFERROR(Table73[[#This Row],[United States 10y]]-Table73[[#This Row],[United States 2y]],#N/A)</f>
        <v/>
      </c>
    </row>
    <row r="1215">
      <c r="A1215" s="6">
        <f>Database!A1214</f>
        <v/>
      </c>
      <c r="B1215">
        <f>IF(VLOOKUP(Table73[[#This Row],[Date]],Database!$A:$E,MATCH($B$1,Database!$A$1:$E$1,),)=0,#N/A,VLOOKUP(Table73[[#This Row],[Date]],Database!$A:$E,MATCH($B$1,Database!$A$1:$E$1,),))</f>
        <v/>
      </c>
      <c r="C1215">
        <f>IF(VLOOKUP(Table73[[#This Row],[Date]],Database!$A:$C,MATCH($C$1,Database!$A$1:$C$1,),)=0,#N/A,VLOOKUP(Table73[[#This Row],[Date]],Database!$A:$C,MATCH($C$1,Database!$A$1:$C$1,),))</f>
        <v/>
      </c>
      <c r="D1215">
        <f>IFERROR(Table73[[#This Row],[United States 10y]]-Table73[[#This Row],[United States 2y]],#N/A)</f>
        <v/>
      </c>
    </row>
    <row r="1216">
      <c r="A1216" s="6">
        <f>Database!A1215</f>
        <v/>
      </c>
      <c r="B1216">
        <f>IF(VLOOKUP(Table73[[#This Row],[Date]],Database!$A:$E,MATCH($B$1,Database!$A$1:$E$1,),)=0,#N/A,VLOOKUP(Table73[[#This Row],[Date]],Database!$A:$E,MATCH($B$1,Database!$A$1:$E$1,),))</f>
        <v/>
      </c>
      <c r="C1216">
        <f>IF(VLOOKUP(Table73[[#This Row],[Date]],Database!$A:$C,MATCH($C$1,Database!$A$1:$C$1,),)=0,#N/A,VLOOKUP(Table73[[#This Row],[Date]],Database!$A:$C,MATCH($C$1,Database!$A$1:$C$1,),))</f>
        <v/>
      </c>
      <c r="D1216">
        <f>IFERROR(Table73[[#This Row],[United States 10y]]-Table73[[#This Row],[United States 2y]],#N/A)</f>
        <v/>
      </c>
    </row>
    <row r="1217">
      <c r="A1217" s="6">
        <f>Database!A1216</f>
        <v/>
      </c>
      <c r="B1217">
        <f>IF(VLOOKUP(Table73[[#This Row],[Date]],Database!$A:$E,MATCH($B$1,Database!$A$1:$E$1,),)=0,#N/A,VLOOKUP(Table73[[#This Row],[Date]],Database!$A:$E,MATCH($B$1,Database!$A$1:$E$1,),))</f>
        <v/>
      </c>
      <c r="C1217">
        <f>IF(VLOOKUP(Table73[[#This Row],[Date]],Database!$A:$C,MATCH($C$1,Database!$A$1:$C$1,),)=0,#N/A,VLOOKUP(Table73[[#This Row],[Date]],Database!$A:$C,MATCH($C$1,Database!$A$1:$C$1,),))</f>
        <v/>
      </c>
      <c r="D1217">
        <f>IFERROR(Table73[[#This Row],[United States 10y]]-Table73[[#This Row],[United States 2y]],#N/A)</f>
        <v/>
      </c>
    </row>
    <row r="1218">
      <c r="A1218" s="6">
        <f>Database!A1217</f>
        <v/>
      </c>
      <c r="B1218">
        <f>IF(VLOOKUP(Table73[[#This Row],[Date]],Database!$A:$E,MATCH($B$1,Database!$A$1:$E$1,),)=0,#N/A,VLOOKUP(Table73[[#This Row],[Date]],Database!$A:$E,MATCH($B$1,Database!$A$1:$E$1,),))</f>
        <v/>
      </c>
      <c r="C1218">
        <f>IF(VLOOKUP(Table73[[#This Row],[Date]],Database!$A:$C,MATCH($C$1,Database!$A$1:$C$1,),)=0,#N/A,VLOOKUP(Table73[[#This Row],[Date]],Database!$A:$C,MATCH($C$1,Database!$A$1:$C$1,),))</f>
        <v/>
      </c>
      <c r="D1218">
        <f>IFERROR(Table73[[#This Row],[United States 10y]]-Table73[[#This Row],[United States 2y]],#N/A)</f>
        <v/>
      </c>
    </row>
    <row r="1219">
      <c r="A1219" s="6">
        <f>Database!A1218</f>
        <v/>
      </c>
      <c r="B1219">
        <f>IF(VLOOKUP(Table73[[#This Row],[Date]],Database!$A:$E,MATCH($B$1,Database!$A$1:$E$1,),)=0,#N/A,VLOOKUP(Table73[[#This Row],[Date]],Database!$A:$E,MATCH($B$1,Database!$A$1:$E$1,),))</f>
        <v/>
      </c>
      <c r="C1219">
        <f>IF(VLOOKUP(Table73[[#This Row],[Date]],Database!$A:$C,MATCH($C$1,Database!$A$1:$C$1,),)=0,#N/A,VLOOKUP(Table73[[#This Row],[Date]],Database!$A:$C,MATCH($C$1,Database!$A$1:$C$1,),))</f>
        <v/>
      </c>
      <c r="D1219">
        <f>IFERROR(Table73[[#This Row],[United States 10y]]-Table73[[#This Row],[United States 2y]],#N/A)</f>
        <v/>
      </c>
    </row>
    <row r="1220">
      <c r="A1220" s="6">
        <f>Database!A1219</f>
        <v/>
      </c>
      <c r="B1220">
        <f>IF(VLOOKUP(Table73[[#This Row],[Date]],Database!$A:$E,MATCH($B$1,Database!$A$1:$E$1,),)=0,#N/A,VLOOKUP(Table73[[#This Row],[Date]],Database!$A:$E,MATCH($B$1,Database!$A$1:$E$1,),))</f>
        <v/>
      </c>
      <c r="C1220">
        <f>IF(VLOOKUP(Table73[[#This Row],[Date]],Database!$A:$C,MATCH($C$1,Database!$A$1:$C$1,),)=0,#N/A,VLOOKUP(Table73[[#This Row],[Date]],Database!$A:$C,MATCH($C$1,Database!$A$1:$C$1,),))</f>
        <v/>
      </c>
      <c r="D1220">
        <f>IFERROR(Table73[[#This Row],[United States 10y]]-Table73[[#This Row],[United States 2y]],#N/A)</f>
        <v/>
      </c>
    </row>
    <row r="1221">
      <c r="A1221" s="6">
        <f>Database!A1220</f>
        <v/>
      </c>
      <c r="B1221">
        <f>IF(VLOOKUP(Table73[[#This Row],[Date]],Database!$A:$E,MATCH($B$1,Database!$A$1:$E$1,),)=0,#N/A,VLOOKUP(Table73[[#This Row],[Date]],Database!$A:$E,MATCH($B$1,Database!$A$1:$E$1,),))</f>
        <v/>
      </c>
      <c r="C1221">
        <f>IF(VLOOKUP(Table73[[#This Row],[Date]],Database!$A:$C,MATCH($C$1,Database!$A$1:$C$1,),)=0,#N/A,VLOOKUP(Table73[[#This Row],[Date]],Database!$A:$C,MATCH($C$1,Database!$A$1:$C$1,),))</f>
        <v/>
      </c>
      <c r="D1221">
        <f>IFERROR(Table73[[#This Row],[United States 10y]]-Table73[[#This Row],[United States 2y]],#N/A)</f>
        <v/>
      </c>
    </row>
    <row r="1222">
      <c r="A1222" s="6">
        <f>Database!A1221</f>
        <v/>
      </c>
      <c r="B1222">
        <f>IF(VLOOKUP(Table73[[#This Row],[Date]],Database!$A:$E,MATCH($B$1,Database!$A$1:$E$1,),)=0,#N/A,VLOOKUP(Table73[[#This Row],[Date]],Database!$A:$E,MATCH($B$1,Database!$A$1:$E$1,),))</f>
        <v/>
      </c>
      <c r="C1222">
        <f>IF(VLOOKUP(Table73[[#This Row],[Date]],Database!$A:$C,MATCH($C$1,Database!$A$1:$C$1,),)=0,#N/A,VLOOKUP(Table73[[#This Row],[Date]],Database!$A:$C,MATCH($C$1,Database!$A$1:$C$1,),))</f>
        <v/>
      </c>
      <c r="D1222">
        <f>IFERROR(Table73[[#This Row],[United States 10y]]-Table73[[#This Row],[United States 2y]],#N/A)</f>
        <v/>
      </c>
    </row>
    <row r="1223">
      <c r="A1223" s="6">
        <f>Database!A1222</f>
        <v/>
      </c>
      <c r="B1223">
        <f>IF(VLOOKUP(Table73[[#This Row],[Date]],Database!$A:$E,MATCH($B$1,Database!$A$1:$E$1,),)=0,#N/A,VLOOKUP(Table73[[#This Row],[Date]],Database!$A:$E,MATCH($B$1,Database!$A$1:$E$1,),))</f>
        <v/>
      </c>
      <c r="C1223">
        <f>IF(VLOOKUP(Table73[[#This Row],[Date]],Database!$A:$C,MATCH($C$1,Database!$A$1:$C$1,),)=0,#N/A,VLOOKUP(Table73[[#This Row],[Date]],Database!$A:$C,MATCH($C$1,Database!$A$1:$C$1,),))</f>
        <v/>
      </c>
      <c r="D1223">
        <f>IFERROR(Table73[[#This Row],[United States 10y]]-Table73[[#This Row],[United States 2y]],#N/A)</f>
        <v/>
      </c>
    </row>
    <row r="1224">
      <c r="A1224" s="6">
        <f>Database!A1223</f>
        <v/>
      </c>
      <c r="B1224">
        <f>IF(VLOOKUP(Table73[[#This Row],[Date]],Database!$A:$E,MATCH($B$1,Database!$A$1:$E$1,),)=0,#N/A,VLOOKUP(Table73[[#This Row],[Date]],Database!$A:$E,MATCH($B$1,Database!$A$1:$E$1,),))</f>
        <v/>
      </c>
      <c r="C1224">
        <f>IF(VLOOKUP(Table73[[#This Row],[Date]],Database!$A:$C,MATCH($C$1,Database!$A$1:$C$1,),)=0,#N/A,VLOOKUP(Table73[[#This Row],[Date]],Database!$A:$C,MATCH($C$1,Database!$A$1:$C$1,),))</f>
        <v/>
      </c>
      <c r="D1224">
        <f>IFERROR(Table73[[#This Row],[United States 10y]]-Table73[[#This Row],[United States 2y]],#N/A)</f>
        <v/>
      </c>
    </row>
    <row r="1225">
      <c r="A1225" s="6">
        <f>Database!A1224</f>
        <v/>
      </c>
      <c r="B1225">
        <f>IF(VLOOKUP(Table73[[#This Row],[Date]],Database!$A:$E,MATCH($B$1,Database!$A$1:$E$1,),)=0,#N/A,VLOOKUP(Table73[[#This Row],[Date]],Database!$A:$E,MATCH($B$1,Database!$A$1:$E$1,),))</f>
        <v/>
      </c>
      <c r="C1225">
        <f>IF(VLOOKUP(Table73[[#This Row],[Date]],Database!$A:$C,MATCH($C$1,Database!$A$1:$C$1,),)=0,#N/A,VLOOKUP(Table73[[#This Row],[Date]],Database!$A:$C,MATCH($C$1,Database!$A$1:$C$1,),))</f>
        <v/>
      </c>
      <c r="D1225">
        <f>IFERROR(Table73[[#This Row],[United States 10y]]-Table73[[#This Row],[United States 2y]],#N/A)</f>
        <v/>
      </c>
    </row>
    <row r="1226">
      <c r="A1226" s="6">
        <f>Database!A1225</f>
        <v/>
      </c>
      <c r="B1226">
        <f>IF(VLOOKUP(Table73[[#This Row],[Date]],Database!$A:$E,MATCH($B$1,Database!$A$1:$E$1,),)=0,#N/A,VLOOKUP(Table73[[#This Row],[Date]],Database!$A:$E,MATCH($B$1,Database!$A$1:$E$1,),))</f>
        <v/>
      </c>
      <c r="C1226">
        <f>IF(VLOOKUP(Table73[[#This Row],[Date]],Database!$A:$C,MATCH($C$1,Database!$A$1:$C$1,),)=0,#N/A,VLOOKUP(Table73[[#This Row],[Date]],Database!$A:$C,MATCH($C$1,Database!$A$1:$C$1,),))</f>
        <v/>
      </c>
      <c r="D1226">
        <f>IFERROR(Table73[[#This Row],[United States 10y]]-Table73[[#This Row],[United States 2y]],#N/A)</f>
        <v/>
      </c>
    </row>
    <row r="1227">
      <c r="A1227" s="6">
        <f>Database!A1226</f>
        <v/>
      </c>
      <c r="B1227">
        <f>IF(VLOOKUP(Table73[[#This Row],[Date]],Database!$A:$E,MATCH($B$1,Database!$A$1:$E$1,),)=0,#N/A,VLOOKUP(Table73[[#This Row],[Date]],Database!$A:$E,MATCH($B$1,Database!$A$1:$E$1,),))</f>
        <v/>
      </c>
      <c r="C1227">
        <f>IF(VLOOKUP(Table73[[#This Row],[Date]],Database!$A:$C,MATCH($C$1,Database!$A$1:$C$1,),)=0,#N/A,VLOOKUP(Table73[[#This Row],[Date]],Database!$A:$C,MATCH($C$1,Database!$A$1:$C$1,),))</f>
        <v/>
      </c>
      <c r="D1227">
        <f>IFERROR(Table73[[#This Row],[United States 10y]]-Table73[[#This Row],[United States 2y]],#N/A)</f>
        <v/>
      </c>
    </row>
    <row r="1228">
      <c r="A1228" s="6">
        <f>Database!A1227</f>
        <v/>
      </c>
      <c r="B1228">
        <f>IF(VLOOKUP(Table73[[#This Row],[Date]],Database!$A:$E,MATCH($B$1,Database!$A$1:$E$1,),)=0,#N/A,VLOOKUP(Table73[[#This Row],[Date]],Database!$A:$E,MATCH($B$1,Database!$A$1:$E$1,),))</f>
        <v/>
      </c>
      <c r="C1228">
        <f>IF(VLOOKUP(Table73[[#This Row],[Date]],Database!$A:$C,MATCH($C$1,Database!$A$1:$C$1,),)=0,#N/A,VLOOKUP(Table73[[#This Row],[Date]],Database!$A:$C,MATCH($C$1,Database!$A$1:$C$1,),))</f>
        <v/>
      </c>
      <c r="D1228">
        <f>IFERROR(Table73[[#This Row],[United States 10y]]-Table73[[#This Row],[United States 2y]],#N/A)</f>
        <v/>
      </c>
    </row>
    <row r="1229">
      <c r="A1229" s="6">
        <f>Database!A1228</f>
        <v/>
      </c>
      <c r="B1229">
        <f>IF(VLOOKUP(Table73[[#This Row],[Date]],Database!$A:$E,MATCH($B$1,Database!$A$1:$E$1,),)=0,#N/A,VLOOKUP(Table73[[#This Row],[Date]],Database!$A:$E,MATCH($B$1,Database!$A$1:$E$1,),))</f>
        <v/>
      </c>
      <c r="C1229">
        <f>IF(VLOOKUP(Table73[[#This Row],[Date]],Database!$A:$C,MATCH($C$1,Database!$A$1:$C$1,),)=0,#N/A,VLOOKUP(Table73[[#This Row],[Date]],Database!$A:$C,MATCH($C$1,Database!$A$1:$C$1,),))</f>
        <v/>
      </c>
      <c r="D1229">
        <f>IFERROR(Table73[[#This Row],[United States 10y]]-Table73[[#This Row],[United States 2y]],#N/A)</f>
        <v/>
      </c>
    </row>
    <row r="1230">
      <c r="A1230" s="6">
        <f>Database!A1229</f>
        <v/>
      </c>
      <c r="B1230">
        <f>IF(VLOOKUP(Table73[[#This Row],[Date]],Database!$A:$E,MATCH($B$1,Database!$A$1:$E$1,),)=0,#N/A,VLOOKUP(Table73[[#This Row],[Date]],Database!$A:$E,MATCH($B$1,Database!$A$1:$E$1,),))</f>
        <v/>
      </c>
      <c r="C1230">
        <f>IF(VLOOKUP(Table73[[#This Row],[Date]],Database!$A:$C,MATCH($C$1,Database!$A$1:$C$1,),)=0,#N/A,VLOOKUP(Table73[[#This Row],[Date]],Database!$A:$C,MATCH($C$1,Database!$A$1:$C$1,),))</f>
        <v/>
      </c>
      <c r="D1230">
        <f>IFERROR(Table73[[#This Row],[United States 10y]]-Table73[[#This Row],[United States 2y]],#N/A)</f>
        <v/>
      </c>
    </row>
    <row r="1231">
      <c r="A1231" s="6">
        <f>Database!A1230</f>
        <v/>
      </c>
      <c r="B1231">
        <f>IF(VLOOKUP(Table73[[#This Row],[Date]],Database!$A:$E,MATCH($B$1,Database!$A$1:$E$1,),)=0,#N/A,VLOOKUP(Table73[[#This Row],[Date]],Database!$A:$E,MATCH($B$1,Database!$A$1:$E$1,),))</f>
        <v/>
      </c>
      <c r="C1231">
        <f>IF(VLOOKUP(Table73[[#This Row],[Date]],Database!$A:$C,MATCH($C$1,Database!$A$1:$C$1,),)=0,#N/A,VLOOKUP(Table73[[#This Row],[Date]],Database!$A:$C,MATCH($C$1,Database!$A$1:$C$1,),))</f>
        <v/>
      </c>
      <c r="D1231">
        <f>IFERROR(Table73[[#This Row],[United States 10y]]-Table73[[#This Row],[United States 2y]],#N/A)</f>
        <v/>
      </c>
    </row>
    <row r="1232">
      <c r="A1232" s="6">
        <f>Database!A1231</f>
        <v/>
      </c>
      <c r="B1232">
        <f>IF(VLOOKUP(Table73[[#This Row],[Date]],Database!$A:$E,MATCH($B$1,Database!$A$1:$E$1,),)=0,#N/A,VLOOKUP(Table73[[#This Row],[Date]],Database!$A:$E,MATCH($B$1,Database!$A$1:$E$1,),))</f>
        <v/>
      </c>
      <c r="C1232">
        <f>IF(VLOOKUP(Table73[[#This Row],[Date]],Database!$A:$C,MATCH($C$1,Database!$A$1:$C$1,),)=0,#N/A,VLOOKUP(Table73[[#This Row],[Date]],Database!$A:$C,MATCH($C$1,Database!$A$1:$C$1,),))</f>
        <v/>
      </c>
      <c r="D1232">
        <f>IFERROR(Table73[[#This Row],[United States 10y]]-Table73[[#This Row],[United States 2y]],#N/A)</f>
        <v/>
      </c>
    </row>
    <row r="1233">
      <c r="A1233" s="6">
        <f>Database!A1232</f>
        <v/>
      </c>
      <c r="B1233">
        <f>IF(VLOOKUP(Table73[[#This Row],[Date]],Database!$A:$E,MATCH($B$1,Database!$A$1:$E$1,),)=0,#N/A,VLOOKUP(Table73[[#This Row],[Date]],Database!$A:$E,MATCH($B$1,Database!$A$1:$E$1,),))</f>
        <v/>
      </c>
      <c r="C1233">
        <f>IF(VLOOKUP(Table73[[#This Row],[Date]],Database!$A:$C,MATCH($C$1,Database!$A$1:$C$1,),)=0,#N/A,VLOOKUP(Table73[[#This Row],[Date]],Database!$A:$C,MATCH($C$1,Database!$A$1:$C$1,),))</f>
        <v/>
      </c>
      <c r="D1233">
        <f>IFERROR(Table73[[#This Row],[United States 10y]]-Table73[[#This Row],[United States 2y]],#N/A)</f>
        <v/>
      </c>
    </row>
    <row r="1234">
      <c r="A1234" s="6">
        <f>Database!A1233</f>
        <v/>
      </c>
      <c r="B1234">
        <f>IF(VLOOKUP(Table73[[#This Row],[Date]],Database!$A:$E,MATCH($B$1,Database!$A$1:$E$1,),)=0,#N/A,VLOOKUP(Table73[[#This Row],[Date]],Database!$A:$E,MATCH($B$1,Database!$A$1:$E$1,),))</f>
        <v/>
      </c>
      <c r="C1234">
        <f>IF(VLOOKUP(Table73[[#This Row],[Date]],Database!$A:$C,MATCH($C$1,Database!$A$1:$C$1,),)=0,#N/A,VLOOKUP(Table73[[#This Row],[Date]],Database!$A:$C,MATCH($C$1,Database!$A$1:$C$1,),))</f>
        <v/>
      </c>
      <c r="D1234">
        <f>IFERROR(Table73[[#This Row],[United States 10y]]-Table73[[#This Row],[United States 2y]],#N/A)</f>
        <v/>
      </c>
    </row>
    <row r="1235">
      <c r="A1235" s="6">
        <f>Database!A1234</f>
        <v/>
      </c>
      <c r="B1235">
        <f>IF(VLOOKUP(Table73[[#This Row],[Date]],Database!$A:$E,MATCH($B$1,Database!$A$1:$E$1,),)=0,#N/A,VLOOKUP(Table73[[#This Row],[Date]],Database!$A:$E,MATCH($B$1,Database!$A$1:$E$1,),))</f>
        <v/>
      </c>
      <c r="C1235">
        <f>IF(VLOOKUP(Table73[[#This Row],[Date]],Database!$A:$C,MATCH($C$1,Database!$A$1:$C$1,),)=0,#N/A,VLOOKUP(Table73[[#This Row],[Date]],Database!$A:$C,MATCH($C$1,Database!$A$1:$C$1,),))</f>
        <v/>
      </c>
      <c r="D1235">
        <f>IFERROR(Table73[[#This Row],[United States 10y]]-Table73[[#This Row],[United States 2y]],#N/A)</f>
        <v/>
      </c>
    </row>
    <row r="1236">
      <c r="A1236" s="6">
        <f>Database!A1235</f>
        <v/>
      </c>
      <c r="B1236">
        <f>IF(VLOOKUP(Table73[[#This Row],[Date]],Database!$A:$E,MATCH($B$1,Database!$A$1:$E$1,),)=0,#N/A,VLOOKUP(Table73[[#This Row],[Date]],Database!$A:$E,MATCH($B$1,Database!$A$1:$E$1,),))</f>
        <v/>
      </c>
      <c r="C1236">
        <f>IF(VLOOKUP(Table73[[#This Row],[Date]],Database!$A:$C,MATCH($C$1,Database!$A$1:$C$1,),)=0,#N/A,VLOOKUP(Table73[[#This Row],[Date]],Database!$A:$C,MATCH($C$1,Database!$A$1:$C$1,),))</f>
        <v/>
      </c>
      <c r="D1236">
        <f>IFERROR(Table73[[#This Row],[United States 10y]]-Table73[[#This Row],[United States 2y]],#N/A)</f>
        <v/>
      </c>
    </row>
    <row r="1237">
      <c r="A1237" s="6">
        <f>Database!A1236</f>
        <v/>
      </c>
      <c r="B1237">
        <f>IF(VLOOKUP(Table73[[#This Row],[Date]],Database!$A:$E,MATCH($B$1,Database!$A$1:$E$1,),)=0,#N/A,VLOOKUP(Table73[[#This Row],[Date]],Database!$A:$E,MATCH($B$1,Database!$A$1:$E$1,),))</f>
        <v/>
      </c>
      <c r="C1237">
        <f>IF(VLOOKUP(Table73[[#This Row],[Date]],Database!$A:$C,MATCH($C$1,Database!$A$1:$C$1,),)=0,#N/A,VLOOKUP(Table73[[#This Row],[Date]],Database!$A:$C,MATCH($C$1,Database!$A$1:$C$1,),))</f>
        <v/>
      </c>
      <c r="D1237">
        <f>IFERROR(Table73[[#This Row],[United States 10y]]-Table73[[#This Row],[United States 2y]],#N/A)</f>
        <v/>
      </c>
    </row>
    <row r="1238">
      <c r="A1238" s="6">
        <f>Database!A1237</f>
        <v/>
      </c>
      <c r="B1238">
        <f>IF(VLOOKUP(Table73[[#This Row],[Date]],Database!$A:$E,MATCH($B$1,Database!$A$1:$E$1,),)=0,#N/A,VLOOKUP(Table73[[#This Row],[Date]],Database!$A:$E,MATCH($B$1,Database!$A$1:$E$1,),))</f>
        <v/>
      </c>
      <c r="C1238">
        <f>IF(VLOOKUP(Table73[[#This Row],[Date]],Database!$A:$C,MATCH($C$1,Database!$A$1:$C$1,),)=0,#N/A,VLOOKUP(Table73[[#This Row],[Date]],Database!$A:$C,MATCH($C$1,Database!$A$1:$C$1,),))</f>
        <v/>
      </c>
      <c r="D1238">
        <f>IFERROR(Table73[[#This Row],[United States 10y]]-Table73[[#This Row],[United States 2y]],#N/A)</f>
        <v/>
      </c>
    </row>
    <row r="1239">
      <c r="A1239" s="6">
        <f>Database!A1238</f>
        <v/>
      </c>
      <c r="B1239">
        <f>IF(VLOOKUP(Table73[[#This Row],[Date]],Database!$A:$E,MATCH($B$1,Database!$A$1:$E$1,),)=0,#N/A,VLOOKUP(Table73[[#This Row],[Date]],Database!$A:$E,MATCH($B$1,Database!$A$1:$E$1,),))</f>
        <v/>
      </c>
      <c r="C1239">
        <f>IF(VLOOKUP(Table73[[#This Row],[Date]],Database!$A:$C,MATCH($C$1,Database!$A$1:$C$1,),)=0,#N/A,VLOOKUP(Table73[[#This Row],[Date]],Database!$A:$C,MATCH($C$1,Database!$A$1:$C$1,),))</f>
        <v/>
      </c>
      <c r="D1239">
        <f>IFERROR(Table73[[#This Row],[United States 10y]]-Table73[[#This Row],[United States 2y]],#N/A)</f>
        <v/>
      </c>
    </row>
    <row r="1240">
      <c r="A1240" s="6">
        <f>Database!A1239</f>
        <v/>
      </c>
      <c r="B1240">
        <f>IF(VLOOKUP(Table73[[#This Row],[Date]],Database!$A:$E,MATCH($B$1,Database!$A$1:$E$1,),)=0,#N/A,VLOOKUP(Table73[[#This Row],[Date]],Database!$A:$E,MATCH($B$1,Database!$A$1:$E$1,),))</f>
        <v/>
      </c>
      <c r="C1240">
        <f>IF(VLOOKUP(Table73[[#This Row],[Date]],Database!$A:$C,MATCH($C$1,Database!$A$1:$C$1,),)=0,#N/A,VLOOKUP(Table73[[#This Row],[Date]],Database!$A:$C,MATCH($C$1,Database!$A$1:$C$1,),))</f>
        <v/>
      </c>
      <c r="D1240">
        <f>IFERROR(Table73[[#This Row],[United States 10y]]-Table73[[#This Row],[United States 2y]],#N/A)</f>
        <v/>
      </c>
    </row>
    <row r="1241">
      <c r="A1241" s="6">
        <f>Database!A1240</f>
        <v/>
      </c>
      <c r="B1241">
        <f>IF(VLOOKUP(Table73[[#This Row],[Date]],Database!$A:$E,MATCH($B$1,Database!$A$1:$E$1,),)=0,#N/A,VLOOKUP(Table73[[#This Row],[Date]],Database!$A:$E,MATCH($B$1,Database!$A$1:$E$1,),))</f>
        <v/>
      </c>
      <c r="C1241">
        <f>IF(VLOOKUP(Table73[[#This Row],[Date]],Database!$A:$C,MATCH($C$1,Database!$A$1:$C$1,),)=0,#N/A,VLOOKUP(Table73[[#This Row],[Date]],Database!$A:$C,MATCH($C$1,Database!$A$1:$C$1,),))</f>
        <v/>
      </c>
      <c r="D1241">
        <f>IFERROR(Table73[[#This Row],[United States 10y]]-Table73[[#This Row],[United States 2y]],#N/A)</f>
        <v/>
      </c>
    </row>
    <row r="1242">
      <c r="A1242" s="6">
        <f>Database!A1241</f>
        <v/>
      </c>
      <c r="B1242">
        <f>IF(VLOOKUP(Table73[[#This Row],[Date]],Database!$A:$E,MATCH($B$1,Database!$A$1:$E$1,),)=0,#N/A,VLOOKUP(Table73[[#This Row],[Date]],Database!$A:$E,MATCH($B$1,Database!$A$1:$E$1,),))</f>
        <v/>
      </c>
      <c r="C1242">
        <f>IF(VLOOKUP(Table73[[#This Row],[Date]],Database!$A:$C,MATCH($C$1,Database!$A$1:$C$1,),)=0,#N/A,VLOOKUP(Table73[[#This Row],[Date]],Database!$A:$C,MATCH($C$1,Database!$A$1:$C$1,),))</f>
        <v/>
      </c>
      <c r="D1242">
        <f>IFERROR(Table73[[#This Row],[United States 10y]]-Table73[[#This Row],[United States 2y]],#N/A)</f>
        <v/>
      </c>
    </row>
    <row r="1243">
      <c r="A1243" s="6">
        <f>Database!A1242</f>
        <v/>
      </c>
      <c r="B1243">
        <f>IF(VLOOKUP(Table73[[#This Row],[Date]],Database!$A:$E,MATCH($B$1,Database!$A$1:$E$1,),)=0,#N/A,VLOOKUP(Table73[[#This Row],[Date]],Database!$A:$E,MATCH($B$1,Database!$A$1:$E$1,),))</f>
        <v/>
      </c>
      <c r="C1243">
        <f>IF(VLOOKUP(Table73[[#This Row],[Date]],Database!$A:$C,MATCH($C$1,Database!$A$1:$C$1,),)=0,#N/A,VLOOKUP(Table73[[#This Row],[Date]],Database!$A:$C,MATCH($C$1,Database!$A$1:$C$1,),))</f>
        <v/>
      </c>
      <c r="D1243">
        <f>IFERROR(Table73[[#This Row],[United States 10y]]-Table73[[#This Row],[United States 2y]],#N/A)</f>
        <v/>
      </c>
    </row>
    <row r="1244">
      <c r="A1244" s="6">
        <f>Database!A1243</f>
        <v/>
      </c>
      <c r="B1244">
        <f>IF(VLOOKUP(Table73[[#This Row],[Date]],Database!$A:$E,MATCH($B$1,Database!$A$1:$E$1,),)=0,#N/A,VLOOKUP(Table73[[#This Row],[Date]],Database!$A:$E,MATCH($B$1,Database!$A$1:$E$1,),))</f>
        <v/>
      </c>
      <c r="C1244">
        <f>IF(VLOOKUP(Table73[[#This Row],[Date]],Database!$A:$C,MATCH($C$1,Database!$A$1:$C$1,),)=0,#N/A,VLOOKUP(Table73[[#This Row],[Date]],Database!$A:$C,MATCH($C$1,Database!$A$1:$C$1,),))</f>
        <v/>
      </c>
      <c r="D1244">
        <f>IFERROR(Table73[[#This Row],[United States 10y]]-Table73[[#This Row],[United States 2y]],#N/A)</f>
        <v/>
      </c>
    </row>
    <row r="1245">
      <c r="A1245" s="6">
        <f>Database!A1244</f>
        <v/>
      </c>
      <c r="B1245">
        <f>IF(VLOOKUP(Table73[[#This Row],[Date]],Database!$A:$E,MATCH($B$1,Database!$A$1:$E$1,),)=0,#N/A,VLOOKUP(Table73[[#This Row],[Date]],Database!$A:$E,MATCH($B$1,Database!$A$1:$E$1,),))</f>
        <v/>
      </c>
      <c r="C1245">
        <f>IF(VLOOKUP(Table73[[#This Row],[Date]],Database!$A:$C,MATCH($C$1,Database!$A$1:$C$1,),)=0,#N/A,VLOOKUP(Table73[[#This Row],[Date]],Database!$A:$C,MATCH($C$1,Database!$A$1:$C$1,),))</f>
        <v/>
      </c>
      <c r="D1245">
        <f>IFERROR(Table73[[#This Row],[United States 10y]]-Table73[[#This Row],[United States 2y]],#N/A)</f>
        <v/>
      </c>
    </row>
    <row r="1246">
      <c r="A1246" s="6">
        <f>Database!A1245</f>
        <v/>
      </c>
      <c r="B1246">
        <f>IF(VLOOKUP(Table73[[#This Row],[Date]],Database!$A:$E,MATCH($B$1,Database!$A$1:$E$1,),)=0,#N/A,VLOOKUP(Table73[[#This Row],[Date]],Database!$A:$E,MATCH($B$1,Database!$A$1:$E$1,),))</f>
        <v/>
      </c>
      <c r="C1246">
        <f>IF(VLOOKUP(Table73[[#This Row],[Date]],Database!$A:$C,MATCH($C$1,Database!$A$1:$C$1,),)=0,#N/A,VLOOKUP(Table73[[#This Row],[Date]],Database!$A:$C,MATCH($C$1,Database!$A$1:$C$1,),))</f>
        <v/>
      </c>
      <c r="D1246">
        <f>IFERROR(Table73[[#This Row],[United States 10y]]-Table73[[#This Row],[United States 2y]],#N/A)</f>
        <v/>
      </c>
    </row>
    <row r="1247">
      <c r="A1247" s="6">
        <f>Database!A1246</f>
        <v/>
      </c>
      <c r="B1247">
        <f>IF(VLOOKUP(Table73[[#This Row],[Date]],Database!$A:$E,MATCH($B$1,Database!$A$1:$E$1,),)=0,#N/A,VLOOKUP(Table73[[#This Row],[Date]],Database!$A:$E,MATCH($B$1,Database!$A$1:$E$1,),))</f>
        <v/>
      </c>
      <c r="C1247">
        <f>IF(VLOOKUP(Table73[[#This Row],[Date]],Database!$A:$C,MATCH($C$1,Database!$A$1:$C$1,),)=0,#N/A,VLOOKUP(Table73[[#This Row],[Date]],Database!$A:$C,MATCH($C$1,Database!$A$1:$C$1,),))</f>
        <v/>
      </c>
      <c r="D1247">
        <f>IFERROR(Table73[[#This Row],[United States 10y]]-Table73[[#This Row],[United States 2y]],#N/A)</f>
        <v/>
      </c>
    </row>
    <row r="1248">
      <c r="A1248" s="6">
        <f>Database!A1247</f>
        <v/>
      </c>
      <c r="B1248">
        <f>IF(VLOOKUP(Table73[[#This Row],[Date]],Database!$A:$E,MATCH($B$1,Database!$A$1:$E$1,),)=0,#N/A,VLOOKUP(Table73[[#This Row],[Date]],Database!$A:$E,MATCH($B$1,Database!$A$1:$E$1,),))</f>
        <v/>
      </c>
      <c r="C1248">
        <f>IF(VLOOKUP(Table73[[#This Row],[Date]],Database!$A:$C,MATCH($C$1,Database!$A$1:$C$1,),)=0,#N/A,VLOOKUP(Table73[[#This Row],[Date]],Database!$A:$C,MATCH($C$1,Database!$A$1:$C$1,),))</f>
        <v/>
      </c>
      <c r="D1248">
        <f>IFERROR(Table73[[#This Row],[United States 10y]]-Table73[[#This Row],[United States 2y]],#N/A)</f>
        <v/>
      </c>
    </row>
    <row r="1249">
      <c r="A1249" s="6">
        <f>Database!A1248</f>
        <v/>
      </c>
      <c r="B1249">
        <f>IF(VLOOKUP(Table73[[#This Row],[Date]],Database!$A:$E,MATCH($B$1,Database!$A$1:$E$1,),)=0,#N/A,VLOOKUP(Table73[[#This Row],[Date]],Database!$A:$E,MATCH($B$1,Database!$A$1:$E$1,),))</f>
        <v/>
      </c>
      <c r="C1249">
        <f>IF(VLOOKUP(Table73[[#This Row],[Date]],Database!$A:$C,MATCH($C$1,Database!$A$1:$C$1,),)=0,#N/A,VLOOKUP(Table73[[#This Row],[Date]],Database!$A:$C,MATCH($C$1,Database!$A$1:$C$1,),))</f>
        <v/>
      </c>
      <c r="D1249">
        <f>IFERROR(Table73[[#This Row],[United States 10y]]-Table73[[#This Row],[United States 2y]],#N/A)</f>
        <v/>
      </c>
    </row>
    <row r="1250">
      <c r="A1250" s="6">
        <f>Database!A1249</f>
        <v/>
      </c>
      <c r="B1250">
        <f>IF(VLOOKUP(Table73[[#This Row],[Date]],Database!$A:$E,MATCH($B$1,Database!$A$1:$E$1,),)=0,#N/A,VLOOKUP(Table73[[#This Row],[Date]],Database!$A:$E,MATCH($B$1,Database!$A$1:$E$1,),))</f>
        <v/>
      </c>
      <c r="C1250">
        <f>IF(VLOOKUP(Table73[[#This Row],[Date]],Database!$A:$C,MATCH($C$1,Database!$A$1:$C$1,),)=0,#N/A,VLOOKUP(Table73[[#This Row],[Date]],Database!$A:$C,MATCH($C$1,Database!$A$1:$C$1,),))</f>
        <v/>
      </c>
      <c r="D1250">
        <f>IFERROR(Table73[[#This Row],[United States 10y]]-Table73[[#This Row],[United States 2y]],#N/A)</f>
        <v/>
      </c>
    </row>
    <row r="1251">
      <c r="A1251" s="6">
        <f>Database!A1250</f>
        <v/>
      </c>
      <c r="B1251">
        <f>IF(VLOOKUP(Table73[[#This Row],[Date]],Database!$A:$E,MATCH($B$1,Database!$A$1:$E$1,),)=0,#N/A,VLOOKUP(Table73[[#This Row],[Date]],Database!$A:$E,MATCH($B$1,Database!$A$1:$E$1,),))</f>
        <v/>
      </c>
      <c r="C1251">
        <f>IF(VLOOKUP(Table73[[#This Row],[Date]],Database!$A:$C,MATCH($C$1,Database!$A$1:$C$1,),)=0,#N/A,VLOOKUP(Table73[[#This Row],[Date]],Database!$A:$C,MATCH($C$1,Database!$A$1:$C$1,),))</f>
        <v/>
      </c>
      <c r="D1251">
        <f>IFERROR(Table73[[#This Row],[United States 10y]]-Table73[[#This Row],[United States 2y]],#N/A)</f>
        <v/>
      </c>
    </row>
    <row r="1252">
      <c r="A1252" s="6">
        <f>Database!A1251</f>
        <v/>
      </c>
      <c r="B1252">
        <f>IF(VLOOKUP(Table73[[#This Row],[Date]],Database!$A:$E,MATCH($B$1,Database!$A$1:$E$1,),)=0,#N/A,VLOOKUP(Table73[[#This Row],[Date]],Database!$A:$E,MATCH($B$1,Database!$A$1:$E$1,),))</f>
        <v/>
      </c>
      <c r="C1252">
        <f>IF(VLOOKUP(Table73[[#This Row],[Date]],Database!$A:$C,MATCH($C$1,Database!$A$1:$C$1,),)=0,#N/A,VLOOKUP(Table73[[#This Row],[Date]],Database!$A:$C,MATCH($C$1,Database!$A$1:$C$1,),))</f>
        <v/>
      </c>
      <c r="D1252">
        <f>IFERROR(Table73[[#This Row],[United States 10y]]-Table73[[#This Row],[United States 2y]],#N/A)</f>
        <v/>
      </c>
    </row>
    <row r="1253">
      <c r="A1253" s="6">
        <f>Database!A1252</f>
        <v/>
      </c>
      <c r="B1253">
        <f>IF(VLOOKUP(Table73[[#This Row],[Date]],Database!$A:$E,MATCH($B$1,Database!$A$1:$E$1,),)=0,#N/A,VLOOKUP(Table73[[#This Row],[Date]],Database!$A:$E,MATCH($B$1,Database!$A$1:$E$1,),))</f>
        <v/>
      </c>
      <c r="C1253">
        <f>IF(VLOOKUP(Table73[[#This Row],[Date]],Database!$A:$C,MATCH($C$1,Database!$A$1:$C$1,),)=0,#N/A,VLOOKUP(Table73[[#This Row],[Date]],Database!$A:$C,MATCH($C$1,Database!$A$1:$C$1,),))</f>
        <v/>
      </c>
      <c r="D1253">
        <f>IFERROR(Table73[[#This Row],[United States 10y]]-Table73[[#This Row],[United States 2y]],#N/A)</f>
        <v/>
      </c>
    </row>
    <row r="1254">
      <c r="A1254" s="6">
        <f>Database!A1253</f>
        <v/>
      </c>
      <c r="B1254">
        <f>IF(VLOOKUP(Table73[[#This Row],[Date]],Database!$A:$E,MATCH($B$1,Database!$A$1:$E$1,),)=0,#N/A,VLOOKUP(Table73[[#This Row],[Date]],Database!$A:$E,MATCH($B$1,Database!$A$1:$E$1,),))</f>
        <v/>
      </c>
      <c r="C1254">
        <f>IF(VLOOKUP(Table73[[#This Row],[Date]],Database!$A:$C,MATCH($C$1,Database!$A$1:$C$1,),)=0,#N/A,VLOOKUP(Table73[[#This Row],[Date]],Database!$A:$C,MATCH($C$1,Database!$A$1:$C$1,),))</f>
        <v/>
      </c>
      <c r="D1254">
        <f>IFERROR(Table73[[#This Row],[United States 10y]]-Table73[[#This Row],[United States 2y]],#N/A)</f>
        <v/>
      </c>
    </row>
    <row r="1255">
      <c r="A1255" s="6">
        <f>Database!A1254</f>
        <v/>
      </c>
      <c r="B1255">
        <f>IF(VLOOKUP(Table73[[#This Row],[Date]],Database!$A:$E,MATCH($B$1,Database!$A$1:$E$1,),)=0,#N/A,VLOOKUP(Table73[[#This Row],[Date]],Database!$A:$E,MATCH($B$1,Database!$A$1:$E$1,),))</f>
        <v/>
      </c>
      <c r="C1255">
        <f>IF(VLOOKUP(Table73[[#This Row],[Date]],Database!$A:$C,MATCH($C$1,Database!$A$1:$C$1,),)=0,#N/A,VLOOKUP(Table73[[#This Row],[Date]],Database!$A:$C,MATCH($C$1,Database!$A$1:$C$1,),))</f>
        <v/>
      </c>
      <c r="D1255">
        <f>IFERROR(Table73[[#This Row],[United States 10y]]-Table73[[#This Row],[United States 2y]],#N/A)</f>
        <v/>
      </c>
    </row>
    <row r="1256">
      <c r="A1256" s="6">
        <f>Database!A1255</f>
        <v/>
      </c>
      <c r="B1256">
        <f>IF(VLOOKUP(Table73[[#This Row],[Date]],Database!$A:$E,MATCH($B$1,Database!$A$1:$E$1,),)=0,#N/A,VLOOKUP(Table73[[#This Row],[Date]],Database!$A:$E,MATCH($B$1,Database!$A$1:$E$1,),))</f>
        <v/>
      </c>
      <c r="C1256">
        <f>IF(VLOOKUP(Table73[[#This Row],[Date]],Database!$A:$C,MATCH($C$1,Database!$A$1:$C$1,),)=0,#N/A,VLOOKUP(Table73[[#This Row],[Date]],Database!$A:$C,MATCH($C$1,Database!$A$1:$C$1,),))</f>
        <v/>
      </c>
      <c r="D1256">
        <f>IFERROR(Table73[[#This Row],[United States 10y]]-Table73[[#This Row],[United States 2y]],#N/A)</f>
        <v/>
      </c>
    </row>
    <row r="1257">
      <c r="A1257" s="6">
        <f>Database!A1256</f>
        <v/>
      </c>
      <c r="B1257">
        <f>IF(VLOOKUP(Table73[[#This Row],[Date]],Database!$A:$E,MATCH($B$1,Database!$A$1:$E$1,),)=0,#N/A,VLOOKUP(Table73[[#This Row],[Date]],Database!$A:$E,MATCH($B$1,Database!$A$1:$E$1,),))</f>
        <v/>
      </c>
      <c r="C1257">
        <f>IF(VLOOKUP(Table73[[#This Row],[Date]],Database!$A:$C,MATCH($C$1,Database!$A$1:$C$1,),)=0,#N/A,VLOOKUP(Table73[[#This Row],[Date]],Database!$A:$C,MATCH($C$1,Database!$A$1:$C$1,),))</f>
        <v/>
      </c>
      <c r="D1257">
        <f>IFERROR(Table73[[#This Row],[United States 10y]]-Table73[[#This Row],[United States 2y]],#N/A)</f>
        <v/>
      </c>
    </row>
    <row r="1258">
      <c r="A1258" s="6">
        <f>Database!A1257</f>
        <v/>
      </c>
      <c r="B1258">
        <f>IF(VLOOKUP(Table73[[#This Row],[Date]],Database!$A:$E,MATCH($B$1,Database!$A$1:$E$1,),)=0,#N/A,VLOOKUP(Table73[[#This Row],[Date]],Database!$A:$E,MATCH($B$1,Database!$A$1:$E$1,),))</f>
        <v/>
      </c>
      <c r="C1258">
        <f>IF(VLOOKUP(Table73[[#This Row],[Date]],Database!$A:$C,MATCH($C$1,Database!$A$1:$C$1,),)=0,#N/A,VLOOKUP(Table73[[#This Row],[Date]],Database!$A:$C,MATCH($C$1,Database!$A$1:$C$1,),))</f>
        <v/>
      </c>
      <c r="D1258">
        <f>IFERROR(Table73[[#This Row],[United States 10y]]-Table73[[#This Row],[United States 2y]],#N/A)</f>
        <v/>
      </c>
    </row>
    <row r="1259">
      <c r="A1259" s="6">
        <f>Database!A1258</f>
        <v/>
      </c>
      <c r="B1259">
        <f>IF(VLOOKUP(Table73[[#This Row],[Date]],Database!$A:$E,MATCH($B$1,Database!$A$1:$E$1,),)=0,#N/A,VLOOKUP(Table73[[#This Row],[Date]],Database!$A:$E,MATCH($B$1,Database!$A$1:$E$1,),))</f>
        <v/>
      </c>
      <c r="C1259">
        <f>IF(VLOOKUP(Table73[[#This Row],[Date]],Database!$A:$C,MATCH($C$1,Database!$A$1:$C$1,),)=0,#N/A,VLOOKUP(Table73[[#This Row],[Date]],Database!$A:$C,MATCH($C$1,Database!$A$1:$C$1,),))</f>
        <v/>
      </c>
      <c r="D1259">
        <f>IFERROR(Table73[[#This Row],[United States 10y]]-Table73[[#This Row],[United States 2y]],#N/A)</f>
        <v/>
      </c>
    </row>
    <row r="1260">
      <c r="A1260" s="6">
        <f>Database!A1259</f>
        <v/>
      </c>
      <c r="B1260">
        <f>IF(VLOOKUP(Table73[[#This Row],[Date]],Database!$A:$E,MATCH($B$1,Database!$A$1:$E$1,),)=0,#N/A,VLOOKUP(Table73[[#This Row],[Date]],Database!$A:$E,MATCH($B$1,Database!$A$1:$E$1,),))</f>
        <v/>
      </c>
      <c r="C1260">
        <f>IF(VLOOKUP(Table73[[#This Row],[Date]],Database!$A:$C,MATCH($C$1,Database!$A$1:$C$1,),)=0,#N/A,VLOOKUP(Table73[[#This Row],[Date]],Database!$A:$C,MATCH($C$1,Database!$A$1:$C$1,),))</f>
        <v/>
      </c>
      <c r="D1260">
        <f>IFERROR(Table73[[#This Row],[United States 10y]]-Table73[[#This Row],[United States 2y]],#N/A)</f>
        <v/>
      </c>
    </row>
    <row r="1261">
      <c r="A1261" s="6">
        <f>Database!A1260</f>
        <v/>
      </c>
      <c r="B1261">
        <f>IF(VLOOKUP(Table73[[#This Row],[Date]],Database!$A:$E,MATCH($B$1,Database!$A$1:$E$1,),)=0,#N/A,VLOOKUP(Table73[[#This Row],[Date]],Database!$A:$E,MATCH($B$1,Database!$A$1:$E$1,),))</f>
        <v/>
      </c>
      <c r="C1261">
        <f>IF(VLOOKUP(Table73[[#This Row],[Date]],Database!$A:$C,MATCH($C$1,Database!$A$1:$C$1,),)=0,#N/A,VLOOKUP(Table73[[#This Row],[Date]],Database!$A:$C,MATCH($C$1,Database!$A$1:$C$1,),))</f>
        <v/>
      </c>
      <c r="D1261">
        <f>IFERROR(Table73[[#This Row],[United States 10y]]-Table73[[#This Row],[United States 2y]],#N/A)</f>
        <v/>
      </c>
    </row>
    <row r="1262">
      <c r="A1262" s="6">
        <f>Database!A1261</f>
        <v/>
      </c>
      <c r="B1262">
        <f>IF(VLOOKUP(Table73[[#This Row],[Date]],Database!$A:$E,MATCH($B$1,Database!$A$1:$E$1,),)=0,#N/A,VLOOKUP(Table73[[#This Row],[Date]],Database!$A:$E,MATCH($B$1,Database!$A$1:$E$1,),))</f>
        <v/>
      </c>
      <c r="C1262">
        <f>IF(VLOOKUP(Table73[[#This Row],[Date]],Database!$A:$C,MATCH($C$1,Database!$A$1:$C$1,),)=0,#N/A,VLOOKUP(Table73[[#This Row],[Date]],Database!$A:$C,MATCH($C$1,Database!$A$1:$C$1,),))</f>
        <v/>
      </c>
      <c r="D1262">
        <f>IFERROR(Table73[[#This Row],[United States 10y]]-Table73[[#This Row],[United States 2y]],#N/A)</f>
        <v/>
      </c>
    </row>
    <row r="1263">
      <c r="A1263" s="6">
        <f>Database!A1262</f>
        <v/>
      </c>
      <c r="B1263">
        <f>IF(VLOOKUP(Table73[[#This Row],[Date]],Database!$A:$E,MATCH($B$1,Database!$A$1:$E$1,),)=0,#N/A,VLOOKUP(Table73[[#This Row],[Date]],Database!$A:$E,MATCH($B$1,Database!$A$1:$E$1,),))</f>
        <v/>
      </c>
      <c r="C1263">
        <f>IF(VLOOKUP(Table73[[#This Row],[Date]],Database!$A:$C,MATCH($C$1,Database!$A$1:$C$1,),)=0,#N/A,VLOOKUP(Table73[[#This Row],[Date]],Database!$A:$C,MATCH($C$1,Database!$A$1:$C$1,),))</f>
        <v/>
      </c>
      <c r="D1263">
        <f>IFERROR(Table73[[#This Row],[United States 10y]]-Table73[[#This Row],[United States 2y]],#N/A)</f>
        <v/>
      </c>
    </row>
    <row r="1264">
      <c r="A1264" s="6">
        <f>Database!A1263</f>
        <v/>
      </c>
      <c r="B1264">
        <f>IF(VLOOKUP(Table73[[#This Row],[Date]],Database!$A:$E,MATCH($B$1,Database!$A$1:$E$1,),)=0,#N/A,VLOOKUP(Table73[[#This Row],[Date]],Database!$A:$E,MATCH($B$1,Database!$A$1:$E$1,),))</f>
        <v/>
      </c>
      <c r="C1264">
        <f>IF(VLOOKUP(Table73[[#This Row],[Date]],Database!$A:$C,MATCH($C$1,Database!$A$1:$C$1,),)=0,#N/A,VLOOKUP(Table73[[#This Row],[Date]],Database!$A:$C,MATCH($C$1,Database!$A$1:$C$1,),))</f>
        <v/>
      </c>
      <c r="D1264">
        <f>IFERROR(Table73[[#This Row],[United States 10y]]-Table73[[#This Row],[United States 2y]],#N/A)</f>
        <v/>
      </c>
    </row>
    <row r="1265">
      <c r="A1265" s="6">
        <f>Database!A1264</f>
        <v/>
      </c>
      <c r="B1265">
        <f>IF(VLOOKUP(Table73[[#This Row],[Date]],Database!$A:$E,MATCH($B$1,Database!$A$1:$E$1,),)=0,#N/A,VLOOKUP(Table73[[#This Row],[Date]],Database!$A:$E,MATCH($B$1,Database!$A$1:$E$1,),))</f>
        <v/>
      </c>
      <c r="C1265">
        <f>IF(VLOOKUP(Table73[[#This Row],[Date]],Database!$A:$C,MATCH($C$1,Database!$A$1:$C$1,),)=0,#N/A,VLOOKUP(Table73[[#This Row],[Date]],Database!$A:$C,MATCH($C$1,Database!$A$1:$C$1,),))</f>
        <v/>
      </c>
      <c r="D1265">
        <f>IFERROR(Table73[[#This Row],[United States 10y]]-Table73[[#This Row],[United States 2y]],#N/A)</f>
        <v/>
      </c>
    </row>
    <row r="1266">
      <c r="A1266" s="6">
        <f>Database!A1265</f>
        <v/>
      </c>
      <c r="B1266">
        <f>IF(VLOOKUP(Table73[[#This Row],[Date]],Database!$A:$E,MATCH($B$1,Database!$A$1:$E$1,),)=0,#N/A,VLOOKUP(Table73[[#This Row],[Date]],Database!$A:$E,MATCH($B$1,Database!$A$1:$E$1,),))</f>
        <v/>
      </c>
      <c r="C1266">
        <f>IF(VLOOKUP(Table73[[#This Row],[Date]],Database!$A:$C,MATCH($C$1,Database!$A$1:$C$1,),)=0,#N/A,VLOOKUP(Table73[[#This Row],[Date]],Database!$A:$C,MATCH($C$1,Database!$A$1:$C$1,),))</f>
        <v/>
      </c>
      <c r="D1266">
        <f>IFERROR(Table73[[#This Row],[United States 10y]]-Table73[[#This Row],[United States 2y]],#N/A)</f>
        <v/>
      </c>
    </row>
    <row r="1267">
      <c r="A1267" s="6">
        <f>Database!A1266</f>
        <v/>
      </c>
      <c r="B1267">
        <f>IF(VLOOKUP(Table73[[#This Row],[Date]],Database!$A:$E,MATCH($B$1,Database!$A$1:$E$1,),)=0,#N/A,VLOOKUP(Table73[[#This Row],[Date]],Database!$A:$E,MATCH($B$1,Database!$A$1:$E$1,),))</f>
        <v/>
      </c>
      <c r="C1267">
        <f>IF(VLOOKUP(Table73[[#This Row],[Date]],Database!$A:$C,MATCH($C$1,Database!$A$1:$C$1,),)=0,#N/A,VLOOKUP(Table73[[#This Row],[Date]],Database!$A:$C,MATCH($C$1,Database!$A$1:$C$1,),))</f>
        <v/>
      </c>
      <c r="D1267">
        <f>IFERROR(Table73[[#This Row],[United States 10y]]-Table73[[#This Row],[United States 2y]],#N/A)</f>
        <v/>
      </c>
    </row>
    <row r="1268">
      <c r="A1268" s="6">
        <f>Database!A1267</f>
        <v/>
      </c>
      <c r="B1268">
        <f>IF(VLOOKUP(Table73[[#This Row],[Date]],Database!$A:$E,MATCH($B$1,Database!$A$1:$E$1,),)=0,#N/A,VLOOKUP(Table73[[#This Row],[Date]],Database!$A:$E,MATCH($B$1,Database!$A$1:$E$1,),))</f>
        <v/>
      </c>
      <c r="C1268">
        <f>IF(VLOOKUP(Table73[[#This Row],[Date]],Database!$A:$C,MATCH($C$1,Database!$A$1:$C$1,),)=0,#N/A,VLOOKUP(Table73[[#This Row],[Date]],Database!$A:$C,MATCH($C$1,Database!$A$1:$C$1,),))</f>
        <v/>
      </c>
      <c r="D1268">
        <f>IFERROR(Table73[[#This Row],[United States 10y]]-Table73[[#This Row],[United States 2y]],#N/A)</f>
        <v/>
      </c>
    </row>
    <row r="1269">
      <c r="A1269" s="6">
        <f>Database!A1268</f>
        <v/>
      </c>
      <c r="B1269">
        <f>IF(VLOOKUP(Table73[[#This Row],[Date]],Database!$A:$E,MATCH($B$1,Database!$A$1:$E$1,),)=0,#N/A,VLOOKUP(Table73[[#This Row],[Date]],Database!$A:$E,MATCH($B$1,Database!$A$1:$E$1,),))</f>
        <v/>
      </c>
      <c r="C1269">
        <f>IF(VLOOKUP(Table73[[#This Row],[Date]],Database!$A:$C,MATCH($C$1,Database!$A$1:$C$1,),)=0,#N/A,VLOOKUP(Table73[[#This Row],[Date]],Database!$A:$C,MATCH($C$1,Database!$A$1:$C$1,),))</f>
        <v/>
      </c>
      <c r="D1269">
        <f>IFERROR(Table73[[#This Row],[United States 10y]]-Table73[[#This Row],[United States 2y]],#N/A)</f>
        <v/>
      </c>
    </row>
    <row r="1270">
      <c r="A1270" s="6">
        <f>Database!A1269</f>
        <v/>
      </c>
      <c r="B1270">
        <f>IF(VLOOKUP(Table73[[#This Row],[Date]],Database!$A:$E,MATCH($B$1,Database!$A$1:$E$1,),)=0,#N/A,VLOOKUP(Table73[[#This Row],[Date]],Database!$A:$E,MATCH($B$1,Database!$A$1:$E$1,),))</f>
        <v/>
      </c>
      <c r="C1270">
        <f>IF(VLOOKUP(Table73[[#This Row],[Date]],Database!$A:$C,MATCH($C$1,Database!$A$1:$C$1,),)=0,#N/A,VLOOKUP(Table73[[#This Row],[Date]],Database!$A:$C,MATCH($C$1,Database!$A$1:$C$1,),))</f>
        <v/>
      </c>
      <c r="D1270">
        <f>IFERROR(Table73[[#This Row],[United States 10y]]-Table73[[#This Row],[United States 2y]],#N/A)</f>
        <v/>
      </c>
    </row>
    <row r="1271">
      <c r="A1271" s="6">
        <f>Database!A1270</f>
        <v/>
      </c>
      <c r="B1271">
        <f>IF(VLOOKUP(Table73[[#This Row],[Date]],Database!$A:$E,MATCH($B$1,Database!$A$1:$E$1,),)=0,#N/A,VLOOKUP(Table73[[#This Row],[Date]],Database!$A:$E,MATCH($B$1,Database!$A$1:$E$1,),))</f>
        <v/>
      </c>
      <c r="C1271">
        <f>IF(VLOOKUP(Table73[[#This Row],[Date]],Database!$A:$C,MATCH($C$1,Database!$A$1:$C$1,),)=0,#N/A,VLOOKUP(Table73[[#This Row],[Date]],Database!$A:$C,MATCH($C$1,Database!$A$1:$C$1,),))</f>
        <v/>
      </c>
      <c r="D1271">
        <f>IFERROR(Table73[[#This Row],[United States 10y]]-Table73[[#This Row],[United States 2y]],#N/A)</f>
        <v/>
      </c>
    </row>
    <row r="1272">
      <c r="A1272" s="6">
        <f>Database!A1271</f>
        <v/>
      </c>
      <c r="B1272">
        <f>IF(VLOOKUP(Table73[[#This Row],[Date]],Database!$A:$E,MATCH($B$1,Database!$A$1:$E$1,),)=0,#N/A,VLOOKUP(Table73[[#This Row],[Date]],Database!$A:$E,MATCH($B$1,Database!$A$1:$E$1,),))</f>
        <v/>
      </c>
      <c r="C1272">
        <f>IF(VLOOKUP(Table73[[#This Row],[Date]],Database!$A:$C,MATCH($C$1,Database!$A$1:$C$1,),)=0,#N/A,VLOOKUP(Table73[[#This Row],[Date]],Database!$A:$C,MATCH($C$1,Database!$A$1:$C$1,),))</f>
        <v/>
      </c>
      <c r="D1272">
        <f>IFERROR(Table73[[#This Row],[United States 10y]]-Table73[[#This Row],[United States 2y]],#N/A)</f>
        <v/>
      </c>
    </row>
    <row r="1273">
      <c r="A1273" s="6">
        <f>Database!A1272</f>
        <v/>
      </c>
      <c r="B1273">
        <f>IF(VLOOKUP(Table73[[#This Row],[Date]],Database!$A:$E,MATCH($B$1,Database!$A$1:$E$1,),)=0,#N/A,VLOOKUP(Table73[[#This Row],[Date]],Database!$A:$E,MATCH($B$1,Database!$A$1:$E$1,),))</f>
        <v/>
      </c>
      <c r="C1273">
        <f>IF(VLOOKUP(Table73[[#This Row],[Date]],Database!$A:$C,MATCH($C$1,Database!$A$1:$C$1,),)=0,#N/A,VLOOKUP(Table73[[#This Row],[Date]],Database!$A:$C,MATCH($C$1,Database!$A$1:$C$1,),))</f>
        <v/>
      </c>
      <c r="D1273">
        <f>IFERROR(Table73[[#This Row],[United States 10y]]-Table73[[#This Row],[United States 2y]],#N/A)</f>
        <v/>
      </c>
    </row>
    <row r="1274">
      <c r="A1274" s="6">
        <f>Database!A1273</f>
        <v/>
      </c>
      <c r="B1274">
        <f>IF(VLOOKUP(Table73[[#This Row],[Date]],Database!$A:$E,MATCH($B$1,Database!$A$1:$E$1,),)=0,#N/A,VLOOKUP(Table73[[#This Row],[Date]],Database!$A:$E,MATCH($B$1,Database!$A$1:$E$1,),))</f>
        <v/>
      </c>
      <c r="C1274">
        <f>IF(VLOOKUP(Table73[[#This Row],[Date]],Database!$A:$C,MATCH($C$1,Database!$A$1:$C$1,),)=0,#N/A,VLOOKUP(Table73[[#This Row],[Date]],Database!$A:$C,MATCH($C$1,Database!$A$1:$C$1,),))</f>
        <v/>
      </c>
      <c r="D1274">
        <f>IFERROR(Table73[[#This Row],[United States 10y]]-Table73[[#This Row],[United States 2y]],#N/A)</f>
        <v/>
      </c>
    </row>
    <row r="1275">
      <c r="A1275" s="6">
        <f>Database!A1274</f>
        <v/>
      </c>
      <c r="B1275">
        <f>IF(VLOOKUP(Table73[[#This Row],[Date]],Database!$A:$E,MATCH($B$1,Database!$A$1:$E$1,),)=0,#N/A,VLOOKUP(Table73[[#This Row],[Date]],Database!$A:$E,MATCH($B$1,Database!$A$1:$E$1,),))</f>
        <v/>
      </c>
      <c r="C1275">
        <f>IF(VLOOKUP(Table73[[#This Row],[Date]],Database!$A:$C,MATCH($C$1,Database!$A$1:$C$1,),)=0,#N/A,VLOOKUP(Table73[[#This Row],[Date]],Database!$A:$C,MATCH($C$1,Database!$A$1:$C$1,),))</f>
        <v/>
      </c>
      <c r="D1275">
        <f>IFERROR(Table73[[#This Row],[United States 10y]]-Table73[[#This Row],[United States 2y]],#N/A)</f>
        <v/>
      </c>
    </row>
    <row r="1276">
      <c r="A1276" s="6">
        <f>Database!A1275</f>
        <v/>
      </c>
      <c r="B1276">
        <f>IF(VLOOKUP(Table73[[#This Row],[Date]],Database!$A:$E,MATCH($B$1,Database!$A$1:$E$1,),)=0,#N/A,VLOOKUP(Table73[[#This Row],[Date]],Database!$A:$E,MATCH($B$1,Database!$A$1:$E$1,),))</f>
        <v/>
      </c>
      <c r="C1276">
        <f>IF(VLOOKUP(Table73[[#This Row],[Date]],Database!$A:$C,MATCH($C$1,Database!$A$1:$C$1,),)=0,#N/A,VLOOKUP(Table73[[#This Row],[Date]],Database!$A:$C,MATCH($C$1,Database!$A$1:$C$1,),))</f>
        <v/>
      </c>
      <c r="D1276">
        <f>IFERROR(Table73[[#This Row],[United States 10y]]-Table73[[#This Row],[United States 2y]],#N/A)</f>
        <v/>
      </c>
    </row>
    <row r="1277">
      <c r="A1277" s="6">
        <f>Database!A1276</f>
        <v/>
      </c>
      <c r="B1277">
        <f>IF(VLOOKUP(Table73[[#This Row],[Date]],Database!$A:$E,MATCH($B$1,Database!$A$1:$E$1,),)=0,#N/A,VLOOKUP(Table73[[#This Row],[Date]],Database!$A:$E,MATCH($B$1,Database!$A$1:$E$1,),))</f>
        <v/>
      </c>
      <c r="C1277">
        <f>IF(VLOOKUP(Table73[[#This Row],[Date]],Database!$A:$C,MATCH($C$1,Database!$A$1:$C$1,),)=0,#N/A,VLOOKUP(Table73[[#This Row],[Date]],Database!$A:$C,MATCH($C$1,Database!$A$1:$C$1,),))</f>
        <v/>
      </c>
      <c r="D1277">
        <f>IFERROR(Table73[[#This Row],[United States 10y]]-Table73[[#This Row],[United States 2y]],#N/A)</f>
        <v/>
      </c>
    </row>
    <row r="1278">
      <c r="A1278" s="6">
        <f>Database!A1277</f>
        <v/>
      </c>
      <c r="B1278">
        <f>IF(VLOOKUP(Table73[[#This Row],[Date]],Database!$A:$E,MATCH($B$1,Database!$A$1:$E$1,),)=0,#N/A,VLOOKUP(Table73[[#This Row],[Date]],Database!$A:$E,MATCH($B$1,Database!$A$1:$E$1,),))</f>
        <v/>
      </c>
      <c r="C1278">
        <f>IF(VLOOKUP(Table73[[#This Row],[Date]],Database!$A:$C,MATCH($C$1,Database!$A$1:$C$1,),)=0,#N/A,VLOOKUP(Table73[[#This Row],[Date]],Database!$A:$C,MATCH($C$1,Database!$A$1:$C$1,),))</f>
        <v/>
      </c>
      <c r="D1278">
        <f>IFERROR(Table73[[#This Row],[United States 10y]]-Table73[[#This Row],[United States 2y]],#N/A)</f>
        <v/>
      </c>
    </row>
    <row r="1279">
      <c r="A1279" s="6">
        <f>Database!A1278</f>
        <v/>
      </c>
      <c r="B1279">
        <f>IF(VLOOKUP(Table73[[#This Row],[Date]],Database!$A:$E,MATCH($B$1,Database!$A$1:$E$1,),)=0,#N/A,VLOOKUP(Table73[[#This Row],[Date]],Database!$A:$E,MATCH($B$1,Database!$A$1:$E$1,),))</f>
        <v/>
      </c>
      <c r="C1279">
        <f>IF(VLOOKUP(Table73[[#This Row],[Date]],Database!$A:$C,MATCH($C$1,Database!$A$1:$C$1,),)=0,#N/A,VLOOKUP(Table73[[#This Row],[Date]],Database!$A:$C,MATCH($C$1,Database!$A$1:$C$1,),))</f>
        <v/>
      </c>
      <c r="D1279">
        <f>IFERROR(Table73[[#This Row],[United States 10y]]-Table73[[#This Row],[United States 2y]],#N/A)</f>
        <v/>
      </c>
    </row>
    <row r="1280">
      <c r="A1280" s="6">
        <f>Database!A1279</f>
        <v/>
      </c>
      <c r="B1280">
        <f>IF(VLOOKUP(Table73[[#This Row],[Date]],Database!$A:$E,MATCH($B$1,Database!$A$1:$E$1,),)=0,#N/A,VLOOKUP(Table73[[#This Row],[Date]],Database!$A:$E,MATCH($B$1,Database!$A$1:$E$1,),))</f>
        <v/>
      </c>
      <c r="C1280">
        <f>IF(VLOOKUP(Table73[[#This Row],[Date]],Database!$A:$C,MATCH($C$1,Database!$A$1:$C$1,),)=0,#N/A,VLOOKUP(Table73[[#This Row],[Date]],Database!$A:$C,MATCH($C$1,Database!$A$1:$C$1,),))</f>
        <v/>
      </c>
      <c r="D1280">
        <f>IFERROR(Table73[[#This Row],[United States 10y]]-Table73[[#This Row],[United States 2y]],#N/A)</f>
        <v/>
      </c>
    </row>
    <row r="1281">
      <c r="A1281" s="6">
        <f>Database!A1280</f>
        <v/>
      </c>
      <c r="B1281">
        <f>IF(VLOOKUP(Table73[[#This Row],[Date]],Database!$A:$E,MATCH($B$1,Database!$A$1:$E$1,),)=0,#N/A,VLOOKUP(Table73[[#This Row],[Date]],Database!$A:$E,MATCH($B$1,Database!$A$1:$E$1,),))</f>
        <v/>
      </c>
      <c r="C1281">
        <f>IF(VLOOKUP(Table73[[#This Row],[Date]],Database!$A:$C,MATCH($C$1,Database!$A$1:$C$1,),)=0,#N/A,VLOOKUP(Table73[[#This Row],[Date]],Database!$A:$C,MATCH($C$1,Database!$A$1:$C$1,),))</f>
        <v/>
      </c>
      <c r="D1281">
        <f>IFERROR(Table73[[#This Row],[United States 10y]]-Table73[[#This Row],[United States 2y]],#N/A)</f>
        <v/>
      </c>
    </row>
    <row r="1282">
      <c r="A1282" s="6">
        <f>Database!A1281</f>
        <v/>
      </c>
      <c r="B1282">
        <f>IF(VLOOKUP(Table73[[#This Row],[Date]],Database!$A:$E,MATCH($B$1,Database!$A$1:$E$1,),)=0,#N/A,VLOOKUP(Table73[[#This Row],[Date]],Database!$A:$E,MATCH($B$1,Database!$A$1:$E$1,),))</f>
        <v/>
      </c>
      <c r="C1282">
        <f>IF(VLOOKUP(Table73[[#This Row],[Date]],Database!$A:$C,MATCH($C$1,Database!$A$1:$C$1,),)=0,#N/A,VLOOKUP(Table73[[#This Row],[Date]],Database!$A:$C,MATCH($C$1,Database!$A$1:$C$1,),))</f>
        <v/>
      </c>
      <c r="D1282">
        <f>IFERROR(Table73[[#This Row],[United States 10y]]-Table73[[#This Row],[United States 2y]],#N/A)</f>
        <v/>
      </c>
    </row>
    <row r="1283">
      <c r="A1283" s="6">
        <f>Database!A1282</f>
        <v/>
      </c>
      <c r="B1283">
        <f>IF(VLOOKUP(Table73[[#This Row],[Date]],Database!$A:$E,MATCH($B$1,Database!$A$1:$E$1,),)=0,#N/A,VLOOKUP(Table73[[#This Row],[Date]],Database!$A:$E,MATCH($B$1,Database!$A$1:$E$1,),))</f>
        <v/>
      </c>
      <c r="C1283">
        <f>IF(VLOOKUP(Table73[[#This Row],[Date]],Database!$A:$C,MATCH($C$1,Database!$A$1:$C$1,),)=0,#N/A,VLOOKUP(Table73[[#This Row],[Date]],Database!$A:$C,MATCH($C$1,Database!$A$1:$C$1,),))</f>
        <v/>
      </c>
      <c r="D1283">
        <f>IFERROR(Table73[[#This Row],[United States 10y]]-Table73[[#This Row],[United States 2y]],#N/A)</f>
        <v/>
      </c>
    </row>
    <row r="1284">
      <c r="A1284" s="6">
        <f>Database!A1283</f>
        <v/>
      </c>
      <c r="B1284">
        <f>IF(VLOOKUP(Table73[[#This Row],[Date]],Database!$A:$E,MATCH($B$1,Database!$A$1:$E$1,),)=0,#N/A,VLOOKUP(Table73[[#This Row],[Date]],Database!$A:$E,MATCH($B$1,Database!$A$1:$E$1,),))</f>
        <v/>
      </c>
      <c r="C1284">
        <f>IF(VLOOKUP(Table73[[#This Row],[Date]],Database!$A:$C,MATCH($C$1,Database!$A$1:$C$1,),)=0,#N/A,VLOOKUP(Table73[[#This Row],[Date]],Database!$A:$C,MATCH($C$1,Database!$A$1:$C$1,),))</f>
        <v/>
      </c>
      <c r="D1284">
        <f>IFERROR(Table73[[#This Row],[United States 10y]]-Table73[[#This Row],[United States 2y]],#N/A)</f>
        <v/>
      </c>
    </row>
    <row r="1285">
      <c r="A1285" s="6">
        <f>Database!A1284</f>
        <v/>
      </c>
      <c r="B1285">
        <f>IF(VLOOKUP(Table73[[#This Row],[Date]],Database!$A:$E,MATCH($B$1,Database!$A$1:$E$1,),)=0,#N/A,VLOOKUP(Table73[[#This Row],[Date]],Database!$A:$E,MATCH($B$1,Database!$A$1:$E$1,),))</f>
        <v/>
      </c>
      <c r="C1285">
        <f>IF(VLOOKUP(Table73[[#This Row],[Date]],Database!$A:$C,MATCH($C$1,Database!$A$1:$C$1,),)=0,#N/A,VLOOKUP(Table73[[#This Row],[Date]],Database!$A:$C,MATCH($C$1,Database!$A$1:$C$1,),))</f>
        <v/>
      </c>
      <c r="D1285">
        <f>IFERROR(Table73[[#This Row],[United States 10y]]-Table73[[#This Row],[United States 2y]],#N/A)</f>
        <v/>
      </c>
    </row>
    <row r="1286">
      <c r="A1286" s="6">
        <f>Database!A1285</f>
        <v/>
      </c>
      <c r="B1286">
        <f>IF(VLOOKUP(Table73[[#This Row],[Date]],Database!$A:$E,MATCH($B$1,Database!$A$1:$E$1,),)=0,#N/A,VLOOKUP(Table73[[#This Row],[Date]],Database!$A:$E,MATCH($B$1,Database!$A$1:$E$1,),))</f>
        <v/>
      </c>
      <c r="C1286">
        <f>IF(VLOOKUP(Table73[[#This Row],[Date]],Database!$A:$C,MATCH($C$1,Database!$A$1:$C$1,),)=0,#N/A,VLOOKUP(Table73[[#This Row],[Date]],Database!$A:$C,MATCH($C$1,Database!$A$1:$C$1,),))</f>
        <v/>
      </c>
      <c r="D1286">
        <f>IFERROR(Table73[[#This Row],[United States 10y]]-Table73[[#This Row],[United States 2y]],#N/A)</f>
        <v/>
      </c>
    </row>
    <row r="1287">
      <c r="A1287" s="6">
        <f>Database!A1286</f>
        <v/>
      </c>
      <c r="B1287">
        <f>IF(VLOOKUP(Table73[[#This Row],[Date]],Database!$A:$E,MATCH($B$1,Database!$A$1:$E$1,),)=0,#N/A,VLOOKUP(Table73[[#This Row],[Date]],Database!$A:$E,MATCH($B$1,Database!$A$1:$E$1,),))</f>
        <v/>
      </c>
      <c r="C1287">
        <f>IF(VLOOKUP(Table73[[#This Row],[Date]],Database!$A:$C,MATCH($C$1,Database!$A$1:$C$1,),)=0,#N/A,VLOOKUP(Table73[[#This Row],[Date]],Database!$A:$C,MATCH($C$1,Database!$A$1:$C$1,),))</f>
        <v/>
      </c>
      <c r="D1287">
        <f>IFERROR(Table73[[#This Row],[United States 10y]]-Table73[[#This Row],[United States 2y]],#N/A)</f>
        <v/>
      </c>
    </row>
    <row r="1288">
      <c r="A1288" s="6">
        <f>Database!A1287</f>
        <v/>
      </c>
      <c r="B1288">
        <f>IF(VLOOKUP(Table73[[#This Row],[Date]],Database!$A:$E,MATCH($B$1,Database!$A$1:$E$1,),)=0,#N/A,VLOOKUP(Table73[[#This Row],[Date]],Database!$A:$E,MATCH($B$1,Database!$A$1:$E$1,),))</f>
        <v/>
      </c>
      <c r="C1288">
        <f>IF(VLOOKUP(Table73[[#This Row],[Date]],Database!$A:$C,MATCH($C$1,Database!$A$1:$C$1,),)=0,#N/A,VLOOKUP(Table73[[#This Row],[Date]],Database!$A:$C,MATCH($C$1,Database!$A$1:$C$1,),))</f>
        <v/>
      </c>
      <c r="D1288">
        <f>IFERROR(Table73[[#This Row],[United States 10y]]-Table73[[#This Row],[United States 2y]],#N/A)</f>
        <v/>
      </c>
    </row>
    <row r="1289">
      <c r="A1289" s="6">
        <f>Database!A1288</f>
        <v/>
      </c>
      <c r="B1289">
        <f>IF(VLOOKUP(Table73[[#This Row],[Date]],Database!$A:$E,MATCH($B$1,Database!$A$1:$E$1,),)=0,#N/A,VLOOKUP(Table73[[#This Row],[Date]],Database!$A:$E,MATCH($B$1,Database!$A$1:$E$1,),))</f>
        <v/>
      </c>
      <c r="C1289">
        <f>IF(VLOOKUP(Table73[[#This Row],[Date]],Database!$A:$C,MATCH($C$1,Database!$A$1:$C$1,),)=0,#N/A,VLOOKUP(Table73[[#This Row],[Date]],Database!$A:$C,MATCH($C$1,Database!$A$1:$C$1,),))</f>
        <v/>
      </c>
      <c r="D1289">
        <f>IFERROR(Table73[[#This Row],[United States 10y]]-Table73[[#This Row],[United States 2y]],#N/A)</f>
        <v/>
      </c>
    </row>
    <row r="1290">
      <c r="A1290" s="6">
        <f>Database!A1289</f>
        <v/>
      </c>
      <c r="B1290">
        <f>IF(VLOOKUP(Table73[[#This Row],[Date]],Database!$A:$E,MATCH($B$1,Database!$A$1:$E$1,),)=0,#N/A,VLOOKUP(Table73[[#This Row],[Date]],Database!$A:$E,MATCH($B$1,Database!$A$1:$E$1,),))</f>
        <v/>
      </c>
      <c r="C1290">
        <f>IF(VLOOKUP(Table73[[#This Row],[Date]],Database!$A:$C,MATCH($C$1,Database!$A$1:$C$1,),)=0,#N/A,VLOOKUP(Table73[[#This Row],[Date]],Database!$A:$C,MATCH($C$1,Database!$A$1:$C$1,),))</f>
        <v/>
      </c>
      <c r="D1290">
        <f>IFERROR(Table73[[#This Row],[United States 10y]]-Table73[[#This Row],[United States 2y]],#N/A)</f>
        <v/>
      </c>
    </row>
    <row r="1291">
      <c r="A1291" s="6">
        <f>Database!A1290</f>
        <v/>
      </c>
      <c r="B1291">
        <f>IF(VLOOKUP(Table73[[#This Row],[Date]],Database!$A:$E,MATCH($B$1,Database!$A$1:$E$1,),)=0,#N/A,VLOOKUP(Table73[[#This Row],[Date]],Database!$A:$E,MATCH($B$1,Database!$A$1:$E$1,),))</f>
        <v/>
      </c>
      <c r="C1291">
        <f>IF(VLOOKUP(Table73[[#This Row],[Date]],Database!$A:$C,MATCH($C$1,Database!$A$1:$C$1,),)=0,#N/A,VLOOKUP(Table73[[#This Row],[Date]],Database!$A:$C,MATCH($C$1,Database!$A$1:$C$1,),))</f>
        <v/>
      </c>
      <c r="D1291">
        <f>IFERROR(Table73[[#This Row],[United States 10y]]-Table73[[#This Row],[United States 2y]],#N/A)</f>
        <v/>
      </c>
    </row>
    <row r="1292">
      <c r="A1292" s="6">
        <f>Database!A1291</f>
        <v/>
      </c>
      <c r="B1292">
        <f>IF(VLOOKUP(Table73[[#This Row],[Date]],Database!$A:$E,MATCH($B$1,Database!$A$1:$E$1,),)=0,#N/A,VLOOKUP(Table73[[#This Row],[Date]],Database!$A:$E,MATCH($B$1,Database!$A$1:$E$1,),))</f>
        <v/>
      </c>
      <c r="C1292">
        <f>IF(VLOOKUP(Table73[[#This Row],[Date]],Database!$A:$C,MATCH($C$1,Database!$A$1:$C$1,),)=0,#N/A,VLOOKUP(Table73[[#This Row],[Date]],Database!$A:$C,MATCH($C$1,Database!$A$1:$C$1,),))</f>
        <v/>
      </c>
      <c r="D1292">
        <f>IFERROR(Table73[[#This Row],[United States 10y]]-Table73[[#This Row],[United States 2y]],#N/A)</f>
        <v/>
      </c>
    </row>
    <row r="1293">
      <c r="A1293" s="6">
        <f>Database!A1292</f>
        <v/>
      </c>
      <c r="B1293">
        <f>IF(VLOOKUP(Table73[[#This Row],[Date]],Database!$A:$E,MATCH($B$1,Database!$A$1:$E$1,),)=0,#N/A,VLOOKUP(Table73[[#This Row],[Date]],Database!$A:$E,MATCH($B$1,Database!$A$1:$E$1,),))</f>
        <v/>
      </c>
      <c r="C1293">
        <f>IF(VLOOKUP(Table73[[#This Row],[Date]],Database!$A:$C,MATCH($C$1,Database!$A$1:$C$1,),)=0,#N/A,VLOOKUP(Table73[[#This Row],[Date]],Database!$A:$C,MATCH($C$1,Database!$A$1:$C$1,),))</f>
        <v/>
      </c>
      <c r="D1293">
        <f>IFERROR(Table73[[#This Row],[United States 10y]]-Table73[[#This Row],[United States 2y]],#N/A)</f>
        <v/>
      </c>
    </row>
    <row r="1294">
      <c r="A1294" s="6">
        <f>Database!A1293</f>
        <v/>
      </c>
      <c r="B1294">
        <f>IF(VLOOKUP(Table73[[#This Row],[Date]],Database!$A:$E,MATCH($B$1,Database!$A$1:$E$1,),)=0,#N/A,VLOOKUP(Table73[[#This Row],[Date]],Database!$A:$E,MATCH($B$1,Database!$A$1:$E$1,),))</f>
        <v/>
      </c>
      <c r="C1294">
        <f>IF(VLOOKUP(Table73[[#This Row],[Date]],Database!$A:$C,MATCH($C$1,Database!$A$1:$C$1,),)=0,#N/A,VLOOKUP(Table73[[#This Row],[Date]],Database!$A:$C,MATCH($C$1,Database!$A$1:$C$1,),))</f>
        <v/>
      </c>
      <c r="D1294">
        <f>IFERROR(Table73[[#This Row],[United States 10y]]-Table73[[#This Row],[United States 2y]],#N/A)</f>
        <v/>
      </c>
    </row>
    <row r="1295">
      <c r="A1295" s="6">
        <f>Database!A1294</f>
        <v/>
      </c>
      <c r="B1295">
        <f>IF(VLOOKUP(Table73[[#This Row],[Date]],Database!$A:$E,MATCH($B$1,Database!$A$1:$E$1,),)=0,#N/A,VLOOKUP(Table73[[#This Row],[Date]],Database!$A:$E,MATCH($B$1,Database!$A$1:$E$1,),))</f>
        <v/>
      </c>
      <c r="C1295">
        <f>IF(VLOOKUP(Table73[[#This Row],[Date]],Database!$A:$C,MATCH($C$1,Database!$A$1:$C$1,),)=0,#N/A,VLOOKUP(Table73[[#This Row],[Date]],Database!$A:$C,MATCH($C$1,Database!$A$1:$C$1,),))</f>
        <v/>
      </c>
      <c r="D1295">
        <f>IFERROR(Table73[[#This Row],[United States 10y]]-Table73[[#This Row],[United States 2y]],#N/A)</f>
        <v/>
      </c>
    </row>
    <row r="1296">
      <c r="A1296" s="6">
        <f>Database!A1295</f>
        <v/>
      </c>
      <c r="B1296">
        <f>IF(VLOOKUP(Table73[[#This Row],[Date]],Database!$A:$E,MATCH($B$1,Database!$A$1:$E$1,),)=0,#N/A,VLOOKUP(Table73[[#This Row],[Date]],Database!$A:$E,MATCH($B$1,Database!$A$1:$E$1,),))</f>
        <v/>
      </c>
      <c r="C1296">
        <f>IF(VLOOKUP(Table73[[#This Row],[Date]],Database!$A:$C,MATCH($C$1,Database!$A$1:$C$1,),)=0,#N/A,VLOOKUP(Table73[[#This Row],[Date]],Database!$A:$C,MATCH($C$1,Database!$A$1:$C$1,),))</f>
        <v/>
      </c>
      <c r="D1296">
        <f>IFERROR(Table73[[#This Row],[United States 10y]]-Table73[[#This Row],[United States 2y]],#N/A)</f>
        <v/>
      </c>
    </row>
    <row r="1297">
      <c r="A1297" s="6">
        <f>Database!A1296</f>
        <v/>
      </c>
      <c r="B1297">
        <f>IF(VLOOKUP(Table73[[#This Row],[Date]],Database!$A:$E,MATCH($B$1,Database!$A$1:$E$1,),)=0,#N/A,VLOOKUP(Table73[[#This Row],[Date]],Database!$A:$E,MATCH($B$1,Database!$A$1:$E$1,),))</f>
        <v/>
      </c>
      <c r="C1297">
        <f>IF(VLOOKUP(Table73[[#This Row],[Date]],Database!$A:$C,MATCH($C$1,Database!$A$1:$C$1,),)=0,#N/A,VLOOKUP(Table73[[#This Row],[Date]],Database!$A:$C,MATCH($C$1,Database!$A$1:$C$1,),))</f>
        <v/>
      </c>
      <c r="D1297">
        <f>IFERROR(Table73[[#This Row],[United States 10y]]-Table73[[#This Row],[United States 2y]],#N/A)</f>
        <v/>
      </c>
    </row>
    <row r="1298">
      <c r="A1298" s="6">
        <f>Database!A1297</f>
        <v/>
      </c>
      <c r="B1298">
        <f>IF(VLOOKUP(Table73[[#This Row],[Date]],Database!$A:$E,MATCH($B$1,Database!$A$1:$E$1,),)=0,#N/A,VLOOKUP(Table73[[#This Row],[Date]],Database!$A:$E,MATCH($B$1,Database!$A$1:$E$1,),))</f>
        <v/>
      </c>
      <c r="C1298">
        <f>IF(VLOOKUP(Table73[[#This Row],[Date]],Database!$A:$C,MATCH($C$1,Database!$A$1:$C$1,),)=0,#N/A,VLOOKUP(Table73[[#This Row],[Date]],Database!$A:$C,MATCH($C$1,Database!$A$1:$C$1,),))</f>
        <v/>
      </c>
      <c r="D1298">
        <f>IFERROR(Table73[[#This Row],[United States 10y]]-Table73[[#This Row],[United States 2y]],#N/A)</f>
        <v/>
      </c>
    </row>
    <row r="1299">
      <c r="A1299" s="6">
        <f>Database!A1298</f>
        <v/>
      </c>
      <c r="B1299">
        <f>IF(VLOOKUP(Table73[[#This Row],[Date]],Database!$A:$E,MATCH($B$1,Database!$A$1:$E$1,),)=0,#N/A,VLOOKUP(Table73[[#This Row],[Date]],Database!$A:$E,MATCH($B$1,Database!$A$1:$E$1,),))</f>
        <v/>
      </c>
      <c r="C1299">
        <f>IF(VLOOKUP(Table73[[#This Row],[Date]],Database!$A:$C,MATCH($C$1,Database!$A$1:$C$1,),)=0,#N/A,VLOOKUP(Table73[[#This Row],[Date]],Database!$A:$C,MATCH($C$1,Database!$A$1:$C$1,),))</f>
        <v/>
      </c>
      <c r="D1299">
        <f>IFERROR(Table73[[#This Row],[United States 10y]]-Table73[[#This Row],[United States 2y]],#N/A)</f>
        <v/>
      </c>
    </row>
    <row r="1300">
      <c r="A1300" s="6">
        <f>Database!A1299</f>
        <v/>
      </c>
      <c r="B1300">
        <f>IF(VLOOKUP(Table73[[#This Row],[Date]],Database!$A:$E,MATCH($B$1,Database!$A$1:$E$1,),)=0,#N/A,VLOOKUP(Table73[[#This Row],[Date]],Database!$A:$E,MATCH($B$1,Database!$A$1:$E$1,),))</f>
        <v/>
      </c>
      <c r="C1300">
        <f>IF(VLOOKUP(Table73[[#This Row],[Date]],Database!$A:$C,MATCH($C$1,Database!$A$1:$C$1,),)=0,#N/A,VLOOKUP(Table73[[#This Row],[Date]],Database!$A:$C,MATCH($C$1,Database!$A$1:$C$1,),))</f>
        <v/>
      </c>
      <c r="D1300">
        <f>IFERROR(Table73[[#This Row],[United States 10y]]-Table73[[#This Row],[United States 2y]],#N/A)</f>
        <v/>
      </c>
    </row>
    <row r="1301">
      <c r="A1301" s="6">
        <f>Database!A1300</f>
        <v/>
      </c>
      <c r="B1301">
        <f>IF(VLOOKUP(Table73[[#This Row],[Date]],Database!$A:$E,MATCH($B$1,Database!$A$1:$E$1,),)=0,#N/A,VLOOKUP(Table73[[#This Row],[Date]],Database!$A:$E,MATCH($B$1,Database!$A$1:$E$1,),))</f>
        <v/>
      </c>
      <c r="C1301">
        <f>IF(VLOOKUP(Table73[[#This Row],[Date]],Database!$A:$C,MATCH($C$1,Database!$A$1:$C$1,),)=0,#N/A,VLOOKUP(Table73[[#This Row],[Date]],Database!$A:$C,MATCH($C$1,Database!$A$1:$C$1,),))</f>
        <v/>
      </c>
      <c r="D1301">
        <f>IFERROR(Table73[[#This Row],[United States 10y]]-Table73[[#This Row],[United States 2y]],#N/A)</f>
        <v/>
      </c>
    </row>
    <row r="1302">
      <c r="A1302" s="6">
        <f>Database!A1301</f>
        <v/>
      </c>
      <c r="B1302">
        <f>IF(VLOOKUP(Table73[[#This Row],[Date]],Database!$A:$E,MATCH($B$1,Database!$A$1:$E$1,),)=0,#N/A,VLOOKUP(Table73[[#This Row],[Date]],Database!$A:$E,MATCH($B$1,Database!$A$1:$E$1,),))</f>
        <v/>
      </c>
      <c r="C1302">
        <f>IF(VLOOKUP(Table73[[#This Row],[Date]],Database!$A:$C,MATCH($C$1,Database!$A$1:$C$1,),)=0,#N/A,VLOOKUP(Table73[[#This Row],[Date]],Database!$A:$C,MATCH($C$1,Database!$A$1:$C$1,),))</f>
        <v/>
      </c>
      <c r="D1302">
        <f>IFERROR(Table73[[#This Row],[United States 10y]]-Table73[[#This Row],[United States 2y]],#N/A)</f>
        <v/>
      </c>
    </row>
    <row r="1303">
      <c r="A1303" s="6">
        <f>Database!A1302</f>
        <v/>
      </c>
      <c r="B1303">
        <f>IF(VLOOKUP(Table73[[#This Row],[Date]],Database!$A:$E,MATCH($B$1,Database!$A$1:$E$1,),)=0,#N/A,VLOOKUP(Table73[[#This Row],[Date]],Database!$A:$E,MATCH($B$1,Database!$A$1:$E$1,),))</f>
        <v/>
      </c>
      <c r="C1303">
        <f>IF(VLOOKUP(Table73[[#This Row],[Date]],Database!$A:$C,MATCH($C$1,Database!$A$1:$C$1,),)=0,#N/A,VLOOKUP(Table73[[#This Row],[Date]],Database!$A:$C,MATCH($C$1,Database!$A$1:$C$1,),))</f>
        <v/>
      </c>
      <c r="D1303">
        <f>IFERROR(Table73[[#This Row],[United States 10y]]-Table73[[#This Row],[United States 2y]],#N/A)</f>
        <v/>
      </c>
    </row>
    <row r="1304">
      <c r="A1304" s="6">
        <f>Database!A1303</f>
        <v/>
      </c>
      <c r="B1304">
        <f>IF(VLOOKUP(Table73[[#This Row],[Date]],Database!$A:$E,MATCH($B$1,Database!$A$1:$E$1,),)=0,#N/A,VLOOKUP(Table73[[#This Row],[Date]],Database!$A:$E,MATCH($B$1,Database!$A$1:$E$1,),))</f>
        <v/>
      </c>
      <c r="C1304">
        <f>IF(VLOOKUP(Table73[[#This Row],[Date]],Database!$A:$C,MATCH($C$1,Database!$A$1:$C$1,),)=0,#N/A,VLOOKUP(Table73[[#This Row],[Date]],Database!$A:$C,MATCH($C$1,Database!$A$1:$C$1,),))</f>
        <v/>
      </c>
      <c r="D1304">
        <f>IFERROR(Table73[[#This Row],[United States 10y]]-Table73[[#This Row],[United States 2y]],#N/A)</f>
        <v/>
      </c>
    </row>
    <row r="1305">
      <c r="A1305" s="6">
        <f>Database!A1304</f>
        <v/>
      </c>
      <c r="B1305">
        <f>IF(VLOOKUP(Table73[[#This Row],[Date]],Database!$A:$E,MATCH($B$1,Database!$A$1:$E$1,),)=0,#N/A,VLOOKUP(Table73[[#This Row],[Date]],Database!$A:$E,MATCH($B$1,Database!$A$1:$E$1,),))</f>
        <v/>
      </c>
      <c r="C1305">
        <f>IF(VLOOKUP(Table73[[#This Row],[Date]],Database!$A:$C,MATCH($C$1,Database!$A$1:$C$1,),)=0,#N/A,VLOOKUP(Table73[[#This Row],[Date]],Database!$A:$C,MATCH($C$1,Database!$A$1:$C$1,),))</f>
        <v/>
      </c>
      <c r="D1305">
        <f>IFERROR(Table73[[#This Row],[United States 10y]]-Table73[[#This Row],[United States 2y]],#N/A)</f>
        <v/>
      </c>
    </row>
    <row r="1306">
      <c r="A1306" s="6">
        <f>Database!A1305</f>
        <v/>
      </c>
      <c r="B1306">
        <f>IF(VLOOKUP(Table73[[#This Row],[Date]],Database!$A:$E,MATCH($B$1,Database!$A$1:$E$1,),)=0,#N/A,VLOOKUP(Table73[[#This Row],[Date]],Database!$A:$E,MATCH($B$1,Database!$A$1:$E$1,),))</f>
        <v/>
      </c>
      <c r="C1306">
        <f>IF(VLOOKUP(Table73[[#This Row],[Date]],Database!$A:$C,MATCH($C$1,Database!$A$1:$C$1,),)=0,#N/A,VLOOKUP(Table73[[#This Row],[Date]],Database!$A:$C,MATCH($C$1,Database!$A$1:$C$1,),))</f>
        <v/>
      </c>
      <c r="D1306">
        <f>IFERROR(Table73[[#This Row],[United States 10y]]-Table73[[#This Row],[United States 2y]],#N/A)</f>
        <v/>
      </c>
    </row>
    <row r="1307">
      <c r="A1307" s="6">
        <f>Database!A1306</f>
        <v/>
      </c>
      <c r="B1307">
        <f>IF(VLOOKUP(Table73[[#This Row],[Date]],Database!$A:$E,MATCH($B$1,Database!$A$1:$E$1,),)=0,#N/A,VLOOKUP(Table73[[#This Row],[Date]],Database!$A:$E,MATCH($B$1,Database!$A$1:$E$1,),))</f>
        <v/>
      </c>
      <c r="C1307">
        <f>IF(VLOOKUP(Table73[[#This Row],[Date]],Database!$A:$C,MATCH($C$1,Database!$A$1:$C$1,),)=0,#N/A,VLOOKUP(Table73[[#This Row],[Date]],Database!$A:$C,MATCH($C$1,Database!$A$1:$C$1,),))</f>
        <v/>
      </c>
      <c r="D1307">
        <f>IFERROR(Table73[[#This Row],[United States 10y]]-Table73[[#This Row],[United States 2y]],#N/A)</f>
        <v/>
      </c>
    </row>
    <row r="1308">
      <c r="A1308" s="6">
        <f>Database!A1307</f>
        <v/>
      </c>
      <c r="B1308">
        <f>IF(VLOOKUP(Table73[[#This Row],[Date]],Database!$A:$E,MATCH($B$1,Database!$A$1:$E$1,),)=0,#N/A,VLOOKUP(Table73[[#This Row],[Date]],Database!$A:$E,MATCH($B$1,Database!$A$1:$E$1,),))</f>
        <v/>
      </c>
      <c r="C1308">
        <f>IF(VLOOKUP(Table73[[#This Row],[Date]],Database!$A:$C,MATCH($C$1,Database!$A$1:$C$1,),)=0,#N/A,VLOOKUP(Table73[[#This Row],[Date]],Database!$A:$C,MATCH($C$1,Database!$A$1:$C$1,),))</f>
        <v/>
      </c>
      <c r="D1308">
        <f>IFERROR(Table73[[#This Row],[United States 10y]]-Table73[[#This Row],[United States 2y]],#N/A)</f>
        <v/>
      </c>
    </row>
    <row r="1309">
      <c r="A1309" s="6">
        <f>Database!A1308</f>
        <v/>
      </c>
      <c r="B1309">
        <f>IF(VLOOKUP(Table73[[#This Row],[Date]],Database!$A:$E,MATCH($B$1,Database!$A$1:$E$1,),)=0,#N/A,VLOOKUP(Table73[[#This Row],[Date]],Database!$A:$E,MATCH($B$1,Database!$A$1:$E$1,),))</f>
        <v/>
      </c>
      <c r="C1309">
        <f>IF(VLOOKUP(Table73[[#This Row],[Date]],Database!$A:$C,MATCH($C$1,Database!$A$1:$C$1,),)=0,#N/A,VLOOKUP(Table73[[#This Row],[Date]],Database!$A:$C,MATCH($C$1,Database!$A$1:$C$1,),))</f>
        <v/>
      </c>
      <c r="D1309">
        <f>IFERROR(Table73[[#This Row],[United States 10y]]-Table73[[#This Row],[United States 2y]],#N/A)</f>
        <v/>
      </c>
    </row>
    <row r="1310">
      <c r="A1310" s="6">
        <f>Database!A1309</f>
        <v/>
      </c>
      <c r="B1310">
        <f>IF(VLOOKUP(Table73[[#This Row],[Date]],Database!$A:$E,MATCH($B$1,Database!$A$1:$E$1,),)=0,#N/A,VLOOKUP(Table73[[#This Row],[Date]],Database!$A:$E,MATCH($B$1,Database!$A$1:$E$1,),))</f>
        <v/>
      </c>
      <c r="C1310">
        <f>IF(VLOOKUP(Table73[[#This Row],[Date]],Database!$A:$C,MATCH($C$1,Database!$A$1:$C$1,),)=0,#N/A,VLOOKUP(Table73[[#This Row],[Date]],Database!$A:$C,MATCH($C$1,Database!$A$1:$C$1,),))</f>
        <v/>
      </c>
      <c r="D1310">
        <f>IFERROR(Table73[[#This Row],[United States 10y]]-Table73[[#This Row],[United States 2y]],#N/A)</f>
        <v/>
      </c>
    </row>
    <row r="1311">
      <c r="A1311" s="6">
        <f>Database!A1310</f>
        <v/>
      </c>
      <c r="B1311">
        <f>IF(VLOOKUP(Table73[[#This Row],[Date]],Database!$A:$E,MATCH($B$1,Database!$A$1:$E$1,),)=0,#N/A,VLOOKUP(Table73[[#This Row],[Date]],Database!$A:$E,MATCH($B$1,Database!$A$1:$E$1,),))</f>
        <v/>
      </c>
      <c r="C1311">
        <f>IF(VLOOKUP(Table73[[#This Row],[Date]],Database!$A:$C,MATCH($C$1,Database!$A$1:$C$1,),)=0,#N/A,VLOOKUP(Table73[[#This Row],[Date]],Database!$A:$C,MATCH($C$1,Database!$A$1:$C$1,),))</f>
        <v/>
      </c>
      <c r="D1311">
        <f>IFERROR(Table73[[#This Row],[United States 10y]]-Table73[[#This Row],[United States 2y]],#N/A)</f>
        <v/>
      </c>
    </row>
    <row r="1312">
      <c r="A1312" s="6">
        <f>Database!A1311</f>
        <v/>
      </c>
      <c r="B1312">
        <f>IF(VLOOKUP(Table73[[#This Row],[Date]],Database!$A:$E,MATCH($B$1,Database!$A$1:$E$1,),)=0,#N/A,VLOOKUP(Table73[[#This Row],[Date]],Database!$A:$E,MATCH($B$1,Database!$A$1:$E$1,),))</f>
        <v/>
      </c>
      <c r="C1312">
        <f>IF(VLOOKUP(Table73[[#This Row],[Date]],Database!$A:$C,MATCH($C$1,Database!$A$1:$C$1,),)=0,#N/A,VLOOKUP(Table73[[#This Row],[Date]],Database!$A:$C,MATCH($C$1,Database!$A$1:$C$1,),))</f>
        <v/>
      </c>
      <c r="D1312">
        <f>IFERROR(Table73[[#This Row],[United States 10y]]-Table73[[#This Row],[United States 2y]],#N/A)</f>
        <v/>
      </c>
    </row>
    <row r="1313">
      <c r="A1313" s="6">
        <f>Database!A1312</f>
        <v/>
      </c>
      <c r="B1313">
        <f>IF(VLOOKUP(Table73[[#This Row],[Date]],Database!$A:$E,MATCH($B$1,Database!$A$1:$E$1,),)=0,#N/A,VLOOKUP(Table73[[#This Row],[Date]],Database!$A:$E,MATCH($B$1,Database!$A$1:$E$1,),))</f>
        <v/>
      </c>
      <c r="C1313">
        <f>IF(VLOOKUP(Table73[[#This Row],[Date]],Database!$A:$C,MATCH($C$1,Database!$A$1:$C$1,),)=0,#N/A,VLOOKUP(Table73[[#This Row],[Date]],Database!$A:$C,MATCH($C$1,Database!$A$1:$C$1,),))</f>
        <v/>
      </c>
      <c r="D1313">
        <f>IFERROR(Table73[[#This Row],[United States 10y]]-Table73[[#This Row],[United States 2y]],#N/A)</f>
        <v/>
      </c>
    </row>
    <row r="1314">
      <c r="A1314" s="6">
        <f>Database!A1313</f>
        <v/>
      </c>
      <c r="B1314">
        <f>IF(VLOOKUP(Table73[[#This Row],[Date]],Database!$A:$E,MATCH($B$1,Database!$A$1:$E$1,),)=0,#N/A,VLOOKUP(Table73[[#This Row],[Date]],Database!$A:$E,MATCH($B$1,Database!$A$1:$E$1,),))</f>
        <v/>
      </c>
      <c r="C1314">
        <f>IF(VLOOKUP(Table73[[#This Row],[Date]],Database!$A:$C,MATCH($C$1,Database!$A$1:$C$1,),)=0,#N/A,VLOOKUP(Table73[[#This Row],[Date]],Database!$A:$C,MATCH($C$1,Database!$A$1:$C$1,),))</f>
        <v/>
      </c>
      <c r="D1314">
        <f>IFERROR(Table73[[#This Row],[United States 10y]]-Table73[[#This Row],[United States 2y]],#N/A)</f>
        <v/>
      </c>
    </row>
    <row r="1315">
      <c r="A1315" s="6">
        <f>Database!A1314</f>
        <v/>
      </c>
      <c r="B1315">
        <f>IF(VLOOKUP(Table73[[#This Row],[Date]],Database!$A:$E,MATCH($B$1,Database!$A$1:$E$1,),)=0,#N/A,VLOOKUP(Table73[[#This Row],[Date]],Database!$A:$E,MATCH($B$1,Database!$A$1:$E$1,),))</f>
        <v/>
      </c>
      <c r="C1315">
        <f>IF(VLOOKUP(Table73[[#This Row],[Date]],Database!$A:$C,MATCH($C$1,Database!$A$1:$C$1,),)=0,#N/A,VLOOKUP(Table73[[#This Row],[Date]],Database!$A:$C,MATCH($C$1,Database!$A$1:$C$1,),))</f>
        <v/>
      </c>
      <c r="D1315">
        <f>IFERROR(Table73[[#This Row],[United States 10y]]-Table73[[#This Row],[United States 2y]],#N/A)</f>
        <v/>
      </c>
    </row>
    <row r="1316">
      <c r="A1316" s="6">
        <f>Database!A1315</f>
        <v/>
      </c>
      <c r="B1316">
        <f>IF(VLOOKUP(Table73[[#This Row],[Date]],Database!$A:$E,MATCH($B$1,Database!$A$1:$E$1,),)=0,#N/A,VLOOKUP(Table73[[#This Row],[Date]],Database!$A:$E,MATCH($B$1,Database!$A$1:$E$1,),))</f>
        <v/>
      </c>
      <c r="C1316">
        <f>IF(VLOOKUP(Table73[[#This Row],[Date]],Database!$A:$C,MATCH($C$1,Database!$A$1:$C$1,),)=0,#N/A,VLOOKUP(Table73[[#This Row],[Date]],Database!$A:$C,MATCH($C$1,Database!$A$1:$C$1,),))</f>
        <v/>
      </c>
      <c r="D1316">
        <f>IFERROR(Table73[[#This Row],[United States 10y]]-Table73[[#This Row],[United States 2y]],#N/A)</f>
        <v/>
      </c>
    </row>
    <row r="1317">
      <c r="A1317" s="6">
        <f>Database!A1316</f>
        <v/>
      </c>
      <c r="B1317">
        <f>IF(VLOOKUP(Table73[[#This Row],[Date]],Database!$A:$E,MATCH($B$1,Database!$A$1:$E$1,),)=0,#N/A,VLOOKUP(Table73[[#This Row],[Date]],Database!$A:$E,MATCH($B$1,Database!$A$1:$E$1,),))</f>
        <v/>
      </c>
      <c r="C1317">
        <f>IF(VLOOKUP(Table73[[#This Row],[Date]],Database!$A:$C,MATCH($C$1,Database!$A$1:$C$1,),)=0,#N/A,VLOOKUP(Table73[[#This Row],[Date]],Database!$A:$C,MATCH($C$1,Database!$A$1:$C$1,),))</f>
        <v/>
      </c>
      <c r="D1317">
        <f>IFERROR(Table73[[#This Row],[United States 10y]]-Table73[[#This Row],[United States 2y]],#N/A)</f>
        <v/>
      </c>
    </row>
    <row r="1318">
      <c r="A1318" s="6">
        <f>Database!A1317</f>
        <v/>
      </c>
      <c r="B1318">
        <f>IF(VLOOKUP(Table73[[#This Row],[Date]],Database!$A:$E,MATCH($B$1,Database!$A$1:$E$1,),)=0,#N/A,VLOOKUP(Table73[[#This Row],[Date]],Database!$A:$E,MATCH($B$1,Database!$A$1:$E$1,),))</f>
        <v/>
      </c>
      <c r="C1318">
        <f>IF(VLOOKUP(Table73[[#This Row],[Date]],Database!$A:$C,MATCH($C$1,Database!$A$1:$C$1,),)=0,#N/A,VLOOKUP(Table73[[#This Row],[Date]],Database!$A:$C,MATCH($C$1,Database!$A$1:$C$1,),))</f>
        <v/>
      </c>
      <c r="D1318">
        <f>IFERROR(Table73[[#This Row],[United States 10y]]-Table73[[#This Row],[United States 2y]],#N/A)</f>
        <v/>
      </c>
    </row>
    <row r="1319">
      <c r="A1319" s="6">
        <f>Database!A1318</f>
        <v/>
      </c>
      <c r="B1319">
        <f>IF(VLOOKUP(Table73[[#This Row],[Date]],Database!$A:$E,MATCH($B$1,Database!$A$1:$E$1,),)=0,#N/A,VLOOKUP(Table73[[#This Row],[Date]],Database!$A:$E,MATCH($B$1,Database!$A$1:$E$1,),))</f>
        <v/>
      </c>
      <c r="C1319">
        <f>IF(VLOOKUP(Table73[[#This Row],[Date]],Database!$A:$C,MATCH($C$1,Database!$A$1:$C$1,),)=0,#N/A,VLOOKUP(Table73[[#This Row],[Date]],Database!$A:$C,MATCH($C$1,Database!$A$1:$C$1,),))</f>
        <v/>
      </c>
      <c r="D1319">
        <f>IFERROR(Table73[[#This Row],[United States 10y]]-Table73[[#This Row],[United States 2y]],#N/A)</f>
        <v/>
      </c>
    </row>
    <row r="1320">
      <c r="A1320" s="6">
        <f>Database!A1319</f>
        <v/>
      </c>
      <c r="B1320">
        <f>IF(VLOOKUP(Table73[[#This Row],[Date]],Database!$A:$E,MATCH($B$1,Database!$A$1:$E$1,),)=0,#N/A,VLOOKUP(Table73[[#This Row],[Date]],Database!$A:$E,MATCH($B$1,Database!$A$1:$E$1,),))</f>
        <v/>
      </c>
      <c r="C1320">
        <f>IF(VLOOKUP(Table73[[#This Row],[Date]],Database!$A:$C,MATCH($C$1,Database!$A$1:$C$1,),)=0,#N/A,VLOOKUP(Table73[[#This Row],[Date]],Database!$A:$C,MATCH($C$1,Database!$A$1:$C$1,),))</f>
        <v/>
      </c>
      <c r="D1320">
        <f>IFERROR(Table73[[#This Row],[United States 10y]]-Table73[[#This Row],[United States 2y]],#N/A)</f>
        <v/>
      </c>
    </row>
    <row r="1321">
      <c r="A1321" s="6">
        <f>Database!A1320</f>
        <v/>
      </c>
      <c r="B1321">
        <f>IF(VLOOKUP(Table73[[#This Row],[Date]],Database!$A:$E,MATCH($B$1,Database!$A$1:$E$1,),)=0,#N/A,VLOOKUP(Table73[[#This Row],[Date]],Database!$A:$E,MATCH($B$1,Database!$A$1:$E$1,),))</f>
        <v/>
      </c>
      <c r="C1321">
        <f>IF(VLOOKUP(Table73[[#This Row],[Date]],Database!$A:$C,MATCH($C$1,Database!$A$1:$C$1,),)=0,#N/A,VLOOKUP(Table73[[#This Row],[Date]],Database!$A:$C,MATCH($C$1,Database!$A$1:$C$1,),))</f>
        <v/>
      </c>
      <c r="D1321">
        <f>IFERROR(Table73[[#This Row],[United States 10y]]-Table73[[#This Row],[United States 2y]],#N/A)</f>
        <v/>
      </c>
    </row>
    <row r="1322">
      <c r="A1322" s="6">
        <f>Database!A1321</f>
        <v/>
      </c>
      <c r="B1322">
        <f>IF(VLOOKUP(Table73[[#This Row],[Date]],Database!$A:$E,MATCH($B$1,Database!$A$1:$E$1,),)=0,#N/A,VLOOKUP(Table73[[#This Row],[Date]],Database!$A:$E,MATCH($B$1,Database!$A$1:$E$1,),))</f>
        <v/>
      </c>
      <c r="C1322">
        <f>IF(VLOOKUP(Table73[[#This Row],[Date]],Database!$A:$C,MATCH($C$1,Database!$A$1:$C$1,),)=0,#N/A,VLOOKUP(Table73[[#This Row],[Date]],Database!$A:$C,MATCH($C$1,Database!$A$1:$C$1,),))</f>
        <v/>
      </c>
      <c r="D1322">
        <f>IFERROR(Table73[[#This Row],[United States 10y]]-Table73[[#This Row],[United States 2y]],#N/A)</f>
        <v/>
      </c>
    </row>
    <row r="1323">
      <c r="A1323" s="6">
        <f>Database!A1322</f>
        <v/>
      </c>
      <c r="B1323">
        <f>IF(VLOOKUP(Table73[[#This Row],[Date]],Database!$A:$E,MATCH($B$1,Database!$A$1:$E$1,),)=0,#N/A,VLOOKUP(Table73[[#This Row],[Date]],Database!$A:$E,MATCH($B$1,Database!$A$1:$E$1,),))</f>
        <v/>
      </c>
      <c r="C1323">
        <f>IF(VLOOKUP(Table73[[#This Row],[Date]],Database!$A:$C,MATCH($C$1,Database!$A$1:$C$1,),)=0,#N/A,VLOOKUP(Table73[[#This Row],[Date]],Database!$A:$C,MATCH($C$1,Database!$A$1:$C$1,),))</f>
        <v/>
      </c>
      <c r="D1323">
        <f>IFERROR(Table73[[#This Row],[United States 10y]]-Table73[[#This Row],[United States 2y]],#N/A)</f>
        <v/>
      </c>
    </row>
    <row r="1324">
      <c r="A1324" s="6">
        <f>Database!A1323</f>
        <v/>
      </c>
      <c r="B1324">
        <f>IF(VLOOKUP(Table73[[#This Row],[Date]],Database!$A:$E,MATCH($B$1,Database!$A$1:$E$1,),)=0,#N/A,VLOOKUP(Table73[[#This Row],[Date]],Database!$A:$E,MATCH($B$1,Database!$A$1:$E$1,),))</f>
        <v/>
      </c>
      <c r="C1324">
        <f>IF(VLOOKUP(Table73[[#This Row],[Date]],Database!$A:$C,MATCH($C$1,Database!$A$1:$C$1,),)=0,#N/A,VLOOKUP(Table73[[#This Row],[Date]],Database!$A:$C,MATCH($C$1,Database!$A$1:$C$1,),))</f>
        <v/>
      </c>
      <c r="D1324">
        <f>IFERROR(Table73[[#This Row],[United States 10y]]-Table73[[#This Row],[United States 2y]],#N/A)</f>
        <v/>
      </c>
    </row>
    <row r="1325">
      <c r="A1325" s="6">
        <f>Database!A1324</f>
        <v/>
      </c>
      <c r="B1325">
        <f>IF(VLOOKUP(Table73[[#This Row],[Date]],Database!$A:$E,MATCH($B$1,Database!$A$1:$E$1,),)=0,#N/A,VLOOKUP(Table73[[#This Row],[Date]],Database!$A:$E,MATCH($B$1,Database!$A$1:$E$1,),))</f>
        <v/>
      </c>
      <c r="C1325">
        <f>IF(VLOOKUP(Table73[[#This Row],[Date]],Database!$A:$C,MATCH($C$1,Database!$A$1:$C$1,),)=0,#N/A,VLOOKUP(Table73[[#This Row],[Date]],Database!$A:$C,MATCH($C$1,Database!$A$1:$C$1,),))</f>
        <v/>
      </c>
      <c r="D1325">
        <f>IFERROR(Table73[[#This Row],[United States 10y]]-Table73[[#This Row],[United States 2y]],#N/A)</f>
        <v/>
      </c>
    </row>
    <row r="1326">
      <c r="A1326" s="6">
        <f>Database!A1325</f>
        <v/>
      </c>
      <c r="B1326">
        <f>IF(VLOOKUP(Table73[[#This Row],[Date]],Database!$A:$E,MATCH($B$1,Database!$A$1:$E$1,),)=0,#N/A,VLOOKUP(Table73[[#This Row],[Date]],Database!$A:$E,MATCH($B$1,Database!$A$1:$E$1,),))</f>
        <v/>
      </c>
      <c r="C1326">
        <f>IF(VLOOKUP(Table73[[#This Row],[Date]],Database!$A:$C,MATCH($C$1,Database!$A$1:$C$1,),)=0,#N/A,VLOOKUP(Table73[[#This Row],[Date]],Database!$A:$C,MATCH($C$1,Database!$A$1:$C$1,),))</f>
        <v/>
      </c>
      <c r="D1326">
        <f>IFERROR(Table73[[#This Row],[United States 10y]]-Table73[[#This Row],[United States 2y]],#N/A)</f>
        <v/>
      </c>
    </row>
    <row r="1327">
      <c r="A1327" s="6">
        <f>Database!A1326</f>
        <v/>
      </c>
      <c r="B1327">
        <f>IF(VLOOKUP(Table73[[#This Row],[Date]],Database!$A:$E,MATCH($B$1,Database!$A$1:$E$1,),)=0,#N/A,VLOOKUP(Table73[[#This Row],[Date]],Database!$A:$E,MATCH($B$1,Database!$A$1:$E$1,),))</f>
        <v/>
      </c>
      <c r="C1327">
        <f>IF(VLOOKUP(Table73[[#This Row],[Date]],Database!$A:$C,MATCH($C$1,Database!$A$1:$C$1,),)=0,#N/A,VLOOKUP(Table73[[#This Row],[Date]],Database!$A:$C,MATCH($C$1,Database!$A$1:$C$1,),))</f>
        <v/>
      </c>
      <c r="D1327">
        <f>IFERROR(Table73[[#This Row],[United States 10y]]-Table73[[#This Row],[United States 2y]],#N/A)</f>
        <v/>
      </c>
    </row>
    <row r="1328">
      <c r="A1328" s="6">
        <f>Database!A1327</f>
        <v/>
      </c>
      <c r="B1328">
        <f>IF(VLOOKUP(Table73[[#This Row],[Date]],Database!$A:$E,MATCH($B$1,Database!$A$1:$E$1,),)=0,#N/A,VLOOKUP(Table73[[#This Row],[Date]],Database!$A:$E,MATCH($B$1,Database!$A$1:$E$1,),))</f>
        <v/>
      </c>
      <c r="C1328">
        <f>IF(VLOOKUP(Table73[[#This Row],[Date]],Database!$A:$C,MATCH($C$1,Database!$A$1:$C$1,),)=0,#N/A,VLOOKUP(Table73[[#This Row],[Date]],Database!$A:$C,MATCH($C$1,Database!$A$1:$C$1,),))</f>
        <v/>
      </c>
      <c r="D1328">
        <f>IFERROR(Table73[[#This Row],[United States 10y]]-Table73[[#This Row],[United States 2y]],#N/A)</f>
        <v/>
      </c>
    </row>
    <row r="1329">
      <c r="A1329" s="6">
        <f>Database!A1328</f>
        <v/>
      </c>
      <c r="B1329">
        <f>IF(VLOOKUP(Table73[[#This Row],[Date]],Database!$A:$E,MATCH($B$1,Database!$A$1:$E$1,),)=0,#N/A,VLOOKUP(Table73[[#This Row],[Date]],Database!$A:$E,MATCH($B$1,Database!$A$1:$E$1,),))</f>
        <v/>
      </c>
      <c r="C1329">
        <f>IF(VLOOKUP(Table73[[#This Row],[Date]],Database!$A:$C,MATCH($C$1,Database!$A$1:$C$1,),)=0,#N/A,VLOOKUP(Table73[[#This Row],[Date]],Database!$A:$C,MATCH($C$1,Database!$A$1:$C$1,),))</f>
        <v/>
      </c>
      <c r="D1329">
        <f>IFERROR(Table73[[#This Row],[United States 10y]]-Table73[[#This Row],[United States 2y]],#N/A)</f>
        <v/>
      </c>
    </row>
    <row r="1330">
      <c r="A1330" s="6">
        <f>Database!A1329</f>
        <v/>
      </c>
      <c r="B1330">
        <f>IF(VLOOKUP(Table73[[#This Row],[Date]],Database!$A:$E,MATCH($B$1,Database!$A$1:$E$1,),)=0,#N/A,VLOOKUP(Table73[[#This Row],[Date]],Database!$A:$E,MATCH($B$1,Database!$A$1:$E$1,),))</f>
        <v/>
      </c>
      <c r="C1330">
        <f>IF(VLOOKUP(Table73[[#This Row],[Date]],Database!$A:$C,MATCH($C$1,Database!$A$1:$C$1,),)=0,#N/A,VLOOKUP(Table73[[#This Row],[Date]],Database!$A:$C,MATCH($C$1,Database!$A$1:$C$1,),))</f>
        <v/>
      </c>
      <c r="D1330">
        <f>IFERROR(Table73[[#This Row],[United States 10y]]-Table73[[#This Row],[United States 2y]],#N/A)</f>
        <v/>
      </c>
    </row>
    <row r="1331">
      <c r="A1331" s="6">
        <f>Database!A1330</f>
        <v/>
      </c>
      <c r="B1331">
        <f>IF(VLOOKUP(Table73[[#This Row],[Date]],Database!$A:$E,MATCH($B$1,Database!$A$1:$E$1,),)=0,#N/A,VLOOKUP(Table73[[#This Row],[Date]],Database!$A:$E,MATCH($B$1,Database!$A$1:$E$1,),))</f>
        <v/>
      </c>
      <c r="C1331">
        <f>IF(VLOOKUP(Table73[[#This Row],[Date]],Database!$A:$C,MATCH($C$1,Database!$A$1:$C$1,),)=0,#N/A,VLOOKUP(Table73[[#This Row],[Date]],Database!$A:$C,MATCH($C$1,Database!$A$1:$C$1,),))</f>
        <v/>
      </c>
      <c r="D1331">
        <f>IFERROR(Table73[[#This Row],[United States 10y]]-Table73[[#This Row],[United States 2y]],#N/A)</f>
        <v/>
      </c>
    </row>
    <row r="1332">
      <c r="A1332" s="6">
        <f>Database!A1331</f>
        <v/>
      </c>
      <c r="B1332">
        <f>IF(VLOOKUP(Table73[[#This Row],[Date]],Database!$A:$E,MATCH($B$1,Database!$A$1:$E$1,),)=0,#N/A,VLOOKUP(Table73[[#This Row],[Date]],Database!$A:$E,MATCH($B$1,Database!$A$1:$E$1,),))</f>
        <v/>
      </c>
      <c r="C1332">
        <f>IF(VLOOKUP(Table73[[#This Row],[Date]],Database!$A:$C,MATCH($C$1,Database!$A$1:$C$1,),)=0,#N/A,VLOOKUP(Table73[[#This Row],[Date]],Database!$A:$C,MATCH($C$1,Database!$A$1:$C$1,),))</f>
        <v/>
      </c>
      <c r="D1332">
        <f>IFERROR(Table73[[#This Row],[United States 10y]]-Table73[[#This Row],[United States 2y]],#N/A)</f>
        <v/>
      </c>
    </row>
    <row r="1333">
      <c r="A1333" s="6">
        <f>Database!A1332</f>
        <v/>
      </c>
      <c r="B1333">
        <f>IF(VLOOKUP(Table73[[#This Row],[Date]],Database!$A:$E,MATCH($B$1,Database!$A$1:$E$1,),)=0,#N/A,VLOOKUP(Table73[[#This Row],[Date]],Database!$A:$E,MATCH($B$1,Database!$A$1:$E$1,),))</f>
        <v/>
      </c>
      <c r="C1333">
        <f>IF(VLOOKUP(Table73[[#This Row],[Date]],Database!$A:$C,MATCH($C$1,Database!$A$1:$C$1,),)=0,#N/A,VLOOKUP(Table73[[#This Row],[Date]],Database!$A:$C,MATCH($C$1,Database!$A$1:$C$1,),))</f>
        <v/>
      </c>
      <c r="D1333">
        <f>IFERROR(Table73[[#This Row],[United States 10y]]-Table73[[#This Row],[United States 2y]],#N/A)</f>
        <v/>
      </c>
    </row>
    <row r="1334">
      <c r="A1334" s="6">
        <f>Database!A1333</f>
        <v/>
      </c>
      <c r="B1334">
        <f>IF(VLOOKUP(Table73[[#This Row],[Date]],Database!$A:$E,MATCH($B$1,Database!$A$1:$E$1,),)=0,#N/A,VLOOKUP(Table73[[#This Row],[Date]],Database!$A:$E,MATCH($B$1,Database!$A$1:$E$1,),))</f>
        <v/>
      </c>
      <c r="C1334">
        <f>IF(VLOOKUP(Table73[[#This Row],[Date]],Database!$A:$C,MATCH($C$1,Database!$A$1:$C$1,),)=0,#N/A,VLOOKUP(Table73[[#This Row],[Date]],Database!$A:$C,MATCH($C$1,Database!$A$1:$C$1,),))</f>
        <v/>
      </c>
      <c r="D1334">
        <f>IFERROR(Table73[[#This Row],[United States 10y]]-Table73[[#This Row],[United States 2y]],#N/A)</f>
        <v/>
      </c>
    </row>
    <row r="1335">
      <c r="A1335" s="6">
        <f>Database!A1334</f>
        <v/>
      </c>
      <c r="B1335">
        <f>IF(VLOOKUP(Table73[[#This Row],[Date]],Database!$A:$E,MATCH($B$1,Database!$A$1:$E$1,),)=0,#N/A,VLOOKUP(Table73[[#This Row],[Date]],Database!$A:$E,MATCH($B$1,Database!$A$1:$E$1,),))</f>
        <v/>
      </c>
      <c r="C1335">
        <f>IF(VLOOKUP(Table73[[#This Row],[Date]],Database!$A:$C,MATCH($C$1,Database!$A$1:$C$1,),)=0,#N/A,VLOOKUP(Table73[[#This Row],[Date]],Database!$A:$C,MATCH($C$1,Database!$A$1:$C$1,),))</f>
        <v/>
      </c>
      <c r="D1335">
        <f>IFERROR(Table73[[#This Row],[United States 10y]]-Table73[[#This Row],[United States 2y]],#N/A)</f>
        <v/>
      </c>
    </row>
    <row r="1336">
      <c r="A1336" s="6">
        <f>Database!A1335</f>
        <v/>
      </c>
      <c r="B1336">
        <f>IF(VLOOKUP(Table73[[#This Row],[Date]],Database!$A:$E,MATCH($B$1,Database!$A$1:$E$1,),)=0,#N/A,VLOOKUP(Table73[[#This Row],[Date]],Database!$A:$E,MATCH($B$1,Database!$A$1:$E$1,),))</f>
        <v/>
      </c>
      <c r="C1336">
        <f>IF(VLOOKUP(Table73[[#This Row],[Date]],Database!$A:$C,MATCH($C$1,Database!$A$1:$C$1,),)=0,#N/A,VLOOKUP(Table73[[#This Row],[Date]],Database!$A:$C,MATCH($C$1,Database!$A$1:$C$1,),))</f>
        <v/>
      </c>
      <c r="D1336">
        <f>IFERROR(Table73[[#This Row],[United States 10y]]-Table73[[#This Row],[United States 2y]],#N/A)</f>
        <v/>
      </c>
    </row>
    <row r="1337">
      <c r="A1337" s="6">
        <f>Database!A1336</f>
        <v/>
      </c>
      <c r="B1337">
        <f>IF(VLOOKUP(Table73[[#This Row],[Date]],Database!$A:$E,MATCH($B$1,Database!$A$1:$E$1,),)=0,#N/A,VLOOKUP(Table73[[#This Row],[Date]],Database!$A:$E,MATCH($B$1,Database!$A$1:$E$1,),))</f>
        <v/>
      </c>
      <c r="C1337">
        <f>IF(VLOOKUP(Table73[[#This Row],[Date]],Database!$A:$C,MATCH($C$1,Database!$A$1:$C$1,),)=0,#N/A,VLOOKUP(Table73[[#This Row],[Date]],Database!$A:$C,MATCH($C$1,Database!$A$1:$C$1,),))</f>
        <v/>
      </c>
      <c r="D1337">
        <f>IFERROR(Table73[[#This Row],[United States 10y]]-Table73[[#This Row],[United States 2y]],#N/A)</f>
        <v/>
      </c>
    </row>
    <row r="1338">
      <c r="A1338" s="6">
        <f>Database!A1337</f>
        <v/>
      </c>
      <c r="B1338">
        <f>IF(VLOOKUP(Table73[[#This Row],[Date]],Database!$A:$E,MATCH($B$1,Database!$A$1:$E$1,),)=0,#N/A,VLOOKUP(Table73[[#This Row],[Date]],Database!$A:$E,MATCH($B$1,Database!$A$1:$E$1,),))</f>
        <v/>
      </c>
      <c r="C1338">
        <f>IF(VLOOKUP(Table73[[#This Row],[Date]],Database!$A:$C,MATCH($C$1,Database!$A$1:$C$1,),)=0,#N/A,VLOOKUP(Table73[[#This Row],[Date]],Database!$A:$C,MATCH($C$1,Database!$A$1:$C$1,),))</f>
        <v/>
      </c>
      <c r="D1338">
        <f>IFERROR(Table73[[#This Row],[United States 10y]]-Table73[[#This Row],[United States 2y]],#N/A)</f>
        <v/>
      </c>
    </row>
    <row r="1339">
      <c r="A1339" s="6">
        <f>Database!A1338</f>
        <v/>
      </c>
      <c r="B1339">
        <f>IF(VLOOKUP(Table73[[#This Row],[Date]],Database!$A:$E,MATCH($B$1,Database!$A$1:$E$1,),)=0,#N/A,VLOOKUP(Table73[[#This Row],[Date]],Database!$A:$E,MATCH($B$1,Database!$A$1:$E$1,),))</f>
        <v/>
      </c>
      <c r="C1339">
        <f>IF(VLOOKUP(Table73[[#This Row],[Date]],Database!$A:$C,MATCH($C$1,Database!$A$1:$C$1,),)=0,#N/A,VLOOKUP(Table73[[#This Row],[Date]],Database!$A:$C,MATCH($C$1,Database!$A$1:$C$1,),))</f>
        <v/>
      </c>
      <c r="D1339">
        <f>IFERROR(Table73[[#This Row],[United States 10y]]-Table73[[#This Row],[United States 2y]],#N/A)</f>
        <v/>
      </c>
    </row>
    <row r="1340">
      <c r="A1340" s="6">
        <f>Database!A1339</f>
        <v/>
      </c>
      <c r="B1340">
        <f>IF(VLOOKUP(Table73[[#This Row],[Date]],Database!$A:$E,MATCH($B$1,Database!$A$1:$E$1,),)=0,#N/A,VLOOKUP(Table73[[#This Row],[Date]],Database!$A:$E,MATCH($B$1,Database!$A$1:$E$1,),))</f>
        <v/>
      </c>
      <c r="C1340">
        <f>IF(VLOOKUP(Table73[[#This Row],[Date]],Database!$A:$C,MATCH($C$1,Database!$A$1:$C$1,),)=0,#N/A,VLOOKUP(Table73[[#This Row],[Date]],Database!$A:$C,MATCH($C$1,Database!$A$1:$C$1,),))</f>
        <v/>
      </c>
      <c r="D1340">
        <f>IFERROR(Table73[[#This Row],[United States 10y]]-Table73[[#This Row],[United States 2y]],#N/A)</f>
        <v/>
      </c>
    </row>
    <row r="1341">
      <c r="A1341" s="6">
        <f>Database!A1340</f>
        <v/>
      </c>
      <c r="B1341">
        <f>IF(VLOOKUP(Table73[[#This Row],[Date]],Database!$A:$E,MATCH($B$1,Database!$A$1:$E$1,),)=0,#N/A,VLOOKUP(Table73[[#This Row],[Date]],Database!$A:$E,MATCH($B$1,Database!$A$1:$E$1,),))</f>
        <v/>
      </c>
      <c r="C1341">
        <f>IF(VLOOKUP(Table73[[#This Row],[Date]],Database!$A:$C,MATCH($C$1,Database!$A$1:$C$1,),)=0,#N/A,VLOOKUP(Table73[[#This Row],[Date]],Database!$A:$C,MATCH($C$1,Database!$A$1:$C$1,),))</f>
        <v/>
      </c>
      <c r="D1341">
        <f>IFERROR(Table73[[#This Row],[United States 10y]]-Table73[[#This Row],[United States 2y]],#N/A)</f>
        <v/>
      </c>
    </row>
    <row r="1342">
      <c r="A1342" s="6">
        <f>Database!A1341</f>
        <v/>
      </c>
      <c r="B1342">
        <f>IF(VLOOKUP(Table73[[#This Row],[Date]],Database!$A:$E,MATCH($B$1,Database!$A$1:$E$1,),)=0,#N/A,VLOOKUP(Table73[[#This Row],[Date]],Database!$A:$E,MATCH($B$1,Database!$A$1:$E$1,),))</f>
        <v/>
      </c>
      <c r="C1342">
        <f>IF(VLOOKUP(Table73[[#This Row],[Date]],Database!$A:$C,MATCH($C$1,Database!$A$1:$C$1,),)=0,#N/A,VLOOKUP(Table73[[#This Row],[Date]],Database!$A:$C,MATCH($C$1,Database!$A$1:$C$1,),))</f>
        <v/>
      </c>
      <c r="D1342">
        <f>IFERROR(Table73[[#This Row],[United States 10y]]-Table73[[#This Row],[United States 2y]],#N/A)</f>
        <v/>
      </c>
    </row>
    <row r="1343">
      <c r="A1343" s="6">
        <f>Database!A1342</f>
        <v/>
      </c>
      <c r="B1343">
        <f>IF(VLOOKUP(Table73[[#This Row],[Date]],Database!$A:$E,MATCH($B$1,Database!$A$1:$E$1,),)=0,#N/A,VLOOKUP(Table73[[#This Row],[Date]],Database!$A:$E,MATCH($B$1,Database!$A$1:$E$1,),))</f>
        <v/>
      </c>
      <c r="C1343">
        <f>IF(VLOOKUP(Table73[[#This Row],[Date]],Database!$A:$C,MATCH($C$1,Database!$A$1:$C$1,),)=0,#N/A,VLOOKUP(Table73[[#This Row],[Date]],Database!$A:$C,MATCH($C$1,Database!$A$1:$C$1,),))</f>
        <v/>
      </c>
      <c r="D1343">
        <f>IFERROR(Table73[[#This Row],[United States 10y]]-Table73[[#This Row],[United States 2y]],#N/A)</f>
        <v/>
      </c>
    </row>
    <row r="1344">
      <c r="A1344" s="6">
        <f>Database!A1343</f>
        <v/>
      </c>
      <c r="B1344">
        <f>IF(VLOOKUP(Table73[[#This Row],[Date]],Database!$A:$E,MATCH($B$1,Database!$A$1:$E$1,),)=0,#N/A,VLOOKUP(Table73[[#This Row],[Date]],Database!$A:$E,MATCH($B$1,Database!$A$1:$E$1,),))</f>
        <v/>
      </c>
      <c r="C1344">
        <f>IF(VLOOKUP(Table73[[#This Row],[Date]],Database!$A:$C,MATCH($C$1,Database!$A$1:$C$1,),)=0,#N/A,VLOOKUP(Table73[[#This Row],[Date]],Database!$A:$C,MATCH($C$1,Database!$A$1:$C$1,),))</f>
        <v/>
      </c>
      <c r="D1344">
        <f>IFERROR(Table73[[#This Row],[United States 10y]]-Table73[[#This Row],[United States 2y]],#N/A)</f>
        <v/>
      </c>
    </row>
    <row r="1345">
      <c r="A1345" s="6">
        <f>Database!A1344</f>
        <v/>
      </c>
      <c r="B1345">
        <f>IF(VLOOKUP(Table73[[#This Row],[Date]],Database!$A:$E,MATCH($B$1,Database!$A$1:$E$1,),)=0,#N/A,VLOOKUP(Table73[[#This Row],[Date]],Database!$A:$E,MATCH($B$1,Database!$A$1:$E$1,),))</f>
        <v/>
      </c>
      <c r="C1345">
        <f>IF(VLOOKUP(Table73[[#This Row],[Date]],Database!$A:$C,MATCH($C$1,Database!$A$1:$C$1,),)=0,#N/A,VLOOKUP(Table73[[#This Row],[Date]],Database!$A:$C,MATCH($C$1,Database!$A$1:$C$1,),))</f>
        <v/>
      </c>
      <c r="D1345">
        <f>IFERROR(Table73[[#This Row],[United States 10y]]-Table73[[#This Row],[United States 2y]],#N/A)</f>
        <v/>
      </c>
    </row>
    <row r="1346">
      <c r="A1346" s="6">
        <f>Database!A1345</f>
        <v/>
      </c>
      <c r="B1346">
        <f>IF(VLOOKUP(Table73[[#This Row],[Date]],Database!$A:$E,MATCH($B$1,Database!$A$1:$E$1,),)=0,#N/A,VLOOKUP(Table73[[#This Row],[Date]],Database!$A:$E,MATCH($B$1,Database!$A$1:$E$1,),))</f>
        <v/>
      </c>
      <c r="C1346">
        <f>IF(VLOOKUP(Table73[[#This Row],[Date]],Database!$A:$C,MATCH($C$1,Database!$A$1:$C$1,),)=0,#N/A,VLOOKUP(Table73[[#This Row],[Date]],Database!$A:$C,MATCH($C$1,Database!$A$1:$C$1,),))</f>
        <v/>
      </c>
      <c r="D1346">
        <f>IFERROR(Table73[[#This Row],[United States 10y]]-Table73[[#This Row],[United States 2y]],#N/A)</f>
        <v/>
      </c>
    </row>
    <row r="1347">
      <c r="A1347" s="6">
        <f>Database!A1346</f>
        <v/>
      </c>
      <c r="B1347">
        <f>IF(VLOOKUP(Table73[[#This Row],[Date]],Database!$A:$E,MATCH($B$1,Database!$A$1:$E$1,),)=0,#N/A,VLOOKUP(Table73[[#This Row],[Date]],Database!$A:$E,MATCH($B$1,Database!$A$1:$E$1,),))</f>
        <v/>
      </c>
      <c r="C1347">
        <f>IF(VLOOKUP(Table73[[#This Row],[Date]],Database!$A:$C,MATCH($C$1,Database!$A$1:$C$1,),)=0,#N/A,VLOOKUP(Table73[[#This Row],[Date]],Database!$A:$C,MATCH($C$1,Database!$A$1:$C$1,),))</f>
        <v/>
      </c>
      <c r="D1347">
        <f>IFERROR(Table73[[#This Row],[United States 10y]]-Table73[[#This Row],[United States 2y]],#N/A)</f>
        <v/>
      </c>
    </row>
    <row r="1348">
      <c r="A1348" s="6">
        <f>Database!A1347</f>
        <v/>
      </c>
      <c r="B1348">
        <f>IF(VLOOKUP(Table73[[#This Row],[Date]],Database!$A:$E,MATCH($B$1,Database!$A$1:$E$1,),)=0,#N/A,VLOOKUP(Table73[[#This Row],[Date]],Database!$A:$E,MATCH($B$1,Database!$A$1:$E$1,),))</f>
        <v/>
      </c>
      <c r="C1348">
        <f>IF(VLOOKUP(Table73[[#This Row],[Date]],Database!$A:$C,MATCH($C$1,Database!$A$1:$C$1,),)=0,#N/A,VLOOKUP(Table73[[#This Row],[Date]],Database!$A:$C,MATCH($C$1,Database!$A$1:$C$1,),))</f>
        <v/>
      </c>
      <c r="D1348">
        <f>IFERROR(Table73[[#This Row],[United States 10y]]-Table73[[#This Row],[United States 2y]],#N/A)</f>
        <v/>
      </c>
    </row>
    <row r="1349">
      <c r="A1349" s="6">
        <f>Database!A1348</f>
        <v/>
      </c>
      <c r="B1349">
        <f>IF(VLOOKUP(Table73[[#This Row],[Date]],Database!$A:$E,MATCH($B$1,Database!$A$1:$E$1,),)=0,#N/A,VLOOKUP(Table73[[#This Row],[Date]],Database!$A:$E,MATCH($B$1,Database!$A$1:$E$1,),))</f>
        <v/>
      </c>
      <c r="C1349">
        <f>IF(VLOOKUP(Table73[[#This Row],[Date]],Database!$A:$C,MATCH($C$1,Database!$A$1:$C$1,),)=0,#N/A,VLOOKUP(Table73[[#This Row],[Date]],Database!$A:$C,MATCH($C$1,Database!$A$1:$C$1,),))</f>
        <v/>
      </c>
      <c r="D1349">
        <f>IFERROR(Table73[[#This Row],[United States 10y]]-Table73[[#This Row],[United States 2y]],#N/A)</f>
        <v/>
      </c>
    </row>
    <row r="1350">
      <c r="A1350" s="6">
        <f>Database!A1349</f>
        <v/>
      </c>
      <c r="B1350">
        <f>IF(VLOOKUP(Table73[[#This Row],[Date]],Database!$A:$E,MATCH($B$1,Database!$A$1:$E$1,),)=0,#N/A,VLOOKUP(Table73[[#This Row],[Date]],Database!$A:$E,MATCH($B$1,Database!$A$1:$E$1,),))</f>
        <v/>
      </c>
      <c r="C1350">
        <f>IF(VLOOKUP(Table73[[#This Row],[Date]],Database!$A:$C,MATCH($C$1,Database!$A$1:$C$1,),)=0,#N/A,VLOOKUP(Table73[[#This Row],[Date]],Database!$A:$C,MATCH($C$1,Database!$A$1:$C$1,),))</f>
        <v/>
      </c>
      <c r="D1350">
        <f>IFERROR(Table73[[#This Row],[United States 10y]]-Table73[[#This Row],[United States 2y]],#N/A)</f>
        <v/>
      </c>
    </row>
    <row r="1351">
      <c r="A1351" s="6">
        <f>Database!A1350</f>
        <v/>
      </c>
      <c r="B1351">
        <f>IF(VLOOKUP(Table73[[#This Row],[Date]],Database!$A:$E,MATCH($B$1,Database!$A$1:$E$1,),)=0,#N/A,VLOOKUP(Table73[[#This Row],[Date]],Database!$A:$E,MATCH($B$1,Database!$A$1:$E$1,),))</f>
        <v/>
      </c>
      <c r="C1351">
        <f>IF(VLOOKUP(Table73[[#This Row],[Date]],Database!$A:$C,MATCH($C$1,Database!$A$1:$C$1,),)=0,#N/A,VLOOKUP(Table73[[#This Row],[Date]],Database!$A:$C,MATCH($C$1,Database!$A$1:$C$1,),))</f>
        <v/>
      </c>
      <c r="D1351">
        <f>IFERROR(Table73[[#This Row],[United States 10y]]-Table73[[#This Row],[United States 2y]],#N/A)</f>
        <v/>
      </c>
    </row>
    <row r="1352">
      <c r="A1352" s="6">
        <f>Database!A1351</f>
        <v/>
      </c>
      <c r="B1352">
        <f>IF(VLOOKUP(Table73[[#This Row],[Date]],Database!$A:$E,MATCH($B$1,Database!$A$1:$E$1,),)=0,#N/A,VLOOKUP(Table73[[#This Row],[Date]],Database!$A:$E,MATCH($B$1,Database!$A$1:$E$1,),))</f>
        <v/>
      </c>
      <c r="C1352">
        <f>IF(VLOOKUP(Table73[[#This Row],[Date]],Database!$A:$C,MATCH($C$1,Database!$A$1:$C$1,),)=0,#N/A,VLOOKUP(Table73[[#This Row],[Date]],Database!$A:$C,MATCH($C$1,Database!$A$1:$C$1,),))</f>
        <v/>
      </c>
      <c r="D1352">
        <f>IFERROR(Table73[[#This Row],[United States 10y]]-Table73[[#This Row],[United States 2y]],#N/A)</f>
        <v/>
      </c>
    </row>
    <row r="1353">
      <c r="A1353" s="6">
        <f>Database!A1352</f>
        <v/>
      </c>
      <c r="B1353">
        <f>IF(VLOOKUP(Table73[[#This Row],[Date]],Database!$A:$E,MATCH($B$1,Database!$A$1:$E$1,),)=0,#N/A,VLOOKUP(Table73[[#This Row],[Date]],Database!$A:$E,MATCH($B$1,Database!$A$1:$E$1,),))</f>
        <v/>
      </c>
      <c r="C1353">
        <f>IF(VLOOKUP(Table73[[#This Row],[Date]],Database!$A:$C,MATCH($C$1,Database!$A$1:$C$1,),)=0,#N/A,VLOOKUP(Table73[[#This Row],[Date]],Database!$A:$C,MATCH($C$1,Database!$A$1:$C$1,),))</f>
        <v/>
      </c>
      <c r="D1353">
        <f>IFERROR(Table73[[#This Row],[United States 10y]]-Table73[[#This Row],[United States 2y]],#N/A)</f>
        <v/>
      </c>
    </row>
    <row r="1354">
      <c r="A1354" s="6">
        <f>Database!A1353</f>
        <v/>
      </c>
      <c r="B1354">
        <f>IF(VLOOKUP(Table73[[#This Row],[Date]],Database!$A:$E,MATCH($B$1,Database!$A$1:$E$1,),)=0,#N/A,VLOOKUP(Table73[[#This Row],[Date]],Database!$A:$E,MATCH($B$1,Database!$A$1:$E$1,),))</f>
        <v/>
      </c>
      <c r="C1354">
        <f>IF(VLOOKUP(Table73[[#This Row],[Date]],Database!$A:$C,MATCH($C$1,Database!$A$1:$C$1,),)=0,#N/A,VLOOKUP(Table73[[#This Row],[Date]],Database!$A:$C,MATCH($C$1,Database!$A$1:$C$1,),))</f>
        <v/>
      </c>
      <c r="D1354">
        <f>IFERROR(Table73[[#This Row],[United States 10y]]-Table73[[#This Row],[United States 2y]],#N/A)</f>
        <v/>
      </c>
    </row>
    <row r="1355">
      <c r="A1355" s="6">
        <f>Database!A1354</f>
        <v/>
      </c>
      <c r="B1355">
        <f>IF(VLOOKUP(Table73[[#This Row],[Date]],Database!$A:$E,MATCH($B$1,Database!$A$1:$E$1,),)=0,#N/A,VLOOKUP(Table73[[#This Row],[Date]],Database!$A:$E,MATCH($B$1,Database!$A$1:$E$1,),))</f>
        <v/>
      </c>
      <c r="C1355">
        <f>IF(VLOOKUP(Table73[[#This Row],[Date]],Database!$A:$C,MATCH($C$1,Database!$A$1:$C$1,),)=0,#N/A,VLOOKUP(Table73[[#This Row],[Date]],Database!$A:$C,MATCH($C$1,Database!$A$1:$C$1,),))</f>
        <v/>
      </c>
      <c r="D1355">
        <f>IFERROR(Table73[[#This Row],[United States 10y]]-Table73[[#This Row],[United States 2y]],#N/A)</f>
        <v/>
      </c>
    </row>
    <row r="1356">
      <c r="A1356" s="6">
        <f>Database!A1355</f>
        <v/>
      </c>
      <c r="B1356">
        <f>IF(VLOOKUP(Table73[[#This Row],[Date]],Database!$A:$E,MATCH($B$1,Database!$A$1:$E$1,),)=0,#N/A,VLOOKUP(Table73[[#This Row],[Date]],Database!$A:$E,MATCH($B$1,Database!$A$1:$E$1,),))</f>
        <v/>
      </c>
      <c r="C1356">
        <f>IF(VLOOKUP(Table73[[#This Row],[Date]],Database!$A:$C,MATCH($C$1,Database!$A$1:$C$1,),)=0,#N/A,VLOOKUP(Table73[[#This Row],[Date]],Database!$A:$C,MATCH($C$1,Database!$A$1:$C$1,),))</f>
        <v/>
      </c>
      <c r="D1356">
        <f>IFERROR(Table73[[#This Row],[United States 10y]]-Table73[[#This Row],[United States 2y]],#N/A)</f>
        <v/>
      </c>
    </row>
    <row r="1357">
      <c r="A1357" s="6">
        <f>Database!A1356</f>
        <v/>
      </c>
      <c r="B1357">
        <f>IF(VLOOKUP(Table73[[#This Row],[Date]],Database!$A:$E,MATCH($B$1,Database!$A$1:$E$1,),)=0,#N/A,VLOOKUP(Table73[[#This Row],[Date]],Database!$A:$E,MATCH($B$1,Database!$A$1:$E$1,),))</f>
        <v/>
      </c>
      <c r="C1357">
        <f>IF(VLOOKUP(Table73[[#This Row],[Date]],Database!$A:$C,MATCH($C$1,Database!$A$1:$C$1,),)=0,#N/A,VLOOKUP(Table73[[#This Row],[Date]],Database!$A:$C,MATCH($C$1,Database!$A$1:$C$1,),))</f>
        <v/>
      </c>
      <c r="D1357">
        <f>IFERROR(Table73[[#This Row],[United States 10y]]-Table73[[#This Row],[United States 2y]],#N/A)</f>
        <v/>
      </c>
    </row>
    <row r="1358">
      <c r="A1358" s="6">
        <f>Database!A1357</f>
        <v/>
      </c>
      <c r="B1358">
        <f>IF(VLOOKUP(Table73[[#This Row],[Date]],Database!$A:$E,MATCH($B$1,Database!$A$1:$E$1,),)=0,#N/A,VLOOKUP(Table73[[#This Row],[Date]],Database!$A:$E,MATCH($B$1,Database!$A$1:$E$1,),))</f>
        <v/>
      </c>
      <c r="C1358">
        <f>IF(VLOOKUP(Table73[[#This Row],[Date]],Database!$A:$C,MATCH($C$1,Database!$A$1:$C$1,),)=0,#N/A,VLOOKUP(Table73[[#This Row],[Date]],Database!$A:$C,MATCH($C$1,Database!$A$1:$C$1,),))</f>
        <v/>
      </c>
      <c r="D1358">
        <f>IFERROR(Table73[[#This Row],[United States 10y]]-Table73[[#This Row],[United States 2y]],#N/A)</f>
        <v/>
      </c>
    </row>
    <row r="1359">
      <c r="A1359" s="6">
        <f>Database!A1358</f>
        <v/>
      </c>
      <c r="B1359">
        <f>IF(VLOOKUP(Table73[[#This Row],[Date]],Database!$A:$E,MATCH($B$1,Database!$A$1:$E$1,),)=0,#N/A,VLOOKUP(Table73[[#This Row],[Date]],Database!$A:$E,MATCH($B$1,Database!$A$1:$E$1,),))</f>
        <v/>
      </c>
      <c r="C1359">
        <f>IF(VLOOKUP(Table73[[#This Row],[Date]],Database!$A:$C,MATCH($C$1,Database!$A$1:$C$1,),)=0,#N/A,VLOOKUP(Table73[[#This Row],[Date]],Database!$A:$C,MATCH($C$1,Database!$A$1:$C$1,),))</f>
        <v/>
      </c>
      <c r="D1359">
        <f>IFERROR(Table73[[#This Row],[United States 10y]]-Table73[[#This Row],[United States 2y]],#N/A)</f>
        <v/>
      </c>
    </row>
    <row r="1360">
      <c r="A1360" s="6">
        <f>Database!A1359</f>
        <v/>
      </c>
      <c r="B1360">
        <f>IF(VLOOKUP(Table73[[#This Row],[Date]],Database!$A:$E,MATCH($B$1,Database!$A$1:$E$1,),)=0,#N/A,VLOOKUP(Table73[[#This Row],[Date]],Database!$A:$E,MATCH($B$1,Database!$A$1:$E$1,),))</f>
        <v/>
      </c>
      <c r="C1360">
        <f>IF(VLOOKUP(Table73[[#This Row],[Date]],Database!$A:$C,MATCH($C$1,Database!$A$1:$C$1,),)=0,#N/A,VLOOKUP(Table73[[#This Row],[Date]],Database!$A:$C,MATCH($C$1,Database!$A$1:$C$1,),))</f>
        <v/>
      </c>
      <c r="D1360">
        <f>IFERROR(Table73[[#This Row],[United States 10y]]-Table73[[#This Row],[United States 2y]],#N/A)</f>
        <v/>
      </c>
    </row>
    <row r="1361">
      <c r="A1361" s="6">
        <f>Database!A1360</f>
        <v/>
      </c>
      <c r="B1361">
        <f>IF(VLOOKUP(Table73[[#This Row],[Date]],Database!$A:$E,MATCH($B$1,Database!$A$1:$E$1,),)=0,#N/A,VLOOKUP(Table73[[#This Row],[Date]],Database!$A:$E,MATCH($B$1,Database!$A$1:$E$1,),))</f>
        <v/>
      </c>
      <c r="C1361">
        <f>IF(VLOOKUP(Table73[[#This Row],[Date]],Database!$A:$C,MATCH($C$1,Database!$A$1:$C$1,),)=0,#N/A,VLOOKUP(Table73[[#This Row],[Date]],Database!$A:$C,MATCH($C$1,Database!$A$1:$C$1,),))</f>
        <v/>
      </c>
      <c r="D1361">
        <f>IFERROR(Table73[[#This Row],[United States 10y]]-Table73[[#This Row],[United States 2y]],#N/A)</f>
        <v/>
      </c>
    </row>
    <row r="1362">
      <c r="A1362" s="6">
        <f>Database!A1361</f>
        <v/>
      </c>
      <c r="B1362">
        <f>IF(VLOOKUP(Table73[[#This Row],[Date]],Database!$A:$E,MATCH($B$1,Database!$A$1:$E$1,),)=0,#N/A,VLOOKUP(Table73[[#This Row],[Date]],Database!$A:$E,MATCH($B$1,Database!$A$1:$E$1,),))</f>
        <v/>
      </c>
      <c r="C1362">
        <f>IF(VLOOKUP(Table73[[#This Row],[Date]],Database!$A:$C,MATCH($C$1,Database!$A$1:$C$1,),)=0,#N/A,VLOOKUP(Table73[[#This Row],[Date]],Database!$A:$C,MATCH($C$1,Database!$A$1:$C$1,),))</f>
        <v/>
      </c>
      <c r="D1362">
        <f>IFERROR(Table73[[#This Row],[United States 10y]]-Table73[[#This Row],[United States 2y]],#N/A)</f>
        <v/>
      </c>
    </row>
    <row r="1363">
      <c r="A1363" s="6">
        <f>Database!A1362</f>
        <v/>
      </c>
      <c r="B1363">
        <f>IF(VLOOKUP(Table73[[#This Row],[Date]],Database!$A:$E,MATCH($B$1,Database!$A$1:$E$1,),)=0,#N/A,VLOOKUP(Table73[[#This Row],[Date]],Database!$A:$E,MATCH($B$1,Database!$A$1:$E$1,),))</f>
        <v/>
      </c>
      <c r="C1363">
        <f>IF(VLOOKUP(Table73[[#This Row],[Date]],Database!$A:$C,MATCH($C$1,Database!$A$1:$C$1,),)=0,#N/A,VLOOKUP(Table73[[#This Row],[Date]],Database!$A:$C,MATCH($C$1,Database!$A$1:$C$1,),))</f>
        <v/>
      </c>
      <c r="D1363">
        <f>IFERROR(Table73[[#This Row],[United States 10y]]-Table73[[#This Row],[United States 2y]],#N/A)</f>
        <v/>
      </c>
    </row>
    <row r="1364">
      <c r="A1364" s="6">
        <f>Database!A1363</f>
        <v/>
      </c>
      <c r="B1364">
        <f>IF(VLOOKUP(Table73[[#This Row],[Date]],Database!$A:$E,MATCH($B$1,Database!$A$1:$E$1,),)=0,#N/A,VLOOKUP(Table73[[#This Row],[Date]],Database!$A:$E,MATCH($B$1,Database!$A$1:$E$1,),))</f>
        <v/>
      </c>
      <c r="C1364">
        <f>IF(VLOOKUP(Table73[[#This Row],[Date]],Database!$A:$C,MATCH($C$1,Database!$A$1:$C$1,),)=0,#N/A,VLOOKUP(Table73[[#This Row],[Date]],Database!$A:$C,MATCH($C$1,Database!$A$1:$C$1,),))</f>
        <v/>
      </c>
      <c r="D1364">
        <f>IFERROR(Table73[[#This Row],[United States 10y]]-Table73[[#This Row],[United States 2y]],#N/A)</f>
        <v/>
      </c>
    </row>
    <row r="1365">
      <c r="A1365" s="6">
        <f>Database!A1364</f>
        <v/>
      </c>
      <c r="B1365">
        <f>IF(VLOOKUP(Table73[[#This Row],[Date]],Database!$A:$E,MATCH($B$1,Database!$A$1:$E$1,),)=0,#N/A,VLOOKUP(Table73[[#This Row],[Date]],Database!$A:$E,MATCH($B$1,Database!$A$1:$E$1,),))</f>
        <v/>
      </c>
      <c r="C1365">
        <f>IF(VLOOKUP(Table73[[#This Row],[Date]],Database!$A:$C,MATCH($C$1,Database!$A$1:$C$1,),)=0,#N/A,VLOOKUP(Table73[[#This Row],[Date]],Database!$A:$C,MATCH($C$1,Database!$A$1:$C$1,),))</f>
        <v/>
      </c>
      <c r="D1365">
        <f>IFERROR(Table73[[#This Row],[United States 10y]]-Table73[[#This Row],[United States 2y]],#N/A)</f>
        <v/>
      </c>
    </row>
    <row r="1366">
      <c r="A1366" s="6">
        <f>Database!A1365</f>
        <v/>
      </c>
      <c r="B1366">
        <f>IF(VLOOKUP(Table73[[#This Row],[Date]],Database!$A:$E,MATCH($B$1,Database!$A$1:$E$1,),)=0,#N/A,VLOOKUP(Table73[[#This Row],[Date]],Database!$A:$E,MATCH($B$1,Database!$A$1:$E$1,),))</f>
        <v/>
      </c>
      <c r="C1366">
        <f>IF(VLOOKUP(Table73[[#This Row],[Date]],Database!$A:$C,MATCH($C$1,Database!$A$1:$C$1,),)=0,#N/A,VLOOKUP(Table73[[#This Row],[Date]],Database!$A:$C,MATCH($C$1,Database!$A$1:$C$1,),))</f>
        <v/>
      </c>
      <c r="D1366">
        <f>IFERROR(Table73[[#This Row],[United States 10y]]-Table73[[#This Row],[United States 2y]],#N/A)</f>
        <v/>
      </c>
    </row>
    <row r="1367">
      <c r="A1367" s="6">
        <f>Database!A1366</f>
        <v/>
      </c>
      <c r="B1367">
        <f>IF(VLOOKUP(Table73[[#This Row],[Date]],Database!$A:$E,MATCH($B$1,Database!$A$1:$E$1,),)=0,#N/A,VLOOKUP(Table73[[#This Row],[Date]],Database!$A:$E,MATCH($B$1,Database!$A$1:$E$1,),))</f>
        <v/>
      </c>
      <c r="C1367">
        <f>IF(VLOOKUP(Table73[[#This Row],[Date]],Database!$A:$C,MATCH($C$1,Database!$A$1:$C$1,),)=0,#N/A,VLOOKUP(Table73[[#This Row],[Date]],Database!$A:$C,MATCH($C$1,Database!$A$1:$C$1,),))</f>
        <v/>
      </c>
      <c r="D1367">
        <f>IFERROR(Table73[[#This Row],[United States 10y]]-Table73[[#This Row],[United States 2y]],#N/A)</f>
        <v/>
      </c>
    </row>
    <row r="1368">
      <c r="A1368" s="6">
        <f>Database!A1367</f>
        <v/>
      </c>
      <c r="B1368">
        <f>IF(VLOOKUP(Table73[[#This Row],[Date]],Database!$A:$E,MATCH($B$1,Database!$A$1:$E$1,),)=0,#N/A,VLOOKUP(Table73[[#This Row],[Date]],Database!$A:$E,MATCH($B$1,Database!$A$1:$E$1,),))</f>
        <v/>
      </c>
      <c r="C1368">
        <f>IF(VLOOKUP(Table73[[#This Row],[Date]],Database!$A:$C,MATCH($C$1,Database!$A$1:$C$1,),)=0,#N/A,VLOOKUP(Table73[[#This Row],[Date]],Database!$A:$C,MATCH($C$1,Database!$A$1:$C$1,),))</f>
        <v/>
      </c>
      <c r="D1368">
        <f>IFERROR(Table73[[#This Row],[United States 10y]]-Table73[[#This Row],[United States 2y]],#N/A)</f>
        <v/>
      </c>
    </row>
    <row r="1369">
      <c r="A1369" s="6">
        <f>Database!A1368</f>
        <v/>
      </c>
      <c r="B1369">
        <f>IF(VLOOKUP(Table73[[#This Row],[Date]],Database!$A:$E,MATCH($B$1,Database!$A$1:$E$1,),)=0,#N/A,VLOOKUP(Table73[[#This Row],[Date]],Database!$A:$E,MATCH($B$1,Database!$A$1:$E$1,),))</f>
        <v/>
      </c>
      <c r="C1369">
        <f>IF(VLOOKUP(Table73[[#This Row],[Date]],Database!$A:$C,MATCH($C$1,Database!$A$1:$C$1,),)=0,#N/A,VLOOKUP(Table73[[#This Row],[Date]],Database!$A:$C,MATCH($C$1,Database!$A$1:$C$1,),))</f>
        <v/>
      </c>
      <c r="D1369">
        <f>IFERROR(Table73[[#This Row],[United States 10y]]-Table73[[#This Row],[United States 2y]],#N/A)</f>
        <v/>
      </c>
    </row>
    <row r="1370">
      <c r="A1370" s="6">
        <f>Database!A1369</f>
        <v/>
      </c>
      <c r="B1370">
        <f>IF(VLOOKUP(Table73[[#This Row],[Date]],Database!$A:$E,MATCH($B$1,Database!$A$1:$E$1,),)=0,#N/A,VLOOKUP(Table73[[#This Row],[Date]],Database!$A:$E,MATCH($B$1,Database!$A$1:$E$1,),))</f>
        <v/>
      </c>
      <c r="C1370">
        <f>IF(VLOOKUP(Table73[[#This Row],[Date]],Database!$A:$C,MATCH($C$1,Database!$A$1:$C$1,),)=0,#N/A,VLOOKUP(Table73[[#This Row],[Date]],Database!$A:$C,MATCH($C$1,Database!$A$1:$C$1,),))</f>
        <v/>
      </c>
      <c r="D1370">
        <f>IFERROR(Table73[[#This Row],[United States 10y]]-Table73[[#This Row],[United States 2y]],#N/A)</f>
        <v/>
      </c>
    </row>
    <row r="1371">
      <c r="A1371" s="6">
        <f>Database!A1370</f>
        <v/>
      </c>
      <c r="B1371">
        <f>IF(VLOOKUP(Table73[[#This Row],[Date]],Database!$A:$E,MATCH($B$1,Database!$A$1:$E$1,),)=0,#N/A,VLOOKUP(Table73[[#This Row],[Date]],Database!$A:$E,MATCH($B$1,Database!$A$1:$E$1,),))</f>
        <v/>
      </c>
      <c r="C1371">
        <f>IF(VLOOKUP(Table73[[#This Row],[Date]],Database!$A:$C,MATCH($C$1,Database!$A$1:$C$1,),)=0,#N/A,VLOOKUP(Table73[[#This Row],[Date]],Database!$A:$C,MATCH($C$1,Database!$A$1:$C$1,),))</f>
        <v/>
      </c>
      <c r="D1371">
        <f>IFERROR(Table73[[#This Row],[United States 10y]]-Table73[[#This Row],[United States 2y]],#N/A)</f>
        <v/>
      </c>
    </row>
    <row r="1372">
      <c r="A1372" s="6">
        <f>Database!A1371</f>
        <v/>
      </c>
      <c r="B1372">
        <f>IF(VLOOKUP(Table73[[#This Row],[Date]],Database!$A:$E,MATCH($B$1,Database!$A$1:$E$1,),)=0,#N/A,VLOOKUP(Table73[[#This Row],[Date]],Database!$A:$E,MATCH($B$1,Database!$A$1:$E$1,),))</f>
        <v/>
      </c>
      <c r="C1372">
        <f>IF(VLOOKUP(Table73[[#This Row],[Date]],Database!$A:$C,MATCH($C$1,Database!$A$1:$C$1,),)=0,#N/A,VLOOKUP(Table73[[#This Row],[Date]],Database!$A:$C,MATCH($C$1,Database!$A$1:$C$1,),))</f>
        <v/>
      </c>
      <c r="D1372">
        <f>IFERROR(Table73[[#This Row],[United States 10y]]-Table73[[#This Row],[United States 2y]],#N/A)</f>
        <v/>
      </c>
    </row>
    <row r="1373">
      <c r="A1373" s="6">
        <f>Database!A1372</f>
        <v/>
      </c>
      <c r="B1373">
        <f>IF(VLOOKUP(Table73[[#This Row],[Date]],Database!$A:$E,MATCH($B$1,Database!$A$1:$E$1,),)=0,#N/A,VLOOKUP(Table73[[#This Row],[Date]],Database!$A:$E,MATCH($B$1,Database!$A$1:$E$1,),))</f>
        <v/>
      </c>
      <c r="C1373">
        <f>IF(VLOOKUP(Table73[[#This Row],[Date]],Database!$A:$C,MATCH($C$1,Database!$A$1:$C$1,),)=0,#N/A,VLOOKUP(Table73[[#This Row],[Date]],Database!$A:$C,MATCH($C$1,Database!$A$1:$C$1,),))</f>
        <v/>
      </c>
      <c r="D1373">
        <f>IFERROR(Table73[[#This Row],[United States 10y]]-Table73[[#This Row],[United States 2y]],#N/A)</f>
        <v/>
      </c>
    </row>
    <row r="1374">
      <c r="A1374" s="6">
        <f>Database!A1373</f>
        <v/>
      </c>
      <c r="B1374">
        <f>IF(VLOOKUP(Table73[[#This Row],[Date]],Database!$A:$E,MATCH($B$1,Database!$A$1:$E$1,),)=0,#N/A,VLOOKUP(Table73[[#This Row],[Date]],Database!$A:$E,MATCH($B$1,Database!$A$1:$E$1,),))</f>
        <v/>
      </c>
      <c r="C1374">
        <f>IF(VLOOKUP(Table73[[#This Row],[Date]],Database!$A:$C,MATCH($C$1,Database!$A$1:$C$1,),)=0,#N/A,VLOOKUP(Table73[[#This Row],[Date]],Database!$A:$C,MATCH($C$1,Database!$A$1:$C$1,),))</f>
        <v/>
      </c>
      <c r="D1374">
        <f>IFERROR(Table73[[#This Row],[United States 10y]]-Table73[[#This Row],[United States 2y]],#N/A)</f>
        <v/>
      </c>
    </row>
    <row r="1375">
      <c r="A1375" s="6">
        <f>Database!A1374</f>
        <v/>
      </c>
      <c r="B1375">
        <f>IF(VLOOKUP(Table73[[#This Row],[Date]],Database!$A:$E,MATCH($B$1,Database!$A$1:$E$1,),)=0,#N/A,VLOOKUP(Table73[[#This Row],[Date]],Database!$A:$E,MATCH($B$1,Database!$A$1:$E$1,),))</f>
        <v/>
      </c>
      <c r="C1375">
        <f>IF(VLOOKUP(Table73[[#This Row],[Date]],Database!$A:$C,MATCH($C$1,Database!$A$1:$C$1,),)=0,#N/A,VLOOKUP(Table73[[#This Row],[Date]],Database!$A:$C,MATCH($C$1,Database!$A$1:$C$1,),))</f>
        <v/>
      </c>
      <c r="D1375">
        <f>IFERROR(Table73[[#This Row],[United States 10y]]-Table73[[#This Row],[United States 2y]],#N/A)</f>
        <v/>
      </c>
    </row>
    <row r="1376">
      <c r="A1376" s="6">
        <f>Database!A1375</f>
        <v/>
      </c>
      <c r="B1376">
        <f>IF(VLOOKUP(Table73[[#This Row],[Date]],Database!$A:$E,MATCH($B$1,Database!$A$1:$E$1,),)=0,#N/A,VLOOKUP(Table73[[#This Row],[Date]],Database!$A:$E,MATCH($B$1,Database!$A$1:$E$1,),))</f>
        <v/>
      </c>
      <c r="C1376">
        <f>IF(VLOOKUP(Table73[[#This Row],[Date]],Database!$A:$C,MATCH($C$1,Database!$A$1:$C$1,),)=0,#N/A,VLOOKUP(Table73[[#This Row],[Date]],Database!$A:$C,MATCH($C$1,Database!$A$1:$C$1,),))</f>
        <v/>
      </c>
      <c r="D1376">
        <f>IFERROR(Table73[[#This Row],[United States 10y]]-Table73[[#This Row],[United States 2y]],#N/A)</f>
        <v/>
      </c>
    </row>
    <row r="1377">
      <c r="A1377" s="6">
        <f>Database!A1376</f>
        <v/>
      </c>
      <c r="B1377">
        <f>IF(VLOOKUP(Table73[[#This Row],[Date]],Database!$A:$E,MATCH($B$1,Database!$A$1:$E$1,),)=0,#N/A,VLOOKUP(Table73[[#This Row],[Date]],Database!$A:$E,MATCH($B$1,Database!$A$1:$E$1,),))</f>
        <v/>
      </c>
      <c r="C1377">
        <f>IF(VLOOKUP(Table73[[#This Row],[Date]],Database!$A:$C,MATCH($C$1,Database!$A$1:$C$1,),)=0,#N/A,VLOOKUP(Table73[[#This Row],[Date]],Database!$A:$C,MATCH($C$1,Database!$A$1:$C$1,),))</f>
        <v/>
      </c>
      <c r="D1377">
        <f>IFERROR(Table73[[#This Row],[United States 10y]]-Table73[[#This Row],[United States 2y]],#N/A)</f>
        <v/>
      </c>
    </row>
    <row r="1378">
      <c r="A1378" s="6">
        <f>Database!A1377</f>
        <v/>
      </c>
      <c r="B1378">
        <f>IF(VLOOKUP(Table73[[#This Row],[Date]],Database!$A:$E,MATCH($B$1,Database!$A$1:$E$1,),)=0,#N/A,VLOOKUP(Table73[[#This Row],[Date]],Database!$A:$E,MATCH($B$1,Database!$A$1:$E$1,),))</f>
        <v/>
      </c>
      <c r="C1378">
        <f>IF(VLOOKUP(Table73[[#This Row],[Date]],Database!$A:$C,MATCH($C$1,Database!$A$1:$C$1,),)=0,#N/A,VLOOKUP(Table73[[#This Row],[Date]],Database!$A:$C,MATCH($C$1,Database!$A$1:$C$1,),))</f>
        <v/>
      </c>
      <c r="D1378">
        <f>IFERROR(Table73[[#This Row],[United States 10y]]-Table73[[#This Row],[United States 2y]],#N/A)</f>
        <v/>
      </c>
    </row>
    <row r="1379">
      <c r="A1379" s="6">
        <f>Database!A1378</f>
        <v/>
      </c>
      <c r="B1379">
        <f>IF(VLOOKUP(Table73[[#This Row],[Date]],Database!$A:$E,MATCH($B$1,Database!$A$1:$E$1,),)=0,#N/A,VLOOKUP(Table73[[#This Row],[Date]],Database!$A:$E,MATCH($B$1,Database!$A$1:$E$1,),))</f>
        <v/>
      </c>
      <c r="C1379">
        <f>IF(VLOOKUP(Table73[[#This Row],[Date]],Database!$A:$C,MATCH($C$1,Database!$A$1:$C$1,),)=0,#N/A,VLOOKUP(Table73[[#This Row],[Date]],Database!$A:$C,MATCH($C$1,Database!$A$1:$C$1,),))</f>
        <v/>
      </c>
      <c r="D1379">
        <f>IFERROR(Table73[[#This Row],[United States 10y]]-Table73[[#This Row],[United States 2y]],#N/A)</f>
        <v/>
      </c>
    </row>
    <row r="1380">
      <c r="A1380" s="6">
        <f>Database!A1379</f>
        <v/>
      </c>
      <c r="B1380">
        <f>IF(VLOOKUP(Table73[[#This Row],[Date]],Database!$A:$E,MATCH($B$1,Database!$A$1:$E$1,),)=0,#N/A,VLOOKUP(Table73[[#This Row],[Date]],Database!$A:$E,MATCH($B$1,Database!$A$1:$E$1,),))</f>
        <v/>
      </c>
      <c r="C1380">
        <f>IF(VLOOKUP(Table73[[#This Row],[Date]],Database!$A:$C,MATCH($C$1,Database!$A$1:$C$1,),)=0,#N/A,VLOOKUP(Table73[[#This Row],[Date]],Database!$A:$C,MATCH($C$1,Database!$A$1:$C$1,),))</f>
        <v/>
      </c>
      <c r="D1380">
        <f>IFERROR(Table73[[#This Row],[United States 10y]]-Table73[[#This Row],[United States 2y]],#N/A)</f>
        <v/>
      </c>
    </row>
    <row r="1381">
      <c r="A1381" s="6">
        <f>Database!A1380</f>
        <v/>
      </c>
      <c r="B1381">
        <f>IF(VLOOKUP(Table73[[#This Row],[Date]],Database!$A:$E,MATCH($B$1,Database!$A$1:$E$1,),)=0,#N/A,VLOOKUP(Table73[[#This Row],[Date]],Database!$A:$E,MATCH($B$1,Database!$A$1:$E$1,),))</f>
        <v/>
      </c>
      <c r="C1381">
        <f>IF(VLOOKUP(Table73[[#This Row],[Date]],Database!$A:$C,MATCH($C$1,Database!$A$1:$C$1,),)=0,#N/A,VLOOKUP(Table73[[#This Row],[Date]],Database!$A:$C,MATCH($C$1,Database!$A$1:$C$1,),))</f>
        <v/>
      </c>
      <c r="D1381">
        <f>IFERROR(Table73[[#This Row],[United States 10y]]-Table73[[#This Row],[United States 2y]],#N/A)</f>
        <v/>
      </c>
    </row>
    <row r="1382">
      <c r="A1382" s="6">
        <f>Database!A1381</f>
        <v/>
      </c>
      <c r="B1382">
        <f>IF(VLOOKUP(Table73[[#This Row],[Date]],Database!$A:$E,MATCH($B$1,Database!$A$1:$E$1,),)=0,#N/A,VLOOKUP(Table73[[#This Row],[Date]],Database!$A:$E,MATCH($B$1,Database!$A$1:$E$1,),))</f>
        <v/>
      </c>
      <c r="C1382">
        <f>IF(VLOOKUP(Table73[[#This Row],[Date]],Database!$A:$C,MATCH($C$1,Database!$A$1:$C$1,),)=0,#N/A,VLOOKUP(Table73[[#This Row],[Date]],Database!$A:$C,MATCH($C$1,Database!$A$1:$C$1,),))</f>
        <v/>
      </c>
      <c r="D1382">
        <f>IFERROR(Table73[[#This Row],[United States 10y]]-Table73[[#This Row],[United States 2y]],#N/A)</f>
        <v/>
      </c>
    </row>
    <row r="1383">
      <c r="A1383" s="6">
        <f>Database!A1382</f>
        <v/>
      </c>
      <c r="B1383">
        <f>IF(VLOOKUP(Table73[[#This Row],[Date]],Database!$A:$E,MATCH($B$1,Database!$A$1:$E$1,),)=0,#N/A,VLOOKUP(Table73[[#This Row],[Date]],Database!$A:$E,MATCH($B$1,Database!$A$1:$E$1,),))</f>
        <v/>
      </c>
      <c r="C1383">
        <f>IF(VLOOKUP(Table73[[#This Row],[Date]],Database!$A:$C,MATCH($C$1,Database!$A$1:$C$1,),)=0,#N/A,VLOOKUP(Table73[[#This Row],[Date]],Database!$A:$C,MATCH($C$1,Database!$A$1:$C$1,),))</f>
        <v/>
      </c>
      <c r="D1383">
        <f>IFERROR(Table73[[#This Row],[United States 10y]]-Table73[[#This Row],[United States 2y]],#N/A)</f>
        <v/>
      </c>
    </row>
    <row r="1384">
      <c r="A1384" s="6">
        <f>Database!A1383</f>
        <v/>
      </c>
      <c r="B1384">
        <f>IF(VLOOKUP(Table73[[#This Row],[Date]],Database!$A:$E,MATCH($B$1,Database!$A$1:$E$1,),)=0,#N/A,VLOOKUP(Table73[[#This Row],[Date]],Database!$A:$E,MATCH($B$1,Database!$A$1:$E$1,),))</f>
        <v/>
      </c>
      <c r="C1384">
        <f>IF(VLOOKUP(Table73[[#This Row],[Date]],Database!$A:$C,MATCH($C$1,Database!$A$1:$C$1,),)=0,#N/A,VLOOKUP(Table73[[#This Row],[Date]],Database!$A:$C,MATCH($C$1,Database!$A$1:$C$1,),))</f>
        <v/>
      </c>
      <c r="D1384">
        <f>IFERROR(Table73[[#This Row],[United States 10y]]-Table73[[#This Row],[United States 2y]],#N/A)</f>
        <v/>
      </c>
    </row>
    <row r="1385">
      <c r="A1385" s="6">
        <f>Database!A1384</f>
        <v/>
      </c>
      <c r="B1385">
        <f>IF(VLOOKUP(Table73[[#This Row],[Date]],Database!$A:$E,MATCH($B$1,Database!$A$1:$E$1,),)=0,#N/A,VLOOKUP(Table73[[#This Row],[Date]],Database!$A:$E,MATCH($B$1,Database!$A$1:$E$1,),))</f>
        <v/>
      </c>
      <c r="C1385">
        <f>IF(VLOOKUP(Table73[[#This Row],[Date]],Database!$A:$C,MATCH($C$1,Database!$A$1:$C$1,),)=0,#N/A,VLOOKUP(Table73[[#This Row],[Date]],Database!$A:$C,MATCH($C$1,Database!$A$1:$C$1,),))</f>
        <v/>
      </c>
      <c r="D1385">
        <f>IFERROR(Table73[[#This Row],[United States 10y]]-Table73[[#This Row],[United States 2y]],#N/A)</f>
        <v/>
      </c>
    </row>
    <row r="1386">
      <c r="A1386" s="6">
        <f>Database!A1385</f>
        <v/>
      </c>
      <c r="B1386">
        <f>IF(VLOOKUP(Table73[[#This Row],[Date]],Database!$A:$E,MATCH($B$1,Database!$A$1:$E$1,),)=0,#N/A,VLOOKUP(Table73[[#This Row],[Date]],Database!$A:$E,MATCH($B$1,Database!$A$1:$E$1,),))</f>
        <v/>
      </c>
      <c r="C1386">
        <f>IF(VLOOKUP(Table73[[#This Row],[Date]],Database!$A:$C,MATCH($C$1,Database!$A$1:$C$1,),)=0,#N/A,VLOOKUP(Table73[[#This Row],[Date]],Database!$A:$C,MATCH($C$1,Database!$A$1:$C$1,),))</f>
        <v/>
      </c>
      <c r="D1386">
        <f>IFERROR(Table73[[#This Row],[United States 10y]]-Table73[[#This Row],[United States 2y]],#N/A)</f>
        <v/>
      </c>
    </row>
    <row r="1387">
      <c r="A1387" s="6">
        <f>Database!A1386</f>
        <v/>
      </c>
      <c r="B1387">
        <f>IF(VLOOKUP(Table73[[#This Row],[Date]],Database!$A:$E,MATCH($B$1,Database!$A$1:$E$1,),)=0,#N/A,VLOOKUP(Table73[[#This Row],[Date]],Database!$A:$E,MATCH($B$1,Database!$A$1:$E$1,),))</f>
        <v/>
      </c>
      <c r="C1387">
        <f>IF(VLOOKUP(Table73[[#This Row],[Date]],Database!$A:$C,MATCH($C$1,Database!$A$1:$C$1,),)=0,#N/A,VLOOKUP(Table73[[#This Row],[Date]],Database!$A:$C,MATCH($C$1,Database!$A$1:$C$1,),))</f>
        <v/>
      </c>
      <c r="D1387">
        <f>IFERROR(Table73[[#This Row],[United States 10y]]-Table73[[#This Row],[United States 2y]],#N/A)</f>
        <v/>
      </c>
    </row>
    <row r="1388">
      <c r="A1388" s="6">
        <f>Database!A1387</f>
        <v/>
      </c>
      <c r="B1388">
        <f>IF(VLOOKUP(Table73[[#This Row],[Date]],Database!$A:$E,MATCH($B$1,Database!$A$1:$E$1,),)=0,#N/A,VLOOKUP(Table73[[#This Row],[Date]],Database!$A:$E,MATCH($B$1,Database!$A$1:$E$1,),))</f>
        <v/>
      </c>
      <c r="C1388">
        <f>IF(VLOOKUP(Table73[[#This Row],[Date]],Database!$A:$C,MATCH($C$1,Database!$A$1:$C$1,),)=0,#N/A,VLOOKUP(Table73[[#This Row],[Date]],Database!$A:$C,MATCH($C$1,Database!$A$1:$C$1,),))</f>
        <v/>
      </c>
      <c r="D1388">
        <f>IFERROR(Table73[[#This Row],[United States 10y]]-Table73[[#This Row],[United States 2y]],#N/A)</f>
        <v/>
      </c>
    </row>
    <row r="1389">
      <c r="A1389" s="6">
        <f>Database!A1388</f>
        <v/>
      </c>
      <c r="B1389">
        <f>IF(VLOOKUP(Table73[[#This Row],[Date]],Database!$A:$E,MATCH($B$1,Database!$A$1:$E$1,),)=0,#N/A,VLOOKUP(Table73[[#This Row],[Date]],Database!$A:$E,MATCH($B$1,Database!$A$1:$E$1,),))</f>
        <v/>
      </c>
      <c r="C1389">
        <f>IF(VLOOKUP(Table73[[#This Row],[Date]],Database!$A:$C,MATCH($C$1,Database!$A$1:$C$1,),)=0,#N/A,VLOOKUP(Table73[[#This Row],[Date]],Database!$A:$C,MATCH($C$1,Database!$A$1:$C$1,),))</f>
        <v/>
      </c>
      <c r="D1389">
        <f>IFERROR(Table73[[#This Row],[United States 10y]]-Table73[[#This Row],[United States 2y]],#N/A)</f>
        <v/>
      </c>
    </row>
    <row r="1390">
      <c r="A1390" s="6">
        <f>Database!A1389</f>
        <v/>
      </c>
      <c r="B1390">
        <f>IF(VLOOKUP(Table73[[#This Row],[Date]],Database!$A:$E,MATCH($B$1,Database!$A$1:$E$1,),)=0,#N/A,VLOOKUP(Table73[[#This Row],[Date]],Database!$A:$E,MATCH($B$1,Database!$A$1:$E$1,),))</f>
        <v/>
      </c>
      <c r="C1390">
        <f>IF(VLOOKUP(Table73[[#This Row],[Date]],Database!$A:$C,MATCH($C$1,Database!$A$1:$C$1,),)=0,#N/A,VLOOKUP(Table73[[#This Row],[Date]],Database!$A:$C,MATCH($C$1,Database!$A$1:$C$1,),))</f>
        <v/>
      </c>
      <c r="D1390">
        <f>IFERROR(Table73[[#This Row],[United States 10y]]-Table73[[#This Row],[United States 2y]],#N/A)</f>
        <v/>
      </c>
    </row>
    <row r="1391">
      <c r="A1391" s="6">
        <f>Database!A1390</f>
        <v/>
      </c>
      <c r="B1391">
        <f>IF(VLOOKUP(Table73[[#This Row],[Date]],Database!$A:$E,MATCH($B$1,Database!$A$1:$E$1,),)=0,#N/A,VLOOKUP(Table73[[#This Row],[Date]],Database!$A:$E,MATCH($B$1,Database!$A$1:$E$1,),))</f>
        <v/>
      </c>
      <c r="C1391">
        <f>IF(VLOOKUP(Table73[[#This Row],[Date]],Database!$A:$C,MATCH($C$1,Database!$A$1:$C$1,),)=0,#N/A,VLOOKUP(Table73[[#This Row],[Date]],Database!$A:$C,MATCH($C$1,Database!$A$1:$C$1,),))</f>
        <v/>
      </c>
      <c r="D1391">
        <f>IFERROR(Table73[[#This Row],[United States 10y]]-Table73[[#This Row],[United States 2y]],#N/A)</f>
        <v/>
      </c>
    </row>
    <row r="1392">
      <c r="A1392" s="6">
        <f>Database!A1391</f>
        <v/>
      </c>
      <c r="B1392">
        <f>IF(VLOOKUP(Table73[[#This Row],[Date]],Database!$A:$E,MATCH($B$1,Database!$A$1:$E$1,),)=0,#N/A,VLOOKUP(Table73[[#This Row],[Date]],Database!$A:$E,MATCH($B$1,Database!$A$1:$E$1,),))</f>
        <v/>
      </c>
      <c r="C1392">
        <f>IF(VLOOKUP(Table73[[#This Row],[Date]],Database!$A:$C,MATCH($C$1,Database!$A$1:$C$1,),)=0,#N/A,VLOOKUP(Table73[[#This Row],[Date]],Database!$A:$C,MATCH($C$1,Database!$A$1:$C$1,),))</f>
        <v/>
      </c>
      <c r="D1392">
        <f>IFERROR(Table73[[#This Row],[United States 10y]]-Table73[[#This Row],[United States 2y]],#N/A)</f>
        <v/>
      </c>
    </row>
    <row r="1393">
      <c r="A1393" s="6">
        <f>Database!A1392</f>
        <v/>
      </c>
      <c r="B1393">
        <f>IF(VLOOKUP(Table73[[#This Row],[Date]],Database!$A:$E,MATCH($B$1,Database!$A$1:$E$1,),)=0,#N/A,VLOOKUP(Table73[[#This Row],[Date]],Database!$A:$E,MATCH($B$1,Database!$A$1:$E$1,),))</f>
        <v/>
      </c>
      <c r="C1393">
        <f>IF(VLOOKUP(Table73[[#This Row],[Date]],Database!$A:$C,MATCH($C$1,Database!$A$1:$C$1,),)=0,#N/A,VLOOKUP(Table73[[#This Row],[Date]],Database!$A:$C,MATCH($C$1,Database!$A$1:$C$1,),))</f>
        <v/>
      </c>
      <c r="D1393">
        <f>IFERROR(Table73[[#This Row],[United States 10y]]-Table73[[#This Row],[United States 2y]],#N/A)</f>
        <v/>
      </c>
    </row>
    <row r="1394">
      <c r="A1394" s="6">
        <f>Database!A1393</f>
        <v/>
      </c>
      <c r="B1394">
        <f>IF(VLOOKUP(Table73[[#This Row],[Date]],Database!$A:$E,MATCH($B$1,Database!$A$1:$E$1,),)=0,#N/A,VLOOKUP(Table73[[#This Row],[Date]],Database!$A:$E,MATCH($B$1,Database!$A$1:$E$1,),))</f>
        <v/>
      </c>
      <c r="C1394">
        <f>IF(VLOOKUP(Table73[[#This Row],[Date]],Database!$A:$C,MATCH($C$1,Database!$A$1:$C$1,),)=0,#N/A,VLOOKUP(Table73[[#This Row],[Date]],Database!$A:$C,MATCH($C$1,Database!$A$1:$C$1,),))</f>
        <v/>
      </c>
      <c r="D1394">
        <f>IFERROR(Table73[[#This Row],[United States 10y]]-Table73[[#This Row],[United States 2y]],#N/A)</f>
        <v/>
      </c>
    </row>
    <row r="1395">
      <c r="A1395" s="6">
        <f>Database!A1394</f>
        <v/>
      </c>
      <c r="B1395">
        <f>IF(VLOOKUP(Table73[[#This Row],[Date]],Database!$A:$E,MATCH($B$1,Database!$A$1:$E$1,),)=0,#N/A,VLOOKUP(Table73[[#This Row],[Date]],Database!$A:$E,MATCH($B$1,Database!$A$1:$E$1,),))</f>
        <v/>
      </c>
      <c r="C1395">
        <f>IF(VLOOKUP(Table73[[#This Row],[Date]],Database!$A:$C,MATCH($C$1,Database!$A$1:$C$1,),)=0,#N/A,VLOOKUP(Table73[[#This Row],[Date]],Database!$A:$C,MATCH($C$1,Database!$A$1:$C$1,),))</f>
        <v/>
      </c>
      <c r="D1395">
        <f>IFERROR(Table73[[#This Row],[United States 10y]]-Table73[[#This Row],[United States 2y]],#N/A)</f>
        <v/>
      </c>
    </row>
    <row r="1396">
      <c r="A1396" s="6">
        <f>Database!A1395</f>
        <v/>
      </c>
      <c r="B1396">
        <f>IF(VLOOKUP(Table73[[#This Row],[Date]],Database!$A:$E,MATCH($B$1,Database!$A$1:$E$1,),)=0,#N/A,VLOOKUP(Table73[[#This Row],[Date]],Database!$A:$E,MATCH($B$1,Database!$A$1:$E$1,),))</f>
        <v/>
      </c>
      <c r="C1396">
        <f>IF(VLOOKUP(Table73[[#This Row],[Date]],Database!$A:$C,MATCH($C$1,Database!$A$1:$C$1,),)=0,#N/A,VLOOKUP(Table73[[#This Row],[Date]],Database!$A:$C,MATCH($C$1,Database!$A$1:$C$1,),))</f>
        <v/>
      </c>
      <c r="D1396">
        <f>IFERROR(Table73[[#This Row],[United States 10y]]-Table73[[#This Row],[United States 2y]],#N/A)</f>
        <v/>
      </c>
    </row>
    <row r="1397">
      <c r="A1397" s="6">
        <f>Database!A1396</f>
        <v/>
      </c>
      <c r="B1397">
        <f>IF(VLOOKUP(Table73[[#This Row],[Date]],Database!$A:$E,MATCH($B$1,Database!$A$1:$E$1,),)=0,#N/A,VLOOKUP(Table73[[#This Row],[Date]],Database!$A:$E,MATCH($B$1,Database!$A$1:$E$1,),))</f>
        <v/>
      </c>
      <c r="C1397">
        <f>IF(VLOOKUP(Table73[[#This Row],[Date]],Database!$A:$C,MATCH($C$1,Database!$A$1:$C$1,),)=0,#N/A,VLOOKUP(Table73[[#This Row],[Date]],Database!$A:$C,MATCH($C$1,Database!$A$1:$C$1,),))</f>
        <v/>
      </c>
      <c r="D1397">
        <f>IFERROR(Table73[[#This Row],[United States 10y]]-Table73[[#This Row],[United States 2y]],#N/A)</f>
        <v/>
      </c>
    </row>
    <row r="1398">
      <c r="A1398" s="6">
        <f>Database!A1397</f>
        <v/>
      </c>
      <c r="B1398">
        <f>IF(VLOOKUP(Table73[[#This Row],[Date]],Database!$A:$E,MATCH($B$1,Database!$A$1:$E$1,),)=0,#N/A,VLOOKUP(Table73[[#This Row],[Date]],Database!$A:$E,MATCH($B$1,Database!$A$1:$E$1,),))</f>
        <v/>
      </c>
      <c r="C1398">
        <f>IF(VLOOKUP(Table73[[#This Row],[Date]],Database!$A:$C,MATCH($C$1,Database!$A$1:$C$1,),)=0,#N/A,VLOOKUP(Table73[[#This Row],[Date]],Database!$A:$C,MATCH($C$1,Database!$A$1:$C$1,),))</f>
        <v/>
      </c>
      <c r="D1398">
        <f>IFERROR(Table73[[#This Row],[United States 10y]]-Table73[[#This Row],[United States 2y]],#N/A)</f>
        <v/>
      </c>
    </row>
    <row r="1399">
      <c r="A1399" s="6">
        <f>Database!A1398</f>
        <v/>
      </c>
      <c r="B1399">
        <f>IF(VLOOKUP(Table73[[#This Row],[Date]],Database!$A:$E,MATCH($B$1,Database!$A$1:$E$1,),)=0,#N/A,VLOOKUP(Table73[[#This Row],[Date]],Database!$A:$E,MATCH($B$1,Database!$A$1:$E$1,),))</f>
        <v/>
      </c>
      <c r="C1399">
        <f>IF(VLOOKUP(Table73[[#This Row],[Date]],Database!$A:$C,MATCH($C$1,Database!$A$1:$C$1,),)=0,#N/A,VLOOKUP(Table73[[#This Row],[Date]],Database!$A:$C,MATCH($C$1,Database!$A$1:$C$1,),))</f>
        <v/>
      </c>
      <c r="D1399">
        <f>IFERROR(Table73[[#This Row],[United States 10y]]-Table73[[#This Row],[United States 2y]],#N/A)</f>
        <v/>
      </c>
    </row>
    <row r="1400">
      <c r="A1400" s="6">
        <f>Database!A1399</f>
        <v/>
      </c>
      <c r="B1400">
        <f>IF(VLOOKUP(Table73[[#This Row],[Date]],Database!$A:$E,MATCH($B$1,Database!$A$1:$E$1,),)=0,#N/A,VLOOKUP(Table73[[#This Row],[Date]],Database!$A:$E,MATCH($B$1,Database!$A$1:$E$1,),))</f>
        <v/>
      </c>
      <c r="C1400">
        <f>IF(VLOOKUP(Table73[[#This Row],[Date]],Database!$A:$C,MATCH($C$1,Database!$A$1:$C$1,),)=0,#N/A,VLOOKUP(Table73[[#This Row],[Date]],Database!$A:$C,MATCH($C$1,Database!$A$1:$C$1,),))</f>
        <v/>
      </c>
      <c r="D1400">
        <f>IFERROR(Table73[[#This Row],[United States 10y]]-Table73[[#This Row],[United States 2y]],#N/A)</f>
        <v/>
      </c>
    </row>
    <row r="1401">
      <c r="A1401" s="6">
        <f>Database!A1400</f>
        <v/>
      </c>
      <c r="B1401">
        <f>IF(VLOOKUP(Table73[[#This Row],[Date]],Database!$A:$E,MATCH($B$1,Database!$A$1:$E$1,),)=0,#N/A,VLOOKUP(Table73[[#This Row],[Date]],Database!$A:$E,MATCH($B$1,Database!$A$1:$E$1,),))</f>
        <v/>
      </c>
      <c r="C1401">
        <f>IF(VLOOKUP(Table73[[#This Row],[Date]],Database!$A:$C,MATCH($C$1,Database!$A$1:$C$1,),)=0,#N/A,VLOOKUP(Table73[[#This Row],[Date]],Database!$A:$C,MATCH($C$1,Database!$A$1:$C$1,),))</f>
        <v/>
      </c>
      <c r="D1401">
        <f>IFERROR(Table73[[#This Row],[United States 10y]]-Table73[[#This Row],[United States 2y]],#N/A)</f>
        <v/>
      </c>
    </row>
    <row r="1402">
      <c r="A1402" s="6">
        <f>Database!A1401</f>
        <v/>
      </c>
      <c r="B1402">
        <f>IF(VLOOKUP(Table73[[#This Row],[Date]],Database!$A:$E,MATCH($B$1,Database!$A$1:$E$1,),)=0,#N/A,VLOOKUP(Table73[[#This Row],[Date]],Database!$A:$E,MATCH($B$1,Database!$A$1:$E$1,),))</f>
        <v/>
      </c>
      <c r="C1402">
        <f>IF(VLOOKUP(Table73[[#This Row],[Date]],Database!$A:$C,MATCH($C$1,Database!$A$1:$C$1,),)=0,#N/A,VLOOKUP(Table73[[#This Row],[Date]],Database!$A:$C,MATCH($C$1,Database!$A$1:$C$1,),))</f>
        <v/>
      </c>
      <c r="D1402">
        <f>IFERROR(Table73[[#This Row],[United States 10y]]-Table73[[#This Row],[United States 2y]],#N/A)</f>
        <v/>
      </c>
    </row>
    <row r="1403">
      <c r="A1403" s="6">
        <f>Database!A1402</f>
        <v/>
      </c>
      <c r="B1403">
        <f>IF(VLOOKUP(Table73[[#This Row],[Date]],Database!$A:$E,MATCH($B$1,Database!$A$1:$E$1,),)=0,#N/A,VLOOKUP(Table73[[#This Row],[Date]],Database!$A:$E,MATCH($B$1,Database!$A$1:$E$1,),))</f>
        <v/>
      </c>
      <c r="C1403">
        <f>IF(VLOOKUP(Table73[[#This Row],[Date]],Database!$A:$C,MATCH($C$1,Database!$A$1:$C$1,),)=0,#N/A,VLOOKUP(Table73[[#This Row],[Date]],Database!$A:$C,MATCH($C$1,Database!$A$1:$C$1,),))</f>
        <v/>
      </c>
      <c r="D1403">
        <f>IFERROR(Table73[[#This Row],[United States 10y]]-Table73[[#This Row],[United States 2y]],#N/A)</f>
        <v/>
      </c>
    </row>
    <row r="1404">
      <c r="A1404" s="6">
        <f>Database!A1403</f>
        <v/>
      </c>
      <c r="B1404">
        <f>IF(VLOOKUP(Table73[[#This Row],[Date]],Database!$A:$E,MATCH($B$1,Database!$A$1:$E$1,),)=0,#N/A,VLOOKUP(Table73[[#This Row],[Date]],Database!$A:$E,MATCH($B$1,Database!$A$1:$E$1,),))</f>
        <v/>
      </c>
      <c r="C1404">
        <f>IF(VLOOKUP(Table73[[#This Row],[Date]],Database!$A:$C,MATCH($C$1,Database!$A$1:$C$1,),)=0,#N/A,VLOOKUP(Table73[[#This Row],[Date]],Database!$A:$C,MATCH($C$1,Database!$A$1:$C$1,),))</f>
        <v/>
      </c>
      <c r="D1404">
        <f>IFERROR(Table73[[#This Row],[United States 10y]]-Table73[[#This Row],[United States 2y]],#N/A)</f>
        <v/>
      </c>
    </row>
    <row r="1405">
      <c r="A1405" s="6">
        <f>Database!A1404</f>
        <v/>
      </c>
      <c r="B1405">
        <f>IF(VLOOKUP(Table73[[#This Row],[Date]],Database!$A:$E,MATCH($B$1,Database!$A$1:$E$1,),)=0,#N/A,VLOOKUP(Table73[[#This Row],[Date]],Database!$A:$E,MATCH($B$1,Database!$A$1:$E$1,),))</f>
        <v/>
      </c>
      <c r="C1405">
        <f>IF(VLOOKUP(Table73[[#This Row],[Date]],Database!$A:$C,MATCH($C$1,Database!$A$1:$C$1,),)=0,#N/A,VLOOKUP(Table73[[#This Row],[Date]],Database!$A:$C,MATCH($C$1,Database!$A$1:$C$1,),))</f>
        <v/>
      </c>
      <c r="D1405">
        <f>IFERROR(Table73[[#This Row],[United States 10y]]-Table73[[#This Row],[United States 2y]],#N/A)</f>
        <v/>
      </c>
    </row>
    <row r="1406">
      <c r="A1406" s="6">
        <f>Database!A1405</f>
        <v/>
      </c>
      <c r="B1406">
        <f>IF(VLOOKUP(Table73[[#This Row],[Date]],Database!$A:$E,MATCH($B$1,Database!$A$1:$E$1,),)=0,#N/A,VLOOKUP(Table73[[#This Row],[Date]],Database!$A:$E,MATCH($B$1,Database!$A$1:$E$1,),))</f>
        <v/>
      </c>
      <c r="C1406">
        <f>IF(VLOOKUP(Table73[[#This Row],[Date]],Database!$A:$C,MATCH($C$1,Database!$A$1:$C$1,),)=0,#N/A,VLOOKUP(Table73[[#This Row],[Date]],Database!$A:$C,MATCH($C$1,Database!$A$1:$C$1,),))</f>
        <v/>
      </c>
      <c r="D1406">
        <f>IFERROR(Table73[[#This Row],[United States 10y]]-Table73[[#This Row],[United States 2y]],#N/A)</f>
        <v/>
      </c>
    </row>
    <row r="1407">
      <c r="A1407" s="6">
        <f>Database!A1406</f>
        <v/>
      </c>
      <c r="B1407">
        <f>IF(VLOOKUP(Table73[[#This Row],[Date]],Database!$A:$E,MATCH($B$1,Database!$A$1:$E$1,),)=0,#N/A,VLOOKUP(Table73[[#This Row],[Date]],Database!$A:$E,MATCH($B$1,Database!$A$1:$E$1,),))</f>
        <v/>
      </c>
      <c r="C1407">
        <f>IF(VLOOKUP(Table73[[#This Row],[Date]],Database!$A:$C,MATCH($C$1,Database!$A$1:$C$1,),)=0,#N/A,VLOOKUP(Table73[[#This Row],[Date]],Database!$A:$C,MATCH($C$1,Database!$A$1:$C$1,),))</f>
        <v/>
      </c>
      <c r="D1407">
        <f>IFERROR(Table73[[#This Row],[United States 10y]]-Table73[[#This Row],[United States 2y]],#N/A)</f>
        <v/>
      </c>
    </row>
    <row r="1408">
      <c r="A1408" s="6">
        <f>Database!A1407</f>
        <v/>
      </c>
      <c r="B1408">
        <f>IF(VLOOKUP(Table73[[#This Row],[Date]],Database!$A:$E,MATCH($B$1,Database!$A$1:$E$1,),)=0,#N/A,VLOOKUP(Table73[[#This Row],[Date]],Database!$A:$E,MATCH($B$1,Database!$A$1:$E$1,),))</f>
        <v/>
      </c>
      <c r="C1408">
        <f>IF(VLOOKUP(Table73[[#This Row],[Date]],Database!$A:$C,MATCH($C$1,Database!$A$1:$C$1,),)=0,#N/A,VLOOKUP(Table73[[#This Row],[Date]],Database!$A:$C,MATCH($C$1,Database!$A$1:$C$1,),))</f>
        <v/>
      </c>
      <c r="D1408">
        <f>IFERROR(Table73[[#This Row],[United States 10y]]-Table73[[#This Row],[United States 2y]],#N/A)</f>
        <v/>
      </c>
    </row>
    <row r="1409">
      <c r="A1409" s="6">
        <f>Database!A1408</f>
        <v/>
      </c>
      <c r="B1409">
        <f>IF(VLOOKUP(Table73[[#This Row],[Date]],Database!$A:$E,MATCH($B$1,Database!$A$1:$E$1,),)=0,#N/A,VLOOKUP(Table73[[#This Row],[Date]],Database!$A:$E,MATCH($B$1,Database!$A$1:$E$1,),))</f>
        <v/>
      </c>
      <c r="C1409">
        <f>IF(VLOOKUP(Table73[[#This Row],[Date]],Database!$A:$C,MATCH($C$1,Database!$A$1:$C$1,),)=0,#N/A,VLOOKUP(Table73[[#This Row],[Date]],Database!$A:$C,MATCH($C$1,Database!$A$1:$C$1,),))</f>
        <v/>
      </c>
      <c r="D1409">
        <f>IFERROR(Table73[[#This Row],[United States 10y]]-Table73[[#This Row],[United States 2y]],#N/A)</f>
        <v/>
      </c>
    </row>
    <row r="1410">
      <c r="A1410" s="6">
        <f>Database!A1409</f>
        <v/>
      </c>
      <c r="B1410">
        <f>IF(VLOOKUP(Table73[[#This Row],[Date]],Database!$A:$E,MATCH($B$1,Database!$A$1:$E$1,),)=0,#N/A,VLOOKUP(Table73[[#This Row],[Date]],Database!$A:$E,MATCH($B$1,Database!$A$1:$E$1,),))</f>
        <v/>
      </c>
      <c r="C1410">
        <f>IF(VLOOKUP(Table73[[#This Row],[Date]],Database!$A:$C,MATCH($C$1,Database!$A$1:$C$1,),)=0,#N/A,VLOOKUP(Table73[[#This Row],[Date]],Database!$A:$C,MATCH($C$1,Database!$A$1:$C$1,),))</f>
        <v/>
      </c>
      <c r="D1410">
        <f>IFERROR(Table73[[#This Row],[United States 10y]]-Table73[[#This Row],[United States 2y]],#N/A)</f>
        <v/>
      </c>
    </row>
    <row r="1411">
      <c r="A1411" s="6">
        <f>Database!A1410</f>
        <v/>
      </c>
      <c r="B1411">
        <f>IF(VLOOKUP(Table73[[#This Row],[Date]],Database!$A:$E,MATCH($B$1,Database!$A$1:$E$1,),)=0,#N/A,VLOOKUP(Table73[[#This Row],[Date]],Database!$A:$E,MATCH($B$1,Database!$A$1:$E$1,),))</f>
        <v/>
      </c>
      <c r="C1411">
        <f>IF(VLOOKUP(Table73[[#This Row],[Date]],Database!$A:$C,MATCH($C$1,Database!$A$1:$C$1,),)=0,#N/A,VLOOKUP(Table73[[#This Row],[Date]],Database!$A:$C,MATCH($C$1,Database!$A$1:$C$1,),))</f>
        <v/>
      </c>
      <c r="D1411">
        <f>IFERROR(Table73[[#This Row],[United States 10y]]-Table73[[#This Row],[United States 2y]],#N/A)</f>
        <v/>
      </c>
    </row>
    <row r="1412">
      <c r="A1412" s="6">
        <f>Database!A1411</f>
        <v/>
      </c>
      <c r="B1412">
        <f>IF(VLOOKUP(Table73[[#This Row],[Date]],Database!$A:$E,MATCH($B$1,Database!$A$1:$E$1,),)=0,#N/A,VLOOKUP(Table73[[#This Row],[Date]],Database!$A:$E,MATCH($B$1,Database!$A$1:$E$1,),))</f>
        <v/>
      </c>
      <c r="C1412">
        <f>IF(VLOOKUP(Table73[[#This Row],[Date]],Database!$A:$C,MATCH($C$1,Database!$A$1:$C$1,),)=0,#N/A,VLOOKUP(Table73[[#This Row],[Date]],Database!$A:$C,MATCH($C$1,Database!$A$1:$C$1,),))</f>
        <v/>
      </c>
      <c r="D1412">
        <f>IFERROR(Table73[[#This Row],[United States 10y]]-Table73[[#This Row],[United States 2y]],#N/A)</f>
        <v/>
      </c>
    </row>
    <row r="1413">
      <c r="A1413" s="6">
        <f>Database!A1412</f>
        <v/>
      </c>
      <c r="B1413">
        <f>IF(VLOOKUP(Table73[[#This Row],[Date]],Database!$A:$E,MATCH($B$1,Database!$A$1:$E$1,),)=0,#N/A,VLOOKUP(Table73[[#This Row],[Date]],Database!$A:$E,MATCH($B$1,Database!$A$1:$E$1,),))</f>
        <v/>
      </c>
      <c r="C1413">
        <f>IF(VLOOKUP(Table73[[#This Row],[Date]],Database!$A:$C,MATCH($C$1,Database!$A$1:$C$1,),)=0,#N/A,VLOOKUP(Table73[[#This Row],[Date]],Database!$A:$C,MATCH($C$1,Database!$A$1:$C$1,),))</f>
        <v/>
      </c>
      <c r="D1413">
        <f>IFERROR(Table73[[#This Row],[United States 10y]]-Table73[[#This Row],[United States 2y]],#N/A)</f>
        <v/>
      </c>
    </row>
    <row r="1414">
      <c r="A1414" s="6">
        <f>Database!A1413</f>
        <v/>
      </c>
      <c r="B1414">
        <f>IF(VLOOKUP(Table73[[#This Row],[Date]],Database!$A:$E,MATCH($B$1,Database!$A$1:$E$1,),)=0,#N/A,VLOOKUP(Table73[[#This Row],[Date]],Database!$A:$E,MATCH($B$1,Database!$A$1:$E$1,),))</f>
        <v/>
      </c>
      <c r="C1414">
        <f>IF(VLOOKUP(Table73[[#This Row],[Date]],Database!$A:$C,MATCH($C$1,Database!$A$1:$C$1,),)=0,#N/A,VLOOKUP(Table73[[#This Row],[Date]],Database!$A:$C,MATCH($C$1,Database!$A$1:$C$1,),))</f>
        <v/>
      </c>
      <c r="D1414">
        <f>IFERROR(Table73[[#This Row],[United States 10y]]-Table73[[#This Row],[United States 2y]],#N/A)</f>
        <v/>
      </c>
    </row>
    <row r="1415">
      <c r="A1415" s="6">
        <f>Database!A1414</f>
        <v/>
      </c>
      <c r="B1415">
        <f>IF(VLOOKUP(Table73[[#This Row],[Date]],Database!$A:$E,MATCH($B$1,Database!$A$1:$E$1,),)=0,#N/A,VLOOKUP(Table73[[#This Row],[Date]],Database!$A:$E,MATCH($B$1,Database!$A$1:$E$1,),))</f>
        <v/>
      </c>
      <c r="C1415">
        <f>IF(VLOOKUP(Table73[[#This Row],[Date]],Database!$A:$C,MATCH($C$1,Database!$A$1:$C$1,),)=0,#N/A,VLOOKUP(Table73[[#This Row],[Date]],Database!$A:$C,MATCH($C$1,Database!$A$1:$C$1,),))</f>
        <v/>
      </c>
      <c r="D1415">
        <f>IFERROR(Table73[[#This Row],[United States 10y]]-Table73[[#This Row],[United States 2y]],#N/A)</f>
        <v/>
      </c>
    </row>
    <row r="1416">
      <c r="A1416" s="6">
        <f>Database!A1415</f>
        <v/>
      </c>
      <c r="B1416">
        <f>IF(VLOOKUP(Table73[[#This Row],[Date]],Database!$A:$E,MATCH($B$1,Database!$A$1:$E$1,),)=0,#N/A,VLOOKUP(Table73[[#This Row],[Date]],Database!$A:$E,MATCH($B$1,Database!$A$1:$E$1,),))</f>
        <v/>
      </c>
      <c r="C1416">
        <f>IF(VLOOKUP(Table73[[#This Row],[Date]],Database!$A:$C,MATCH($C$1,Database!$A$1:$C$1,),)=0,#N/A,VLOOKUP(Table73[[#This Row],[Date]],Database!$A:$C,MATCH($C$1,Database!$A$1:$C$1,),))</f>
        <v/>
      </c>
      <c r="D1416">
        <f>IFERROR(Table73[[#This Row],[United States 10y]]-Table73[[#This Row],[United States 2y]],#N/A)</f>
        <v/>
      </c>
    </row>
    <row r="1417">
      <c r="A1417" s="6">
        <f>Database!A1416</f>
        <v/>
      </c>
      <c r="B1417">
        <f>IF(VLOOKUP(Table73[[#This Row],[Date]],Database!$A:$E,MATCH($B$1,Database!$A$1:$E$1,),)=0,#N/A,VLOOKUP(Table73[[#This Row],[Date]],Database!$A:$E,MATCH($B$1,Database!$A$1:$E$1,),))</f>
        <v/>
      </c>
      <c r="C1417">
        <f>IF(VLOOKUP(Table73[[#This Row],[Date]],Database!$A:$C,MATCH($C$1,Database!$A$1:$C$1,),)=0,#N/A,VLOOKUP(Table73[[#This Row],[Date]],Database!$A:$C,MATCH($C$1,Database!$A$1:$C$1,),))</f>
        <v/>
      </c>
      <c r="D1417">
        <f>IFERROR(Table73[[#This Row],[United States 10y]]-Table73[[#This Row],[United States 2y]],#N/A)</f>
        <v/>
      </c>
    </row>
    <row r="1418">
      <c r="A1418" s="6">
        <f>Database!A1417</f>
        <v/>
      </c>
      <c r="B1418">
        <f>IF(VLOOKUP(Table73[[#This Row],[Date]],Database!$A:$E,MATCH($B$1,Database!$A$1:$E$1,),)=0,#N/A,VLOOKUP(Table73[[#This Row],[Date]],Database!$A:$E,MATCH($B$1,Database!$A$1:$E$1,),))</f>
        <v/>
      </c>
      <c r="C1418">
        <f>IF(VLOOKUP(Table73[[#This Row],[Date]],Database!$A:$C,MATCH($C$1,Database!$A$1:$C$1,),)=0,#N/A,VLOOKUP(Table73[[#This Row],[Date]],Database!$A:$C,MATCH($C$1,Database!$A$1:$C$1,),))</f>
        <v/>
      </c>
      <c r="D1418">
        <f>IFERROR(Table73[[#This Row],[United States 10y]]-Table73[[#This Row],[United States 2y]],#N/A)</f>
        <v/>
      </c>
    </row>
    <row r="1419">
      <c r="A1419" s="6">
        <f>Database!A1418</f>
        <v/>
      </c>
      <c r="B1419">
        <f>IF(VLOOKUP(Table73[[#This Row],[Date]],Database!$A:$E,MATCH($B$1,Database!$A$1:$E$1,),)=0,#N/A,VLOOKUP(Table73[[#This Row],[Date]],Database!$A:$E,MATCH($B$1,Database!$A$1:$E$1,),))</f>
        <v/>
      </c>
      <c r="C1419">
        <f>IF(VLOOKUP(Table73[[#This Row],[Date]],Database!$A:$C,MATCH($C$1,Database!$A$1:$C$1,),)=0,#N/A,VLOOKUP(Table73[[#This Row],[Date]],Database!$A:$C,MATCH($C$1,Database!$A$1:$C$1,),))</f>
        <v/>
      </c>
      <c r="D1419">
        <f>IFERROR(Table73[[#This Row],[United States 10y]]-Table73[[#This Row],[United States 2y]],#N/A)</f>
        <v/>
      </c>
    </row>
    <row r="1420">
      <c r="A1420" s="6">
        <f>Database!A1419</f>
        <v/>
      </c>
      <c r="B1420">
        <f>IF(VLOOKUP(Table73[[#This Row],[Date]],Database!$A:$E,MATCH($B$1,Database!$A$1:$E$1,),)=0,#N/A,VLOOKUP(Table73[[#This Row],[Date]],Database!$A:$E,MATCH($B$1,Database!$A$1:$E$1,),))</f>
        <v/>
      </c>
      <c r="C1420">
        <f>IF(VLOOKUP(Table73[[#This Row],[Date]],Database!$A:$C,MATCH($C$1,Database!$A$1:$C$1,),)=0,#N/A,VLOOKUP(Table73[[#This Row],[Date]],Database!$A:$C,MATCH($C$1,Database!$A$1:$C$1,),))</f>
        <v/>
      </c>
      <c r="D1420">
        <f>IFERROR(Table73[[#This Row],[United States 10y]]-Table73[[#This Row],[United States 2y]],#N/A)</f>
        <v/>
      </c>
    </row>
    <row r="1421">
      <c r="A1421" s="6">
        <f>Database!A1420</f>
        <v/>
      </c>
      <c r="B1421">
        <f>IF(VLOOKUP(Table73[[#This Row],[Date]],Database!$A:$E,MATCH($B$1,Database!$A$1:$E$1,),)=0,#N/A,VLOOKUP(Table73[[#This Row],[Date]],Database!$A:$E,MATCH($B$1,Database!$A$1:$E$1,),))</f>
        <v/>
      </c>
      <c r="C1421">
        <f>IF(VLOOKUP(Table73[[#This Row],[Date]],Database!$A:$C,MATCH($C$1,Database!$A$1:$C$1,),)=0,#N/A,VLOOKUP(Table73[[#This Row],[Date]],Database!$A:$C,MATCH($C$1,Database!$A$1:$C$1,),))</f>
        <v/>
      </c>
      <c r="D1421">
        <f>IFERROR(Table73[[#This Row],[United States 10y]]-Table73[[#This Row],[United States 2y]],#N/A)</f>
        <v/>
      </c>
    </row>
    <row r="1422">
      <c r="A1422" s="6">
        <f>Database!A1421</f>
        <v/>
      </c>
      <c r="B1422">
        <f>IF(VLOOKUP(Table73[[#This Row],[Date]],Database!$A:$E,MATCH($B$1,Database!$A$1:$E$1,),)=0,#N/A,VLOOKUP(Table73[[#This Row],[Date]],Database!$A:$E,MATCH($B$1,Database!$A$1:$E$1,),))</f>
        <v/>
      </c>
      <c r="C1422">
        <f>IF(VLOOKUP(Table73[[#This Row],[Date]],Database!$A:$C,MATCH($C$1,Database!$A$1:$C$1,),)=0,#N/A,VLOOKUP(Table73[[#This Row],[Date]],Database!$A:$C,MATCH($C$1,Database!$A$1:$C$1,),))</f>
        <v/>
      </c>
      <c r="D1422">
        <f>IFERROR(Table73[[#This Row],[United States 10y]]-Table73[[#This Row],[United States 2y]],#N/A)</f>
        <v/>
      </c>
    </row>
    <row r="1423">
      <c r="A1423" s="6">
        <f>Database!A1422</f>
        <v/>
      </c>
      <c r="B1423">
        <f>IF(VLOOKUP(Table73[[#This Row],[Date]],Database!$A:$E,MATCH($B$1,Database!$A$1:$E$1,),)=0,#N/A,VLOOKUP(Table73[[#This Row],[Date]],Database!$A:$E,MATCH($B$1,Database!$A$1:$E$1,),))</f>
        <v/>
      </c>
      <c r="C1423">
        <f>IF(VLOOKUP(Table73[[#This Row],[Date]],Database!$A:$C,MATCH($C$1,Database!$A$1:$C$1,),)=0,#N/A,VLOOKUP(Table73[[#This Row],[Date]],Database!$A:$C,MATCH($C$1,Database!$A$1:$C$1,),))</f>
        <v/>
      </c>
      <c r="D1423">
        <f>IFERROR(Table73[[#This Row],[United States 10y]]-Table73[[#This Row],[United States 2y]],#N/A)</f>
        <v/>
      </c>
    </row>
    <row r="1424">
      <c r="A1424" s="6">
        <f>Database!A1423</f>
        <v/>
      </c>
      <c r="B1424">
        <f>IF(VLOOKUP(Table73[[#This Row],[Date]],Database!$A:$E,MATCH($B$1,Database!$A$1:$E$1,),)=0,#N/A,VLOOKUP(Table73[[#This Row],[Date]],Database!$A:$E,MATCH($B$1,Database!$A$1:$E$1,),))</f>
        <v/>
      </c>
      <c r="C1424">
        <f>IF(VLOOKUP(Table73[[#This Row],[Date]],Database!$A:$C,MATCH($C$1,Database!$A$1:$C$1,),)=0,#N/A,VLOOKUP(Table73[[#This Row],[Date]],Database!$A:$C,MATCH($C$1,Database!$A$1:$C$1,),))</f>
        <v/>
      </c>
      <c r="D1424">
        <f>IFERROR(Table73[[#This Row],[United States 10y]]-Table73[[#This Row],[United States 2y]],#N/A)</f>
        <v/>
      </c>
    </row>
    <row r="1425">
      <c r="A1425" s="6">
        <f>Database!A1424</f>
        <v/>
      </c>
      <c r="B1425">
        <f>IF(VLOOKUP(Table73[[#This Row],[Date]],Database!$A:$E,MATCH($B$1,Database!$A$1:$E$1,),)=0,#N/A,VLOOKUP(Table73[[#This Row],[Date]],Database!$A:$E,MATCH($B$1,Database!$A$1:$E$1,),))</f>
        <v/>
      </c>
      <c r="C1425">
        <f>IF(VLOOKUP(Table73[[#This Row],[Date]],Database!$A:$C,MATCH($C$1,Database!$A$1:$C$1,),)=0,#N/A,VLOOKUP(Table73[[#This Row],[Date]],Database!$A:$C,MATCH($C$1,Database!$A$1:$C$1,),))</f>
        <v/>
      </c>
      <c r="D1425">
        <f>IFERROR(Table73[[#This Row],[United States 10y]]-Table73[[#This Row],[United States 2y]],#N/A)</f>
        <v/>
      </c>
    </row>
    <row r="1426">
      <c r="A1426" s="6">
        <f>Database!A1425</f>
        <v/>
      </c>
      <c r="B1426">
        <f>IF(VLOOKUP(Table73[[#This Row],[Date]],Database!$A:$E,MATCH($B$1,Database!$A$1:$E$1,),)=0,#N/A,VLOOKUP(Table73[[#This Row],[Date]],Database!$A:$E,MATCH($B$1,Database!$A$1:$E$1,),))</f>
        <v/>
      </c>
      <c r="C1426">
        <f>IF(VLOOKUP(Table73[[#This Row],[Date]],Database!$A:$C,MATCH($C$1,Database!$A$1:$C$1,),)=0,#N/A,VLOOKUP(Table73[[#This Row],[Date]],Database!$A:$C,MATCH($C$1,Database!$A$1:$C$1,),))</f>
        <v/>
      </c>
      <c r="D1426">
        <f>IFERROR(Table73[[#This Row],[United States 10y]]-Table73[[#This Row],[United States 2y]],#N/A)</f>
        <v/>
      </c>
    </row>
    <row r="1427">
      <c r="A1427" s="6">
        <f>Database!A1426</f>
        <v/>
      </c>
      <c r="B1427">
        <f>IF(VLOOKUP(Table73[[#This Row],[Date]],Database!$A:$E,MATCH($B$1,Database!$A$1:$E$1,),)=0,#N/A,VLOOKUP(Table73[[#This Row],[Date]],Database!$A:$E,MATCH($B$1,Database!$A$1:$E$1,),))</f>
        <v/>
      </c>
      <c r="C1427">
        <f>IF(VLOOKUP(Table73[[#This Row],[Date]],Database!$A:$C,MATCH($C$1,Database!$A$1:$C$1,),)=0,#N/A,VLOOKUP(Table73[[#This Row],[Date]],Database!$A:$C,MATCH($C$1,Database!$A$1:$C$1,),))</f>
        <v/>
      </c>
      <c r="D1427">
        <f>IFERROR(Table73[[#This Row],[United States 10y]]-Table73[[#This Row],[United States 2y]],#N/A)</f>
        <v/>
      </c>
    </row>
    <row r="1428">
      <c r="A1428" s="6">
        <f>Database!A1427</f>
        <v/>
      </c>
      <c r="B1428">
        <f>IF(VLOOKUP(Table73[[#This Row],[Date]],Database!$A:$E,MATCH($B$1,Database!$A$1:$E$1,),)=0,#N/A,VLOOKUP(Table73[[#This Row],[Date]],Database!$A:$E,MATCH($B$1,Database!$A$1:$E$1,),))</f>
        <v/>
      </c>
      <c r="C1428">
        <f>IF(VLOOKUP(Table73[[#This Row],[Date]],Database!$A:$C,MATCH($C$1,Database!$A$1:$C$1,),)=0,#N/A,VLOOKUP(Table73[[#This Row],[Date]],Database!$A:$C,MATCH($C$1,Database!$A$1:$C$1,),))</f>
        <v/>
      </c>
      <c r="D1428">
        <f>IFERROR(Table73[[#This Row],[United States 10y]]-Table73[[#This Row],[United States 2y]],#N/A)</f>
        <v/>
      </c>
    </row>
    <row r="1429">
      <c r="A1429" s="6">
        <f>Database!A1428</f>
        <v/>
      </c>
      <c r="B1429">
        <f>IF(VLOOKUP(Table73[[#This Row],[Date]],Database!$A:$E,MATCH($B$1,Database!$A$1:$E$1,),)=0,#N/A,VLOOKUP(Table73[[#This Row],[Date]],Database!$A:$E,MATCH($B$1,Database!$A$1:$E$1,),))</f>
        <v/>
      </c>
      <c r="C1429">
        <f>IF(VLOOKUP(Table73[[#This Row],[Date]],Database!$A:$C,MATCH($C$1,Database!$A$1:$C$1,),)=0,#N/A,VLOOKUP(Table73[[#This Row],[Date]],Database!$A:$C,MATCH($C$1,Database!$A$1:$C$1,),))</f>
        <v/>
      </c>
      <c r="D1429">
        <f>IFERROR(Table73[[#This Row],[United States 10y]]-Table73[[#This Row],[United States 2y]],#N/A)</f>
        <v/>
      </c>
    </row>
    <row r="1430">
      <c r="A1430" s="6">
        <f>Database!A1429</f>
        <v/>
      </c>
      <c r="B1430">
        <f>IF(VLOOKUP(Table73[[#This Row],[Date]],Database!$A:$E,MATCH($B$1,Database!$A$1:$E$1,),)=0,#N/A,VLOOKUP(Table73[[#This Row],[Date]],Database!$A:$E,MATCH($B$1,Database!$A$1:$E$1,),))</f>
        <v/>
      </c>
      <c r="C1430">
        <f>IF(VLOOKUP(Table73[[#This Row],[Date]],Database!$A:$C,MATCH($C$1,Database!$A$1:$C$1,),)=0,#N/A,VLOOKUP(Table73[[#This Row],[Date]],Database!$A:$C,MATCH($C$1,Database!$A$1:$C$1,),))</f>
        <v/>
      </c>
      <c r="D1430">
        <f>IFERROR(Table73[[#This Row],[United States 10y]]-Table73[[#This Row],[United States 2y]],#N/A)</f>
        <v/>
      </c>
    </row>
    <row r="1431">
      <c r="A1431" s="6">
        <f>Database!A1430</f>
        <v/>
      </c>
      <c r="B1431">
        <f>IF(VLOOKUP(Table73[[#This Row],[Date]],Database!$A:$E,MATCH($B$1,Database!$A$1:$E$1,),)=0,#N/A,VLOOKUP(Table73[[#This Row],[Date]],Database!$A:$E,MATCH($B$1,Database!$A$1:$E$1,),))</f>
        <v/>
      </c>
      <c r="C1431">
        <f>IF(VLOOKUP(Table73[[#This Row],[Date]],Database!$A:$C,MATCH($C$1,Database!$A$1:$C$1,),)=0,#N/A,VLOOKUP(Table73[[#This Row],[Date]],Database!$A:$C,MATCH($C$1,Database!$A$1:$C$1,),))</f>
        <v/>
      </c>
      <c r="D1431">
        <f>IFERROR(Table73[[#This Row],[United States 10y]]-Table73[[#This Row],[United States 2y]],#N/A)</f>
        <v/>
      </c>
    </row>
    <row r="1432">
      <c r="A1432" s="6">
        <f>Database!A1431</f>
        <v/>
      </c>
      <c r="B1432">
        <f>IF(VLOOKUP(Table73[[#This Row],[Date]],Database!$A:$E,MATCH($B$1,Database!$A$1:$E$1,),)=0,#N/A,VLOOKUP(Table73[[#This Row],[Date]],Database!$A:$E,MATCH($B$1,Database!$A$1:$E$1,),))</f>
        <v/>
      </c>
      <c r="C1432">
        <f>IF(VLOOKUP(Table73[[#This Row],[Date]],Database!$A:$C,MATCH($C$1,Database!$A$1:$C$1,),)=0,#N/A,VLOOKUP(Table73[[#This Row],[Date]],Database!$A:$C,MATCH($C$1,Database!$A$1:$C$1,),))</f>
        <v/>
      </c>
      <c r="D1432">
        <f>IFERROR(Table73[[#This Row],[United States 10y]]-Table73[[#This Row],[United States 2y]],#N/A)</f>
        <v/>
      </c>
    </row>
    <row r="1433">
      <c r="A1433" s="6">
        <f>Database!A1432</f>
        <v/>
      </c>
      <c r="B1433">
        <f>IF(VLOOKUP(Table73[[#This Row],[Date]],Database!$A:$E,MATCH($B$1,Database!$A$1:$E$1,),)=0,#N/A,VLOOKUP(Table73[[#This Row],[Date]],Database!$A:$E,MATCH($B$1,Database!$A$1:$E$1,),))</f>
        <v/>
      </c>
      <c r="C1433">
        <f>IF(VLOOKUP(Table73[[#This Row],[Date]],Database!$A:$C,MATCH($C$1,Database!$A$1:$C$1,),)=0,#N/A,VLOOKUP(Table73[[#This Row],[Date]],Database!$A:$C,MATCH($C$1,Database!$A$1:$C$1,),))</f>
        <v/>
      </c>
      <c r="D1433">
        <f>IFERROR(Table73[[#This Row],[United States 10y]]-Table73[[#This Row],[United States 2y]],#N/A)</f>
        <v/>
      </c>
    </row>
    <row r="1434">
      <c r="A1434" s="6">
        <f>Database!A1433</f>
        <v/>
      </c>
      <c r="B1434">
        <f>IF(VLOOKUP(Table73[[#This Row],[Date]],Database!$A:$E,MATCH($B$1,Database!$A$1:$E$1,),)=0,#N/A,VLOOKUP(Table73[[#This Row],[Date]],Database!$A:$E,MATCH($B$1,Database!$A$1:$E$1,),))</f>
        <v/>
      </c>
      <c r="C1434">
        <f>IF(VLOOKUP(Table73[[#This Row],[Date]],Database!$A:$C,MATCH($C$1,Database!$A$1:$C$1,),)=0,#N/A,VLOOKUP(Table73[[#This Row],[Date]],Database!$A:$C,MATCH($C$1,Database!$A$1:$C$1,),))</f>
        <v/>
      </c>
      <c r="D1434">
        <f>IFERROR(Table73[[#This Row],[United States 10y]]-Table73[[#This Row],[United States 2y]],#N/A)</f>
        <v/>
      </c>
    </row>
    <row r="1435">
      <c r="A1435" s="6">
        <f>Database!A1434</f>
        <v/>
      </c>
      <c r="B1435">
        <f>IF(VLOOKUP(Table73[[#This Row],[Date]],Database!$A:$E,MATCH($B$1,Database!$A$1:$E$1,),)=0,#N/A,VLOOKUP(Table73[[#This Row],[Date]],Database!$A:$E,MATCH($B$1,Database!$A$1:$E$1,),))</f>
        <v/>
      </c>
      <c r="C1435">
        <f>IF(VLOOKUP(Table73[[#This Row],[Date]],Database!$A:$C,MATCH($C$1,Database!$A$1:$C$1,),)=0,#N/A,VLOOKUP(Table73[[#This Row],[Date]],Database!$A:$C,MATCH($C$1,Database!$A$1:$C$1,),))</f>
        <v/>
      </c>
      <c r="D1435">
        <f>IFERROR(Table73[[#This Row],[United States 10y]]-Table73[[#This Row],[United States 2y]],#N/A)</f>
        <v/>
      </c>
    </row>
    <row r="1436">
      <c r="A1436" s="6">
        <f>Database!A1435</f>
        <v/>
      </c>
      <c r="B1436">
        <f>IF(VLOOKUP(Table73[[#This Row],[Date]],Database!$A:$E,MATCH($B$1,Database!$A$1:$E$1,),)=0,#N/A,VLOOKUP(Table73[[#This Row],[Date]],Database!$A:$E,MATCH($B$1,Database!$A$1:$E$1,),))</f>
        <v/>
      </c>
      <c r="C1436">
        <f>IF(VLOOKUP(Table73[[#This Row],[Date]],Database!$A:$C,MATCH($C$1,Database!$A$1:$C$1,),)=0,#N/A,VLOOKUP(Table73[[#This Row],[Date]],Database!$A:$C,MATCH($C$1,Database!$A$1:$C$1,),))</f>
        <v/>
      </c>
      <c r="D1436">
        <f>IFERROR(Table73[[#This Row],[United States 10y]]-Table73[[#This Row],[United States 2y]],#N/A)</f>
        <v/>
      </c>
    </row>
    <row r="1437">
      <c r="A1437" s="6">
        <f>Database!A1436</f>
        <v/>
      </c>
      <c r="B1437">
        <f>IF(VLOOKUP(Table73[[#This Row],[Date]],Database!$A:$E,MATCH($B$1,Database!$A$1:$E$1,),)=0,#N/A,VLOOKUP(Table73[[#This Row],[Date]],Database!$A:$E,MATCH($B$1,Database!$A$1:$E$1,),))</f>
        <v/>
      </c>
      <c r="C1437">
        <f>IF(VLOOKUP(Table73[[#This Row],[Date]],Database!$A:$C,MATCH($C$1,Database!$A$1:$C$1,),)=0,#N/A,VLOOKUP(Table73[[#This Row],[Date]],Database!$A:$C,MATCH($C$1,Database!$A$1:$C$1,),))</f>
        <v/>
      </c>
      <c r="D1437">
        <f>IFERROR(Table73[[#This Row],[United States 10y]]-Table73[[#This Row],[United States 2y]],#N/A)</f>
        <v/>
      </c>
    </row>
    <row r="1438">
      <c r="A1438" s="6">
        <f>Database!A1437</f>
        <v/>
      </c>
      <c r="B1438">
        <f>IF(VLOOKUP(Table73[[#This Row],[Date]],Database!$A:$E,MATCH($B$1,Database!$A$1:$E$1,),)=0,#N/A,VLOOKUP(Table73[[#This Row],[Date]],Database!$A:$E,MATCH($B$1,Database!$A$1:$E$1,),))</f>
        <v/>
      </c>
      <c r="C1438">
        <f>IF(VLOOKUP(Table73[[#This Row],[Date]],Database!$A:$C,MATCH($C$1,Database!$A$1:$C$1,),)=0,#N/A,VLOOKUP(Table73[[#This Row],[Date]],Database!$A:$C,MATCH($C$1,Database!$A$1:$C$1,),))</f>
        <v/>
      </c>
      <c r="D1438">
        <f>IFERROR(Table73[[#This Row],[United States 10y]]-Table73[[#This Row],[United States 2y]],#N/A)</f>
        <v/>
      </c>
    </row>
    <row r="1439">
      <c r="A1439" s="6">
        <f>Database!A1438</f>
        <v/>
      </c>
      <c r="B1439">
        <f>IF(VLOOKUP(Table73[[#This Row],[Date]],Database!$A:$E,MATCH($B$1,Database!$A$1:$E$1,),)=0,#N/A,VLOOKUP(Table73[[#This Row],[Date]],Database!$A:$E,MATCH($B$1,Database!$A$1:$E$1,),))</f>
        <v/>
      </c>
      <c r="C1439">
        <f>IF(VLOOKUP(Table73[[#This Row],[Date]],Database!$A:$C,MATCH($C$1,Database!$A$1:$C$1,),)=0,#N/A,VLOOKUP(Table73[[#This Row],[Date]],Database!$A:$C,MATCH($C$1,Database!$A$1:$C$1,),))</f>
        <v/>
      </c>
      <c r="D1439">
        <f>IFERROR(Table73[[#This Row],[United States 10y]]-Table73[[#This Row],[United States 2y]],#N/A)</f>
        <v/>
      </c>
    </row>
    <row r="1440">
      <c r="A1440" s="6">
        <f>Database!A1439</f>
        <v/>
      </c>
      <c r="B1440">
        <f>IF(VLOOKUP(Table73[[#This Row],[Date]],Database!$A:$E,MATCH($B$1,Database!$A$1:$E$1,),)=0,#N/A,VLOOKUP(Table73[[#This Row],[Date]],Database!$A:$E,MATCH($B$1,Database!$A$1:$E$1,),))</f>
        <v/>
      </c>
      <c r="C1440">
        <f>IF(VLOOKUP(Table73[[#This Row],[Date]],Database!$A:$C,MATCH($C$1,Database!$A$1:$C$1,),)=0,#N/A,VLOOKUP(Table73[[#This Row],[Date]],Database!$A:$C,MATCH($C$1,Database!$A$1:$C$1,),))</f>
        <v/>
      </c>
      <c r="D1440">
        <f>IFERROR(Table73[[#This Row],[United States 10y]]-Table73[[#This Row],[United States 2y]],#N/A)</f>
        <v/>
      </c>
    </row>
    <row r="1441">
      <c r="A1441" s="6">
        <f>Database!A1440</f>
        <v/>
      </c>
      <c r="B1441">
        <f>IF(VLOOKUP(Table73[[#This Row],[Date]],Database!$A:$E,MATCH($B$1,Database!$A$1:$E$1,),)=0,#N/A,VLOOKUP(Table73[[#This Row],[Date]],Database!$A:$E,MATCH($B$1,Database!$A$1:$E$1,),))</f>
        <v/>
      </c>
      <c r="C1441">
        <f>IF(VLOOKUP(Table73[[#This Row],[Date]],Database!$A:$C,MATCH($C$1,Database!$A$1:$C$1,),)=0,#N/A,VLOOKUP(Table73[[#This Row],[Date]],Database!$A:$C,MATCH($C$1,Database!$A$1:$C$1,),))</f>
        <v/>
      </c>
      <c r="D1441">
        <f>IFERROR(Table73[[#This Row],[United States 10y]]-Table73[[#This Row],[United States 2y]],#N/A)</f>
        <v/>
      </c>
    </row>
    <row r="1442">
      <c r="A1442" s="6">
        <f>Database!A1441</f>
        <v/>
      </c>
      <c r="B1442">
        <f>IF(VLOOKUP(Table73[[#This Row],[Date]],Database!$A:$E,MATCH($B$1,Database!$A$1:$E$1,),)=0,#N/A,VLOOKUP(Table73[[#This Row],[Date]],Database!$A:$E,MATCH($B$1,Database!$A$1:$E$1,),))</f>
        <v/>
      </c>
      <c r="C1442">
        <f>IF(VLOOKUP(Table73[[#This Row],[Date]],Database!$A:$C,MATCH($C$1,Database!$A$1:$C$1,),)=0,#N/A,VLOOKUP(Table73[[#This Row],[Date]],Database!$A:$C,MATCH($C$1,Database!$A$1:$C$1,),))</f>
        <v/>
      </c>
      <c r="D1442">
        <f>IFERROR(Table73[[#This Row],[United States 10y]]-Table73[[#This Row],[United States 2y]],#N/A)</f>
        <v/>
      </c>
    </row>
    <row r="1443">
      <c r="A1443" s="6">
        <f>Database!A1442</f>
        <v/>
      </c>
      <c r="B1443">
        <f>IF(VLOOKUP(Table73[[#This Row],[Date]],Database!$A:$E,MATCH($B$1,Database!$A$1:$E$1,),)=0,#N/A,VLOOKUP(Table73[[#This Row],[Date]],Database!$A:$E,MATCH($B$1,Database!$A$1:$E$1,),))</f>
        <v/>
      </c>
      <c r="C1443">
        <f>IF(VLOOKUP(Table73[[#This Row],[Date]],Database!$A:$C,MATCH($C$1,Database!$A$1:$C$1,),)=0,#N/A,VLOOKUP(Table73[[#This Row],[Date]],Database!$A:$C,MATCH($C$1,Database!$A$1:$C$1,),))</f>
        <v/>
      </c>
      <c r="D1443">
        <f>IFERROR(Table73[[#This Row],[United States 10y]]-Table73[[#This Row],[United States 2y]],#N/A)</f>
        <v/>
      </c>
    </row>
    <row r="1444">
      <c r="A1444" s="6">
        <f>Database!A1443</f>
        <v/>
      </c>
      <c r="B1444">
        <f>IF(VLOOKUP(Table73[[#This Row],[Date]],Database!$A:$E,MATCH($B$1,Database!$A$1:$E$1,),)=0,#N/A,VLOOKUP(Table73[[#This Row],[Date]],Database!$A:$E,MATCH($B$1,Database!$A$1:$E$1,),))</f>
        <v/>
      </c>
      <c r="C1444">
        <f>IF(VLOOKUP(Table73[[#This Row],[Date]],Database!$A:$C,MATCH($C$1,Database!$A$1:$C$1,),)=0,#N/A,VLOOKUP(Table73[[#This Row],[Date]],Database!$A:$C,MATCH($C$1,Database!$A$1:$C$1,),))</f>
        <v/>
      </c>
      <c r="D1444">
        <f>IFERROR(Table73[[#This Row],[United States 10y]]-Table73[[#This Row],[United States 2y]],#N/A)</f>
        <v/>
      </c>
    </row>
    <row r="1445">
      <c r="A1445" s="6">
        <f>Database!A1444</f>
        <v/>
      </c>
      <c r="B1445">
        <f>IF(VLOOKUP(Table73[[#This Row],[Date]],Database!$A:$E,MATCH($B$1,Database!$A$1:$E$1,),)=0,#N/A,VLOOKUP(Table73[[#This Row],[Date]],Database!$A:$E,MATCH($B$1,Database!$A$1:$E$1,),))</f>
        <v/>
      </c>
      <c r="C1445">
        <f>IF(VLOOKUP(Table73[[#This Row],[Date]],Database!$A:$C,MATCH($C$1,Database!$A$1:$C$1,),)=0,#N/A,VLOOKUP(Table73[[#This Row],[Date]],Database!$A:$C,MATCH($C$1,Database!$A$1:$C$1,),))</f>
        <v/>
      </c>
      <c r="D1445">
        <f>IFERROR(Table73[[#This Row],[United States 10y]]-Table73[[#This Row],[United States 2y]],#N/A)</f>
        <v/>
      </c>
    </row>
    <row r="1446">
      <c r="A1446" s="6">
        <f>Database!A1445</f>
        <v/>
      </c>
      <c r="B1446">
        <f>IF(VLOOKUP(Table73[[#This Row],[Date]],Database!$A:$E,MATCH($B$1,Database!$A$1:$E$1,),)=0,#N/A,VLOOKUP(Table73[[#This Row],[Date]],Database!$A:$E,MATCH($B$1,Database!$A$1:$E$1,),))</f>
        <v/>
      </c>
      <c r="C1446">
        <f>IF(VLOOKUP(Table73[[#This Row],[Date]],Database!$A:$C,MATCH($C$1,Database!$A$1:$C$1,),)=0,#N/A,VLOOKUP(Table73[[#This Row],[Date]],Database!$A:$C,MATCH($C$1,Database!$A$1:$C$1,),))</f>
        <v/>
      </c>
      <c r="D1446">
        <f>IFERROR(Table73[[#This Row],[United States 10y]]-Table73[[#This Row],[United States 2y]],#N/A)</f>
        <v/>
      </c>
    </row>
    <row r="1447">
      <c r="A1447" s="6">
        <f>Database!A1446</f>
        <v/>
      </c>
      <c r="B1447">
        <f>IF(VLOOKUP(Table73[[#This Row],[Date]],Database!$A:$E,MATCH($B$1,Database!$A$1:$E$1,),)=0,#N/A,VLOOKUP(Table73[[#This Row],[Date]],Database!$A:$E,MATCH($B$1,Database!$A$1:$E$1,),))</f>
        <v/>
      </c>
      <c r="C1447">
        <f>IF(VLOOKUP(Table73[[#This Row],[Date]],Database!$A:$C,MATCH($C$1,Database!$A$1:$C$1,),)=0,#N/A,VLOOKUP(Table73[[#This Row],[Date]],Database!$A:$C,MATCH($C$1,Database!$A$1:$C$1,),))</f>
        <v/>
      </c>
      <c r="D1447">
        <f>IFERROR(Table73[[#This Row],[United States 10y]]-Table73[[#This Row],[United States 2y]],#N/A)</f>
        <v/>
      </c>
    </row>
    <row r="1448">
      <c r="A1448" s="6">
        <f>Database!A1447</f>
        <v/>
      </c>
      <c r="B1448">
        <f>IF(VLOOKUP(Table73[[#This Row],[Date]],Database!$A:$E,MATCH($B$1,Database!$A$1:$E$1,),)=0,#N/A,VLOOKUP(Table73[[#This Row],[Date]],Database!$A:$E,MATCH($B$1,Database!$A$1:$E$1,),))</f>
        <v/>
      </c>
      <c r="C1448">
        <f>IF(VLOOKUP(Table73[[#This Row],[Date]],Database!$A:$C,MATCH($C$1,Database!$A$1:$C$1,),)=0,#N/A,VLOOKUP(Table73[[#This Row],[Date]],Database!$A:$C,MATCH($C$1,Database!$A$1:$C$1,),))</f>
        <v/>
      </c>
      <c r="D1448">
        <f>IFERROR(Table73[[#This Row],[United States 10y]]-Table73[[#This Row],[United States 2y]],#N/A)</f>
        <v/>
      </c>
    </row>
    <row r="1449">
      <c r="A1449" s="6">
        <f>Database!A1448</f>
        <v/>
      </c>
      <c r="B1449">
        <f>IF(VLOOKUP(Table73[[#This Row],[Date]],Database!$A:$E,MATCH($B$1,Database!$A$1:$E$1,),)=0,#N/A,VLOOKUP(Table73[[#This Row],[Date]],Database!$A:$E,MATCH($B$1,Database!$A$1:$E$1,),))</f>
        <v/>
      </c>
      <c r="C1449">
        <f>IF(VLOOKUP(Table73[[#This Row],[Date]],Database!$A:$C,MATCH($C$1,Database!$A$1:$C$1,),)=0,#N/A,VLOOKUP(Table73[[#This Row],[Date]],Database!$A:$C,MATCH($C$1,Database!$A$1:$C$1,),))</f>
        <v/>
      </c>
      <c r="D1449">
        <f>IFERROR(Table73[[#This Row],[United States 10y]]-Table73[[#This Row],[United States 2y]],#N/A)</f>
        <v/>
      </c>
    </row>
    <row r="1450">
      <c r="A1450" s="6">
        <f>Database!A1449</f>
        <v/>
      </c>
      <c r="B1450">
        <f>IF(VLOOKUP(Table73[[#This Row],[Date]],Database!$A:$E,MATCH($B$1,Database!$A$1:$E$1,),)=0,#N/A,VLOOKUP(Table73[[#This Row],[Date]],Database!$A:$E,MATCH($B$1,Database!$A$1:$E$1,),))</f>
        <v/>
      </c>
      <c r="C1450">
        <f>IF(VLOOKUP(Table73[[#This Row],[Date]],Database!$A:$C,MATCH($C$1,Database!$A$1:$C$1,),)=0,#N/A,VLOOKUP(Table73[[#This Row],[Date]],Database!$A:$C,MATCH($C$1,Database!$A$1:$C$1,),))</f>
        <v/>
      </c>
      <c r="D1450">
        <f>IFERROR(Table73[[#This Row],[United States 10y]]-Table73[[#This Row],[United States 2y]],#N/A)</f>
        <v/>
      </c>
    </row>
    <row r="1451">
      <c r="A1451" s="6">
        <f>Database!A1450</f>
        <v/>
      </c>
      <c r="B1451">
        <f>IF(VLOOKUP(Table73[[#This Row],[Date]],Database!$A:$E,MATCH($B$1,Database!$A$1:$E$1,),)=0,#N/A,VLOOKUP(Table73[[#This Row],[Date]],Database!$A:$E,MATCH($B$1,Database!$A$1:$E$1,),))</f>
        <v/>
      </c>
      <c r="C1451">
        <f>IF(VLOOKUP(Table73[[#This Row],[Date]],Database!$A:$C,MATCH($C$1,Database!$A$1:$C$1,),)=0,#N/A,VLOOKUP(Table73[[#This Row],[Date]],Database!$A:$C,MATCH($C$1,Database!$A$1:$C$1,),))</f>
        <v/>
      </c>
      <c r="D1451">
        <f>IFERROR(Table73[[#This Row],[United States 10y]]-Table73[[#This Row],[United States 2y]],#N/A)</f>
        <v/>
      </c>
    </row>
    <row r="1452">
      <c r="A1452" s="6">
        <f>Database!A1451</f>
        <v/>
      </c>
      <c r="B1452">
        <f>IF(VLOOKUP(Table73[[#This Row],[Date]],Database!$A:$E,MATCH($B$1,Database!$A$1:$E$1,),)=0,#N/A,VLOOKUP(Table73[[#This Row],[Date]],Database!$A:$E,MATCH($B$1,Database!$A$1:$E$1,),))</f>
        <v/>
      </c>
      <c r="C1452">
        <f>IF(VLOOKUP(Table73[[#This Row],[Date]],Database!$A:$C,MATCH($C$1,Database!$A$1:$C$1,),)=0,#N/A,VLOOKUP(Table73[[#This Row],[Date]],Database!$A:$C,MATCH($C$1,Database!$A$1:$C$1,),))</f>
        <v/>
      </c>
      <c r="D1452">
        <f>IFERROR(Table73[[#This Row],[United States 10y]]-Table73[[#This Row],[United States 2y]],#N/A)</f>
        <v/>
      </c>
    </row>
    <row r="1453">
      <c r="A1453" s="6">
        <f>Database!A1452</f>
        <v/>
      </c>
      <c r="B1453">
        <f>IF(VLOOKUP(Table73[[#This Row],[Date]],Database!$A:$E,MATCH($B$1,Database!$A$1:$E$1,),)=0,#N/A,VLOOKUP(Table73[[#This Row],[Date]],Database!$A:$E,MATCH($B$1,Database!$A$1:$E$1,),))</f>
        <v/>
      </c>
      <c r="C1453">
        <f>IF(VLOOKUP(Table73[[#This Row],[Date]],Database!$A:$C,MATCH($C$1,Database!$A$1:$C$1,),)=0,#N/A,VLOOKUP(Table73[[#This Row],[Date]],Database!$A:$C,MATCH($C$1,Database!$A$1:$C$1,),))</f>
        <v/>
      </c>
      <c r="D1453">
        <f>IFERROR(Table73[[#This Row],[United States 10y]]-Table73[[#This Row],[United States 2y]],#N/A)</f>
        <v/>
      </c>
    </row>
    <row r="1454">
      <c r="A1454" s="6">
        <f>Database!A1453</f>
        <v/>
      </c>
      <c r="B1454">
        <f>IF(VLOOKUP(Table73[[#This Row],[Date]],Database!$A:$E,MATCH($B$1,Database!$A$1:$E$1,),)=0,#N/A,VLOOKUP(Table73[[#This Row],[Date]],Database!$A:$E,MATCH($B$1,Database!$A$1:$E$1,),))</f>
        <v/>
      </c>
      <c r="C1454">
        <f>IF(VLOOKUP(Table73[[#This Row],[Date]],Database!$A:$C,MATCH($C$1,Database!$A$1:$C$1,),)=0,#N/A,VLOOKUP(Table73[[#This Row],[Date]],Database!$A:$C,MATCH($C$1,Database!$A$1:$C$1,),))</f>
        <v/>
      </c>
      <c r="D1454">
        <f>IFERROR(Table73[[#This Row],[United States 10y]]-Table73[[#This Row],[United States 2y]],#N/A)</f>
        <v/>
      </c>
    </row>
    <row r="1455">
      <c r="A1455" s="6">
        <f>Database!A1454</f>
        <v/>
      </c>
      <c r="B1455">
        <f>IF(VLOOKUP(Table73[[#This Row],[Date]],Database!$A:$E,MATCH($B$1,Database!$A$1:$E$1,),)=0,#N/A,VLOOKUP(Table73[[#This Row],[Date]],Database!$A:$E,MATCH($B$1,Database!$A$1:$E$1,),))</f>
        <v/>
      </c>
      <c r="C1455">
        <f>IF(VLOOKUP(Table73[[#This Row],[Date]],Database!$A:$C,MATCH($C$1,Database!$A$1:$C$1,),)=0,#N/A,VLOOKUP(Table73[[#This Row],[Date]],Database!$A:$C,MATCH($C$1,Database!$A$1:$C$1,),))</f>
        <v/>
      </c>
      <c r="D1455">
        <f>IFERROR(Table73[[#This Row],[United States 10y]]-Table73[[#This Row],[United States 2y]],#N/A)</f>
        <v/>
      </c>
    </row>
    <row r="1456">
      <c r="A1456" s="6">
        <f>Database!A1455</f>
        <v/>
      </c>
      <c r="B1456">
        <f>IF(VLOOKUP(Table73[[#This Row],[Date]],Database!$A:$E,MATCH($B$1,Database!$A$1:$E$1,),)=0,#N/A,VLOOKUP(Table73[[#This Row],[Date]],Database!$A:$E,MATCH($B$1,Database!$A$1:$E$1,),))</f>
        <v/>
      </c>
      <c r="C1456">
        <f>IF(VLOOKUP(Table73[[#This Row],[Date]],Database!$A:$C,MATCH($C$1,Database!$A$1:$C$1,),)=0,#N/A,VLOOKUP(Table73[[#This Row],[Date]],Database!$A:$C,MATCH($C$1,Database!$A$1:$C$1,),))</f>
        <v/>
      </c>
      <c r="D1456">
        <f>IFERROR(Table73[[#This Row],[United States 10y]]-Table73[[#This Row],[United States 2y]],#N/A)</f>
        <v/>
      </c>
    </row>
    <row r="1457">
      <c r="A1457" s="6">
        <f>Database!A1456</f>
        <v/>
      </c>
      <c r="B1457">
        <f>IF(VLOOKUP(Table73[[#This Row],[Date]],Database!$A:$E,MATCH($B$1,Database!$A$1:$E$1,),)=0,#N/A,VLOOKUP(Table73[[#This Row],[Date]],Database!$A:$E,MATCH($B$1,Database!$A$1:$E$1,),))</f>
        <v/>
      </c>
      <c r="C1457">
        <f>IF(VLOOKUP(Table73[[#This Row],[Date]],Database!$A:$C,MATCH($C$1,Database!$A$1:$C$1,),)=0,#N/A,VLOOKUP(Table73[[#This Row],[Date]],Database!$A:$C,MATCH($C$1,Database!$A$1:$C$1,),))</f>
        <v/>
      </c>
      <c r="D1457">
        <f>IFERROR(Table73[[#This Row],[United States 10y]]-Table73[[#This Row],[United States 2y]],#N/A)</f>
        <v/>
      </c>
    </row>
    <row r="1458">
      <c r="A1458" s="6">
        <f>Database!A1457</f>
        <v/>
      </c>
      <c r="B1458">
        <f>IF(VLOOKUP(Table73[[#This Row],[Date]],Database!$A:$E,MATCH($B$1,Database!$A$1:$E$1,),)=0,#N/A,VLOOKUP(Table73[[#This Row],[Date]],Database!$A:$E,MATCH($B$1,Database!$A$1:$E$1,),))</f>
        <v/>
      </c>
      <c r="C1458">
        <f>IF(VLOOKUP(Table73[[#This Row],[Date]],Database!$A:$C,MATCH($C$1,Database!$A$1:$C$1,),)=0,#N/A,VLOOKUP(Table73[[#This Row],[Date]],Database!$A:$C,MATCH($C$1,Database!$A$1:$C$1,),))</f>
        <v/>
      </c>
      <c r="D1458">
        <f>IFERROR(Table73[[#This Row],[United States 10y]]-Table73[[#This Row],[United States 2y]],#N/A)</f>
        <v/>
      </c>
    </row>
    <row r="1459">
      <c r="A1459" s="6">
        <f>Database!A1458</f>
        <v/>
      </c>
      <c r="B1459">
        <f>IF(VLOOKUP(Table73[[#This Row],[Date]],Database!$A:$E,MATCH($B$1,Database!$A$1:$E$1,),)=0,#N/A,VLOOKUP(Table73[[#This Row],[Date]],Database!$A:$E,MATCH($B$1,Database!$A$1:$E$1,),))</f>
        <v/>
      </c>
      <c r="C1459">
        <f>IF(VLOOKUP(Table73[[#This Row],[Date]],Database!$A:$C,MATCH($C$1,Database!$A$1:$C$1,),)=0,#N/A,VLOOKUP(Table73[[#This Row],[Date]],Database!$A:$C,MATCH($C$1,Database!$A$1:$C$1,),))</f>
        <v/>
      </c>
      <c r="D1459">
        <f>IFERROR(Table73[[#This Row],[United States 10y]]-Table73[[#This Row],[United States 2y]],#N/A)</f>
        <v/>
      </c>
    </row>
    <row r="1460">
      <c r="A1460" s="6">
        <f>Database!A1459</f>
        <v/>
      </c>
      <c r="B1460">
        <f>IF(VLOOKUP(Table73[[#This Row],[Date]],Database!$A:$E,MATCH($B$1,Database!$A$1:$E$1,),)=0,#N/A,VLOOKUP(Table73[[#This Row],[Date]],Database!$A:$E,MATCH($B$1,Database!$A$1:$E$1,),))</f>
        <v/>
      </c>
      <c r="C1460">
        <f>IF(VLOOKUP(Table73[[#This Row],[Date]],Database!$A:$C,MATCH($C$1,Database!$A$1:$C$1,),)=0,#N/A,VLOOKUP(Table73[[#This Row],[Date]],Database!$A:$C,MATCH($C$1,Database!$A$1:$C$1,),))</f>
        <v/>
      </c>
      <c r="D1460">
        <f>IFERROR(Table73[[#This Row],[United States 10y]]-Table73[[#This Row],[United States 2y]],#N/A)</f>
        <v/>
      </c>
    </row>
    <row r="1461">
      <c r="A1461" s="6">
        <f>Database!A1460</f>
        <v/>
      </c>
      <c r="B1461">
        <f>IF(VLOOKUP(Table73[[#This Row],[Date]],Database!$A:$E,MATCH($B$1,Database!$A$1:$E$1,),)=0,#N/A,VLOOKUP(Table73[[#This Row],[Date]],Database!$A:$E,MATCH($B$1,Database!$A$1:$E$1,),))</f>
        <v/>
      </c>
      <c r="C1461">
        <f>IF(VLOOKUP(Table73[[#This Row],[Date]],Database!$A:$C,MATCH($C$1,Database!$A$1:$C$1,),)=0,#N/A,VLOOKUP(Table73[[#This Row],[Date]],Database!$A:$C,MATCH($C$1,Database!$A$1:$C$1,),))</f>
        <v/>
      </c>
      <c r="D1461">
        <f>IFERROR(Table73[[#This Row],[United States 10y]]-Table73[[#This Row],[United States 2y]],#N/A)</f>
        <v/>
      </c>
    </row>
    <row r="1462">
      <c r="A1462" s="6">
        <f>Database!A1461</f>
        <v/>
      </c>
      <c r="B1462">
        <f>IF(VLOOKUP(Table73[[#This Row],[Date]],Database!$A:$E,MATCH($B$1,Database!$A$1:$E$1,),)=0,#N/A,VLOOKUP(Table73[[#This Row],[Date]],Database!$A:$E,MATCH($B$1,Database!$A$1:$E$1,),))</f>
        <v/>
      </c>
      <c r="C1462">
        <f>IF(VLOOKUP(Table73[[#This Row],[Date]],Database!$A:$C,MATCH($C$1,Database!$A$1:$C$1,),)=0,#N/A,VLOOKUP(Table73[[#This Row],[Date]],Database!$A:$C,MATCH($C$1,Database!$A$1:$C$1,),))</f>
        <v/>
      </c>
      <c r="D1462">
        <f>IFERROR(Table73[[#This Row],[United States 10y]]-Table73[[#This Row],[United States 2y]],#N/A)</f>
        <v/>
      </c>
    </row>
    <row r="1463">
      <c r="A1463" s="6">
        <f>Database!A1462</f>
        <v/>
      </c>
      <c r="B1463">
        <f>IF(VLOOKUP(Table73[[#This Row],[Date]],Database!$A:$E,MATCH($B$1,Database!$A$1:$E$1,),)=0,#N/A,VLOOKUP(Table73[[#This Row],[Date]],Database!$A:$E,MATCH($B$1,Database!$A$1:$E$1,),))</f>
        <v/>
      </c>
      <c r="C1463">
        <f>IF(VLOOKUP(Table73[[#This Row],[Date]],Database!$A:$C,MATCH($C$1,Database!$A$1:$C$1,),)=0,#N/A,VLOOKUP(Table73[[#This Row],[Date]],Database!$A:$C,MATCH($C$1,Database!$A$1:$C$1,),))</f>
        <v/>
      </c>
      <c r="D1463">
        <f>IFERROR(Table73[[#This Row],[United States 10y]]-Table73[[#This Row],[United States 2y]],#N/A)</f>
        <v/>
      </c>
    </row>
    <row r="1464">
      <c r="A1464" s="6">
        <f>Database!A1463</f>
        <v/>
      </c>
      <c r="B1464">
        <f>IF(VLOOKUP(Table73[[#This Row],[Date]],Database!$A:$E,MATCH($B$1,Database!$A$1:$E$1,),)=0,#N/A,VLOOKUP(Table73[[#This Row],[Date]],Database!$A:$E,MATCH($B$1,Database!$A$1:$E$1,),))</f>
        <v/>
      </c>
      <c r="C1464">
        <f>IF(VLOOKUP(Table73[[#This Row],[Date]],Database!$A:$C,MATCH($C$1,Database!$A$1:$C$1,),)=0,#N/A,VLOOKUP(Table73[[#This Row],[Date]],Database!$A:$C,MATCH($C$1,Database!$A$1:$C$1,),))</f>
        <v/>
      </c>
      <c r="D1464">
        <f>IFERROR(Table73[[#This Row],[United States 10y]]-Table73[[#This Row],[United States 2y]],#N/A)</f>
        <v/>
      </c>
    </row>
    <row r="1465">
      <c r="A1465" s="6">
        <f>Database!A1464</f>
        <v/>
      </c>
      <c r="B1465">
        <f>IF(VLOOKUP(Table73[[#This Row],[Date]],Database!$A:$E,MATCH($B$1,Database!$A$1:$E$1,),)=0,#N/A,VLOOKUP(Table73[[#This Row],[Date]],Database!$A:$E,MATCH($B$1,Database!$A$1:$E$1,),))</f>
        <v/>
      </c>
      <c r="C1465">
        <f>IF(VLOOKUP(Table73[[#This Row],[Date]],Database!$A:$C,MATCH($C$1,Database!$A$1:$C$1,),)=0,#N/A,VLOOKUP(Table73[[#This Row],[Date]],Database!$A:$C,MATCH($C$1,Database!$A$1:$C$1,),))</f>
        <v/>
      </c>
      <c r="D1465">
        <f>IFERROR(Table73[[#This Row],[United States 10y]]-Table73[[#This Row],[United States 2y]],#N/A)</f>
        <v/>
      </c>
    </row>
    <row r="1466">
      <c r="A1466" s="6">
        <f>Database!A1465</f>
        <v/>
      </c>
      <c r="B1466">
        <f>IF(VLOOKUP(Table73[[#This Row],[Date]],Database!$A:$E,MATCH($B$1,Database!$A$1:$E$1,),)=0,#N/A,VLOOKUP(Table73[[#This Row],[Date]],Database!$A:$E,MATCH($B$1,Database!$A$1:$E$1,),))</f>
        <v/>
      </c>
      <c r="C1466">
        <f>IF(VLOOKUP(Table73[[#This Row],[Date]],Database!$A:$C,MATCH($C$1,Database!$A$1:$C$1,),)=0,#N/A,VLOOKUP(Table73[[#This Row],[Date]],Database!$A:$C,MATCH($C$1,Database!$A$1:$C$1,),))</f>
        <v/>
      </c>
      <c r="D1466">
        <f>IFERROR(Table73[[#This Row],[United States 10y]]-Table73[[#This Row],[United States 2y]],#N/A)</f>
        <v/>
      </c>
    </row>
    <row r="1467">
      <c r="A1467" s="6">
        <f>Database!A1466</f>
        <v/>
      </c>
      <c r="B1467">
        <f>IF(VLOOKUP(Table73[[#This Row],[Date]],Database!$A:$E,MATCH($B$1,Database!$A$1:$E$1,),)=0,#N/A,VLOOKUP(Table73[[#This Row],[Date]],Database!$A:$E,MATCH($B$1,Database!$A$1:$E$1,),))</f>
        <v/>
      </c>
      <c r="C1467">
        <f>IF(VLOOKUP(Table73[[#This Row],[Date]],Database!$A:$C,MATCH($C$1,Database!$A$1:$C$1,),)=0,#N/A,VLOOKUP(Table73[[#This Row],[Date]],Database!$A:$C,MATCH($C$1,Database!$A$1:$C$1,),))</f>
        <v/>
      </c>
      <c r="D1467">
        <f>IFERROR(Table73[[#This Row],[United States 10y]]-Table73[[#This Row],[United States 2y]],#N/A)</f>
        <v/>
      </c>
    </row>
    <row r="1468">
      <c r="A1468" s="6">
        <f>Database!A1467</f>
        <v/>
      </c>
      <c r="B1468">
        <f>IF(VLOOKUP(Table73[[#This Row],[Date]],Database!$A:$E,MATCH($B$1,Database!$A$1:$E$1,),)=0,#N/A,VLOOKUP(Table73[[#This Row],[Date]],Database!$A:$E,MATCH($B$1,Database!$A$1:$E$1,),))</f>
        <v/>
      </c>
      <c r="C1468">
        <f>IF(VLOOKUP(Table73[[#This Row],[Date]],Database!$A:$C,MATCH($C$1,Database!$A$1:$C$1,),)=0,#N/A,VLOOKUP(Table73[[#This Row],[Date]],Database!$A:$C,MATCH($C$1,Database!$A$1:$C$1,),))</f>
        <v/>
      </c>
      <c r="D1468">
        <f>IFERROR(Table73[[#This Row],[United States 10y]]-Table73[[#This Row],[United States 2y]],#N/A)</f>
        <v/>
      </c>
    </row>
    <row r="1469">
      <c r="A1469" s="6">
        <f>Database!A1468</f>
        <v/>
      </c>
      <c r="B1469">
        <f>IF(VLOOKUP(Table73[[#This Row],[Date]],Database!$A:$E,MATCH($B$1,Database!$A$1:$E$1,),)=0,#N/A,VLOOKUP(Table73[[#This Row],[Date]],Database!$A:$E,MATCH($B$1,Database!$A$1:$E$1,),))</f>
        <v/>
      </c>
      <c r="C1469">
        <f>IF(VLOOKUP(Table73[[#This Row],[Date]],Database!$A:$C,MATCH($C$1,Database!$A$1:$C$1,),)=0,#N/A,VLOOKUP(Table73[[#This Row],[Date]],Database!$A:$C,MATCH($C$1,Database!$A$1:$C$1,),))</f>
        <v/>
      </c>
      <c r="D1469">
        <f>IFERROR(Table73[[#This Row],[United States 10y]]-Table73[[#This Row],[United States 2y]],#N/A)</f>
        <v/>
      </c>
    </row>
    <row r="1470">
      <c r="A1470" s="6">
        <f>Database!A1469</f>
        <v/>
      </c>
      <c r="B1470">
        <f>IF(VLOOKUP(Table73[[#This Row],[Date]],Database!$A:$E,MATCH($B$1,Database!$A$1:$E$1,),)=0,#N/A,VLOOKUP(Table73[[#This Row],[Date]],Database!$A:$E,MATCH($B$1,Database!$A$1:$E$1,),))</f>
        <v/>
      </c>
      <c r="C1470">
        <f>IF(VLOOKUP(Table73[[#This Row],[Date]],Database!$A:$C,MATCH($C$1,Database!$A$1:$C$1,),)=0,#N/A,VLOOKUP(Table73[[#This Row],[Date]],Database!$A:$C,MATCH($C$1,Database!$A$1:$C$1,),))</f>
        <v/>
      </c>
      <c r="D1470">
        <f>IFERROR(Table73[[#This Row],[United States 10y]]-Table73[[#This Row],[United States 2y]],#N/A)</f>
        <v/>
      </c>
    </row>
    <row r="1471">
      <c r="A1471" s="6">
        <f>Database!A1470</f>
        <v/>
      </c>
      <c r="B1471">
        <f>IF(VLOOKUP(Table73[[#This Row],[Date]],Database!$A:$E,MATCH($B$1,Database!$A$1:$E$1,),)=0,#N/A,VLOOKUP(Table73[[#This Row],[Date]],Database!$A:$E,MATCH($B$1,Database!$A$1:$E$1,),))</f>
        <v/>
      </c>
      <c r="C1471">
        <f>IF(VLOOKUP(Table73[[#This Row],[Date]],Database!$A:$C,MATCH($C$1,Database!$A$1:$C$1,),)=0,#N/A,VLOOKUP(Table73[[#This Row],[Date]],Database!$A:$C,MATCH($C$1,Database!$A$1:$C$1,),))</f>
        <v/>
      </c>
      <c r="D1471">
        <f>IFERROR(Table73[[#This Row],[United States 10y]]-Table73[[#This Row],[United States 2y]],#N/A)</f>
        <v/>
      </c>
    </row>
    <row r="1472">
      <c r="A1472" s="6">
        <f>Database!A1471</f>
        <v/>
      </c>
      <c r="B1472">
        <f>IF(VLOOKUP(Table73[[#This Row],[Date]],Database!$A:$E,MATCH($B$1,Database!$A$1:$E$1,),)=0,#N/A,VLOOKUP(Table73[[#This Row],[Date]],Database!$A:$E,MATCH($B$1,Database!$A$1:$E$1,),))</f>
        <v/>
      </c>
      <c r="C1472">
        <f>IF(VLOOKUP(Table73[[#This Row],[Date]],Database!$A:$C,MATCH($C$1,Database!$A$1:$C$1,),)=0,#N/A,VLOOKUP(Table73[[#This Row],[Date]],Database!$A:$C,MATCH($C$1,Database!$A$1:$C$1,),))</f>
        <v/>
      </c>
      <c r="D1472">
        <f>IFERROR(Table73[[#This Row],[United States 10y]]-Table73[[#This Row],[United States 2y]],#N/A)</f>
        <v/>
      </c>
    </row>
    <row r="1473">
      <c r="A1473" s="6">
        <f>Database!A1472</f>
        <v/>
      </c>
      <c r="B1473">
        <f>IF(VLOOKUP(Table73[[#This Row],[Date]],Database!$A:$E,MATCH($B$1,Database!$A$1:$E$1,),)=0,#N/A,VLOOKUP(Table73[[#This Row],[Date]],Database!$A:$E,MATCH($B$1,Database!$A$1:$E$1,),))</f>
        <v/>
      </c>
      <c r="C1473">
        <f>IF(VLOOKUP(Table73[[#This Row],[Date]],Database!$A:$C,MATCH($C$1,Database!$A$1:$C$1,),)=0,#N/A,VLOOKUP(Table73[[#This Row],[Date]],Database!$A:$C,MATCH($C$1,Database!$A$1:$C$1,),))</f>
        <v/>
      </c>
      <c r="D1473">
        <f>IFERROR(Table73[[#This Row],[United States 10y]]-Table73[[#This Row],[United States 2y]],#N/A)</f>
        <v/>
      </c>
    </row>
    <row r="1474">
      <c r="A1474" s="6">
        <f>Database!A1473</f>
        <v/>
      </c>
      <c r="B1474">
        <f>IF(VLOOKUP(Table73[[#This Row],[Date]],Database!$A:$E,MATCH($B$1,Database!$A$1:$E$1,),)=0,#N/A,VLOOKUP(Table73[[#This Row],[Date]],Database!$A:$E,MATCH($B$1,Database!$A$1:$E$1,),))</f>
        <v/>
      </c>
      <c r="C1474">
        <f>IF(VLOOKUP(Table73[[#This Row],[Date]],Database!$A:$C,MATCH($C$1,Database!$A$1:$C$1,),)=0,#N/A,VLOOKUP(Table73[[#This Row],[Date]],Database!$A:$C,MATCH($C$1,Database!$A$1:$C$1,),))</f>
        <v/>
      </c>
      <c r="D1474">
        <f>IFERROR(Table73[[#This Row],[United States 10y]]-Table73[[#This Row],[United States 2y]],#N/A)</f>
        <v/>
      </c>
    </row>
    <row r="1475">
      <c r="A1475" s="6">
        <f>Database!A1474</f>
        <v/>
      </c>
      <c r="B1475">
        <f>IF(VLOOKUP(Table73[[#This Row],[Date]],Database!$A:$E,MATCH($B$1,Database!$A$1:$E$1,),)=0,#N/A,VLOOKUP(Table73[[#This Row],[Date]],Database!$A:$E,MATCH($B$1,Database!$A$1:$E$1,),))</f>
        <v/>
      </c>
      <c r="C1475">
        <f>IF(VLOOKUP(Table73[[#This Row],[Date]],Database!$A:$C,MATCH($C$1,Database!$A$1:$C$1,),)=0,#N/A,VLOOKUP(Table73[[#This Row],[Date]],Database!$A:$C,MATCH($C$1,Database!$A$1:$C$1,),))</f>
        <v/>
      </c>
      <c r="D1475">
        <f>IFERROR(Table73[[#This Row],[United States 10y]]-Table73[[#This Row],[United States 2y]],#N/A)</f>
        <v/>
      </c>
    </row>
    <row r="1476">
      <c r="A1476" s="6">
        <f>Database!A1475</f>
        <v/>
      </c>
      <c r="B1476">
        <f>IF(VLOOKUP(Table73[[#This Row],[Date]],Database!$A:$E,MATCH($B$1,Database!$A$1:$E$1,),)=0,#N/A,VLOOKUP(Table73[[#This Row],[Date]],Database!$A:$E,MATCH($B$1,Database!$A$1:$E$1,),))</f>
        <v/>
      </c>
      <c r="C1476">
        <f>IF(VLOOKUP(Table73[[#This Row],[Date]],Database!$A:$C,MATCH($C$1,Database!$A$1:$C$1,),)=0,#N/A,VLOOKUP(Table73[[#This Row],[Date]],Database!$A:$C,MATCH($C$1,Database!$A$1:$C$1,),))</f>
        <v/>
      </c>
      <c r="D1476">
        <f>IFERROR(Table73[[#This Row],[United States 10y]]-Table73[[#This Row],[United States 2y]],#N/A)</f>
        <v/>
      </c>
    </row>
    <row r="1477">
      <c r="A1477" s="6">
        <f>Database!A1476</f>
        <v/>
      </c>
      <c r="B1477">
        <f>IF(VLOOKUP(Table73[[#This Row],[Date]],Database!$A:$E,MATCH($B$1,Database!$A$1:$E$1,),)=0,#N/A,VLOOKUP(Table73[[#This Row],[Date]],Database!$A:$E,MATCH($B$1,Database!$A$1:$E$1,),))</f>
        <v/>
      </c>
      <c r="C1477">
        <f>IF(VLOOKUP(Table73[[#This Row],[Date]],Database!$A:$C,MATCH($C$1,Database!$A$1:$C$1,),)=0,#N/A,VLOOKUP(Table73[[#This Row],[Date]],Database!$A:$C,MATCH($C$1,Database!$A$1:$C$1,),))</f>
        <v/>
      </c>
      <c r="D1477">
        <f>IFERROR(Table73[[#This Row],[United States 10y]]-Table73[[#This Row],[United States 2y]],#N/A)</f>
        <v/>
      </c>
    </row>
    <row r="1478">
      <c r="A1478" s="6">
        <f>Database!A1477</f>
        <v/>
      </c>
      <c r="B1478">
        <f>IF(VLOOKUP(Table73[[#This Row],[Date]],Database!$A:$E,MATCH($B$1,Database!$A$1:$E$1,),)=0,#N/A,VLOOKUP(Table73[[#This Row],[Date]],Database!$A:$E,MATCH($B$1,Database!$A$1:$E$1,),))</f>
        <v/>
      </c>
      <c r="C1478">
        <f>IF(VLOOKUP(Table73[[#This Row],[Date]],Database!$A:$C,MATCH($C$1,Database!$A$1:$C$1,),)=0,#N/A,VLOOKUP(Table73[[#This Row],[Date]],Database!$A:$C,MATCH($C$1,Database!$A$1:$C$1,),))</f>
        <v/>
      </c>
      <c r="D1478">
        <f>IFERROR(Table73[[#This Row],[United States 10y]]-Table73[[#This Row],[United States 2y]],#N/A)</f>
        <v/>
      </c>
    </row>
    <row r="1479">
      <c r="A1479" s="6">
        <f>Database!A1478</f>
        <v/>
      </c>
      <c r="B1479">
        <f>IF(VLOOKUP(Table73[[#This Row],[Date]],Database!$A:$E,MATCH($B$1,Database!$A$1:$E$1,),)=0,#N/A,VLOOKUP(Table73[[#This Row],[Date]],Database!$A:$E,MATCH($B$1,Database!$A$1:$E$1,),))</f>
        <v/>
      </c>
      <c r="C1479">
        <f>IF(VLOOKUP(Table73[[#This Row],[Date]],Database!$A:$C,MATCH($C$1,Database!$A$1:$C$1,),)=0,#N/A,VLOOKUP(Table73[[#This Row],[Date]],Database!$A:$C,MATCH($C$1,Database!$A$1:$C$1,),))</f>
        <v/>
      </c>
      <c r="D1479">
        <f>IFERROR(Table73[[#This Row],[United States 10y]]-Table73[[#This Row],[United States 2y]],#N/A)</f>
        <v/>
      </c>
    </row>
    <row r="1480">
      <c r="A1480" s="6">
        <f>Database!A1479</f>
        <v/>
      </c>
      <c r="B1480">
        <f>IF(VLOOKUP(Table73[[#This Row],[Date]],Database!$A:$E,MATCH($B$1,Database!$A$1:$E$1,),)=0,#N/A,VLOOKUP(Table73[[#This Row],[Date]],Database!$A:$E,MATCH($B$1,Database!$A$1:$E$1,),))</f>
        <v/>
      </c>
      <c r="C1480">
        <f>IF(VLOOKUP(Table73[[#This Row],[Date]],Database!$A:$C,MATCH($C$1,Database!$A$1:$C$1,),)=0,#N/A,VLOOKUP(Table73[[#This Row],[Date]],Database!$A:$C,MATCH($C$1,Database!$A$1:$C$1,),))</f>
        <v/>
      </c>
      <c r="D1480">
        <f>IFERROR(Table73[[#This Row],[United States 10y]]-Table73[[#This Row],[United States 2y]],#N/A)</f>
        <v/>
      </c>
    </row>
    <row r="1481">
      <c r="A1481" s="6">
        <f>Database!A1480</f>
        <v/>
      </c>
      <c r="B1481">
        <f>IF(VLOOKUP(Table73[[#This Row],[Date]],Database!$A:$E,MATCH($B$1,Database!$A$1:$E$1,),)=0,#N/A,VLOOKUP(Table73[[#This Row],[Date]],Database!$A:$E,MATCH($B$1,Database!$A$1:$E$1,),))</f>
        <v/>
      </c>
      <c r="C1481">
        <f>IF(VLOOKUP(Table73[[#This Row],[Date]],Database!$A:$C,MATCH($C$1,Database!$A$1:$C$1,),)=0,#N/A,VLOOKUP(Table73[[#This Row],[Date]],Database!$A:$C,MATCH($C$1,Database!$A$1:$C$1,),))</f>
        <v/>
      </c>
      <c r="D1481">
        <f>IFERROR(Table73[[#This Row],[United States 10y]]-Table73[[#This Row],[United States 2y]],#N/A)</f>
        <v/>
      </c>
    </row>
    <row r="1482">
      <c r="A1482" s="6">
        <f>Database!A1481</f>
        <v/>
      </c>
      <c r="B1482">
        <f>IF(VLOOKUP(Table73[[#This Row],[Date]],Database!$A:$E,MATCH($B$1,Database!$A$1:$E$1,),)=0,#N/A,VLOOKUP(Table73[[#This Row],[Date]],Database!$A:$E,MATCH($B$1,Database!$A$1:$E$1,),))</f>
        <v/>
      </c>
      <c r="C1482">
        <f>IF(VLOOKUP(Table73[[#This Row],[Date]],Database!$A:$C,MATCH($C$1,Database!$A$1:$C$1,),)=0,#N/A,VLOOKUP(Table73[[#This Row],[Date]],Database!$A:$C,MATCH($C$1,Database!$A$1:$C$1,),))</f>
        <v/>
      </c>
      <c r="D1482">
        <f>IFERROR(Table73[[#This Row],[United States 10y]]-Table73[[#This Row],[United States 2y]],#N/A)</f>
        <v/>
      </c>
    </row>
    <row r="1483">
      <c r="A1483" s="6">
        <f>Database!A1482</f>
        <v/>
      </c>
      <c r="B1483">
        <f>IF(VLOOKUP(Table73[[#This Row],[Date]],Database!$A:$E,MATCH($B$1,Database!$A$1:$E$1,),)=0,#N/A,VLOOKUP(Table73[[#This Row],[Date]],Database!$A:$E,MATCH($B$1,Database!$A$1:$E$1,),))</f>
        <v/>
      </c>
      <c r="C1483">
        <f>IF(VLOOKUP(Table73[[#This Row],[Date]],Database!$A:$C,MATCH($C$1,Database!$A$1:$C$1,),)=0,#N/A,VLOOKUP(Table73[[#This Row],[Date]],Database!$A:$C,MATCH($C$1,Database!$A$1:$C$1,),))</f>
        <v/>
      </c>
      <c r="D1483">
        <f>IFERROR(Table73[[#This Row],[United States 10y]]-Table73[[#This Row],[United States 2y]],#N/A)</f>
        <v/>
      </c>
    </row>
    <row r="1484">
      <c r="A1484" s="6">
        <f>Database!A1483</f>
        <v/>
      </c>
      <c r="B1484">
        <f>IF(VLOOKUP(Table73[[#This Row],[Date]],Database!$A:$E,MATCH($B$1,Database!$A$1:$E$1,),)=0,#N/A,VLOOKUP(Table73[[#This Row],[Date]],Database!$A:$E,MATCH($B$1,Database!$A$1:$E$1,),))</f>
        <v/>
      </c>
      <c r="C1484">
        <f>IF(VLOOKUP(Table73[[#This Row],[Date]],Database!$A:$C,MATCH($C$1,Database!$A$1:$C$1,),)=0,#N/A,VLOOKUP(Table73[[#This Row],[Date]],Database!$A:$C,MATCH($C$1,Database!$A$1:$C$1,),))</f>
        <v/>
      </c>
      <c r="D1484">
        <f>IFERROR(Table73[[#This Row],[United States 10y]]-Table73[[#This Row],[United States 2y]],#N/A)</f>
        <v/>
      </c>
    </row>
    <row r="1485">
      <c r="A1485" s="6">
        <f>Database!A1484</f>
        <v/>
      </c>
      <c r="B1485">
        <f>IF(VLOOKUP(Table73[[#This Row],[Date]],Database!$A:$E,MATCH($B$1,Database!$A$1:$E$1,),)=0,#N/A,VLOOKUP(Table73[[#This Row],[Date]],Database!$A:$E,MATCH($B$1,Database!$A$1:$E$1,),))</f>
        <v/>
      </c>
      <c r="C1485">
        <f>IF(VLOOKUP(Table73[[#This Row],[Date]],Database!$A:$C,MATCH($C$1,Database!$A$1:$C$1,),)=0,#N/A,VLOOKUP(Table73[[#This Row],[Date]],Database!$A:$C,MATCH($C$1,Database!$A$1:$C$1,),))</f>
        <v/>
      </c>
      <c r="D1485">
        <f>IFERROR(Table73[[#This Row],[United States 10y]]-Table73[[#This Row],[United States 2y]],#N/A)</f>
        <v/>
      </c>
    </row>
    <row r="1486">
      <c r="A1486" s="6">
        <f>Database!A1485</f>
        <v/>
      </c>
      <c r="B1486">
        <f>IF(VLOOKUP(Table73[[#This Row],[Date]],Database!$A:$E,MATCH($B$1,Database!$A$1:$E$1,),)=0,#N/A,VLOOKUP(Table73[[#This Row],[Date]],Database!$A:$E,MATCH($B$1,Database!$A$1:$E$1,),))</f>
        <v/>
      </c>
      <c r="C1486">
        <f>IF(VLOOKUP(Table73[[#This Row],[Date]],Database!$A:$C,MATCH($C$1,Database!$A$1:$C$1,),)=0,#N/A,VLOOKUP(Table73[[#This Row],[Date]],Database!$A:$C,MATCH($C$1,Database!$A$1:$C$1,),))</f>
        <v/>
      </c>
      <c r="D1486">
        <f>IFERROR(Table73[[#This Row],[United States 10y]]-Table73[[#This Row],[United States 2y]],#N/A)</f>
        <v/>
      </c>
    </row>
    <row r="1487">
      <c r="A1487" s="6">
        <f>Database!A1486</f>
        <v/>
      </c>
      <c r="B1487">
        <f>IF(VLOOKUP(Table73[[#This Row],[Date]],Database!$A:$E,MATCH($B$1,Database!$A$1:$E$1,),)=0,#N/A,VLOOKUP(Table73[[#This Row],[Date]],Database!$A:$E,MATCH($B$1,Database!$A$1:$E$1,),))</f>
        <v/>
      </c>
      <c r="C1487">
        <f>IF(VLOOKUP(Table73[[#This Row],[Date]],Database!$A:$C,MATCH($C$1,Database!$A$1:$C$1,),)=0,#N/A,VLOOKUP(Table73[[#This Row],[Date]],Database!$A:$C,MATCH($C$1,Database!$A$1:$C$1,),))</f>
        <v/>
      </c>
      <c r="D1487">
        <f>IFERROR(Table73[[#This Row],[United States 10y]]-Table73[[#This Row],[United States 2y]],#N/A)</f>
        <v/>
      </c>
    </row>
    <row r="1488">
      <c r="A1488" s="6">
        <f>Database!A1487</f>
        <v/>
      </c>
      <c r="B1488">
        <f>IF(VLOOKUP(Table73[[#This Row],[Date]],Database!$A:$E,MATCH($B$1,Database!$A$1:$E$1,),)=0,#N/A,VLOOKUP(Table73[[#This Row],[Date]],Database!$A:$E,MATCH($B$1,Database!$A$1:$E$1,),))</f>
        <v/>
      </c>
      <c r="C1488">
        <f>IF(VLOOKUP(Table73[[#This Row],[Date]],Database!$A:$C,MATCH($C$1,Database!$A$1:$C$1,),)=0,#N/A,VLOOKUP(Table73[[#This Row],[Date]],Database!$A:$C,MATCH($C$1,Database!$A$1:$C$1,),))</f>
        <v/>
      </c>
      <c r="D1488">
        <f>IFERROR(Table73[[#This Row],[United States 10y]]-Table73[[#This Row],[United States 2y]],#N/A)</f>
        <v/>
      </c>
    </row>
    <row r="1489">
      <c r="A1489" s="6">
        <f>Database!A1488</f>
        <v/>
      </c>
      <c r="B1489">
        <f>IF(VLOOKUP(Table73[[#This Row],[Date]],Database!$A:$E,MATCH($B$1,Database!$A$1:$E$1,),)=0,#N/A,VLOOKUP(Table73[[#This Row],[Date]],Database!$A:$E,MATCH($B$1,Database!$A$1:$E$1,),))</f>
        <v/>
      </c>
      <c r="C1489">
        <f>IF(VLOOKUP(Table73[[#This Row],[Date]],Database!$A:$C,MATCH($C$1,Database!$A$1:$C$1,),)=0,#N/A,VLOOKUP(Table73[[#This Row],[Date]],Database!$A:$C,MATCH($C$1,Database!$A$1:$C$1,),))</f>
        <v/>
      </c>
      <c r="D1489">
        <f>IFERROR(Table73[[#This Row],[United States 10y]]-Table73[[#This Row],[United States 2y]],#N/A)</f>
        <v/>
      </c>
    </row>
    <row r="1490">
      <c r="A1490" s="6">
        <f>Database!A1489</f>
        <v/>
      </c>
      <c r="B1490">
        <f>IF(VLOOKUP(Table73[[#This Row],[Date]],Database!$A:$E,MATCH($B$1,Database!$A$1:$E$1,),)=0,#N/A,VLOOKUP(Table73[[#This Row],[Date]],Database!$A:$E,MATCH($B$1,Database!$A$1:$E$1,),))</f>
        <v/>
      </c>
      <c r="C1490">
        <f>IF(VLOOKUP(Table73[[#This Row],[Date]],Database!$A:$C,MATCH($C$1,Database!$A$1:$C$1,),)=0,#N/A,VLOOKUP(Table73[[#This Row],[Date]],Database!$A:$C,MATCH($C$1,Database!$A$1:$C$1,),))</f>
        <v/>
      </c>
      <c r="D1490">
        <f>IFERROR(Table73[[#This Row],[United States 10y]]-Table73[[#This Row],[United States 2y]],#N/A)</f>
        <v/>
      </c>
    </row>
    <row r="1491">
      <c r="A1491" s="6">
        <f>Database!A1490</f>
        <v/>
      </c>
      <c r="B1491">
        <f>IF(VLOOKUP(Table73[[#This Row],[Date]],Database!$A:$E,MATCH($B$1,Database!$A$1:$E$1,),)=0,#N/A,VLOOKUP(Table73[[#This Row],[Date]],Database!$A:$E,MATCH($B$1,Database!$A$1:$E$1,),))</f>
        <v/>
      </c>
      <c r="C1491">
        <f>IF(VLOOKUP(Table73[[#This Row],[Date]],Database!$A:$C,MATCH($C$1,Database!$A$1:$C$1,),)=0,#N/A,VLOOKUP(Table73[[#This Row],[Date]],Database!$A:$C,MATCH($C$1,Database!$A$1:$C$1,),))</f>
        <v/>
      </c>
      <c r="D1491">
        <f>IFERROR(Table73[[#This Row],[United States 10y]]-Table73[[#This Row],[United States 2y]],#N/A)</f>
        <v/>
      </c>
    </row>
    <row r="1492">
      <c r="A1492" s="6">
        <f>Database!A1491</f>
        <v/>
      </c>
      <c r="B1492">
        <f>IF(VLOOKUP(Table73[[#This Row],[Date]],Database!$A:$E,MATCH($B$1,Database!$A$1:$E$1,),)=0,#N/A,VLOOKUP(Table73[[#This Row],[Date]],Database!$A:$E,MATCH($B$1,Database!$A$1:$E$1,),))</f>
        <v/>
      </c>
      <c r="C1492">
        <f>IF(VLOOKUP(Table73[[#This Row],[Date]],Database!$A:$C,MATCH($C$1,Database!$A$1:$C$1,),)=0,#N/A,VLOOKUP(Table73[[#This Row],[Date]],Database!$A:$C,MATCH($C$1,Database!$A$1:$C$1,),))</f>
        <v/>
      </c>
      <c r="D1492">
        <f>IFERROR(Table73[[#This Row],[United States 10y]]-Table73[[#This Row],[United States 2y]],#N/A)</f>
        <v/>
      </c>
    </row>
    <row r="1493">
      <c r="A1493" s="6">
        <f>Database!A1492</f>
        <v/>
      </c>
      <c r="B1493">
        <f>IF(VLOOKUP(Table73[[#This Row],[Date]],Database!$A:$E,MATCH($B$1,Database!$A$1:$E$1,),)=0,#N/A,VLOOKUP(Table73[[#This Row],[Date]],Database!$A:$E,MATCH($B$1,Database!$A$1:$E$1,),))</f>
        <v/>
      </c>
      <c r="C1493">
        <f>IF(VLOOKUP(Table73[[#This Row],[Date]],Database!$A:$C,MATCH($C$1,Database!$A$1:$C$1,),)=0,#N/A,VLOOKUP(Table73[[#This Row],[Date]],Database!$A:$C,MATCH($C$1,Database!$A$1:$C$1,),))</f>
        <v/>
      </c>
      <c r="D1493">
        <f>IFERROR(Table73[[#This Row],[United States 10y]]-Table73[[#This Row],[United States 2y]],#N/A)</f>
        <v/>
      </c>
    </row>
    <row r="1494">
      <c r="A1494" s="6">
        <f>Database!A1493</f>
        <v/>
      </c>
      <c r="B1494">
        <f>IF(VLOOKUP(Table73[[#This Row],[Date]],Database!$A:$E,MATCH($B$1,Database!$A$1:$E$1,),)=0,#N/A,VLOOKUP(Table73[[#This Row],[Date]],Database!$A:$E,MATCH($B$1,Database!$A$1:$E$1,),))</f>
        <v/>
      </c>
      <c r="C1494">
        <f>IF(VLOOKUP(Table73[[#This Row],[Date]],Database!$A:$C,MATCH($C$1,Database!$A$1:$C$1,),)=0,#N/A,VLOOKUP(Table73[[#This Row],[Date]],Database!$A:$C,MATCH($C$1,Database!$A$1:$C$1,),))</f>
        <v/>
      </c>
      <c r="D1494">
        <f>IFERROR(Table73[[#This Row],[United States 10y]]-Table73[[#This Row],[United States 2y]],#N/A)</f>
        <v/>
      </c>
    </row>
    <row r="1495">
      <c r="A1495" s="6">
        <f>Database!A1494</f>
        <v/>
      </c>
      <c r="B1495">
        <f>IF(VLOOKUP(Table73[[#This Row],[Date]],Database!$A:$E,MATCH($B$1,Database!$A$1:$E$1,),)=0,#N/A,VLOOKUP(Table73[[#This Row],[Date]],Database!$A:$E,MATCH($B$1,Database!$A$1:$E$1,),))</f>
        <v/>
      </c>
      <c r="C1495">
        <f>IF(VLOOKUP(Table73[[#This Row],[Date]],Database!$A:$C,MATCH($C$1,Database!$A$1:$C$1,),)=0,#N/A,VLOOKUP(Table73[[#This Row],[Date]],Database!$A:$C,MATCH($C$1,Database!$A$1:$C$1,),))</f>
        <v/>
      </c>
      <c r="D1495">
        <f>IFERROR(Table73[[#This Row],[United States 10y]]-Table73[[#This Row],[United States 2y]],#N/A)</f>
        <v/>
      </c>
    </row>
    <row r="1496">
      <c r="A1496" s="6">
        <f>Database!A1495</f>
        <v/>
      </c>
      <c r="B1496">
        <f>IF(VLOOKUP(Table73[[#This Row],[Date]],Database!$A:$E,MATCH($B$1,Database!$A$1:$E$1,),)=0,#N/A,VLOOKUP(Table73[[#This Row],[Date]],Database!$A:$E,MATCH($B$1,Database!$A$1:$E$1,),))</f>
        <v/>
      </c>
      <c r="C1496">
        <f>IF(VLOOKUP(Table73[[#This Row],[Date]],Database!$A:$C,MATCH($C$1,Database!$A$1:$C$1,),)=0,#N/A,VLOOKUP(Table73[[#This Row],[Date]],Database!$A:$C,MATCH($C$1,Database!$A$1:$C$1,),))</f>
        <v/>
      </c>
      <c r="D1496">
        <f>IFERROR(Table73[[#This Row],[United States 10y]]-Table73[[#This Row],[United States 2y]],#N/A)</f>
        <v/>
      </c>
    </row>
    <row r="1497">
      <c r="A1497" s="6">
        <f>Database!A1496</f>
        <v/>
      </c>
      <c r="B1497">
        <f>IF(VLOOKUP(Table73[[#This Row],[Date]],Database!$A:$E,MATCH($B$1,Database!$A$1:$E$1,),)=0,#N/A,VLOOKUP(Table73[[#This Row],[Date]],Database!$A:$E,MATCH($B$1,Database!$A$1:$E$1,),))</f>
        <v/>
      </c>
      <c r="C1497">
        <f>IF(VLOOKUP(Table73[[#This Row],[Date]],Database!$A:$C,MATCH($C$1,Database!$A$1:$C$1,),)=0,#N/A,VLOOKUP(Table73[[#This Row],[Date]],Database!$A:$C,MATCH($C$1,Database!$A$1:$C$1,),))</f>
        <v/>
      </c>
      <c r="D1497">
        <f>IFERROR(Table73[[#This Row],[United States 10y]]-Table73[[#This Row],[United States 2y]],#N/A)</f>
        <v/>
      </c>
    </row>
    <row r="1498">
      <c r="A1498" s="6">
        <f>Database!A1497</f>
        <v/>
      </c>
      <c r="B1498">
        <f>IF(VLOOKUP(Table73[[#This Row],[Date]],Database!$A:$E,MATCH($B$1,Database!$A$1:$E$1,),)=0,#N/A,VLOOKUP(Table73[[#This Row],[Date]],Database!$A:$E,MATCH($B$1,Database!$A$1:$E$1,),))</f>
        <v/>
      </c>
      <c r="C1498">
        <f>IF(VLOOKUP(Table73[[#This Row],[Date]],Database!$A:$C,MATCH($C$1,Database!$A$1:$C$1,),)=0,#N/A,VLOOKUP(Table73[[#This Row],[Date]],Database!$A:$C,MATCH($C$1,Database!$A$1:$C$1,),))</f>
        <v/>
      </c>
      <c r="D1498">
        <f>IFERROR(Table73[[#This Row],[United States 10y]]-Table73[[#This Row],[United States 2y]],#N/A)</f>
        <v/>
      </c>
    </row>
    <row r="1499">
      <c r="A1499" s="6">
        <f>Database!A1498</f>
        <v/>
      </c>
      <c r="B1499">
        <f>IF(VLOOKUP(Table73[[#This Row],[Date]],Database!$A:$E,MATCH($B$1,Database!$A$1:$E$1,),)=0,#N/A,VLOOKUP(Table73[[#This Row],[Date]],Database!$A:$E,MATCH($B$1,Database!$A$1:$E$1,),))</f>
        <v/>
      </c>
      <c r="C1499">
        <f>IF(VLOOKUP(Table73[[#This Row],[Date]],Database!$A:$C,MATCH($C$1,Database!$A$1:$C$1,),)=0,#N/A,VLOOKUP(Table73[[#This Row],[Date]],Database!$A:$C,MATCH($C$1,Database!$A$1:$C$1,),))</f>
        <v/>
      </c>
      <c r="D1499">
        <f>IFERROR(Table73[[#This Row],[United States 10y]]-Table73[[#This Row],[United States 2y]],#N/A)</f>
        <v/>
      </c>
    </row>
    <row r="1500">
      <c r="A1500" s="6">
        <f>Database!A1499</f>
        <v/>
      </c>
      <c r="B1500">
        <f>IF(VLOOKUP(Table73[[#This Row],[Date]],Database!$A:$E,MATCH($B$1,Database!$A$1:$E$1,),)=0,#N/A,VLOOKUP(Table73[[#This Row],[Date]],Database!$A:$E,MATCH($B$1,Database!$A$1:$E$1,),))</f>
        <v/>
      </c>
      <c r="C1500">
        <f>IF(VLOOKUP(Table73[[#This Row],[Date]],Database!$A:$C,MATCH($C$1,Database!$A$1:$C$1,),)=0,#N/A,VLOOKUP(Table73[[#This Row],[Date]],Database!$A:$C,MATCH($C$1,Database!$A$1:$C$1,),))</f>
        <v/>
      </c>
      <c r="D1500">
        <f>IFERROR(Table73[[#This Row],[United States 10y]]-Table73[[#This Row],[United States 2y]],#N/A)</f>
        <v/>
      </c>
    </row>
    <row r="1501">
      <c r="A1501" s="6">
        <f>Database!A1500</f>
        <v/>
      </c>
      <c r="B1501">
        <f>IF(VLOOKUP(Table73[[#This Row],[Date]],Database!$A:$E,MATCH($B$1,Database!$A$1:$E$1,),)=0,#N/A,VLOOKUP(Table73[[#This Row],[Date]],Database!$A:$E,MATCH($B$1,Database!$A$1:$E$1,),))</f>
        <v/>
      </c>
      <c r="C1501">
        <f>IF(VLOOKUP(Table73[[#This Row],[Date]],Database!$A:$C,MATCH($C$1,Database!$A$1:$C$1,),)=0,#N/A,VLOOKUP(Table73[[#This Row],[Date]],Database!$A:$C,MATCH($C$1,Database!$A$1:$C$1,),))</f>
        <v/>
      </c>
      <c r="D1501">
        <f>IFERROR(Table73[[#This Row],[United States 10y]]-Table73[[#This Row],[United States 2y]],#N/A)</f>
        <v/>
      </c>
    </row>
    <row r="1502">
      <c r="A1502" s="6">
        <f>Database!A1501</f>
        <v/>
      </c>
      <c r="B1502">
        <f>IF(VLOOKUP(Table73[[#This Row],[Date]],Database!$A:$E,MATCH($B$1,Database!$A$1:$E$1,),)=0,#N/A,VLOOKUP(Table73[[#This Row],[Date]],Database!$A:$E,MATCH($B$1,Database!$A$1:$E$1,),))</f>
        <v/>
      </c>
      <c r="C1502">
        <f>IF(VLOOKUP(Table73[[#This Row],[Date]],Database!$A:$C,MATCH($C$1,Database!$A$1:$C$1,),)=0,#N/A,VLOOKUP(Table73[[#This Row],[Date]],Database!$A:$C,MATCH($C$1,Database!$A$1:$C$1,),))</f>
        <v/>
      </c>
      <c r="D1502">
        <f>IFERROR(Table73[[#This Row],[United States 10y]]-Table73[[#This Row],[United States 2y]],#N/A)</f>
        <v/>
      </c>
    </row>
    <row r="1503">
      <c r="A1503" s="6">
        <f>Database!A1502</f>
        <v/>
      </c>
      <c r="B1503">
        <f>IF(VLOOKUP(Table73[[#This Row],[Date]],Database!$A:$E,MATCH($B$1,Database!$A$1:$E$1,),)=0,#N/A,VLOOKUP(Table73[[#This Row],[Date]],Database!$A:$E,MATCH($B$1,Database!$A$1:$E$1,),))</f>
        <v/>
      </c>
      <c r="C1503">
        <f>IF(VLOOKUP(Table73[[#This Row],[Date]],Database!$A:$C,MATCH($C$1,Database!$A$1:$C$1,),)=0,#N/A,VLOOKUP(Table73[[#This Row],[Date]],Database!$A:$C,MATCH($C$1,Database!$A$1:$C$1,),))</f>
        <v/>
      </c>
      <c r="D1503">
        <f>IFERROR(Table73[[#This Row],[United States 10y]]-Table73[[#This Row],[United States 2y]],#N/A)</f>
        <v/>
      </c>
    </row>
    <row r="1504">
      <c r="A1504" s="6">
        <f>Database!A1503</f>
        <v/>
      </c>
      <c r="B1504">
        <f>IF(VLOOKUP(Table73[[#This Row],[Date]],Database!$A:$E,MATCH($B$1,Database!$A$1:$E$1,),)=0,#N/A,VLOOKUP(Table73[[#This Row],[Date]],Database!$A:$E,MATCH($B$1,Database!$A$1:$E$1,),))</f>
        <v/>
      </c>
      <c r="C1504">
        <f>IF(VLOOKUP(Table73[[#This Row],[Date]],Database!$A:$C,MATCH($C$1,Database!$A$1:$C$1,),)=0,#N/A,VLOOKUP(Table73[[#This Row],[Date]],Database!$A:$C,MATCH($C$1,Database!$A$1:$C$1,),))</f>
        <v/>
      </c>
      <c r="D1504">
        <f>IFERROR(Table73[[#This Row],[United States 10y]]-Table73[[#This Row],[United States 2y]],#N/A)</f>
        <v/>
      </c>
    </row>
    <row r="1505">
      <c r="A1505" s="6">
        <f>Database!A1504</f>
        <v/>
      </c>
      <c r="B1505">
        <f>IF(VLOOKUP(Table73[[#This Row],[Date]],Database!$A:$E,MATCH($B$1,Database!$A$1:$E$1,),)=0,#N/A,VLOOKUP(Table73[[#This Row],[Date]],Database!$A:$E,MATCH($B$1,Database!$A$1:$E$1,),))</f>
        <v/>
      </c>
      <c r="C1505">
        <f>IF(VLOOKUP(Table73[[#This Row],[Date]],Database!$A:$C,MATCH($C$1,Database!$A$1:$C$1,),)=0,#N/A,VLOOKUP(Table73[[#This Row],[Date]],Database!$A:$C,MATCH($C$1,Database!$A$1:$C$1,),))</f>
        <v/>
      </c>
      <c r="D1505">
        <f>IFERROR(Table73[[#This Row],[United States 10y]]-Table73[[#This Row],[United States 2y]],#N/A)</f>
        <v/>
      </c>
    </row>
    <row r="1506">
      <c r="A1506" s="6">
        <f>Database!A1505</f>
        <v/>
      </c>
      <c r="B1506">
        <f>IF(VLOOKUP(Table73[[#This Row],[Date]],Database!$A:$E,MATCH($B$1,Database!$A$1:$E$1,),)=0,#N/A,VLOOKUP(Table73[[#This Row],[Date]],Database!$A:$E,MATCH($B$1,Database!$A$1:$E$1,),))</f>
        <v/>
      </c>
      <c r="C1506">
        <f>IF(VLOOKUP(Table73[[#This Row],[Date]],Database!$A:$C,MATCH($C$1,Database!$A$1:$C$1,),)=0,#N/A,VLOOKUP(Table73[[#This Row],[Date]],Database!$A:$C,MATCH($C$1,Database!$A$1:$C$1,),))</f>
        <v/>
      </c>
      <c r="D1506">
        <f>IFERROR(Table73[[#This Row],[United States 10y]]-Table73[[#This Row],[United States 2y]],#N/A)</f>
        <v/>
      </c>
    </row>
    <row r="1507">
      <c r="A1507" s="6">
        <f>Database!A1506</f>
        <v/>
      </c>
      <c r="B1507">
        <f>IF(VLOOKUP(Table73[[#This Row],[Date]],Database!$A:$E,MATCH($B$1,Database!$A$1:$E$1,),)=0,#N/A,VLOOKUP(Table73[[#This Row],[Date]],Database!$A:$E,MATCH($B$1,Database!$A$1:$E$1,),))</f>
        <v/>
      </c>
      <c r="C1507">
        <f>IF(VLOOKUP(Table73[[#This Row],[Date]],Database!$A:$C,MATCH($C$1,Database!$A$1:$C$1,),)=0,#N/A,VLOOKUP(Table73[[#This Row],[Date]],Database!$A:$C,MATCH($C$1,Database!$A$1:$C$1,),))</f>
        <v/>
      </c>
      <c r="D1507">
        <f>IFERROR(Table73[[#This Row],[United States 10y]]-Table73[[#This Row],[United States 2y]],#N/A)</f>
        <v/>
      </c>
    </row>
    <row r="1508">
      <c r="A1508" s="6">
        <f>Database!A1507</f>
        <v/>
      </c>
      <c r="B1508">
        <f>IF(VLOOKUP(Table73[[#This Row],[Date]],Database!$A:$E,MATCH($B$1,Database!$A$1:$E$1,),)=0,#N/A,VLOOKUP(Table73[[#This Row],[Date]],Database!$A:$E,MATCH($B$1,Database!$A$1:$E$1,),))</f>
        <v/>
      </c>
      <c r="C1508">
        <f>IF(VLOOKUP(Table73[[#This Row],[Date]],Database!$A:$C,MATCH($C$1,Database!$A$1:$C$1,),)=0,#N/A,VLOOKUP(Table73[[#This Row],[Date]],Database!$A:$C,MATCH($C$1,Database!$A$1:$C$1,),))</f>
        <v/>
      </c>
      <c r="D1508">
        <f>IFERROR(Table73[[#This Row],[United States 10y]]-Table73[[#This Row],[United States 2y]],#N/A)</f>
        <v/>
      </c>
    </row>
    <row r="1509">
      <c r="A1509" s="6">
        <f>Database!A1508</f>
        <v/>
      </c>
      <c r="B1509">
        <f>IF(VLOOKUP(Table73[[#This Row],[Date]],Database!$A:$E,MATCH($B$1,Database!$A$1:$E$1,),)=0,#N/A,VLOOKUP(Table73[[#This Row],[Date]],Database!$A:$E,MATCH($B$1,Database!$A$1:$E$1,),))</f>
        <v/>
      </c>
      <c r="C1509">
        <f>IF(VLOOKUP(Table73[[#This Row],[Date]],Database!$A:$C,MATCH($C$1,Database!$A$1:$C$1,),)=0,#N/A,VLOOKUP(Table73[[#This Row],[Date]],Database!$A:$C,MATCH($C$1,Database!$A$1:$C$1,),))</f>
        <v/>
      </c>
      <c r="D1509">
        <f>IFERROR(Table73[[#This Row],[United States 10y]]-Table73[[#This Row],[United States 2y]],#N/A)</f>
        <v/>
      </c>
    </row>
    <row r="1510">
      <c r="A1510" s="6">
        <f>Database!A1509</f>
        <v/>
      </c>
      <c r="B1510">
        <f>IF(VLOOKUP(Table73[[#This Row],[Date]],Database!$A:$E,MATCH($B$1,Database!$A$1:$E$1,),)=0,#N/A,VLOOKUP(Table73[[#This Row],[Date]],Database!$A:$E,MATCH($B$1,Database!$A$1:$E$1,),))</f>
        <v/>
      </c>
      <c r="C1510">
        <f>IF(VLOOKUP(Table73[[#This Row],[Date]],Database!$A:$C,MATCH($C$1,Database!$A$1:$C$1,),)=0,#N/A,VLOOKUP(Table73[[#This Row],[Date]],Database!$A:$C,MATCH($C$1,Database!$A$1:$C$1,),))</f>
        <v/>
      </c>
      <c r="D1510">
        <f>IFERROR(Table73[[#This Row],[United States 10y]]-Table73[[#This Row],[United States 2y]],#N/A)</f>
        <v/>
      </c>
    </row>
    <row r="1511">
      <c r="A1511" s="6">
        <f>Database!A1510</f>
        <v/>
      </c>
      <c r="B1511">
        <f>IF(VLOOKUP(Table73[[#This Row],[Date]],Database!$A:$E,MATCH($B$1,Database!$A$1:$E$1,),)=0,#N/A,VLOOKUP(Table73[[#This Row],[Date]],Database!$A:$E,MATCH($B$1,Database!$A$1:$E$1,),))</f>
        <v/>
      </c>
      <c r="C1511">
        <f>IF(VLOOKUP(Table73[[#This Row],[Date]],Database!$A:$C,MATCH($C$1,Database!$A$1:$C$1,),)=0,#N/A,VLOOKUP(Table73[[#This Row],[Date]],Database!$A:$C,MATCH($C$1,Database!$A$1:$C$1,),))</f>
        <v/>
      </c>
      <c r="D1511">
        <f>IFERROR(Table73[[#This Row],[United States 10y]]-Table73[[#This Row],[United States 2y]],#N/A)</f>
        <v/>
      </c>
    </row>
    <row r="1512">
      <c r="A1512" s="6">
        <f>Database!A1511</f>
        <v/>
      </c>
      <c r="B1512">
        <f>IF(VLOOKUP(Table73[[#This Row],[Date]],Database!$A:$E,MATCH($B$1,Database!$A$1:$E$1,),)=0,#N/A,VLOOKUP(Table73[[#This Row],[Date]],Database!$A:$E,MATCH($B$1,Database!$A$1:$E$1,),))</f>
        <v/>
      </c>
      <c r="C1512">
        <f>IF(VLOOKUP(Table73[[#This Row],[Date]],Database!$A:$C,MATCH($C$1,Database!$A$1:$C$1,),)=0,#N/A,VLOOKUP(Table73[[#This Row],[Date]],Database!$A:$C,MATCH($C$1,Database!$A$1:$C$1,),))</f>
        <v/>
      </c>
      <c r="D1512">
        <f>IFERROR(Table73[[#This Row],[United States 10y]]-Table73[[#This Row],[United States 2y]],#N/A)</f>
        <v/>
      </c>
    </row>
    <row r="1513">
      <c r="A1513" s="6">
        <f>Database!A1512</f>
        <v/>
      </c>
      <c r="B1513">
        <f>IF(VLOOKUP(Table73[[#This Row],[Date]],Database!$A:$E,MATCH($B$1,Database!$A$1:$E$1,),)=0,#N/A,VLOOKUP(Table73[[#This Row],[Date]],Database!$A:$E,MATCH($B$1,Database!$A$1:$E$1,),))</f>
        <v/>
      </c>
      <c r="C1513">
        <f>IF(VLOOKUP(Table73[[#This Row],[Date]],Database!$A:$C,MATCH($C$1,Database!$A$1:$C$1,),)=0,#N/A,VLOOKUP(Table73[[#This Row],[Date]],Database!$A:$C,MATCH($C$1,Database!$A$1:$C$1,),))</f>
        <v/>
      </c>
      <c r="D1513">
        <f>IFERROR(Table73[[#This Row],[United States 10y]]-Table73[[#This Row],[United States 2y]],#N/A)</f>
        <v/>
      </c>
    </row>
    <row r="1514">
      <c r="A1514" s="6">
        <f>Database!A1513</f>
        <v/>
      </c>
      <c r="B1514">
        <f>IF(VLOOKUP(Table73[[#This Row],[Date]],Database!$A:$E,MATCH($B$1,Database!$A$1:$E$1,),)=0,#N/A,VLOOKUP(Table73[[#This Row],[Date]],Database!$A:$E,MATCH($B$1,Database!$A$1:$E$1,),))</f>
        <v/>
      </c>
      <c r="C1514">
        <f>IF(VLOOKUP(Table73[[#This Row],[Date]],Database!$A:$C,MATCH($C$1,Database!$A$1:$C$1,),)=0,#N/A,VLOOKUP(Table73[[#This Row],[Date]],Database!$A:$C,MATCH($C$1,Database!$A$1:$C$1,),))</f>
        <v/>
      </c>
      <c r="D1514">
        <f>IFERROR(Table73[[#This Row],[United States 10y]]-Table73[[#This Row],[United States 2y]],#N/A)</f>
        <v/>
      </c>
    </row>
    <row r="1515">
      <c r="A1515" s="6">
        <f>Database!A1514</f>
        <v/>
      </c>
      <c r="B1515">
        <f>IF(VLOOKUP(Table73[[#This Row],[Date]],Database!$A:$E,MATCH($B$1,Database!$A$1:$E$1,),)=0,#N/A,VLOOKUP(Table73[[#This Row],[Date]],Database!$A:$E,MATCH($B$1,Database!$A$1:$E$1,),))</f>
        <v/>
      </c>
      <c r="C1515">
        <f>IF(VLOOKUP(Table73[[#This Row],[Date]],Database!$A:$C,MATCH($C$1,Database!$A$1:$C$1,),)=0,#N/A,VLOOKUP(Table73[[#This Row],[Date]],Database!$A:$C,MATCH($C$1,Database!$A$1:$C$1,),))</f>
        <v/>
      </c>
      <c r="D1515">
        <f>IFERROR(Table73[[#This Row],[United States 10y]]-Table73[[#This Row],[United States 2y]],#N/A)</f>
        <v/>
      </c>
    </row>
    <row r="1516">
      <c r="A1516" s="6">
        <f>Database!A1515</f>
        <v/>
      </c>
      <c r="B1516">
        <f>IF(VLOOKUP(Table73[[#This Row],[Date]],Database!$A:$E,MATCH($B$1,Database!$A$1:$E$1,),)=0,#N/A,VLOOKUP(Table73[[#This Row],[Date]],Database!$A:$E,MATCH($B$1,Database!$A$1:$E$1,),))</f>
        <v/>
      </c>
      <c r="C1516">
        <f>IF(VLOOKUP(Table73[[#This Row],[Date]],Database!$A:$C,MATCH($C$1,Database!$A$1:$C$1,),)=0,#N/A,VLOOKUP(Table73[[#This Row],[Date]],Database!$A:$C,MATCH($C$1,Database!$A$1:$C$1,),))</f>
        <v/>
      </c>
      <c r="D1516">
        <f>IFERROR(Table73[[#This Row],[United States 10y]]-Table73[[#This Row],[United States 2y]],#N/A)</f>
        <v/>
      </c>
    </row>
    <row r="1517">
      <c r="A1517" s="6">
        <f>Database!A1516</f>
        <v/>
      </c>
      <c r="B1517">
        <f>IF(VLOOKUP(Table73[[#This Row],[Date]],Database!$A:$E,MATCH($B$1,Database!$A$1:$E$1,),)=0,#N/A,VLOOKUP(Table73[[#This Row],[Date]],Database!$A:$E,MATCH($B$1,Database!$A$1:$E$1,),))</f>
        <v/>
      </c>
      <c r="C1517">
        <f>IF(VLOOKUP(Table73[[#This Row],[Date]],Database!$A:$C,MATCH($C$1,Database!$A$1:$C$1,),)=0,#N/A,VLOOKUP(Table73[[#This Row],[Date]],Database!$A:$C,MATCH($C$1,Database!$A$1:$C$1,),))</f>
        <v/>
      </c>
      <c r="D1517">
        <f>IFERROR(Table73[[#This Row],[United States 10y]]-Table73[[#This Row],[United States 2y]],#N/A)</f>
        <v/>
      </c>
    </row>
    <row r="1518">
      <c r="A1518" s="6">
        <f>Database!A1517</f>
        <v/>
      </c>
      <c r="B1518">
        <f>IF(VLOOKUP(Table73[[#This Row],[Date]],Database!$A:$E,MATCH($B$1,Database!$A$1:$E$1,),)=0,#N/A,VLOOKUP(Table73[[#This Row],[Date]],Database!$A:$E,MATCH($B$1,Database!$A$1:$E$1,),))</f>
        <v/>
      </c>
      <c r="C1518">
        <f>IF(VLOOKUP(Table73[[#This Row],[Date]],Database!$A:$C,MATCH($C$1,Database!$A$1:$C$1,),)=0,#N/A,VLOOKUP(Table73[[#This Row],[Date]],Database!$A:$C,MATCH($C$1,Database!$A$1:$C$1,),))</f>
        <v/>
      </c>
      <c r="D1518">
        <f>IFERROR(Table73[[#This Row],[United States 10y]]-Table73[[#This Row],[United States 2y]],#N/A)</f>
        <v/>
      </c>
    </row>
    <row r="1519">
      <c r="A1519" s="6">
        <f>Database!A1518</f>
        <v/>
      </c>
      <c r="B1519">
        <f>IF(VLOOKUP(Table73[[#This Row],[Date]],Database!$A:$E,MATCH($B$1,Database!$A$1:$E$1,),)=0,#N/A,VLOOKUP(Table73[[#This Row],[Date]],Database!$A:$E,MATCH($B$1,Database!$A$1:$E$1,),))</f>
        <v/>
      </c>
      <c r="C1519">
        <f>IF(VLOOKUP(Table73[[#This Row],[Date]],Database!$A:$C,MATCH($C$1,Database!$A$1:$C$1,),)=0,#N/A,VLOOKUP(Table73[[#This Row],[Date]],Database!$A:$C,MATCH($C$1,Database!$A$1:$C$1,),))</f>
        <v/>
      </c>
      <c r="D1519">
        <f>IFERROR(Table73[[#This Row],[United States 10y]]-Table73[[#This Row],[United States 2y]],#N/A)</f>
        <v/>
      </c>
    </row>
    <row r="1520">
      <c r="A1520" s="6">
        <f>Database!A1519</f>
        <v/>
      </c>
      <c r="B1520">
        <f>IF(VLOOKUP(Table73[[#This Row],[Date]],Database!$A:$E,MATCH($B$1,Database!$A$1:$E$1,),)=0,#N/A,VLOOKUP(Table73[[#This Row],[Date]],Database!$A:$E,MATCH($B$1,Database!$A$1:$E$1,),))</f>
        <v/>
      </c>
      <c r="C1520">
        <f>IF(VLOOKUP(Table73[[#This Row],[Date]],Database!$A:$C,MATCH($C$1,Database!$A$1:$C$1,),)=0,#N/A,VLOOKUP(Table73[[#This Row],[Date]],Database!$A:$C,MATCH($C$1,Database!$A$1:$C$1,),))</f>
        <v/>
      </c>
      <c r="D1520">
        <f>IFERROR(Table73[[#This Row],[United States 10y]]-Table73[[#This Row],[United States 2y]],#N/A)</f>
        <v/>
      </c>
    </row>
    <row r="1521">
      <c r="A1521" s="6">
        <f>Database!A1520</f>
        <v/>
      </c>
      <c r="B1521">
        <f>IF(VLOOKUP(Table73[[#This Row],[Date]],Database!$A:$E,MATCH($B$1,Database!$A$1:$E$1,),)=0,#N/A,VLOOKUP(Table73[[#This Row],[Date]],Database!$A:$E,MATCH($B$1,Database!$A$1:$E$1,),))</f>
        <v/>
      </c>
      <c r="C1521">
        <f>IF(VLOOKUP(Table73[[#This Row],[Date]],Database!$A:$C,MATCH($C$1,Database!$A$1:$C$1,),)=0,#N/A,VLOOKUP(Table73[[#This Row],[Date]],Database!$A:$C,MATCH($C$1,Database!$A$1:$C$1,),))</f>
        <v/>
      </c>
      <c r="D1521">
        <f>IFERROR(Table73[[#This Row],[United States 10y]]-Table73[[#This Row],[United States 2y]],#N/A)</f>
        <v/>
      </c>
    </row>
    <row r="1522">
      <c r="A1522" s="6">
        <f>Database!A1521</f>
        <v/>
      </c>
      <c r="B1522">
        <f>IF(VLOOKUP(Table73[[#This Row],[Date]],Database!$A:$E,MATCH($B$1,Database!$A$1:$E$1,),)=0,#N/A,VLOOKUP(Table73[[#This Row],[Date]],Database!$A:$E,MATCH($B$1,Database!$A$1:$E$1,),))</f>
        <v/>
      </c>
      <c r="C1522">
        <f>IF(VLOOKUP(Table73[[#This Row],[Date]],Database!$A:$C,MATCH($C$1,Database!$A$1:$C$1,),)=0,#N/A,VLOOKUP(Table73[[#This Row],[Date]],Database!$A:$C,MATCH($C$1,Database!$A$1:$C$1,),))</f>
        <v/>
      </c>
      <c r="D1522">
        <f>IFERROR(Table73[[#This Row],[United States 10y]]-Table73[[#This Row],[United States 2y]],#N/A)</f>
        <v/>
      </c>
    </row>
    <row r="1523">
      <c r="A1523" s="6">
        <f>Database!A1522</f>
        <v/>
      </c>
      <c r="B1523">
        <f>IF(VLOOKUP(Table73[[#This Row],[Date]],Database!$A:$E,MATCH($B$1,Database!$A$1:$E$1,),)=0,#N/A,VLOOKUP(Table73[[#This Row],[Date]],Database!$A:$E,MATCH($B$1,Database!$A$1:$E$1,),))</f>
        <v/>
      </c>
      <c r="C1523">
        <f>IF(VLOOKUP(Table73[[#This Row],[Date]],Database!$A:$C,MATCH($C$1,Database!$A$1:$C$1,),)=0,#N/A,VLOOKUP(Table73[[#This Row],[Date]],Database!$A:$C,MATCH($C$1,Database!$A$1:$C$1,),))</f>
        <v/>
      </c>
      <c r="D1523">
        <f>IFERROR(Table73[[#This Row],[United States 10y]]-Table73[[#This Row],[United States 2y]],#N/A)</f>
        <v/>
      </c>
    </row>
    <row r="1524">
      <c r="A1524" s="6">
        <f>Database!A1523</f>
        <v/>
      </c>
      <c r="B1524">
        <f>IF(VLOOKUP(Table73[[#This Row],[Date]],Database!$A:$E,MATCH($B$1,Database!$A$1:$E$1,),)=0,#N/A,VLOOKUP(Table73[[#This Row],[Date]],Database!$A:$E,MATCH($B$1,Database!$A$1:$E$1,),))</f>
        <v/>
      </c>
      <c r="C1524">
        <f>IF(VLOOKUP(Table73[[#This Row],[Date]],Database!$A:$C,MATCH($C$1,Database!$A$1:$C$1,),)=0,#N/A,VLOOKUP(Table73[[#This Row],[Date]],Database!$A:$C,MATCH($C$1,Database!$A$1:$C$1,),))</f>
        <v/>
      </c>
      <c r="D1524">
        <f>IFERROR(Table73[[#This Row],[United States 10y]]-Table73[[#This Row],[United States 2y]],#N/A)</f>
        <v/>
      </c>
    </row>
    <row r="1525">
      <c r="A1525" s="6">
        <f>Database!A1524</f>
        <v/>
      </c>
      <c r="B1525">
        <f>IF(VLOOKUP(Table73[[#This Row],[Date]],Database!$A:$E,MATCH($B$1,Database!$A$1:$E$1,),)=0,#N/A,VLOOKUP(Table73[[#This Row],[Date]],Database!$A:$E,MATCH($B$1,Database!$A$1:$E$1,),))</f>
        <v/>
      </c>
      <c r="C1525">
        <f>IF(VLOOKUP(Table73[[#This Row],[Date]],Database!$A:$C,MATCH($C$1,Database!$A$1:$C$1,),)=0,#N/A,VLOOKUP(Table73[[#This Row],[Date]],Database!$A:$C,MATCH($C$1,Database!$A$1:$C$1,),))</f>
        <v/>
      </c>
      <c r="D1525">
        <f>IFERROR(Table73[[#This Row],[United States 10y]]-Table73[[#This Row],[United States 2y]],#N/A)</f>
        <v/>
      </c>
    </row>
    <row r="1526">
      <c r="A1526" s="6">
        <f>Database!A1525</f>
        <v/>
      </c>
      <c r="B1526">
        <f>IF(VLOOKUP(Table73[[#This Row],[Date]],Database!$A:$E,MATCH($B$1,Database!$A$1:$E$1,),)=0,#N/A,VLOOKUP(Table73[[#This Row],[Date]],Database!$A:$E,MATCH($B$1,Database!$A$1:$E$1,),))</f>
        <v/>
      </c>
      <c r="C1526">
        <f>IF(VLOOKUP(Table73[[#This Row],[Date]],Database!$A:$C,MATCH($C$1,Database!$A$1:$C$1,),)=0,#N/A,VLOOKUP(Table73[[#This Row],[Date]],Database!$A:$C,MATCH($C$1,Database!$A$1:$C$1,),))</f>
        <v/>
      </c>
      <c r="D1526">
        <f>IFERROR(Table73[[#This Row],[United States 10y]]-Table73[[#This Row],[United States 2y]],#N/A)</f>
        <v/>
      </c>
    </row>
    <row r="1527">
      <c r="A1527" s="6">
        <f>Database!A1526</f>
        <v/>
      </c>
      <c r="B1527">
        <f>IF(VLOOKUP(Table73[[#This Row],[Date]],Database!$A:$E,MATCH($B$1,Database!$A$1:$E$1,),)=0,#N/A,VLOOKUP(Table73[[#This Row],[Date]],Database!$A:$E,MATCH($B$1,Database!$A$1:$E$1,),))</f>
        <v/>
      </c>
      <c r="C1527">
        <f>IF(VLOOKUP(Table73[[#This Row],[Date]],Database!$A:$C,MATCH($C$1,Database!$A$1:$C$1,),)=0,#N/A,VLOOKUP(Table73[[#This Row],[Date]],Database!$A:$C,MATCH($C$1,Database!$A$1:$C$1,),))</f>
        <v/>
      </c>
      <c r="D1527">
        <f>IFERROR(Table73[[#This Row],[United States 10y]]-Table73[[#This Row],[United States 2y]],#N/A)</f>
        <v/>
      </c>
    </row>
    <row r="1528">
      <c r="A1528" s="6">
        <f>Database!A1527</f>
        <v/>
      </c>
      <c r="B1528">
        <f>IF(VLOOKUP(Table73[[#This Row],[Date]],Database!$A:$E,MATCH($B$1,Database!$A$1:$E$1,),)=0,#N/A,VLOOKUP(Table73[[#This Row],[Date]],Database!$A:$E,MATCH($B$1,Database!$A$1:$E$1,),))</f>
        <v/>
      </c>
      <c r="C1528">
        <f>IF(VLOOKUP(Table73[[#This Row],[Date]],Database!$A:$C,MATCH($C$1,Database!$A$1:$C$1,),)=0,#N/A,VLOOKUP(Table73[[#This Row],[Date]],Database!$A:$C,MATCH($C$1,Database!$A$1:$C$1,),))</f>
        <v/>
      </c>
      <c r="D1528">
        <f>IFERROR(Table73[[#This Row],[United States 10y]]-Table73[[#This Row],[United States 2y]],#N/A)</f>
        <v/>
      </c>
    </row>
    <row r="1529">
      <c r="A1529" s="6">
        <f>Database!A1528</f>
        <v/>
      </c>
      <c r="B1529">
        <f>IF(VLOOKUP(Table73[[#This Row],[Date]],Database!$A:$E,MATCH($B$1,Database!$A$1:$E$1,),)=0,#N/A,VLOOKUP(Table73[[#This Row],[Date]],Database!$A:$E,MATCH($B$1,Database!$A$1:$E$1,),))</f>
        <v/>
      </c>
      <c r="C1529">
        <f>IF(VLOOKUP(Table73[[#This Row],[Date]],Database!$A:$C,MATCH($C$1,Database!$A$1:$C$1,),)=0,#N/A,VLOOKUP(Table73[[#This Row],[Date]],Database!$A:$C,MATCH($C$1,Database!$A$1:$C$1,),))</f>
        <v/>
      </c>
      <c r="D1529">
        <f>IFERROR(Table73[[#This Row],[United States 10y]]-Table73[[#This Row],[United States 2y]],#N/A)</f>
        <v/>
      </c>
    </row>
    <row r="1530">
      <c r="A1530" s="6">
        <f>Database!A1529</f>
        <v/>
      </c>
      <c r="B1530">
        <f>IF(VLOOKUP(Table73[[#This Row],[Date]],Database!$A:$E,MATCH($B$1,Database!$A$1:$E$1,),)=0,#N/A,VLOOKUP(Table73[[#This Row],[Date]],Database!$A:$E,MATCH($B$1,Database!$A$1:$E$1,),))</f>
        <v/>
      </c>
      <c r="C1530">
        <f>IF(VLOOKUP(Table73[[#This Row],[Date]],Database!$A:$C,MATCH($C$1,Database!$A$1:$C$1,),)=0,#N/A,VLOOKUP(Table73[[#This Row],[Date]],Database!$A:$C,MATCH($C$1,Database!$A$1:$C$1,),))</f>
        <v/>
      </c>
      <c r="D1530">
        <f>IFERROR(Table73[[#This Row],[United States 10y]]-Table73[[#This Row],[United States 2y]],#N/A)</f>
        <v/>
      </c>
    </row>
    <row r="1531">
      <c r="A1531" s="6">
        <f>Database!A1530</f>
        <v/>
      </c>
      <c r="B1531">
        <f>IF(VLOOKUP(Table73[[#This Row],[Date]],Database!$A:$E,MATCH($B$1,Database!$A$1:$E$1,),)=0,#N/A,VLOOKUP(Table73[[#This Row],[Date]],Database!$A:$E,MATCH($B$1,Database!$A$1:$E$1,),))</f>
        <v/>
      </c>
      <c r="C1531">
        <f>IF(VLOOKUP(Table73[[#This Row],[Date]],Database!$A:$C,MATCH($C$1,Database!$A$1:$C$1,),)=0,#N/A,VLOOKUP(Table73[[#This Row],[Date]],Database!$A:$C,MATCH($C$1,Database!$A$1:$C$1,),))</f>
        <v/>
      </c>
      <c r="D1531">
        <f>IFERROR(Table73[[#This Row],[United States 10y]]-Table73[[#This Row],[United States 2y]],#N/A)</f>
        <v/>
      </c>
    </row>
    <row r="1532">
      <c r="A1532" s="6">
        <f>Database!A1531</f>
        <v/>
      </c>
      <c r="B1532">
        <f>IF(VLOOKUP(Table73[[#This Row],[Date]],Database!$A:$E,MATCH($B$1,Database!$A$1:$E$1,),)=0,#N/A,VLOOKUP(Table73[[#This Row],[Date]],Database!$A:$E,MATCH($B$1,Database!$A$1:$E$1,),))</f>
        <v/>
      </c>
      <c r="C1532">
        <f>IF(VLOOKUP(Table73[[#This Row],[Date]],Database!$A:$C,MATCH($C$1,Database!$A$1:$C$1,),)=0,#N/A,VLOOKUP(Table73[[#This Row],[Date]],Database!$A:$C,MATCH($C$1,Database!$A$1:$C$1,),))</f>
        <v/>
      </c>
      <c r="D1532">
        <f>IFERROR(Table73[[#This Row],[United States 10y]]-Table73[[#This Row],[United States 2y]],#N/A)</f>
        <v/>
      </c>
    </row>
    <row r="1533">
      <c r="A1533" s="6">
        <f>Database!A1532</f>
        <v/>
      </c>
      <c r="B1533">
        <f>IF(VLOOKUP(Table73[[#This Row],[Date]],Database!$A:$E,MATCH($B$1,Database!$A$1:$E$1,),)=0,#N/A,VLOOKUP(Table73[[#This Row],[Date]],Database!$A:$E,MATCH($B$1,Database!$A$1:$E$1,),))</f>
        <v/>
      </c>
      <c r="C1533">
        <f>IF(VLOOKUP(Table73[[#This Row],[Date]],Database!$A:$C,MATCH($C$1,Database!$A$1:$C$1,),)=0,#N/A,VLOOKUP(Table73[[#This Row],[Date]],Database!$A:$C,MATCH($C$1,Database!$A$1:$C$1,),))</f>
        <v/>
      </c>
      <c r="D1533">
        <f>IFERROR(Table73[[#This Row],[United States 10y]]-Table73[[#This Row],[United States 2y]],#N/A)</f>
        <v/>
      </c>
    </row>
    <row r="1534">
      <c r="A1534" s="6">
        <f>Database!A1533</f>
        <v/>
      </c>
      <c r="B1534">
        <f>IF(VLOOKUP(Table73[[#This Row],[Date]],Database!$A:$E,MATCH($B$1,Database!$A$1:$E$1,),)=0,#N/A,VLOOKUP(Table73[[#This Row],[Date]],Database!$A:$E,MATCH($B$1,Database!$A$1:$E$1,),))</f>
        <v/>
      </c>
      <c r="C1534">
        <f>IF(VLOOKUP(Table73[[#This Row],[Date]],Database!$A:$C,MATCH($C$1,Database!$A$1:$C$1,),)=0,#N/A,VLOOKUP(Table73[[#This Row],[Date]],Database!$A:$C,MATCH($C$1,Database!$A$1:$C$1,),))</f>
        <v/>
      </c>
      <c r="D1534">
        <f>IFERROR(Table73[[#This Row],[United States 10y]]-Table73[[#This Row],[United States 2y]],#N/A)</f>
        <v/>
      </c>
    </row>
    <row r="1535">
      <c r="A1535" s="6">
        <f>Database!A1534</f>
        <v/>
      </c>
      <c r="B1535">
        <f>IF(VLOOKUP(Table73[[#This Row],[Date]],Database!$A:$E,MATCH($B$1,Database!$A$1:$E$1,),)=0,#N/A,VLOOKUP(Table73[[#This Row],[Date]],Database!$A:$E,MATCH($B$1,Database!$A$1:$E$1,),))</f>
        <v/>
      </c>
      <c r="C1535">
        <f>IF(VLOOKUP(Table73[[#This Row],[Date]],Database!$A:$C,MATCH($C$1,Database!$A$1:$C$1,),)=0,#N/A,VLOOKUP(Table73[[#This Row],[Date]],Database!$A:$C,MATCH($C$1,Database!$A$1:$C$1,),))</f>
        <v/>
      </c>
      <c r="D1535">
        <f>IFERROR(Table73[[#This Row],[United States 10y]]-Table73[[#This Row],[United States 2y]],#N/A)</f>
        <v/>
      </c>
    </row>
    <row r="1536">
      <c r="A1536" s="6">
        <f>Database!A1535</f>
        <v/>
      </c>
      <c r="B1536">
        <f>IF(VLOOKUP(Table73[[#This Row],[Date]],Database!$A:$E,MATCH($B$1,Database!$A$1:$E$1,),)=0,#N/A,VLOOKUP(Table73[[#This Row],[Date]],Database!$A:$E,MATCH($B$1,Database!$A$1:$E$1,),))</f>
        <v/>
      </c>
      <c r="C1536">
        <f>IF(VLOOKUP(Table73[[#This Row],[Date]],Database!$A:$C,MATCH($C$1,Database!$A$1:$C$1,),)=0,#N/A,VLOOKUP(Table73[[#This Row],[Date]],Database!$A:$C,MATCH($C$1,Database!$A$1:$C$1,),))</f>
        <v/>
      </c>
      <c r="D1536">
        <f>IFERROR(Table73[[#This Row],[United States 10y]]-Table73[[#This Row],[United States 2y]],#N/A)</f>
        <v/>
      </c>
    </row>
    <row r="1537">
      <c r="A1537" s="6">
        <f>Database!A1536</f>
        <v/>
      </c>
      <c r="B1537">
        <f>IF(VLOOKUP(Table73[[#This Row],[Date]],Database!$A:$E,MATCH($B$1,Database!$A$1:$E$1,),)=0,#N/A,VLOOKUP(Table73[[#This Row],[Date]],Database!$A:$E,MATCH($B$1,Database!$A$1:$E$1,),))</f>
        <v/>
      </c>
      <c r="C1537">
        <f>IF(VLOOKUP(Table73[[#This Row],[Date]],Database!$A:$C,MATCH($C$1,Database!$A$1:$C$1,),)=0,#N/A,VLOOKUP(Table73[[#This Row],[Date]],Database!$A:$C,MATCH($C$1,Database!$A$1:$C$1,),))</f>
        <v/>
      </c>
      <c r="D1537">
        <f>IFERROR(Table73[[#This Row],[United States 10y]]-Table73[[#This Row],[United States 2y]],#N/A)</f>
        <v/>
      </c>
    </row>
    <row r="1538">
      <c r="A1538" s="6">
        <f>Database!A1537</f>
        <v/>
      </c>
      <c r="B1538">
        <f>IF(VLOOKUP(Table73[[#This Row],[Date]],Database!$A:$E,MATCH($B$1,Database!$A$1:$E$1,),)=0,#N/A,VLOOKUP(Table73[[#This Row],[Date]],Database!$A:$E,MATCH($B$1,Database!$A$1:$E$1,),))</f>
        <v/>
      </c>
      <c r="C1538">
        <f>IF(VLOOKUP(Table73[[#This Row],[Date]],Database!$A:$C,MATCH($C$1,Database!$A$1:$C$1,),)=0,#N/A,VLOOKUP(Table73[[#This Row],[Date]],Database!$A:$C,MATCH($C$1,Database!$A$1:$C$1,),))</f>
        <v/>
      </c>
      <c r="D1538">
        <f>IFERROR(Table73[[#This Row],[United States 10y]]-Table73[[#This Row],[United States 2y]],#N/A)</f>
        <v/>
      </c>
    </row>
    <row r="1539">
      <c r="A1539" s="6">
        <f>Database!A1538</f>
        <v/>
      </c>
      <c r="B1539">
        <f>IF(VLOOKUP(Table73[[#This Row],[Date]],Database!$A:$E,MATCH($B$1,Database!$A$1:$E$1,),)=0,#N/A,VLOOKUP(Table73[[#This Row],[Date]],Database!$A:$E,MATCH($B$1,Database!$A$1:$E$1,),))</f>
        <v/>
      </c>
      <c r="C1539">
        <f>IF(VLOOKUP(Table73[[#This Row],[Date]],Database!$A:$C,MATCH($C$1,Database!$A$1:$C$1,),)=0,#N/A,VLOOKUP(Table73[[#This Row],[Date]],Database!$A:$C,MATCH($C$1,Database!$A$1:$C$1,),))</f>
        <v/>
      </c>
      <c r="D1539">
        <f>IFERROR(Table73[[#This Row],[United States 10y]]-Table73[[#This Row],[United States 2y]],#N/A)</f>
        <v/>
      </c>
    </row>
    <row r="1540">
      <c r="A1540" s="6">
        <f>Database!A1539</f>
        <v/>
      </c>
      <c r="B1540">
        <f>IF(VLOOKUP(Table73[[#This Row],[Date]],Database!$A:$E,MATCH($B$1,Database!$A$1:$E$1,),)=0,#N/A,VLOOKUP(Table73[[#This Row],[Date]],Database!$A:$E,MATCH($B$1,Database!$A$1:$E$1,),))</f>
        <v/>
      </c>
      <c r="C1540">
        <f>IF(VLOOKUP(Table73[[#This Row],[Date]],Database!$A:$C,MATCH($C$1,Database!$A$1:$C$1,),)=0,#N/A,VLOOKUP(Table73[[#This Row],[Date]],Database!$A:$C,MATCH($C$1,Database!$A$1:$C$1,),))</f>
        <v/>
      </c>
      <c r="D1540">
        <f>IFERROR(Table73[[#This Row],[United States 10y]]-Table73[[#This Row],[United States 2y]],#N/A)</f>
        <v/>
      </c>
    </row>
    <row r="1541">
      <c r="A1541" s="6">
        <f>Database!A1540</f>
        <v/>
      </c>
      <c r="B1541">
        <f>IF(VLOOKUP(Table73[[#This Row],[Date]],Database!$A:$E,MATCH($B$1,Database!$A$1:$E$1,),)=0,#N/A,VLOOKUP(Table73[[#This Row],[Date]],Database!$A:$E,MATCH($B$1,Database!$A$1:$E$1,),))</f>
        <v/>
      </c>
      <c r="C1541">
        <f>IF(VLOOKUP(Table73[[#This Row],[Date]],Database!$A:$C,MATCH($C$1,Database!$A$1:$C$1,),)=0,#N/A,VLOOKUP(Table73[[#This Row],[Date]],Database!$A:$C,MATCH($C$1,Database!$A$1:$C$1,),))</f>
        <v/>
      </c>
      <c r="D1541">
        <f>IFERROR(Table73[[#This Row],[United States 10y]]-Table73[[#This Row],[United States 2y]],#N/A)</f>
        <v/>
      </c>
    </row>
    <row r="1542">
      <c r="A1542" s="6">
        <f>Database!A1541</f>
        <v/>
      </c>
      <c r="B1542">
        <f>IF(VLOOKUP(Table73[[#This Row],[Date]],Database!$A:$E,MATCH($B$1,Database!$A$1:$E$1,),)=0,#N/A,VLOOKUP(Table73[[#This Row],[Date]],Database!$A:$E,MATCH($B$1,Database!$A$1:$E$1,),))</f>
        <v/>
      </c>
      <c r="C1542">
        <f>IF(VLOOKUP(Table73[[#This Row],[Date]],Database!$A:$C,MATCH($C$1,Database!$A$1:$C$1,),)=0,#N/A,VLOOKUP(Table73[[#This Row],[Date]],Database!$A:$C,MATCH($C$1,Database!$A$1:$C$1,),))</f>
        <v/>
      </c>
      <c r="D1542">
        <f>IFERROR(Table73[[#This Row],[United States 10y]]-Table73[[#This Row],[United States 2y]],#N/A)</f>
        <v/>
      </c>
    </row>
    <row r="1543">
      <c r="A1543" s="6">
        <f>Database!A1542</f>
        <v/>
      </c>
      <c r="B1543">
        <f>IF(VLOOKUP(Table73[[#This Row],[Date]],Database!$A:$E,MATCH($B$1,Database!$A$1:$E$1,),)=0,#N/A,VLOOKUP(Table73[[#This Row],[Date]],Database!$A:$E,MATCH($B$1,Database!$A$1:$E$1,),))</f>
        <v/>
      </c>
      <c r="C1543">
        <f>IF(VLOOKUP(Table73[[#This Row],[Date]],Database!$A:$C,MATCH($C$1,Database!$A$1:$C$1,),)=0,#N/A,VLOOKUP(Table73[[#This Row],[Date]],Database!$A:$C,MATCH($C$1,Database!$A$1:$C$1,),))</f>
        <v/>
      </c>
      <c r="D1543">
        <f>IFERROR(Table73[[#This Row],[United States 10y]]-Table73[[#This Row],[United States 2y]],#N/A)</f>
        <v/>
      </c>
    </row>
    <row r="1544">
      <c r="A1544" s="6">
        <f>Database!A1543</f>
        <v/>
      </c>
      <c r="B1544">
        <f>IF(VLOOKUP(Table73[[#This Row],[Date]],Database!$A:$E,MATCH($B$1,Database!$A$1:$E$1,),)=0,#N/A,VLOOKUP(Table73[[#This Row],[Date]],Database!$A:$E,MATCH($B$1,Database!$A$1:$E$1,),))</f>
        <v/>
      </c>
      <c r="C1544">
        <f>IF(VLOOKUP(Table73[[#This Row],[Date]],Database!$A:$C,MATCH($C$1,Database!$A$1:$C$1,),)=0,#N/A,VLOOKUP(Table73[[#This Row],[Date]],Database!$A:$C,MATCH($C$1,Database!$A$1:$C$1,),))</f>
        <v/>
      </c>
      <c r="D1544">
        <f>IFERROR(Table73[[#This Row],[United States 10y]]-Table73[[#This Row],[United States 2y]],#N/A)</f>
        <v/>
      </c>
    </row>
    <row r="1545">
      <c r="A1545" s="6">
        <f>Database!A1544</f>
        <v/>
      </c>
      <c r="B1545">
        <f>IF(VLOOKUP(Table73[[#This Row],[Date]],Database!$A:$E,MATCH($B$1,Database!$A$1:$E$1,),)=0,#N/A,VLOOKUP(Table73[[#This Row],[Date]],Database!$A:$E,MATCH($B$1,Database!$A$1:$E$1,),))</f>
        <v/>
      </c>
      <c r="C1545">
        <f>IF(VLOOKUP(Table73[[#This Row],[Date]],Database!$A:$C,MATCH($C$1,Database!$A$1:$C$1,),)=0,#N/A,VLOOKUP(Table73[[#This Row],[Date]],Database!$A:$C,MATCH($C$1,Database!$A$1:$C$1,),))</f>
        <v/>
      </c>
      <c r="D1545">
        <f>IFERROR(Table73[[#This Row],[United States 10y]]-Table73[[#This Row],[United States 2y]],#N/A)</f>
        <v/>
      </c>
    </row>
    <row r="1546">
      <c r="A1546" s="6">
        <f>Database!A1545</f>
        <v/>
      </c>
      <c r="B1546">
        <f>IF(VLOOKUP(Table73[[#This Row],[Date]],Database!$A:$E,MATCH($B$1,Database!$A$1:$E$1,),)=0,#N/A,VLOOKUP(Table73[[#This Row],[Date]],Database!$A:$E,MATCH($B$1,Database!$A$1:$E$1,),))</f>
        <v/>
      </c>
      <c r="C1546">
        <f>IF(VLOOKUP(Table73[[#This Row],[Date]],Database!$A:$C,MATCH($C$1,Database!$A$1:$C$1,),)=0,#N/A,VLOOKUP(Table73[[#This Row],[Date]],Database!$A:$C,MATCH($C$1,Database!$A$1:$C$1,),))</f>
        <v/>
      </c>
      <c r="D1546">
        <f>IFERROR(Table73[[#This Row],[United States 10y]]-Table73[[#This Row],[United States 2y]],#N/A)</f>
        <v/>
      </c>
    </row>
    <row r="1547">
      <c r="A1547" s="6">
        <f>Database!A1546</f>
        <v/>
      </c>
      <c r="B1547">
        <f>IF(VLOOKUP(Table73[[#This Row],[Date]],Database!$A:$E,MATCH($B$1,Database!$A$1:$E$1,),)=0,#N/A,VLOOKUP(Table73[[#This Row],[Date]],Database!$A:$E,MATCH($B$1,Database!$A$1:$E$1,),))</f>
        <v/>
      </c>
      <c r="C1547">
        <f>IF(VLOOKUP(Table73[[#This Row],[Date]],Database!$A:$C,MATCH($C$1,Database!$A$1:$C$1,),)=0,#N/A,VLOOKUP(Table73[[#This Row],[Date]],Database!$A:$C,MATCH($C$1,Database!$A$1:$C$1,),))</f>
        <v/>
      </c>
      <c r="D1547">
        <f>IFERROR(Table73[[#This Row],[United States 10y]]-Table73[[#This Row],[United States 2y]],#N/A)</f>
        <v/>
      </c>
    </row>
    <row r="1548">
      <c r="A1548" s="6">
        <f>Database!A1547</f>
        <v/>
      </c>
      <c r="B1548">
        <f>IF(VLOOKUP(Table73[[#This Row],[Date]],Database!$A:$E,MATCH($B$1,Database!$A$1:$E$1,),)=0,#N/A,VLOOKUP(Table73[[#This Row],[Date]],Database!$A:$E,MATCH($B$1,Database!$A$1:$E$1,),))</f>
        <v/>
      </c>
      <c r="C1548">
        <f>IF(VLOOKUP(Table73[[#This Row],[Date]],Database!$A:$C,MATCH($C$1,Database!$A$1:$C$1,),)=0,#N/A,VLOOKUP(Table73[[#This Row],[Date]],Database!$A:$C,MATCH($C$1,Database!$A$1:$C$1,),))</f>
        <v/>
      </c>
      <c r="D1548">
        <f>IFERROR(Table73[[#This Row],[United States 10y]]-Table73[[#This Row],[United States 2y]],#N/A)</f>
        <v/>
      </c>
    </row>
    <row r="1549">
      <c r="A1549" s="6">
        <f>Database!A1548</f>
        <v/>
      </c>
      <c r="B1549">
        <f>IF(VLOOKUP(Table73[[#This Row],[Date]],Database!$A:$E,MATCH($B$1,Database!$A$1:$E$1,),)=0,#N/A,VLOOKUP(Table73[[#This Row],[Date]],Database!$A:$E,MATCH($B$1,Database!$A$1:$E$1,),))</f>
        <v/>
      </c>
      <c r="C1549">
        <f>IF(VLOOKUP(Table73[[#This Row],[Date]],Database!$A:$C,MATCH($C$1,Database!$A$1:$C$1,),)=0,#N/A,VLOOKUP(Table73[[#This Row],[Date]],Database!$A:$C,MATCH($C$1,Database!$A$1:$C$1,),))</f>
        <v/>
      </c>
      <c r="D1549">
        <f>IFERROR(Table73[[#This Row],[United States 10y]]-Table73[[#This Row],[United States 2y]],#N/A)</f>
        <v/>
      </c>
    </row>
    <row r="1550">
      <c r="A1550" s="6">
        <f>Database!A1549</f>
        <v/>
      </c>
      <c r="B1550">
        <f>IF(VLOOKUP(Table73[[#This Row],[Date]],Database!$A:$E,MATCH($B$1,Database!$A$1:$E$1,),)=0,#N/A,VLOOKUP(Table73[[#This Row],[Date]],Database!$A:$E,MATCH($B$1,Database!$A$1:$E$1,),))</f>
        <v/>
      </c>
      <c r="C1550">
        <f>IF(VLOOKUP(Table73[[#This Row],[Date]],Database!$A:$C,MATCH($C$1,Database!$A$1:$C$1,),)=0,#N/A,VLOOKUP(Table73[[#This Row],[Date]],Database!$A:$C,MATCH($C$1,Database!$A$1:$C$1,),))</f>
        <v/>
      </c>
      <c r="D1550">
        <f>IFERROR(Table73[[#This Row],[United States 10y]]-Table73[[#This Row],[United States 2y]],#N/A)</f>
        <v/>
      </c>
    </row>
    <row r="1551">
      <c r="A1551" s="6">
        <f>Database!A1550</f>
        <v/>
      </c>
      <c r="B1551">
        <f>IF(VLOOKUP(Table73[[#This Row],[Date]],Database!$A:$E,MATCH($B$1,Database!$A$1:$E$1,),)=0,#N/A,VLOOKUP(Table73[[#This Row],[Date]],Database!$A:$E,MATCH($B$1,Database!$A$1:$E$1,),))</f>
        <v/>
      </c>
      <c r="C1551">
        <f>IF(VLOOKUP(Table73[[#This Row],[Date]],Database!$A:$C,MATCH($C$1,Database!$A$1:$C$1,),)=0,#N/A,VLOOKUP(Table73[[#This Row],[Date]],Database!$A:$C,MATCH($C$1,Database!$A$1:$C$1,),))</f>
        <v/>
      </c>
      <c r="D1551">
        <f>IFERROR(Table73[[#This Row],[United States 10y]]-Table73[[#This Row],[United States 2y]],#N/A)</f>
        <v/>
      </c>
    </row>
    <row r="1552">
      <c r="A1552" s="6">
        <f>Database!A1551</f>
        <v/>
      </c>
      <c r="B1552">
        <f>IF(VLOOKUP(Table73[[#This Row],[Date]],Database!$A:$E,MATCH($B$1,Database!$A$1:$E$1,),)=0,#N/A,VLOOKUP(Table73[[#This Row],[Date]],Database!$A:$E,MATCH($B$1,Database!$A$1:$E$1,),))</f>
        <v/>
      </c>
      <c r="C1552">
        <f>IF(VLOOKUP(Table73[[#This Row],[Date]],Database!$A:$C,MATCH($C$1,Database!$A$1:$C$1,),)=0,#N/A,VLOOKUP(Table73[[#This Row],[Date]],Database!$A:$C,MATCH($C$1,Database!$A$1:$C$1,),))</f>
        <v/>
      </c>
      <c r="D1552">
        <f>IFERROR(Table73[[#This Row],[United States 10y]]-Table73[[#This Row],[United States 2y]],#N/A)</f>
        <v/>
      </c>
    </row>
    <row r="1553">
      <c r="A1553" s="6">
        <f>Database!A1552</f>
        <v/>
      </c>
      <c r="B1553">
        <f>IF(VLOOKUP(Table73[[#This Row],[Date]],Database!$A:$E,MATCH($B$1,Database!$A$1:$E$1,),)=0,#N/A,VLOOKUP(Table73[[#This Row],[Date]],Database!$A:$E,MATCH($B$1,Database!$A$1:$E$1,),))</f>
        <v/>
      </c>
      <c r="C1553">
        <f>IF(VLOOKUP(Table73[[#This Row],[Date]],Database!$A:$C,MATCH($C$1,Database!$A$1:$C$1,),)=0,#N/A,VLOOKUP(Table73[[#This Row],[Date]],Database!$A:$C,MATCH($C$1,Database!$A$1:$C$1,),))</f>
        <v/>
      </c>
      <c r="D1553">
        <f>IFERROR(Table73[[#This Row],[United States 10y]]-Table73[[#This Row],[United States 2y]],#N/A)</f>
        <v/>
      </c>
    </row>
    <row r="1554">
      <c r="A1554" s="6">
        <f>Database!A1553</f>
        <v/>
      </c>
      <c r="B1554">
        <f>IF(VLOOKUP(Table73[[#This Row],[Date]],Database!$A:$E,MATCH($B$1,Database!$A$1:$E$1,),)=0,#N/A,VLOOKUP(Table73[[#This Row],[Date]],Database!$A:$E,MATCH($B$1,Database!$A$1:$E$1,),))</f>
        <v/>
      </c>
      <c r="C1554">
        <f>IF(VLOOKUP(Table73[[#This Row],[Date]],Database!$A:$C,MATCH($C$1,Database!$A$1:$C$1,),)=0,#N/A,VLOOKUP(Table73[[#This Row],[Date]],Database!$A:$C,MATCH($C$1,Database!$A$1:$C$1,),))</f>
        <v/>
      </c>
      <c r="D1554">
        <f>IFERROR(Table73[[#This Row],[United States 10y]]-Table73[[#This Row],[United States 2y]],#N/A)</f>
        <v/>
      </c>
    </row>
    <row r="1555">
      <c r="A1555" s="6">
        <f>Database!A1554</f>
        <v/>
      </c>
      <c r="B1555">
        <f>IF(VLOOKUP(Table73[[#This Row],[Date]],Database!$A:$E,MATCH($B$1,Database!$A$1:$E$1,),)=0,#N/A,VLOOKUP(Table73[[#This Row],[Date]],Database!$A:$E,MATCH($B$1,Database!$A$1:$E$1,),))</f>
        <v/>
      </c>
      <c r="C1555">
        <f>IF(VLOOKUP(Table73[[#This Row],[Date]],Database!$A:$C,MATCH($C$1,Database!$A$1:$C$1,),)=0,#N/A,VLOOKUP(Table73[[#This Row],[Date]],Database!$A:$C,MATCH($C$1,Database!$A$1:$C$1,),))</f>
        <v/>
      </c>
      <c r="D1555">
        <f>IFERROR(Table73[[#This Row],[United States 10y]]-Table73[[#This Row],[United States 2y]],#N/A)</f>
        <v/>
      </c>
    </row>
    <row r="1556">
      <c r="A1556" s="6">
        <f>Database!A1555</f>
        <v/>
      </c>
      <c r="B1556">
        <f>IF(VLOOKUP(Table73[[#This Row],[Date]],Database!$A:$E,MATCH($B$1,Database!$A$1:$E$1,),)=0,#N/A,VLOOKUP(Table73[[#This Row],[Date]],Database!$A:$E,MATCH($B$1,Database!$A$1:$E$1,),))</f>
        <v/>
      </c>
      <c r="C1556">
        <f>IF(VLOOKUP(Table73[[#This Row],[Date]],Database!$A:$C,MATCH($C$1,Database!$A$1:$C$1,),)=0,#N/A,VLOOKUP(Table73[[#This Row],[Date]],Database!$A:$C,MATCH($C$1,Database!$A$1:$C$1,),))</f>
        <v/>
      </c>
      <c r="D1556">
        <f>IFERROR(Table73[[#This Row],[United States 10y]]-Table73[[#This Row],[United States 2y]],#N/A)</f>
        <v/>
      </c>
    </row>
    <row r="1557">
      <c r="A1557" s="6">
        <f>Database!A1556</f>
        <v/>
      </c>
      <c r="B1557">
        <f>IF(VLOOKUP(Table73[[#This Row],[Date]],Database!$A:$E,MATCH($B$1,Database!$A$1:$E$1,),)=0,#N/A,VLOOKUP(Table73[[#This Row],[Date]],Database!$A:$E,MATCH($B$1,Database!$A$1:$E$1,),))</f>
        <v/>
      </c>
      <c r="C1557">
        <f>IF(VLOOKUP(Table73[[#This Row],[Date]],Database!$A:$C,MATCH($C$1,Database!$A$1:$C$1,),)=0,#N/A,VLOOKUP(Table73[[#This Row],[Date]],Database!$A:$C,MATCH($C$1,Database!$A$1:$C$1,),))</f>
        <v/>
      </c>
      <c r="D1557">
        <f>IFERROR(Table73[[#This Row],[United States 10y]]-Table73[[#This Row],[United States 2y]],#N/A)</f>
        <v/>
      </c>
    </row>
    <row r="1558">
      <c r="A1558" s="6">
        <f>Database!A1557</f>
        <v/>
      </c>
      <c r="B1558">
        <f>IF(VLOOKUP(Table73[[#This Row],[Date]],Database!$A:$E,MATCH($B$1,Database!$A$1:$E$1,),)=0,#N/A,VLOOKUP(Table73[[#This Row],[Date]],Database!$A:$E,MATCH($B$1,Database!$A$1:$E$1,),))</f>
        <v/>
      </c>
      <c r="C1558">
        <f>IF(VLOOKUP(Table73[[#This Row],[Date]],Database!$A:$C,MATCH($C$1,Database!$A$1:$C$1,),)=0,#N/A,VLOOKUP(Table73[[#This Row],[Date]],Database!$A:$C,MATCH($C$1,Database!$A$1:$C$1,),))</f>
        <v/>
      </c>
      <c r="D1558">
        <f>IFERROR(Table73[[#This Row],[United States 10y]]-Table73[[#This Row],[United States 2y]],#N/A)</f>
        <v/>
      </c>
    </row>
    <row r="1559">
      <c r="A1559" s="6">
        <f>Database!A1558</f>
        <v/>
      </c>
      <c r="B1559">
        <f>IF(VLOOKUP(Table73[[#This Row],[Date]],Database!$A:$E,MATCH($B$1,Database!$A$1:$E$1,),)=0,#N/A,VLOOKUP(Table73[[#This Row],[Date]],Database!$A:$E,MATCH($B$1,Database!$A$1:$E$1,),))</f>
        <v/>
      </c>
      <c r="C1559">
        <f>IF(VLOOKUP(Table73[[#This Row],[Date]],Database!$A:$C,MATCH($C$1,Database!$A$1:$C$1,),)=0,#N/A,VLOOKUP(Table73[[#This Row],[Date]],Database!$A:$C,MATCH($C$1,Database!$A$1:$C$1,),))</f>
        <v/>
      </c>
      <c r="D1559">
        <f>IFERROR(Table73[[#This Row],[United States 10y]]-Table73[[#This Row],[United States 2y]],#N/A)</f>
        <v/>
      </c>
    </row>
    <row r="1560">
      <c r="A1560" s="6">
        <f>Database!A1559</f>
        <v/>
      </c>
      <c r="B1560">
        <f>IF(VLOOKUP(Table73[[#This Row],[Date]],Database!$A:$E,MATCH($B$1,Database!$A$1:$E$1,),)=0,#N/A,VLOOKUP(Table73[[#This Row],[Date]],Database!$A:$E,MATCH($B$1,Database!$A$1:$E$1,),))</f>
        <v/>
      </c>
      <c r="C1560">
        <f>IF(VLOOKUP(Table73[[#This Row],[Date]],Database!$A:$C,MATCH($C$1,Database!$A$1:$C$1,),)=0,#N/A,VLOOKUP(Table73[[#This Row],[Date]],Database!$A:$C,MATCH($C$1,Database!$A$1:$C$1,),))</f>
        <v/>
      </c>
      <c r="D1560">
        <f>IFERROR(Table73[[#This Row],[United States 10y]]-Table73[[#This Row],[United States 2y]],#N/A)</f>
        <v/>
      </c>
    </row>
    <row r="1561">
      <c r="A1561" s="6">
        <f>Database!A1560</f>
        <v/>
      </c>
      <c r="B1561">
        <f>IF(VLOOKUP(Table73[[#This Row],[Date]],Database!$A:$E,MATCH($B$1,Database!$A$1:$E$1,),)=0,#N/A,VLOOKUP(Table73[[#This Row],[Date]],Database!$A:$E,MATCH($B$1,Database!$A$1:$E$1,),))</f>
        <v/>
      </c>
      <c r="C1561">
        <f>IF(VLOOKUP(Table73[[#This Row],[Date]],Database!$A:$C,MATCH($C$1,Database!$A$1:$C$1,),)=0,#N/A,VLOOKUP(Table73[[#This Row],[Date]],Database!$A:$C,MATCH($C$1,Database!$A$1:$C$1,),))</f>
        <v/>
      </c>
      <c r="D1561">
        <f>IFERROR(Table73[[#This Row],[United States 10y]]-Table73[[#This Row],[United States 2y]],#N/A)</f>
        <v/>
      </c>
    </row>
    <row r="1562">
      <c r="A1562" s="6">
        <f>Database!A1561</f>
        <v/>
      </c>
      <c r="B1562">
        <f>IF(VLOOKUP(Table73[[#This Row],[Date]],Database!$A:$E,MATCH($B$1,Database!$A$1:$E$1,),)=0,#N/A,VLOOKUP(Table73[[#This Row],[Date]],Database!$A:$E,MATCH($B$1,Database!$A$1:$E$1,),))</f>
        <v/>
      </c>
      <c r="C1562">
        <f>IF(VLOOKUP(Table73[[#This Row],[Date]],Database!$A:$C,MATCH($C$1,Database!$A$1:$C$1,),)=0,#N/A,VLOOKUP(Table73[[#This Row],[Date]],Database!$A:$C,MATCH($C$1,Database!$A$1:$C$1,),))</f>
        <v/>
      </c>
      <c r="D1562">
        <f>IFERROR(Table73[[#This Row],[United States 10y]]-Table73[[#This Row],[United States 2y]],#N/A)</f>
        <v/>
      </c>
    </row>
    <row r="1563">
      <c r="A1563" s="6">
        <f>Database!A1562</f>
        <v/>
      </c>
      <c r="B1563">
        <f>IF(VLOOKUP(Table73[[#This Row],[Date]],Database!$A:$E,MATCH($B$1,Database!$A$1:$E$1,),)=0,#N/A,VLOOKUP(Table73[[#This Row],[Date]],Database!$A:$E,MATCH($B$1,Database!$A$1:$E$1,),))</f>
        <v/>
      </c>
      <c r="C1563">
        <f>IF(VLOOKUP(Table73[[#This Row],[Date]],Database!$A:$C,MATCH($C$1,Database!$A$1:$C$1,),)=0,#N/A,VLOOKUP(Table73[[#This Row],[Date]],Database!$A:$C,MATCH($C$1,Database!$A$1:$C$1,),))</f>
        <v/>
      </c>
      <c r="D1563">
        <f>IFERROR(Table73[[#This Row],[United States 10y]]-Table73[[#This Row],[United States 2y]],#N/A)</f>
        <v/>
      </c>
    </row>
    <row r="1564">
      <c r="A1564" s="6">
        <f>Database!A1563</f>
        <v/>
      </c>
      <c r="B1564">
        <f>IF(VLOOKUP(Table73[[#This Row],[Date]],Database!$A:$E,MATCH($B$1,Database!$A$1:$E$1,),)=0,#N/A,VLOOKUP(Table73[[#This Row],[Date]],Database!$A:$E,MATCH($B$1,Database!$A$1:$E$1,),))</f>
        <v/>
      </c>
      <c r="C1564">
        <f>IF(VLOOKUP(Table73[[#This Row],[Date]],Database!$A:$C,MATCH($C$1,Database!$A$1:$C$1,),)=0,#N/A,VLOOKUP(Table73[[#This Row],[Date]],Database!$A:$C,MATCH($C$1,Database!$A$1:$C$1,),))</f>
        <v/>
      </c>
      <c r="D1564">
        <f>IFERROR(Table73[[#This Row],[United States 10y]]-Table73[[#This Row],[United States 2y]],#N/A)</f>
        <v/>
      </c>
    </row>
    <row r="1565">
      <c r="A1565" s="6">
        <f>Database!A1564</f>
        <v/>
      </c>
      <c r="B1565">
        <f>IF(VLOOKUP(Table73[[#This Row],[Date]],Database!$A:$E,MATCH($B$1,Database!$A$1:$E$1,),)=0,#N/A,VLOOKUP(Table73[[#This Row],[Date]],Database!$A:$E,MATCH($B$1,Database!$A$1:$E$1,),))</f>
        <v/>
      </c>
      <c r="C1565">
        <f>IF(VLOOKUP(Table73[[#This Row],[Date]],Database!$A:$C,MATCH($C$1,Database!$A$1:$C$1,),)=0,#N/A,VLOOKUP(Table73[[#This Row],[Date]],Database!$A:$C,MATCH($C$1,Database!$A$1:$C$1,),))</f>
        <v/>
      </c>
      <c r="D1565">
        <f>IFERROR(Table73[[#This Row],[United States 10y]]-Table73[[#This Row],[United States 2y]],#N/A)</f>
        <v/>
      </c>
    </row>
    <row r="1566">
      <c r="A1566" s="6">
        <f>Database!A1565</f>
        <v/>
      </c>
      <c r="B1566">
        <f>IF(VLOOKUP(Table73[[#This Row],[Date]],Database!$A:$E,MATCH($B$1,Database!$A$1:$E$1,),)=0,#N/A,VLOOKUP(Table73[[#This Row],[Date]],Database!$A:$E,MATCH($B$1,Database!$A$1:$E$1,),))</f>
        <v/>
      </c>
      <c r="C1566">
        <f>IF(VLOOKUP(Table73[[#This Row],[Date]],Database!$A:$C,MATCH($C$1,Database!$A$1:$C$1,),)=0,#N/A,VLOOKUP(Table73[[#This Row],[Date]],Database!$A:$C,MATCH($C$1,Database!$A$1:$C$1,),))</f>
        <v/>
      </c>
      <c r="D1566">
        <f>IFERROR(Table73[[#This Row],[United States 10y]]-Table73[[#This Row],[United States 2y]],#N/A)</f>
        <v/>
      </c>
    </row>
    <row r="1567">
      <c r="A1567" s="6">
        <f>Database!A1566</f>
        <v/>
      </c>
      <c r="B1567">
        <f>IF(VLOOKUP(Table73[[#This Row],[Date]],Database!$A:$E,MATCH($B$1,Database!$A$1:$E$1,),)=0,#N/A,VLOOKUP(Table73[[#This Row],[Date]],Database!$A:$E,MATCH($B$1,Database!$A$1:$E$1,),))</f>
        <v/>
      </c>
      <c r="C1567">
        <f>IF(VLOOKUP(Table73[[#This Row],[Date]],Database!$A:$C,MATCH($C$1,Database!$A$1:$C$1,),)=0,#N/A,VLOOKUP(Table73[[#This Row],[Date]],Database!$A:$C,MATCH($C$1,Database!$A$1:$C$1,),))</f>
        <v/>
      </c>
      <c r="D1567">
        <f>IFERROR(Table73[[#This Row],[United States 10y]]-Table73[[#This Row],[United States 2y]],#N/A)</f>
        <v/>
      </c>
    </row>
    <row r="1568">
      <c r="A1568" s="6">
        <f>Database!A1567</f>
        <v/>
      </c>
      <c r="B1568">
        <f>IF(VLOOKUP(Table73[[#This Row],[Date]],Database!$A:$E,MATCH($B$1,Database!$A$1:$E$1,),)=0,#N/A,VLOOKUP(Table73[[#This Row],[Date]],Database!$A:$E,MATCH($B$1,Database!$A$1:$E$1,),))</f>
        <v/>
      </c>
      <c r="C1568">
        <f>IF(VLOOKUP(Table73[[#This Row],[Date]],Database!$A:$C,MATCH($C$1,Database!$A$1:$C$1,),)=0,#N/A,VLOOKUP(Table73[[#This Row],[Date]],Database!$A:$C,MATCH($C$1,Database!$A$1:$C$1,),))</f>
        <v/>
      </c>
      <c r="D1568">
        <f>IFERROR(Table73[[#This Row],[United States 10y]]-Table73[[#This Row],[United States 2y]],#N/A)</f>
        <v/>
      </c>
    </row>
    <row r="1569">
      <c r="A1569" s="6">
        <f>Database!A1568</f>
        <v/>
      </c>
      <c r="B1569">
        <f>IF(VLOOKUP(Table73[[#This Row],[Date]],Database!$A:$E,MATCH($B$1,Database!$A$1:$E$1,),)=0,#N/A,VLOOKUP(Table73[[#This Row],[Date]],Database!$A:$E,MATCH($B$1,Database!$A$1:$E$1,),))</f>
        <v/>
      </c>
      <c r="C1569">
        <f>IF(VLOOKUP(Table73[[#This Row],[Date]],Database!$A:$C,MATCH($C$1,Database!$A$1:$C$1,),)=0,#N/A,VLOOKUP(Table73[[#This Row],[Date]],Database!$A:$C,MATCH($C$1,Database!$A$1:$C$1,),))</f>
        <v/>
      </c>
      <c r="D1569">
        <f>IFERROR(Table73[[#This Row],[United States 10y]]-Table73[[#This Row],[United States 2y]],#N/A)</f>
        <v/>
      </c>
    </row>
    <row r="1570">
      <c r="A1570" s="6">
        <f>Database!A1569</f>
        <v/>
      </c>
      <c r="B1570">
        <f>IF(VLOOKUP(Table73[[#This Row],[Date]],Database!$A:$E,MATCH($B$1,Database!$A$1:$E$1,),)=0,#N/A,VLOOKUP(Table73[[#This Row],[Date]],Database!$A:$E,MATCH($B$1,Database!$A$1:$E$1,),))</f>
        <v/>
      </c>
      <c r="C1570">
        <f>IF(VLOOKUP(Table73[[#This Row],[Date]],Database!$A:$C,MATCH($C$1,Database!$A$1:$C$1,),)=0,#N/A,VLOOKUP(Table73[[#This Row],[Date]],Database!$A:$C,MATCH($C$1,Database!$A$1:$C$1,),))</f>
        <v/>
      </c>
      <c r="D1570">
        <f>IFERROR(Table73[[#This Row],[United States 10y]]-Table73[[#This Row],[United States 2y]],#N/A)</f>
        <v/>
      </c>
    </row>
    <row r="1571">
      <c r="A1571" s="6">
        <f>Database!A1570</f>
        <v/>
      </c>
      <c r="B1571">
        <f>IF(VLOOKUP(Table73[[#This Row],[Date]],Database!$A:$E,MATCH($B$1,Database!$A$1:$E$1,),)=0,#N/A,VLOOKUP(Table73[[#This Row],[Date]],Database!$A:$E,MATCH($B$1,Database!$A$1:$E$1,),))</f>
        <v/>
      </c>
      <c r="C1571">
        <f>IF(VLOOKUP(Table73[[#This Row],[Date]],Database!$A:$C,MATCH($C$1,Database!$A$1:$C$1,),)=0,#N/A,VLOOKUP(Table73[[#This Row],[Date]],Database!$A:$C,MATCH($C$1,Database!$A$1:$C$1,),))</f>
        <v/>
      </c>
      <c r="D1571">
        <f>IFERROR(Table73[[#This Row],[United States 10y]]-Table73[[#This Row],[United States 2y]],#N/A)</f>
        <v/>
      </c>
    </row>
    <row r="1572">
      <c r="A1572" s="6">
        <f>Database!A1571</f>
        <v/>
      </c>
      <c r="B1572">
        <f>IF(VLOOKUP(Table73[[#This Row],[Date]],Database!$A:$E,MATCH($B$1,Database!$A$1:$E$1,),)=0,#N/A,VLOOKUP(Table73[[#This Row],[Date]],Database!$A:$E,MATCH($B$1,Database!$A$1:$E$1,),))</f>
        <v/>
      </c>
      <c r="C1572">
        <f>IF(VLOOKUP(Table73[[#This Row],[Date]],Database!$A:$C,MATCH($C$1,Database!$A$1:$C$1,),)=0,#N/A,VLOOKUP(Table73[[#This Row],[Date]],Database!$A:$C,MATCH($C$1,Database!$A$1:$C$1,),))</f>
        <v/>
      </c>
      <c r="D1572">
        <f>IFERROR(Table73[[#This Row],[United States 10y]]-Table73[[#This Row],[United States 2y]],#N/A)</f>
        <v/>
      </c>
    </row>
    <row r="1573">
      <c r="A1573" s="6">
        <f>Database!A1572</f>
        <v/>
      </c>
      <c r="B1573">
        <f>IF(VLOOKUP(Table73[[#This Row],[Date]],Database!$A:$E,MATCH($B$1,Database!$A$1:$E$1,),)=0,#N/A,VLOOKUP(Table73[[#This Row],[Date]],Database!$A:$E,MATCH($B$1,Database!$A$1:$E$1,),))</f>
        <v/>
      </c>
      <c r="C1573">
        <f>IF(VLOOKUP(Table73[[#This Row],[Date]],Database!$A:$C,MATCH($C$1,Database!$A$1:$C$1,),)=0,#N/A,VLOOKUP(Table73[[#This Row],[Date]],Database!$A:$C,MATCH($C$1,Database!$A$1:$C$1,),))</f>
        <v/>
      </c>
      <c r="D1573">
        <f>IFERROR(Table73[[#This Row],[United States 10y]]-Table73[[#This Row],[United States 2y]],#N/A)</f>
        <v/>
      </c>
    </row>
    <row r="1574">
      <c r="A1574" s="6">
        <f>Database!A1573</f>
        <v/>
      </c>
      <c r="B1574">
        <f>IF(VLOOKUP(Table73[[#This Row],[Date]],Database!$A:$E,MATCH($B$1,Database!$A$1:$E$1,),)=0,#N/A,VLOOKUP(Table73[[#This Row],[Date]],Database!$A:$E,MATCH($B$1,Database!$A$1:$E$1,),))</f>
        <v/>
      </c>
      <c r="C1574">
        <f>IF(VLOOKUP(Table73[[#This Row],[Date]],Database!$A:$C,MATCH($C$1,Database!$A$1:$C$1,),)=0,#N/A,VLOOKUP(Table73[[#This Row],[Date]],Database!$A:$C,MATCH($C$1,Database!$A$1:$C$1,),))</f>
        <v/>
      </c>
      <c r="D1574">
        <f>IFERROR(Table73[[#This Row],[United States 10y]]-Table73[[#This Row],[United States 2y]],#N/A)</f>
        <v/>
      </c>
    </row>
    <row r="1575">
      <c r="A1575" s="6">
        <f>Database!A1574</f>
        <v/>
      </c>
      <c r="B1575">
        <f>IF(VLOOKUP(Table73[[#This Row],[Date]],Database!$A:$E,MATCH($B$1,Database!$A$1:$E$1,),)=0,#N/A,VLOOKUP(Table73[[#This Row],[Date]],Database!$A:$E,MATCH($B$1,Database!$A$1:$E$1,),))</f>
        <v/>
      </c>
      <c r="C1575">
        <f>IF(VLOOKUP(Table73[[#This Row],[Date]],Database!$A:$C,MATCH($C$1,Database!$A$1:$C$1,),)=0,#N/A,VLOOKUP(Table73[[#This Row],[Date]],Database!$A:$C,MATCH($C$1,Database!$A$1:$C$1,),))</f>
        <v/>
      </c>
      <c r="D1575">
        <f>IFERROR(Table73[[#This Row],[United States 10y]]-Table73[[#This Row],[United States 2y]],#N/A)</f>
        <v/>
      </c>
    </row>
    <row r="1576">
      <c r="A1576" s="6">
        <f>Database!A1575</f>
        <v/>
      </c>
      <c r="B1576">
        <f>IF(VLOOKUP(Table73[[#This Row],[Date]],Database!$A:$E,MATCH($B$1,Database!$A$1:$E$1,),)=0,#N/A,VLOOKUP(Table73[[#This Row],[Date]],Database!$A:$E,MATCH($B$1,Database!$A$1:$E$1,),))</f>
        <v/>
      </c>
      <c r="C1576">
        <f>IF(VLOOKUP(Table73[[#This Row],[Date]],Database!$A:$C,MATCH($C$1,Database!$A$1:$C$1,),)=0,#N/A,VLOOKUP(Table73[[#This Row],[Date]],Database!$A:$C,MATCH($C$1,Database!$A$1:$C$1,),))</f>
        <v/>
      </c>
      <c r="D1576">
        <f>IFERROR(Table73[[#This Row],[United States 10y]]-Table73[[#This Row],[United States 2y]],#N/A)</f>
        <v/>
      </c>
    </row>
    <row r="1577">
      <c r="A1577" s="6">
        <f>Database!A1576</f>
        <v/>
      </c>
      <c r="B1577">
        <f>IF(VLOOKUP(Table73[[#This Row],[Date]],Database!$A:$E,MATCH($B$1,Database!$A$1:$E$1,),)=0,#N/A,VLOOKUP(Table73[[#This Row],[Date]],Database!$A:$E,MATCH($B$1,Database!$A$1:$E$1,),))</f>
        <v/>
      </c>
      <c r="C1577">
        <f>IF(VLOOKUP(Table73[[#This Row],[Date]],Database!$A:$C,MATCH($C$1,Database!$A$1:$C$1,),)=0,#N/A,VLOOKUP(Table73[[#This Row],[Date]],Database!$A:$C,MATCH($C$1,Database!$A$1:$C$1,),))</f>
        <v/>
      </c>
      <c r="D1577">
        <f>IFERROR(Table73[[#This Row],[United States 10y]]-Table73[[#This Row],[United States 2y]],#N/A)</f>
        <v/>
      </c>
    </row>
    <row r="1578">
      <c r="A1578" s="6">
        <f>Database!A1577</f>
        <v/>
      </c>
      <c r="B1578">
        <f>IF(VLOOKUP(Table73[[#This Row],[Date]],Database!$A:$E,MATCH($B$1,Database!$A$1:$E$1,),)=0,#N/A,VLOOKUP(Table73[[#This Row],[Date]],Database!$A:$E,MATCH($B$1,Database!$A$1:$E$1,),))</f>
        <v/>
      </c>
      <c r="C1578">
        <f>IF(VLOOKUP(Table73[[#This Row],[Date]],Database!$A:$C,MATCH($C$1,Database!$A$1:$C$1,),)=0,#N/A,VLOOKUP(Table73[[#This Row],[Date]],Database!$A:$C,MATCH($C$1,Database!$A$1:$C$1,),))</f>
        <v/>
      </c>
      <c r="D1578">
        <f>IFERROR(Table73[[#This Row],[United States 10y]]-Table73[[#This Row],[United States 2y]],#N/A)</f>
        <v/>
      </c>
    </row>
    <row r="1579">
      <c r="A1579" s="6">
        <f>Database!A1578</f>
        <v/>
      </c>
      <c r="B1579">
        <f>IF(VLOOKUP(Table73[[#This Row],[Date]],Database!$A:$E,MATCH($B$1,Database!$A$1:$E$1,),)=0,#N/A,VLOOKUP(Table73[[#This Row],[Date]],Database!$A:$E,MATCH($B$1,Database!$A$1:$E$1,),))</f>
        <v/>
      </c>
      <c r="C1579">
        <f>IF(VLOOKUP(Table73[[#This Row],[Date]],Database!$A:$C,MATCH($C$1,Database!$A$1:$C$1,),)=0,#N/A,VLOOKUP(Table73[[#This Row],[Date]],Database!$A:$C,MATCH($C$1,Database!$A$1:$C$1,),))</f>
        <v/>
      </c>
      <c r="D1579">
        <f>IFERROR(Table73[[#This Row],[United States 10y]]-Table73[[#This Row],[United States 2y]],#N/A)</f>
        <v/>
      </c>
    </row>
    <row r="1580">
      <c r="A1580" s="6">
        <f>Database!A1579</f>
        <v/>
      </c>
      <c r="B1580">
        <f>IF(VLOOKUP(Table73[[#This Row],[Date]],Database!$A:$E,MATCH($B$1,Database!$A$1:$E$1,),)=0,#N/A,VLOOKUP(Table73[[#This Row],[Date]],Database!$A:$E,MATCH($B$1,Database!$A$1:$E$1,),))</f>
        <v/>
      </c>
      <c r="C1580">
        <f>IF(VLOOKUP(Table73[[#This Row],[Date]],Database!$A:$C,MATCH($C$1,Database!$A$1:$C$1,),)=0,#N/A,VLOOKUP(Table73[[#This Row],[Date]],Database!$A:$C,MATCH($C$1,Database!$A$1:$C$1,),))</f>
        <v/>
      </c>
      <c r="D1580">
        <f>IFERROR(Table73[[#This Row],[United States 10y]]-Table73[[#This Row],[United States 2y]],#N/A)</f>
        <v/>
      </c>
    </row>
    <row r="1581">
      <c r="A1581" s="6">
        <f>Database!A1580</f>
        <v/>
      </c>
      <c r="B1581">
        <f>IF(VLOOKUP(Table73[[#This Row],[Date]],Database!$A:$E,MATCH($B$1,Database!$A$1:$E$1,),)=0,#N/A,VLOOKUP(Table73[[#This Row],[Date]],Database!$A:$E,MATCH($B$1,Database!$A$1:$E$1,),))</f>
        <v/>
      </c>
      <c r="C1581">
        <f>IF(VLOOKUP(Table73[[#This Row],[Date]],Database!$A:$C,MATCH($C$1,Database!$A$1:$C$1,),)=0,#N/A,VLOOKUP(Table73[[#This Row],[Date]],Database!$A:$C,MATCH($C$1,Database!$A$1:$C$1,),))</f>
        <v/>
      </c>
      <c r="D1581">
        <f>IFERROR(Table73[[#This Row],[United States 10y]]-Table73[[#This Row],[United States 2y]],#N/A)</f>
        <v/>
      </c>
    </row>
    <row r="1582">
      <c r="A1582" s="6">
        <f>Database!A1581</f>
        <v/>
      </c>
      <c r="B1582">
        <f>IF(VLOOKUP(Table73[[#This Row],[Date]],Database!$A:$E,MATCH($B$1,Database!$A$1:$E$1,),)=0,#N/A,VLOOKUP(Table73[[#This Row],[Date]],Database!$A:$E,MATCH($B$1,Database!$A$1:$E$1,),))</f>
        <v/>
      </c>
      <c r="C1582">
        <f>IF(VLOOKUP(Table73[[#This Row],[Date]],Database!$A:$C,MATCH($C$1,Database!$A$1:$C$1,),)=0,#N/A,VLOOKUP(Table73[[#This Row],[Date]],Database!$A:$C,MATCH($C$1,Database!$A$1:$C$1,),))</f>
        <v/>
      </c>
      <c r="D1582">
        <f>IFERROR(Table73[[#This Row],[United States 10y]]-Table73[[#This Row],[United States 2y]],#N/A)</f>
        <v/>
      </c>
    </row>
    <row r="1583">
      <c r="A1583" s="6">
        <f>Database!A1582</f>
        <v/>
      </c>
      <c r="B1583">
        <f>IF(VLOOKUP(Table73[[#This Row],[Date]],Database!$A:$E,MATCH($B$1,Database!$A$1:$E$1,),)=0,#N/A,VLOOKUP(Table73[[#This Row],[Date]],Database!$A:$E,MATCH($B$1,Database!$A$1:$E$1,),))</f>
        <v/>
      </c>
      <c r="C1583">
        <f>IF(VLOOKUP(Table73[[#This Row],[Date]],Database!$A:$C,MATCH($C$1,Database!$A$1:$C$1,),)=0,#N/A,VLOOKUP(Table73[[#This Row],[Date]],Database!$A:$C,MATCH($C$1,Database!$A$1:$C$1,),))</f>
        <v/>
      </c>
      <c r="D1583">
        <f>IFERROR(Table73[[#This Row],[United States 10y]]-Table73[[#This Row],[United States 2y]],#N/A)</f>
        <v/>
      </c>
    </row>
    <row r="1584">
      <c r="A1584" s="6">
        <f>Database!A1583</f>
        <v/>
      </c>
      <c r="B1584">
        <f>IF(VLOOKUP(Table73[[#This Row],[Date]],Database!$A:$E,MATCH($B$1,Database!$A$1:$E$1,),)=0,#N/A,VLOOKUP(Table73[[#This Row],[Date]],Database!$A:$E,MATCH($B$1,Database!$A$1:$E$1,),))</f>
        <v/>
      </c>
      <c r="C1584">
        <f>IF(VLOOKUP(Table73[[#This Row],[Date]],Database!$A:$C,MATCH($C$1,Database!$A$1:$C$1,),)=0,#N/A,VLOOKUP(Table73[[#This Row],[Date]],Database!$A:$C,MATCH($C$1,Database!$A$1:$C$1,),))</f>
        <v/>
      </c>
      <c r="D1584">
        <f>IFERROR(Table73[[#This Row],[United States 10y]]-Table73[[#This Row],[United States 2y]],#N/A)</f>
        <v/>
      </c>
    </row>
    <row r="1585">
      <c r="A1585" s="6">
        <f>Database!A1584</f>
        <v/>
      </c>
      <c r="B1585">
        <f>IF(VLOOKUP(Table73[[#This Row],[Date]],Database!$A:$E,MATCH($B$1,Database!$A$1:$E$1,),)=0,#N/A,VLOOKUP(Table73[[#This Row],[Date]],Database!$A:$E,MATCH($B$1,Database!$A$1:$E$1,),))</f>
        <v/>
      </c>
      <c r="C1585">
        <f>IF(VLOOKUP(Table73[[#This Row],[Date]],Database!$A:$C,MATCH($C$1,Database!$A$1:$C$1,),)=0,#N/A,VLOOKUP(Table73[[#This Row],[Date]],Database!$A:$C,MATCH($C$1,Database!$A$1:$C$1,),))</f>
        <v/>
      </c>
      <c r="D1585">
        <f>IFERROR(Table73[[#This Row],[United States 10y]]-Table73[[#This Row],[United States 2y]],#N/A)</f>
        <v/>
      </c>
    </row>
    <row r="1586">
      <c r="A1586" s="6">
        <f>Database!A1585</f>
        <v/>
      </c>
      <c r="B1586">
        <f>IF(VLOOKUP(Table73[[#This Row],[Date]],Database!$A:$E,MATCH($B$1,Database!$A$1:$E$1,),)=0,#N/A,VLOOKUP(Table73[[#This Row],[Date]],Database!$A:$E,MATCH($B$1,Database!$A$1:$E$1,),))</f>
        <v/>
      </c>
      <c r="C1586">
        <f>IF(VLOOKUP(Table73[[#This Row],[Date]],Database!$A:$C,MATCH($C$1,Database!$A$1:$C$1,),)=0,#N/A,VLOOKUP(Table73[[#This Row],[Date]],Database!$A:$C,MATCH($C$1,Database!$A$1:$C$1,),))</f>
        <v/>
      </c>
      <c r="D1586">
        <f>IFERROR(Table73[[#This Row],[United States 10y]]-Table73[[#This Row],[United States 2y]],#N/A)</f>
        <v/>
      </c>
    </row>
    <row r="1587">
      <c r="A1587" s="6">
        <f>Database!A1586</f>
        <v/>
      </c>
      <c r="B1587">
        <f>IF(VLOOKUP(Table73[[#This Row],[Date]],Database!$A:$E,MATCH($B$1,Database!$A$1:$E$1,),)=0,#N/A,VLOOKUP(Table73[[#This Row],[Date]],Database!$A:$E,MATCH($B$1,Database!$A$1:$E$1,),))</f>
        <v/>
      </c>
      <c r="C1587">
        <f>IF(VLOOKUP(Table73[[#This Row],[Date]],Database!$A:$C,MATCH($C$1,Database!$A$1:$C$1,),)=0,#N/A,VLOOKUP(Table73[[#This Row],[Date]],Database!$A:$C,MATCH($C$1,Database!$A$1:$C$1,),))</f>
        <v/>
      </c>
      <c r="D1587">
        <f>IFERROR(Table73[[#This Row],[United States 10y]]-Table73[[#This Row],[United States 2y]],#N/A)</f>
        <v/>
      </c>
    </row>
    <row r="1588">
      <c r="A1588" s="6">
        <f>Database!A1587</f>
        <v/>
      </c>
      <c r="B1588">
        <f>IF(VLOOKUP(Table73[[#This Row],[Date]],Database!$A:$E,MATCH($B$1,Database!$A$1:$E$1,),)=0,#N/A,VLOOKUP(Table73[[#This Row],[Date]],Database!$A:$E,MATCH($B$1,Database!$A$1:$E$1,),))</f>
        <v/>
      </c>
      <c r="C1588">
        <f>IF(VLOOKUP(Table73[[#This Row],[Date]],Database!$A:$C,MATCH($C$1,Database!$A$1:$C$1,),)=0,#N/A,VLOOKUP(Table73[[#This Row],[Date]],Database!$A:$C,MATCH($C$1,Database!$A$1:$C$1,),))</f>
        <v/>
      </c>
      <c r="D1588">
        <f>IFERROR(Table73[[#This Row],[United States 10y]]-Table73[[#This Row],[United States 2y]],#N/A)</f>
        <v/>
      </c>
    </row>
    <row r="1589">
      <c r="A1589" s="6">
        <f>Database!A1588</f>
        <v/>
      </c>
      <c r="B1589">
        <f>IF(VLOOKUP(Table73[[#This Row],[Date]],Database!$A:$E,MATCH($B$1,Database!$A$1:$E$1,),)=0,#N/A,VLOOKUP(Table73[[#This Row],[Date]],Database!$A:$E,MATCH($B$1,Database!$A$1:$E$1,),))</f>
        <v/>
      </c>
      <c r="C1589">
        <f>IF(VLOOKUP(Table73[[#This Row],[Date]],Database!$A:$C,MATCH($C$1,Database!$A$1:$C$1,),)=0,#N/A,VLOOKUP(Table73[[#This Row],[Date]],Database!$A:$C,MATCH($C$1,Database!$A$1:$C$1,),))</f>
        <v/>
      </c>
      <c r="D1589">
        <f>IFERROR(Table73[[#This Row],[United States 10y]]-Table73[[#This Row],[United States 2y]],#N/A)</f>
        <v/>
      </c>
    </row>
    <row r="1590">
      <c r="A1590" s="6">
        <f>Database!A1589</f>
        <v/>
      </c>
      <c r="B1590">
        <f>IF(VLOOKUP(Table73[[#This Row],[Date]],Database!$A:$E,MATCH($B$1,Database!$A$1:$E$1,),)=0,#N/A,VLOOKUP(Table73[[#This Row],[Date]],Database!$A:$E,MATCH($B$1,Database!$A$1:$E$1,),))</f>
        <v/>
      </c>
      <c r="C1590">
        <f>IF(VLOOKUP(Table73[[#This Row],[Date]],Database!$A:$C,MATCH($C$1,Database!$A$1:$C$1,),)=0,#N/A,VLOOKUP(Table73[[#This Row],[Date]],Database!$A:$C,MATCH($C$1,Database!$A$1:$C$1,),))</f>
        <v/>
      </c>
      <c r="D1590">
        <f>IFERROR(Table73[[#This Row],[United States 10y]]-Table73[[#This Row],[United States 2y]],#N/A)</f>
        <v/>
      </c>
    </row>
    <row r="1591">
      <c r="A1591" s="6">
        <f>Database!A1590</f>
        <v/>
      </c>
      <c r="B1591">
        <f>IF(VLOOKUP(Table73[[#This Row],[Date]],Database!$A:$E,MATCH($B$1,Database!$A$1:$E$1,),)=0,#N/A,VLOOKUP(Table73[[#This Row],[Date]],Database!$A:$E,MATCH($B$1,Database!$A$1:$E$1,),))</f>
        <v/>
      </c>
      <c r="C1591">
        <f>IF(VLOOKUP(Table73[[#This Row],[Date]],Database!$A:$C,MATCH($C$1,Database!$A$1:$C$1,),)=0,#N/A,VLOOKUP(Table73[[#This Row],[Date]],Database!$A:$C,MATCH($C$1,Database!$A$1:$C$1,),))</f>
        <v/>
      </c>
      <c r="D1591">
        <f>IFERROR(Table73[[#This Row],[United States 10y]]-Table73[[#This Row],[United States 2y]],#N/A)</f>
        <v/>
      </c>
    </row>
    <row r="1592">
      <c r="A1592" s="6">
        <f>Database!A1591</f>
        <v/>
      </c>
      <c r="B1592">
        <f>IF(VLOOKUP(Table73[[#This Row],[Date]],Database!$A:$E,MATCH($B$1,Database!$A$1:$E$1,),)=0,#N/A,VLOOKUP(Table73[[#This Row],[Date]],Database!$A:$E,MATCH($B$1,Database!$A$1:$E$1,),))</f>
        <v/>
      </c>
      <c r="C1592">
        <f>IF(VLOOKUP(Table73[[#This Row],[Date]],Database!$A:$C,MATCH($C$1,Database!$A$1:$C$1,),)=0,#N/A,VLOOKUP(Table73[[#This Row],[Date]],Database!$A:$C,MATCH($C$1,Database!$A$1:$C$1,),))</f>
        <v/>
      </c>
      <c r="D1592">
        <f>IFERROR(Table73[[#This Row],[United States 10y]]-Table73[[#This Row],[United States 2y]],#N/A)</f>
        <v/>
      </c>
    </row>
    <row r="1593">
      <c r="A1593" s="6">
        <f>Database!A1592</f>
        <v/>
      </c>
      <c r="B1593">
        <f>IF(VLOOKUP(Table73[[#This Row],[Date]],Database!$A:$E,MATCH($B$1,Database!$A$1:$E$1,),)=0,#N/A,VLOOKUP(Table73[[#This Row],[Date]],Database!$A:$E,MATCH($B$1,Database!$A$1:$E$1,),))</f>
        <v/>
      </c>
      <c r="C1593">
        <f>IF(VLOOKUP(Table73[[#This Row],[Date]],Database!$A:$C,MATCH($C$1,Database!$A$1:$C$1,),)=0,#N/A,VLOOKUP(Table73[[#This Row],[Date]],Database!$A:$C,MATCH($C$1,Database!$A$1:$C$1,),))</f>
        <v/>
      </c>
      <c r="D1593">
        <f>IFERROR(Table73[[#This Row],[United States 10y]]-Table73[[#This Row],[United States 2y]],#N/A)</f>
        <v/>
      </c>
    </row>
    <row r="1594">
      <c r="A1594" s="6">
        <f>Database!A1593</f>
        <v/>
      </c>
      <c r="B1594">
        <f>IF(VLOOKUP(Table73[[#This Row],[Date]],Database!$A:$E,MATCH($B$1,Database!$A$1:$E$1,),)=0,#N/A,VLOOKUP(Table73[[#This Row],[Date]],Database!$A:$E,MATCH($B$1,Database!$A$1:$E$1,),))</f>
        <v/>
      </c>
      <c r="C1594">
        <f>IF(VLOOKUP(Table73[[#This Row],[Date]],Database!$A:$C,MATCH($C$1,Database!$A$1:$C$1,),)=0,#N/A,VLOOKUP(Table73[[#This Row],[Date]],Database!$A:$C,MATCH($C$1,Database!$A$1:$C$1,),))</f>
        <v/>
      </c>
      <c r="D1594">
        <f>IFERROR(Table73[[#This Row],[United States 10y]]-Table73[[#This Row],[United States 2y]],#N/A)</f>
        <v/>
      </c>
    </row>
    <row r="1595">
      <c r="A1595" s="6">
        <f>Database!A1594</f>
        <v/>
      </c>
      <c r="B1595">
        <f>IF(VLOOKUP(Table73[[#This Row],[Date]],Database!$A:$E,MATCH($B$1,Database!$A$1:$E$1,),)=0,#N/A,VLOOKUP(Table73[[#This Row],[Date]],Database!$A:$E,MATCH($B$1,Database!$A$1:$E$1,),))</f>
        <v/>
      </c>
      <c r="C1595">
        <f>IF(VLOOKUP(Table73[[#This Row],[Date]],Database!$A:$C,MATCH($C$1,Database!$A$1:$C$1,),)=0,#N/A,VLOOKUP(Table73[[#This Row],[Date]],Database!$A:$C,MATCH($C$1,Database!$A$1:$C$1,),))</f>
        <v/>
      </c>
      <c r="D1595">
        <f>IFERROR(Table73[[#This Row],[United States 10y]]-Table73[[#This Row],[United States 2y]],#N/A)</f>
        <v/>
      </c>
    </row>
    <row r="1596">
      <c r="A1596" s="6">
        <f>Database!A1595</f>
        <v/>
      </c>
      <c r="B1596">
        <f>IF(VLOOKUP(Table73[[#This Row],[Date]],Database!$A:$E,MATCH($B$1,Database!$A$1:$E$1,),)=0,#N/A,VLOOKUP(Table73[[#This Row],[Date]],Database!$A:$E,MATCH($B$1,Database!$A$1:$E$1,),))</f>
        <v/>
      </c>
      <c r="C1596">
        <f>IF(VLOOKUP(Table73[[#This Row],[Date]],Database!$A:$C,MATCH($C$1,Database!$A$1:$C$1,),)=0,#N/A,VLOOKUP(Table73[[#This Row],[Date]],Database!$A:$C,MATCH($C$1,Database!$A$1:$C$1,),))</f>
        <v/>
      </c>
      <c r="D1596">
        <f>IFERROR(Table73[[#This Row],[United States 10y]]-Table73[[#This Row],[United States 2y]],#N/A)</f>
        <v/>
      </c>
    </row>
    <row r="1597">
      <c r="A1597" s="6">
        <f>Database!A1596</f>
        <v/>
      </c>
      <c r="B1597">
        <f>IF(VLOOKUP(Table73[[#This Row],[Date]],Database!$A:$E,MATCH($B$1,Database!$A$1:$E$1,),)=0,#N/A,VLOOKUP(Table73[[#This Row],[Date]],Database!$A:$E,MATCH($B$1,Database!$A$1:$E$1,),))</f>
        <v/>
      </c>
      <c r="C1597">
        <f>IF(VLOOKUP(Table73[[#This Row],[Date]],Database!$A:$C,MATCH($C$1,Database!$A$1:$C$1,),)=0,#N/A,VLOOKUP(Table73[[#This Row],[Date]],Database!$A:$C,MATCH($C$1,Database!$A$1:$C$1,),))</f>
        <v/>
      </c>
      <c r="D1597">
        <f>IFERROR(Table73[[#This Row],[United States 10y]]-Table73[[#This Row],[United States 2y]],#N/A)</f>
        <v/>
      </c>
    </row>
    <row r="1598">
      <c r="A1598" s="6">
        <f>Database!A1597</f>
        <v/>
      </c>
      <c r="B1598">
        <f>IF(VLOOKUP(Table73[[#This Row],[Date]],Database!$A:$E,MATCH($B$1,Database!$A$1:$E$1,),)=0,#N/A,VLOOKUP(Table73[[#This Row],[Date]],Database!$A:$E,MATCH($B$1,Database!$A$1:$E$1,),))</f>
        <v/>
      </c>
      <c r="C1598">
        <f>IF(VLOOKUP(Table73[[#This Row],[Date]],Database!$A:$C,MATCH($C$1,Database!$A$1:$C$1,),)=0,#N/A,VLOOKUP(Table73[[#This Row],[Date]],Database!$A:$C,MATCH($C$1,Database!$A$1:$C$1,),))</f>
        <v/>
      </c>
      <c r="D1598">
        <f>IFERROR(Table73[[#This Row],[United States 10y]]-Table73[[#This Row],[United States 2y]],#N/A)</f>
        <v/>
      </c>
    </row>
    <row r="1599">
      <c r="A1599" s="6">
        <f>Database!A1598</f>
        <v/>
      </c>
      <c r="B1599">
        <f>IF(VLOOKUP(Table73[[#This Row],[Date]],Database!$A:$E,MATCH($B$1,Database!$A$1:$E$1,),)=0,#N/A,VLOOKUP(Table73[[#This Row],[Date]],Database!$A:$E,MATCH($B$1,Database!$A$1:$E$1,),))</f>
        <v/>
      </c>
      <c r="C1599">
        <f>IF(VLOOKUP(Table73[[#This Row],[Date]],Database!$A:$C,MATCH($C$1,Database!$A$1:$C$1,),)=0,#N/A,VLOOKUP(Table73[[#This Row],[Date]],Database!$A:$C,MATCH($C$1,Database!$A$1:$C$1,),))</f>
        <v/>
      </c>
      <c r="D1599">
        <f>IFERROR(Table73[[#This Row],[United States 10y]]-Table73[[#This Row],[United States 2y]],#N/A)</f>
        <v/>
      </c>
    </row>
    <row r="1600">
      <c r="A1600" s="6">
        <f>Database!A1599</f>
        <v/>
      </c>
      <c r="B1600">
        <f>IF(VLOOKUP(Table73[[#This Row],[Date]],Database!$A:$E,MATCH($B$1,Database!$A$1:$E$1,),)=0,#N/A,VLOOKUP(Table73[[#This Row],[Date]],Database!$A:$E,MATCH($B$1,Database!$A$1:$E$1,),))</f>
        <v/>
      </c>
      <c r="C1600">
        <f>IF(VLOOKUP(Table73[[#This Row],[Date]],Database!$A:$C,MATCH($C$1,Database!$A$1:$C$1,),)=0,#N/A,VLOOKUP(Table73[[#This Row],[Date]],Database!$A:$C,MATCH($C$1,Database!$A$1:$C$1,),))</f>
        <v/>
      </c>
      <c r="D1600">
        <f>IFERROR(Table73[[#This Row],[United States 10y]]-Table73[[#This Row],[United States 2y]],#N/A)</f>
        <v/>
      </c>
    </row>
    <row r="1601">
      <c r="A1601" s="6">
        <f>Database!A1600</f>
        <v/>
      </c>
      <c r="B1601">
        <f>IF(VLOOKUP(Table73[[#This Row],[Date]],Database!$A:$E,MATCH($B$1,Database!$A$1:$E$1,),)=0,#N/A,VLOOKUP(Table73[[#This Row],[Date]],Database!$A:$E,MATCH($B$1,Database!$A$1:$E$1,),))</f>
        <v/>
      </c>
      <c r="C1601">
        <f>IF(VLOOKUP(Table73[[#This Row],[Date]],Database!$A:$C,MATCH($C$1,Database!$A$1:$C$1,),)=0,#N/A,VLOOKUP(Table73[[#This Row],[Date]],Database!$A:$C,MATCH($C$1,Database!$A$1:$C$1,),))</f>
        <v/>
      </c>
      <c r="D1601">
        <f>IFERROR(Table73[[#This Row],[United States 10y]]-Table73[[#This Row],[United States 2y]],#N/A)</f>
        <v/>
      </c>
    </row>
    <row r="1602">
      <c r="A1602" s="6">
        <f>Database!A1601</f>
        <v/>
      </c>
      <c r="B1602">
        <f>IF(VLOOKUP(Table73[[#This Row],[Date]],Database!$A:$E,MATCH($B$1,Database!$A$1:$E$1,),)=0,#N/A,VLOOKUP(Table73[[#This Row],[Date]],Database!$A:$E,MATCH($B$1,Database!$A$1:$E$1,),))</f>
        <v/>
      </c>
      <c r="C1602">
        <f>IF(VLOOKUP(Table73[[#This Row],[Date]],Database!$A:$C,MATCH($C$1,Database!$A$1:$C$1,),)=0,#N/A,VLOOKUP(Table73[[#This Row],[Date]],Database!$A:$C,MATCH($C$1,Database!$A$1:$C$1,),))</f>
        <v/>
      </c>
      <c r="D1602">
        <f>IFERROR(Table73[[#This Row],[United States 10y]]-Table73[[#This Row],[United States 2y]],#N/A)</f>
        <v/>
      </c>
    </row>
    <row r="1603">
      <c r="A1603" s="6">
        <f>Database!A1602</f>
        <v/>
      </c>
      <c r="B1603">
        <f>IF(VLOOKUP(Table73[[#This Row],[Date]],Database!$A:$E,MATCH($B$1,Database!$A$1:$E$1,),)=0,#N/A,VLOOKUP(Table73[[#This Row],[Date]],Database!$A:$E,MATCH($B$1,Database!$A$1:$E$1,),))</f>
        <v/>
      </c>
      <c r="C1603">
        <f>IF(VLOOKUP(Table73[[#This Row],[Date]],Database!$A:$C,MATCH($C$1,Database!$A$1:$C$1,),)=0,#N/A,VLOOKUP(Table73[[#This Row],[Date]],Database!$A:$C,MATCH($C$1,Database!$A$1:$C$1,),))</f>
        <v/>
      </c>
      <c r="D1603">
        <f>IFERROR(Table73[[#This Row],[United States 10y]]-Table73[[#This Row],[United States 2y]],#N/A)</f>
        <v/>
      </c>
    </row>
    <row r="1604">
      <c r="A1604" s="6">
        <f>Database!A1603</f>
        <v/>
      </c>
      <c r="B1604">
        <f>IF(VLOOKUP(Table73[[#This Row],[Date]],Database!$A:$E,MATCH($B$1,Database!$A$1:$E$1,),)=0,#N/A,VLOOKUP(Table73[[#This Row],[Date]],Database!$A:$E,MATCH($B$1,Database!$A$1:$E$1,),))</f>
        <v/>
      </c>
      <c r="C1604">
        <f>IF(VLOOKUP(Table73[[#This Row],[Date]],Database!$A:$C,MATCH($C$1,Database!$A$1:$C$1,),)=0,#N/A,VLOOKUP(Table73[[#This Row],[Date]],Database!$A:$C,MATCH($C$1,Database!$A$1:$C$1,),))</f>
        <v/>
      </c>
      <c r="D1604">
        <f>IFERROR(Table73[[#This Row],[United States 10y]]-Table73[[#This Row],[United States 2y]],#N/A)</f>
        <v/>
      </c>
    </row>
    <row r="1605">
      <c r="A1605" s="6">
        <f>Database!A1604</f>
        <v/>
      </c>
      <c r="B1605">
        <f>IF(VLOOKUP(Table73[[#This Row],[Date]],Database!$A:$E,MATCH($B$1,Database!$A$1:$E$1,),)=0,#N/A,VLOOKUP(Table73[[#This Row],[Date]],Database!$A:$E,MATCH($B$1,Database!$A$1:$E$1,),))</f>
        <v/>
      </c>
      <c r="C1605">
        <f>IF(VLOOKUP(Table73[[#This Row],[Date]],Database!$A:$C,MATCH($C$1,Database!$A$1:$C$1,),)=0,#N/A,VLOOKUP(Table73[[#This Row],[Date]],Database!$A:$C,MATCH($C$1,Database!$A$1:$C$1,),))</f>
        <v/>
      </c>
      <c r="D1605">
        <f>IFERROR(Table73[[#This Row],[United States 10y]]-Table73[[#This Row],[United States 2y]],#N/A)</f>
        <v/>
      </c>
    </row>
    <row r="1606">
      <c r="A1606" s="6">
        <f>Database!A1605</f>
        <v/>
      </c>
      <c r="B1606">
        <f>IF(VLOOKUP(Table73[[#This Row],[Date]],Database!$A:$E,MATCH($B$1,Database!$A$1:$E$1,),)=0,#N/A,VLOOKUP(Table73[[#This Row],[Date]],Database!$A:$E,MATCH($B$1,Database!$A$1:$E$1,),))</f>
        <v/>
      </c>
      <c r="C1606">
        <f>IF(VLOOKUP(Table73[[#This Row],[Date]],Database!$A:$C,MATCH($C$1,Database!$A$1:$C$1,),)=0,#N/A,VLOOKUP(Table73[[#This Row],[Date]],Database!$A:$C,MATCH($C$1,Database!$A$1:$C$1,),))</f>
        <v/>
      </c>
      <c r="D1606">
        <f>IFERROR(Table73[[#This Row],[United States 10y]]-Table73[[#This Row],[United States 2y]],#N/A)</f>
        <v/>
      </c>
    </row>
    <row r="1607">
      <c r="A1607" s="6">
        <f>Database!A1606</f>
        <v/>
      </c>
      <c r="B1607">
        <f>IF(VLOOKUP(Table73[[#This Row],[Date]],Database!$A:$E,MATCH($B$1,Database!$A$1:$E$1,),)=0,#N/A,VLOOKUP(Table73[[#This Row],[Date]],Database!$A:$E,MATCH($B$1,Database!$A$1:$E$1,),))</f>
        <v/>
      </c>
      <c r="C1607">
        <f>IF(VLOOKUP(Table73[[#This Row],[Date]],Database!$A:$C,MATCH($C$1,Database!$A$1:$C$1,),)=0,#N/A,VLOOKUP(Table73[[#This Row],[Date]],Database!$A:$C,MATCH($C$1,Database!$A$1:$C$1,),))</f>
        <v/>
      </c>
      <c r="D1607">
        <f>IFERROR(Table73[[#This Row],[United States 10y]]-Table73[[#This Row],[United States 2y]],#N/A)</f>
        <v/>
      </c>
    </row>
    <row r="1608">
      <c r="A1608" s="6">
        <f>Database!A1607</f>
        <v/>
      </c>
      <c r="B1608">
        <f>IF(VLOOKUP(Table73[[#This Row],[Date]],Database!$A:$E,MATCH($B$1,Database!$A$1:$E$1,),)=0,#N/A,VLOOKUP(Table73[[#This Row],[Date]],Database!$A:$E,MATCH($B$1,Database!$A$1:$E$1,),))</f>
        <v/>
      </c>
      <c r="C1608">
        <f>IF(VLOOKUP(Table73[[#This Row],[Date]],Database!$A:$C,MATCH($C$1,Database!$A$1:$C$1,),)=0,#N/A,VLOOKUP(Table73[[#This Row],[Date]],Database!$A:$C,MATCH($C$1,Database!$A$1:$C$1,),))</f>
        <v/>
      </c>
      <c r="D1608">
        <f>IFERROR(Table73[[#This Row],[United States 10y]]-Table73[[#This Row],[United States 2y]],#N/A)</f>
        <v/>
      </c>
    </row>
    <row r="1609">
      <c r="A1609" s="6">
        <f>Database!A1608</f>
        <v/>
      </c>
      <c r="B1609">
        <f>IF(VLOOKUP(Table73[[#This Row],[Date]],Database!$A:$E,MATCH($B$1,Database!$A$1:$E$1,),)=0,#N/A,VLOOKUP(Table73[[#This Row],[Date]],Database!$A:$E,MATCH($B$1,Database!$A$1:$E$1,),))</f>
        <v/>
      </c>
      <c r="C1609">
        <f>IF(VLOOKUP(Table73[[#This Row],[Date]],Database!$A:$C,MATCH($C$1,Database!$A$1:$C$1,),)=0,#N/A,VLOOKUP(Table73[[#This Row],[Date]],Database!$A:$C,MATCH($C$1,Database!$A$1:$C$1,),))</f>
        <v/>
      </c>
      <c r="D1609">
        <f>IFERROR(Table73[[#This Row],[United States 10y]]-Table73[[#This Row],[United States 2y]],#N/A)</f>
        <v/>
      </c>
    </row>
    <row r="1610">
      <c r="A1610" s="6">
        <f>Database!A1609</f>
        <v/>
      </c>
      <c r="B1610">
        <f>IF(VLOOKUP(Table73[[#This Row],[Date]],Database!$A:$E,MATCH($B$1,Database!$A$1:$E$1,),)=0,#N/A,VLOOKUP(Table73[[#This Row],[Date]],Database!$A:$E,MATCH($B$1,Database!$A$1:$E$1,),))</f>
        <v/>
      </c>
      <c r="C1610">
        <f>IF(VLOOKUP(Table73[[#This Row],[Date]],Database!$A:$C,MATCH($C$1,Database!$A$1:$C$1,),)=0,#N/A,VLOOKUP(Table73[[#This Row],[Date]],Database!$A:$C,MATCH($C$1,Database!$A$1:$C$1,),))</f>
        <v/>
      </c>
      <c r="D1610">
        <f>IFERROR(Table73[[#This Row],[United States 10y]]-Table73[[#This Row],[United States 2y]],#N/A)</f>
        <v/>
      </c>
    </row>
    <row r="1611">
      <c r="A1611" s="6">
        <f>Database!A1610</f>
        <v/>
      </c>
      <c r="B1611">
        <f>IF(VLOOKUP(Table73[[#This Row],[Date]],Database!$A:$E,MATCH($B$1,Database!$A$1:$E$1,),)=0,#N/A,VLOOKUP(Table73[[#This Row],[Date]],Database!$A:$E,MATCH($B$1,Database!$A$1:$E$1,),))</f>
        <v/>
      </c>
      <c r="C1611">
        <f>IF(VLOOKUP(Table73[[#This Row],[Date]],Database!$A:$C,MATCH($C$1,Database!$A$1:$C$1,),)=0,#N/A,VLOOKUP(Table73[[#This Row],[Date]],Database!$A:$C,MATCH($C$1,Database!$A$1:$C$1,),))</f>
        <v/>
      </c>
      <c r="D1611">
        <f>IFERROR(Table73[[#This Row],[United States 10y]]-Table73[[#This Row],[United States 2y]],#N/A)</f>
        <v/>
      </c>
    </row>
    <row r="1612">
      <c r="A1612" s="6">
        <f>Database!A1611</f>
        <v/>
      </c>
      <c r="B1612">
        <f>IF(VLOOKUP(Table73[[#This Row],[Date]],Database!$A:$E,MATCH($B$1,Database!$A$1:$E$1,),)=0,#N/A,VLOOKUP(Table73[[#This Row],[Date]],Database!$A:$E,MATCH($B$1,Database!$A$1:$E$1,),))</f>
        <v/>
      </c>
      <c r="C1612">
        <f>IF(VLOOKUP(Table73[[#This Row],[Date]],Database!$A:$C,MATCH($C$1,Database!$A$1:$C$1,),)=0,#N/A,VLOOKUP(Table73[[#This Row],[Date]],Database!$A:$C,MATCH($C$1,Database!$A$1:$C$1,),))</f>
        <v/>
      </c>
      <c r="D1612">
        <f>IFERROR(Table73[[#This Row],[United States 10y]]-Table73[[#This Row],[United States 2y]],#N/A)</f>
        <v/>
      </c>
    </row>
    <row r="1613">
      <c r="A1613" s="6">
        <f>Database!A1612</f>
        <v/>
      </c>
      <c r="B1613">
        <f>IF(VLOOKUP(Table73[[#This Row],[Date]],Database!$A:$E,MATCH($B$1,Database!$A$1:$E$1,),)=0,#N/A,VLOOKUP(Table73[[#This Row],[Date]],Database!$A:$E,MATCH($B$1,Database!$A$1:$E$1,),))</f>
        <v/>
      </c>
      <c r="C1613">
        <f>IF(VLOOKUP(Table73[[#This Row],[Date]],Database!$A:$C,MATCH($C$1,Database!$A$1:$C$1,),)=0,#N/A,VLOOKUP(Table73[[#This Row],[Date]],Database!$A:$C,MATCH($C$1,Database!$A$1:$C$1,),))</f>
        <v/>
      </c>
      <c r="D1613">
        <f>IFERROR(Table73[[#This Row],[United States 10y]]-Table73[[#This Row],[United States 2y]],#N/A)</f>
        <v/>
      </c>
    </row>
    <row r="1614">
      <c r="A1614" s="6">
        <f>Database!A1613</f>
        <v/>
      </c>
      <c r="B1614">
        <f>IF(VLOOKUP(Table73[[#This Row],[Date]],Database!$A:$E,MATCH($B$1,Database!$A$1:$E$1,),)=0,#N/A,VLOOKUP(Table73[[#This Row],[Date]],Database!$A:$E,MATCH($B$1,Database!$A$1:$E$1,),))</f>
        <v/>
      </c>
      <c r="C1614">
        <f>IF(VLOOKUP(Table73[[#This Row],[Date]],Database!$A:$C,MATCH($C$1,Database!$A$1:$C$1,),)=0,#N/A,VLOOKUP(Table73[[#This Row],[Date]],Database!$A:$C,MATCH($C$1,Database!$A$1:$C$1,),))</f>
        <v/>
      </c>
      <c r="D1614">
        <f>IFERROR(Table73[[#This Row],[United States 10y]]-Table73[[#This Row],[United States 2y]],#N/A)</f>
        <v/>
      </c>
    </row>
    <row r="1615">
      <c r="A1615" s="6">
        <f>Database!A1614</f>
        <v/>
      </c>
      <c r="B1615">
        <f>IF(VLOOKUP(Table73[[#This Row],[Date]],Database!$A:$E,MATCH($B$1,Database!$A$1:$E$1,),)=0,#N/A,VLOOKUP(Table73[[#This Row],[Date]],Database!$A:$E,MATCH($B$1,Database!$A$1:$E$1,),))</f>
        <v/>
      </c>
      <c r="C1615">
        <f>IF(VLOOKUP(Table73[[#This Row],[Date]],Database!$A:$C,MATCH($C$1,Database!$A$1:$C$1,),)=0,#N/A,VLOOKUP(Table73[[#This Row],[Date]],Database!$A:$C,MATCH($C$1,Database!$A$1:$C$1,),))</f>
        <v/>
      </c>
      <c r="D1615">
        <f>IFERROR(Table73[[#This Row],[United States 10y]]-Table73[[#This Row],[United States 2y]],#N/A)</f>
        <v/>
      </c>
    </row>
    <row r="1616">
      <c r="A1616" s="6">
        <f>Database!A1615</f>
        <v/>
      </c>
      <c r="B1616">
        <f>IF(VLOOKUP(Table73[[#This Row],[Date]],Database!$A:$E,MATCH($B$1,Database!$A$1:$E$1,),)=0,#N/A,VLOOKUP(Table73[[#This Row],[Date]],Database!$A:$E,MATCH($B$1,Database!$A$1:$E$1,),))</f>
        <v/>
      </c>
      <c r="C1616">
        <f>IF(VLOOKUP(Table73[[#This Row],[Date]],Database!$A:$C,MATCH($C$1,Database!$A$1:$C$1,),)=0,#N/A,VLOOKUP(Table73[[#This Row],[Date]],Database!$A:$C,MATCH($C$1,Database!$A$1:$C$1,),))</f>
        <v/>
      </c>
      <c r="D1616">
        <f>IFERROR(Table73[[#This Row],[United States 10y]]-Table73[[#This Row],[United States 2y]],#N/A)</f>
        <v/>
      </c>
    </row>
    <row r="1617">
      <c r="A1617" s="6">
        <f>Database!A1616</f>
        <v/>
      </c>
      <c r="B1617">
        <f>IF(VLOOKUP(Table73[[#This Row],[Date]],Database!$A:$E,MATCH($B$1,Database!$A$1:$E$1,),)=0,#N/A,VLOOKUP(Table73[[#This Row],[Date]],Database!$A:$E,MATCH($B$1,Database!$A$1:$E$1,),))</f>
        <v/>
      </c>
      <c r="C1617">
        <f>IF(VLOOKUP(Table73[[#This Row],[Date]],Database!$A:$C,MATCH($C$1,Database!$A$1:$C$1,),)=0,#N/A,VLOOKUP(Table73[[#This Row],[Date]],Database!$A:$C,MATCH($C$1,Database!$A$1:$C$1,),))</f>
        <v/>
      </c>
      <c r="D1617">
        <f>IFERROR(Table73[[#This Row],[United States 10y]]-Table73[[#This Row],[United States 2y]],#N/A)</f>
        <v/>
      </c>
    </row>
    <row r="1618">
      <c r="A1618" s="6">
        <f>Database!A1617</f>
        <v/>
      </c>
      <c r="B1618">
        <f>IF(VLOOKUP(Table73[[#This Row],[Date]],Database!$A:$E,MATCH($B$1,Database!$A$1:$E$1,),)=0,#N/A,VLOOKUP(Table73[[#This Row],[Date]],Database!$A:$E,MATCH($B$1,Database!$A$1:$E$1,),))</f>
        <v/>
      </c>
      <c r="C1618">
        <f>IF(VLOOKUP(Table73[[#This Row],[Date]],Database!$A:$C,MATCH($C$1,Database!$A$1:$C$1,),)=0,#N/A,VLOOKUP(Table73[[#This Row],[Date]],Database!$A:$C,MATCH($C$1,Database!$A$1:$C$1,),))</f>
        <v/>
      </c>
      <c r="D1618">
        <f>IFERROR(Table73[[#This Row],[United States 10y]]-Table73[[#This Row],[United States 2y]],#N/A)</f>
        <v/>
      </c>
    </row>
    <row r="1619">
      <c r="A1619" s="6">
        <f>Database!A1618</f>
        <v/>
      </c>
      <c r="B1619">
        <f>IF(VLOOKUP(Table73[[#This Row],[Date]],Database!$A:$E,MATCH($B$1,Database!$A$1:$E$1,),)=0,#N/A,VLOOKUP(Table73[[#This Row],[Date]],Database!$A:$E,MATCH($B$1,Database!$A$1:$E$1,),))</f>
        <v/>
      </c>
      <c r="C1619">
        <f>IF(VLOOKUP(Table73[[#This Row],[Date]],Database!$A:$C,MATCH($C$1,Database!$A$1:$C$1,),)=0,#N/A,VLOOKUP(Table73[[#This Row],[Date]],Database!$A:$C,MATCH($C$1,Database!$A$1:$C$1,),))</f>
        <v/>
      </c>
      <c r="D1619">
        <f>IFERROR(Table73[[#This Row],[United States 10y]]-Table73[[#This Row],[United States 2y]],#N/A)</f>
        <v/>
      </c>
    </row>
    <row r="1620">
      <c r="A1620" s="6">
        <f>Database!A1619</f>
        <v/>
      </c>
      <c r="B1620">
        <f>IF(VLOOKUP(Table73[[#This Row],[Date]],Database!$A:$E,MATCH($B$1,Database!$A$1:$E$1,),)=0,#N/A,VLOOKUP(Table73[[#This Row],[Date]],Database!$A:$E,MATCH($B$1,Database!$A$1:$E$1,),))</f>
        <v/>
      </c>
      <c r="C1620">
        <f>IF(VLOOKUP(Table73[[#This Row],[Date]],Database!$A:$C,MATCH($C$1,Database!$A$1:$C$1,),)=0,#N/A,VLOOKUP(Table73[[#This Row],[Date]],Database!$A:$C,MATCH($C$1,Database!$A$1:$C$1,),))</f>
        <v/>
      </c>
      <c r="D1620">
        <f>IFERROR(Table73[[#This Row],[United States 10y]]-Table73[[#This Row],[United States 2y]],#N/A)</f>
        <v/>
      </c>
    </row>
    <row r="1621">
      <c r="A1621" s="6">
        <f>Database!A1620</f>
        <v/>
      </c>
      <c r="B1621">
        <f>IF(VLOOKUP(Table73[[#This Row],[Date]],Database!$A:$E,MATCH($B$1,Database!$A$1:$E$1,),)=0,#N/A,VLOOKUP(Table73[[#This Row],[Date]],Database!$A:$E,MATCH($B$1,Database!$A$1:$E$1,),))</f>
        <v/>
      </c>
      <c r="C1621">
        <f>IF(VLOOKUP(Table73[[#This Row],[Date]],Database!$A:$C,MATCH($C$1,Database!$A$1:$C$1,),)=0,#N/A,VLOOKUP(Table73[[#This Row],[Date]],Database!$A:$C,MATCH($C$1,Database!$A$1:$C$1,),))</f>
        <v/>
      </c>
      <c r="D1621">
        <f>IFERROR(Table73[[#This Row],[United States 10y]]-Table73[[#This Row],[United States 2y]],#N/A)</f>
        <v/>
      </c>
    </row>
    <row r="1622">
      <c r="A1622" s="6">
        <f>Database!A1621</f>
        <v/>
      </c>
      <c r="B1622">
        <f>IF(VLOOKUP(Table73[[#This Row],[Date]],Database!$A:$E,MATCH($B$1,Database!$A$1:$E$1,),)=0,#N/A,VLOOKUP(Table73[[#This Row],[Date]],Database!$A:$E,MATCH($B$1,Database!$A$1:$E$1,),))</f>
        <v/>
      </c>
      <c r="C1622">
        <f>IF(VLOOKUP(Table73[[#This Row],[Date]],Database!$A:$C,MATCH($C$1,Database!$A$1:$C$1,),)=0,#N/A,VLOOKUP(Table73[[#This Row],[Date]],Database!$A:$C,MATCH($C$1,Database!$A$1:$C$1,),))</f>
        <v/>
      </c>
      <c r="D1622">
        <f>IFERROR(Table73[[#This Row],[United States 10y]]-Table73[[#This Row],[United States 2y]],#N/A)</f>
        <v/>
      </c>
    </row>
    <row r="1623">
      <c r="A1623" s="6">
        <f>Database!A1622</f>
        <v/>
      </c>
      <c r="B1623">
        <f>IF(VLOOKUP(Table73[[#This Row],[Date]],Database!$A:$E,MATCH($B$1,Database!$A$1:$E$1,),)=0,#N/A,VLOOKUP(Table73[[#This Row],[Date]],Database!$A:$E,MATCH($B$1,Database!$A$1:$E$1,),))</f>
        <v/>
      </c>
      <c r="C1623">
        <f>IF(VLOOKUP(Table73[[#This Row],[Date]],Database!$A:$C,MATCH($C$1,Database!$A$1:$C$1,),)=0,#N/A,VLOOKUP(Table73[[#This Row],[Date]],Database!$A:$C,MATCH($C$1,Database!$A$1:$C$1,),))</f>
        <v/>
      </c>
      <c r="D1623">
        <f>IFERROR(Table73[[#This Row],[United States 10y]]-Table73[[#This Row],[United States 2y]],#N/A)</f>
        <v/>
      </c>
    </row>
    <row r="1624">
      <c r="A1624" s="6">
        <f>Database!A1623</f>
        <v/>
      </c>
      <c r="B1624">
        <f>IF(VLOOKUP(Table73[[#This Row],[Date]],Database!$A:$E,MATCH($B$1,Database!$A$1:$E$1,),)=0,#N/A,VLOOKUP(Table73[[#This Row],[Date]],Database!$A:$E,MATCH($B$1,Database!$A$1:$E$1,),))</f>
        <v/>
      </c>
      <c r="C1624">
        <f>IF(VLOOKUP(Table73[[#This Row],[Date]],Database!$A:$C,MATCH($C$1,Database!$A$1:$C$1,),)=0,#N/A,VLOOKUP(Table73[[#This Row],[Date]],Database!$A:$C,MATCH($C$1,Database!$A$1:$C$1,),))</f>
        <v/>
      </c>
      <c r="D1624">
        <f>IFERROR(Table73[[#This Row],[United States 10y]]-Table73[[#This Row],[United States 2y]],#N/A)</f>
        <v/>
      </c>
    </row>
    <row r="1625">
      <c r="A1625" s="6">
        <f>Database!A1624</f>
        <v/>
      </c>
      <c r="B1625">
        <f>IF(VLOOKUP(Table73[[#This Row],[Date]],Database!$A:$E,MATCH($B$1,Database!$A$1:$E$1,),)=0,#N/A,VLOOKUP(Table73[[#This Row],[Date]],Database!$A:$E,MATCH($B$1,Database!$A$1:$E$1,),))</f>
        <v/>
      </c>
      <c r="C1625">
        <f>IF(VLOOKUP(Table73[[#This Row],[Date]],Database!$A:$C,MATCH($C$1,Database!$A$1:$C$1,),)=0,#N/A,VLOOKUP(Table73[[#This Row],[Date]],Database!$A:$C,MATCH($C$1,Database!$A$1:$C$1,),))</f>
        <v/>
      </c>
      <c r="D1625">
        <f>IFERROR(Table73[[#This Row],[United States 10y]]-Table73[[#This Row],[United States 2y]],#N/A)</f>
        <v/>
      </c>
    </row>
    <row r="1626">
      <c r="A1626" s="6">
        <f>Database!A1625</f>
        <v/>
      </c>
      <c r="B1626">
        <f>IF(VLOOKUP(Table73[[#This Row],[Date]],Database!$A:$E,MATCH($B$1,Database!$A$1:$E$1,),)=0,#N/A,VLOOKUP(Table73[[#This Row],[Date]],Database!$A:$E,MATCH($B$1,Database!$A$1:$E$1,),))</f>
        <v/>
      </c>
      <c r="C1626">
        <f>IF(VLOOKUP(Table73[[#This Row],[Date]],Database!$A:$C,MATCH($C$1,Database!$A$1:$C$1,),)=0,#N/A,VLOOKUP(Table73[[#This Row],[Date]],Database!$A:$C,MATCH($C$1,Database!$A$1:$C$1,),))</f>
        <v/>
      </c>
      <c r="D1626">
        <f>IFERROR(Table73[[#This Row],[United States 10y]]-Table73[[#This Row],[United States 2y]],#N/A)</f>
        <v/>
      </c>
    </row>
    <row r="1627">
      <c r="A1627" s="6">
        <f>Database!A1626</f>
        <v/>
      </c>
      <c r="B1627">
        <f>IF(VLOOKUP(Table73[[#This Row],[Date]],Database!$A:$E,MATCH($B$1,Database!$A$1:$E$1,),)=0,#N/A,VLOOKUP(Table73[[#This Row],[Date]],Database!$A:$E,MATCH($B$1,Database!$A$1:$E$1,),))</f>
        <v/>
      </c>
      <c r="C1627">
        <f>IF(VLOOKUP(Table73[[#This Row],[Date]],Database!$A:$C,MATCH($C$1,Database!$A$1:$C$1,),)=0,#N/A,VLOOKUP(Table73[[#This Row],[Date]],Database!$A:$C,MATCH($C$1,Database!$A$1:$C$1,),))</f>
        <v/>
      </c>
      <c r="D1627">
        <f>IFERROR(Table73[[#This Row],[United States 10y]]-Table73[[#This Row],[United States 2y]],#N/A)</f>
        <v/>
      </c>
    </row>
    <row r="1628">
      <c r="A1628" s="6">
        <f>Database!A1627</f>
        <v/>
      </c>
      <c r="B1628">
        <f>IF(VLOOKUP(Table73[[#This Row],[Date]],Database!$A:$E,MATCH($B$1,Database!$A$1:$E$1,),)=0,#N/A,VLOOKUP(Table73[[#This Row],[Date]],Database!$A:$E,MATCH($B$1,Database!$A$1:$E$1,),))</f>
        <v/>
      </c>
      <c r="C1628">
        <f>IF(VLOOKUP(Table73[[#This Row],[Date]],Database!$A:$C,MATCH($C$1,Database!$A$1:$C$1,),)=0,#N/A,VLOOKUP(Table73[[#This Row],[Date]],Database!$A:$C,MATCH($C$1,Database!$A$1:$C$1,),))</f>
        <v/>
      </c>
      <c r="D1628">
        <f>IFERROR(Table73[[#This Row],[United States 10y]]-Table73[[#This Row],[United States 2y]],#N/A)</f>
        <v/>
      </c>
    </row>
    <row r="1629">
      <c r="A1629" s="6">
        <f>Database!A1628</f>
        <v/>
      </c>
      <c r="B1629">
        <f>IF(VLOOKUP(Table73[[#This Row],[Date]],Database!$A:$E,MATCH($B$1,Database!$A$1:$E$1,),)=0,#N/A,VLOOKUP(Table73[[#This Row],[Date]],Database!$A:$E,MATCH($B$1,Database!$A$1:$E$1,),))</f>
        <v/>
      </c>
      <c r="C1629">
        <f>IF(VLOOKUP(Table73[[#This Row],[Date]],Database!$A:$C,MATCH($C$1,Database!$A$1:$C$1,),)=0,#N/A,VLOOKUP(Table73[[#This Row],[Date]],Database!$A:$C,MATCH($C$1,Database!$A$1:$C$1,),))</f>
        <v/>
      </c>
      <c r="D1629">
        <f>IFERROR(Table73[[#This Row],[United States 10y]]-Table73[[#This Row],[United States 2y]],#N/A)</f>
        <v/>
      </c>
    </row>
    <row r="1630">
      <c r="A1630" s="6">
        <f>Database!A1629</f>
        <v/>
      </c>
      <c r="B1630">
        <f>IF(VLOOKUP(Table73[[#This Row],[Date]],Database!$A:$E,MATCH($B$1,Database!$A$1:$E$1,),)=0,#N/A,VLOOKUP(Table73[[#This Row],[Date]],Database!$A:$E,MATCH($B$1,Database!$A$1:$E$1,),))</f>
        <v/>
      </c>
      <c r="C1630">
        <f>IF(VLOOKUP(Table73[[#This Row],[Date]],Database!$A:$C,MATCH($C$1,Database!$A$1:$C$1,),)=0,#N/A,VLOOKUP(Table73[[#This Row],[Date]],Database!$A:$C,MATCH($C$1,Database!$A$1:$C$1,),))</f>
        <v/>
      </c>
      <c r="D1630">
        <f>IFERROR(Table73[[#This Row],[United States 10y]]-Table73[[#This Row],[United States 2y]],#N/A)</f>
        <v/>
      </c>
    </row>
    <row r="1631">
      <c r="A1631" s="6">
        <f>Database!A1630</f>
        <v/>
      </c>
      <c r="B1631">
        <f>IF(VLOOKUP(Table73[[#This Row],[Date]],Database!$A:$E,MATCH($B$1,Database!$A$1:$E$1,),)=0,#N/A,VLOOKUP(Table73[[#This Row],[Date]],Database!$A:$E,MATCH($B$1,Database!$A$1:$E$1,),))</f>
        <v/>
      </c>
      <c r="C1631">
        <f>IF(VLOOKUP(Table73[[#This Row],[Date]],Database!$A:$C,MATCH($C$1,Database!$A$1:$C$1,),)=0,#N/A,VLOOKUP(Table73[[#This Row],[Date]],Database!$A:$C,MATCH($C$1,Database!$A$1:$C$1,),))</f>
        <v/>
      </c>
      <c r="D1631">
        <f>IFERROR(Table73[[#This Row],[United States 10y]]-Table73[[#This Row],[United States 2y]],#N/A)</f>
        <v/>
      </c>
    </row>
    <row r="1632">
      <c r="A1632" s="6">
        <f>Database!A1631</f>
        <v/>
      </c>
      <c r="B1632">
        <f>IF(VLOOKUP(Table73[[#This Row],[Date]],Database!$A:$E,MATCH($B$1,Database!$A$1:$E$1,),)=0,#N/A,VLOOKUP(Table73[[#This Row],[Date]],Database!$A:$E,MATCH($B$1,Database!$A$1:$E$1,),))</f>
        <v/>
      </c>
      <c r="C1632">
        <f>IF(VLOOKUP(Table73[[#This Row],[Date]],Database!$A:$C,MATCH($C$1,Database!$A$1:$C$1,),)=0,#N/A,VLOOKUP(Table73[[#This Row],[Date]],Database!$A:$C,MATCH($C$1,Database!$A$1:$C$1,),))</f>
        <v/>
      </c>
      <c r="D1632">
        <f>IFERROR(Table73[[#This Row],[United States 10y]]-Table73[[#This Row],[United States 2y]],#N/A)</f>
        <v/>
      </c>
    </row>
    <row r="1633">
      <c r="A1633" s="6">
        <f>Database!A1632</f>
        <v/>
      </c>
      <c r="B1633">
        <f>IF(VLOOKUP(Table73[[#This Row],[Date]],Database!$A:$E,MATCH($B$1,Database!$A$1:$E$1,),)=0,#N/A,VLOOKUP(Table73[[#This Row],[Date]],Database!$A:$E,MATCH($B$1,Database!$A$1:$E$1,),))</f>
        <v/>
      </c>
      <c r="C1633">
        <f>IF(VLOOKUP(Table73[[#This Row],[Date]],Database!$A:$C,MATCH($C$1,Database!$A$1:$C$1,),)=0,#N/A,VLOOKUP(Table73[[#This Row],[Date]],Database!$A:$C,MATCH($C$1,Database!$A$1:$C$1,),))</f>
        <v/>
      </c>
      <c r="D1633">
        <f>IFERROR(Table73[[#This Row],[United States 10y]]-Table73[[#This Row],[United States 2y]],#N/A)</f>
        <v/>
      </c>
    </row>
    <row r="1634">
      <c r="A1634" s="6">
        <f>Database!A1633</f>
        <v/>
      </c>
      <c r="B1634">
        <f>IF(VLOOKUP(Table73[[#This Row],[Date]],Database!$A:$E,MATCH($B$1,Database!$A$1:$E$1,),)=0,#N/A,VLOOKUP(Table73[[#This Row],[Date]],Database!$A:$E,MATCH($B$1,Database!$A$1:$E$1,),))</f>
        <v/>
      </c>
      <c r="C1634">
        <f>IF(VLOOKUP(Table73[[#This Row],[Date]],Database!$A:$C,MATCH($C$1,Database!$A$1:$C$1,),)=0,#N/A,VLOOKUP(Table73[[#This Row],[Date]],Database!$A:$C,MATCH($C$1,Database!$A$1:$C$1,),))</f>
        <v/>
      </c>
      <c r="D1634">
        <f>IFERROR(Table73[[#This Row],[United States 10y]]-Table73[[#This Row],[United States 2y]],#N/A)</f>
        <v/>
      </c>
    </row>
    <row r="1635">
      <c r="A1635" s="6">
        <f>Database!A1634</f>
        <v/>
      </c>
      <c r="B1635">
        <f>IF(VLOOKUP(Table73[[#This Row],[Date]],Database!$A:$E,MATCH($B$1,Database!$A$1:$E$1,),)=0,#N/A,VLOOKUP(Table73[[#This Row],[Date]],Database!$A:$E,MATCH($B$1,Database!$A$1:$E$1,),))</f>
        <v/>
      </c>
      <c r="C1635">
        <f>IF(VLOOKUP(Table73[[#This Row],[Date]],Database!$A:$C,MATCH($C$1,Database!$A$1:$C$1,),)=0,#N/A,VLOOKUP(Table73[[#This Row],[Date]],Database!$A:$C,MATCH($C$1,Database!$A$1:$C$1,),))</f>
        <v/>
      </c>
      <c r="D1635">
        <f>IFERROR(Table73[[#This Row],[United States 10y]]-Table73[[#This Row],[United States 2y]],#N/A)</f>
        <v/>
      </c>
    </row>
    <row r="1636">
      <c r="A1636" s="6">
        <f>Database!A1635</f>
        <v/>
      </c>
      <c r="B1636">
        <f>IF(VLOOKUP(Table73[[#This Row],[Date]],Database!$A:$E,MATCH($B$1,Database!$A$1:$E$1,),)=0,#N/A,VLOOKUP(Table73[[#This Row],[Date]],Database!$A:$E,MATCH($B$1,Database!$A$1:$E$1,),))</f>
        <v/>
      </c>
      <c r="C1636">
        <f>IF(VLOOKUP(Table73[[#This Row],[Date]],Database!$A:$C,MATCH($C$1,Database!$A$1:$C$1,),)=0,#N/A,VLOOKUP(Table73[[#This Row],[Date]],Database!$A:$C,MATCH($C$1,Database!$A$1:$C$1,),))</f>
        <v/>
      </c>
      <c r="D1636">
        <f>IFERROR(Table73[[#This Row],[United States 10y]]-Table73[[#This Row],[United States 2y]],#N/A)</f>
        <v/>
      </c>
    </row>
    <row r="1637">
      <c r="A1637" s="6">
        <f>Database!A1636</f>
        <v/>
      </c>
      <c r="B1637">
        <f>IF(VLOOKUP(Table73[[#This Row],[Date]],Database!$A:$E,MATCH($B$1,Database!$A$1:$E$1,),)=0,#N/A,VLOOKUP(Table73[[#This Row],[Date]],Database!$A:$E,MATCH($B$1,Database!$A$1:$E$1,),))</f>
        <v/>
      </c>
      <c r="C1637">
        <f>IF(VLOOKUP(Table73[[#This Row],[Date]],Database!$A:$C,MATCH($C$1,Database!$A$1:$C$1,),)=0,#N/A,VLOOKUP(Table73[[#This Row],[Date]],Database!$A:$C,MATCH($C$1,Database!$A$1:$C$1,),))</f>
        <v/>
      </c>
      <c r="D1637">
        <f>IFERROR(Table73[[#This Row],[United States 10y]]-Table73[[#This Row],[United States 2y]],#N/A)</f>
        <v/>
      </c>
    </row>
    <row r="1638">
      <c r="A1638" s="6">
        <f>Database!A1637</f>
        <v/>
      </c>
      <c r="B1638">
        <f>IF(VLOOKUP(Table73[[#This Row],[Date]],Database!$A:$E,MATCH($B$1,Database!$A$1:$E$1,),)=0,#N/A,VLOOKUP(Table73[[#This Row],[Date]],Database!$A:$E,MATCH($B$1,Database!$A$1:$E$1,),))</f>
        <v/>
      </c>
      <c r="C1638">
        <f>IF(VLOOKUP(Table73[[#This Row],[Date]],Database!$A:$C,MATCH($C$1,Database!$A$1:$C$1,),)=0,#N/A,VLOOKUP(Table73[[#This Row],[Date]],Database!$A:$C,MATCH($C$1,Database!$A$1:$C$1,),))</f>
        <v/>
      </c>
      <c r="D1638">
        <f>IFERROR(Table73[[#This Row],[United States 10y]]-Table73[[#This Row],[United States 2y]],#N/A)</f>
        <v/>
      </c>
    </row>
    <row r="1639">
      <c r="A1639" s="6">
        <f>Database!A1638</f>
        <v/>
      </c>
      <c r="B1639">
        <f>IF(VLOOKUP(Table73[[#This Row],[Date]],Database!$A:$E,MATCH($B$1,Database!$A$1:$E$1,),)=0,#N/A,VLOOKUP(Table73[[#This Row],[Date]],Database!$A:$E,MATCH($B$1,Database!$A$1:$E$1,),))</f>
        <v/>
      </c>
      <c r="C1639">
        <f>IF(VLOOKUP(Table73[[#This Row],[Date]],Database!$A:$C,MATCH($C$1,Database!$A$1:$C$1,),)=0,#N/A,VLOOKUP(Table73[[#This Row],[Date]],Database!$A:$C,MATCH($C$1,Database!$A$1:$C$1,),))</f>
        <v/>
      </c>
      <c r="D1639">
        <f>IFERROR(Table73[[#This Row],[United States 10y]]-Table73[[#This Row],[United States 2y]],#N/A)</f>
        <v/>
      </c>
    </row>
    <row r="1640">
      <c r="A1640" s="6">
        <f>Database!A1639</f>
        <v/>
      </c>
      <c r="B1640">
        <f>IF(VLOOKUP(Table73[[#This Row],[Date]],Database!$A:$E,MATCH($B$1,Database!$A$1:$E$1,),)=0,#N/A,VLOOKUP(Table73[[#This Row],[Date]],Database!$A:$E,MATCH($B$1,Database!$A$1:$E$1,),))</f>
        <v/>
      </c>
      <c r="C1640">
        <f>IF(VLOOKUP(Table73[[#This Row],[Date]],Database!$A:$C,MATCH($C$1,Database!$A$1:$C$1,),)=0,#N/A,VLOOKUP(Table73[[#This Row],[Date]],Database!$A:$C,MATCH($C$1,Database!$A$1:$C$1,),))</f>
        <v/>
      </c>
      <c r="D1640">
        <f>IFERROR(Table73[[#This Row],[United States 10y]]-Table73[[#This Row],[United States 2y]],#N/A)</f>
        <v/>
      </c>
    </row>
    <row r="1641">
      <c r="A1641" s="6">
        <f>Database!A1640</f>
        <v/>
      </c>
      <c r="B1641">
        <f>IF(VLOOKUP(Table73[[#This Row],[Date]],Database!$A:$E,MATCH($B$1,Database!$A$1:$E$1,),)=0,#N/A,VLOOKUP(Table73[[#This Row],[Date]],Database!$A:$E,MATCH($B$1,Database!$A$1:$E$1,),))</f>
        <v/>
      </c>
      <c r="C1641">
        <f>IF(VLOOKUP(Table73[[#This Row],[Date]],Database!$A:$C,MATCH($C$1,Database!$A$1:$C$1,),)=0,#N/A,VLOOKUP(Table73[[#This Row],[Date]],Database!$A:$C,MATCH($C$1,Database!$A$1:$C$1,),))</f>
        <v/>
      </c>
      <c r="D1641">
        <f>IFERROR(Table73[[#This Row],[United States 10y]]-Table73[[#This Row],[United States 2y]],#N/A)</f>
        <v/>
      </c>
    </row>
    <row r="1642">
      <c r="A1642" s="6">
        <f>Database!A1641</f>
        <v/>
      </c>
      <c r="B1642">
        <f>IF(VLOOKUP(Table73[[#This Row],[Date]],Database!$A:$E,MATCH($B$1,Database!$A$1:$E$1,),)=0,#N/A,VLOOKUP(Table73[[#This Row],[Date]],Database!$A:$E,MATCH($B$1,Database!$A$1:$E$1,),))</f>
        <v/>
      </c>
      <c r="C1642">
        <f>IF(VLOOKUP(Table73[[#This Row],[Date]],Database!$A:$C,MATCH($C$1,Database!$A$1:$C$1,),)=0,#N/A,VLOOKUP(Table73[[#This Row],[Date]],Database!$A:$C,MATCH($C$1,Database!$A$1:$C$1,),))</f>
        <v/>
      </c>
      <c r="D1642">
        <f>IFERROR(Table73[[#This Row],[United States 10y]]-Table73[[#This Row],[United States 2y]],#N/A)</f>
        <v/>
      </c>
    </row>
    <row r="1643">
      <c r="A1643" s="6">
        <f>Database!A1642</f>
        <v/>
      </c>
      <c r="B1643">
        <f>IF(VLOOKUP(Table73[[#This Row],[Date]],Database!$A:$E,MATCH($B$1,Database!$A$1:$E$1,),)=0,#N/A,VLOOKUP(Table73[[#This Row],[Date]],Database!$A:$E,MATCH($B$1,Database!$A$1:$E$1,),))</f>
        <v/>
      </c>
      <c r="C1643">
        <f>IF(VLOOKUP(Table73[[#This Row],[Date]],Database!$A:$C,MATCH($C$1,Database!$A$1:$C$1,),)=0,#N/A,VLOOKUP(Table73[[#This Row],[Date]],Database!$A:$C,MATCH($C$1,Database!$A$1:$C$1,),))</f>
        <v/>
      </c>
      <c r="D1643">
        <f>IFERROR(Table73[[#This Row],[United States 10y]]-Table73[[#This Row],[United States 2y]],#N/A)</f>
        <v/>
      </c>
    </row>
    <row r="1644">
      <c r="A1644" s="6">
        <f>Database!A1643</f>
        <v/>
      </c>
      <c r="B1644">
        <f>IF(VLOOKUP(Table73[[#This Row],[Date]],Database!$A:$E,MATCH($B$1,Database!$A$1:$E$1,),)=0,#N/A,VLOOKUP(Table73[[#This Row],[Date]],Database!$A:$E,MATCH($B$1,Database!$A$1:$E$1,),))</f>
        <v/>
      </c>
      <c r="C1644">
        <f>IF(VLOOKUP(Table73[[#This Row],[Date]],Database!$A:$C,MATCH($C$1,Database!$A$1:$C$1,),)=0,#N/A,VLOOKUP(Table73[[#This Row],[Date]],Database!$A:$C,MATCH($C$1,Database!$A$1:$C$1,),))</f>
        <v/>
      </c>
      <c r="D1644">
        <f>IFERROR(Table73[[#This Row],[United States 10y]]-Table73[[#This Row],[United States 2y]],#N/A)</f>
        <v/>
      </c>
    </row>
    <row r="1645">
      <c r="A1645" s="6">
        <f>Database!A1644</f>
        <v/>
      </c>
      <c r="B1645">
        <f>IF(VLOOKUP(Table73[[#This Row],[Date]],Database!$A:$E,MATCH($B$1,Database!$A$1:$E$1,),)=0,#N/A,VLOOKUP(Table73[[#This Row],[Date]],Database!$A:$E,MATCH($B$1,Database!$A$1:$E$1,),))</f>
        <v/>
      </c>
      <c r="C1645">
        <f>IF(VLOOKUP(Table73[[#This Row],[Date]],Database!$A:$C,MATCH($C$1,Database!$A$1:$C$1,),)=0,#N/A,VLOOKUP(Table73[[#This Row],[Date]],Database!$A:$C,MATCH($C$1,Database!$A$1:$C$1,),))</f>
        <v/>
      </c>
      <c r="D1645">
        <f>IFERROR(Table73[[#This Row],[United States 10y]]-Table73[[#This Row],[United States 2y]],#N/A)</f>
        <v/>
      </c>
    </row>
    <row r="1646">
      <c r="A1646" s="6">
        <f>Database!A1645</f>
        <v/>
      </c>
      <c r="B1646">
        <f>IF(VLOOKUP(Table73[[#This Row],[Date]],Database!$A:$E,MATCH($B$1,Database!$A$1:$E$1,),)=0,#N/A,VLOOKUP(Table73[[#This Row],[Date]],Database!$A:$E,MATCH($B$1,Database!$A$1:$E$1,),))</f>
        <v/>
      </c>
      <c r="C1646">
        <f>IF(VLOOKUP(Table73[[#This Row],[Date]],Database!$A:$C,MATCH($C$1,Database!$A$1:$C$1,),)=0,#N/A,VLOOKUP(Table73[[#This Row],[Date]],Database!$A:$C,MATCH($C$1,Database!$A$1:$C$1,),))</f>
        <v/>
      </c>
      <c r="D1646">
        <f>IFERROR(Table73[[#This Row],[United States 10y]]-Table73[[#This Row],[United States 2y]],#N/A)</f>
        <v/>
      </c>
    </row>
    <row r="1647">
      <c r="A1647" s="6">
        <f>Database!A1646</f>
        <v/>
      </c>
      <c r="B1647">
        <f>IF(VLOOKUP(Table73[[#This Row],[Date]],Database!$A:$E,MATCH($B$1,Database!$A$1:$E$1,),)=0,#N/A,VLOOKUP(Table73[[#This Row],[Date]],Database!$A:$E,MATCH($B$1,Database!$A$1:$E$1,),))</f>
        <v/>
      </c>
      <c r="C1647">
        <f>IF(VLOOKUP(Table73[[#This Row],[Date]],Database!$A:$C,MATCH($C$1,Database!$A$1:$C$1,),)=0,#N/A,VLOOKUP(Table73[[#This Row],[Date]],Database!$A:$C,MATCH($C$1,Database!$A$1:$C$1,),))</f>
        <v/>
      </c>
      <c r="D1647">
        <f>IFERROR(Table73[[#This Row],[United States 10y]]-Table73[[#This Row],[United States 2y]],#N/A)</f>
        <v/>
      </c>
    </row>
    <row r="1648">
      <c r="A1648" s="6">
        <f>Database!A1647</f>
        <v/>
      </c>
      <c r="B1648">
        <f>IF(VLOOKUP(Table73[[#This Row],[Date]],Database!$A:$E,MATCH($B$1,Database!$A$1:$E$1,),)=0,#N/A,VLOOKUP(Table73[[#This Row],[Date]],Database!$A:$E,MATCH($B$1,Database!$A$1:$E$1,),))</f>
        <v/>
      </c>
      <c r="C1648">
        <f>IF(VLOOKUP(Table73[[#This Row],[Date]],Database!$A:$C,MATCH($C$1,Database!$A$1:$C$1,),)=0,#N/A,VLOOKUP(Table73[[#This Row],[Date]],Database!$A:$C,MATCH($C$1,Database!$A$1:$C$1,),))</f>
        <v/>
      </c>
      <c r="D1648">
        <f>IFERROR(Table73[[#This Row],[United States 10y]]-Table73[[#This Row],[United States 2y]],#N/A)</f>
        <v/>
      </c>
    </row>
    <row r="1649">
      <c r="A1649" s="6">
        <f>Database!A1648</f>
        <v/>
      </c>
      <c r="B1649">
        <f>IF(VLOOKUP(Table73[[#This Row],[Date]],Database!$A:$E,MATCH($B$1,Database!$A$1:$E$1,),)=0,#N/A,VLOOKUP(Table73[[#This Row],[Date]],Database!$A:$E,MATCH($B$1,Database!$A$1:$E$1,),))</f>
        <v/>
      </c>
      <c r="C1649">
        <f>IF(VLOOKUP(Table73[[#This Row],[Date]],Database!$A:$C,MATCH($C$1,Database!$A$1:$C$1,),)=0,#N/A,VLOOKUP(Table73[[#This Row],[Date]],Database!$A:$C,MATCH($C$1,Database!$A$1:$C$1,),))</f>
        <v/>
      </c>
      <c r="D1649">
        <f>IFERROR(Table73[[#This Row],[United States 10y]]-Table73[[#This Row],[United States 2y]],#N/A)</f>
        <v/>
      </c>
    </row>
    <row r="1650">
      <c r="A1650" s="6">
        <f>Database!A1649</f>
        <v/>
      </c>
      <c r="B1650">
        <f>IF(VLOOKUP(Table73[[#This Row],[Date]],Database!$A:$E,MATCH($B$1,Database!$A$1:$E$1,),)=0,#N/A,VLOOKUP(Table73[[#This Row],[Date]],Database!$A:$E,MATCH($B$1,Database!$A$1:$E$1,),))</f>
        <v/>
      </c>
      <c r="C1650">
        <f>IF(VLOOKUP(Table73[[#This Row],[Date]],Database!$A:$C,MATCH($C$1,Database!$A$1:$C$1,),)=0,#N/A,VLOOKUP(Table73[[#This Row],[Date]],Database!$A:$C,MATCH($C$1,Database!$A$1:$C$1,),))</f>
        <v/>
      </c>
      <c r="D1650">
        <f>IFERROR(Table73[[#This Row],[United States 10y]]-Table73[[#This Row],[United States 2y]],#N/A)</f>
        <v/>
      </c>
    </row>
    <row r="1651">
      <c r="A1651" s="6">
        <f>Database!A1650</f>
        <v/>
      </c>
      <c r="B1651">
        <f>IF(VLOOKUP(Table73[[#This Row],[Date]],Database!$A:$E,MATCH($B$1,Database!$A$1:$E$1,),)=0,#N/A,VLOOKUP(Table73[[#This Row],[Date]],Database!$A:$E,MATCH($B$1,Database!$A$1:$E$1,),))</f>
        <v/>
      </c>
      <c r="C1651">
        <f>IF(VLOOKUP(Table73[[#This Row],[Date]],Database!$A:$C,MATCH($C$1,Database!$A$1:$C$1,),)=0,#N/A,VLOOKUP(Table73[[#This Row],[Date]],Database!$A:$C,MATCH($C$1,Database!$A$1:$C$1,),))</f>
        <v/>
      </c>
      <c r="D1651">
        <f>IFERROR(Table73[[#This Row],[United States 10y]]-Table73[[#This Row],[United States 2y]],#N/A)</f>
        <v/>
      </c>
    </row>
    <row r="1652">
      <c r="A1652" s="6">
        <f>Database!A1651</f>
        <v/>
      </c>
      <c r="B1652">
        <f>IF(VLOOKUP(Table73[[#This Row],[Date]],Database!$A:$E,MATCH($B$1,Database!$A$1:$E$1,),)=0,#N/A,VLOOKUP(Table73[[#This Row],[Date]],Database!$A:$E,MATCH($B$1,Database!$A$1:$E$1,),))</f>
        <v/>
      </c>
      <c r="C1652">
        <f>IF(VLOOKUP(Table73[[#This Row],[Date]],Database!$A:$C,MATCH($C$1,Database!$A$1:$C$1,),)=0,#N/A,VLOOKUP(Table73[[#This Row],[Date]],Database!$A:$C,MATCH($C$1,Database!$A$1:$C$1,),))</f>
        <v/>
      </c>
      <c r="D1652">
        <f>IFERROR(Table73[[#This Row],[United States 10y]]-Table73[[#This Row],[United States 2y]],#N/A)</f>
        <v/>
      </c>
    </row>
    <row r="1653">
      <c r="A1653" s="6">
        <f>Database!A1652</f>
        <v/>
      </c>
      <c r="B1653">
        <f>IF(VLOOKUP(Table73[[#This Row],[Date]],Database!$A:$E,MATCH($B$1,Database!$A$1:$E$1,),)=0,#N/A,VLOOKUP(Table73[[#This Row],[Date]],Database!$A:$E,MATCH($B$1,Database!$A$1:$E$1,),))</f>
        <v/>
      </c>
      <c r="C1653">
        <f>IF(VLOOKUP(Table73[[#This Row],[Date]],Database!$A:$C,MATCH($C$1,Database!$A$1:$C$1,),)=0,#N/A,VLOOKUP(Table73[[#This Row],[Date]],Database!$A:$C,MATCH($C$1,Database!$A$1:$C$1,),))</f>
        <v/>
      </c>
      <c r="D1653">
        <f>IFERROR(Table73[[#This Row],[United States 10y]]-Table73[[#This Row],[United States 2y]],#N/A)</f>
        <v/>
      </c>
    </row>
    <row r="1654">
      <c r="A1654" s="6">
        <f>Database!A1653</f>
        <v/>
      </c>
      <c r="B1654">
        <f>IF(VLOOKUP(Table73[[#This Row],[Date]],Database!$A:$E,MATCH($B$1,Database!$A$1:$E$1,),)=0,#N/A,VLOOKUP(Table73[[#This Row],[Date]],Database!$A:$E,MATCH($B$1,Database!$A$1:$E$1,),))</f>
        <v/>
      </c>
      <c r="C1654">
        <f>IF(VLOOKUP(Table73[[#This Row],[Date]],Database!$A:$C,MATCH($C$1,Database!$A$1:$C$1,),)=0,#N/A,VLOOKUP(Table73[[#This Row],[Date]],Database!$A:$C,MATCH($C$1,Database!$A$1:$C$1,),))</f>
        <v/>
      </c>
      <c r="D1654">
        <f>IFERROR(Table73[[#This Row],[United States 10y]]-Table73[[#This Row],[United States 2y]],#N/A)</f>
        <v/>
      </c>
    </row>
    <row r="1655">
      <c r="A1655" s="6">
        <f>Database!A1654</f>
        <v/>
      </c>
      <c r="B1655">
        <f>IF(VLOOKUP(Table73[[#This Row],[Date]],Database!$A:$E,MATCH($B$1,Database!$A$1:$E$1,),)=0,#N/A,VLOOKUP(Table73[[#This Row],[Date]],Database!$A:$E,MATCH($B$1,Database!$A$1:$E$1,),))</f>
        <v/>
      </c>
      <c r="C1655">
        <f>IF(VLOOKUP(Table73[[#This Row],[Date]],Database!$A:$C,MATCH($C$1,Database!$A$1:$C$1,),)=0,#N/A,VLOOKUP(Table73[[#This Row],[Date]],Database!$A:$C,MATCH($C$1,Database!$A$1:$C$1,),))</f>
        <v/>
      </c>
      <c r="D1655">
        <f>IFERROR(Table73[[#This Row],[United States 10y]]-Table73[[#This Row],[United States 2y]],#N/A)</f>
        <v/>
      </c>
    </row>
    <row r="1656">
      <c r="A1656" s="6">
        <f>Database!A1655</f>
        <v/>
      </c>
      <c r="B1656">
        <f>IF(VLOOKUP(Table73[[#This Row],[Date]],Database!$A:$E,MATCH($B$1,Database!$A$1:$E$1,),)=0,#N/A,VLOOKUP(Table73[[#This Row],[Date]],Database!$A:$E,MATCH($B$1,Database!$A$1:$E$1,),))</f>
        <v/>
      </c>
      <c r="C1656">
        <f>IF(VLOOKUP(Table73[[#This Row],[Date]],Database!$A:$C,MATCH($C$1,Database!$A$1:$C$1,),)=0,#N/A,VLOOKUP(Table73[[#This Row],[Date]],Database!$A:$C,MATCH($C$1,Database!$A$1:$C$1,),))</f>
        <v/>
      </c>
      <c r="D1656">
        <f>IFERROR(Table73[[#This Row],[United States 10y]]-Table73[[#This Row],[United States 2y]],#N/A)</f>
        <v/>
      </c>
    </row>
    <row r="1657">
      <c r="A1657" s="6">
        <f>Database!A1656</f>
        <v/>
      </c>
      <c r="B1657">
        <f>IF(VLOOKUP(Table73[[#This Row],[Date]],Database!$A:$E,MATCH($B$1,Database!$A$1:$E$1,),)=0,#N/A,VLOOKUP(Table73[[#This Row],[Date]],Database!$A:$E,MATCH($B$1,Database!$A$1:$E$1,),))</f>
        <v/>
      </c>
      <c r="C1657">
        <f>IF(VLOOKUP(Table73[[#This Row],[Date]],Database!$A:$C,MATCH($C$1,Database!$A$1:$C$1,),)=0,#N/A,VLOOKUP(Table73[[#This Row],[Date]],Database!$A:$C,MATCH($C$1,Database!$A$1:$C$1,),))</f>
        <v/>
      </c>
      <c r="D1657">
        <f>IFERROR(Table73[[#This Row],[United States 10y]]-Table73[[#This Row],[United States 2y]],#N/A)</f>
        <v/>
      </c>
    </row>
    <row r="1658">
      <c r="A1658" s="6">
        <f>Database!A1657</f>
        <v/>
      </c>
      <c r="B1658">
        <f>IF(VLOOKUP(Table73[[#This Row],[Date]],Database!$A:$E,MATCH($B$1,Database!$A$1:$E$1,),)=0,#N/A,VLOOKUP(Table73[[#This Row],[Date]],Database!$A:$E,MATCH($B$1,Database!$A$1:$E$1,),))</f>
        <v/>
      </c>
      <c r="C1658">
        <f>IF(VLOOKUP(Table73[[#This Row],[Date]],Database!$A:$C,MATCH($C$1,Database!$A$1:$C$1,),)=0,#N/A,VLOOKUP(Table73[[#This Row],[Date]],Database!$A:$C,MATCH($C$1,Database!$A$1:$C$1,),))</f>
        <v/>
      </c>
      <c r="D1658">
        <f>IFERROR(Table73[[#This Row],[United States 10y]]-Table73[[#This Row],[United States 2y]],#N/A)</f>
        <v/>
      </c>
    </row>
    <row r="1659">
      <c r="A1659" s="6">
        <f>Database!A1658</f>
        <v/>
      </c>
      <c r="B1659">
        <f>IF(VLOOKUP(Table73[[#This Row],[Date]],Database!$A:$E,MATCH($B$1,Database!$A$1:$E$1,),)=0,#N/A,VLOOKUP(Table73[[#This Row],[Date]],Database!$A:$E,MATCH($B$1,Database!$A$1:$E$1,),))</f>
        <v/>
      </c>
      <c r="C1659">
        <f>IF(VLOOKUP(Table73[[#This Row],[Date]],Database!$A:$C,MATCH($C$1,Database!$A$1:$C$1,),)=0,#N/A,VLOOKUP(Table73[[#This Row],[Date]],Database!$A:$C,MATCH($C$1,Database!$A$1:$C$1,),))</f>
        <v/>
      </c>
      <c r="D1659">
        <f>IFERROR(Table73[[#This Row],[United States 10y]]-Table73[[#This Row],[United States 2y]],#N/A)</f>
        <v/>
      </c>
    </row>
    <row r="1660">
      <c r="A1660" s="6">
        <f>Database!A1659</f>
        <v/>
      </c>
      <c r="B1660">
        <f>IF(VLOOKUP(Table73[[#This Row],[Date]],Database!$A:$E,MATCH($B$1,Database!$A$1:$E$1,),)=0,#N/A,VLOOKUP(Table73[[#This Row],[Date]],Database!$A:$E,MATCH($B$1,Database!$A$1:$E$1,),))</f>
        <v/>
      </c>
      <c r="C1660">
        <f>IF(VLOOKUP(Table73[[#This Row],[Date]],Database!$A:$C,MATCH($C$1,Database!$A$1:$C$1,),)=0,#N/A,VLOOKUP(Table73[[#This Row],[Date]],Database!$A:$C,MATCH($C$1,Database!$A$1:$C$1,),))</f>
        <v/>
      </c>
      <c r="D1660">
        <f>IFERROR(Table73[[#This Row],[United States 10y]]-Table73[[#This Row],[United States 2y]],#N/A)</f>
        <v/>
      </c>
    </row>
    <row r="1661">
      <c r="A1661" s="6">
        <f>Database!A1660</f>
        <v/>
      </c>
      <c r="B1661">
        <f>IF(VLOOKUP(Table73[[#This Row],[Date]],Database!$A:$E,MATCH($B$1,Database!$A$1:$E$1,),)=0,#N/A,VLOOKUP(Table73[[#This Row],[Date]],Database!$A:$E,MATCH($B$1,Database!$A$1:$E$1,),))</f>
        <v/>
      </c>
      <c r="C1661">
        <f>IF(VLOOKUP(Table73[[#This Row],[Date]],Database!$A:$C,MATCH($C$1,Database!$A$1:$C$1,),)=0,#N/A,VLOOKUP(Table73[[#This Row],[Date]],Database!$A:$C,MATCH($C$1,Database!$A$1:$C$1,),))</f>
        <v/>
      </c>
      <c r="D1661">
        <f>IFERROR(Table73[[#This Row],[United States 10y]]-Table73[[#This Row],[United States 2y]],#N/A)</f>
        <v/>
      </c>
    </row>
    <row r="1662">
      <c r="A1662" s="6">
        <f>Database!A1661</f>
        <v/>
      </c>
      <c r="B1662">
        <f>IF(VLOOKUP(Table73[[#This Row],[Date]],Database!$A:$E,MATCH($B$1,Database!$A$1:$E$1,),)=0,#N/A,VLOOKUP(Table73[[#This Row],[Date]],Database!$A:$E,MATCH($B$1,Database!$A$1:$E$1,),))</f>
        <v/>
      </c>
      <c r="C1662">
        <f>IF(VLOOKUP(Table73[[#This Row],[Date]],Database!$A:$C,MATCH($C$1,Database!$A$1:$C$1,),)=0,#N/A,VLOOKUP(Table73[[#This Row],[Date]],Database!$A:$C,MATCH($C$1,Database!$A$1:$C$1,),))</f>
        <v/>
      </c>
      <c r="D1662">
        <f>IFERROR(Table73[[#This Row],[United States 10y]]-Table73[[#This Row],[United States 2y]],#N/A)</f>
        <v/>
      </c>
    </row>
    <row r="1663">
      <c r="A1663" s="6">
        <f>Database!A1662</f>
        <v/>
      </c>
      <c r="B1663">
        <f>IF(VLOOKUP(Table73[[#This Row],[Date]],Database!$A:$E,MATCH($B$1,Database!$A$1:$E$1,),)=0,#N/A,VLOOKUP(Table73[[#This Row],[Date]],Database!$A:$E,MATCH($B$1,Database!$A$1:$E$1,),))</f>
        <v/>
      </c>
      <c r="C1663">
        <f>IF(VLOOKUP(Table73[[#This Row],[Date]],Database!$A:$C,MATCH($C$1,Database!$A$1:$C$1,),)=0,#N/A,VLOOKUP(Table73[[#This Row],[Date]],Database!$A:$C,MATCH($C$1,Database!$A$1:$C$1,),))</f>
        <v/>
      </c>
      <c r="D1663">
        <f>IFERROR(Table73[[#This Row],[United States 10y]]-Table73[[#This Row],[United States 2y]],#N/A)</f>
        <v/>
      </c>
    </row>
    <row r="1664">
      <c r="A1664" s="6">
        <f>Database!A1663</f>
        <v/>
      </c>
      <c r="B1664">
        <f>IF(VLOOKUP(Table73[[#This Row],[Date]],Database!$A:$E,MATCH($B$1,Database!$A$1:$E$1,),)=0,#N/A,VLOOKUP(Table73[[#This Row],[Date]],Database!$A:$E,MATCH($B$1,Database!$A$1:$E$1,),))</f>
        <v/>
      </c>
      <c r="C1664">
        <f>IF(VLOOKUP(Table73[[#This Row],[Date]],Database!$A:$C,MATCH($C$1,Database!$A$1:$C$1,),)=0,#N/A,VLOOKUP(Table73[[#This Row],[Date]],Database!$A:$C,MATCH($C$1,Database!$A$1:$C$1,),))</f>
        <v/>
      </c>
      <c r="D1664">
        <f>IFERROR(Table73[[#This Row],[United States 10y]]-Table73[[#This Row],[United States 2y]],#N/A)</f>
        <v/>
      </c>
    </row>
    <row r="1665">
      <c r="A1665" s="6">
        <f>Database!A1664</f>
        <v/>
      </c>
      <c r="B1665">
        <f>IF(VLOOKUP(Table73[[#This Row],[Date]],Database!$A:$E,MATCH($B$1,Database!$A$1:$E$1,),)=0,#N/A,VLOOKUP(Table73[[#This Row],[Date]],Database!$A:$E,MATCH($B$1,Database!$A$1:$E$1,),))</f>
        <v/>
      </c>
      <c r="C1665">
        <f>IF(VLOOKUP(Table73[[#This Row],[Date]],Database!$A:$C,MATCH($C$1,Database!$A$1:$C$1,),)=0,#N/A,VLOOKUP(Table73[[#This Row],[Date]],Database!$A:$C,MATCH($C$1,Database!$A$1:$C$1,),))</f>
        <v/>
      </c>
      <c r="D1665">
        <f>IFERROR(Table73[[#This Row],[United States 10y]]-Table73[[#This Row],[United States 2y]],#N/A)</f>
        <v/>
      </c>
    </row>
    <row r="1666">
      <c r="A1666" s="6">
        <f>Database!A1665</f>
        <v/>
      </c>
      <c r="B1666">
        <f>IF(VLOOKUP(Table73[[#This Row],[Date]],Database!$A:$E,MATCH($B$1,Database!$A$1:$E$1,),)=0,#N/A,VLOOKUP(Table73[[#This Row],[Date]],Database!$A:$E,MATCH($B$1,Database!$A$1:$E$1,),))</f>
        <v/>
      </c>
      <c r="C1666">
        <f>IF(VLOOKUP(Table73[[#This Row],[Date]],Database!$A:$C,MATCH($C$1,Database!$A$1:$C$1,),)=0,#N/A,VLOOKUP(Table73[[#This Row],[Date]],Database!$A:$C,MATCH($C$1,Database!$A$1:$C$1,),))</f>
        <v/>
      </c>
      <c r="D1666">
        <f>IFERROR(Table73[[#This Row],[United States 10y]]-Table73[[#This Row],[United States 2y]],#N/A)</f>
        <v/>
      </c>
    </row>
    <row r="1667">
      <c r="A1667" s="6">
        <f>Database!A1666</f>
        <v/>
      </c>
      <c r="B1667">
        <f>IF(VLOOKUP(Table73[[#This Row],[Date]],Database!$A:$E,MATCH($B$1,Database!$A$1:$E$1,),)=0,#N/A,VLOOKUP(Table73[[#This Row],[Date]],Database!$A:$E,MATCH($B$1,Database!$A$1:$E$1,),))</f>
        <v/>
      </c>
      <c r="C1667">
        <f>IF(VLOOKUP(Table73[[#This Row],[Date]],Database!$A:$C,MATCH($C$1,Database!$A$1:$C$1,),)=0,#N/A,VLOOKUP(Table73[[#This Row],[Date]],Database!$A:$C,MATCH($C$1,Database!$A$1:$C$1,),))</f>
        <v/>
      </c>
      <c r="D1667">
        <f>IFERROR(Table73[[#This Row],[United States 10y]]-Table73[[#This Row],[United States 2y]],#N/A)</f>
        <v/>
      </c>
    </row>
    <row r="1668">
      <c r="A1668" s="6">
        <f>Database!A1667</f>
        <v/>
      </c>
      <c r="B1668">
        <f>IF(VLOOKUP(Table73[[#This Row],[Date]],Database!$A:$E,MATCH($B$1,Database!$A$1:$E$1,),)=0,#N/A,VLOOKUP(Table73[[#This Row],[Date]],Database!$A:$E,MATCH($B$1,Database!$A$1:$E$1,),))</f>
        <v/>
      </c>
      <c r="C1668">
        <f>IF(VLOOKUP(Table73[[#This Row],[Date]],Database!$A:$C,MATCH($C$1,Database!$A$1:$C$1,),)=0,#N/A,VLOOKUP(Table73[[#This Row],[Date]],Database!$A:$C,MATCH($C$1,Database!$A$1:$C$1,),))</f>
        <v/>
      </c>
      <c r="D1668">
        <f>IFERROR(Table73[[#This Row],[United States 10y]]-Table73[[#This Row],[United States 2y]],#N/A)</f>
        <v/>
      </c>
    </row>
    <row r="1669">
      <c r="A1669" s="6">
        <f>Database!A1668</f>
        <v/>
      </c>
      <c r="B1669">
        <f>IF(VLOOKUP(Table73[[#This Row],[Date]],Database!$A:$E,MATCH($B$1,Database!$A$1:$E$1,),)=0,#N/A,VLOOKUP(Table73[[#This Row],[Date]],Database!$A:$E,MATCH($B$1,Database!$A$1:$E$1,),))</f>
        <v/>
      </c>
      <c r="C1669">
        <f>IF(VLOOKUP(Table73[[#This Row],[Date]],Database!$A:$C,MATCH($C$1,Database!$A$1:$C$1,),)=0,#N/A,VLOOKUP(Table73[[#This Row],[Date]],Database!$A:$C,MATCH($C$1,Database!$A$1:$C$1,),))</f>
        <v/>
      </c>
      <c r="D1669">
        <f>IFERROR(Table73[[#This Row],[United States 10y]]-Table73[[#This Row],[United States 2y]],#N/A)</f>
        <v/>
      </c>
    </row>
    <row r="1670">
      <c r="A1670" s="6">
        <f>Database!A1669</f>
        <v/>
      </c>
      <c r="B1670">
        <f>IF(VLOOKUP(Table73[[#This Row],[Date]],Database!$A:$E,MATCH($B$1,Database!$A$1:$E$1,),)=0,#N/A,VLOOKUP(Table73[[#This Row],[Date]],Database!$A:$E,MATCH($B$1,Database!$A$1:$E$1,),))</f>
        <v/>
      </c>
      <c r="C1670">
        <f>IF(VLOOKUP(Table73[[#This Row],[Date]],Database!$A:$C,MATCH($C$1,Database!$A$1:$C$1,),)=0,#N/A,VLOOKUP(Table73[[#This Row],[Date]],Database!$A:$C,MATCH($C$1,Database!$A$1:$C$1,),))</f>
        <v/>
      </c>
      <c r="D1670">
        <f>IFERROR(Table73[[#This Row],[United States 10y]]-Table73[[#This Row],[United States 2y]],#N/A)</f>
        <v/>
      </c>
    </row>
    <row r="1671">
      <c r="A1671" s="6">
        <f>Database!A1670</f>
        <v/>
      </c>
      <c r="B1671">
        <f>IF(VLOOKUP(Table73[[#This Row],[Date]],Database!$A:$E,MATCH($B$1,Database!$A$1:$E$1,),)=0,#N/A,VLOOKUP(Table73[[#This Row],[Date]],Database!$A:$E,MATCH($B$1,Database!$A$1:$E$1,),))</f>
        <v/>
      </c>
      <c r="C1671">
        <f>IF(VLOOKUP(Table73[[#This Row],[Date]],Database!$A:$C,MATCH($C$1,Database!$A$1:$C$1,),)=0,#N/A,VLOOKUP(Table73[[#This Row],[Date]],Database!$A:$C,MATCH($C$1,Database!$A$1:$C$1,),))</f>
        <v/>
      </c>
      <c r="D1671">
        <f>IFERROR(Table73[[#This Row],[United States 10y]]-Table73[[#This Row],[United States 2y]],#N/A)</f>
        <v/>
      </c>
    </row>
    <row r="1672">
      <c r="A1672" s="6">
        <f>Database!A1671</f>
        <v/>
      </c>
      <c r="B1672">
        <f>IF(VLOOKUP(Table73[[#This Row],[Date]],Database!$A:$E,MATCH($B$1,Database!$A$1:$E$1,),)=0,#N/A,VLOOKUP(Table73[[#This Row],[Date]],Database!$A:$E,MATCH($B$1,Database!$A$1:$E$1,),))</f>
        <v/>
      </c>
      <c r="C1672">
        <f>IF(VLOOKUP(Table73[[#This Row],[Date]],Database!$A:$C,MATCH($C$1,Database!$A$1:$C$1,),)=0,#N/A,VLOOKUP(Table73[[#This Row],[Date]],Database!$A:$C,MATCH($C$1,Database!$A$1:$C$1,),))</f>
        <v/>
      </c>
      <c r="D1672">
        <f>IFERROR(Table73[[#This Row],[United States 10y]]-Table73[[#This Row],[United States 2y]],#N/A)</f>
        <v/>
      </c>
    </row>
    <row r="1673">
      <c r="A1673" s="6">
        <f>Database!A1672</f>
        <v/>
      </c>
      <c r="B1673">
        <f>IF(VLOOKUP(Table73[[#This Row],[Date]],Database!$A:$E,MATCH($B$1,Database!$A$1:$E$1,),)=0,#N/A,VLOOKUP(Table73[[#This Row],[Date]],Database!$A:$E,MATCH($B$1,Database!$A$1:$E$1,),))</f>
        <v/>
      </c>
      <c r="C1673">
        <f>IF(VLOOKUP(Table73[[#This Row],[Date]],Database!$A:$C,MATCH($C$1,Database!$A$1:$C$1,),)=0,#N/A,VLOOKUP(Table73[[#This Row],[Date]],Database!$A:$C,MATCH($C$1,Database!$A$1:$C$1,),))</f>
        <v/>
      </c>
      <c r="D1673">
        <f>IFERROR(Table73[[#This Row],[United States 10y]]-Table73[[#This Row],[United States 2y]],#N/A)</f>
        <v/>
      </c>
    </row>
    <row r="1674">
      <c r="A1674" s="6">
        <f>Database!A1673</f>
        <v/>
      </c>
      <c r="B1674">
        <f>IF(VLOOKUP(Table73[[#This Row],[Date]],Database!$A:$E,MATCH($B$1,Database!$A$1:$E$1,),)=0,#N/A,VLOOKUP(Table73[[#This Row],[Date]],Database!$A:$E,MATCH($B$1,Database!$A$1:$E$1,),))</f>
        <v/>
      </c>
      <c r="C1674">
        <f>IF(VLOOKUP(Table73[[#This Row],[Date]],Database!$A:$C,MATCH($C$1,Database!$A$1:$C$1,),)=0,#N/A,VLOOKUP(Table73[[#This Row],[Date]],Database!$A:$C,MATCH($C$1,Database!$A$1:$C$1,),))</f>
        <v/>
      </c>
      <c r="D1674">
        <f>IFERROR(Table73[[#This Row],[United States 10y]]-Table73[[#This Row],[United States 2y]],#N/A)</f>
        <v/>
      </c>
    </row>
    <row r="1675">
      <c r="A1675" s="6">
        <f>Database!A1674</f>
        <v/>
      </c>
      <c r="B1675">
        <f>IF(VLOOKUP(Table73[[#This Row],[Date]],Database!$A:$E,MATCH($B$1,Database!$A$1:$E$1,),)=0,#N/A,VLOOKUP(Table73[[#This Row],[Date]],Database!$A:$E,MATCH($B$1,Database!$A$1:$E$1,),))</f>
        <v/>
      </c>
      <c r="C1675">
        <f>IF(VLOOKUP(Table73[[#This Row],[Date]],Database!$A:$C,MATCH($C$1,Database!$A$1:$C$1,),)=0,#N/A,VLOOKUP(Table73[[#This Row],[Date]],Database!$A:$C,MATCH($C$1,Database!$A$1:$C$1,),))</f>
        <v/>
      </c>
      <c r="D1675">
        <f>IFERROR(Table73[[#This Row],[United States 10y]]-Table73[[#This Row],[United States 2y]],#N/A)</f>
        <v/>
      </c>
    </row>
    <row r="1676">
      <c r="A1676" s="6">
        <f>Database!A1675</f>
        <v/>
      </c>
      <c r="B1676">
        <f>IF(VLOOKUP(Table73[[#This Row],[Date]],Database!$A:$E,MATCH($B$1,Database!$A$1:$E$1,),)=0,#N/A,VLOOKUP(Table73[[#This Row],[Date]],Database!$A:$E,MATCH($B$1,Database!$A$1:$E$1,),))</f>
        <v/>
      </c>
      <c r="C1676">
        <f>IF(VLOOKUP(Table73[[#This Row],[Date]],Database!$A:$C,MATCH($C$1,Database!$A$1:$C$1,),)=0,#N/A,VLOOKUP(Table73[[#This Row],[Date]],Database!$A:$C,MATCH($C$1,Database!$A$1:$C$1,),))</f>
        <v/>
      </c>
      <c r="D1676">
        <f>IFERROR(Table73[[#This Row],[United States 10y]]-Table73[[#This Row],[United States 2y]],#N/A)</f>
        <v/>
      </c>
    </row>
    <row r="1677">
      <c r="A1677" s="6">
        <f>Database!A1676</f>
        <v/>
      </c>
      <c r="B1677">
        <f>IF(VLOOKUP(Table73[[#This Row],[Date]],Database!$A:$E,MATCH($B$1,Database!$A$1:$E$1,),)=0,#N/A,VLOOKUP(Table73[[#This Row],[Date]],Database!$A:$E,MATCH($B$1,Database!$A$1:$E$1,),))</f>
        <v/>
      </c>
      <c r="C1677">
        <f>IF(VLOOKUP(Table73[[#This Row],[Date]],Database!$A:$C,MATCH($C$1,Database!$A$1:$C$1,),)=0,#N/A,VLOOKUP(Table73[[#This Row],[Date]],Database!$A:$C,MATCH($C$1,Database!$A$1:$C$1,),))</f>
        <v/>
      </c>
      <c r="D1677">
        <f>IFERROR(Table73[[#This Row],[United States 10y]]-Table73[[#This Row],[United States 2y]],#N/A)</f>
        <v/>
      </c>
    </row>
    <row r="1678">
      <c r="A1678" s="6">
        <f>Database!A1677</f>
        <v/>
      </c>
      <c r="B1678">
        <f>IF(VLOOKUP(Table73[[#This Row],[Date]],Database!$A:$E,MATCH($B$1,Database!$A$1:$E$1,),)=0,#N/A,VLOOKUP(Table73[[#This Row],[Date]],Database!$A:$E,MATCH($B$1,Database!$A$1:$E$1,),))</f>
        <v/>
      </c>
      <c r="C1678">
        <f>IF(VLOOKUP(Table73[[#This Row],[Date]],Database!$A:$C,MATCH($C$1,Database!$A$1:$C$1,),)=0,#N/A,VLOOKUP(Table73[[#This Row],[Date]],Database!$A:$C,MATCH($C$1,Database!$A$1:$C$1,),))</f>
        <v/>
      </c>
      <c r="D1678">
        <f>IFERROR(Table73[[#This Row],[United States 10y]]-Table73[[#This Row],[United States 2y]],#N/A)</f>
        <v/>
      </c>
    </row>
    <row r="1679">
      <c r="A1679" s="6">
        <f>Database!A1678</f>
        <v/>
      </c>
      <c r="B1679">
        <f>IF(VLOOKUP(Table73[[#This Row],[Date]],Database!$A:$E,MATCH($B$1,Database!$A$1:$E$1,),)=0,#N/A,VLOOKUP(Table73[[#This Row],[Date]],Database!$A:$E,MATCH($B$1,Database!$A$1:$E$1,),))</f>
        <v/>
      </c>
      <c r="C1679">
        <f>IF(VLOOKUP(Table73[[#This Row],[Date]],Database!$A:$C,MATCH($C$1,Database!$A$1:$C$1,),)=0,#N/A,VLOOKUP(Table73[[#This Row],[Date]],Database!$A:$C,MATCH($C$1,Database!$A$1:$C$1,),))</f>
        <v/>
      </c>
      <c r="D1679">
        <f>IFERROR(Table73[[#This Row],[United States 10y]]-Table73[[#This Row],[United States 2y]],#N/A)</f>
        <v/>
      </c>
    </row>
    <row r="1680">
      <c r="A1680" s="6">
        <f>Database!A1679</f>
        <v/>
      </c>
      <c r="B1680">
        <f>IF(VLOOKUP(Table73[[#This Row],[Date]],Database!$A:$E,MATCH($B$1,Database!$A$1:$E$1,),)=0,#N/A,VLOOKUP(Table73[[#This Row],[Date]],Database!$A:$E,MATCH($B$1,Database!$A$1:$E$1,),))</f>
        <v/>
      </c>
      <c r="C1680">
        <f>IF(VLOOKUP(Table73[[#This Row],[Date]],Database!$A:$C,MATCH($C$1,Database!$A$1:$C$1,),)=0,#N/A,VLOOKUP(Table73[[#This Row],[Date]],Database!$A:$C,MATCH($C$1,Database!$A$1:$C$1,),))</f>
        <v/>
      </c>
      <c r="D1680">
        <f>IFERROR(Table73[[#This Row],[United States 10y]]-Table73[[#This Row],[United States 2y]],#N/A)</f>
        <v/>
      </c>
    </row>
    <row r="1681">
      <c r="A1681" s="6">
        <f>Database!A1680</f>
        <v/>
      </c>
      <c r="B1681">
        <f>IF(VLOOKUP(Table73[[#This Row],[Date]],Database!$A:$E,MATCH($B$1,Database!$A$1:$E$1,),)=0,#N/A,VLOOKUP(Table73[[#This Row],[Date]],Database!$A:$E,MATCH($B$1,Database!$A$1:$E$1,),))</f>
        <v/>
      </c>
      <c r="C1681">
        <f>IF(VLOOKUP(Table73[[#This Row],[Date]],Database!$A:$C,MATCH($C$1,Database!$A$1:$C$1,),)=0,#N/A,VLOOKUP(Table73[[#This Row],[Date]],Database!$A:$C,MATCH($C$1,Database!$A$1:$C$1,),))</f>
        <v/>
      </c>
      <c r="D1681">
        <f>IFERROR(Table73[[#This Row],[United States 10y]]-Table73[[#This Row],[United States 2y]],#N/A)</f>
        <v/>
      </c>
    </row>
    <row r="1682">
      <c r="A1682" s="6">
        <f>Database!A1681</f>
        <v/>
      </c>
      <c r="B1682">
        <f>IF(VLOOKUP(Table73[[#This Row],[Date]],Database!$A:$E,MATCH($B$1,Database!$A$1:$E$1,),)=0,#N/A,VLOOKUP(Table73[[#This Row],[Date]],Database!$A:$E,MATCH($B$1,Database!$A$1:$E$1,),))</f>
        <v/>
      </c>
      <c r="C1682">
        <f>IF(VLOOKUP(Table73[[#This Row],[Date]],Database!$A:$C,MATCH($C$1,Database!$A$1:$C$1,),)=0,#N/A,VLOOKUP(Table73[[#This Row],[Date]],Database!$A:$C,MATCH($C$1,Database!$A$1:$C$1,),))</f>
        <v/>
      </c>
      <c r="D1682">
        <f>IFERROR(Table73[[#This Row],[United States 10y]]-Table73[[#This Row],[United States 2y]],#N/A)</f>
        <v/>
      </c>
    </row>
    <row r="1683">
      <c r="A1683" s="6">
        <f>Database!A1682</f>
        <v/>
      </c>
      <c r="B1683">
        <f>IF(VLOOKUP(Table73[[#This Row],[Date]],Database!$A:$E,MATCH($B$1,Database!$A$1:$E$1,),)=0,#N/A,VLOOKUP(Table73[[#This Row],[Date]],Database!$A:$E,MATCH($B$1,Database!$A$1:$E$1,),))</f>
        <v/>
      </c>
      <c r="C1683">
        <f>IF(VLOOKUP(Table73[[#This Row],[Date]],Database!$A:$C,MATCH($C$1,Database!$A$1:$C$1,),)=0,#N/A,VLOOKUP(Table73[[#This Row],[Date]],Database!$A:$C,MATCH($C$1,Database!$A$1:$C$1,),))</f>
        <v/>
      </c>
      <c r="D1683">
        <f>IFERROR(Table73[[#This Row],[United States 10y]]-Table73[[#This Row],[United States 2y]],#N/A)</f>
        <v/>
      </c>
    </row>
    <row r="1684">
      <c r="A1684" s="6">
        <f>Database!A1683</f>
        <v/>
      </c>
      <c r="B1684">
        <f>IF(VLOOKUP(Table73[[#This Row],[Date]],Database!$A:$E,MATCH($B$1,Database!$A$1:$E$1,),)=0,#N/A,VLOOKUP(Table73[[#This Row],[Date]],Database!$A:$E,MATCH($B$1,Database!$A$1:$E$1,),))</f>
        <v/>
      </c>
      <c r="C1684">
        <f>IF(VLOOKUP(Table73[[#This Row],[Date]],Database!$A:$C,MATCH($C$1,Database!$A$1:$C$1,),)=0,#N/A,VLOOKUP(Table73[[#This Row],[Date]],Database!$A:$C,MATCH($C$1,Database!$A$1:$C$1,),))</f>
        <v/>
      </c>
      <c r="D1684">
        <f>IFERROR(Table73[[#This Row],[United States 10y]]-Table73[[#This Row],[United States 2y]],#N/A)</f>
        <v/>
      </c>
    </row>
    <row r="1685">
      <c r="A1685" s="6">
        <f>Database!A1684</f>
        <v/>
      </c>
      <c r="B1685">
        <f>IF(VLOOKUP(Table73[[#This Row],[Date]],Database!$A:$E,MATCH($B$1,Database!$A$1:$E$1,),)=0,#N/A,VLOOKUP(Table73[[#This Row],[Date]],Database!$A:$E,MATCH($B$1,Database!$A$1:$E$1,),))</f>
        <v/>
      </c>
      <c r="C1685">
        <f>IF(VLOOKUP(Table73[[#This Row],[Date]],Database!$A:$C,MATCH($C$1,Database!$A$1:$C$1,),)=0,#N/A,VLOOKUP(Table73[[#This Row],[Date]],Database!$A:$C,MATCH($C$1,Database!$A$1:$C$1,),))</f>
        <v/>
      </c>
      <c r="D1685">
        <f>IFERROR(Table73[[#This Row],[United States 10y]]-Table73[[#This Row],[United States 2y]],#N/A)</f>
        <v/>
      </c>
    </row>
    <row r="1686">
      <c r="A1686" s="6">
        <f>Database!A1685</f>
        <v/>
      </c>
      <c r="B1686">
        <f>IF(VLOOKUP(Table73[[#This Row],[Date]],Database!$A:$E,MATCH($B$1,Database!$A$1:$E$1,),)=0,#N/A,VLOOKUP(Table73[[#This Row],[Date]],Database!$A:$E,MATCH($B$1,Database!$A$1:$E$1,),))</f>
        <v/>
      </c>
      <c r="C1686">
        <f>IF(VLOOKUP(Table73[[#This Row],[Date]],Database!$A:$C,MATCH($C$1,Database!$A$1:$C$1,),)=0,#N/A,VLOOKUP(Table73[[#This Row],[Date]],Database!$A:$C,MATCH($C$1,Database!$A$1:$C$1,),))</f>
        <v/>
      </c>
      <c r="D1686">
        <f>IFERROR(Table73[[#This Row],[United States 10y]]-Table73[[#This Row],[United States 2y]],#N/A)</f>
        <v/>
      </c>
    </row>
    <row r="1687">
      <c r="A1687" s="6">
        <f>Database!A1686</f>
        <v/>
      </c>
      <c r="B1687">
        <f>IF(VLOOKUP(Table73[[#This Row],[Date]],Database!$A:$E,MATCH($B$1,Database!$A$1:$E$1,),)=0,#N/A,VLOOKUP(Table73[[#This Row],[Date]],Database!$A:$E,MATCH($B$1,Database!$A$1:$E$1,),))</f>
        <v/>
      </c>
      <c r="C1687">
        <f>IF(VLOOKUP(Table73[[#This Row],[Date]],Database!$A:$C,MATCH($C$1,Database!$A$1:$C$1,),)=0,#N/A,VLOOKUP(Table73[[#This Row],[Date]],Database!$A:$C,MATCH($C$1,Database!$A$1:$C$1,),))</f>
        <v/>
      </c>
      <c r="D1687">
        <f>IFERROR(Table73[[#This Row],[United States 10y]]-Table73[[#This Row],[United States 2y]],#N/A)</f>
        <v/>
      </c>
    </row>
    <row r="1688">
      <c r="A1688" s="6">
        <f>Database!A1687</f>
        <v/>
      </c>
      <c r="B1688">
        <f>IF(VLOOKUP(Table73[[#This Row],[Date]],Database!$A:$E,MATCH($B$1,Database!$A$1:$E$1,),)=0,#N/A,VLOOKUP(Table73[[#This Row],[Date]],Database!$A:$E,MATCH($B$1,Database!$A$1:$E$1,),))</f>
        <v/>
      </c>
      <c r="C1688">
        <f>IF(VLOOKUP(Table73[[#This Row],[Date]],Database!$A:$C,MATCH($C$1,Database!$A$1:$C$1,),)=0,#N/A,VLOOKUP(Table73[[#This Row],[Date]],Database!$A:$C,MATCH($C$1,Database!$A$1:$C$1,),))</f>
        <v/>
      </c>
      <c r="D1688">
        <f>IFERROR(Table73[[#This Row],[United States 10y]]-Table73[[#This Row],[United States 2y]],#N/A)</f>
        <v/>
      </c>
    </row>
    <row r="1689">
      <c r="A1689" s="6">
        <f>Database!A1688</f>
        <v/>
      </c>
      <c r="B1689">
        <f>IF(VLOOKUP(Table73[[#This Row],[Date]],Database!$A:$E,MATCH($B$1,Database!$A$1:$E$1,),)=0,#N/A,VLOOKUP(Table73[[#This Row],[Date]],Database!$A:$E,MATCH($B$1,Database!$A$1:$E$1,),))</f>
        <v/>
      </c>
      <c r="C1689">
        <f>IF(VLOOKUP(Table73[[#This Row],[Date]],Database!$A:$C,MATCH($C$1,Database!$A$1:$C$1,),)=0,#N/A,VLOOKUP(Table73[[#This Row],[Date]],Database!$A:$C,MATCH($C$1,Database!$A$1:$C$1,),))</f>
        <v/>
      </c>
      <c r="D1689">
        <f>IFERROR(Table73[[#This Row],[United States 10y]]-Table73[[#This Row],[United States 2y]],#N/A)</f>
        <v/>
      </c>
    </row>
    <row r="1690">
      <c r="A1690" s="6">
        <f>Database!A1689</f>
        <v/>
      </c>
      <c r="B1690">
        <f>IF(VLOOKUP(Table73[[#This Row],[Date]],Database!$A:$E,MATCH($B$1,Database!$A$1:$E$1,),)=0,#N/A,VLOOKUP(Table73[[#This Row],[Date]],Database!$A:$E,MATCH($B$1,Database!$A$1:$E$1,),))</f>
        <v/>
      </c>
      <c r="C1690">
        <f>IF(VLOOKUP(Table73[[#This Row],[Date]],Database!$A:$C,MATCH($C$1,Database!$A$1:$C$1,),)=0,#N/A,VLOOKUP(Table73[[#This Row],[Date]],Database!$A:$C,MATCH($C$1,Database!$A$1:$C$1,),))</f>
        <v/>
      </c>
      <c r="D1690">
        <f>IFERROR(Table73[[#This Row],[United States 10y]]-Table73[[#This Row],[United States 2y]],#N/A)</f>
        <v/>
      </c>
    </row>
    <row r="1691">
      <c r="A1691" s="6">
        <f>Database!A1690</f>
        <v/>
      </c>
      <c r="B1691">
        <f>IF(VLOOKUP(Table73[[#This Row],[Date]],Database!$A:$E,MATCH($B$1,Database!$A$1:$E$1,),)=0,#N/A,VLOOKUP(Table73[[#This Row],[Date]],Database!$A:$E,MATCH($B$1,Database!$A$1:$E$1,),))</f>
        <v/>
      </c>
      <c r="C1691">
        <f>IF(VLOOKUP(Table73[[#This Row],[Date]],Database!$A:$C,MATCH($C$1,Database!$A$1:$C$1,),)=0,#N/A,VLOOKUP(Table73[[#This Row],[Date]],Database!$A:$C,MATCH($C$1,Database!$A$1:$C$1,),))</f>
        <v/>
      </c>
      <c r="D1691">
        <f>IFERROR(Table73[[#This Row],[United States 10y]]-Table73[[#This Row],[United States 2y]],#N/A)</f>
        <v/>
      </c>
    </row>
    <row r="1692">
      <c r="A1692" s="6">
        <f>Database!A1691</f>
        <v/>
      </c>
      <c r="B1692">
        <f>IF(VLOOKUP(Table73[[#This Row],[Date]],Database!$A:$E,MATCH($B$1,Database!$A$1:$E$1,),)=0,#N/A,VLOOKUP(Table73[[#This Row],[Date]],Database!$A:$E,MATCH($B$1,Database!$A$1:$E$1,),))</f>
        <v/>
      </c>
      <c r="C1692">
        <f>IF(VLOOKUP(Table73[[#This Row],[Date]],Database!$A:$C,MATCH($C$1,Database!$A$1:$C$1,),)=0,#N/A,VLOOKUP(Table73[[#This Row],[Date]],Database!$A:$C,MATCH($C$1,Database!$A$1:$C$1,),))</f>
        <v/>
      </c>
      <c r="D1692">
        <f>IFERROR(Table73[[#This Row],[United States 10y]]-Table73[[#This Row],[United States 2y]],#N/A)</f>
        <v/>
      </c>
    </row>
    <row r="1693">
      <c r="A1693" s="6">
        <f>Database!A1692</f>
        <v/>
      </c>
      <c r="B1693">
        <f>IF(VLOOKUP(Table73[[#This Row],[Date]],Database!$A:$E,MATCH($B$1,Database!$A$1:$E$1,),)=0,#N/A,VLOOKUP(Table73[[#This Row],[Date]],Database!$A:$E,MATCH($B$1,Database!$A$1:$E$1,),))</f>
        <v/>
      </c>
      <c r="C1693">
        <f>IF(VLOOKUP(Table73[[#This Row],[Date]],Database!$A:$C,MATCH($C$1,Database!$A$1:$C$1,),)=0,#N/A,VLOOKUP(Table73[[#This Row],[Date]],Database!$A:$C,MATCH($C$1,Database!$A$1:$C$1,),))</f>
        <v/>
      </c>
      <c r="D1693">
        <f>IFERROR(Table73[[#This Row],[United States 10y]]-Table73[[#This Row],[United States 2y]],#N/A)</f>
        <v/>
      </c>
    </row>
    <row r="1694">
      <c r="A1694" s="6">
        <f>Database!A1693</f>
        <v/>
      </c>
      <c r="B1694">
        <f>IF(VLOOKUP(Table73[[#This Row],[Date]],Database!$A:$E,MATCH($B$1,Database!$A$1:$E$1,),)=0,#N/A,VLOOKUP(Table73[[#This Row],[Date]],Database!$A:$E,MATCH($B$1,Database!$A$1:$E$1,),))</f>
        <v/>
      </c>
      <c r="C1694">
        <f>IF(VLOOKUP(Table73[[#This Row],[Date]],Database!$A:$C,MATCH($C$1,Database!$A$1:$C$1,),)=0,#N/A,VLOOKUP(Table73[[#This Row],[Date]],Database!$A:$C,MATCH($C$1,Database!$A$1:$C$1,),))</f>
        <v/>
      </c>
      <c r="D1694">
        <f>IFERROR(Table73[[#This Row],[United States 10y]]-Table73[[#This Row],[United States 2y]],#N/A)</f>
        <v/>
      </c>
    </row>
    <row r="1695">
      <c r="A1695" s="6">
        <f>Database!A1694</f>
        <v/>
      </c>
      <c r="B1695">
        <f>IF(VLOOKUP(Table73[[#This Row],[Date]],Database!$A:$E,MATCH($B$1,Database!$A$1:$E$1,),)=0,#N/A,VLOOKUP(Table73[[#This Row],[Date]],Database!$A:$E,MATCH($B$1,Database!$A$1:$E$1,),))</f>
        <v/>
      </c>
      <c r="C1695">
        <f>IF(VLOOKUP(Table73[[#This Row],[Date]],Database!$A:$C,MATCH($C$1,Database!$A$1:$C$1,),)=0,#N/A,VLOOKUP(Table73[[#This Row],[Date]],Database!$A:$C,MATCH($C$1,Database!$A$1:$C$1,),))</f>
        <v/>
      </c>
      <c r="D1695">
        <f>IFERROR(Table73[[#This Row],[United States 10y]]-Table73[[#This Row],[United States 2y]],#N/A)</f>
        <v/>
      </c>
    </row>
    <row r="1696">
      <c r="A1696" s="6">
        <f>Database!A1695</f>
        <v/>
      </c>
      <c r="B1696">
        <f>IF(VLOOKUP(Table73[[#This Row],[Date]],Database!$A:$E,MATCH($B$1,Database!$A$1:$E$1,),)=0,#N/A,VLOOKUP(Table73[[#This Row],[Date]],Database!$A:$E,MATCH($B$1,Database!$A$1:$E$1,),))</f>
        <v/>
      </c>
      <c r="C1696">
        <f>IF(VLOOKUP(Table73[[#This Row],[Date]],Database!$A:$C,MATCH($C$1,Database!$A$1:$C$1,),)=0,#N/A,VLOOKUP(Table73[[#This Row],[Date]],Database!$A:$C,MATCH($C$1,Database!$A$1:$C$1,),))</f>
        <v/>
      </c>
      <c r="D1696">
        <f>IFERROR(Table73[[#This Row],[United States 10y]]-Table73[[#This Row],[United States 2y]],#N/A)</f>
        <v/>
      </c>
    </row>
    <row r="1697">
      <c r="A1697" s="6">
        <f>Database!A1696</f>
        <v/>
      </c>
      <c r="B1697">
        <f>IF(VLOOKUP(Table73[[#This Row],[Date]],Database!$A:$E,MATCH($B$1,Database!$A$1:$E$1,),)=0,#N/A,VLOOKUP(Table73[[#This Row],[Date]],Database!$A:$E,MATCH($B$1,Database!$A$1:$E$1,),))</f>
        <v/>
      </c>
      <c r="C1697">
        <f>IF(VLOOKUP(Table73[[#This Row],[Date]],Database!$A:$C,MATCH($C$1,Database!$A$1:$C$1,),)=0,#N/A,VLOOKUP(Table73[[#This Row],[Date]],Database!$A:$C,MATCH($C$1,Database!$A$1:$C$1,),))</f>
        <v/>
      </c>
      <c r="D1697">
        <f>IFERROR(Table73[[#This Row],[United States 10y]]-Table73[[#This Row],[United States 2y]],#N/A)</f>
        <v/>
      </c>
    </row>
    <row r="1698">
      <c r="A1698" s="6">
        <f>Database!A1697</f>
        <v/>
      </c>
      <c r="B1698">
        <f>IF(VLOOKUP(Table73[[#This Row],[Date]],Database!$A:$E,MATCH($B$1,Database!$A$1:$E$1,),)=0,#N/A,VLOOKUP(Table73[[#This Row],[Date]],Database!$A:$E,MATCH($B$1,Database!$A$1:$E$1,),))</f>
        <v/>
      </c>
      <c r="C1698">
        <f>IF(VLOOKUP(Table73[[#This Row],[Date]],Database!$A:$C,MATCH($C$1,Database!$A$1:$C$1,),)=0,#N/A,VLOOKUP(Table73[[#This Row],[Date]],Database!$A:$C,MATCH($C$1,Database!$A$1:$C$1,),))</f>
        <v/>
      </c>
      <c r="D1698">
        <f>IFERROR(Table73[[#This Row],[United States 10y]]-Table73[[#This Row],[United States 2y]],#N/A)</f>
        <v/>
      </c>
    </row>
    <row r="1699">
      <c r="A1699" s="6">
        <f>Database!A1698</f>
        <v/>
      </c>
      <c r="B1699">
        <f>IF(VLOOKUP(Table73[[#This Row],[Date]],Database!$A:$E,MATCH($B$1,Database!$A$1:$E$1,),)=0,#N/A,VLOOKUP(Table73[[#This Row],[Date]],Database!$A:$E,MATCH($B$1,Database!$A$1:$E$1,),))</f>
        <v/>
      </c>
      <c r="C1699">
        <f>IF(VLOOKUP(Table73[[#This Row],[Date]],Database!$A:$C,MATCH($C$1,Database!$A$1:$C$1,),)=0,#N/A,VLOOKUP(Table73[[#This Row],[Date]],Database!$A:$C,MATCH($C$1,Database!$A$1:$C$1,),))</f>
        <v/>
      </c>
      <c r="D1699">
        <f>IFERROR(Table73[[#This Row],[United States 10y]]-Table73[[#This Row],[United States 2y]],#N/A)</f>
        <v/>
      </c>
    </row>
    <row r="1700">
      <c r="A1700" s="6">
        <f>Database!A1699</f>
        <v/>
      </c>
      <c r="B1700">
        <f>IF(VLOOKUP(Table73[[#This Row],[Date]],Database!$A:$E,MATCH($B$1,Database!$A$1:$E$1,),)=0,#N/A,VLOOKUP(Table73[[#This Row],[Date]],Database!$A:$E,MATCH($B$1,Database!$A$1:$E$1,),))</f>
        <v/>
      </c>
      <c r="C1700">
        <f>IF(VLOOKUP(Table73[[#This Row],[Date]],Database!$A:$C,MATCH($C$1,Database!$A$1:$C$1,),)=0,#N/A,VLOOKUP(Table73[[#This Row],[Date]],Database!$A:$C,MATCH($C$1,Database!$A$1:$C$1,),))</f>
        <v/>
      </c>
      <c r="D1700">
        <f>IFERROR(Table73[[#This Row],[United States 10y]]-Table73[[#This Row],[United States 2y]],#N/A)</f>
        <v/>
      </c>
    </row>
    <row r="1701">
      <c r="A1701" s="6">
        <f>Database!A1700</f>
        <v/>
      </c>
      <c r="B1701">
        <f>IF(VLOOKUP(Table73[[#This Row],[Date]],Database!$A:$E,MATCH($B$1,Database!$A$1:$E$1,),)=0,#N/A,VLOOKUP(Table73[[#This Row],[Date]],Database!$A:$E,MATCH($B$1,Database!$A$1:$E$1,),))</f>
        <v/>
      </c>
      <c r="C1701">
        <f>IF(VLOOKUP(Table73[[#This Row],[Date]],Database!$A:$C,MATCH($C$1,Database!$A$1:$C$1,),)=0,#N/A,VLOOKUP(Table73[[#This Row],[Date]],Database!$A:$C,MATCH($C$1,Database!$A$1:$C$1,),))</f>
        <v/>
      </c>
      <c r="D1701">
        <f>IFERROR(Table73[[#This Row],[United States 10y]]-Table73[[#This Row],[United States 2y]],#N/A)</f>
        <v/>
      </c>
    </row>
    <row r="1702">
      <c r="A1702" s="6">
        <f>Database!A1701</f>
        <v/>
      </c>
      <c r="B1702">
        <f>IF(VLOOKUP(Table73[[#This Row],[Date]],Database!$A:$E,MATCH($B$1,Database!$A$1:$E$1,),)=0,#N/A,VLOOKUP(Table73[[#This Row],[Date]],Database!$A:$E,MATCH($B$1,Database!$A$1:$E$1,),))</f>
        <v/>
      </c>
      <c r="C1702">
        <f>IF(VLOOKUP(Table73[[#This Row],[Date]],Database!$A:$C,MATCH($C$1,Database!$A$1:$C$1,),)=0,#N/A,VLOOKUP(Table73[[#This Row],[Date]],Database!$A:$C,MATCH($C$1,Database!$A$1:$C$1,),))</f>
        <v/>
      </c>
      <c r="D1702">
        <f>IFERROR(Table73[[#This Row],[United States 10y]]-Table73[[#This Row],[United States 2y]],#N/A)</f>
        <v/>
      </c>
    </row>
    <row r="1703">
      <c r="A1703" s="6">
        <f>Database!A1702</f>
        <v/>
      </c>
      <c r="B1703">
        <f>IF(VLOOKUP(Table73[[#This Row],[Date]],Database!$A:$E,MATCH($B$1,Database!$A$1:$E$1,),)=0,#N/A,VLOOKUP(Table73[[#This Row],[Date]],Database!$A:$E,MATCH($B$1,Database!$A$1:$E$1,),))</f>
        <v/>
      </c>
      <c r="C1703">
        <f>IF(VLOOKUP(Table73[[#This Row],[Date]],Database!$A:$C,MATCH($C$1,Database!$A$1:$C$1,),)=0,#N/A,VLOOKUP(Table73[[#This Row],[Date]],Database!$A:$C,MATCH($C$1,Database!$A$1:$C$1,),))</f>
        <v/>
      </c>
      <c r="D1703">
        <f>IFERROR(Table73[[#This Row],[United States 10y]]-Table73[[#This Row],[United States 2y]],#N/A)</f>
        <v/>
      </c>
    </row>
    <row r="1704">
      <c r="A1704" s="6">
        <f>Database!A1703</f>
        <v/>
      </c>
      <c r="B1704">
        <f>IF(VLOOKUP(Table73[[#This Row],[Date]],Database!$A:$E,MATCH($B$1,Database!$A$1:$E$1,),)=0,#N/A,VLOOKUP(Table73[[#This Row],[Date]],Database!$A:$E,MATCH($B$1,Database!$A$1:$E$1,),))</f>
        <v/>
      </c>
      <c r="C1704">
        <f>IF(VLOOKUP(Table73[[#This Row],[Date]],Database!$A:$C,MATCH($C$1,Database!$A$1:$C$1,),)=0,#N/A,VLOOKUP(Table73[[#This Row],[Date]],Database!$A:$C,MATCH($C$1,Database!$A$1:$C$1,),))</f>
        <v/>
      </c>
      <c r="D1704">
        <f>IFERROR(Table73[[#This Row],[United States 10y]]-Table73[[#This Row],[United States 2y]],#N/A)</f>
        <v/>
      </c>
    </row>
    <row r="1705">
      <c r="A1705" s="6">
        <f>Database!A1704</f>
        <v/>
      </c>
      <c r="B1705">
        <f>IF(VLOOKUP(Table73[[#This Row],[Date]],Database!$A:$E,MATCH($B$1,Database!$A$1:$E$1,),)=0,#N/A,VLOOKUP(Table73[[#This Row],[Date]],Database!$A:$E,MATCH($B$1,Database!$A$1:$E$1,),))</f>
        <v/>
      </c>
      <c r="C1705">
        <f>IF(VLOOKUP(Table73[[#This Row],[Date]],Database!$A:$C,MATCH($C$1,Database!$A$1:$C$1,),)=0,#N/A,VLOOKUP(Table73[[#This Row],[Date]],Database!$A:$C,MATCH($C$1,Database!$A$1:$C$1,),))</f>
        <v/>
      </c>
      <c r="D1705">
        <f>IFERROR(Table73[[#This Row],[United States 10y]]-Table73[[#This Row],[United States 2y]],#N/A)</f>
        <v/>
      </c>
    </row>
    <row r="1706">
      <c r="A1706" s="6">
        <f>Database!A1705</f>
        <v/>
      </c>
      <c r="B1706">
        <f>IF(VLOOKUP(Table73[[#This Row],[Date]],Database!$A:$E,MATCH($B$1,Database!$A$1:$E$1,),)=0,#N/A,VLOOKUP(Table73[[#This Row],[Date]],Database!$A:$E,MATCH($B$1,Database!$A$1:$E$1,),))</f>
        <v/>
      </c>
      <c r="C1706">
        <f>IF(VLOOKUP(Table73[[#This Row],[Date]],Database!$A:$C,MATCH($C$1,Database!$A$1:$C$1,),)=0,#N/A,VLOOKUP(Table73[[#This Row],[Date]],Database!$A:$C,MATCH($C$1,Database!$A$1:$C$1,),))</f>
        <v/>
      </c>
      <c r="D1706">
        <f>IFERROR(Table73[[#This Row],[United States 10y]]-Table73[[#This Row],[United States 2y]],#N/A)</f>
        <v/>
      </c>
    </row>
    <row r="1707">
      <c r="A1707" s="6">
        <f>Database!A1706</f>
        <v/>
      </c>
      <c r="B1707">
        <f>IF(VLOOKUP(Table73[[#This Row],[Date]],Database!$A:$E,MATCH($B$1,Database!$A$1:$E$1,),)=0,#N/A,VLOOKUP(Table73[[#This Row],[Date]],Database!$A:$E,MATCH($B$1,Database!$A$1:$E$1,),))</f>
        <v/>
      </c>
      <c r="C1707">
        <f>IF(VLOOKUP(Table73[[#This Row],[Date]],Database!$A:$C,MATCH($C$1,Database!$A$1:$C$1,),)=0,#N/A,VLOOKUP(Table73[[#This Row],[Date]],Database!$A:$C,MATCH($C$1,Database!$A$1:$C$1,),))</f>
        <v/>
      </c>
      <c r="D1707">
        <f>IFERROR(Table73[[#This Row],[United States 10y]]-Table73[[#This Row],[United States 2y]],#N/A)</f>
        <v/>
      </c>
    </row>
    <row r="1708">
      <c r="A1708" s="6">
        <f>Database!A1707</f>
        <v/>
      </c>
      <c r="B1708">
        <f>IF(VLOOKUP(Table73[[#This Row],[Date]],Database!$A:$E,MATCH($B$1,Database!$A$1:$E$1,),)=0,#N/A,VLOOKUP(Table73[[#This Row],[Date]],Database!$A:$E,MATCH($B$1,Database!$A$1:$E$1,),))</f>
        <v/>
      </c>
      <c r="C1708">
        <f>IF(VLOOKUP(Table73[[#This Row],[Date]],Database!$A:$C,MATCH($C$1,Database!$A$1:$C$1,),)=0,#N/A,VLOOKUP(Table73[[#This Row],[Date]],Database!$A:$C,MATCH($C$1,Database!$A$1:$C$1,),))</f>
        <v/>
      </c>
      <c r="D1708">
        <f>IFERROR(Table73[[#This Row],[United States 10y]]-Table73[[#This Row],[United States 2y]],#N/A)</f>
        <v/>
      </c>
    </row>
    <row r="1709">
      <c r="A1709" s="6">
        <f>Database!A1708</f>
        <v/>
      </c>
      <c r="B1709">
        <f>IF(VLOOKUP(Table73[[#This Row],[Date]],Database!$A:$E,MATCH($B$1,Database!$A$1:$E$1,),)=0,#N/A,VLOOKUP(Table73[[#This Row],[Date]],Database!$A:$E,MATCH($B$1,Database!$A$1:$E$1,),))</f>
        <v/>
      </c>
      <c r="C1709">
        <f>IF(VLOOKUP(Table73[[#This Row],[Date]],Database!$A:$C,MATCH($C$1,Database!$A$1:$C$1,),)=0,#N/A,VLOOKUP(Table73[[#This Row],[Date]],Database!$A:$C,MATCH($C$1,Database!$A$1:$C$1,),))</f>
        <v/>
      </c>
      <c r="D1709">
        <f>IFERROR(Table73[[#This Row],[United States 10y]]-Table73[[#This Row],[United States 2y]],#N/A)</f>
        <v/>
      </c>
    </row>
    <row r="1710">
      <c r="A1710" s="6">
        <f>Database!A1709</f>
        <v/>
      </c>
      <c r="B1710">
        <f>IF(VLOOKUP(Table73[[#This Row],[Date]],Database!$A:$E,MATCH($B$1,Database!$A$1:$E$1,),)=0,#N/A,VLOOKUP(Table73[[#This Row],[Date]],Database!$A:$E,MATCH($B$1,Database!$A$1:$E$1,),))</f>
        <v/>
      </c>
      <c r="C1710">
        <f>IF(VLOOKUP(Table73[[#This Row],[Date]],Database!$A:$C,MATCH($C$1,Database!$A$1:$C$1,),)=0,#N/A,VLOOKUP(Table73[[#This Row],[Date]],Database!$A:$C,MATCH($C$1,Database!$A$1:$C$1,),))</f>
        <v/>
      </c>
      <c r="D1710">
        <f>IFERROR(Table73[[#This Row],[United States 10y]]-Table73[[#This Row],[United States 2y]],#N/A)</f>
        <v/>
      </c>
    </row>
    <row r="1711">
      <c r="A1711" s="6">
        <f>Database!A1710</f>
        <v/>
      </c>
      <c r="B1711">
        <f>IF(VLOOKUP(Table73[[#This Row],[Date]],Database!$A:$E,MATCH($B$1,Database!$A$1:$E$1,),)=0,#N/A,VLOOKUP(Table73[[#This Row],[Date]],Database!$A:$E,MATCH($B$1,Database!$A$1:$E$1,),))</f>
        <v/>
      </c>
      <c r="C1711">
        <f>IF(VLOOKUP(Table73[[#This Row],[Date]],Database!$A:$C,MATCH($C$1,Database!$A$1:$C$1,),)=0,#N/A,VLOOKUP(Table73[[#This Row],[Date]],Database!$A:$C,MATCH($C$1,Database!$A$1:$C$1,),))</f>
        <v/>
      </c>
      <c r="D1711">
        <f>IFERROR(Table73[[#This Row],[United States 10y]]-Table73[[#This Row],[United States 2y]],#N/A)</f>
        <v/>
      </c>
    </row>
    <row r="1712">
      <c r="A1712" s="6">
        <f>Database!A1711</f>
        <v/>
      </c>
      <c r="B1712">
        <f>IF(VLOOKUP(Table73[[#This Row],[Date]],Database!$A:$E,MATCH($B$1,Database!$A$1:$E$1,),)=0,#N/A,VLOOKUP(Table73[[#This Row],[Date]],Database!$A:$E,MATCH($B$1,Database!$A$1:$E$1,),))</f>
        <v/>
      </c>
      <c r="C1712">
        <f>IF(VLOOKUP(Table73[[#This Row],[Date]],Database!$A:$C,MATCH($C$1,Database!$A$1:$C$1,),)=0,#N/A,VLOOKUP(Table73[[#This Row],[Date]],Database!$A:$C,MATCH($C$1,Database!$A$1:$C$1,),))</f>
        <v/>
      </c>
      <c r="D1712">
        <f>IFERROR(Table73[[#This Row],[United States 10y]]-Table73[[#This Row],[United States 2y]],#N/A)</f>
        <v/>
      </c>
    </row>
    <row r="1713">
      <c r="A1713" s="6">
        <f>Database!A1712</f>
        <v/>
      </c>
      <c r="B1713">
        <f>IF(VLOOKUP(Table73[[#This Row],[Date]],Database!$A:$E,MATCH($B$1,Database!$A$1:$E$1,),)=0,#N/A,VLOOKUP(Table73[[#This Row],[Date]],Database!$A:$E,MATCH($B$1,Database!$A$1:$E$1,),))</f>
        <v/>
      </c>
      <c r="C1713">
        <f>IF(VLOOKUP(Table73[[#This Row],[Date]],Database!$A:$C,MATCH($C$1,Database!$A$1:$C$1,),)=0,#N/A,VLOOKUP(Table73[[#This Row],[Date]],Database!$A:$C,MATCH($C$1,Database!$A$1:$C$1,),))</f>
        <v/>
      </c>
      <c r="D1713">
        <f>IFERROR(Table73[[#This Row],[United States 10y]]-Table73[[#This Row],[United States 2y]],#N/A)</f>
        <v/>
      </c>
    </row>
    <row r="1714">
      <c r="A1714" s="6">
        <f>Database!A1713</f>
        <v/>
      </c>
      <c r="B1714">
        <f>IF(VLOOKUP(Table73[[#This Row],[Date]],Database!$A:$E,MATCH($B$1,Database!$A$1:$E$1,),)=0,#N/A,VLOOKUP(Table73[[#This Row],[Date]],Database!$A:$E,MATCH($B$1,Database!$A$1:$E$1,),))</f>
        <v/>
      </c>
      <c r="C1714">
        <f>IF(VLOOKUP(Table73[[#This Row],[Date]],Database!$A:$C,MATCH($C$1,Database!$A$1:$C$1,),)=0,#N/A,VLOOKUP(Table73[[#This Row],[Date]],Database!$A:$C,MATCH($C$1,Database!$A$1:$C$1,),))</f>
        <v/>
      </c>
      <c r="D1714">
        <f>IFERROR(Table73[[#This Row],[United States 10y]]-Table73[[#This Row],[United States 2y]],#N/A)</f>
        <v/>
      </c>
    </row>
    <row r="1715">
      <c r="A1715" s="6">
        <f>Database!A1714</f>
        <v/>
      </c>
      <c r="B1715">
        <f>IF(VLOOKUP(Table73[[#This Row],[Date]],Database!$A:$E,MATCH($B$1,Database!$A$1:$E$1,),)=0,#N/A,VLOOKUP(Table73[[#This Row],[Date]],Database!$A:$E,MATCH($B$1,Database!$A$1:$E$1,),))</f>
        <v/>
      </c>
      <c r="C1715">
        <f>IF(VLOOKUP(Table73[[#This Row],[Date]],Database!$A:$C,MATCH($C$1,Database!$A$1:$C$1,),)=0,#N/A,VLOOKUP(Table73[[#This Row],[Date]],Database!$A:$C,MATCH($C$1,Database!$A$1:$C$1,),))</f>
        <v/>
      </c>
      <c r="D1715">
        <f>IFERROR(Table73[[#This Row],[United States 10y]]-Table73[[#This Row],[United States 2y]],#N/A)</f>
        <v/>
      </c>
    </row>
    <row r="1716">
      <c r="A1716" s="6">
        <f>Database!A1715</f>
        <v/>
      </c>
      <c r="B1716">
        <f>IF(VLOOKUP(Table73[[#This Row],[Date]],Database!$A:$E,MATCH($B$1,Database!$A$1:$E$1,),)=0,#N/A,VLOOKUP(Table73[[#This Row],[Date]],Database!$A:$E,MATCH($B$1,Database!$A$1:$E$1,),))</f>
        <v/>
      </c>
      <c r="C1716">
        <f>IF(VLOOKUP(Table73[[#This Row],[Date]],Database!$A:$C,MATCH($C$1,Database!$A$1:$C$1,),)=0,#N/A,VLOOKUP(Table73[[#This Row],[Date]],Database!$A:$C,MATCH($C$1,Database!$A$1:$C$1,),))</f>
        <v/>
      </c>
      <c r="D1716">
        <f>IFERROR(Table73[[#This Row],[United States 10y]]-Table73[[#This Row],[United States 2y]],#N/A)</f>
        <v/>
      </c>
    </row>
    <row r="1717">
      <c r="A1717" s="6">
        <f>Database!A1716</f>
        <v/>
      </c>
      <c r="B1717">
        <f>IF(VLOOKUP(Table73[[#This Row],[Date]],Database!$A:$E,MATCH($B$1,Database!$A$1:$E$1,),)=0,#N/A,VLOOKUP(Table73[[#This Row],[Date]],Database!$A:$E,MATCH($B$1,Database!$A$1:$E$1,),))</f>
        <v/>
      </c>
      <c r="C1717">
        <f>IF(VLOOKUP(Table73[[#This Row],[Date]],Database!$A:$C,MATCH($C$1,Database!$A$1:$C$1,),)=0,#N/A,VLOOKUP(Table73[[#This Row],[Date]],Database!$A:$C,MATCH($C$1,Database!$A$1:$C$1,),))</f>
        <v/>
      </c>
      <c r="D1717">
        <f>IFERROR(Table73[[#This Row],[United States 10y]]-Table73[[#This Row],[United States 2y]],#N/A)</f>
        <v/>
      </c>
    </row>
    <row r="1718">
      <c r="A1718" s="6">
        <f>Database!A1717</f>
        <v/>
      </c>
      <c r="B1718">
        <f>IF(VLOOKUP(Table73[[#This Row],[Date]],Database!$A:$E,MATCH($B$1,Database!$A$1:$E$1,),)=0,#N/A,VLOOKUP(Table73[[#This Row],[Date]],Database!$A:$E,MATCH($B$1,Database!$A$1:$E$1,),))</f>
        <v/>
      </c>
      <c r="C1718">
        <f>IF(VLOOKUP(Table73[[#This Row],[Date]],Database!$A:$C,MATCH($C$1,Database!$A$1:$C$1,),)=0,#N/A,VLOOKUP(Table73[[#This Row],[Date]],Database!$A:$C,MATCH($C$1,Database!$A$1:$C$1,),))</f>
        <v/>
      </c>
      <c r="D1718">
        <f>IFERROR(Table73[[#This Row],[United States 10y]]-Table73[[#This Row],[United States 2y]],#N/A)</f>
        <v/>
      </c>
    </row>
    <row r="1719">
      <c r="A1719" s="6">
        <f>Database!A1718</f>
        <v/>
      </c>
      <c r="B1719">
        <f>IF(VLOOKUP(Table73[[#This Row],[Date]],Database!$A:$E,MATCH($B$1,Database!$A$1:$E$1,),)=0,#N/A,VLOOKUP(Table73[[#This Row],[Date]],Database!$A:$E,MATCH($B$1,Database!$A$1:$E$1,),))</f>
        <v/>
      </c>
      <c r="C1719">
        <f>IF(VLOOKUP(Table73[[#This Row],[Date]],Database!$A:$C,MATCH($C$1,Database!$A$1:$C$1,),)=0,#N/A,VLOOKUP(Table73[[#This Row],[Date]],Database!$A:$C,MATCH($C$1,Database!$A$1:$C$1,),))</f>
        <v/>
      </c>
      <c r="D1719">
        <f>IFERROR(Table73[[#This Row],[United States 10y]]-Table73[[#This Row],[United States 2y]],#N/A)</f>
        <v/>
      </c>
    </row>
    <row r="1720">
      <c r="A1720" s="6">
        <f>Database!A1719</f>
        <v/>
      </c>
      <c r="B1720">
        <f>IF(VLOOKUP(Table73[[#This Row],[Date]],Database!$A:$E,MATCH($B$1,Database!$A$1:$E$1,),)=0,#N/A,VLOOKUP(Table73[[#This Row],[Date]],Database!$A:$E,MATCH($B$1,Database!$A$1:$E$1,),))</f>
        <v/>
      </c>
      <c r="C1720">
        <f>IF(VLOOKUP(Table73[[#This Row],[Date]],Database!$A:$C,MATCH($C$1,Database!$A$1:$C$1,),)=0,#N/A,VLOOKUP(Table73[[#This Row],[Date]],Database!$A:$C,MATCH($C$1,Database!$A$1:$C$1,),))</f>
        <v/>
      </c>
      <c r="D1720">
        <f>IFERROR(Table73[[#This Row],[United States 10y]]-Table73[[#This Row],[United States 2y]],#N/A)</f>
        <v/>
      </c>
    </row>
    <row r="1721">
      <c r="A1721" s="6">
        <f>Database!A1720</f>
        <v/>
      </c>
      <c r="B1721">
        <f>IF(VLOOKUP(Table73[[#This Row],[Date]],Database!$A:$E,MATCH($B$1,Database!$A$1:$E$1,),)=0,#N/A,VLOOKUP(Table73[[#This Row],[Date]],Database!$A:$E,MATCH($B$1,Database!$A$1:$E$1,),))</f>
        <v/>
      </c>
      <c r="C1721">
        <f>IF(VLOOKUP(Table73[[#This Row],[Date]],Database!$A:$C,MATCH($C$1,Database!$A$1:$C$1,),)=0,#N/A,VLOOKUP(Table73[[#This Row],[Date]],Database!$A:$C,MATCH($C$1,Database!$A$1:$C$1,),))</f>
        <v/>
      </c>
      <c r="D1721">
        <f>IFERROR(Table73[[#This Row],[United States 10y]]-Table73[[#This Row],[United States 2y]],#N/A)</f>
        <v/>
      </c>
    </row>
    <row r="1722">
      <c r="A1722" s="6">
        <f>Database!A1721</f>
        <v/>
      </c>
      <c r="B1722">
        <f>IF(VLOOKUP(Table73[[#This Row],[Date]],Database!$A:$E,MATCH($B$1,Database!$A$1:$E$1,),)=0,#N/A,VLOOKUP(Table73[[#This Row],[Date]],Database!$A:$E,MATCH($B$1,Database!$A$1:$E$1,),))</f>
        <v/>
      </c>
      <c r="C1722">
        <f>IF(VLOOKUP(Table73[[#This Row],[Date]],Database!$A:$C,MATCH($C$1,Database!$A$1:$C$1,),)=0,#N/A,VLOOKUP(Table73[[#This Row],[Date]],Database!$A:$C,MATCH($C$1,Database!$A$1:$C$1,),))</f>
        <v/>
      </c>
      <c r="D1722">
        <f>IFERROR(Table73[[#This Row],[United States 10y]]-Table73[[#This Row],[United States 2y]],#N/A)</f>
        <v/>
      </c>
    </row>
    <row r="1723">
      <c r="A1723" s="6">
        <f>Database!A1722</f>
        <v/>
      </c>
      <c r="B1723">
        <f>IF(VLOOKUP(Table73[[#This Row],[Date]],Database!$A:$E,MATCH($B$1,Database!$A$1:$E$1,),)=0,#N/A,VLOOKUP(Table73[[#This Row],[Date]],Database!$A:$E,MATCH($B$1,Database!$A$1:$E$1,),))</f>
        <v/>
      </c>
      <c r="C1723">
        <f>IF(VLOOKUP(Table73[[#This Row],[Date]],Database!$A:$C,MATCH($C$1,Database!$A$1:$C$1,),)=0,#N/A,VLOOKUP(Table73[[#This Row],[Date]],Database!$A:$C,MATCH($C$1,Database!$A$1:$C$1,),))</f>
        <v/>
      </c>
      <c r="D1723">
        <f>IFERROR(Table73[[#This Row],[United States 10y]]-Table73[[#This Row],[United States 2y]],#N/A)</f>
        <v/>
      </c>
    </row>
    <row r="1724">
      <c r="A1724" s="6">
        <f>Database!A1723</f>
        <v/>
      </c>
      <c r="B1724">
        <f>IF(VLOOKUP(Table73[[#This Row],[Date]],Database!$A:$E,MATCH($B$1,Database!$A$1:$E$1,),)=0,#N/A,VLOOKUP(Table73[[#This Row],[Date]],Database!$A:$E,MATCH($B$1,Database!$A$1:$E$1,),))</f>
        <v/>
      </c>
      <c r="C1724">
        <f>IF(VLOOKUP(Table73[[#This Row],[Date]],Database!$A:$C,MATCH($C$1,Database!$A$1:$C$1,),)=0,#N/A,VLOOKUP(Table73[[#This Row],[Date]],Database!$A:$C,MATCH($C$1,Database!$A$1:$C$1,),))</f>
        <v/>
      </c>
      <c r="D1724">
        <f>IFERROR(Table73[[#This Row],[United States 10y]]-Table73[[#This Row],[United States 2y]],#N/A)</f>
        <v/>
      </c>
    </row>
    <row r="1725">
      <c r="A1725" s="6">
        <f>Database!A1724</f>
        <v/>
      </c>
      <c r="B1725">
        <f>IF(VLOOKUP(Table73[[#This Row],[Date]],Database!$A:$E,MATCH($B$1,Database!$A$1:$E$1,),)=0,#N/A,VLOOKUP(Table73[[#This Row],[Date]],Database!$A:$E,MATCH($B$1,Database!$A$1:$E$1,),))</f>
        <v/>
      </c>
      <c r="C1725">
        <f>IF(VLOOKUP(Table73[[#This Row],[Date]],Database!$A:$C,MATCH($C$1,Database!$A$1:$C$1,),)=0,#N/A,VLOOKUP(Table73[[#This Row],[Date]],Database!$A:$C,MATCH($C$1,Database!$A$1:$C$1,),))</f>
        <v/>
      </c>
      <c r="D1725">
        <f>IFERROR(Table73[[#This Row],[United States 10y]]-Table73[[#This Row],[United States 2y]],#N/A)</f>
        <v/>
      </c>
    </row>
    <row r="1726">
      <c r="A1726" s="6">
        <f>Database!A1725</f>
        <v/>
      </c>
      <c r="B1726">
        <f>IF(VLOOKUP(Table73[[#This Row],[Date]],Database!$A:$E,MATCH($B$1,Database!$A$1:$E$1,),)=0,#N/A,VLOOKUP(Table73[[#This Row],[Date]],Database!$A:$E,MATCH($B$1,Database!$A$1:$E$1,),))</f>
        <v/>
      </c>
      <c r="C1726">
        <f>IF(VLOOKUP(Table73[[#This Row],[Date]],Database!$A:$C,MATCH($C$1,Database!$A$1:$C$1,),)=0,#N/A,VLOOKUP(Table73[[#This Row],[Date]],Database!$A:$C,MATCH($C$1,Database!$A$1:$C$1,),))</f>
        <v/>
      </c>
      <c r="D1726">
        <f>IFERROR(Table73[[#This Row],[United States 10y]]-Table73[[#This Row],[United States 2y]],#N/A)</f>
        <v/>
      </c>
    </row>
    <row r="1727">
      <c r="A1727" s="6">
        <f>Database!A1726</f>
        <v/>
      </c>
      <c r="B1727">
        <f>IF(VLOOKUP(Table73[[#This Row],[Date]],Database!$A:$E,MATCH($B$1,Database!$A$1:$E$1,),)=0,#N/A,VLOOKUP(Table73[[#This Row],[Date]],Database!$A:$E,MATCH($B$1,Database!$A$1:$E$1,),))</f>
        <v/>
      </c>
      <c r="C1727">
        <f>IF(VLOOKUP(Table73[[#This Row],[Date]],Database!$A:$C,MATCH($C$1,Database!$A$1:$C$1,),)=0,#N/A,VLOOKUP(Table73[[#This Row],[Date]],Database!$A:$C,MATCH($C$1,Database!$A$1:$C$1,),))</f>
        <v/>
      </c>
      <c r="D1727">
        <f>IFERROR(Table73[[#This Row],[United States 10y]]-Table73[[#This Row],[United States 2y]],#N/A)</f>
        <v/>
      </c>
    </row>
    <row r="1728">
      <c r="A1728" s="6">
        <f>Database!A1727</f>
        <v/>
      </c>
      <c r="B1728">
        <f>IF(VLOOKUP(Table73[[#This Row],[Date]],Database!$A:$E,MATCH($B$1,Database!$A$1:$E$1,),)=0,#N/A,VLOOKUP(Table73[[#This Row],[Date]],Database!$A:$E,MATCH($B$1,Database!$A$1:$E$1,),))</f>
        <v/>
      </c>
      <c r="C1728">
        <f>IF(VLOOKUP(Table73[[#This Row],[Date]],Database!$A:$C,MATCH($C$1,Database!$A$1:$C$1,),)=0,#N/A,VLOOKUP(Table73[[#This Row],[Date]],Database!$A:$C,MATCH($C$1,Database!$A$1:$C$1,),))</f>
        <v/>
      </c>
      <c r="D1728">
        <f>IFERROR(Table73[[#This Row],[United States 10y]]-Table73[[#This Row],[United States 2y]],#N/A)</f>
        <v/>
      </c>
    </row>
    <row r="1729">
      <c r="A1729" s="6">
        <f>Database!A1728</f>
        <v/>
      </c>
      <c r="B1729">
        <f>IF(VLOOKUP(Table73[[#This Row],[Date]],Database!$A:$E,MATCH($B$1,Database!$A$1:$E$1,),)=0,#N/A,VLOOKUP(Table73[[#This Row],[Date]],Database!$A:$E,MATCH($B$1,Database!$A$1:$E$1,),))</f>
        <v/>
      </c>
      <c r="C1729">
        <f>IF(VLOOKUP(Table73[[#This Row],[Date]],Database!$A:$C,MATCH($C$1,Database!$A$1:$C$1,),)=0,#N/A,VLOOKUP(Table73[[#This Row],[Date]],Database!$A:$C,MATCH($C$1,Database!$A$1:$C$1,),))</f>
        <v/>
      </c>
      <c r="D1729">
        <f>IFERROR(Table73[[#This Row],[United States 10y]]-Table73[[#This Row],[United States 2y]],#N/A)</f>
        <v/>
      </c>
    </row>
    <row r="1730">
      <c r="A1730" s="6">
        <f>Database!A1729</f>
        <v/>
      </c>
      <c r="B1730">
        <f>IF(VLOOKUP(Table73[[#This Row],[Date]],Database!$A:$E,MATCH($B$1,Database!$A$1:$E$1,),)=0,#N/A,VLOOKUP(Table73[[#This Row],[Date]],Database!$A:$E,MATCH($B$1,Database!$A$1:$E$1,),))</f>
        <v/>
      </c>
      <c r="C1730">
        <f>IF(VLOOKUP(Table73[[#This Row],[Date]],Database!$A:$C,MATCH($C$1,Database!$A$1:$C$1,),)=0,#N/A,VLOOKUP(Table73[[#This Row],[Date]],Database!$A:$C,MATCH($C$1,Database!$A$1:$C$1,),))</f>
        <v/>
      </c>
      <c r="D1730">
        <f>IFERROR(Table73[[#This Row],[United States 10y]]-Table73[[#This Row],[United States 2y]],#N/A)</f>
        <v/>
      </c>
    </row>
    <row r="1731">
      <c r="A1731" s="6">
        <f>Database!A1730</f>
        <v/>
      </c>
      <c r="B1731">
        <f>IF(VLOOKUP(Table73[[#This Row],[Date]],Database!$A:$E,MATCH($B$1,Database!$A$1:$E$1,),)=0,#N/A,VLOOKUP(Table73[[#This Row],[Date]],Database!$A:$E,MATCH($B$1,Database!$A$1:$E$1,),))</f>
        <v/>
      </c>
      <c r="C1731">
        <f>IF(VLOOKUP(Table73[[#This Row],[Date]],Database!$A:$C,MATCH($C$1,Database!$A$1:$C$1,),)=0,#N/A,VLOOKUP(Table73[[#This Row],[Date]],Database!$A:$C,MATCH($C$1,Database!$A$1:$C$1,),))</f>
        <v/>
      </c>
      <c r="D1731">
        <f>IFERROR(Table73[[#This Row],[United States 10y]]-Table73[[#This Row],[United States 2y]],#N/A)</f>
        <v/>
      </c>
    </row>
    <row r="1732">
      <c r="A1732" s="6">
        <f>Database!A1731</f>
        <v/>
      </c>
      <c r="B1732">
        <f>IF(VLOOKUP(Table73[[#This Row],[Date]],Database!$A:$E,MATCH($B$1,Database!$A$1:$E$1,),)=0,#N/A,VLOOKUP(Table73[[#This Row],[Date]],Database!$A:$E,MATCH($B$1,Database!$A$1:$E$1,),))</f>
        <v/>
      </c>
      <c r="C1732">
        <f>IF(VLOOKUP(Table73[[#This Row],[Date]],Database!$A:$C,MATCH($C$1,Database!$A$1:$C$1,),)=0,#N/A,VLOOKUP(Table73[[#This Row],[Date]],Database!$A:$C,MATCH($C$1,Database!$A$1:$C$1,),))</f>
        <v/>
      </c>
      <c r="D1732">
        <f>IFERROR(Table73[[#This Row],[United States 10y]]-Table73[[#This Row],[United States 2y]],#N/A)</f>
        <v/>
      </c>
    </row>
    <row r="1733">
      <c r="A1733" s="6">
        <f>Database!A1732</f>
        <v/>
      </c>
      <c r="B1733">
        <f>IF(VLOOKUP(Table73[[#This Row],[Date]],Database!$A:$E,MATCH($B$1,Database!$A$1:$E$1,),)=0,#N/A,VLOOKUP(Table73[[#This Row],[Date]],Database!$A:$E,MATCH($B$1,Database!$A$1:$E$1,),))</f>
        <v/>
      </c>
      <c r="C1733">
        <f>IF(VLOOKUP(Table73[[#This Row],[Date]],Database!$A:$C,MATCH($C$1,Database!$A$1:$C$1,),)=0,#N/A,VLOOKUP(Table73[[#This Row],[Date]],Database!$A:$C,MATCH($C$1,Database!$A$1:$C$1,),))</f>
        <v/>
      </c>
      <c r="D1733">
        <f>IFERROR(Table73[[#This Row],[United States 10y]]-Table73[[#This Row],[United States 2y]],#N/A)</f>
        <v/>
      </c>
    </row>
    <row r="1734">
      <c r="A1734" s="6">
        <f>Database!A1733</f>
        <v/>
      </c>
      <c r="B1734">
        <f>IF(VLOOKUP(Table73[[#This Row],[Date]],Database!$A:$E,MATCH($B$1,Database!$A$1:$E$1,),)=0,#N/A,VLOOKUP(Table73[[#This Row],[Date]],Database!$A:$E,MATCH($B$1,Database!$A$1:$E$1,),))</f>
        <v/>
      </c>
      <c r="C1734">
        <f>IF(VLOOKUP(Table73[[#This Row],[Date]],Database!$A:$C,MATCH($C$1,Database!$A$1:$C$1,),)=0,#N/A,VLOOKUP(Table73[[#This Row],[Date]],Database!$A:$C,MATCH($C$1,Database!$A$1:$C$1,),))</f>
        <v/>
      </c>
      <c r="D1734">
        <f>IFERROR(Table73[[#This Row],[United States 10y]]-Table73[[#This Row],[United States 2y]],#N/A)</f>
        <v/>
      </c>
    </row>
    <row r="1735">
      <c r="A1735" s="6">
        <f>Database!A1734</f>
        <v/>
      </c>
      <c r="B1735">
        <f>IF(VLOOKUP(Table73[[#This Row],[Date]],Database!$A:$E,MATCH($B$1,Database!$A$1:$E$1,),)=0,#N/A,VLOOKUP(Table73[[#This Row],[Date]],Database!$A:$E,MATCH($B$1,Database!$A$1:$E$1,),))</f>
        <v/>
      </c>
      <c r="C1735">
        <f>IF(VLOOKUP(Table73[[#This Row],[Date]],Database!$A:$C,MATCH($C$1,Database!$A$1:$C$1,),)=0,#N/A,VLOOKUP(Table73[[#This Row],[Date]],Database!$A:$C,MATCH($C$1,Database!$A$1:$C$1,),))</f>
        <v/>
      </c>
      <c r="D1735">
        <f>IFERROR(Table73[[#This Row],[United States 10y]]-Table73[[#This Row],[United States 2y]],#N/A)</f>
        <v/>
      </c>
    </row>
    <row r="1736">
      <c r="A1736" s="6">
        <f>Database!A1735</f>
        <v/>
      </c>
      <c r="B1736">
        <f>IF(VLOOKUP(Table73[[#This Row],[Date]],Database!$A:$E,MATCH($B$1,Database!$A$1:$E$1,),)=0,#N/A,VLOOKUP(Table73[[#This Row],[Date]],Database!$A:$E,MATCH($B$1,Database!$A$1:$E$1,),))</f>
        <v/>
      </c>
      <c r="C1736">
        <f>IF(VLOOKUP(Table73[[#This Row],[Date]],Database!$A:$C,MATCH($C$1,Database!$A$1:$C$1,),)=0,#N/A,VLOOKUP(Table73[[#This Row],[Date]],Database!$A:$C,MATCH($C$1,Database!$A$1:$C$1,),))</f>
        <v/>
      </c>
      <c r="D1736">
        <f>IFERROR(Table73[[#This Row],[United States 10y]]-Table73[[#This Row],[United States 2y]],#N/A)</f>
        <v/>
      </c>
    </row>
    <row r="1737">
      <c r="A1737" s="6">
        <f>Database!A1736</f>
        <v/>
      </c>
      <c r="B1737">
        <f>IF(VLOOKUP(Table73[[#This Row],[Date]],Database!$A:$E,MATCH($B$1,Database!$A$1:$E$1,),)=0,#N/A,VLOOKUP(Table73[[#This Row],[Date]],Database!$A:$E,MATCH($B$1,Database!$A$1:$E$1,),))</f>
        <v/>
      </c>
      <c r="C1737">
        <f>IF(VLOOKUP(Table73[[#This Row],[Date]],Database!$A:$C,MATCH($C$1,Database!$A$1:$C$1,),)=0,#N/A,VLOOKUP(Table73[[#This Row],[Date]],Database!$A:$C,MATCH($C$1,Database!$A$1:$C$1,),))</f>
        <v/>
      </c>
      <c r="D1737">
        <f>IFERROR(Table73[[#This Row],[United States 10y]]-Table73[[#This Row],[United States 2y]],#N/A)</f>
        <v/>
      </c>
    </row>
    <row r="1738">
      <c r="A1738" s="6">
        <f>Database!A1737</f>
        <v/>
      </c>
      <c r="B1738">
        <f>IF(VLOOKUP(Table73[[#This Row],[Date]],Database!$A:$E,MATCH($B$1,Database!$A$1:$E$1,),)=0,#N/A,VLOOKUP(Table73[[#This Row],[Date]],Database!$A:$E,MATCH($B$1,Database!$A$1:$E$1,),))</f>
        <v/>
      </c>
      <c r="C1738">
        <f>IF(VLOOKUP(Table73[[#This Row],[Date]],Database!$A:$C,MATCH($C$1,Database!$A$1:$C$1,),)=0,#N/A,VLOOKUP(Table73[[#This Row],[Date]],Database!$A:$C,MATCH($C$1,Database!$A$1:$C$1,),))</f>
        <v/>
      </c>
      <c r="D1738">
        <f>IFERROR(Table73[[#This Row],[United States 10y]]-Table73[[#This Row],[United States 2y]],#N/A)</f>
        <v/>
      </c>
    </row>
    <row r="1739">
      <c r="A1739" s="6">
        <f>Database!A1738</f>
        <v/>
      </c>
      <c r="B1739">
        <f>IF(VLOOKUP(Table73[[#This Row],[Date]],Database!$A:$E,MATCH($B$1,Database!$A$1:$E$1,),)=0,#N/A,VLOOKUP(Table73[[#This Row],[Date]],Database!$A:$E,MATCH($B$1,Database!$A$1:$E$1,),))</f>
        <v/>
      </c>
      <c r="C1739">
        <f>IF(VLOOKUP(Table73[[#This Row],[Date]],Database!$A:$C,MATCH($C$1,Database!$A$1:$C$1,),)=0,#N/A,VLOOKUP(Table73[[#This Row],[Date]],Database!$A:$C,MATCH($C$1,Database!$A$1:$C$1,),))</f>
        <v/>
      </c>
      <c r="D1739">
        <f>IFERROR(Table73[[#This Row],[United States 10y]]-Table73[[#This Row],[United States 2y]],#N/A)</f>
        <v/>
      </c>
    </row>
    <row r="1740">
      <c r="A1740" s="6">
        <f>Database!A1739</f>
        <v/>
      </c>
      <c r="B1740">
        <f>IF(VLOOKUP(Table73[[#This Row],[Date]],Database!$A:$E,MATCH($B$1,Database!$A$1:$E$1,),)=0,#N/A,VLOOKUP(Table73[[#This Row],[Date]],Database!$A:$E,MATCH($B$1,Database!$A$1:$E$1,),))</f>
        <v/>
      </c>
      <c r="C1740">
        <f>IF(VLOOKUP(Table73[[#This Row],[Date]],Database!$A:$C,MATCH($C$1,Database!$A$1:$C$1,),)=0,#N/A,VLOOKUP(Table73[[#This Row],[Date]],Database!$A:$C,MATCH($C$1,Database!$A$1:$C$1,),))</f>
        <v/>
      </c>
      <c r="D1740">
        <f>IFERROR(Table73[[#This Row],[United States 10y]]-Table73[[#This Row],[United States 2y]],#N/A)</f>
        <v/>
      </c>
    </row>
    <row r="1741">
      <c r="A1741" s="6">
        <f>Database!A1740</f>
        <v/>
      </c>
      <c r="B1741">
        <f>IF(VLOOKUP(Table73[[#This Row],[Date]],Database!$A:$E,MATCH($B$1,Database!$A$1:$E$1,),)=0,#N/A,VLOOKUP(Table73[[#This Row],[Date]],Database!$A:$E,MATCH($B$1,Database!$A$1:$E$1,),))</f>
        <v/>
      </c>
      <c r="C1741">
        <f>IF(VLOOKUP(Table73[[#This Row],[Date]],Database!$A:$C,MATCH($C$1,Database!$A$1:$C$1,),)=0,#N/A,VLOOKUP(Table73[[#This Row],[Date]],Database!$A:$C,MATCH($C$1,Database!$A$1:$C$1,),))</f>
        <v/>
      </c>
      <c r="D1741">
        <f>IFERROR(Table73[[#This Row],[United States 10y]]-Table73[[#This Row],[United States 2y]],#N/A)</f>
        <v/>
      </c>
    </row>
    <row r="1742">
      <c r="A1742" s="6">
        <f>Database!A1741</f>
        <v/>
      </c>
      <c r="B1742">
        <f>IF(VLOOKUP(Table73[[#This Row],[Date]],Database!$A:$E,MATCH($B$1,Database!$A$1:$E$1,),)=0,#N/A,VLOOKUP(Table73[[#This Row],[Date]],Database!$A:$E,MATCH($B$1,Database!$A$1:$E$1,),))</f>
        <v/>
      </c>
      <c r="C1742">
        <f>IF(VLOOKUP(Table73[[#This Row],[Date]],Database!$A:$C,MATCH($C$1,Database!$A$1:$C$1,),)=0,#N/A,VLOOKUP(Table73[[#This Row],[Date]],Database!$A:$C,MATCH($C$1,Database!$A$1:$C$1,),))</f>
        <v/>
      </c>
      <c r="D1742">
        <f>IFERROR(Table73[[#This Row],[United States 10y]]-Table73[[#This Row],[United States 2y]],#N/A)</f>
        <v/>
      </c>
    </row>
    <row r="1743">
      <c r="A1743" s="6">
        <f>Database!A1742</f>
        <v/>
      </c>
      <c r="B1743">
        <f>IF(VLOOKUP(Table73[[#This Row],[Date]],Database!$A:$E,MATCH($B$1,Database!$A$1:$E$1,),)=0,#N/A,VLOOKUP(Table73[[#This Row],[Date]],Database!$A:$E,MATCH($B$1,Database!$A$1:$E$1,),))</f>
        <v/>
      </c>
      <c r="C1743">
        <f>IF(VLOOKUP(Table73[[#This Row],[Date]],Database!$A:$C,MATCH($C$1,Database!$A$1:$C$1,),)=0,#N/A,VLOOKUP(Table73[[#This Row],[Date]],Database!$A:$C,MATCH($C$1,Database!$A$1:$C$1,),))</f>
        <v/>
      </c>
      <c r="D1743">
        <f>IFERROR(Table73[[#This Row],[United States 10y]]-Table73[[#This Row],[United States 2y]],#N/A)</f>
        <v/>
      </c>
    </row>
    <row r="1744">
      <c r="A1744" s="6">
        <f>Database!A1743</f>
        <v/>
      </c>
      <c r="B1744">
        <f>IF(VLOOKUP(Table73[[#This Row],[Date]],Database!$A:$E,MATCH($B$1,Database!$A$1:$E$1,),)=0,#N/A,VLOOKUP(Table73[[#This Row],[Date]],Database!$A:$E,MATCH($B$1,Database!$A$1:$E$1,),))</f>
        <v/>
      </c>
      <c r="C1744">
        <f>IF(VLOOKUP(Table73[[#This Row],[Date]],Database!$A:$C,MATCH($C$1,Database!$A$1:$C$1,),)=0,#N/A,VLOOKUP(Table73[[#This Row],[Date]],Database!$A:$C,MATCH($C$1,Database!$A$1:$C$1,),))</f>
        <v/>
      </c>
      <c r="D1744">
        <f>IFERROR(Table73[[#This Row],[United States 10y]]-Table73[[#This Row],[United States 2y]],#N/A)</f>
        <v/>
      </c>
    </row>
    <row r="1745">
      <c r="A1745" s="6">
        <f>Database!A1744</f>
        <v/>
      </c>
      <c r="B1745">
        <f>IF(VLOOKUP(Table73[[#This Row],[Date]],Database!$A:$E,MATCH($B$1,Database!$A$1:$E$1,),)=0,#N/A,VLOOKUP(Table73[[#This Row],[Date]],Database!$A:$E,MATCH($B$1,Database!$A$1:$E$1,),))</f>
        <v/>
      </c>
      <c r="C1745">
        <f>IF(VLOOKUP(Table73[[#This Row],[Date]],Database!$A:$C,MATCH($C$1,Database!$A$1:$C$1,),)=0,#N/A,VLOOKUP(Table73[[#This Row],[Date]],Database!$A:$C,MATCH($C$1,Database!$A$1:$C$1,),))</f>
        <v/>
      </c>
      <c r="D1745">
        <f>IFERROR(Table73[[#This Row],[United States 10y]]-Table73[[#This Row],[United States 2y]],#N/A)</f>
        <v/>
      </c>
    </row>
    <row r="1746">
      <c r="A1746" s="6">
        <f>Database!A1745</f>
        <v/>
      </c>
      <c r="B1746">
        <f>IF(VLOOKUP(Table73[[#This Row],[Date]],Database!$A:$E,MATCH($B$1,Database!$A$1:$E$1,),)=0,#N/A,VLOOKUP(Table73[[#This Row],[Date]],Database!$A:$E,MATCH($B$1,Database!$A$1:$E$1,),))</f>
        <v/>
      </c>
      <c r="C1746">
        <f>IF(VLOOKUP(Table73[[#This Row],[Date]],Database!$A:$C,MATCH($C$1,Database!$A$1:$C$1,),)=0,#N/A,VLOOKUP(Table73[[#This Row],[Date]],Database!$A:$C,MATCH($C$1,Database!$A$1:$C$1,),))</f>
        <v/>
      </c>
      <c r="D1746">
        <f>IFERROR(Table73[[#This Row],[United States 10y]]-Table73[[#This Row],[United States 2y]],#N/A)</f>
        <v/>
      </c>
    </row>
    <row r="1747">
      <c r="A1747" s="6">
        <f>Database!A1746</f>
        <v/>
      </c>
      <c r="B1747">
        <f>IF(VLOOKUP(Table73[[#This Row],[Date]],Database!$A:$E,MATCH($B$1,Database!$A$1:$E$1,),)=0,#N/A,VLOOKUP(Table73[[#This Row],[Date]],Database!$A:$E,MATCH($B$1,Database!$A$1:$E$1,),))</f>
        <v/>
      </c>
      <c r="C1747">
        <f>IF(VLOOKUP(Table73[[#This Row],[Date]],Database!$A:$C,MATCH($C$1,Database!$A$1:$C$1,),)=0,#N/A,VLOOKUP(Table73[[#This Row],[Date]],Database!$A:$C,MATCH($C$1,Database!$A$1:$C$1,),))</f>
        <v/>
      </c>
      <c r="D1747">
        <f>IFERROR(Table73[[#This Row],[United States 10y]]-Table73[[#This Row],[United States 2y]],#N/A)</f>
        <v/>
      </c>
    </row>
    <row r="1748">
      <c r="A1748" s="6">
        <f>Database!A1747</f>
        <v/>
      </c>
      <c r="B1748">
        <f>IF(VLOOKUP(Table73[[#This Row],[Date]],Database!$A:$E,MATCH($B$1,Database!$A$1:$E$1,),)=0,#N/A,VLOOKUP(Table73[[#This Row],[Date]],Database!$A:$E,MATCH($B$1,Database!$A$1:$E$1,),))</f>
        <v/>
      </c>
      <c r="C1748">
        <f>IF(VLOOKUP(Table73[[#This Row],[Date]],Database!$A:$C,MATCH($C$1,Database!$A$1:$C$1,),)=0,#N/A,VLOOKUP(Table73[[#This Row],[Date]],Database!$A:$C,MATCH($C$1,Database!$A$1:$C$1,),))</f>
        <v/>
      </c>
      <c r="D1748">
        <f>IFERROR(Table73[[#This Row],[United States 10y]]-Table73[[#This Row],[United States 2y]],#N/A)</f>
        <v/>
      </c>
    </row>
    <row r="1749">
      <c r="A1749" s="6">
        <f>Database!A1748</f>
        <v/>
      </c>
      <c r="B1749">
        <f>IF(VLOOKUP(Table73[[#This Row],[Date]],Database!$A:$E,MATCH($B$1,Database!$A$1:$E$1,),)=0,#N/A,VLOOKUP(Table73[[#This Row],[Date]],Database!$A:$E,MATCH($B$1,Database!$A$1:$E$1,),))</f>
        <v/>
      </c>
      <c r="C1749">
        <f>IF(VLOOKUP(Table73[[#This Row],[Date]],Database!$A:$C,MATCH($C$1,Database!$A$1:$C$1,),)=0,#N/A,VLOOKUP(Table73[[#This Row],[Date]],Database!$A:$C,MATCH($C$1,Database!$A$1:$C$1,),))</f>
        <v/>
      </c>
      <c r="D1749">
        <f>IFERROR(Table73[[#This Row],[United States 10y]]-Table73[[#This Row],[United States 2y]],#N/A)</f>
        <v/>
      </c>
    </row>
    <row r="1750">
      <c r="A1750" s="6">
        <f>Database!A1749</f>
        <v/>
      </c>
      <c r="B1750">
        <f>IF(VLOOKUP(Table73[[#This Row],[Date]],Database!$A:$E,MATCH($B$1,Database!$A$1:$E$1,),)=0,#N/A,VLOOKUP(Table73[[#This Row],[Date]],Database!$A:$E,MATCH($B$1,Database!$A$1:$E$1,),))</f>
        <v/>
      </c>
      <c r="C1750">
        <f>IF(VLOOKUP(Table73[[#This Row],[Date]],Database!$A:$C,MATCH($C$1,Database!$A$1:$C$1,),)=0,#N/A,VLOOKUP(Table73[[#This Row],[Date]],Database!$A:$C,MATCH($C$1,Database!$A$1:$C$1,),))</f>
        <v/>
      </c>
      <c r="D1750">
        <f>IFERROR(Table73[[#This Row],[United States 10y]]-Table73[[#This Row],[United States 2y]],#N/A)</f>
        <v/>
      </c>
    </row>
    <row r="1751">
      <c r="A1751" s="6">
        <f>Database!A1750</f>
        <v/>
      </c>
      <c r="B1751">
        <f>IF(VLOOKUP(Table73[[#This Row],[Date]],Database!$A:$E,MATCH($B$1,Database!$A$1:$E$1,),)=0,#N/A,VLOOKUP(Table73[[#This Row],[Date]],Database!$A:$E,MATCH($B$1,Database!$A$1:$E$1,),))</f>
        <v/>
      </c>
      <c r="C1751">
        <f>IF(VLOOKUP(Table73[[#This Row],[Date]],Database!$A:$C,MATCH($C$1,Database!$A$1:$C$1,),)=0,#N/A,VLOOKUP(Table73[[#This Row],[Date]],Database!$A:$C,MATCH($C$1,Database!$A$1:$C$1,),))</f>
        <v/>
      </c>
      <c r="D1751">
        <f>IFERROR(Table73[[#This Row],[United States 10y]]-Table73[[#This Row],[United States 2y]],#N/A)</f>
        <v/>
      </c>
    </row>
    <row r="1752">
      <c r="A1752" s="6">
        <f>Database!A1751</f>
        <v/>
      </c>
      <c r="B1752">
        <f>IF(VLOOKUP(Table73[[#This Row],[Date]],Database!$A:$E,MATCH($B$1,Database!$A$1:$E$1,),)=0,#N/A,VLOOKUP(Table73[[#This Row],[Date]],Database!$A:$E,MATCH($B$1,Database!$A$1:$E$1,),))</f>
        <v/>
      </c>
      <c r="C1752">
        <f>IF(VLOOKUP(Table73[[#This Row],[Date]],Database!$A:$C,MATCH($C$1,Database!$A$1:$C$1,),)=0,#N/A,VLOOKUP(Table73[[#This Row],[Date]],Database!$A:$C,MATCH($C$1,Database!$A$1:$C$1,),))</f>
        <v/>
      </c>
      <c r="D1752">
        <f>IFERROR(Table73[[#This Row],[United States 10y]]-Table73[[#This Row],[United States 2y]],#N/A)</f>
        <v/>
      </c>
    </row>
    <row r="1753">
      <c r="A1753" s="6">
        <f>Database!A1752</f>
        <v/>
      </c>
      <c r="B1753">
        <f>IF(VLOOKUP(Table73[[#This Row],[Date]],Database!$A:$E,MATCH($B$1,Database!$A$1:$E$1,),)=0,#N/A,VLOOKUP(Table73[[#This Row],[Date]],Database!$A:$E,MATCH($B$1,Database!$A$1:$E$1,),))</f>
        <v/>
      </c>
      <c r="C1753">
        <f>IF(VLOOKUP(Table73[[#This Row],[Date]],Database!$A:$C,MATCH($C$1,Database!$A$1:$C$1,),)=0,#N/A,VLOOKUP(Table73[[#This Row],[Date]],Database!$A:$C,MATCH($C$1,Database!$A$1:$C$1,),))</f>
        <v/>
      </c>
      <c r="D1753">
        <f>IFERROR(Table73[[#This Row],[United States 10y]]-Table73[[#This Row],[United States 2y]],#N/A)</f>
        <v/>
      </c>
    </row>
    <row r="1754">
      <c r="A1754" s="6">
        <f>Database!A1753</f>
        <v/>
      </c>
      <c r="B1754">
        <f>IF(VLOOKUP(Table73[[#This Row],[Date]],Database!$A:$E,MATCH($B$1,Database!$A$1:$E$1,),)=0,#N/A,VLOOKUP(Table73[[#This Row],[Date]],Database!$A:$E,MATCH($B$1,Database!$A$1:$E$1,),))</f>
        <v/>
      </c>
      <c r="C1754">
        <f>IF(VLOOKUP(Table73[[#This Row],[Date]],Database!$A:$C,MATCH($C$1,Database!$A$1:$C$1,),)=0,#N/A,VLOOKUP(Table73[[#This Row],[Date]],Database!$A:$C,MATCH($C$1,Database!$A$1:$C$1,),))</f>
        <v/>
      </c>
      <c r="D1754">
        <f>IFERROR(Table73[[#This Row],[United States 10y]]-Table73[[#This Row],[United States 2y]],#N/A)</f>
        <v/>
      </c>
    </row>
    <row r="1755">
      <c r="A1755" s="6">
        <f>Database!A1754</f>
        <v/>
      </c>
      <c r="B1755">
        <f>IF(VLOOKUP(Table73[[#This Row],[Date]],Database!$A:$E,MATCH($B$1,Database!$A$1:$E$1,),)=0,#N/A,VLOOKUP(Table73[[#This Row],[Date]],Database!$A:$E,MATCH($B$1,Database!$A$1:$E$1,),))</f>
        <v/>
      </c>
      <c r="C1755">
        <f>IF(VLOOKUP(Table73[[#This Row],[Date]],Database!$A:$C,MATCH($C$1,Database!$A$1:$C$1,),)=0,#N/A,VLOOKUP(Table73[[#This Row],[Date]],Database!$A:$C,MATCH($C$1,Database!$A$1:$C$1,),))</f>
        <v/>
      </c>
      <c r="D1755">
        <f>IFERROR(Table73[[#This Row],[United States 10y]]-Table73[[#This Row],[United States 2y]],#N/A)</f>
        <v/>
      </c>
    </row>
    <row r="1756">
      <c r="A1756" s="6">
        <f>Database!A1755</f>
        <v/>
      </c>
      <c r="B1756">
        <f>IF(VLOOKUP(Table73[[#This Row],[Date]],Database!$A:$E,MATCH($B$1,Database!$A$1:$E$1,),)=0,#N/A,VLOOKUP(Table73[[#This Row],[Date]],Database!$A:$E,MATCH($B$1,Database!$A$1:$E$1,),))</f>
        <v/>
      </c>
      <c r="C1756">
        <f>IF(VLOOKUP(Table73[[#This Row],[Date]],Database!$A:$C,MATCH($C$1,Database!$A$1:$C$1,),)=0,#N/A,VLOOKUP(Table73[[#This Row],[Date]],Database!$A:$C,MATCH($C$1,Database!$A$1:$C$1,),))</f>
        <v/>
      </c>
      <c r="D1756">
        <f>IFERROR(Table73[[#This Row],[United States 10y]]-Table73[[#This Row],[United States 2y]],#N/A)</f>
        <v/>
      </c>
    </row>
    <row r="1757">
      <c r="A1757" s="6">
        <f>Database!A1756</f>
        <v/>
      </c>
      <c r="B1757">
        <f>IF(VLOOKUP(Table73[[#This Row],[Date]],Database!$A:$E,MATCH($B$1,Database!$A$1:$E$1,),)=0,#N/A,VLOOKUP(Table73[[#This Row],[Date]],Database!$A:$E,MATCH($B$1,Database!$A$1:$E$1,),))</f>
        <v/>
      </c>
      <c r="C1757">
        <f>IF(VLOOKUP(Table73[[#This Row],[Date]],Database!$A:$C,MATCH($C$1,Database!$A$1:$C$1,),)=0,#N/A,VLOOKUP(Table73[[#This Row],[Date]],Database!$A:$C,MATCH($C$1,Database!$A$1:$C$1,),))</f>
        <v/>
      </c>
      <c r="D1757">
        <f>IFERROR(Table73[[#This Row],[United States 10y]]-Table73[[#This Row],[United States 2y]],#N/A)</f>
        <v/>
      </c>
    </row>
    <row r="1758">
      <c r="A1758" s="6">
        <f>Database!A1757</f>
        <v/>
      </c>
      <c r="B1758">
        <f>IF(VLOOKUP(Table73[[#This Row],[Date]],Database!$A:$E,MATCH($B$1,Database!$A$1:$E$1,),)=0,#N/A,VLOOKUP(Table73[[#This Row],[Date]],Database!$A:$E,MATCH($B$1,Database!$A$1:$E$1,),))</f>
        <v/>
      </c>
      <c r="C1758">
        <f>IF(VLOOKUP(Table73[[#This Row],[Date]],Database!$A:$C,MATCH($C$1,Database!$A$1:$C$1,),)=0,#N/A,VLOOKUP(Table73[[#This Row],[Date]],Database!$A:$C,MATCH($C$1,Database!$A$1:$C$1,),))</f>
        <v/>
      </c>
      <c r="D1758">
        <f>IFERROR(Table73[[#This Row],[United States 10y]]-Table73[[#This Row],[United States 2y]],#N/A)</f>
        <v/>
      </c>
    </row>
    <row r="1759">
      <c r="A1759" s="6">
        <f>Database!A1758</f>
        <v/>
      </c>
      <c r="B1759">
        <f>IF(VLOOKUP(Table73[[#This Row],[Date]],Database!$A:$E,MATCH($B$1,Database!$A$1:$E$1,),)=0,#N/A,VLOOKUP(Table73[[#This Row],[Date]],Database!$A:$E,MATCH($B$1,Database!$A$1:$E$1,),))</f>
        <v/>
      </c>
      <c r="C1759">
        <f>IF(VLOOKUP(Table73[[#This Row],[Date]],Database!$A:$C,MATCH($C$1,Database!$A$1:$C$1,),)=0,#N/A,VLOOKUP(Table73[[#This Row],[Date]],Database!$A:$C,MATCH($C$1,Database!$A$1:$C$1,),))</f>
        <v/>
      </c>
      <c r="D1759">
        <f>IFERROR(Table73[[#This Row],[United States 10y]]-Table73[[#This Row],[United States 2y]],#N/A)</f>
        <v/>
      </c>
    </row>
    <row r="1760">
      <c r="A1760" s="6">
        <f>Database!A1759</f>
        <v/>
      </c>
      <c r="B1760">
        <f>IF(VLOOKUP(Table73[[#This Row],[Date]],Database!$A:$E,MATCH($B$1,Database!$A$1:$E$1,),)=0,#N/A,VLOOKUP(Table73[[#This Row],[Date]],Database!$A:$E,MATCH($B$1,Database!$A$1:$E$1,),))</f>
        <v/>
      </c>
      <c r="C1760">
        <f>IF(VLOOKUP(Table73[[#This Row],[Date]],Database!$A:$C,MATCH($C$1,Database!$A$1:$C$1,),)=0,#N/A,VLOOKUP(Table73[[#This Row],[Date]],Database!$A:$C,MATCH($C$1,Database!$A$1:$C$1,),))</f>
        <v/>
      </c>
      <c r="D1760">
        <f>IFERROR(Table73[[#This Row],[United States 10y]]-Table73[[#This Row],[United States 2y]],#N/A)</f>
        <v/>
      </c>
    </row>
    <row r="1761">
      <c r="A1761" s="6">
        <f>Database!A1760</f>
        <v/>
      </c>
      <c r="B1761">
        <f>IF(VLOOKUP(Table73[[#This Row],[Date]],Database!$A:$E,MATCH($B$1,Database!$A$1:$E$1,),)=0,#N/A,VLOOKUP(Table73[[#This Row],[Date]],Database!$A:$E,MATCH($B$1,Database!$A$1:$E$1,),))</f>
        <v/>
      </c>
      <c r="C1761">
        <f>IF(VLOOKUP(Table73[[#This Row],[Date]],Database!$A:$C,MATCH($C$1,Database!$A$1:$C$1,),)=0,#N/A,VLOOKUP(Table73[[#This Row],[Date]],Database!$A:$C,MATCH($C$1,Database!$A$1:$C$1,),))</f>
        <v/>
      </c>
      <c r="D1761">
        <f>IFERROR(Table73[[#This Row],[United States 10y]]-Table73[[#This Row],[United States 2y]],#N/A)</f>
        <v/>
      </c>
    </row>
    <row r="1762">
      <c r="A1762" s="6">
        <f>Database!A1761</f>
        <v/>
      </c>
      <c r="B1762">
        <f>IF(VLOOKUP(Table73[[#This Row],[Date]],Database!$A:$E,MATCH($B$1,Database!$A$1:$E$1,),)=0,#N/A,VLOOKUP(Table73[[#This Row],[Date]],Database!$A:$E,MATCH($B$1,Database!$A$1:$E$1,),))</f>
        <v/>
      </c>
      <c r="C1762">
        <f>IF(VLOOKUP(Table73[[#This Row],[Date]],Database!$A:$C,MATCH($C$1,Database!$A$1:$C$1,),)=0,#N/A,VLOOKUP(Table73[[#This Row],[Date]],Database!$A:$C,MATCH($C$1,Database!$A$1:$C$1,),))</f>
        <v/>
      </c>
      <c r="D1762">
        <f>IFERROR(Table73[[#This Row],[United States 10y]]-Table73[[#This Row],[United States 2y]],#N/A)</f>
        <v/>
      </c>
    </row>
    <row r="1763">
      <c r="A1763" s="6">
        <f>Database!A1762</f>
        <v/>
      </c>
      <c r="B1763">
        <f>IF(VLOOKUP(Table73[[#This Row],[Date]],Database!$A:$E,MATCH($B$1,Database!$A$1:$E$1,),)=0,#N/A,VLOOKUP(Table73[[#This Row],[Date]],Database!$A:$E,MATCH($B$1,Database!$A$1:$E$1,),))</f>
        <v/>
      </c>
      <c r="C1763">
        <f>IF(VLOOKUP(Table73[[#This Row],[Date]],Database!$A:$C,MATCH($C$1,Database!$A$1:$C$1,),)=0,#N/A,VLOOKUP(Table73[[#This Row],[Date]],Database!$A:$C,MATCH($C$1,Database!$A$1:$C$1,),))</f>
        <v/>
      </c>
      <c r="D1763">
        <f>IFERROR(Table73[[#This Row],[United States 10y]]-Table73[[#This Row],[United States 2y]],#N/A)</f>
        <v/>
      </c>
    </row>
    <row r="1764">
      <c r="A1764" s="6">
        <f>Database!A1763</f>
        <v/>
      </c>
      <c r="B1764">
        <f>IF(VLOOKUP(Table73[[#This Row],[Date]],Database!$A:$E,MATCH($B$1,Database!$A$1:$E$1,),)=0,#N/A,VLOOKUP(Table73[[#This Row],[Date]],Database!$A:$E,MATCH($B$1,Database!$A$1:$E$1,),))</f>
        <v/>
      </c>
      <c r="C1764">
        <f>IF(VLOOKUP(Table73[[#This Row],[Date]],Database!$A:$C,MATCH($C$1,Database!$A$1:$C$1,),)=0,#N/A,VLOOKUP(Table73[[#This Row],[Date]],Database!$A:$C,MATCH($C$1,Database!$A$1:$C$1,),))</f>
        <v/>
      </c>
      <c r="D1764">
        <f>IFERROR(Table73[[#This Row],[United States 10y]]-Table73[[#This Row],[United States 2y]],#N/A)</f>
        <v/>
      </c>
    </row>
    <row r="1765">
      <c r="A1765" s="6">
        <f>Database!A1764</f>
        <v/>
      </c>
      <c r="B1765">
        <f>IF(VLOOKUP(Table73[[#This Row],[Date]],Database!$A:$E,MATCH($B$1,Database!$A$1:$E$1,),)=0,#N/A,VLOOKUP(Table73[[#This Row],[Date]],Database!$A:$E,MATCH($B$1,Database!$A$1:$E$1,),))</f>
        <v/>
      </c>
      <c r="C1765">
        <f>IF(VLOOKUP(Table73[[#This Row],[Date]],Database!$A:$C,MATCH($C$1,Database!$A$1:$C$1,),)=0,#N/A,VLOOKUP(Table73[[#This Row],[Date]],Database!$A:$C,MATCH($C$1,Database!$A$1:$C$1,),))</f>
        <v/>
      </c>
      <c r="D1765">
        <f>IFERROR(Table73[[#This Row],[United States 10y]]-Table73[[#This Row],[United States 2y]],#N/A)</f>
        <v/>
      </c>
    </row>
    <row r="1766">
      <c r="A1766" s="6">
        <f>Database!A1765</f>
        <v/>
      </c>
      <c r="B1766">
        <f>IF(VLOOKUP(Table73[[#This Row],[Date]],Database!$A:$E,MATCH($B$1,Database!$A$1:$E$1,),)=0,#N/A,VLOOKUP(Table73[[#This Row],[Date]],Database!$A:$E,MATCH($B$1,Database!$A$1:$E$1,),))</f>
        <v/>
      </c>
      <c r="C1766">
        <f>IF(VLOOKUP(Table73[[#This Row],[Date]],Database!$A:$C,MATCH($C$1,Database!$A$1:$C$1,),)=0,#N/A,VLOOKUP(Table73[[#This Row],[Date]],Database!$A:$C,MATCH($C$1,Database!$A$1:$C$1,),))</f>
        <v/>
      </c>
      <c r="D1766">
        <f>IFERROR(Table73[[#This Row],[United States 10y]]-Table73[[#This Row],[United States 2y]],#N/A)</f>
        <v/>
      </c>
    </row>
    <row r="1767">
      <c r="A1767" s="6">
        <f>Database!A1766</f>
        <v/>
      </c>
      <c r="B1767">
        <f>IF(VLOOKUP(Table73[[#This Row],[Date]],Database!$A:$E,MATCH($B$1,Database!$A$1:$E$1,),)=0,#N/A,VLOOKUP(Table73[[#This Row],[Date]],Database!$A:$E,MATCH($B$1,Database!$A$1:$E$1,),))</f>
        <v/>
      </c>
      <c r="C1767">
        <f>IF(VLOOKUP(Table73[[#This Row],[Date]],Database!$A:$C,MATCH($C$1,Database!$A$1:$C$1,),)=0,#N/A,VLOOKUP(Table73[[#This Row],[Date]],Database!$A:$C,MATCH($C$1,Database!$A$1:$C$1,),))</f>
        <v/>
      </c>
      <c r="D1767">
        <f>IFERROR(Table73[[#This Row],[United States 10y]]-Table73[[#This Row],[United States 2y]],#N/A)</f>
        <v/>
      </c>
    </row>
    <row r="1768">
      <c r="A1768" s="6">
        <f>Database!A1767</f>
        <v/>
      </c>
      <c r="B1768">
        <f>IF(VLOOKUP(Table73[[#This Row],[Date]],Database!$A:$E,MATCH($B$1,Database!$A$1:$E$1,),)=0,#N/A,VLOOKUP(Table73[[#This Row],[Date]],Database!$A:$E,MATCH($B$1,Database!$A$1:$E$1,),))</f>
        <v/>
      </c>
      <c r="C1768">
        <f>IF(VLOOKUP(Table73[[#This Row],[Date]],Database!$A:$C,MATCH($C$1,Database!$A$1:$C$1,),)=0,#N/A,VLOOKUP(Table73[[#This Row],[Date]],Database!$A:$C,MATCH($C$1,Database!$A$1:$C$1,),))</f>
        <v/>
      </c>
      <c r="D1768">
        <f>IFERROR(Table73[[#This Row],[United States 10y]]-Table73[[#This Row],[United States 2y]],#N/A)</f>
        <v/>
      </c>
    </row>
    <row r="1769">
      <c r="A1769" s="6">
        <f>Database!A1768</f>
        <v/>
      </c>
      <c r="B1769">
        <f>IF(VLOOKUP(Table73[[#This Row],[Date]],Database!$A:$E,MATCH($B$1,Database!$A$1:$E$1,),)=0,#N/A,VLOOKUP(Table73[[#This Row],[Date]],Database!$A:$E,MATCH($B$1,Database!$A$1:$E$1,),))</f>
        <v/>
      </c>
      <c r="C1769">
        <f>IF(VLOOKUP(Table73[[#This Row],[Date]],Database!$A:$C,MATCH($C$1,Database!$A$1:$C$1,),)=0,#N/A,VLOOKUP(Table73[[#This Row],[Date]],Database!$A:$C,MATCH($C$1,Database!$A$1:$C$1,),))</f>
        <v/>
      </c>
      <c r="D1769">
        <f>IFERROR(Table73[[#This Row],[United States 10y]]-Table73[[#This Row],[United States 2y]],#N/A)</f>
        <v/>
      </c>
    </row>
    <row r="1770">
      <c r="A1770" s="6">
        <f>Database!A1769</f>
        <v/>
      </c>
      <c r="B1770">
        <f>IF(VLOOKUP(Table73[[#This Row],[Date]],Database!$A:$E,MATCH($B$1,Database!$A$1:$E$1,),)=0,#N/A,VLOOKUP(Table73[[#This Row],[Date]],Database!$A:$E,MATCH($B$1,Database!$A$1:$E$1,),))</f>
        <v/>
      </c>
      <c r="C1770">
        <f>IF(VLOOKUP(Table73[[#This Row],[Date]],Database!$A:$C,MATCH($C$1,Database!$A$1:$C$1,),)=0,#N/A,VLOOKUP(Table73[[#This Row],[Date]],Database!$A:$C,MATCH($C$1,Database!$A$1:$C$1,),))</f>
        <v/>
      </c>
      <c r="D1770">
        <f>IFERROR(Table73[[#This Row],[United States 10y]]-Table73[[#This Row],[United States 2y]],#N/A)</f>
        <v/>
      </c>
    </row>
    <row r="1771">
      <c r="A1771" s="6">
        <f>Database!A1770</f>
        <v/>
      </c>
      <c r="B1771">
        <f>IF(VLOOKUP(Table73[[#This Row],[Date]],Database!$A:$E,MATCH($B$1,Database!$A$1:$E$1,),)=0,#N/A,VLOOKUP(Table73[[#This Row],[Date]],Database!$A:$E,MATCH($B$1,Database!$A$1:$E$1,),))</f>
        <v/>
      </c>
      <c r="C1771">
        <f>IF(VLOOKUP(Table73[[#This Row],[Date]],Database!$A:$C,MATCH($C$1,Database!$A$1:$C$1,),)=0,#N/A,VLOOKUP(Table73[[#This Row],[Date]],Database!$A:$C,MATCH($C$1,Database!$A$1:$C$1,),))</f>
        <v/>
      </c>
      <c r="D1771">
        <f>IFERROR(Table73[[#This Row],[United States 10y]]-Table73[[#This Row],[United States 2y]],#N/A)</f>
        <v/>
      </c>
    </row>
    <row r="1772">
      <c r="A1772" s="6">
        <f>Database!A1771</f>
        <v/>
      </c>
      <c r="B1772">
        <f>IF(VLOOKUP(Table73[[#This Row],[Date]],Database!$A:$E,MATCH($B$1,Database!$A$1:$E$1,),)=0,#N/A,VLOOKUP(Table73[[#This Row],[Date]],Database!$A:$E,MATCH($B$1,Database!$A$1:$E$1,),))</f>
        <v/>
      </c>
      <c r="C1772">
        <f>IF(VLOOKUP(Table73[[#This Row],[Date]],Database!$A:$C,MATCH($C$1,Database!$A$1:$C$1,),)=0,#N/A,VLOOKUP(Table73[[#This Row],[Date]],Database!$A:$C,MATCH($C$1,Database!$A$1:$C$1,),))</f>
        <v/>
      </c>
      <c r="D1772">
        <f>IFERROR(Table73[[#This Row],[United States 10y]]-Table73[[#This Row],[United States 2y]],#N/A)</f>
        <v/>
      </c>
    </row>
    <row r="1773">
      <c r="A1773" s="6">
        <f>Database!A1772</f>
        <v/>
      </c>
      <c r="B1773">
        <f>IF(VLOOKUP(Table73[[#This Row],[Date]],Database!$A:$E,MATCH($B$1,Database!$A$1:$E$1,),)=0,#N/A,VLOOKUP(Table73[[#This Row],[Date]],Database!$A:$E,MATCH($B$1,Database!$A$1:$E$1,),))</f>
        <v/>
      </c>
      <c r="C1773">
        <f>IF(VLOOKUP(Table73[[#This Row],[Date]],Database!$A:$C,MATCH($C$1,Database!$A$1:$C$1,),)=0,#N/A,VLOOKUP(Table73[[#This Row],[Date]],Database!$A:$C,MATCH($C$1,Database!$A$1:$C$1,),))</f>
        <v/>
      </c>
      <c r="D1773">
        <f>IFERROR(Table73[[#This Row],[United States 10y]]-Table73[[#This Row],[United States 2y]],#N/A)</f>
        <v/>
      </c>
    </row>
    <row r="1774">
      <c r="A1774" s="6">
        <f>Database!A1773</f>
        <v/>
      </c>
      <c r="B1774">
        <f>IF(VLOOKUP(Table73[[#This Row],[Date]],Database!$A:$E,MATCH($B$1,Database!$A$1:$E$1,),)=0,#N/A,VLOOKUP(Table73[[#This Row],[Date]],Database!$A:$E,MATCH($B$1,Database!$A$1:$E$1,),))</f>
        <v/>
      </c>
      <c r="C1774">
        <f>IF(VLOOKUP(Table73[[#This Row],[Date]],Database!$A:$C,MATCH($C$1,Database!$A$1:$C$1,),)=0,#N/A,VLOOKUP(Table73[[#This Row],[Date]],Database!$A:$C,MATCH($C$1,Database!$A$1:$C$1,),))</f>
        <v/>
      </c>
      <c r="D1774">
        <f>IFERROR(Table73[[#This Row],[United States 10y]]-Table73[[#This Row],[United States 2y]],#N/A)</f>
        <v/>
      </c>
    </row>
    <row r="1775">
      <c r="A1775" s="6">
        <f>Database!A1774</f>
        <v/>
      </c>
      <c r="B1775">
        <f>IF(VLOOKUP(Table73[[#This Row],[Date]],Database!$A:$E,MATCH($B$1,Database!$A$1:$E$1,),)=0,#N/A,VLOOKUP(Table73[[#This Row],[Date]],Database!$A:$E,MATCH($B$1,Database!$A$1:$E$1,),))</f>
        <v/>
      </c>
      <c r="C1775">
        <f>IF(VLOOKUP(Table73[[#This Row],[Date]],Database!$A:$C,MATCH($C$1,Database!$A$1:$C$1,),)=0,#N/A,VLOOKUP(Table73[[#This Row],[Date]],Database!$A:$C,MATCH($C$1,Database!$A$1:$C$1,),))</f>
        <v/>
      </c>
      <c r="D1775">
        <f>IFERROR(Table73[[#This Row],[United States 10y]]-Table73[[#This Row],[United States 2y]],#N/A)</f>
        <v/>
      </c>
    </row>
    <row r="1776">
      <c r="A1776" s="6">
        <f>Database!A1775</f>
        <v/>
      </c>
      <c r="B1776">
        <f>IF(VLOOKUP(Table73[[#This Row],[Date]],Database!$A:$E,MATCH($B$1,Database!$A$1:$E$1,),)=0,#N/A,VLOOKUP(Table73[[#This Row],[Date]],Database!$A:$E,MATCH($B$1,Database!$A$1:$E$1,),))</f>
        <v/>
      </c>
      <c r="C1776">
        <f>IF(VLOOKUP(Table73[[#This Row],[Date]],Database!$A:$C,MATCH($C$1,Database!$A$1:$C$1,),)=0,#N/A,VLOOKUP(Table73[[#This Row],[Date]],Database!$A:$C,MATCH($C$1,Database!$A$1:$C$1,),))</f>
        <v/>
      </c>
      <c r="D1776">
        <f>IFERROR(Table73[[#This Row],[United States 10y]]-Table73[[#This Row],[United States 2y]],#N/A)</f>
        <v/>
      </c>
    </row>
    <row r="1777">
      <c r="A1777" s="6">
        <f>Database!A1776</f>
        <v/>
      </c>
      <c r="B1777">
        <f>IF(VLOOKUP(Table73[[#This Row],[Date]],Database!$A:$E,MATCH($B$1,Database!$A$1:$E$1,),)=0,#N/A,VLOOKUP(Table73[[#This Row],[Date]],Database!$A:$E,MATCH($B$1,Database!$A$1:$E$1,),))</f>
        <v/>
      </c>
      <c r="C1777">
        <f>IF(VLOOKUP(Table73[[#This Row],[Date]],Database!$A:$C,MATCH($C$1,Database!$A$1:$C$1,),)=0,#N/A,VLOOKUP(Table73[[#This Row],[Date]],Database!$A:$C,MATCH($C$1,Database!$A$1:$C$1,),))</f>
        <v/>
      </c>
      <c r="D1777">
        <f>IFERROR(Table73[[#This Row],[United States 10y]]-Table73[[#This Row],[United States 2y]],#N/A)</f>
        <v/>
      </c>
    </row>
    <row r="1778">
      <c r="A1778" s="6">
        <f>Database!A1777</f>
        <v/>
      </c>
      <c r="B1778">
        <f>IF(VLOOKUP(Table73[[#This Row],[Date]],Database!$A:$E,MATCH($B$1,Database!$A$1:$E$1,),)=0,#N/A,VLOOKUP(Table73[[#This Row],[Date]],Database!$A:$E,MATCH($B$1,Database!$A$1:$E$1,),))</f>
        <v/>
      </c>
      <c r="C1778">
        <f>IF(VLOOKUP(Table73[[#This Row],[Date]],Database!$A:$C,MATCH($C$1,Database!$A$1:$C$1,),)=0,#N/A,VLOOKUP(Table73[[#This Row],[Date]],Database!$A:$C,MATCH($C$1,Database!$A$1:$C$1,),))</f>
        <v/>
      </c>
      <c r="D1778">
        <f>IFERROR(Table73[[#This Row],[United States 10y]]-Table73[[#This Row],[United States 2y]],#N/A)</f>
        <v/>
      </c>
    </row>
    <row r="1779">
      <c r="A1779" s="6">
        <f>Database!A1778</f>
        <v/>
      </c>
      <c r="B1779">
        <f>IF(VLOOKUP(Table73[[#This Row],[Date]],Database!$A:$E,MATCH($B$1,Database!$A$1:$E$1,),)=0,#N/A,VLOOKUP(Table73[[#This Row],[Date]],Database!$A:$E,MATCH($B$1,Database!$A$1:$E$1,),))</f>
        <v/>
      </c>
      <c r="C1779">
        <f>IF(VLOOKUP(Table73[[#This Row],[Date]],Database!$A:$C,MATCH($C$1,Database!$A$1:$C$1,),)=0,#N/A,VLOOKUP(Table73[[#This Row],[Date]],Database!$A:$C,MATCH($C$1,Database!$A$1:$C$1,),))</f>
        <v/>
      </c>
      <c r="D1779">
        <f>IFERROR(Table73[[#This Row],[United States 10y]]-Table73[[#This Row],[United States 2y]],#N/A)</f>
        <v/>
      </c>
    </row>
    <row r="1780">
      <c r="A1780" s="6">
        <f>Database!A1779</f>
        <v/>
      </c>
      <c r="B1780">
        <f>IF(VLOOKUP(Table73[[#This Row],[Date]],Database!$A:$E,MATCH($B$1,Database!$A$1:$E$1,),)=0,#N/A,VLOOKUP(Table73[[#This Row],[Date]],Database!$A:$E,MATCH($B$1,Database!$A$1:$E$1,),))</f>
        <v/>
      </c>
      <c r="C1780">
        <f>IF(VLOOKUP(Table73[[#This Row],[Date]],Database!$A:$C,MATCH($C$1,Database!$A$1:$C$1,),)=0,#N/A,VLOOKUP(Table73[[#This Row],[Date]],Database!$A:$C,MATCH($C$1,Database!$A$1:$C$1,),))</f>
        <v/>
      </c>
      <c r="D1780">
        <f>IFERROR(Table73[[#This Row],[United States 10y]]-Table73[[#This Row],[United States 2y]],#N/A)</f>
        <v/>
      </c>
    </row>
    <row r="1781">
      <c r="A1781" s="6">
        <f>Database!A1780</f>
        <v/>
      </c>
      <c r="B1781">
        <f>IF(VLOOKUP(Table73[[#This Row],[Date]],Database!$A:$E,MATCH($B$1,Database!$A$1:$E$1,),)=0,#N/A,VLOOKUP(Table73[[#This Row],[Date]],Database!$A:$E,MATCH($B$1,Database!$A$1:$E$1,),))</f>
        <v/>
      </c>
      <c r="C1781">
        <f>IF(VLOOKUP(Table73[[#This Row],[Date]],Database!$A:$C,MATCH($C$1,Database!$A$1:$C$1,),)=0,#N/A,VLOOKUP(Table73[[#This Row],[Date]],Database!$A:$C,MATCH($C$1,Database!$A$1:$C$1,),))</f>
        <v/>
      </c>
      <c r="D1781">
        <f>IFERROR(Table73[[#This Row],[United States 10y]]-Table73[[#This Row],[United States 2y]],#N/A)</f>
        <v/>
      </c>
    </row>
    <row r="1782">
      <c r="A1782" s="6">
        <f>Database!A1781</f>
        <v/>
      </c>
      <c r="B1782">
        <f>IF(VLOOKUP(Table73[[#This Row],[Date]],Database!$A:$E,MATCH($B$1,Database!$A$1:$E$1,),)=0,#N/A,VLOOKUP(Table73[[#This Row],[Date]],Database!$A:$E,MATCH($B$1,Database!$A$1:$E$1,),))</f>
        <v/>
      </c>
      <c r="C1782">
        <f>IF(VLOOKUP(Table73[[#This Row],[Date]],Database!$A:$C,MATCH($C$1,Database!$A$1:$C$1,),)=0,#N/A,VLOOKUP(Table73[[#This Row],[Date]],Database!$A:$C,MATCH($C$1,Database!$A$1:$C$1,),))</f>
        <v/>
      </c>
      <c r="D1782">
        <f>IFERROR(Table73[[#This Row],[United States 10y]]-Table73[[#This Row],[United States 2y]],#N/A)</f>
        <v/>
      </c>
    </row>
    <row r="1783">
      <c r="A1783" s="6">
        <f>Database!A1782</f>
        <v/>
      </c>
      <c r="B1783">
        <f>IF(VLOOKUP(Table73[[#This Row],[Date]],Database!$A:$E,MATCH($B$1,Database!$A$1:$E$1,),)=0,#N/A,VLOOKUP(Table73[[#This Row],[Date]],Database!$A:$E,MATCH($B$1,Database!$A$1:$E$1,),))</f>
        <v/>
      </c>
      <c r="C1783">
        <f>IF(VLOOKUP(Table73[[#This Row],[Date]],Database!$A:$C,MATCH($C$1,Database!$A$1:$C$1,),)=0,#N/A,VLOOKUP(Table73[[#This Row],[Date]],Database!$A:$C,MATCH($C$1,Database!$A$1:$C$1,),))</f>
        <v/>
      </c>
      <c r="D1783">
        <f>IFERROR(Table73[[#This Row],[United States 10y]]-Table73[[#This Row],[United States 2y]],#N/A)</f>
        <v/>
      </c>
    </row>
    <row r="1784">
      <c r="A1784" s="6">
        <f>Database!A1783</f>
        <v/>
      </c>
      <c r="B1784">
        <f>IF(VLOOKUP(Table73[[#This Row],[Date]],Database!$A:$E,MATCH($B$1,Database!$A$1:$E$1,),)=0,#N/A,VLOOKUP(Table73[[#This Row],[Date]],Database!$A:$E,MATCH($B$1,Database!$A$1:$E$1,),))</f>
        <v/>
      </c>
      <c r="C1784">
        <f>IF(VLOOKUP(Table73[[#This Row],[Date]],Database!$A:$C,MATCH($C$1,Database!$A$1:$C$1,),)=0,#N/A,VLOOKUP(Table73[[#This Row],[Date]],Database!$A:$C,MATCH($C$1,Database!$A$1:$C$1,),))</f>
        <v/>
      </c>
      <c r="D1784">
        <f>IFERROR(Table73[[#This Row],[United States 10y]]-Table73[[#This Row],[United States 2y]],#N/A)</f>
        <v/>
      </c>
    </row>
    <row r="1785">
      <c r="A1785" s="6">
        <f>Database!A1784</f>
        <v/>
      </c>
      <c r="B1785">
        <f>IF(VLOOKUP(Table73[[#This Row],[Date]],Database!$A:$E,MATCH($B$1,Database!$A$1:$E$1,),)=0,#N/A,VLOOKUP(Table73[[#This Row],[Date]],Database!$A:$E,MATCH($B$1,Database!$A$1:$E$1,),))</f>
        <v/>
      </c>
      <c r="C1785">
        <f>IF(VLOOKUP(Table73[[#This Row],[Date]],Database!$A:$C,MATCH($C$1,Database!$A$1:$C$1,),)=0,#N/A,VLOOKUP(Table73[[#This Row],[Date]],Database!$A:$C,MATCH($C$1,Database!$A$1:$C$1,),))</f>
        <v/>
      </c>
      <c r="D1785">
        <f>IFERROR(Table73[[#This Row],[United States 10y]]-Table73[[#This Row],[United States 2y]],#N/A)</f>
        <v/>
      </c>
    </row>
    <row r="1786">
      <c r="A1786" s="6">
        <f>Database!A1785</f>
        <v/>
      </c>
      <c r="B1786">
        <f>IF(VLOOKUP(Table73[[#This Row],[Date]],Database!$A:$E,MATCH($B$1,Database!$A$1:$E$1,),)=0,#N/A,VLOOKUP(Table73[[#This Row],[Date]],Database!$A:$E,MATCH($B$1,Database!$A$1:$E$1,),))</f>
        <v/>
      </c>
      <c r="C1786">
        <f>IF(VLOOKUP(Table73[[#This Row],[Date]],Database!$A:$C,MATCH($C$1,Database!$A$1:$C$1,),)=0,#N/A,VLOOKUP(Table73[[#This Row],[Date]],Database!$A:$C,MATCH($C$1,Database!$A$1:$C$1,),))</f>
        <v/>
      </c>
      <c r="D1786">
        <f>IFERROR(Table73[[#This Row],[United States 10y]]-Table73[[#This Row],[United States 2y]],#N/A)</f>
        <v/>
      </c>
    </row>
    <row r="1787">
      <c r="A1787" s="6">
        <f>Database!A1786</f>
        <v/>
      </c>
      <c r="B1787">
        <f>IF(VLOOKUP(Table73[[#This Row],[Date]],Database!$A:$E,MATCH($B$1,Database!$A$1:$E$1,),)=0,#N/A,VLOOKUP(Table73[[#This Row],[Date]],Database!$A:$E,MATCH($B$1,Database!$A$1:$E$1,),))</f>
        <v/>
      </c>
      <c r="C1787">
        <f>IF(VLOOKUP(Table73[[#This Row],[Date]],Database!$A:$C,MATCH($C$1,Database!$A$1:$C$1,),)=0,#N/A,VLOOKUP(Table73[[#This Row],[Date]],Database!$A:$C,MATCH($C$1,Database!$A$1:$C$1,),))</f>
        <v/>
      </c>
      <c r="D1787">
        <f>IFERROR(Table73[[#This Row],[United States 10y]]-Table73[[#This Row],[United States 2y]],#N/A)</f>
        <v/>
      </c>
    </row>
    <row r="1788">
      <c r="A1788" s="6">
        <f>Database!A1787</f>
        <v/>
      </c>
      <c r="B1788">
        <f>IF(VLOOKUP(Table73[[#This Row],[Date]],Database!$A:$E,MATCH($B$1,Database!$A$1:$E$1,),)=0,#N/A,VLOOKUP(Table73[[#This Row],[Date]],Database!$A:$E,MATCH($B$1,Database!$A$1:$E$1,),))</f>
        <v/>
      </c>
      <c r="C1788">
        <f>IF(VLOOKUP(Table73[[#This Row],[Date]],Database!$A:$C,MATCH($C$1,Database!$A$1:$C$1,),)=0,#N/A,VLOOKUP(Table73[[#This Row],[Date]],Database!$A:$C,MATCH($C$1,Database!$A$1:$C$1,),))</f>
        <v/>
      </c>
      <c r="D1788">
        <f>IFERROR(Table73[[#This Row],[United States 10y]]-Table73[[#This Row],[United States 2y]],#N/A)</f>
        <v/>
      </c>
    </row>
    <row r="1789">
      <c r="A1789" s="6">
        <f>Database!A1788</f>
        <v/>
      </c>
      <c r="B1789">
        <f>IF(VLOOKUP(Table73[[#This Row],[Date]],Database!$A:$E,MATCH($B$1,Database!$A$1:$E$1,),)=0,#N/A,VLOOKUP(Table73[[#This Row],[Date]],Database!$A:$E,MATCH($B$1,Database!$A$1:$E$1,),))</f>
        <v/>
      </c>
      <c r="C1789">
        <f>IF(VLOOKUP(Table73[[#This Row],[Date]],Database!$A:$C,MATCH($C$1,Database!$A$1:$C$1,),)=0,#N/A,VLOOKUP(Table73[[#This Row],[Date]],Database!$A:$C,MATCH($C$1,Database!$A$1:$C$1,),))</f>
        <v/>
      </c>
      <c r="D1789">
        <f>IFERROR(Table73[[#This Row],[United States 10y]]-Table73[[#This Row],[United States 2y]],#N/A)</f>
        <v/>
      </c>
    </row>
    <row r="1790">
      <c r="A1790" s="6">
        <f>Database!A1789</f>
        <v/>
      </c>
      <c r="B1790">
        <f>IF(VLOOKUP(Table73[[#This Row],[Date]],Database!$A:$E,MATCH($B$1,Database!$A$1:$E$1,),)=0,#N/A,VLOOKUP(Table73[[#This Row],[Date]],Database!$A:$E,MATCH($B$1,Database!$A$1:$E$1,),))</f>
        <v/>
      </c>
      <c r="C1790">
        <f>IF(VLOOKUP(Table73[[#This Row],[Date]],Database!$A:$C,MATCH($C$1,Database!$A$1:$C$1,),)=0,#N/A,VLOOKUP(Table73[[#This Row],[Date]],Database!$A:$C,MATCH($C$1,Database!$A$1:$C$1,),))</f>
        <v/>
      </c>
      <c r="D1790">
        <f>IFERROR(Table73[[#This Row],[United States 10y]]-Table73[[#This Row],[United States 2y]],#N/A)</f>
        <v/>
      </c>
    </row>
    <row r="1791">
      <c r="A1791" s="6">
        <f>Database!A1790</f>
        <v/>
      </c>
      <c r="B1791">
        <f>IF(VLOOKUP(Table73[[#This Row],[Date]],Database!$A:$E,MATCH($B$1,Database!$A$1:$E$1,),)=0,#N/A,VLOOKUP(Table73[[#This Row],[Date]],Database!$A:$E,MATCH($B$1,Database!$A$1:$E$1,),))</f>
        <v/>
      </c>
      <c r="C1791">
        <f>IF(VLOOKUP(Table73[[#This Row],[Date]],Database!$A:$C,MATCH($C$1,Database!$A$1:$C$1,),)=0,#N/A,VLOOKUP(Table73[[#This Row],[Date]],Database!$A:$C,MATCH($C$1,Database!$A$1:$C$1,),))</f>
        <v/>
      </c>
      <c r="D1791">
        <f>IFERROR(Table73[[#This Row],[United States 10y]]-Table73[[#This Row],[United States 2y]],#N/A)</f>
        <v/>
      </c>
    </row>
    <row r="1792">
      <c r="A1792" s="6">
        <f>Database!A1791</f>
        <v/>
      </c>
      <c r="B1792">
        <f>IF(VLOOKUP(Table73[[#This Row],[Date]],Database!$A:$E,MATCH($B$1,Database!$A$1:$E$1,),)=0,#N/A,VLOOKUP(Table73[[#This Row],[Date]],Database!$A:$E,MATCH($B$1,Database!$A$1:$E$1,),))</f>
        <v/>
      </c>
      <c r="C1792">
        <f>IF(VLOOKUP(Table73[[#This Row],[Date]],Database!$A:$C,MATCH($C$1,Database!$A$1:$C$1,),)=0,#N/A,VLOOKUP(Table73[[#This Row],[Date]],Database!$A:$C,MATCH($C$1,Database!$A$1:$C$1,),))</f>
        <v/>
      </c>
      <c r="D1792">
        <f>IFERROR(Table73[[#This Row],[United States 10y]]-Table73[[#This Row],[United States 2y]],#N/A)</f>
        <v/>
      </c>
    </row>
    <row r="1793">
      <c r="A1793" s="6">
        <f>Database!A1792</f>
        <v/>
      </c>
      <c r="B1793">
        <f>IF(VLOOKUP(Table73[[#This Row],[Date]],Database!$A:$E,MATCH($B$1,Database!$A$1:$E$1,),)=0,#N/A,VLOOKUP(Table73[[#This Row],[Date]],Database!$A:$E,MATCH($B$1,Database!$A$1:$E$1,),))</f>
        <v/>
      </c>
      <c r="C1793">
        <f>IF(VLOOKUP(Table73[[#This Row],[Date]],Database!$A:$C,MATCH($C$1,Database!$A$1:$C$1,),)=0,#N/A,VLOOKUP(Table73[[#This Row],[Date]],Database!$A:$C,MATCH($C$1,Database!$A$1:$C$1,),))</f>
        <v/>
      </c>
      <c r="D1793">
        <f>IFERROR(Table73[[#This Row],[United States 10y]]-Table73[[#This Row],[United States 2y]],#N/A)</f>
        <v/>
      </c>
    </row>
    <row r="1794">
      <c r="A1794" s="6">
        <f>Database!A1793</f>
        <v/>
      </c>
      <c r="B1794">
        <f>IF(VLOOKUP(Table73[[#This Row],[Date]],Database!$A:$E,MATCH($B$1,Database!$A$1:$E$1,),)=0,#N/A,VLOOKUP(Table73[[#This Row],[Date]],Database!$A:$E,MATCH($B$1,Database!$A$1:$E$1,),))</f>
        <v/>
      </c>
      <c r="C1794">
        <f>IF(VLOOKUP(Table73[[#This Row],[Date]],Database!$A:$C,MATCH($C$1,Database!$A$1:$C$1,),)=0,#N/A,VLOOKUP(Table73[[#This Row],[Date]],Database!$A:$C,MATCH($C$1,Database!$A$1:$C$1,),))</f>
        <v/>
      </c>
      <c r="D1794">
        <f>IFERROR(Table73[[#This Row],[United States 10y]]-Table73[[#This Row],[United States 2y]],#N/A)</f>
        <v/>
      </c>
    </row>
    <row r="1795">
      <c r="A1795" s="6">
        <f>Database!A1794</f>
        <v/>
      </c>
      <c r="B1795">
        <f>IF(VLOOKUP(Table73[[#This Row],[Date]],Database!$A:$E,MATCH($B$1,Database!$A$1:$E$1,),)=0,#N/A,VLOOKUP(Table73[[#This Row],[Date]],Database!$A:$E,MATCH($B$1,Database!$A$1:$E$1,),))</f>
        <v/>
      </c>
      <c r="C1795">
        <f>IF(VLOOKUP(Table73[[#This Row],[Date]],Database!$A:$C,MATCH($C$1,Database!$A$1:$C$1,),)=0,#N/A,VLOOKUP(Table73[[#This Row],[Date]],Database!$A:$C,MATCH($C$1,Database!$A$1:$C$1,),))</f>
        <v/>
      </c>
      <c r="D1795">
        <f>IFERROR(Table73[[#This Row],[United States 10y]]-Table73[[#This Row],[United States 2y]],#N/A)</f>
        <v/>
      </c>
    </row>
    <row r="1796">
      <c r="A1796" s="6">
        <f>Database!A1795</f>
        <v/>
      </c>
      <c r="B1796">
        <f>IF(VLOOKUP(Table73[[#This Row],[Date]],Database!$A:$E,MATCH($B$1,Database!$A$1:$E$1,),)=0,#N/A,VLOOKUP(Table73[[#This Row],[Date]],Database!$A:$E,MATCH($B$1,Database!$A$1:$E$1,),))</f>
        <v/>
      </c>
      <c r="C1796">
        <f>IF(VLOOKUP(Table73[[#This Row],[Date]],Database!$A:$C,MATCH($C$1,Database!$A$1:$C$1,),)=0,#N/A,VLOOKUP(Table73[[#This Row],[Date]],Database!$A:$C,MATCH($C$1,Database!$A$1:$C$1,),))</f>
        <v/>
      </c>
      <c r="D1796">
        <f>IFERROR(Table73[[#This Row],[United States 10y]]-Table73[[#This Row],[United States 2y]],#N/A)</f>
        <v/>
      </c>
    </row>
    <row r="1797">
      <c r="A1797" s="6">
        <f>Database!A1796</f>
        <v/>
      </c>
      <c r="B1797">
        <f>IF(VLOOKUP(Table73[[#This Row],[Date]],Database!$A:$E,MATCH($B$1,Database!$A$1:$E$1,),)=0,#N/A,VLOOKUP(Table73[[#This Row],[Date]],Database!$A:$E,MATCH($B$1,Database!$A$1:$E$1,),))</f>
        <v/>
      </c>
      <c r="C1797">
        <f>IF(VLOOKUP(Table73[[#This Row],[Date]],Database!$A:$C,MATCH($C$1,Database!$A$1:$C$1,),)=0,#N/A,VLOOKUP(Table73[[#This Row],[Date]],Database!$A:$C,MATCH($C$1,Database!$A$1:$C$1,),))</f>
        <v/>
      </c>
      <c r="D1797">
        <f>IFERROR(Table73[[#This Row],[United States 10y]]-Table73[[#This Row],[United States 2y]],#N/A)</f>
        <v/>
      </c>
    </row>
    <row r="1798">
      <c r="A1798" s="6">
        <f>Database!A1797</f>
        <v/>
      </c>
      <c r="B1798">
        <f>IF(VLOOKUP(Table73[[#This Row],[Date]],Database!$A:$E,MATCH($B$1,Database!$A$1:$E$1,),)=0,#N/A,VLOOKUP(Table73[[#This Row],[Date]],Database!$A:$E,MATCH($B$1,Database!$A$1:$E$1,),))</f>
        <v/>
      </c>
      <c r="C1798">
        <f>IF(VLOOKUP(Table73[[#This Row],[Date]],Database!$A:$C,MATCH($C$1,Database!$A$1:$C$1,),)=0,#N/A,VLOOKUP(Table73[[#This Row],[Date]],Database!$A:$C,MATCH($C$1,Database!$A$1:$C$1,),))</f>
        <v/>
      </c>
      <c r="D1798">
        <f>IFERROR(Table73[[#This Row],[United States 10y]]-Table73[[#This Row],[United States 2y]],#N/A)</f>
        <v/>
      </c>
    </row>
    <row r="1799">
      <c r="A1799" s="6">
        <f>Database!A1798</f>
        <v/>
      </c>
      <c r="B1799">
        <f>IF(VLOOKUP(Table73[[#This Row],[Date]],Database!$A:$E,MATCH($B$1,Database!$A$1:$E$1,),)=0,#N/A,VLOOKUP(Table73[[#This Row],[Date]],Database!$A:$E,MATCH($B$1,Database!$A$1:$E$1,),))</f>
        <v/>
      </c>
      <c r="C1799">
        <f>IF(VLOOKUP(Table73[[#This Row],[Date]],Database!$A:$C,MATCH($C$1,Database!$A$1:$C$1,),)=0,#N/A,VLOOKUP(Table73[[#This Row],[Date]],Database!$A:$C,MATCH($C$1,Database!$A$1:$C$1,),))</f>
        <v/>
      </c>
      <c r="D1799">
        <f>IFERROR(Table73[[#This Row],[United States 10y]]-Table73[[#This Row],[United States 2y]],#N/A)</f>
        <v/>
      </c>
    </row>
    <row r="1800">
      <c r="A1800" s="6">
        <f>Database!A1799</f>
        <v/>
      </c>
      <c r="B1800">
        <f>IF(VLOOKUP(Table73[[#This Row],[Date]],Database!$A:$E,MATCH($B$1,Database!$A$1:$E$1,),)=0,#N/A,VLOOKUP(Table73[[#This Row],[Date]],Database!$A:$E,MATCH($B$1,Database!$A$1:$E$1,),))</f>
        <v/>
      </c>
      <c r="C1800">
        <f>IF(VLOOKUP(Table73[[#This Row],[Date]],Database!$A:$C,MATCH($C$1,Database!$A$1:$C$1,),)=0,#N/A,VLOOKUP(Table73[[#This Row],[Date]],Database!$A:$C,MATCH($C$1,Database!$A$1:$C$1,),))</f>
        <v/>
      </c>
      <c r="D1800">
        <f>IFERROR(Table73[[#This Row],[United States 10y]]-Table73[[#This Row],[United States 2y]],#N/A)</f>
        <v/>
      </c>
    </row>
    <row r="1801">
      <c r="A1801" s="6">
        <f>Database!A1800</f>
        <v/>
      </c>
      <c r="B1801">
        <f>IF(VLOOKUP(Table73[[#This Row],[Date]],Database!$A:$E,MATCH($B$1,Database!$A$1:$E$1,),)=0,#N/A,VLOOKUP(Table73[[#This Row],[Date]],Database!$A:$E,MATCH($B$1,Database!$A$1:$E$1,),))</f>
        <v/>
      </c>
      <c r="C1801">
        <f>IF(VLOOKUP(Table73[[#This Row],[Date]],Database!$A:$C,MATCH($C$1,Database!$A$1:$C$1,),)=0,#N/A,VLOOKUP(Table73[[#This Row],[Date]],Database!$A:$C,MATCH($C$1,Database!$A$1:$C$1,),))</f>
        <v/>
      </c>
      <c r="D1801">
        <f>IFERROR(Table73[[#This Row],[United States 10y]]-Table73[[#This Row],[United States 2y]],#N/A)</f>
        <v/>
      </c>
    </row>
    <row r="1802">
      <c r="A1802" s="6">
        <f>Database!A1801</f>
        <v/>
      </c>
      <c r="B1802">
        <f>IF(VLOOKUP(Table73[[#This Row],[Date]],Database!$A:$E,MATCH($B$1,Database!$A$1:$E$1,),)=0,#N/A,VLOOKUP(Table73[[#This Row],[Date]],Database!$A:$E,MATCH($B$1,Database!$A$1:$E$1,),))</f>
        <v/>
      </c>
      <c r="C1802">
        <f>IF(VLOOKUP(Table73[[#This Row],[Date]],Database!$A:$C,MATCH($C$1,Database!$A$1:$C$1,),)=0,#N/A,VLOOKUP(Table73[[#This Row],[Date]],Database!$A:$C,MATCH($C$1,Database!$A$1:$C$1,),))</f>
        <v/>
      </c>
      <c r="D1802">
        <f>IFERROR(Table73[[#This Row],[United States 10y]]-Table73[[#This Row],[United States 2y]],#N/A)</f>
        <v/>
      </c>
    </row>
    <row r="1803">
      <c r="A1803" s="6">
        <f>Database!A1802</f>
        <v/>
      </c>
      <c r="B1803">
        <f>IF(VLOOKUP(Table73[[#This Row],[Date]],Database!$A:$E,MATCH($B$1,Database!$A$1:$E$1,),)=0,#N/A,VLOOKUP(Table73[[#This Row],[Date]],Database!$A:$E,MATCH($B$1,Database!$A$1:$E$1,),))</f>
        <v/>
      </c>
      <c r="C1803">
        <f>IF(VLOOKUP(Table73[[#This Row],[Date]],Database!$A:$C,MATCH($C$1,Database!$A$1:$C$1,),)=0,#N/A,VLOOKUP(Table73[[#This Row],[Date]],Database!$A:$C,MATCH($C$1,Database!$A$1:$C$1,),))</f>
        <v/>
      </c>
      <c r="D1803">
        <f>IFERROR(Table73[[#This Row],[United States 10y]]-Table73[[#This Row],[United States 2y]],#N/A)</f>
        <v/>
      </c>
    </row>
    <row r="1804">
      <c r="A1804" s="6">
        <f>Database!A1803</f>
        <v/>
      </c>
      <c r="B1804">
        <f>IF(VLOOKUP(Table73[[#This Row],[Date]],Database!$A:$E,MATCH($B$1,Database!$A$1:$E$1,),)=0,#N/A,VLOOKUP(Table73[[#This Row],[Date]],Database!$A:$E,MATCH($B$1,Database!$A$1:$E$1,),))</f>
        <v/>
      </c>
      <c r="C1804">
        <f>IF(VLOOKUP(Table73[[#This Row],[Date]],Database!$A:$C,MATCH($C$1,Database!$A$1:$C$1,),)=0,#N/A,VLOOKUP(Table73[[#This Row],[Date]],Database!$A:$C,MATCH($C$1,Database!$A$1:$C$1,),))</f>
        <v/>
      </c>
      <c r="D1804">
        <f>IFERROR(Table73[[#This Row],[United States 10y]]-Table73[[#This Row],[United States 2y]],#N/A)</f>
        <v/>
      </c>
    </row>
    <row r="1805">
      <c r="A1805" s="6">
        <f>Database!A1804</f>
        <v/>
      </c>
      <c r="B1805">
        <f>IF(VLOOKUP(Table73[[#This Row],[Date]],Database!$A:$E,MATCH($B$1,Database!$A$1:$E$1,),)=0,#N/A,VLOOKUP(Table73[[#This Row],[Date]],Database!$A:$E,MATCH($B$1,Database!$A$1:$E$1,),))</f>
        <v/>
      </c>
      <c r="C1805">
        <f>IF(VLOOKUP(Table73[[#This Row],[Date]],Database!$A:$C,MATCH($C$1,Database!$A$1:$C$1,),)=0,#N/A,VLOOKUP(Table73[[#This Row],[Date]],Database!$A:$C,MATCH($C$1,Database!$A$1:$C$1,),))</f>
        <v/>
      </c>
      <c r="D1805">
        <f>IFERROR(Table73[[#This Row],[United States 10y]]-Table73[[#This Row],[United States 2y]],#N/A)</f>
        <v/>
      </c>
    </row>
    <row r="1806">
      <c r="A1806" s="6">
        <f>Database!A1805</f>
        <v/>
      </c>
      <c r="B1806">
        <f>IF(VLOOKUP(Table73[[#This Row],[Date]],Database!$A:$E,MATCH($B$1,Database!$A$1:$E$1,),)=0,#N/A,VLOOKUP(Table73[[#This Row],[Date]],Database!$A:$E,MATCH($B$1,Database!$A$1:$E$1,),))</f>
        <v/>
      </c>
      <c r="C1806">
        <f>IF(VLOOKUP(Table73[[#This Row],[Date]],Database!$A:$C,MATCH($C$1,Database!$A$1:$C$1,),)=0,#N/A,VLOOKUP(Table73[[#This Row],[Date]],Database!$A:$C,MATCH($C$1,Database!$A$1:$C$1,),))</f>
        <v/>
      </c>
      <c r="D1806">
        <f>IFERROR(Table73[[#This Row],[United States 10y]]-Table73[[#This Row],[United States 2y]],#N/A)</f>
        <v/>
      </c>
    </row>
    <row r="1807">
      <c r="A1807" s="6">
        <f>Database!A1806</f>
        <v/>
      </c>
      <c r="B1807">
        <f>IF(VLOOKUP(Table73[[#This Row],[Date]],Database!$A:$E,MATCH($B$1,Database!$A$1:$E$1,),)=0,#N/A,VLOOKUP(Table73[[#This Row],[Date]],Database!$A:$E,MATCH($B$1,Database!$A$1:$E$1,),))</f>
        <v/>
      </c>
      <c r="C1807">
        <f>IF(VLOOKUP(Table73[[#This Row],[Date]],Database!$A:$C,MATCH($C$1,Database!$A$1:$C$1,),)=0,#N/A,VLOOKUP(Table73[[#This Row],[Date]],Database!$A:$C,MATCH($C$1,Database!$A$1:$C$1,),))</f>
        <v/>
      </c>
      <c r="D1807">
        <f>IFERROR(Table73[[#This Row],[United States 10y]]-Table73[[#This Row],[United States 2y]],#N/A)</f>
        <v/>
      </c>
    </row>
    <row r="1808">
      <c r="A1808" s="6">
        <f>Database!A1807</f>
        <v/>
      </c>
      <c r="B1808">
        <f>IF(VLOOKUP(Table73[[#This Row],[Date]],Database!$A:$E,MATCH($B$1,Database!$A$1:$E$1,),)=0,#N/A,VLOOKUP(Table73[[#This Row],[Date]],Database!$A:$E,MATCH($B$1,Database!$A$1:$E$1,),))</f>
        <v/>
      </c>
      <c r="C1808">
        <f>IF(VLOOKUP(Table73[[#This Row],[Date]],Database!$A:$C,MATCH($C$1,Database!$A$1:$C$1,),)=0,#N/A,VLOOKUP(Table73[[#This Row],[Date]],Database!$A:$C,MATCH($C$1,Database!$A$1:$C$1,),))</f>
        <v/>
      </c>
      <c r="D1808">
        <f>IFERROR(Table73[[#This Row],[United States 10y]]-Table73[[#This Row],[United States 2y]],#N/A)</f>
        <v/>
      </c>
    </row>
    <row r="1809">
      <c r="A1809" s="6">
        <f>Database!A1808</f>
        <v/>
      </c>
      <c r="B1809">
        <f>IF(VLOOKUP(Table73[[#This Row],[Date]],Database!$A:$E,MATCH($B$1,Database!$A$1:$E$1,),)=0,#N/A,VLOOKUP(Table73[[#This Row],[Date]],Database!$A:$E,MATCH($B$1,Database!$A$1:$E$1,),))</f>
        <v/>
      </c>
      <c r="C1809">
        <f>IF(VLOOKUP(Table73[[#This Row],[Date]],Database!$A:$C,MATCH($C$1,Database!$A$1:$C$1,),)=0,#N/A,VLOOKUP(Table73[[#This Row],[Date]],Database!$A:$C,MATCH($C$1,Database!$A$1:$C$1,),))</f>
        <v/>
      </c>
      <c r="D1809">
        <f>IFERROR(Table73[[#This Row],[United States 10y]]-Table73[[#This Row],[United States 2y]],#N/A)</f>
        <v/>
      </c>
    </row>
    <row r="1810">
      <c r="A1810" s="6">
        <f>Database!A1809</f>
        <v/>
      </c>
      <c r="B1810">
        <f>IF(VLOOKUP(Table73[[#This Row],[Date]],Database!$A:$E,MATCH($B$1,Database!$A$1:$E$1,),)=0,#N/A,VLOOKUP(Table73[[#This Row],[Date]],Database!$A:$E,MATCH($B$1,Database!$A$1:$E$1,),))</f>
        <v/>
      </c>
      <c r="C1810">
        <f>IF(VLOOKUP(Table73[[#This Row],[Date]],Database!$A:$C,MATCH($C$1,Database!$A$1:$C$1,),)=0,#N/A,VLOOKUP(Table73[[#This Row],[Date]],Database!$A:$C,MATCH($C$1,Database!$A$1:$C$1,),))</f>
        <v/>
      </c>
      <c r="D1810">
        <f>IFERROR(Table73[[#This Row],[United States 10y]]-Table73[[#This Row],[United States 2y]],#N/A)</f>
        <v/>
      </c>
    </row>
    <row r="1811">
      <c r="A1811" s="6">
        <f>Database!A1810</f>
        <v/>
      </c>
      <c r="B1811">
        <f>IF(VLOOKUP(Table73[[#This Row],[Date]],Database!$A:$E,MATCH($B$1,Database!$A$1:$E$1,),)=0,#N/A,VLOOKUP(Table73[[#This Row],[Date]],Database!$A:$E,MATCH($B$1,Database!$A$1:$E$1,),))</f>
        <v/>
      </c>
      <c r="C1811">
        <f>IF(VLOOKUP(Table73[[#This Row],[Date]],Database!$A:$C,MATCH($C$1,Database!$A$1:$C$1,),)=0,#N/A,VLOOKUP(Table73[[#This Row],[Date]],Database!$A:$C,MATCH($C$1,Database!$A$1:$C$1,),))</f>
        <v/>
      </c>
      <c r="D1811">
        <f>IFERROR(Table73[[#This Row],[United States 10y]]-Table73[[#This Row],[United States 2y]],#N/A)</f>
        <v/>
      </c>
    </row>
    <row r="1812">
      <c r="A1812" s="6">
        <f>Database!A1811</f>
        <v/>
      </c>
      <c r="B1812">
        <f>IF(VLOOKUP(Table73[[#This Row],[Date]],Database!$A:$E,MATCH($B$1,Database!$A$1:$E$1,),)=0,#N/A,VLOOKUP(Table73[[#This Row],[Date]],Database!$A:$E,MATCH($B$1,Database!$A$1:$E$1,),))</f>
        <v/>
      </c>
      <c r="C1812">
        <f>IF(VLOOKUP(Table73[[#This Row],[Date]],Database!$A:$C,MATCH($C$1,Database!$A$1:$C$1,),)=0,#N/A,VLOOKUP(Table73[[#This Row],[Date]],Database!$A:$C,MATCH($C$1,Database!$A$1:$C$1,),))</f>
        <v/>
      </c>
      <c r="D1812">
        <f>IFERROR(Table73[[#This Row],[United States 10y]]-Table73[[#This Row],[United States 2y]],#N/A)</f>
        <v/>
      </c>
    </row>
    <row r="1813">
      <c r="A1813" s="6">
        <f>Database!A1812</f>
        <v/>
      </c>
      <c r="B1813">
        <f>IF(VLOOKUP(Table73[[#This Row],[Date]],Database!$A:$E,MATCH($B$1,Database!$A$1:$E$1,),)=0,#N/A,VLOOKUP(Table73[[#This Row],[Date]],Database!$A:$E,MATCH($B$1,Database!$A$1:$E$1,),))</f>
        <v/>
      </c>
      <c r="C1813">
        <f>IF(VLOOKUP(Table73[[#This Row],[Date]],Database!$A:$C,MATCH($C$1,Database!$A$1:$C$1,),)=0,#N/A,VLOOKUP(Table73[[#This Row],[Date]],Database!$A:$C,MATCH($C$1,Database!$A$1:$C$1,),))</f>
        <v/>
      </c>
      <c r="D1813">
        <f>IFERROR(Table73[[#This Row],[United States 10y]]-Table73[[#This Row],[United States 2y]],#N/A)</f>
        <v/>
      </c>
    </row>
    <row r="1814">
      <c r="A1814" s="6">
        <f>Database!A1813</f>
        <v/>
      </c>
      <c r="B1814">
        <f>IF(VLOOKUP(Table73[[#This Row],[Date]],Database!$A:$E,MATCH($B$1,Database!$A$1:$E$1,),)=0,#N/A,VLOOKUP(Table73[[#This Row],[Date]],Database!$A:$E,MATCH($B$1,Database!$A$1:$E$1,),))</f>
        <v/>
      </c>
      <c r="C1814">
        <f>IF(VLOOKUP(Table73[[#This Row],[Date]],Database!$A:$C,MATCH($C$1,Database!$A$1:$C$1,),)=0,#N/A,VLOOKUP(Table73[[#This Row],[Date]],Database!$A:$C,MATCH($C$1,Database!$A$1:$C$1,),))</f>
        <v/>
      </c>
      <c r="D1814">
        <f>IFERROR(Table73[[#This Row],[United States 10y]]-Table73[[#This Row],[United States 2y]],#N/A)</f>
        <v/>
      </c>
    </row>
    <row r="1815">
      <c r="A1815" s="6">
        <f>Database!A1814</f>
        <v/>
      </c>
      <c r="B1815">
        <f>IF(VLOOKUP(Table73[[#This Row],[Date]],Database!$A:$E,MATCH($B$1,Database!$A$1:$E$1,),)=0,#N/A,VLOOKUP(Table73[[#This Row],[Date]],Database!$A:$E,MATCH($B$1,Database!$A$1:$E$1,),))</f>
        <v/>
      </c>
      <c r="C1815">
        <f>IF(VLOOKUP(Table73[[#This Row],[Date]],Database!$A:$C,MATCH($C$1,Database!$A$1:$C$1,),)=0,#N/A,VLOOKUP(Table73[[#This Row],[Date]],Database!$A:$C,MATCH($C$1,Database!$A$1:$C$1,),))</f>
        <v/>
      </c>
      <c r="D1815">
        <f>IFERROR(Table73[[#This Row],[United States 10y]]-Table73[[#This Row],[United States 2y]],#N/A)</f>
        <v/>
      </c>
    </row>
    <row r="1816">
      <c r="A1816" s="6">
        <f>Database!A1815</f>
        <v/>
      </c>
      <c r="B1816">
        <f>IF(VLOOKUP(Table73[[#This Row],[Date]],Database!$A:$E,MATCH($B$1,Database!$A$1:$E$1,),)=0,#N/A,VLOOKUP(Table73[[#This Row],[Date]],Database!$A:$E,MATCH($B$1,Database!$A$1:$E$1,),))</f>
        <v/>
      </c>
      <c r="C1816">
        <f>IF(VLOOKUP(Table73[[#This Row],[Date]],Database!$A:$C,MATCH($C$1,Database!$A$1:$C$1,),)=0,#N/A,VLOOKUP(Table73[[#This Row],[Date]],Database!$A:$C,MATCH($C$1,Database!$A$1:$C$1,),))</f>
        <v/>
      </c>
      <c r="D1816">
        <f>IFERROR(Table73[[#This Row],[United States 10y]]-Table73[[#This Row],[United States 2y]],#N/A)</f>
        <v/>
      </c>
    </row>
    <row r="1817">
      <c r="A1817" s="6">
        <f>Database!A1816</f>
        <v/>
      </c>
      <c r="B1817">
        <f>IF(VLOOKUP(Table73[[#This Row],[Date]],Database!$A:$E,MATCH($B$1,Database!$A$1:$E$1,),)=0,#N/A,VLOOKUP(Table73[[#This Row],[Date]],Database!$A:$E,MATCH($B$1,Database!$A$1:$E$1,),))</f>
        <v/>
      </c>
      <c r="C1817">
        <f>IF(VLOOKUP(Table73[[#This Row],[Date]],Database!$A:$C,MATCH($C$1,Database!$A$1:$C$1,),)=0,#N/A,VLOOKUP(Table73[[#This Row],[Date]],Database!$A:$C,MATCH($C$1,Database!$A$1:$C$1,),))</f>
        <v/>
      </c>
      <c r="D1817">
        <f>IFERROR(Table73[[#This Row],[United States 10y]]-Table73[[#This Row],[United States 2y]],#N/A)</f>
        <v/>
      </c>
    </row>
    <row r="1818">
      <c r="A1818" s="6">
        <f>Database!A1817</f>
        <v/>
      </c>
      <c r="B1818">
        <f>IF(VLOOKUP(Table73[[#This Row],[Date]],Database!$A:$E,MATCH($B$1,Database!$A$1:$E$1,),)=0,#N/A,VLOOKUP(Table73[[#This Row],[Date]],Database!$A:$E,MATCH($B$1,Database!$A$1:$E$1,),))</f>
        <v/>
      </c>
      <c r="C1818">
        <f>IF(VLOOKUP(Table73[[#This Row],[Date]],Database!$A:$C,MATCH($C$1,Database!$A$1:$C$1,),)=0,#N/A,VLOOKUP(Table73[[#This Row],[Date]],Database!$A:$C,MATCH($C$1,Database!$A$1:$C$1,),))</f>
        <v/>
      </c>
      <c r="D1818">
        <f>IFERROR(Table73[[#This Row],[United States 10y]]-Table73[[#This Row],[United States 2y]],#N/A)</f>
        <v/>
      </c>
    </row>
    <row r="1819">
      <c r="A1819" s="6">
        <f>Database!A1818</f>
        <v/>
      </c>
      <c r="B1819">
        <f>IF(VLOOKUP(Table73[[#This Row],[Date]],Database!$A:$E,MATCH($B$1,Database!$A$1:$E$1,),)=0,#N/A,VLOOKUP(Table73[[#This Row],[Date]],Database!$A:$E,MATCH($B$1,Database!$A$1:$E$1,),))</f>
        <v/>
      </c>
      <c r="C1819">
        <f>IF(VLOOKUP(Table73[[#This Row],[Date]],Database!$A:$C,MATCH($C$1,Database!$A$1:$C$1,),)=0,#N/A,VLOOKUP(Table73[[#This Row],[Date]],Database!$A:$C,MATCH($C$1,Database!$A$1:$C$1,),))</f>
        <v/>
      </c>
      <c r="D1819">
        <f>IFERROR(Table73[[#This Row],[United States 10y]]-Table73[[#This Row],[United States 2y]],#N/A)</f>
        <v/>
      </c>
    </row>
    <row r="1820">
      <c r="A1820" s="6">
        <f>Database!A1819</f>
        <v/>
      </c>
      <c r="B1820">
        <f>IF(VLOOKUP(Table73[[#This Row],[Date]],Database!$A:$E,MATCH($B$1,Database!$A$1:$E$1,),)=0,#N/A,VLOOKUP(Table73[[#This Row],[Date]],Database!$A:$E,MATCH($B$1,Database!$A$1:$E$1,),))</f>
        <v/>
      </c>
      <c r="C1820">
        <f>IF(VLOOKUP(Table73[[#This Row],[Date]],Database!$A:$C,MATCH($C$1,Database!$A$1:$C$1,),)=0,#N/A,VLOOKUP(Table73[[#This Row],[Date]],Database!$A:$C,MATCH($C$1,Database!$A$1:$C$1,),))</f>
        <v/>
      </c>
      <c r="D1820">
        <f>IFERROR(Table73[[#This Row],[United States 10y]]-Table73[[#This Row],[United States 2y]],#N/A)</f>
        <v/>
      </c>
    </row>
    <row r="1821">
      <c r="A1821" s="6">
        <f>Database!A1820</f>
        <v/>
      </c>
      <c r="B1821">
        <f>IF(VLOOKUP(Table73[[#This Row],[Date]],Database!$A:$E,MATCH($B$1,Database!$A$1:$E$1,),)=0,#N/A,VLOOKUP(Table73[[#This Row],[Date]],Database!$A:$E,MATCH($B$1,Database!$A$1:$E$1,),))</f>
        <v/>
      </c>
      <c r="C1821">
        <f>IF(VLOOKUP(Table73[[#This Row],[Date]],Database!$A:$C,MATCH($C$1,Database!$A$1:$C$1,),)=0,#N/A,VLOOKUP(Table73[[#This Row],[Date]],Database!$A:$C,MATCH($C$1,Database!$A$1:$C$1,),))</f>
        <v/>
      </c>
      <c r="D1821">
        <f>IFERROR(Table73[[#This Row],[United States 10y]]-Table73[[#This Row],[United States 2y]],#N/A)</f>
        <v/>
      </c>
    </row>
    <row r="1822">
      <c r="A1822" s="6">
        <f>Database!A1821</f>
        <v/>
      </c>
      <c r="B1822">
        <f>IF(VLOOKUP(Table73[[#This Row],[Date]],Database!$A:$E,MATCH($B$1,Database!$A$1:$E$1,),)=0,#N/A,VLOOKUP(Table73[[#This Row],[Date]],Database!$A:$E,MATCH($B$1,Database!$A$1:$E$1,),))</f>
        <v/>
      </c>
      <c r="C1822">
        <f>IF(VLOOKUP(Table73[[#This Row],[Date]],Database!$A:$C,MATCH($C$1,Database!$A$1:$C$1,),)=0,#N/A,VLOOKUP(Table73[[#This Row],[Date]],Database!$A:$C,MATCH($C$1,Database!$A$1:$C$1,),))</f>
        <v/>
      </c>
      <c r="D1822">
        <f>IFERROR(Table73[[#This Row],[United States 10y]]-Table73[[#This Row],[United States 2y]],#N/A)</f>
        <v/>
      </c>
    </row>
    <row r="1823">
      <c r="A1823" s="6">
        <f>Database!A1822</f>
        <v/>
      </c>
      <c r="B1823">
        <f>IF(VLOOKUP(Table73[[#This Row],[Date]],Database!$A:$E,MATCH($B$1,Database!$A$1:$E$1,),)=0,#N/A,VLOOKUP(Table73[[#This Row],[Date]],Database!$A:$E,MATCH($B$1,Database!$A$1:$E$1,),))</f>
        <v/>
      </c>
      <c r="C1823">
        <f>IF(VLOOKUP(Table73[[#This Row],[Date]],Database!$A:$C,MATCH($C$1,Database!$A$1:$C$1,),)=0,#N/A,VLOOKUP(Table73[[#This Row],[Date]],Database!$A:$C,MATCH($C$1,Database!$A$1:$C$1,),))</f>
        <v/>
      </c>
      <c r="D1823">
        <f>IFERROR(Table73[[#This Row],[United States 10y]]-Table73[[#This Row],[United States 2y]],#N/A)</f>
        <v/>
      </c>
    </row>
    <row r="1824">
      <c r="A1824" s="6">
        <f>Database!A1823</f>
        <v/>
      </c>
      <c r="B1824">
        <f>IF(VLOOKUP(Table73[[#This Row],[Date]],Database!$A:$E,MATCH($B$1,Database!$A$1:$E$1,),)=0,#N/A,VLOOKUP(Table73[[#This Row],[Date]],Database!$A:$E,MATCH($B$1,Database!$A$1:$E$1,),))</f>
        <v/>
      </c>
      <c r="C1824">
        <f>IF(VLOOKUP(Table73[[#This Row],[Date]],Database!$A:$C,MATCH($C$1,Database!$A$1:$C$1,),)=0,#N/A,VLOOKUP(Table73[[#This Row],[Date]],Database!$A:$C,MATCH($C$1,Database!$A$1:$C$1,),))</f>
        <v/>
      </c>
      <c r="D1824">
        <f>IFERROR(Table73[[#This Row],[United States 10y]]-Table73[[#This Row],[United States 2y]],#N/A)</f>
        <v/>
      </c>
    </row>
    <row r="1825">
      <c r="A1825" s="6">
        <f>Database!A1824</f>
        <v/>
      </c>
      <c r="B1825">
        <f>IF(VLOOKUP(Table73[[#This Row],[Date]],Database!$A:$E,MATCH($B$1,Database!$A$1:$E$1,),)=0,#N/A,VLOOKUP(Table73[[#This Row],[Date]],Database!$A:$E,MATCH($B$1,Database!$A$1:$E$1,),))</f>
        <v/>
      </c>
      <c r="C1825">
        <f>IF(VLOOKUP(Table73[[#This Row],[Date]],Database!$A:$C,MATCH($C$1,Database!$A$1:$C$1,),)=0,#N/A,VLOOKUP(Table73[[#This Row],[Date]],Database!$A:$C,MATCH($C$1,Database!$A$1:$C$1,),))</f>
        <v/>
      </c>
      <c r="D1825">
        <f>IFERROR(Table73[[#This Row],[United States 10y]]-Table73[[#This Row],[United States 2y]],#N/A)</f>
        <v/>
      </c>
    </row>
    <row r="1826">
      <c r="A1826" s="6">
        <f>Database!A1825</f>
        <v/>
      </c>
      <c r="B1826">
        <f>IF(VLOOKUP(Table73[[#This Row],[Date]],Database!$A:$E,MATCH($B$1,Database!$A$1:$E$1,),)=0,#N/A,VLOOKUP(Table73[[#This Row],[Date]],Database!$A:$E,MATCH($B$1,Database!$A$1:$E$1,),))</f>
        <v/>
      </c>
      <c r="C1826">
        <f>IF(VLOOKUP(Table73[[#This Row],[Date]],Database!$A:$C,MATCH($C$1,Database!$A$1:$C$1,),)=0,#N/A,VLOOKUP(Table73[[#This Row],[Date]],Database!$A:$C,MATCH($C$1,Database!$A$1:$C$1,),))</f>
        <v/>
      </c>
      <c r="D1826">
        <f>IFERROR(Table73[[#This Row],[United States 10y]]-Table73[[#This Row],[United States 2y]],#N/A)</f>
        <v/>
      </c>
    </row>
    <row r="1827">
      <c r="A1827" s="6">
        <f>Database!A1826</f>
        <v/>
      </c>
      <c r="B1827">
        <f>IF(VLOOKUP(Table73[[#This Row],[Date]],Database!$A:$E,MATCH($B$1,Database!$A$1:$E$1,),)=0,#N/A,VLOOKUP(Table73[[#This Row],[Date]],Database!$A:$E,MATCH($B$1,Database!$A$1:$E$1,),))</f>
        <v/>
      </c>
      <c r="C1827">
        <f>IF(VLOOKUP(Table73[[#This Row],[Date]],Database!$A:$C,MATCH($C$1,Database!$A$1:$C$1,),)=0,#N/A,VLOOKUP(Table73[[#This Row],[Date]],Database!$A:$C,MATCH($C$1,Database!$A$1:$C$1,),))</f>
        <v/>
      </c>
      <c r="D1827">
        <f>IFERROR(Table73[[#This Row],[United States 10y]]-Table73[[#This Row],[United States 2y]],#N/A)</f>
        <v/>
      </c>
    </row>
    <row r="1828">
      <c r="A1828" s="6">
        <f>Database!A1827</f>
        <v/>
      </c>
      <c r="B1828">
        <f>IF(VLOOKUP(Table73[[#This Row],[Date]],Database!$A:$E,MATCH($B$1,Database!$A$1:$E$1,),)=0,#N/A,VLOOKUP(Table73[[#This Row],[Date]],Database!$A:$E,MATCH($B$1,Database!$A$1:$E$1,),))</f>
        <v/>
      </c>
      <c r="C1828">
        <f>IF(VLOOKUP(Table73[[#This Row],[Date]],Database!$A:$C,MATCH($C$1,Database!$A$1:$C$1,),)=0,#N/A,VLOOKUP(Table73[[#This Row],[Date]],Database!$A:$C,MATCH($C$1,Database!$A$1:$C$1,),))</f>
        <v/>
      </c>
      <c r="D1828">
        <f>IFERROR(Table73[[#This Row],[United States 10y]]-Table73[[#This Row],[United States 2y]],#N/A)</f>
        <v/>
      </c>
    </row>
    <row r="1829">
      <c r="A1829" s="6">
        <f>Database!A1828</f>
        <v/>
      </c>
      <c r="B1829">
        <f>IF(VLOOKUP(Table73[[#This Row],[Date]],Database!$A:$E,MATCH($B$1,Database!$A$1:$E$1,),)=0,#N/A,VLOOKUP(Table73[[#This Row],[Date]],Database!$A:$E,MATCH($B$1,Database!$A$1:$E$1,),))</f>
        <v/>
      </c>
      <c r="C1829">
        <f>IF(VLOOKUP(Table73[[#This Row],[Date]],Database!$A:$C,MATCH($C$1,Database!$A$1:$C$1,),)=0,#N/A,VLOOKUP(Table73[[#This Row],[Date]],Database!$A:$C,MATCH($C$1,Database!$A$1:$C$1,),))</f>
        <v/>
      </c>
      <c r="D1829">
        <f>IFERROR(Table73[[#This Row],[United States 10y]]-Table73[[#This Row],[United States 2y]],#N/A)</f>
        <v/>
      </c>
    </row>
    <row r="1830">
      <c r="A1830" s="6">
        <f>Database!A1829</f>
        <v/>
      </c>
      <c r="B1830">
        <f>IF(VLOOKUP(Table73[[#This Row],[Date]],Database!$A:$E,MATCH($B$1,Database!$A$1:$E$1,),)=0,#N/A,VLOOKUP(Table73[[#This Row],[Date]],Database!$A:$E,MATCH($B$1,Database!$A$1:$E$1,),))</f>
        <v/>
      </c>
      <c r="C1830">
        <f>IF(VLOOKUP(Table73[[#This Row],[Date]],Database!$A:$C,MATCH($C$1,Database!$A$1:$C$1,),)=0,#N/A,VLOOKUP(Table73[[#This Row],[Date]],Database!$A:$C,MATCH($C$1,Database!$A$1:$C$1,),))</f>
        <v/>
      </c>
      <c r="D1830">
        <f>IFERROR(Table73[[#This Row],[United States 10y]]-Table73[[#This Row],[United States 2y]],#N/A)</f>
        <v/>
      </c>
    </row>
    <row r="1831">
      <c r="A1831" s="6">
        <f>Database!A1830</f>
        <v/>
      </c>
      <c r="B1831">
        <f>IF(VLOOKUP(Table73[[#This Row],[Date]],Database!$A:$E,MATCH($B$1,Database!$A$1:$E$1,),)=0,#N/A,VLOOKUP(Table73[[#This Row],[Date]],Database!$A:$E,MATCH($B$1,Database!$A$1:$E$1,),))</f>
        <v/>
      </c>
      <c r="C1831">
        <f>IF(VLOOKUP(Table73[[#This Row],[Date]],Database!$A:$C,MATCH($C$1,Database!$A$1:$C$1,),)=0,#N/A,VLOOKUP(Table73[[#This Row],[Date]],Database!$A:$C,MATCH($C$1,Database!$A$1:$C$1,),))</f>
        <v/>
      </c>
      <c r="D1831">
        <f>IFERROR(Table73[[#This Row],[United States 10y]]-Table73[[#This Row],[United States 2y]],#N/A)</f>
        <v/>
      </c>
    </row>
    <row r="1832">
      <c r="A1832" s="6">
        <f>Database!A1831</f>
        <v/>
      </c>
      <c r="B1832">
        <f>IF(VLOOKUP(Table73[[#This Row],[Date]],Database!$A:$E,MATCH($B$1,Database!$A$1:$E$1,),)=0,#N/A,VLOOKUP(Table73[[#This Row],[Date]],Database!$A:$E,MATCH($B$1,Database!$A$1:$E$1,),))</f>
        <v/>
      </c>
      <c r="C1832">
        <f>IF(VLOOKUP(Table73[[#This Row],[Date]],Database!$A:$C,MATCH($C$1,Database!$A$1:$C$1,),)=0,#N/A,VLOOKUP(Table73[[#This Row],[Date]],Database!$A:$C,MATCH($C$1,Database!$A$1:$C$1,),))</f>
        <v/>
      </c>
      <c r="D1832">
        <f>IFERROR(Table73[[#This Row],[United States 10y]]-Table73[[#This Row],[United States 2y]],#N/A)</f>
        <v/>
      </c>
    </row>
    <row r="1833">
      <c r="A1833" s="6">
        <f>Database!A1832</f>
        <v/>
      </c>
      <c r="B1833">
        <f>IF(VLOOKUP(Table73[[#This Row],[Date]],Database!$A:$E,MATCH($B$1,Database!$A$1:$E$1,),)=0,#N/A,VLOOKUP(Table73[[#This Row],[Date]],Database!$A:$E,MATCH($B$1,Database!$A$1:$E$1,),))</f>
        <v/>
      </c>
      <c r="C1833">
        <f>IF(VLOOKUP(Table73[[#This Row],[Date]],Database!$A:$C,MATCH($C$1,Database!$A$1:$C$1,),)=0,#N/A,VLOOKUP(Table73[[#This Row],[Date]],Database!$A:$C,MATCH($C$1,Database!$A$1:$C$1,),))</f>
        <v/>
      </c>
      <c r="D1833">
        <f>IFERROR(Table73[[#This Row],[United States 10y]]-Table73[[#This Row],[United States 2y]],#N/A)</f>
        <v/>
      </c>
    </row>
    <row r="1834">
      <c r="A1834" s="6">
        <f>Database!A1833</f>
        <v/>
      </c>
      <c r="B1834">
        <f>IF(VLOOKUP(Table73[[#This Row],[Date]],Database!$A:$E,MATCH($B$1,Database!$A$1:$E$1,),)=0,#N/A,VLOOKUP(Table73[[#This Row],[Date]],Database!$A:$E,MATCH($B$1,Database!$A$1:$E$1,),))</f>
        <v/>
      </c>
      <c r="C1834">
        <f>IF(VLOOKUP(Table73[[#This Row],[Date]],Database!$A:$C,MATCH($C$1,Database!$A$1:$C$1,),)=0,#N/A,VLOOKUP(Table73[[#This Row],[Date]],Database!$A:$C,MATCH($C$1,Database!$A$1:$C$1,),))</f>
        <v/>
      </c>
      <c r="D1834">
        <f>IFERROR(Table73[[#This Row],[United States 10y]]-Table73[[#This Row],[United States 2y]],#N/A)</f>
        <v/>
      </c>
    </row>
    <row r="1835">
      <c r="A1835" s="6">
        <f>Database!A1834</f>
        <v/>
      </c>
      <c r="B1835">
        <f>IF(VLOOKUP(Table73[[#This Row],[Date]],Database!$A:$E,MATCH($B$1,Database!$A$1:$E$1,),)=0,#N/A,VLOOKUP(Table73[[#This Row],[Date]],Database!$A:$E,MATCH($B$1,Database!$A$1:$E$1,),))</f>
        <v/>
      </c>
      <c r="C1835">
        <f>IF(VLOOKUP(Table73[[#This Row],[Date]],Database!$A:$C,MATCH($C$1,Database!$A$1:$C$1,),)=0,#N/A,VLOOKUP(Table73[[#This Row],[Date]],Database!$A:$C,MATCH($C$1,Database!$A$1:$C$1,),))</f>
        <v/>
      </c>
      <c r="D1835">
        <f>IFERROR(Table73[[#This Row],[United States 10y]]-Table73[[#This Row],[United States 2y]],#N/A)</f>
        <v/>
      </c>
    </row>
    <row r="1836">
      <c r="A1836" s="6">
        <f>Database!A1835</f>
        <v/>
      </c>
      <c r="B1836">
        <f>IF(VLOOKUP(Table73[[#This Row],[Date]],Database!$A:$E,MATCH($B$1,Database!$A$1:$E$1,),)=0,#N/A,VLOOKUP(Table73[[#This Row],[Date]],Database!$A:$E,MATCH($B$1,Database!$A$1:$E$1,),))</f>
        <v/>
      </c>
      <c r="C1836">
        <f>IF(VLOOKUP(Table73[[#This Row],[Date]],Database!$A:$C,MATCH($C$1,Database!$A$1:$C$1,),)=0,#N/A,VLOOKUP(Table73[[#This Row],[Date]],Database!$A:$C,MATCH($C$1,Database!$A$1:$C$1,),))</f>
        <v/>
      </c>
      <c r="D1836">
        <f>IFERROR(Table73[[#This Row],[United States 10y]]-Table73[[#This Row],[United States 2y]],#N/A)</f>
        <v/>
      </c>
    </row>
    <row r="1837">
      <c r="A1837" s="6">
        <f>Database!A1836</f>
        <v/>
      </c>
      <c r="B1837">
        <f>IF(VLOOKUP(Table73[[#This Row],[Date]],Database!$A:$E,MATCH($B$1,Database!$A$1:$E$1,),)=0,#N/A,VLOOKUP(Table73[[#This Row],[Date]],Database!$A:$E,MATCH($B$1,Database!$A$1:$E$1,),))</f>
        <v/>
      </c>
      <c r="C1837">
        <f>IF(VLOOKUP(Table73[[#This Row],[Date]],Database!$A:$C,MATCH($C$1,Database!$A$1:$C$1,),)=0,#N/A,VLOOKUP(Table73[[#This Row],[Date]],Database!$A:$C,MATCH($C$1,Database!$A$1:$C$1,),))</f>
        <v/>
      </c>
      <c r="D1837">
        <f>IFERROR(Table73[[#This Row],[United States 10y]]-Table73[[#This Row],[United States 2y]],#N/A)</f>
        <v/>
      </c>
    </row>
    <row r="1838">
      <c r="A1838" s="6">
        <f>Database!A1837</f>
        <v/>
      </c>
      <c r="B1838">
        <f>IF(VLOOKUP(Table73[[#This Row],[Date]],Database!$A:$E,MATCH($B$1,Database!$A$1:$E$1,),)=0,#N/A,VLOOKUP(Table73[[#This Row],[Date]],Database!$A:$E,MATCH($B$1,Database!$A$1:$E$1,),))</f>
        <v/>
      </c>
      <c r="C1838">
        <f>IF(VLOOKUP(Table73[[#This Row],[Date]],Database!$A:$C,MATCH($C$1,Database!$A$1:$C$1,),)=0,#N/A,VLOOKUP(Table73[[#This Row],[Date]],Database!$A:$C,MATCH($C$1,Database!$A$1:$C$1,),))</f>
        <v/>
      </c>
      <c r="D1838">
        <f>IFERROR(Table73[[#This Row],[United States 10y]]-Table73[[#This Row],[United States 2y]],#N/A)</f>
        <v/>
      </c>
    </row>
    <row r="1839">
      <c r="A1839" s="6">
        <f>Database!A1838</f>
        <v/>
      </c>
      <c r="B1839">
        <f>IF(VLOOKUP(Table73[[#This Row],[Date]],Database!$A:$E,MATCH($B$1,Database!$A$1:$E$1,),)=0,#N/A,VLOOKUP(Table73[[#This Row],[Date]],Database!$A:$E,MATCH($B$1,Database!$A$1:$E$1,),))</f>
        <v/>
      </c>
      <c r="C1839">
        <f>IF(VLOOKUP(Table73[[#This Row],[Date]],Database!$A:$C,MATCH($C$1,Database!$A$1:$C$1,),)=0,#N/A,VLOOKUP(Table73[[#This Row],[Date]],Database!$A:$C,MATCH($C$1,Database!$A$1:$C$1,),))</f>
        <v/>
      </c>
      <c r="D1839">
        <f>IFERROR(Table73[[#This Row],[United States 10y]]-Table73[[#This Row],[United States 2y]],#N/A)</f>
        <v/>
      </c>
    </row>
    <row r="1840">
      <c r="A1840" s="6">
        <f>Database!A1839</f>
        <v/>
      </c>
      <c r="B1840">
        <f>IF(VLOOKUP(Table73[[#This Row],[Date]],Database!$A:$E,MATCH($B$1,Database!$A$1:$E$1,),)=0,#N/A,VLOOKUP(Table73[[#This Row],[Date]],Database!$A:$E,MATCH($B$1,Database!$A$1:$E$1,),))</f>
        <v/>
      </c>
      <c r="C1840">
        <f>IF(VLOOKUP(Table73[[#This Row],[Date]],Database!$A:$C,MATCH($C$1,Database!$A$1:$C$1,),)=0,#N/A,VLOOKUP(Table73[[#This Row],[Date]],Database!$A:$C,MATCH($C$1,Database!$A$1:$C$1,),))</f>
        <v/>
      </c>
      <c r="D1840">
        <f>IFERROR(Table73[[#This Row],[United States 10y]]-Table73[[#This Row],[United States 2y]],#N/A)</f>
        <v/>
      </c>
    </row>
    <row r="1841">
      <c r="A1841" s="6">
        <f>Database!A1840</f>
        <v/>
      </c>
      <c r="B1841">
        <f>IF(VLOOKUP(Table73[[#This Row],[Date]],Database!$A:$E,MATCH($B$1,Database!$A$1:$E$1,),)=0,#N/A,VLOOKUP(Table73[[#This Row],[Date]],Database!$A:$E,MATCH($B$1,Database!$A$1:$E$1,),))</f>
        <v/>
      </c>
      <c r="C1841">
        <f>IF(VLOOKUP(Table73[[#This Row],[Date]],Database!$A:$C,MATCH($C$1,Database!$A$1:$C$1,),)=0,#N/A,VLOOKUP(Table73[[#This Row],[Date]],Database!$A:$C,MATCH($C$1,Database!$A$1:$C$1,),))</f>
        <v/>
      </c>
      <c r="D1841">
        <f>IFERROR(Table73[[#This Row],[United States 10y]]-Table73[[#This Row],[United States 2y]],#N/A)</f>
        <v/>
      </c>
    </row>
    <row r="1842">
      <c r="A1842" s="6">
        <f>Database!A1841</f>
        <v/>
      </c>
      <c r="B1842">
        <f>IF(VLOOKUP(Table73[[#This Row],[Date]],Database!$A:$E,MATCH($B$1,Database!$A$1:$E$1,),)=0,#N/A,VLOOKUP(Table73[[#This Row],[Date]],Database!$A:$E,MATCH($B$1,Database!$A$1:$E$1,),))</f>
        <v/>
      </c>
      <c r="C1842">
        <f>IF(VLOOKUP(Table73[[#This Row],[Date]],Database!$A:$C,MATCH($C$1,Database!$A$1:$C$1,),)=0,#N/A,VLOOKUP(Table73[[#This Row],[Date]],Database!$A:$C,MATCH($C$1,Database!$A$1:$C$1,),))</f>
        <v/>
      </c>
      <c r="D1842">
        <f>IFERROR(Table73[[#This Row],[United States 10y]]-Table73[[#This Row],[United States 2y]],#N/A)</f>
        <v/>
      </c>
    </row>
    <row r="1843">
      <c r="A1843" s="6">
        <f>Database!A1842</f>
        <v/>
      </c>
      <c r="B1843">
        <f>IF(VLOOKUP(Table73[[#This Row],[Date]],Database!$A:$E,MATCH($B$1,Database!$A$1:$E$1,),)=0,#N/A,VLOOKUP(Table73[[#This Row],[Date]],Database!$A:$E,MATCH($B$1,Database!$A$1:$E$1,),))</f>
        <v/>
      </c>
      <c r="C1843">
        <f>IF(VLOOKUP(Table73[[#This Row],[Date]],Database!$A:$C,MATCH($C$1,Database!$A$1:$C$1,),)=0,#N/A,VLOOKUP(Table73[[#This Row],[Date]],Database!$A:$C,MATCH($C$1,Database!$A$1:$C$1,),))</f>
        <v/>
      </c>
      <c r="D1843">
        <f>IFERROR(Table73[[#This Row],[United States 10y]]-Table73[[#This Row],[United States 2y]],#N/A)</f>
        <v/>
      </c>
    </row>
    <row r="1844">
      <c r="A1844" s="6">
        <f>Database!A1843</f>
        <v/>
      </c>
      <c r="B1844">
        <f>IF(VLOOKUP(Table73[[#This Row],[Date]],Database!$A:$E,MATCH($B$1,Database!$A$1:$E$1,),)=0,#N/A,VLOOKUP(Table73[[#This Row],[Date]],Database!$A:$E,MATCH($B$1,Database!$A$1:$E$1,),))</f>
        <v/>
      </c>
      <c r="C1844">
        <f>IF(VLOOKUP(Table73[[#This Row],[Date]],Database!$A:$C,MATCH($C$1,Database!$A$1:$C$1,),)=0,#N/A,VLOOKUP(Table73[[#This Row],[Date]],Database!$A:$C,MATCH($C$1,Database!$A$1:$C$1,),))</f>
        <v/>
      </c>
      <c r="D1844">
        <f>IFERROR(Table73[[#This Row],[United States 10y]]-Table73[[#This Row],[United States 2y]],#N/A)</f>
        <v/>
      </c>
    </row>
    <row r="1845">
      <c r="A1845" s="6">
        <f>Database!A1844</f>
        <v/>
      </c>
      <c r="B1845">
        <f>IF(VLOOKUP(Table73[[#This Row],[Date]],Database!$A:$E,MATCH($B$1,Database!$A$1:$E$1,),)=0,#N/A,VLOOKUP(Table73[[#This Row],[Date]],Database!$A:$E,MATCH($B$1,Database!$A$1:$E$1,),))</f>
        <v/>
      </c>
      <c r="C1845">
        <f>IF(VLOOKUP(Table73[[#This Row],[Date]],Database!$A:$C,MATCH($C$1,Database!$A$1:$C$1,),)=0,#N/A,VLOOKUP(Table73[[#This Row],[Date]],Database!$A:$C,MATCH($C$1,Database!$A$1:$C$1,),))</f>
        <v/>
      </c>
      <c r="D1845">
        <f>IFERROR(Table73[[#This Row],[United States 10y]]-Table73[[#This Row],[United States 2y]],#N/A)</f>
        <v/>
      </c>
    </row>
    <row r="1846">
      <c r="A1846" s="6">
        <f>Database!A1845</f>
        <v/>
      </c>
      <c r="B1846">
        <f>IF(VLOOKUP(Table73[[#This Row],[Date]],Database!$A:$E,MATCH($B$1,Database!$A$1:$E$1,),)=0,#N/A,VLOOKUP(Table73[[#This Row],[Date]],Database!$A:$E,MATCH($B$1,Database!$A$1:$E$1,),))</f>
        <v/>
      </c>
      <c r="C1846">
        <f>IF(VLOOKUP(Table73[[#This Row],[Date]],Database!$A:$C,MATCH($C$1,Database!$A$1:$C$1,),)=0,#N/A,VLOOKUP(Table73[[#This Row],[Date]],Database!$A:$C,MATCH($C$1,Database!$A$1:$C$1,),))</f>
        <v/>
      </c>
      <c r="D1846">
        <f>IFERROR(Table73[[#This Row],[United States 10y]]-Table73[[#This Row],[United States 2y]],#N/A)</f>
        <v/>
      </c>
    </row>
    <row r="1847">
      <c r="A1847" s="6">
        <f>Database!A1846</f>
        <v/>
      </c>
      <c r="B1847">
        <f>IF(VLOOKUP(Table73[[#This Row],[Date]],Database!$A:$E,MATCH($B$1,Database!$A$1:$E$1,),)=0,#N/A,VLOOKUP(Table73[[#This Row],[Date]],Database!$A:$E,MATCH($B$1,Database!$A$1:$E$1,),))</f>
        <v/>
      </c>
      <c r="C1847">
        <f>IF(VLOOKUP(Table73[[#This Row],[Date]],Database!$A:$C,MATCH($C$1,Database!$A$1:$C$1,),)=0,#N/A,VLOOKUP(Table73[[#This Row],[Date]],Database!$A:$C,MATCH($C$1,Database!$A$1:$C$1,),))</f>
        <v/>
      </c>
      <c r="D1847">
        <f>IFERROR(Table73[[#This Row],[United States 10y]]-Table73[[#This Row],[United States 2y]],#N/A)</f>
        <v/>
      </c>
    </row>
    <row r="1848">
      <c r="A1848" s="6">
        <f>Database!A1847</f>
        <v/>
      </c>
      <c r="B1848">
        <f>IF(VLOOKUP(Table73[[#This Row],[Date]],Database!$A:$E,MATCH($B$1,Database!$A$1:$E$1,),)=0,#N/A,VLOOKUP(Table73[[#This Row],[Date]],Database!$A:$E,MATCH($B$1,Database!$A$1:$E$1,),))</f>
        <v/>
      </c>
      <c r="C1848">
        <f>IF(VLOOKUP(Table73[[#This Row],[Date]],Database!$A:$C,MATCH($C$1,Database!$A$1:$C$1,),)=0,#N/A,VLOOKUP(Table73[[#This Row],[Date]],Database!$A:$C,MATCH($C$1,Database!$A$1:$C$1,),))</f>
        <v/>
      </c>
      <c r="D1848">
        <f>IFERROR(Table73[[#This Row],[United States 10y]]-Table73[[#This Row],[United States 2y]],#N/A)</f>
        <v/>
      </c>
    </row>
    <row r="1849">
      <c r="A1849" s="6">
        <f>Database!A1848</f>
        <v/>
      </c>
      <c r="B1849">
        <f>IF(VLOOKUP(Table73[[#This Row],[Date]],Database!$A:$E,MATCH($B$1,Database!$A$1:$E$1,),)=0,#N/A,VLOOKUP(Table73[[#This Row],[Date]],Database!$A:$E,MATCH($B$1,Database!$A$1:$E$1,),))</f>
        <v/>
      </c>
      <c r="C1849">
        <f>IF(VLOOKUP(Table73[[#This Row],[Date]],Database!$A:$C,MATCH($C$1,Database!$A$1:$C$1,),)=0,#N/A,VLOOKUP(Table73[[#This Row],[Date]],Database!$A:$C,MATCH($C$1,Database!$A$1:$C$1,),))</f>
        <v/>
      </c>
      <c r="D1849">
        <f>IFERROR(Table73[[#This Row],[United States 10y]]-Table73[[#This Row],[United States 2y]],#N/A)</f>
        <v/>
      </c>
    </row>
    <row r="1850">
      <c r="A1850" s="6">
        <f>Database!A1849</f>
        <v/>
      </c>
      <c r="B1850">
        <f>IF(VLOOKUP(Table73[[#This Row],[Date]],Database!$A:$E,MATCH($B$1,Database!$A$1:$E$1,),)=0,#N/A,VLOOKUP(Table73[[#This Row],[Date]],Database!$A:$E,MATCH($B$1,Database!$A$1:$E$1,),))</f>
        <v/>
      </c>
      <c r="C1850">
        <f>IF(VLOOKUP(Table73[[#This Row],[Date]],Database!$A:$C,MATCH($C$1,Database!$A$1:$C$1,),)=0,#N/A,VLOOKUP(Table73[[#This Row],[Date]],Database!$A:$C,MATCH($C$1,Database!$A$1:$C$1,),))</f>
        <v/>
      </c>
      <c r="D1850">
        <f>IFERROR(Table73[[#This Row],[United States 10y]]-Table73[[#This Row],[United States 2y]],#N/A)</f>
        <v/>
      </c>
    </row>
    <row r="1851">
      <c r="A1851" s="6">
        <f>Database!A1850</f>
        <v/>
      </c>
      <c r="B1851">
        <f>IF(VLOOKUP(Table73[[#This Row],[Date]],Database!$A:$E,MATCH($B$1,Database!$A$1:$E$1,),)=0,#N/A,VLOOKUP(Table73[[#This Row],[Date]],Database!$A:$E,MATCH($B$1,Database!$A$1:$E$1,),))</f>
        <v/>
      </c>
      <c r="C1851">
        <f>IF(VLOOKUP(Table73[[#This Row],[Date]],Database!$A:$C,MATCH($C$1,Database!$A$1:$C$1,),)=0,#N/A,VLOOKUP(Table73[[#This Row],[Date]],Database!$A:$C,MATCH($C$1,Database!$A$1:$C$1,),))</f>
        <v/>
      </c>
      <c r="D1851">
        <f>IFERROR(Table73[[#This Row],[United States 10y]]-Table73[[#This Row],[United States 2y]],#N/A)</f>
        <v/>
      </c>
    </row>
    <row r="1852">
      <c r="A1852" s="6">
        <f>Database!A1851</f>
        <v/>
      </c>
      <c r="B1852">
        <f>IF(VLOOKUP(Table73[[#This Row],[Date]],Database!$A:$E,MATCH($B$1,Database!$A$1:$E$1,),)=0,#N/A,VLOOKUP(Table73[[#This Row],[Date]],Database!$A:$E,MATCH($B$1,Database!$A$1:$E$1,),))</f>
        <v/>
      </c>
      <c r="C1852">
        <f>IF(VLOOKUP(Table73[[#This Row],[Date]],Database!$A:$C,MATCH($C$1,Database!$A$1:$C$1,),)=0,#N/A,VLOOKUP(Table73[[#This Row],[Date]],Database!$A:$C,MATCH($C$1,Database!$A$1:$C$1,),))</f>
        <v/>
      </c>
      <c r="D1852">
        <f>IFERROR(Table73[[#This Row],[United States 10y]]-Table73[[#This Row],[United States 2y]],#N/A)</f>
        <v/>
      </c>
    </row>
    <row r="1853">
      <c r="A1853" s="6">
        <f>Database!A1852</f>
        <v/>
      </c>
      <c r="B1853">
        <f>IF(VLOOKUP(Table73[[#This Row],[Date]],Database!$A:$E,MATCH($B$1,Database!$A$1:$E$1,),)=0,#N/A,VLOOKUP(Table73[[#This Row],[Date]],Database!$A:$E,MATCH($B$1,Database!$A$1:$E$1,),))</f>
        <v/>
      </c>
      <c r="C1853">
        <f>IF(VLOOKUP(Table73[[#This Row],[Date]],Database!$A:$C,MATCH($C$1,Database!$A$1:$C$1,),)=0,#N/A,VLOOKUP(Table73[[#This Row],[Date]],Database!$A:$C,MATCH($C$1,Database!$A$1:$C$1,),))</f>
        <v/>
      </c>
      <c r="D1853">
        <f>IFERROR(Table73[[#This Row],[United States 10y]]-Table73[[#This Row],[United States 2y]],#N/A)</f>
        <v/>
      </c>
    </row>
    <row r="1854">
      <c r="A1854" s="6">
        <f>Database!A1853</f>
        <v/>
      </c>
      <c r="B1854">
        <f>IF(VLOOKUP(Table73[[#This Row],[Date]],Database!$A:$E,MATCH($B$1,Database!$A$1:$E$1,),)=0,#N/A,VLOOKUP(Table73[[#This Row],[Date]],Database!$A:$E,MATCH($B$1,Database!$A$1:$E$1,),))</f>
        <v/>
      </c>
      <c r="C1854">
        <f>IF(VLOOKUP(Table73[[#This Row],[Date]],Database!$A:$C,MATCH($C$1,Database!$A$1:$C$1,),)=0,#N/A,VLOOKUP(Table73[[#This Row],[Date]],Database!$A:$C,MATCH($C$1,Database!$A$1:$C$1,),))</f>
        <v/>
      </c>
      <c r="D1854">
        <f>IFERROR(Table73[[#This Row],[United States 10y]]-Table73[[#This Row],[United States 2y]],#N/A)</f>
        <v/>
      </c>
    </row>
    <row r="1855">
      <c r="A1855" s="6">
        <f>Database!A1854</f>
        <v/>
      </c>
      <c r="B1855">
        <f>IF(VLOOKUP(Table73[[#This Row],[Date]],Database!$A:$E,MATCH($B$1,Database!$A$1:$E$1,),)=0,#N/A,VLOOKUP(Table73[[#This Row],[Date]],Database!$A:$E,MATCH($B$1,Database!$A$1:$E$1,),))</f>
        <v/>
      </c>
      <c r="C1855">
        <f>IF(VLOOKUP(Table73[[#This Row],[Date]],Database!$A:$C,MATCH($C$1,Database!$A$1:$C$1,),)=0,#N/A,VLOOKUP(Table73[[#This Row],[Date]],Database!$A:$C,MATCH($C$1,Database!$A$1:$C$1,),))</f>
        <v/>
      </c>
      <c r="D1855">
        <f>IFERROR(Table73[[#This Row],[United States 10y]]-Table73[[#This Row],[United States 2y]],#N/A)</f>
        <v/>
      </c>
    </row>
    <row r="1856">
      <c r="A1856" s="6">
        <f>Database!A1855</f>
        <v/>
      </c>
      <c r="B1856">
        <f>IF(VLOOKUP(Table73[[#This Row],[Date]],Database!$A:$E,MATCH($B$1,Database!$A$1:$E$1,),)=0,#N/A,VLOOKUP(Table73[[#This Row],[Date]],Database!$A:$E,MATCH($B$1,Database!$A$1:$E$1,),))</f>
        <v/>
      </c>
      <c r="C1856">
        <f>IF(VLOOKUP(Table73[[#This Row],[Date]],Database!$A:$C,MATCH($C$1,Database!$A$1:$C$1,),)=0,#N/A,VLOOKUP(Table73[[#This Row],[Date]],Database!$A:$C,MATCH($C$1,Database!$A$1:$C$1,),))</f>
        <v/>
      </c>
      <c r="D1856">
        <f>IFERROR(Table73[[#This Row],[United States 10y]]-Table73[[#This Row],[United States 2y]],#N/A)</f>
        <v/>
      </c>
    </row>
    <row r="1857">
      <c r="A1857" s="6">
        <f>Database!A1856</f>
        <v/>
      </c>
      <c r="B1857">
        <f>IF(VLOOKUP(Table73[[#This Row],[Date]],Database!$A:$E,MATCH($B$1,Database!$A$1:$E$1,),)=0,#N/A,VLOOKUP(Table73[[#This Row],[Date]],Database!$A:$E,MATCH($B$1,Database!$A$1:$E$1,),))</f>
        <v/>
      </c>
      <c r="C1857">
        <f>IF(VLOOKUP(Table73[[#This Row],[Date]],Database!$A:$C,MATCH($C$1,Database!$A$1:$C$1,),)=0,#N/A,VLOOKUP(Table73[[#This Row],[Date]],Database!$A:$C,MATCH($C$1,Database!$A$1:$C$1,),))</f>
        <v/>
      </c>
      <c r="D1857">
        <f>IFERROR(Table73[[#This Row],[United States 10y]]-Table73[[#This Row],[United States 2y]],#N/A)</f>
        <v/>
      </c>
    </row>
    <row r="1858">
      <c r="A1858" s="6">
        <f>Database!A1857</f>
        <v/>
      </c>
      <c r="B1858">
        <f>IF(VLOOKUP(Table73[[#This Row],[Date]],Database!$A:$E,MATCH($B$1,Database!$A$1:$E$1,),)=0,#N/A,VLOOKUP(Table73[[#This Row],[Date]],Database!$A:$E,MATCH($B$1,Database!$A$1:$E$1,),))</f>
        <v/>
      </c>
      <c r="C1858">
        <f>IF(VLOOKUP(Table73[[#This Row],[Date]],Database!$A:$C,MATCH($C$1,Database!$A$1:$C$1,),)=0,#N/A,VLOOKUP(Table73[[#This Row],[Date]],Database!$A:$C,MATCH($C$1,Database!$A$1:$C$1,),))</f>
        <v/>
      </c>
      <c r="D1858">
        <f>IFERROR(Table73[[#This Row],[United States 10y]]-Table73[[#This Row],[United States 2y]],#N/A)</f>
        <v/>
      </c>
    </row>
    <row r="1859">
      <c r="A1859" s="6">
        <f>Database!A1858</f>
        <v/>
      </c>
      <c r="B1859">
        <f>IF(VLOOKUP(Table73[[#This Row],[Date]],Database!$A:$E,MATCH($B$1,Database!$A$1:$E$1,),)=0,#N/A,VLOOKUP(Table73[[#This Row],[Date]],Database!$A:$E,MATCH($B$1,Database!$A$1:$E$1,),))</f>
        <v/>
      </c>
      <c r="C1859">
        <f>IF(VLOOKUP(Table73[[#This Row],[Date]],Database!$A:$C,MATCH($C$1,Database!$A$1:$C$1,),)=0,#N/A,VLOOKUP(Table73[[#This Row],[Date]],Database!$A:$C,MATCH($C$1,Database!$A$1:$C$1,),))</f>
        <v/>
      </c>
      <c r="D1859">
        <f>IFERROR(Table73[[#This Row],[United States 10y]]-Table73[[#This Row],[United States 2y]],#N/A)</f>
        <v/>
      </c>
    </row>
    <row r="1860">
      <c r="A1860" s="6">
        <f>Database!A1859</f>
        <v/>
      </c>
      <c r="B1860">
        <f>IF(VLOOKUP(Table73[[#This Row],[Date]],Database!$A:$E,MATCH($B$1,Database!$A$1:$E$1,),)=0,#N/A,VLOOKUP(Table73[[#This Row],[Date]],Database!$A:$E,MATCH($B$1,Database!$A$1:$E$1,),))</f>
        <v/>
      </c>
      <c r="C1860">
        <f>IF(VLOOKUP(Table73[[#This Row],[Date]],Database!$A:$C,MATCH($C$1,Database!$A$1:$C$1,),)=0,#N/A,VLOOKUP(Table73[[#This Row],[Date]],Database!$A:$C,MATCH($C$1,Database!$A$1:$C$1,),))</f>
        <v/>
      </c>
      <c r="D1860">
        <f>IFERROR(Table73[[#This Row],[United States 10y]]-Table73[[#This Row],[United States 2y]],#N/A)</f>
        <v/>
      </c>
    </row>
    <row r="1861">
      <c r="A1861" s="6">
        <f>Database!A1860</f>
        <v/>
      </c>
      <c r="B1861">
        <f>IF(VLOOKUP(Table73[[#This Row],[Date]],Database!$A:$E,MATCH($B$1,Database!$A$1:$E$1,),)=0,#N/A,VLOOKUP(Table73[[#This Row],[Date]],Database!$A:$E,MATCH($B$1,Database!$A$1:$E$1,),))</f>
        <v/>
      </c>
      <c r="C1861">
        <f>IF(VLOOKUP(Table73[[#This Row],[Date]],Database!$A:$C,MATCH($C$1,Database!$A$1:$C$1,),)=0,#N/A,VLOOKUP(Table73[[#This Row],[Date]],Database!$A:$C,MATCH($C$1,Database!$A$1:$C$1,),))</f>
        <v/>
      </c>
      <c r="D1861">
        <f>IFERROR(Table73[[#This Row],[United States 10y]]-Table73[[#This Row],[United States 2y]],#N/A)</f>
        <v/>
      </c>
    </row>
    <row r="1862">
      <c r="A1862" s="6">
        <f>Database!A1861</f>
        <v/>
      </c>
      <c r="B1862">
        <f>IF(VLOOKUP(Table73[[#This Row],[Date]],Database!$A:$E,MATCH($B$1,Database!$A$1:$E$1,),)=0,#N/A,VLOOKUP(Table73[[#This Row],[Date]],Database!$A:$E,MATCH($B$1,Database!$A$1:$E$1,),))</f>
        <v/>
      </c>
      <c r="C1862">
        <f>IF(VLOOKUP(Table73[[#This Row],[Date]],Database!$A:$C,MATCH($C$1,Database!$A$1:$C$1,),)=0,#N/A,VLOOKUP(Table73[[#This Row],[Date]],Database!$A:$C,MATCH($C$1,Database!$A$1:$C$1,),))</f>
        <v/>
      </c>
      <c r="D1862">
        <f>IFERROR(Table73[[#This Row],[United States 10y]]-Table73[[#This Row],[United States 2y]],#N/A)</f>
        <v/>
      </c>
    </row>
    <row r="1863">
      <c r="A1863" s="6">
        <f>Database!A1862</f>
        <v/>
      </c>
      <c r="B1863">
        <f>IF(VLOOKUP(Table73[[#This Row],[Date]],Database!$A:$E,MATCH($B$1,Database!$A$1:$E$1,),)=0,#N/A,VLOOKUP(Table73[[#This Row],[Date]],Database!$A:$E,MATCH($B$1,Database!$A$1:$E$1,),))</f>
        <v/>
      </c>
      <c r="C1863">
        <f>IF(VLOOKUP(Table73[[#This Row],[Date]],Database!$A:$C,MATCH($C$1,Database!$A$1:$C$1,),)=0,#N/A,VLOOKUP(Table73[[#This Row],[Date]],Database!$A:$C,MATCH($C$1,Database!$A$1:$C$1,),))</f>
        <v/>
      </c>
      <c r="D1863">
        <f>IFERROR(Table73[[#This Row],[United States 10y]]-Table73[[#This Row],[United States 2y]],#N/A)</f>
        <v/>
      </c>
    </row>
    <row r="1864">
      <c r="A1864" s="6">
        <f>Database!A1863</f>
        <v/>
      </c>
      <c r="B1864">
        <f>IF(VLOOKUP(Table73[[#This Row],[Date]],Database!$A:$E,MATCH($B$1,Database!$A$1:$E$1,),)=0,#N/A,VLOOKUP(Table73[[#This Row],[Date]],Database!$A:$E,MATCH($B$1,Database!$A$1:$E$1,),))</f>
        <v/>
      </c>
      <c r="C1864">
        <f>IF(VLOOKUP(Table73[[#This Row],[Date]],Database!$A:$C,MATCH($C$1,Database!$A$1:$C$1,),)=0,#N/A,VLOOKUP(Table73[[#This Row],[Date]],Database!$A:$C,MATCH($C$1,Database!$A$1:$C$1,),))</f>
        <v/>
      </c>
      <c r="D1864">
        <f>IFERROR(Table73[[#This Row],[United States 10y]]-Table73[[#This Row],[United States 2y]],#N/A)</f>
        <v/>
      </c>
    </row>
    <row r="1865">
      <c r="A1865" s="6">
        <f>Database!A1864</f>
        <v/>
      </c>
      <c r="B1865">
        <f>IF(VLOOKUP(Table73[[#This Row],[Date]],Database!$A:$E,MATCH($B$1,Database!$A$1:$E$1,),)=0,#N/A,VLOOKUP(Table73[[#This Row],[Date]],Database!$A:$E,MATCH($B$1,Database!$A$1:$E$1,),))</f>
        <v/>
      </c>
      <c r="C1865">
        <f>IF(VLOOKUP(Table73[[#This Row],[Date]],Database!$A:$C,MATCH($C$1,Database!$A$1:$C$1,),)=0,#N/A,VLOOKUP(Table73[[#This Row],[Date]],Database!$A:$C,MATCH($C$1,Database!$A$1:$C$1,),))</f>
        <v/>
      </c>
      <c r="D1865">
        <f>IFERROR(Table73[[#This Row],[United States 10y]]-Table73[[#This Row],[United States 2y]],#N/A)</f>
        <v/>
      </c>
    </row>
    <row r="1866">
      <c r="A1866" s="6">
        <f>Database!A1865</f>
        <v/>
      </c>
      <c r="B1866">
        <f>IF(VLOOKUP(Table73[[#This Row],[Date]],Database!$A:$E,MATCH($B$1,Database!$A$1:$E$1,),)=0,#N/A,VLOOKUP(Table73[[#This Row],[Date]],Database!$A:$E,MATCH($B$1,Database!$A$1:$E$1,),))</f>
        <v/>
      </c>
      <c r="C1866">
        <f>IF(VLOOKUP(Table73[[#This Row],[Date]],Database!$A:$C,MATCH($C$1,Database!$A$1:$C$1,),)=0,#N/A,VLOOKUP(Table73[[#This Row],[Date]],Database!$A:$C,MATCH($C$1,Database!$A$1:$C$1,),))</f>
        <v/>
      </c>
      <c r="D1866">
        <f>IFERROR(Table73[[#This Row],[United States 10y]]-Table73[[#This Row],[United States 2y]],#N/A)</f>
        <v/>
      </c>
    </row>
    <row r="1867">
      <c r="A1867" s="6">
        <f>Database!A1866</f>
        <v/>
      </c>
      <c r="B1867">
        <f>IF(VLOOKUP(Table73[[#This Row],[Date]],Database!$A:$E,MATCH($B$1,Database!$A$1:$E$1,),)=0,#N/A,VLOOKUP(Table73[[#This Row],[Date]],Database!$A:$E,MATCH($B$1,Database!$A$1:$E$1,),))</f>
        <v/>
      </c>
      <c r="C1867">
        <f>IF(VLOOKUP(Table73[[#This Row],[Date]],Database!$A:$C,MATCH($C$1,Database!$A$1:$C$1,),)=0,#N/A,VLOOKUP(Table73[[#This Row],[Date]],Database!$A:$C,MATCH($C$1,Database!$A$1:$C$1,),))</f>
        <v/>
      </c>
      <c r="D1867">
        <f>IFERROR(Table73[[#This Row],[United States 10y]]-Table73[[#This Row],[United States 2y]],#N/A)</f>
        <v/>
      </c>
    </row>
    <row r="1868">
      <c r="A1868" s="6">
        <f>Database!A1867</f>
        <v/>
      </c>
      <c r="B1868">
        <f>IF(VLOOKUP(Table73[[#This Row],[Date]],Database!$A:$E,MATCH($B$1,Database!$A$1:$E$1,),)=0,#N/A,VLOOKUP(Table73[[#This Row],[Date]],Database!$A:$E,MATCH($B$1,Database!$A$1:$E$1,),))</f>
        <v/>
      </c>
      <c r="C1868">
        <f>IF(VLOOKUP(Table73[[#This Row],[Date]],Database!$A:$C,MATCH($C$1,Database!$A$1:$C$1,),)=0,#N/A,VLOOKUP(Table73[[#This Row],[Date]],Database!$A:$C,MATCH($C$1,Database!$A$1:$C$1,),))</f>
        <v/>
      </c>
      <c r="D1868">
        <f>IFERROR(Table73[[#This Row],[United States 10y]]-Table73[[#This Row],[United States 2y]],#N/A)</f>
        <v/>
      </c>
    </row>
    <row r="1869">
      <c r="A1869" s="6">
        <f>Database!A1868</f>
        <v/>
      </c>
      <c r="B1869">
        <f>IF(VLOOKUP(Table73[[#This Row],[Date]],Database!$A:$E,MATCH($B$1,Database!$A$1:$E$1,),)=0,#N/A,VLOOKUP(Table73[[#This Row],[Date]],Database!$A:$E,MATCH($B$1,Database!$A$1:$E$1,),))</f>
        <v/>
      </c>
      <c r="C1869">
        <f>IF(VLOOKUP(Table73[[#This Row],[Date]],Database!$A:$C,MATCH($C$1,Database!$A$1:$C$1,),)=0,#N/A,VLOOKUP(Table73[[#This Row],[Date]],Database!$A:$C,MATCH($C$1,Database!$A$1:$C$1,),))</f>
        <v/>
      </c>
      <c r="D1869">
        <f>IFERROR(Table73[[#This Row],[United States 10y]]-Table73[[#This Row],[United States 2y]],#N/A)</f>
        <v/>
      </c>
    </row>
    <row r="1870">
      <c r="A1870" s="6">
        <f>Database!A1869</f>
        <v/>
      </c>
      <c r="B1870">
        <f>IF(VLOOKUP(Table73[[#This Row],[Date]],Database!$A:$E,MATCH($B$1,Database!$A$1:$E$1,),)=0,#N/A,VLOOKUP(Table73[[#This Row],[Date]],Database!$A:$E,MATCH($B$1,Database!$A$1:$E$1,),))</f>
        <v/>
      </c>
      <c r="C1870">
        <f>IF(VLOOKUP(Table73[[#This Row],[Date]],Database!$A:$C,MATCH($C$1,Database!$A$1:$C$1,),)=0,#N/A,VLOOKUP(Table73[[#This Row],[Date]],Database!$A:$C,MATCH($C$1,Database!$A$1:$C$1,),))</f>
        <v/>
      </c>
      <c r="D1870">
        <f>IFERROR(Table73[[#This Row],[United States 10y]]-Table73[[#This Row],[United States 2y]],#N/A)</f>
        <v/>
      </c>
    </row>
    <row r="1871">
      <c r="A1871" s="6">
        <f>Database!A1870</f>
        <v/>
      </c>
      <c r="B1871">
        <f>IF(VLOOKUP(Table73[[#This Row],[Date]],Database!$A:$E,MATCH($B$1,Database!$A$1:$E$1,),)=0,#N/A,VLOOKUP(Table73[[#This Row],[Date]],Database!$A:$E,MATCH($B$1,Database!$A$1:$E$1,),))</f>
        <v/>
      </c>
      <c r="C1871">
        <f>IF(VLOOKUP(Table73[[#This Row],[Date]],Database!$A:$C,MATCH($C$1,Database!$A$1:$C$1,),)=0,#N/A,VLOOKUP(Table73[[#This Row],[Date]],Database!$A:$C,MATCH($C$1,Database!$A$1:$C$1,),))</f>
        <v/>
      </c>
      <c r="D1871">
        <f>IFERROR(Table73[[#This Row],[United States 10y]]-Table73[[#This Row],[United States 2y]],#N/A)</f>
        <v/>
      </c>
    </row>
    <row r="1872">
      <c r="A1872" s="6">
        <f>Database!A1871</f>
        <v/>
      </c>
      <c r="B1872">
        <f>IF(VLOOKUP(Table73[[#This Row],[Date]],Database!$A:$E,MATCH($B$1,Database!$A$1:$E$1,),)=0,#N/A,VLOOKUP(Table73[[#This Row],[Date]],Database!$A:$E,MATCH($B$1,Database!$A$1:$E$1,),))</f>
        <v/>
      </c>
      <c r="C1872">
        <f>IF(VLOOKUP(Table73[[#This Row],[Date]],Database!$A:$C,MATCH($C$1,Database!$A$1:$C$1,),)=0,#N/A,VLOOKUP(Table73[[#This Row],[Date]],Database!$A:$C,MATCH($C$1,Database!$A$1:$C$1,),))</f>
        <v/>
      </c>
      <c r="D1872">
        <f>IFERROR(Table73[[#This Row],[United States 10y]]-Table73[[#This Row],[United States 2y]],#N/A)</f>
        <v/>
      </c>
    </row>
    <row r="1873">
      <c r="A1873" s="6">
        <f>Database!A1872</f>
        <v/>
      </c>
      <c r="B1873">
        <f>IF(VLOOKUP(Table73[[#This Row],[Date]],Database!$A:$E,MATCH($B$1,Database!$A$1:$E$1,),)=0,#N/A,VLOOKUP(Table73[[#This Row],[Date]],Database!$A:$E,MATCH($B$1,Database!$A$1:$E$1,),))</f>
        <v/>
      </c>
      <c r="C1873">
        <f>IF(VLOOKUP(Table73[[#This Row],[Date]],Database!$A:$C,MATCH($C$1,Database!$A$1:$C$1,),)=0,#N/A,VLOOKUP(Table73[[#This Row],[Date]],Database!$A:$C,MATCH($C$1,Database!$A$1:$C$1,),))</f>
        <v/>
      </c>
      <c r="D1873">
        <f>IFERROR(Table73[[#This Row],[United States 10y]]-Table73[[#This Row],[United States 2y]],#N/A)</f>
        <v/>
      </c>
    </row>
    <row r="1874">
      <c r="A1874" s="6">
        <f>Database!A1873</f>
        <v/>
      </c>
      <c r="B1874">
        <f>IF(VLOOKUP(Table73[[#This Row],[Date]],Database!$A:$E,MATCH($B$1,Database!$A$1:$E$1,),)=0,#N/A,VLOOKUP(Table73[[#This Row],[Date]],Database!$A:$E,MATCH($B$1,Database!$A$1:$E$1,),))</f>
        <v/>
      </c>
      <c r="C1874">
        <f>IF(VLOOKUP(Table73[[#This Row],[Date]],Database!$A:$C,MATCH($C$1,Database!$A$1:$C$1,),)=0,#N/A,VLOOKUP(Table73[[#This Row],[Date]],Database!$A:$C,MATCH($C$1,Database!$A$1:$C$1,),))</f>
        <v/>
      </c>
      <c r="D1874">
        <f>IFERROR(Table73[[#This Row],[United States 10y]]-Table73[[#This Row],[United States 2y]],#N/A)</f>
        <v/>
      </c>
    </row>
    <row r="1875">
      <c r="A1875" s="6">
        <f>Database!A1874</f>
        <v/>
      </c>
      <c r="B1875">
        <f>IF(VLOOKUP(Table73[[#This Row],[Date]],Database!$A:$E,MATCH($B$1,Database!$A$1:$E$1,),)=0,#N/A,VLOOKUP(Table73[[#This Row],[Date]],Database!$A:$E,MATCH($B$1,Database!$A$1:$E$1,),))</f>
        <v/>
      </c>
      <c r="C1875">
        <f>IF(VLOOKUP(Table73[[#This Row],[Date]],Database!$A:$C,MATCH($C$1,Database!$A$1:$C$1,),)=0,#N/A,VLOOKUP(Table73[[#This Row],[Date]],Database!$A:$C,MATCH($C$1,Database!$A$1:$C$1,),))</f>
        <v/>
      </c>
      <c r="D1875">
        <f>IFERROR(Table73[[#This Row],[United States 10y]]-Table73[[#This Row],[United States 2y]],#N/A)</f>
        <v/>
      </c>
    </row>
    <row r="1876">
      <c r="A1876" s="6">
        <f>Database!A1875</f>
        <v/>
      </c>
      <c r="B1876">
        <f>IF(VLOOKUP(Table73[[#This Row],[Date]],Database!$A:$E,MATCH($B$1,Database!$A$1:$E$1,),)=0,#N/A,VLOOKUP(Table73[[#This Row],[Date]],Database!$A:$E,MATCH($B$1,Database!$A$1:$E$1,),))</f>
        <v/>
      </c>
      <c r="C1876">
        <f>IF(VLOOKUP(Table73[[#This Row],[Date]],Database!$A:$C,MATCH($C$1,Database!$A$1:$C$1,),)=0,#N/A,VLOOKUP(Table73[[#This Row],[Date]],Database!$A:$C,MATCH($C$1,Database!$A$1:$C$1,),))</f>
        <v/>
      </c>
      <c r="D1876">
        <f>IFERROR(Table73[[#This Row],[United States 10y]]-Table73[[#This Row],[United States 2y]],#N/A)</f>
        <v/>
      </c>
    </row>
    <row r="1877">
      <c r="A1877" s="6">
        <f>Database!A1876</f>
        <v/>
      </c>
      <c r="B1877">
        <f>IF(VLOOKUP(Table73[[#This Row],[Date]],Database!$A:$E,MATCH($B$1,Database!$A$1:$E$1,),)=0,#N/A,VLOOKUP(Table73[[#This Row],[Date]],Database!$A:$E,MATCH($B$1,Database!$A$1:$E$1,),))</f>
        <v/>
      </c>
      <c r="C1877">
        <f>IF(VLOOKUP(Table73[[#This Row],[Date]],Database!$A:$C,MATCH($C$1,Database!$A$1:$C$1,),)=0,#N/A,VLOOKUP(Table73[[#This Row],[Date]],Database!$A:$C,MATCH($C$1,Database!$A$1:$C$1,),))</f>
        <v/>
      </c>
      <c r="D1877">
        <f>IFERROR(Table73[[#This Row],[United States 10y]]-Table73[[#This Row],[United States 2y]],#N/A)</f>
        <v/>
      </c>
    </row>
    <row r="1878">
      <c r="A1878" s="6">
        <f>Database!A1877</f>
        <v/>
      </c>
      <c r="B1878">
        <f>IF(VLOOKUP(Table73[[#This Row],[Date]],Database!$A:$E,MATCH($B$1,Database!$A$1:$E$1,),)=0,#N/A,VLOOKUP(Table73[[#This Row],[Date]],Database!$A:$E,MATCH($B$1,Database!$A$1:$E$1,),))</f>
        <v/>
      </c>
      <c r="C1878">
        <f>IF(VLOOKUP(Table73[[#This Row],[Date]],Database!$A:$C,MATCH($C$1,Database!$A$1:$C$1,),)=0,#N/A,VLOOKUP(Table73[[#This Row],[Date]],Database!$A:$C,MATCH($C$1,Database!$A$1:$C$1,),))</f>
        <v/>
      </c>
      <c r="D1878">
        <f>IFERROR(Table73[[#This Row],[United States 10y]]-Table73[[#This Row],[United States 2y]],#N/A)</f>
        <v/>
      </c>
    </row>
    <row r="1879">
      <c r="A1879" s="6">
        <f>Database!A1878</f>
        <v/>
      </c>
      <c r="B1879">
        <f>IF(VLOOKUP(Table73[[#This Row],[Date]],Database!$A:$E,MATCH($B$1,Database!$A$1:$E$1,),)=0,#N/A,VLOOKUP(Table73[[#This Row],[Date]],Database!$A:$E,MATCH($B$1,Database!$A$1:$E$1,),))</f>
        <v/>
      </c>
      <c r="C1879">
        <f>IF(VLOOKUP(Table73[[#This Row],[Date]],Database!$A:$C,MATCH($C$1,Database!$A$1:$C$1,),)=0,#N/A,VLOOKUP(Table73[[#This Row],[Date]],Database!$A:$C,MATCH($C$1,Database!$A$1:$C$1,),))</f>
        <v/>
      </c>
      <c r="D1879">
        <f>IFERROR(Table73[[#This Row],[United States 10y]]-Table73[[#This Row],[United States 2y]],#N/A)</f>
        <v/>
      </c>
    </row>
    <row r="1880">
      <c r="A1880" s="6">
        <f>Database!A1879</f>
        <v/>
      </c>
      <c r="B1880">
        <f>IF(VLOOKUP(Table73[[#This Row],[Date]],Database!$A:$E,MATCH($B$1,Database!$A$1:$E$1,),)=0,#N/A,VLOOKUP(Table73[[#This Row],[Date]],Database!$A:$E,MATCH($B$1,Database!$A$1:$E$1,),))</f>
        <v/>
      </c>
      <c r="C1880">
        <f>IF(VLOOKUP(Table73[[#This Row],[Date]],Database!$A:$C,MATCH($C$1,Database!$A$1:$C$1,),)=0,#N/A,VLOOKUP(Table73[[#This Row],[Date]],Database!$A:$C,MATCH($C$1,Database!$A$1:$C$1,),))</f>
        <v/>
      </c>
      <c r="D1880">
        <f>IFERROR(Table73[[#This Row],[United States 10y]]-Table73[[#This Row],[United States 2y]],#N/A)</f>
        <v/>
      </c>
    </row>
    <row r="1881">
      <c r="A1881" s="6">
        <f>Database!A1880</f>
        <v/>
      </c>
      <c r="B1881">
        <f>IF(VLOOKUP(Table73[[#This Row],[Date]],Database!$A:$E,MATCH($B$1,Database!$A$1:$E$1,),)=0,#N/A,VLOOKUP(Table73[[#This Row],[Date]],Database!$A:$E,MATCH($B$1,Database!$A$1:$E$1,),))</f>
        <v/>
      </c>
      <c r="C1881">
        <f>IF(VLOOKUP(Table73[[#This Row],[Date]],Database!$A:$C,MATCH($C$1,Database!$A$1:$C$1,),)=0,#N/A,VLOOKUP(Table73[[#This Row],[Date]],Database!$A:$C,MATCH($C$1,Database!$A$1:$C$1,),))</f>
        <v/>
      </c>
      <c r="D1881">
        <f>IFERROR(Table73[[#This Row],[United States 10y]]-Table73[[#This Row],[United States 2y]],#N/A)</f>
        <v/>
      </c>
    </row>
    <row r="1882">
      <c r="A1882" s="6">
        <f>Database!A1881</f>
        <v/>
      </c>
      <c r="B1882">
        <f>IF(VLOOKUP(Table73[[#This Row],[Date]],Database!$A:$E,MATCH($B$1,Database!$A$1:$E$1,),)=0,#N/A,VLOOKUP(Table73[[#This Row],[Date]],Database!$A:$E,MATCH($B$1,Database!$A$1:$E$1,),))</f>
        <v/>
      </c>
      <c r="C1882">
        <f>IF(VLOOKUP(Table73[[#This Row],[Date]],Database!$A:$C,MATCH($C$1,Database!$A$1:$C$1,),)=0,#N/A,VLOOKUP(Table73[[#This Row],[Date]],Database!$A:$C,MATCH($C$1,Database!$A$1:$C$1,),))</f>
        <v/>
      </c>
      <c r="D1882">
        <f>IFERROR(Table73[[#This Row],[United States 10y]]-Table73[[#This Row],[United States 2y]],#N/A)</f>
        <v/>
      </c>
    </row>
    <row r="1883">
      <c r="A1883" s="6">
        <f>Database!A1882</f>
        <v/>
      </c>
      <c r="B1883">
        <f>IF(VLOOKUP(Table73[[#This Row],[Date]],Database!$A:$E,MATCH($B$1,Database!$A$1:$E$1,),)=0,#N/A,VLOOKUP(Table73[[#This Row],[Date]],Database!$A:$E,MATCH($B$1,Database!$A$1:$E$1,),))</f>
        <v/>
      </c>
      <c r="C1883">
        <f>IF(VLOOKUP(Table73[[#This Row],[Date]],Database!$A:$C,MATCH($C$1,Database!$A$1:$C$1,),)=0,#N/A,VLOOKUP(Table73[[#This Row],[Date]],Database!$A:$C,MATCH($C$1,Database!$A$1:$C$1,),))</f>
        <v/>
      </c>
      <c r="D1883">
        <f>IFERROR(Table73[[#This Row],[United States 10y]]-Table73[[#This Row],[United States 2y]],#N/A)</f>
        <v/>
      </c>
    </row>
    <row r="1884">
      <c r="A1884" s="6">
        <f>Database!A1883</f>
        <v/>
      </c>
      <c r="B1884">
        <f>IF(VLOOKUP(Table73[[#This Row],[Date]],Database!$A:$E,MATCH($B$1,Database!$A$1:$E$1,),)=0,#N/A,VLOOKUP(Table73[[#This Row],[Date]],Database!$A:$E,MATCH($B$1,Database!$A$1:$E$1,),))</f>
        <v/>
      </c>
      <c r="C1884">
        <f>IF(VLOOKUP(Table73[[#This Row],[Date]],Database!$A:$C,MATCH($C$1,Database!$A$1:$C$1,),)=0,#N/A,VLOOKUP(Table73[[#This Row],[Date]],Database!$A:$C,MATCH($C$1,Database!$A$1:$C$1,),))</f>
        <v/>
      </c>
      <c r="D1884">
        <f>IFERROR(Table73[[#This Row],[United States 10y]]-Table73[[#This Row],[United States 2y]],#N/A)</f>
        <v/>
      </c>
    </row>
    <row r="1885">
      <c r="A1885" s="6">
        <f>Database!A1884</f>
        <v/>
      </c>
      <c r="B1885">
        <f>IF(VLOOKUP(Table73[[#This Row],[Date]],Database!$A:$E,MATCH($B$1,Database!$A$1:$E$1,),)=0,#N/A,VLOOKUP(Table73[[#This Row],[Date]],Database!$A:$E,MATCH($B$1,Database!$A$1:$E$1,),))</f>
        <v/>
      </c>
      <c r="C1885">
        <f>IF(VLOOKUP(Table73[[#This Row],[Date]],Database!$A:$C,MATCH($C$1,Database!$A$1:$C$1,),)=0,#N/A,VLOOKUP(Table73[[#This Row],[Date]],Database!$A:$C,MATCH($C$1,Database!$A$1:$C$1,),))</f>
        <v/>
      </c>
      <c r="D1885">
        <f>IFERROR(Table73[[#This Row],[United States 10y]]-Table73[[#This Row],[United States 2y]],#N/A)</f>
        <v/>
      </c>
    </row>
    <row r="1886">
      <c r="A1886" s="6">
        <f>Database!A1885</f>
        <v/>
      </c>
      <c r="B1886">
        <f>IF(VLOOKUP(Table73[[#This Row],[Date]],Database!$A:$E,MATCH($B$1,Database!$A$1:$E$1,),)=0,#N/A,VLOOKUP(Table73[[#This Row],[Date]],Database!$A:$E,MATCH($B$1,Database!$A$1:$E$1,),))</f>
        <v/>
      </c>
      <c r="C1886">
        <f>IF(VLOOKUP(Table73[[#This Row],[Date]],Database!$A:$C,MATCH($C$1,Database!$A$1:$C$1,),)=0,#N/A,VLOOKUP(Table73[[#This Row],[Date]],Database!$A:$C,MATCH($C$1,Database!$A$1:$C$1,),))</f>
        <v/>
      </c>
      <c r="D1886">
        <f>IFERROR(Table73[[#This Row],[United States 10y]]-Table73[[#This Row],[United States 2y]],#N/A)</f>
        <v/>
      </c>
    </row>
    <row r="1887">
      <c r="A1887" s="6">
        <f>Database!A1886</f>
        <v/>
      </c>
      <c r="B1887">
        <f>IF(VLOOKUP(Table73[[#This Row],[Date]],Database!$A:$E,MATCH($B$1,Database!$A$1:$E$1,),)=0,#N/A,VLOOKUP(Table73[[#This Row],[Date]],Database!$A:$E,MATCH($B$1,Database!$A$1:$E$1,),))</f>
        <v/>
      </c>
      <c r="C1887">
        <f>IF(VLOOKUP(Table73[[#This Row],[Date]],Database!$A:$C,MATCH($C$1,Database!$A$1:$C$1,),)=0,#N/A,VLOOKUP(Table73[[#This Row],[Date]],Database!$A:$C,MATCH($C$1,Database!$A$1:$C$1,),))</f>
        <v/>
      </c>
      <c r="D1887">
        <f>IFERROR(Table73[[#This Row],[United States 10y]]-Table73[[#This Row],[United States 2y]],#N/A)</f>
        <v/>
      </c>
    </row>
    <row r="1888">
      <c r="A1888" s="6">
        <f>Database!A1887</f>
        <v/>
      </c>
      <c r="B1888">
        <f>IF(VLOOKUP(Table73[[#This Row],[Date]],Database!$A:$E,MATCH($B$1,Database!$A$1:$E$1,),)=0,#N/A,VLOOKUP(Table73[[#This Row],[Date]],Database!$A:$E,MATCH($B$1,Database!$A$1:$E$1,),))</f>
        <v/>
      </c>
      <c r="C1888">
        <f>IF(VLOOKUP(Table73[[#This Row],[Date]],Database!$A:$C,MATCH($C$1,Database!$A$1:$C$1,),)=0,#N/A,VLOOKUP(Table73[[#This Row],[Date]],Database!$A:$C,MATCH($C$1,Database!$A$1:$C$1,),))</f>
        <v/>
      </c>
      <c r="D1888">
        <f>IFERROR(Table73[[#This Row],[United States 10y]]-Table73[[#This Row],[United States 2y]],#N/A)</f>
        <v/>
      </c>
    </row>
    <row r="1889">
      <c r="A1889" s="6">
        <f>Database!A1888</f>
        <v/>
      </c>
      <c r="B1889">
        <f>IF(VLOOKUP(Table73[[#This Row],[Date]],Database!$A:$E,MATCH($B$1,Database!$A$1:$E$1,),)=0,#N/A,VLOOKUP(Table73[[#This Row],[Date]],Database!$A:$E,MATCH($B$1,Database!$A$1:$E$1,),))</f>
        <v/>
      </c>
      <c r="C1889">
        <f>IF(VLOOKUP(Table73[[#This Row],[Date]],Database!$A:$C,MATCH($C$1,Database!$A$1:$C$1,),)=0,#N/A,VLOOKUP(Table73[[#This Row],[Date]],Database!$A:$C,MATCH($C$1,Database!$A$1:$C$1,),))</f>
        <v/>
      </c>
      <c r="D1889">
        <f>IFERROR(Table73[[#This Row],[United States 10y]]-Table73[[#This Row],[United States 2y]],#N/A)</f>
        <v/>
      </c>
    </row>
    <row r="1890">
      <c r="A1890" s="6">
        <f>Database!A1889</f>
        <v/>
      </c>
      <c r="B1890">
        <f>IF(VLOOKUP(Table73[[#This Row],[Date]],Database!$A:$E,MATCH($B$1,Database!$A$1:$E$1,),)=0,#N/A,VLOOKUP(Table73[[#This Row],[Date]],Database!$A:$E,MATCH($B$1,Database!$A$1:$E$1,),))</f>
        <v/>
      </c>
      <c r="C1890">
        <f>IF(VLOOKUP(Table73[[#This Row],[Date]],Database!$A:$C,MATCH($C$1,Database!$A$1:$C$1,),)=0,#N/A,VLOOKUP(Table73[[#This Row],[Date]],Database!$A:$C,MATCH($C$1,Database!$A$1:$C$1,),))</f>
        <v/>
      </c>
      <c r="D1890">
        <f>IFERROR(Table73[[#This Row],[United States 10y]]-Table73[[#This Row],[United States 2y]],#N/A)</f>
        <v/>
      </c>
    </row>
    <row r="1891">
      <c r="A1891" s="6">
        <f>Database!A1890</f>
        <v/>
      </c>
      <c r="B1891">
        <f>IF(VLOOKUP(Table73[[#This Row],[Date]],Database!$A:$E,MATCH($B$1,Database!$A$1:$E$1,),)=0,#N/A,VLOOKUP(Table73[[#This Row],[Date]],Database!$A:$E,MATCH($B$1,Database!$A$1:$E$1,),))</f>
        <v/>
      </c>
      <c r="C1891">
        <f>IF(VLOOKUP(Table73[[#This Row],[Date]],Database!$A:$C,MATCH($C$1,Database!$A$1:$C$1,),)=0,#N/A,VLOOKUP(Table73[[#This Row],[Date]],Database!$A:$C,MATCH($C$1,Database!$A$1:$C$1,),))</f>
        <v/>
      </c>
      <c r="D1891">
        <f>IFERROR(Table73[[#This Row],[United States 10y]]-Table73[[#This Row],[United States 2y]],#N/A)</f>
        <v/>
      </c>
    </row>
    <row r="1892">
      <c r="A1892" s="6">
        <f>Database!A1891</f>
        <v/>
      </c>
      <c r="B1892">
        <f>IF(VLOOKUP(Table73[[#This Row],[Date]],Database!$A:$E,MATCH($B$1,Database!$A$1:$E$1,),)=0,#N/A,VLOOKUP(Table73[[#This Row],[Date]],Database!$A:$E,MATCH($B$1,Database!$A$1:$E$1,),))</f>
        <v/>
      </c>
      <c r="C1892">
        <f>IF(VLOOKUP(Table73[[#This Row],[Date]],Database!$A:$C,MATCH($C$1,Database!$A$1:$C$1,),)=0,#N/A,VLOOKUP(Table73[[#This Row],[Date]],Database!$A:$C,MATCH($C$1,Database!$A$1:$C$1,),))</f>
        <v/>
      </c>
      <c r="D1892">
        <f>IFERROR(Table73[[#This Row],[United States 10y]]-Table73[[#This Row],[United States 2y]],#N/A)</f>
        <v/>
      </c>
    </row>
    <row r="1893">
      <c r="A1893" s="6">
        <f>Database!A1892</f>
        <v/>
      </c>
      <c r="B1893">
        <f>IF(VLOOKUP(Table73[[#This Row],[Date]],Database!$A:$E,MATCH($B$1,Database!$A$1:$E$1,),)=0,#N/A,VLOOKUP(Table73[[#This Row],[Date]],Database!$A:$E,MATCH($B$1,Database!$A$1:$E$1,),))</f>
        <v/>
      </c>
      <c r="C1893">
        <f>IF(VLOOKUP(Table73[[#This Row],[Date]],Database!$A:$C,MATCH($C$1,Database!$A$1:$C$1,),)=0,#N/A,VLOOKUP(Table73[[#This Row],[Date]],Database!$A:$C,MATCH($C$1,Database!$A$1:$C$1,),))</f>
        <v/>
      </c>
      <c r="D1893">
        <f>IFERROR(Table73[[#This Row],[United States 10y]]-Table73[[#This Row],[United States 2y]],#N/A)</f>
        <v/>
      </c>
    </row>
    <row r="1894">
      <c r="A1894" s="6">
        <f>Database!A1893</f>
        <v/>
      </c>
      <c r="B1894">
        <f>IF(VLOOKUP(Table73[[#This Row],[Date]],Database!$A:$E,MATCH($B$1,Database!$A$1:$E$1,),)=0,#N/A,VLOOKUP(Table73[[#This Row],[Date]],Database!$A:$E,MATCH($B$1,Database!$A$1:$E$1,),))</f>
        <v/>
      </c>
      <c r="C1894">
        <f>IF(VLOOKUP(Table73[[#This Row],[Date]],Database!$A:$C,MATCH($C$1,Database!$A$1:$C$1,),)=0,#N/A,VLOOKUP(Table73[[#This Row],[Date]],Database!$A:$C,MATCH($C$1,Database!$A$1:$C$1,),))</f>
        <v/>
      </c>
      <c r="D1894">
        <f>IFERROR(Table73[[#This Row],[United States 10y]]-Table73[[#This Row],[United States 2y]],#N/A)</f>
        <v/>
      </c>
    </row>
    <row r="1895">
      <c r="A1895" s="6">
        <f>Database!A1894</f>
        <v/>
      </c>
      <c r="B1895">
        <f>IF(VLOOKUP(Table73[[#This Row],[Date]],Database!$A:$E,MATCH($B$1,Database!$A$1:$E$1,),)=0,#N/A,VLOOKUP(Table73[[#This Row],[Date]],Database!$A:$E,MATCH($B$1,Database!$A$1:$E$1,),))</f>
        <v/>
      </c>
      <c r="C1895">
        <f>IF(VLOOKUP(Table73[[#This Row],[Date]],Database!$A:$C,MATCH($C$1,Database!$A$1:$C$1,),)=0,#N/A,VLOOKUP(Table73[[#This Row],[Date]],Database!$A:$C,MATCH($C$1,Database!$A$1:$C$1,),))</f>
        <v/>
      </c>
      <c r="D1895">
        <f>IFERROR(Table73[[#This Row],[United States 10y]]-Table73[[#This Row],[United States 2y]],#N/A)</f>
        <v/>
      </c>
    </row>
    <row r="1896">
      <c r="A1896" s="6">
        <f>Database!A1895</f>
        <v/>
      </c>
      <c r="B1896">
        <f>IF(VLOOKUP(Table73[[#This Row],[Date]],Database!$A:$E,MATCH($B$1,Database!$A$1:$E$1,),)=0,#N/A,VLOOKUP(Table73[[#This Row],[Date]],Database!$A:$E,MATCH($B$1,Database!$A$1:$E$1,),))</f>
        <v/>
      </c>
      <c r="C1896">
        <f>IF(VLOOKUP(Table73[[#This Row],[Date]],Database!$A:$C,MATCH($C$1,Database!$A$1:$C$1,),)=0,#N/A,VLOOKUP(Table73[[#This Row],[Date]],Database!$A:$C,MATCH($C$1,Database!$A$1:$C$1,),))</f>
        <v/>
      </c>
      <c r="D1896">
        <f>IFERROR(Table73[[#This Row],[United States 10y]]-Table73[[#This Row],[United States 2y]],#N/A)</f>
        <v/>
      </c>
    </row>
    <row r="1897">
      <c r="A1897" s="6">
        <f>Database!A1896</f>
        <v/>
      </c>
      <c r="B1897">
        <f>IF(VLOOKUP(Table73[[#This Row],[Date]],Database!$A:$E,MATCH($B$1,Database!$A$1:$E$1,),)=0,#N/A,VLOOKUP(Table73[[#This Row],[Date]],Database!$A:$E,MATCH($B$1,Database!$A$1:$E$1,),))</f>
        <v/>
      </c>
      <c r="C1897">
        <f>IF(VLOOKUP(Table73[[#This Row],[Date]],Database!$A:$C,MATCH($C$1,Database!$A$1:$C$1,),)=0,#N/A,VLOOKUP(Table73[[#This Row],[Date]],Database!$A:$C,MATCH($C$1,Database!$A$1:$C$1,),))</f>
        <v/>
      </c>
      <c r="D1897">
        <f>IFERROR(Table73[[#This Row],[United States 10y]]-Table73[[#This Row],[United States 2y]],#N/A)</f>
        <v/>
      </c>
    </row>
    <row r="1898">
      <c r="A1898" s="6">
        <f>Database!A1897</f>
        <v/>
      </c>
      <c r="B1898">
        <f>IF(VLOOKUP(Table73[[#This Row],[Date]],Database!$A:$E,MATCH($B$1,Database!$A$1:$E$1,),)=0,#N/A,VLOOKUP(Table73[[#This Row],[Date]],Database!$A:$E,MATCH($B$1,Database!$A$1:$E$1,),))</f>
        <v/>
      </c>
      <c r="C1898">
        <f>IF(VLOOKUP(Table73[[#This Row],[Date]],Database!$A:$C,MATCH($C$1,Database!$A$1:$C$1,),)=0,#N/A,VLOOKUP(Table73[[#This Row],[Date]],Database!$A:$C,MATCH($C$1,Database!$A$1:$C$1,),))</f>
        <v/>
      </c>
      <c r="D1898">
        <f>IFERROR(Table73[[#This Row],[United States 10y]]-Table73[[#This Row],[United States 2y]],#N/A)</f>
        <v/>
      </c>
    </row>
    <row r="1899">
      <c r="A1899" s="6">
        <f>Database!A1898</f>
        <v/>
      </c>
      <c r="B1899">
        <f>IF(VLOOKUP(Table73[[#This Row],[Date]],Database!$A:$E,MATCH($B$1,Database!$A$1:$E$1,),)=0,#N/A,VLOOKUP(Table73[[#This Row],[Date]],Database!$A:$E,MATCH($B$1,Database!$A$1:$E$1,),))</f>
        <v/>
      </c>
      <c r="C1899">
        <f>IF(VLOOKUP(Table73[[#This Row],[Date]],Database!$A:$C,MATCH($C$1,Database!$A$1:$C$1,),)=0,#N/A,VLOOKUP(Table73[[#This Row],[Date]],Database!$A:$C,MATCH($C$1,Database!$A$1:$C$1,),))</f>
        <v/>
      </c>
      <c r="D1899">
        <f>IFERROR(Table73[[#This Row],[United States 10y]]-Table73[[#This Row],[United States 2y]],#N/A)</f>
        <v/>
      </c>
    </row>
    <row r="1900">
      <c r="A1900" s="6">
        <f>Database!A1899</f>
        <v/>
      </c>
      <c r="B1900">
        <f>IF(VLOOKUP(Table73[[#This Row],[Date]],Database!$A:$E,MATCH($B$1,Database!$A$1:$E$1,),)=0,#N/A,VLOOKUP(Table73[[#This Row],[Date]],Database!$A:$E,MATCH($B$1,Database!$A$1:$E$1,),))</f>
        <v/>
      </c>
      <c r="C1900">
        <f>IF(VLOOKUP(Table73[[#This Row],[Date]],Database!$A:$C,MATCH($C$1,Database!$A$1:$C$1,),)=0,#N/A,VLOOKUP(Table73[[#This Row],[Date]],Database!$A:$C,MATCH($C$1,Database!$A$1:$C$1,),))</f>
        <v/>
      </c>
      <c r="D1900">
        <f>IFERROR(Table73[[#This Row],[United States 10y]]-Table73[[#This Row],[United States 2y]],#N/A)</f>
        <v/>
      </c>
    </row>
    <row r="1901">
      <c r="A1901" s="6">
        <f>Database!A1900</f>
        <v/>
      </c>
      <c r="B1901">
        <f>IF(VLOOKUP(Table73[[#This Row],[Date]],Database!$A:$E,MATCH($B$1,Database!$A$1:$E$1,),)=0,#N/A,VLOOKUP(Table73[[#This Row],[Date]],Database!$A:$E,MATCH($B$1,Database!$A$1:$E$1,),))</f>
        <v/>
      </c>
      <c r="C1901">
        <f>IF(VLOOKUP(Table73[[#This Row],[Date]],Database!$A:$C,MATCH($C$1,Database!$A$1:$C$1,),)=0,#N/A,VLOOKUP(Table73[[#This Row],[Date]],Database!$A:$C,MATCH($C$1,Database!$A$1:$C$1,),))</f>
        <v/>
      </c>
      <c r="D1901">
        <f>IFERROR(Table73[[#This Row],[United States 10y]]-Table73[[#This Row],[United States 2y]],#N/A)</f>
        <v/>
      </c>
    </row>
    <row r="1902">
      <c r="A1902" s="6">
        <f>Database!A1901</f>
        <v/>
      </c>
      <c r="B1902">
        <f>IF(VLOOKUP(Table73[[#This Row],[Date]],Database!$A:$E,MATCH($B$1,Database!$A$1:$E$1,),)=0,#N/A,VLOOKUP(Table73[[#This Row],[Date]],Database!$A:$E,MATCH($B$1,Database!$A$1:$E$1,),))</f>
        <v/>
      </c>
      <c r="C1902">
        <f>IF(VLOOKUP(Table73[[#This Row],[Date]],Database!$A:$C,MATCH($C$1,Database!$A$1:$C$1,),)=0,#N/A,VLOOKUP(Table73[[#This Row],[Date]],Database!$A:$C,MATCH($C$1,Database!$A$1:$C$1,),))</f>
        <v/>
      </c>
      <c r="D1902">
        <f>IFERROR(Table73[[#This Row],[United States 10y]]-Table73[[#This Row],[United States 2y]],#N/A)</f>
        <v/>
      </c>
    </row>
    <row r="1903">
      <c r="A1903" s="6">
        <f>Database!A1902</f>
        <v/>
      </c>
      <c r="B1903">
        <f>IF(VLOOKUP(Table73[[#This Row],[Date]],Database!$A:$E,MATCH($B$1,Database!$A$1:$E$1,),)=0,#N/A,VLOOKUP(Table73[[#This Row],[Date]],Database!$A:$E,MATCH($B$1,Database!$A$1:$E$1,),))</f>
        <v/>
      </c>
      <c r="C1903">
        <f>IF(VLOOKUP(Table73[[#This Row],[Date]],Database!$A:$C,MATCH($C$1,Database!$A$1:$C$1,),)=0,#N/A,VLOOKUP(Table73[[#This Row],[Date]],Database!$A:$C,MATCH($C$1,Database!$A$1:$C$1,),))</f>
        <v/>
      </c>
      <c r="D1903">
        <f>IFERROR(Table73[[#This Row],[United States 10y]]-Table73[[#This Row],[United States 2y]],#N/A)</f>
        <v/>
      </c>
    </row>
    <row r="1904">
      <c r="A1904" s="6">
        <f>Database!A1903</f>
        <v/>
      </c>
      <c r="B1904">
        <f>IF(VLOOKUP(Table73[[#This Row],[Date]],Database!$A:$E,MATCH($B$1,Database!$A$1:$E$1,),)=0,#N/A,VLOOKUP(Table73[[#This Row],[Date]],Database!$A:$E,MATCH($B$1,Database!$A$1:$E$1,),))</f>
        <v/>
      </c>
      <c r="C1904">
        <f>IF(VLOOKUP(Table73[[#This Row],[Date]],Database!$A:$C,MATCH($C$1,Database!$A$1:$C$1,),)=0,#N/A,VLOOKUP(Table73[[#This Row],[Date]],Database!$A:$C,MATCH($C$1,Database!$A$1:$C$1,),))</f>
        <v/>
      </c>
      <c r="D1904">
        <f>IFERROR(Table73[[#This Row],[United States 10y]]-Table73[[#This Row],[United States 2y]],#N/A)</f>
        <v/>
      </c>
    </row>
    <row r="1905">
      <c r="A1905" s="6">
        <f>Database!A1904</f>
        <v/>
      </c>
      <c r="B1905">
        <f>IF(VLOOKUP(Table73[[#This Row],[Date]],Database!$A:$E,MATCH($B$1,Database!$A$1:$E$1,),)=0,#N/A,VLOOKUP(Table73[[#This Row],[Date]],Database!$A:$E,MATCH($B$1,Database!$A$1:$E$1,),))</f>
        <v/>
      </c>
      <c r="C1905">
        <f>IF(VLOOKUP(Table73[[#This Row],[Date]],Database!$A:$C,MATCH($C$1,Database!$A$1:$C$1,),)=0,#N/A,VLOOKUP(Table73[[#This Row],[Date]],Database!$A:$C,MATCH($C$1,Database!$A$1:$C$1,),))</f>
        <v/>
      </c>
      <c r="D1905">
        <f>IFERROR(Table73[[#This Row],[United States 10y]]-Table73[[#This Row],[United States 2y]],#N/A)</f>
        <v/>
      </c>
    </row>
    <row r="1906">
      <c r="A1906" s="6">
        <f>Database!A1905</f>
        <v/>
      </c>
      <c r="B1906">
        <f>IF(VLOOKUP(Table73[[#This Row],[Date]],Database!$A:$E,MATCH($B$1,Database!$A$1:$E$1,),)=0,#N/A,VLOOKUP(Table73[[#This Row],[Date]],Database!$A:$E,MATCH($B$1,Database!$A$1:$E$1,),))</f>
        <v/>
      </c>
      <c r="C1906">
        <f>IF(VLOOKUP(Table73[[#This Row],[Date]],Database!$A:$C,MATCH($C$1,Database!$A$1:$C$1,),)=0,#N/A,VLOOKUP(Table73[[#This Row],[Date]],Database!$A:$C,MATCH($C$1,Database!$A$1:$C$1,),))</f>
        <v/>
      </c>
      <c r="D1906">
        <f>IFERROR(Table73[[#This Row],[United States 10y]]-Table73[[#This Row],[United States 2y]],#N/A)</f>
        <v/>
      </c>
    </row>
    <row r="1907">
      <c r="A1907" s="6">
        <f>Database!A1906</f>
        <v/>
      </c>
      <c r="B1907">
        <f>IF(VLOOKUP(Table73[[#This Row],[Date]],Database!$A:$E,MATCH($B$1,Database!$A$1:$E$1,),)=0,#N/A,VLOOKUP(Table73[[#This Row],[Date]],Database!$A:$E,MATCH($B$1,Database!$A$1:$E$1,),))</f>
        <v/>
      </c>
      <c r="C1907">
        <f>IF(VLOOKUP(Table73[[#This Row],[Date]],Database!$A:$C,MATCH($C$1,Database!$A$1:$C$1,),)=0,#N/A,VLOOKUP(Table73[[#This Row],[Date]],Database!$A:$C,MATCH($C$1,Database!$A$1:$C$1,),))</f>
        <v/>
      </c>
      <c r="D1907">
        <f>IFERROR(Table73[[#This Row],[United States 10y]]-Table73[[#This Row],[United States 2y]],#N/A)</f>
        <v/>
      </c>
    </row>
    <row r="1908">
      <c r="A1908" s="6">
        <f>Database!A1907</f>
        <v/>
      </c>
      <c r="B1908">
        <f>IF(VLOOKUP(Table73[[#This Row],[Date]],Database!$A:$E,MATCH($B$1,Database!$A$1:$E$1,),)=0,#N/A,VLOOKUP(Table73[[#This Row],[Date]],Database!$A:$E,MATCH($B$1,Database!$A$1:$E$1,),))</f>
        <v/>
      </c>
      <c r="C1908">
        <f>IF(VLOOKUP(Table73[[#This Row],[Date]],Database!$A:$C,MATCH($C$1,Database!$A$1:$C$1,),)=0,#N/A,VLOOKUP(Table73[[#This Row],[Date]],Database!$A:$C,MATCH($C$1,Database!$A$1:$C$1,),))</f>
        <v/>
      </c>
      <c r="D1908">
        <f>IFERROR(Table73[[#This Row],[United States 10y]]-Table73[[#This Row],[United States 2y]],#N/A)</f>
        <v/>
      </c>
    </row>
    <row r="1909">
      <c r="A1909" s="6">
        <f>Database!A1908</f>
        <v/>
      </c>
      <c r="B1909">
        <f>IF(VLOOKUP(Table73[[#This Row],[Date]],Database!$A:$E,MATCH($B$1,Database!$A$1:$E$1,),)=0,#N/A,VLOOKUP(Table73[[#This Row],[Date]],Database!$A:$E,MATCH($B$1,Database!$A$1:$E$1,),))</f>
        <v/>
      </c>
      <c r="C1909">
        <f>IF(VLOOKUP(Table73[[#This Row],[Date]],Database!$A:$C,MATCH($C$1,Database!$A$1:$C$1,),)=0,#N/A,VLOOKUP(Table73[[#This Row],[Date]],Database!$A:$C,MATCH($C$1,Database!$A$1:$C$1,),))</f>
        <v/>
      </c>
      <c r="D1909">
        <f>IFERROR(Table73[[#This Row],[United States 10y]]-Table73[[#This Row],[United States 2y]],#N/A)</f>
        <v/>
      </c>
    </row>
    <row r="1910">
      <c r="A1910" s="6">
        <f>Database!A1909</f>
        <v/>
      </c>
      <c r="B1910">
        <f>IF(VLOOKUP(Table73[[#This Row],[Date]],Database!$A:$E,MATCH($B$1,Database!$A$1:$E$1,),)=0,#N/A,VLOOKUP(Table73[[#This Row],[Date]],Database!$A:$E,MATCH($B$1,Database!$A$1:$E$1,),))</f>
        <v/>
      </c>
      <c r="C1910">
        <f>IF(VLOOKUP(Table73[[#This Row],[Date]],Database!$A:$C,MATCH($C$1,Database!$A$1:$C$1,),)=0,#N/A,VLOOKUP(Table73[[#This Row],[Date]],Database!$A:$C,MATCH($C$1,Database!$A$1:$C$1,),))</f>
        <v/>
      </c>
      <c r="D1910">
        <f>IFERROR(Table73[[#This Row],[United States 10y]]-Table73[[#This Row],[United States 2y]],#N/A)</f>
        <v/>
      </c>
    </row>
    <row r="1911">
      <c r="A1911" s="6">
        <f>Database!A1910</f>
        <v/>
      </c>
      <c r="B1911">
        <f>IF(VLOOKUP(Table73[[#This Row],[Date]],Database!$A:$E,MATCH($B$1,Database!$A$1:$E$1,),)=0,#N/A,VLOOKUP(Table73[[#This Row],[Date]],Database!$A:$E,MATCH($B$1,Database!$A$1:$E$1,),))</f>
        <v/>
      </c>
      <c r="C1911">
        <f>IF(VLOOKUP(Table73[[#This Row],[Date]],Database!$A:$C,MATCH($C$1,Database!$A$1:$C$1,),)=0,#N/A,VLOOKUP(Table73[[#This Row],[Date]],Database!$A:$C,MATCH($C$1,Database!$A$1:$C$1,),))</f>
        <v/>
      </c>
      <c r="D1911">
        <f>IFERROR(Table73[[#This Row],[United States 10y]]-Table73[[#This Row],[United States 2y]],#N/A)</f>
        <v/>
      </c>
    </row>
    <row r="1912">
      <c r="A1912" s="6">
        <f>Database!A1911</f>
        <v/>
      </c>
      <c r="B1912">
        <f>IF(VLOOKUP(Table73[[#This Row],[Date]],Database!$A:$E,MATCH($B$1,Database!$A$1:$E$1,),)=0,#N/A,VLOOKUP(Table73[[#This Row],[Date]],Database!$A:$E,MATCH($B$1,Database!$A$1:$E$1,),))</f>
        <v/>
      </c>
      <c r="C1912">
        <f>IF(VLOOKUP(Table73[[#This Row],[Date]],Database!$A:$C,MATCH($C$1,Database!$A$1:$C$1,),)=0,#N/A,VLOOKUP(Table73[[#This Row],[Date]],Database!$A:$C,MATCH($C$1,Database!$A$1:$C$1,),))</f>
        <v/>
      </c>
      <c r="D1912">
        <f>IFERROR(Table73[[#This Row],[United States 10y]]-Table73[[#This Row],[United States 2y]],#N/A)</f>
        <v/>
      </c>
    </row>
    <row r="1913">
      <c r="A1913" s="6">
        <f>Database!A1912</f>
        <v/>
      </c>
      <c r="B1913">
        <f>IF(VLOOKUP(Table73[[#This Row],[Date]],Database!$A:$E,MATCH($B$1,Database!$A$1:$E$1,),)=0,#N/A,VLOOKUP(Table73[[#This Row],[Date]],Database!$A:$E,MATCH($B$1,Database!$A$1:$E$1,),))</f>
        <v/>
      </c>
      <c r="C1913">
        <f>IF(VLOOKUP(Table73[[#This Row],[Date]],Database!$A:$C,MATCH($C$1,Database!$A$1:$C$1,),)=0,#N/A,VLOOKUP(Table73[[#This Row],[Date]],Database!$A:$C,MATCH($C$1,Database!$A$1:$C$1,),))</f>
        <v/>
      </c>
      <c r="D1913">
        <f>IFERROR(Table73[[#This Row],[United States 10y]]-Table73[[#This Row],[United States 2y]],#N/A)</f>
        <v/>
      </c>
    </row>
    <row r="1914">
      <c r="A1914" s="6">
        <f>Database!A1913</f>
        <v/>
      </c>
      <c r="B1914">
        <f>IF(VLOOKUP(Table73[[#This Row],[Date]],Database!$A:$E,MATCH($B$1,Database!$A$1:$E$1,),)=0,#N/A,VLOOKUP(Table73[[#This Row],[Date]],Database!$A:$E,MATCH($B$1,Database!$A$1:$E$1,),))</f>
        <v/>
      </c>
      <c r="C1914">
        <f>IF(VLOOKUP(Table73[[#This Row],[Date]],Database!$A:$C,MATCH($C$1,Database!$A$1:$C$1,),)=0,#N/A,VLOOKUP(Table73[[#This Row],[Date]],Database!$A:$C,MATCH($C$1,Database!$A$1:$C$1,),))</f>
        <v/>
      </c>
      <c r="D1914">
        <f>IFERROR(Table73[[#This Row],[United States 10y]]-Table73[[#This Row],[United States 2y]],#N/A)</f>
        <v/>
      </c>
    </row>
    <row r="1915">
      <c r="A1915" s="6">
        <f>Database!A1914</f>
        <v/>
      </c>
      <c r="B1915">
        <f>IF(VLOOKUP(Table73[[#This Row],[Date]],Database!$A:$E,MATCH($B$1,Database!$A$1:$E$1,),)=0,#N/A,VLOOKUP(Table73[[#This Row],[Date]],Database!$A:$E,MATCH($B$1,Database!$A$1:$E$1,),))</f>
        <v/>
      </c>
      <c r="C1915">
        <f>IF(VLOOKUP(Table73[[#This Row],[Date]],Database!$A:$C,MATCH($C$1,Database!$A$1:$C$1,),)=0,#N/A,VLOOKUP(Table73[[#This Row],[Date]],Database!$A:$C,MATCH($C$1,Database!$A$1:$C$1,),))</f>
        <v/>
      </c>
      <c r="D1915">
        <f>IFERROR(Table73[[#This Row],[United States 10y]]-Table73[[#This Row],[United States 2y]],#N/A)</f>
        <v/>
      </c>
    </row>
    <row r="1916">
      <c r="A1916" s="6">
        <f>Database!A1915</f>
        <v/>
      </c>
      <c r="B1916">
        <f>IF(VLOOKUP(Table73[[#This Row],[Date]],Database!$A:$E,MATCH($B$1,Database!$A$1:$E$1,),)=0,#N/A,VLOOKUP(Table73[[#This Row],[Date]],Database!$A:$E,MATCH($B$1,Database!$A$1:$E$1,),))</f>
        <v/>
      </c>
      <c r="C1916">
        <f>IF(VLOOKUP(Table73[[#This Row],[Date]],Database!$A:$C,MATCH($C$1,Database!$A$1:$C$1,),)=0,#N/A,VLOOKUP(Table73[[#This Row],[Date]],Database!$A:$C,MATCH($C$1,Database!$A$1:$C$1,),))</f>
        <v/>
      </c>
      <c r="D1916">
        <f>IFERROR(Table73[[#This Row],[United States 10y]]-Table73[[#This Row],[United States 2y]],#N/A)</f>
        <v/>
      </c>
    </row>
    <row r="1917">
      <c r="A1917" s="6">
        <f>Database!A1916</f>
        <v/>
      </c>
      <c r="B1917">
        <f>IF(VLOOKUP(Table73[[#This Row],[Date]],Database!$A:$E,MATCH($B$1,Database!$A$1:$E$1,),)=0,#N/A,VLOOKUP(Table73[[#This Row],[Date]],Database!$A:$E,MATCH($B$1,Database!$A$1:$E$1,),))</f>
        <v/>
      </c>
      <c r="C1917">
        <f>IF(VLOOKUP(Table73[[#This Row],[Date]],Database!$A:$C,MATCH($C$1,Database!$A$1:$C$1,),)=0,#N/A,VLOOKUP(Table73[[#This Row],[Date]],Database!$A:$C,MATCH($C$1,Database!$A$1:$C$1,),))</f>
        <v/>
      </c>
      <c r="D1917">
        <f>IFERROR(Table73[[#This Row],[United States 10y]]-Table73[[#This Row],[United States 2y]],#N/A)</f>
        <v/>
      </c>
    </row>
    <row r="1918">
      <c r="A1918" s="6">
        <f>Database!A1917</f>
        <v/>
      </c>
      <c r="B1918">
        <f>IF(VLOOKUP(Table73[[#This Row],[Date]],Database!$A:$E,MATCH($B$1,Database!$A$1:$E$1,),)=0,#N/A,VLOOKUP(Table73[[#This Row],[Date]],Database!$A:$E,MATCH($B$1,Database!$A$1:$E$1,),))</f>
        <v/>
      </c>
      <c r="C1918">
        <f>IF(VLOOKUP(Table73[[#This Row],[Date]],Database!$A:$C,MATCH($C$1,Database!$A$1:$C$1,),)=0,#N/A,VLOOKUP(Table73[[#This Row],[Date]],Database!$A:$C,MATCH($C$1,Database!$A$1:$C$1,),))</f>
        <v/>
      </c>
      <c r="D1918">
        <f>IFERROR(Table73[[#This Row],[United States 10y]]-Table73[[#This Row],[United States 2y]],#N/A)</f>
        <v/>
      </c>
    </row>
    <row r="1919">
      <c r="A1919" s="6">
        <f>Database!A1918</f>
        <v/>
      </c>
      <c r="B1919">
        <f>IF(VLOOKUP(Table73[[#This Row],[Date]],Database!$A:$E,MATCH($B$1,Database!$A$1:$E$1,),)=0,#N/A,VLOOKUP(Table73[[#This Row],[Date]],Database!$A:$E,MATCH($B$1,Database!$A$1:$E$1,),))</f>
        <v/>
      </c>
      <c r="C1919">
        <f>IF(VLOOKUP(Table73[[#This Row],[Date]],Database!$A:$C,MATCH($C$1,Database!$A$1:$C$1,),)=0,#N/A,VLOOKUP(Table73[[#This Row],[Date]],Database!$A:$C,MATCH($C$1,Database!$A$1:$C$1,),))</f>
        <v/>
      </c>
      <c r="D1919">
        <f>IFERROR(Table73[[#This Row],[United States 10y]]-Table73[[#This Row],[United States 2y]],#N/A)</f>
        <v/>
      </c>
    </row>
    <row r="1920">
      <c r="A1920" s="6">
        <f>Database!A1919</f>
        <v/>
      </c>
      <c r="B1920">
        <f>IF(VLOOKUP(Table73[[#This Row],[Date]],Database!$A:$E,MATCH($B$1,Database!$A$1:$E$1,),)=0,#N/A,VLOOKUP(Table73[[#This Row],[Date]],Database!$A:$E,MATCH($B$1,Database!$A$1:$E$1,),))</f>
        <v/>
      </c>
      <c r="C1920">
        <f>IF(VLOOKUP(Table73[[#This Row],[Date]],Database!$A:$C,MATCH($C$1,Database!$A$1:$C$1,),)=0,#N/A,VLOOKUP(Table73[[#This Row],[Date]],Database!$A:$C,MATCH($C$1,Database!$A$1:$C$1,),))</f>
        <v/>
      </c>
      <c r="D1920">
        <f>IFERROR(Table73[[#This Row],[United States 10y]]-Table73[[#This Row],[United States 2y]],#N/A)</f>
        <v/>
      </c>
    </row>
    <row r="1921">
      <c r="A1921" s="6">
        <f>Database!A1920</f>
        <v/>
      </c>
      <c r="B1921">
        <f>IF(VLOOKUP(Table73[[#This Row],[Date]],Database!$A:$E,MATCH($B$1,Database!$A$1:$E$1,),)=0,#N/A,VLOOKUP(Table73[[#This Row],[Date]],Database!$A:$E,MATCH($B$1,Database!$A$1:$E$1,),))</f>
        <v/>
      </c>
      <c r="C1921">
        <f>IF(VLOOKUP(Table73[[#This Row],[Date]],Database!$A:$C,MATCH($C$1,Database!$A$1:$C$1,),)=0,#N/A,VLOOKUP(Table73[[#This Row],[Date]],Database!$A:$C,MATCH($C$1,Database!$A$1:$C$1,),))</f>
        <v/>
      </c>
      <c r="D1921">
        <f>IFERROR(Table73[[#This Row],[United States 10y]]-Table73[[#This Row],[United States 2y]],#N/A)</f>
        <v/>
      </c>
    </row>
    <row r="1922">
      <c r="A1922" s="6">
        <f>Database!A1921</f>
        <v/>
      </c>
      <c r="B1922">
        <f>IF(VLOOKUP(Table73[[#This Row],[Date]],Database!$A:$E,MATCH($B$1,Database!$A$1:$E$1,),)=0,#N/A,VLOOKUP(Table73[[#This Row],[Date]],Database!$A:$E,MATCH($B$1,Database!$A$1:$E$1,),))</f>
        <v/>
      </c>
      <c r="C1922">
        <f>IF(VLOOKUP(Table73[[#This Row],[Date]],Database!$A:$C,MATCH($C$1,Database!$A$1:$C$1,),)=0,#N/A,VLOOKUP(Table73[[#This Row],[Date]],Database!$A:$C,MATCH($C$1,Database!$A$1:$C$1,),))</f>
        <v/>
      </c>
      <c r="D1922">
        <f>IFERROR(Table73[[#This Row],[United States 10y]]-Table73[[#This Row],[United States 2y]],#N/A)</f>
        <v/>
      </c>
    </row>
    <row r="1923">
      <c r="A1923" s="6">
        <f>Database!A1922</f>
        <v/>
      </c>
      <c r="B1923">
        <f>IF(VLOOKUP(Table73[[#This Row],[Date]],Database!$A:$E,MATCH($B$1,Database!$A$1:$E$1,),)=0,#N/A,VLOOKUP(Table73[[#This Row],[Date]],Database!$A:$E,MATCH($B$1,Database!$A$1:$E$1,),))</f>
        <v/>
      </c>
      <c r="C1923">
        <f>IF(VLOOKUP(Table73[[#This Row],[Date]],Database!$A:$C,MATCH($C$1,Database!$A$1:$C$1,),)=0,#N/A,VLOOKUP(Table73[[#This Row],[Date]],Database!$A:$C,MATCH($C$1,Database!$A$1:$C$1,),))</f>
        <v/>
      </c>
      <c r="D1923">
        <f>IFERROR(Table73[[#This Row],[United States 10y]]-Table73[[#This Row],[United States 2y]],#N/A)</f>
        <v/>
      </c>
    </row>
    <row r="1924">
      <c r="A1924" s="6">
        <f>Database!A1923</f>
        <v/>
      </c>
      <c r="B1924">
        <f>IF(VLOOKUP(Table73[[#This Row],[Date]],Database!$A:$E,MATCH($B$1,Database!$A$1:$E$1,),)=0,#N/A,VLOOKUP(Table73[[#This Row],[Date]],Database!$A:$E,MATCH($B$1,Database!$A$1:$E$1,),))</f>
        <v/>
      </c>
      <c r="C1924">
        <f>IF(VLOOKUP(Table73[[#This Row],[Date]],Database!$A:$C,MATCH($C$1,Database!$A$1:$C$1,),)=0,#N/A,VLOOKUP(Table73[[#This Row],[Date]],Database!$A:$C,MATCH($C$1,Database!$A$1:$C$1,),))</f>
        <v/>
      </c>
      <c r="D1924">
        <f>IFERROR(Table73[[#This Row],[United States 10y]]-Table73[[#This Row],[United States 2y]],#N/A)</f>
        <v/>
      </c>
    </row>
    <row r="1925">
      <c r="A1925" s="6">
        <f>Database!A1924</f>
        <v/>
      </c>
      <c r="B1925">
        <f>IF(VLOOKUP(Table73[[#This Row],[Date]],Database!$A:$E,MATCH($B$1,Database!$A$1:$E$1,),)=0,#N/A,VLOOKUP(Table73[[#This Row],[Date]],Database!$A:$E,MATCH($B$1,Database!$A$1:$E$1,),))</f>
        <v/>
      </c>
      <c r="C1925">
        <f>IF(VLOOKUP(Table73[[#This Row],[Date]],Database!$A:$C,MATCH($C$1,Database!$A$1:$C$1,),)=0,#N/A,VLOOKUP(Table73[[#This Row],[Date]],Database!$A:$C,MATCH($C$1,Database!$A$1:$C$1,),))</f>
        <v/>
      </c>
      <c r="D1925">
        <f>IFERROR(Table73[[#This Row],[United States 10y]]-Table73[[#This Row],[United States 2y]],#N/A)</f>
        <v/>
      </c>
    </row>
    <row r="1926">
      <c r="A1926" s="6">
        <f>Database!A1925</f>
        <v/>
      </c>
      <c r="B1926">
        <f>IF(VLOOKUP(Table73[[#This Row],[Date]],Database!$A:$E,MATCH($B$1,Database!$A$1:$E$1,),)=0,#N/A,VLOOKUP(Table73[[#This Row],[Date]],Database!$A:$E,MATCH($B$1,Database!$A$1:$E$1,),))</f>
        <v/>
      </c>
      <c r="C1926">
        <f>IF(VLOOKUP(Table73[[#This Row],[Date]],Database!$A:$C,MATCH($C$1,Database!$A$1:$C$1,),)=0,#N/A,VLOOKUP(Table73[[#This Row],[Date]],Database!$A:$C,MATCH($C$1,Database!$A$1:$C$1,),))</f>
        <v/>
      </c>
      <c r="D1926">
        <f>IFERROR(Table73[[#This Row],[United States 10y]]-Table73[[#This Row],[United States 2y]],#N/A)</f>
        <v/>
      </c>
    </row>
    <row r="1927">
      <c r="A1927" s="6">
        <f>Database!A1926</f>
        <v/>
      </c>
      <c r="B1927">
        <f>IF(VLOOKUP(Table73[[#This Row],[Date]],Database!$A:$E,MATCH($B$1,Database!$A$1:$E$1,),)=0,#N/A,VLOOKUP(Table73[[#This Row],[Date]],Database!$A:$E,MATCH($B$1,Database!$A$1:$E$1,),))</f>
        <v/>
      </c>
      <c r="C1927">
        <f>IF(VLOOKUP(Table73[[#This Row],[Date]],Database!$A:$C,MATCH($C$1,Database!$A$1:$C$1,),)=0,#N/A,VLOOKUP(Table73[[#This Row],[Date]],Database!$A:$C,MATCH($C$1,Database!$A$1:$C$1,),))</f>
        <v/>
      </c>
      <c r="D1927">
        <f>IFERROR(Table73[[#This Row],[United States 10y]]-Table73[[#This Row],[United States 2y]],#N/A)</f>
        <v/>
      </c>
    </row>
    <row r="1928">
      <c r="A1928" s="6">
        <f>Database!A1927</f>
        <v/>
      </c>
      <c r="B1928">
        <f>IF(VLOOKUP(Table73[[#This Row],[Date]],Database!$A:$E,MATCH($B$1,Database!$A$1:$E$1,),)=0,#N/A,VLOOKUP(Table73[[#This Row],[Date]],Database!$A:$E,MATCH($B$1,Database!$A$1:$E$1,),))</f>
        <v/>
      </c>
      <c r="C1928">
        <f>IF(VLOOKUP(Table73[[#This Row],[Date]],Database!$A:$C,MATCH($C$1,Database!$A$1:$C$1,),)=0,#N/A,VLOOKUP(Table73[[#This Row],[Date]],Database!$A:$C,MATCH($C$1,Database!$A$1:$C$1,),))</f>
        <v/>
      </c>
      <c r="D1928">
        <f>IFERROR(Table73[[#This Row],[United States 10y]]-Table73[[#This Row],[United States 2y]],#N/A)</f>
        <v/>
      </c>
    </row>
    <row r="1929">
      <c r="A1929" s="6">
        <f>Database!A1928</f>
        <v/>
      </c>
      <c r="B1929">
        <f>IF(VLOOKUP(Table73[[#This Row],[Date]],Database!$A:$E,MATCH($B$1,Database!$A$1:$E$1,),)=0,#N/A,VLOOKUP(Table73[[#This Row],[Date]],Database!$A:$E,MATCH($B$1,Database!$A$1:$E$1,),))</f>
        <v/>
      </c>
      <c r="C1929">
        <f>IF(VLOOKUP(Table73[[#This Row],[Date]],Database!$A:$C,MATCH($C$1,Database!$A$1:$C$1,),)=0,#N/A,VLOOKUP(Table73[[#This Row],[Date]],Database!$A:$C,MATCH($C$1,Database!$A$1:$C$1,),))</f>
        <v/>
      </c>
      <c r="D1929">
        <f>IFERROR(Table73[[#This Row],[United States 10y]]-Table73[[#This Row],[United States 2y]],#N/A)</f>
        <v/>
      </c>
    </row>
    <row r="1930">
      <c r="A1930" s="6">
        <f>Database!A1929</f>
        <v/>
      </c>
      <c r="B1930">
        <f>IF(VLOOKUP(Table73[[#This Row],[Date]],Database!$A:$E,MATCH($B$1,Database!$A$1:$E$1,),)=0,#N/A,VLOOKUP(Table73[[#This Row],[Date]],Database!$A:$E,MATCH($B$1,Database!$A$1:$E$1,),))</f>
        <v/>
      </c>
      <c r="C1930">
        <f>IF(VLOOKUP(Table73[[#This Row],[Date]],Database!$A:$C,MATCH($C$1,Database!$A$1:$C$1,),)=0,#N/A,VLOOKUP(Table73[[#This Row],[Date]],Database!$A:$C,MATCH($C$1,Database!$A$1:$C$1,),))</f>
        <v/>
      </c>
      <c r="D1930">
        <f>IFERROR(Table73[[#This Row],[United States 10y]]-Table73[[#This Row],[United States 2y]],#N/A)</f>
        <v/>
      </c>
    </row>
    <row r="1931">
      <c r="A1931" s="6">
        <f>Database!A1930</f>
        <v/>
      </c>
      <c r="B1931">
        <f>IF(VLOOKUP(Table73[[#This Row],[Date]],Database!$A:$E,MATCH($B$1,Database!$A$1:$E$1,),)=0,#N/A,VLOOKUP(Table73[[#This Row],[Date]],Database!$A:$E,MATCH($B$1,Database!$A$1:$E$1,),))</f>
        <v/>
      </c>
      <c r="C1931">
        <f>IF(VLOOKUP(Table73[[#This Row],[Date]],Database!$A:$C,MATCH($C$1,Database!$A$1:$C$1,),)=0,#N/A,VLOOKUP(Table73[[#This Row],[Date]],Database!$A:$C,MATCH($C$1,Database!$A$1:$C$1,),))</f>
        <v/>
      </c>
      <c r="D1931">
        <f>IFERROR(Table73[[#This Row],[United States 10y]]-Table73[[#This Row],[United States 2y]],#N/A)</f>
        <v/>
      </c>
    </row>
    <row r="1932">
      <c r="A1932" s="6">
        <f>Database!A1931</f>
        <v/>
      </c>
      <c r="B1932">
        <f>IF(VLOOKUP(Table73[[#This Row],[Date]],Database!$A:$E,MATCH($B$1,Database!$A$1:$E$1,),)=0,#N/A,VLOOKUP(Table73[[#This Row],[Date]],Database!$A:$E,MATCH($B$1,Database!$A$1:$E$1,),))</f>
        <v/>
      </c>
      <c r="C1932">
        <f>IF(VLOOKUP(Table73[[#This Row],[Date]],Database!$A:$C,MATCH($C$1,Database!$A$1:$C$1,),)=0,#N/A,VLOOKUP(Table73[[#This Row],[Date]],Database!$A:$C,MATCH($C$1,Database!$A$1:$C$1,),))</f>
        <v/>
      </c>
      <c r="D1932">
        <f>IFERROR(Table73[[#This Row],[United States 10y]]-Table73[[#This Row],[United States 2y]],#N/A)</f>
        <v/>
      </c>
    </row>
    <row r="1933">
      <c r="A1933" s="6">
        <f>Database!A1932</f>
        <v/>
      </c>
      <c r="B1933">
        <f>IF(VLOOKUP(Table73[[#This Row],[Date]],Database!$A:$E,MATCH($B$1,Database!$A$1:$E$1,),)=0,#N/A,VLOOKUP(Table73[[#This Row],[Date]],Database!$A:$E,MATCH($B$1,Database!$A$1:$E$1,),))</f>
        <v/>
      </c>
      <c r="C1933">
        <f>IF(VLOOKUP(Table73[[#This Row],[Date]],Database!$A:$C,MATCH($C$1,Database!$A$1:$C$1,),)=0,#N/A,VLOOKUP(Table73[[#This Row],[Date]],Database!$A:$C,MATCH($C$1,Database!$A$1:$C$1,),))</f>
        <v/>
      </c>
      <c r="D1933">
        <f>IFERROR(Table73[[#This Row],[United States 10y]]-Table73[[#This Row],[United States 2y]],#N/A)</f>
        <v/>
      </c>
    </row>
    <row r="1934">
      <c r="A1934" s="6">
        <f>Database!A1933</f>
        <v/>
      </c>
      <c r="B1934">
        <f>IF(VLOOKUP(Table73[[#This Row],[Date]],Database!$A:$E,MATCH($B$1,Database!$A$1:$E$1,),)=0,#N/A,VLOOKUP(Table73[[#This Row],[Date]],Database!$A:$E,MATCH($B$1,Database!$A$1:$E$1,),))</f>
        <v/>
      </c>
      <c r="C1934">
        <f>IF(VLOOKUP(Table73[[#This Row],[Date]],Database!$A:$C,MATCH($C$1,Database!$A$1:$C$1,),)=0,#N/A,VLOOKUP(Table73[[#This Row],[Date]],Database!$A:$C,MATCH($C$1,Database!$A$1:$C$1,),))</f>
        <v/>
      </c>
      <c r="D1934">
        <f>IFERROR(Table73[[#This Row],[United States 10y]]-Table73[[#This Row],[United States 2y]],#N/A)</f>
        <v/>
      </c>
    </row>
    <row r="1935">
      <c r="A1935" s="6">
        <f>Database!A1934</f>
        <v/>
      </c>
      <c r="B1935">
        <f>IF(VLOOKUP(Table73[[#This Row],[Date]],Database!$A:$E,MATCH($B$1,Database!$A$1:$E$1,),)=0,#N/A,VLOOKUP(Table73[[#This Row],[Date]],Database!$A:$E,MATCH($B$1,Database!$A$1:$E$1,),))</f>
        <v/>
      </c>
      <c r="C1935">
        <f>IF(VLOOKUP(Table73[[#This Row],[Date]],Database!$A:$C,MATCH($C$1,Database!$A$1:$C$1,),)=0,#N/A,VLOOKUP(Table73[[#This Row],[Date]],Database!$A:$C,MATCH($C$1,Database!$A$1:$C$1,),))</f>
        <v/>
      </c>
      <c r="D1935">
        <f>IFERROR(Table73[[#This Row],[United States 10y]]-Table73[[#This Row],[United States 2y]],#N/A)</f>
        <v/>
      </c>
    </row>
    <row r="1936">
      <c r="A1936" s="6">
        <f>Database!A1935</f>
        <v/>
      </c>
      <c r="B1936">
        <f>IF(VLOOKUP(Table73[[#This Row],[Date]],Database!$A:$E,MATCH($B$1,Database!$A$1:$E$1,),)=0,#N/A,VLOOKUP(Table73[[#This Row],[Date]],Database!$A:$E,MATCH($B$1,Database!$A$1:$E$1,),))</f>
        <v/>
      </c>
      <c r="C1936">
        <f>IF(VLOOKUP(Table73[[#This Row],[Date]],Database!$A:$C,MATCH($C$1,Database!$A$1:$C$1,),)=0,#N/A,VLOOKUP(Table73[[#This Row],[Date]],Database!$A:$C,MATCH($C$1,Database!$A$1:$C$1,),))</f>
        <v/>
      </c>
      <c r="D1936">
        <f>IFERROR(Table73[[#This Row],[United States 10y]]-Table73[[#This Row],[United States 2y]],#N/A)</f>
        <v/>
      </c>
    </row>
    <row r="1937">
      <c r="A1937" s="6">
        <f>Database!A1936</f>
        <v/>
      </c>
      <c r="B1937">
        <f>IF(VLOOKUP(Table73[[#This Row],[Date]],Database!$A:$E,MATCH($B$1,Database!$A$1:$E$1,),)=0,#N/A,VLOOKUP(Table73[[#This Row],[Date]],Database!$A:$E,MATCH($B$1,Database!$A$1:$E$1,),))</f>
        <v/>
      </c>
      <c r="C1937">
        <f>IF(VLOOKUP(Table73[[#This Row],[Date]],Database!$A:$C,MATCH($C$1,Database!$A$1:$C$1,),)=0,#N/A,VLOOKUP(Table73[[#This Row],[Date]],Database!$A:$C,MATCH($C$1,Database!$A$1:$C$1,),))</f>
        <v/>
      </c>
      <c r="D1937">
        <f>IFERROR(Table73[[#This Row],[United States 10y]]-Table73[[#This Row],[United States 2y]],#N/A)</f>
        <v/>
      </c>
    </row>
    <row r="1938">
      <c r="A1938" s="6">
        <f>Database!A1937</f>
        <v/>
      </c>
      <c r="B1938">
        <f>IF(VLOOKUP(Table73[[#This Row],[Date]],Database!$A:$E,MATCH($B$1,Database!$A$1:$E$1,),)=0,#N/A,VLOOKUP(Table73[[#This Row],[Date]],Database!$A:$E,MATCH($B$1,Database!$A$1:$E$1,),))</f>
        <v/>
      </c>
      <c r="C1938">
        <f>IF(VLOOKUP(Table73[[#This Row],[Date]],Database!$A:$C,MATCH($C$1,Database!$A$1:$C$1,),)=0,#N/A,VLOOKUP(Table73[[#This Row],[Date]],Database!$A:$C,MATCH($C$1,Database!$A$1:$C$1,),))</f>
        <v/>
      </c>
      <c r="D1938">
        <f>IFERROR(Table73[[#This Row],[United States 10y]]-Table73[[#This Row],[United States 2y]],#N/A)</f>
        <v/>
      </c>
    </row>
    <row r="1939">
      <c r="A1939" s="6">
        <f>Database!A1938</f>
        <v/>
      </c>
      <c r="B1939">
        <f>IF(VLOOKUP(Table73[[#This Row],[Date]],Database!$A:$E,MATCH($B$1,Database!$A$1:$E$1,),)=0,#N/A,VLOOKUP(Table73[[#This Row],[Date]],Database!$A:$E,MATCH($B$1,Database!$A$1:$E$1,),))</f>
        <v/>
      </c>
      <c r="C1939">
        <f>IF(VLOOKUP(Table73[[#This Row],[Date]],Database!$A:$C,MATCH($C$1,Database!$A$1:$C$1,),)=0,#N/A,VLOOKUP(Table73[[#This Row],[Date]],Database!$A:$C,MATCH($C$1,Database!$A$1:$C$1,),))</f>
        <v/>
      </c>
      <c r="D1939">
        <f>IFERROR(Table73[[#This Row],[United States 10y]]-Table73[[#This Row],[United States 2y]],#N/A)</f>
        <v/>
      </c>
    </row>
    <row r="1940">
      <c r="A1940" s="6">
        <f>Database!A1939</f>
        <v/>
      </c>
      <c r="B1940">
        <f>IF(VLOOKUP(Table73[[#This Row],[Date]],Database!$A:$E,MATCH($B$1,Database!$A$1:$E$1,),)=0,#N/A,VLOOKUP(Table73[[#This Row],[Date]],Database!$A:$E,MATCH($B$1,Database!$A$1:$E$1,),))</f>
        <v/>
      </c>
      <c r="C1940">
        <f>IF(VLOOKUP(Table73[[#This Row],[Date]],Database!$A:$C,MATCH($C$1,Database!$A$1:$C$1,),)=0,#N/A,VLOOKUP(Table73[[#This Row],[Date]],Database!$A:$C,MATCH($C$1,Database!$A$1:$C$1,),))</f>
        <v/>
      </c>
      <c r="D1940">
        <f>IFERROR(Table73[[#This Row],[United States 10y]]-Table73[[#This Row],[United States 2y]],#N/A)</f>
        <v/>
      </c>
    </row>
    <row r="1941">
      <c r="A1941" s="6">
        <f>Database!A1940</f>
        <v/>
      </c>
      <c r="B1941">
        <f>IF(VLOOKUP(Table73[[#This Row],[Date]],Database!$A:$E,MATCH($B$1,Database!$A$1:$E$1,),)=0,#N/A,VLOOKUP(Table73[[#This Row],[Date]],Database!$A:$E,MATCH($B$1,Database!$A$1:$E$1,),))</f>
        <v/>
      </c>
      <c r="C1941">
        <f>IF(VLOOKUP(Table73[[#This Row],[Date]],Database!$A:$C,MATCH($C$1,Database!$A$1:$C$1,),)=0,#N/A,VLOOKUP(Table73[[#This Row],[Date]],Database!$A:$C,MATCH($C$1,Database!$A$1:$C$1,),))</f>
        <v/>
      </c>
      <c r="D1941">
        <f>IFERROR(Table73[[#This Row],[United States 10y]]-Table73[[#This Row],[United States 2y]],#N/A)</f>
        <v/>
      </c>
    </row>
    <row r="1942">
      <c r="A1942" s="6">
        <f>Database!A1941</f>
        <v/>
      </c>
      <c r="B1942">
        <f>IF(VLOOKUP(Table73[[#This Row],[Date]],Database!$A:$E,MATCH($B$1,Database!$A$1:$E$1,),)=0,#N/A,VLOOKUP(Table73[[#This Row],[Date]],Database!$A:$E,MATCH($B$1,Database!$A$1:$E$1,),))</f>
        <v/>
      </c>
      <c r="C1942">
        <f>IF(VLOOKUP(Table73[[#This Row],[Date]],Database!$A:$C,MATCH($C$1,Database!$A$1:$C$1,),)=0,#N/A,VLOOKUP(Table73[[#This Row],[Date]],Database!$A:$C,MATCH($C$1,Database!$A$1:$C$1,),))</f>
        <v/>
      </c>
      <c r="D1942">
        <f>IFERROR(Table73[[#This Row],[United States 10y]]-Table73[[#This Row],[United States 2y]],#N/A)</f>
        <v/>
      </c>
    </row>
    <row r="1943">
      <c r="A1943" s="6">
        <f>Database!A1942</f>
        <v/>
      </c>
      <c r="B1943">
        <f>IF(VLOOKUP(Table73[[#This Row],[Date]],Database!$A:$E,MATCH($B$1,Database!$A$1:$E$1,),)=0,#N/A,VLOOKUP(Table73[[#This Row],[Date]],Database!$A:$E,MATCH($B$1,Database!$A$1:$E$1,),))</f>
        <v/>
      </c>
      <c r="C1943">
        <f>IF(VLOOKUP(Table73[[#This Row],[Date]],Database!$A:$C,MATCH($C$1,Database!$A$1:$C$1,),)=0,#N/A,VLOOKUP(Table73[[#This Row],[Date]],Database!$A:$C,MATCH($C$1,Database!$A$1:$C$1,),))</f>
        <v/>
      </c>
      <c r="D1943">
        <f>IFERROR(Table73[[#This Row],[United States 10y]]-Table73[[#This Row],[United States 2y]],#N/A)</f>
        <v/>
      </c>
    </row>
    <row r="1944">
      <c r="A1944" s="6">
        <f>Database!A1943</f>
        <v/>
      </c>
      <c r="B1944">
        <f>IF(VLOOKUP(Table73[[#This Row],[Date]],Database!$A:$E,MATCH($B$1,Database!$A$1:$E$1,),)=0,#N/A,VLOOKUP(Table73[[#This Row],[Date]],Database!$A:$E,MATCH($B$1,Database!$A$1:$E$1,),))</f>
        <v/>
      </c>
      <c r="C1944">
        <f>IF(VLOOKUP(Table73[[#This Row],[Date]],Database!$A:$C,MATCH($C$1,Database!$A$1:$C$1,),)=0,#N/A,VLOOKUP(Table73[[#This Row],[Date]],Database!$A:$C,MATCH($C$1,Database!$A$1:$C$1,),))</f>
        <v/>
      </c>
      <c r="D1944">
        <f>IFERROR(Table73[[#This Row],[United States 10y]]-Table73[[#This Row],[United States 2y]],#N/A)</f>
        <v/>
      </c>
    </row>
    <row r="1945">
      <c r="A1945" s="6">
        <f>Database!A1944</f>
        <v/>
      </c>
      <c r="B1945">
        <f>IF(VLOOKUP(Table73[[#This Row],[Date]],Database!$A:$E,MATCH($B$1,Database!$A$1:$E$1,),)=0,#N/A,VLOOKUP(Table73[[#This Row],[Date]],Database!$A:$E,MATCH($B$1,Database!$A$1:$E$1,),))</f>
        <v/>
      </c>
      <c r="C1945">
        <f>IF(VLOOKUP(Table73[[#This Row],[Date]],Database!$A:$C,MATCH($C$1,Database!$A$1:$C$1,),)=0,#N/A,VLOOKUP(Table73[[#This Row],[Date]],Database!$A:$C,MATCH($C$1,Database!$A$1:$C$1,),))</f>
        <v/>
      </c>
      <c r="D1945">
        <f>IFERROR(Table73[[#This Row],[United States 10y]]-Table73[[#This Row],[United States 2y]],#N/A)</f>
        <v/>
      </c>
    </row>
    <row r="1946">
      <c r="A1946" s="6">
        <f>Database!A1945</f>
        <v/>
      </c>
      <c r="B1946">
        <f>IF(VLOOKUP(Table73[[#This Row],[Date]],Database!$A:$E,MATCH($B$1,Database!$A$1:$E$1,),)=0,#N/A,VLOOKUP(Table73[[#This Row],[Date]],Database!$A:$E,MATCH($B$1,Database!$A$1:$E$1,),))</f>
        <v/>
      </c>
      <c r="C1946">
        <f>IF(VLOOKUP(Table73[[#This Row],[Date]],Database!$A:$C,MATCH($C$1,Database!$A$1:$C$1,),)=0,#N/A,VLOOKUP(Table73[[#This Row],[Date]],Database!$A:$C,MATCH($C$1,Database!$A$1:$C$1,),))</f>
        <v/>
      </c>
      <c r="D1946">
        <f>IFERROR(Table73[[#This Row],[United States 10y]]-Table73[[#This Row],[United States 2y]],#N/A)</f>
        <v/>
      </c>
    </row>
    <row r="1947">
      <c r="A1947" s="6">
        <f>Database!A1946</f>
        <v/>
      </c>
      <c r="B1947">
        <f>IF(VLOOKUP(Table73[[#This Row],[Date]],Database!$A:$E,MATCH($B$1,Database!$A$1:$E$1,),)=0,#N/A,VLOOKUP(Table73[[#This Row],[Date]],Database!$A:$E,MATCH($B$1,Database!$A$1:$E$1,),))</f>
        <v/>
      </c>
      <c r="C1947">
        <f>IF(VLOOKUP(Table73[[#This Row],[Date]],Database!$A:$C,MATCH($C$1,Database!$A$1:$C$1,),)=0,#N/A,VLOOKUP(Table73[[#This Row],[Date]],Database!$A:$C,MATCH($C$1,Database!$A$1:$C$1,),))</f>
        <v/>
      </c>
      <c r="D1947">
        <f>IFERROR(Table73[[#This Row],[United States 10y]]-Table73[[#This Row],[United States 2y]],#N/A)</f>
        <v/>
      </c>
    </row>
    <row r="1948">
      <c r="A1948" s="6">
        <f>Database!A1947</f>
        <v/>
      </c>
      <c r="B1948">
        <f>IF(VLOOKUP(Table73[[#This Row],[Date]],Database!$A:$E,MATCH($B$1,Database!$A$1:$E$1,),)=0,#N/A,VLOOKUP(Table73[[#This Row],[Date]],Database!$A:$E,MATCH($B$1,Database!$A$1:$E$1,),))</f>
        <v/>
      </c>
      <c r="C1948">
        <f>IF(VLOOKUP(Table73[[#This Row],[Date]],Database!$A:$C,MATCH($C$1,Database!$A$1:$C$1,),)=0,#N/A,VLOOKUP(Table73[[#This Row],[Date]],Database!$A:$C,MATCH($C$1,Database!$A$1:$C$1,),))</f>
        <v/>
      </c>
      <c r="D1948">
        <f>IFERROR(Table73[[#This Row],[United States 10y]]-Table73[[#This Row],[United States 2y]],#N/A)</f>
        <v/>
      </c>
    </row>
    <row r="1949">
      <c r="A1949" s="6">
        <f>Database!A1948</f>
        <v/>
      </c>
      <c r="B1949">
        <f>IF(VLOOKUP(Table73[[#This Row],[Date]],Database!$A:$E,MATCH($B$1,Database!$A$1:$E$1,),)=0,#N/A,VLOOKUP(Table73[[#This Row],[Date]],Database!$A:$E,MATCH($B$1,Database!$A$1:$E$1,),))</f>
        <v/>
      </c>
      <c r="C1949">
        <f>IF(VLOOKUP(Table73[[#This Row],[Date]],Database!$A:$C,MATCH($C$1,Database!$A$1:$C$1,),)=0,#N/A,VLOOKUP(Table73[[#This Row],[Date]],Database!$A:$C,MATCH($C$1,Database!$A$1:$C$1,),))</f>
        <v/>
      </c>
      <c r="D1949">
        <f>IFERROR(Table73[[#This Row],[United States 10y]]-Table73[[#This Row],[United States 2y]],#N/A)</f>
        <v/>
      </c>
    </row>
    <row r="1950">
      <c r="A1950" s="6">
        <f>Database!A1949</f>
        <v/>
      </c>
      <c r="B1950">
        <f>IF(VLOOKUP(Table73[[#This Row],[Date]],Database!$A:$E,MATCH($B$1,Database!$A$1:$E$1,),)=0,#N/A,VLOOKUP(Table73[[#This Row],[Date]],Database!$A:$E,MATCH($B$1,Database!$A$1:$E$1,),))</f>
        <v/>
      </c>
      <c r="C1950">
        <f>IF(VLOOKUP(Table73[[#This Row],[Date]],Database!$A:$C,MATCH($C$1,Database!$A$1:$C$1,),)=0,#N/A,VLOOKUP(Table73[[#This Row],[Date]],Database!$A:$C,MATCH($C$1,Database!$A$1:$C$1,),))</f>
        <v/>
      </c>
      <c r="D1950">
        <f>IFERROR(Table73[[#This Row],[United States 10y]]-Table73[[#This Row],[United States 2y]],#N/A)</f>
        <v/>
      </c>
    </row>
    <row r="1951">
      <c r="A1951" s="6">
        <f>Database!A1950</f>
        <v/>
      </c>
      <c r="B1951">
        <f>IF(VLOOKUP(Table73[[#This Row],[Date]],Database!$A:$E,MATCH($B$1,Database!$A$1:$E$1,),)=0,#N/A,VLOOKUP(Table73[[#This Row],[Date]],Database!$A:$E,MATCH($B$1,Database!$A$1:$E$1,),))</f>
        <v/>
      </c>
      <c r="C1951">
        <f>IF(VLOOKUP(Table73[[#This Row],[Date]],Database!$A:$C,MATCH($C$1,Database!$A$1:$C$1,),)=0,#N/A,VLOOKUP(Table73[[#This Row],[Date]],Database!$A:$C,MATCH($C$1,Database!$A$1:$C$1,),))</f>
        <v/>
      </c>
      <c r="D1951">
        <f>IFERROR(Table73[[#This Row],[United States 10y]]-Table73[[#This Row],[United States 2y]],#N/A)</f>
        <v/>
      </c>
    </row>
    <row r="1952">
      <c r="A1952" s="6">
        <f>Database!A1951</f>
        <v/>
      </c>
      <c r="B1952">
        <f>IF(VLOOKUP(Table73[[#This Row],[Date]],Database!$A:$E,MATCH($B$1,Database!$A$1:$E$1,),)=0,#N/A,VLOOKUP(Table73[[#This Row],[Date]],Database!$A:$E,MATCH($B$1,Database!$A$1:$E$1,),))</f>
        <v/>
      </c>
      <c r="C1952">
        <f>IF(VLOOKUP(Table73[[#This Row],[Date]],Database!$A:$C,MATCH($C$1,Database!$A$1:$C$1,),)=0,#N/A,VLOOKUP(Table73[[#This Row],[Date]],Database!$A:$C,MATCH($C$1,Database!$A$1:$C$1,),))</f>
        <v/>
      </c>
      <c r="D1952">
        <f>IFERROR(Table73[[#This Row],[United States 10y]]-Table73[[#This Row],[United States 2y]],#N/A)</f>
        <v/>
      </c>
    </row>
    <row r="1953">
      <c r="A1953" s="6">
        <f>Database!A1952</f>
        <v/>
      </c>
      <c r="B1953">
        <f>IF(VLOOKUP(Table73[[#This Row],[Date]],Database!$A:$E,MATCH($B$1,Database!$A$1:$E$1,),)=0,#N/A,VLOOKUP(Table73[[#This Row],[Date]],Database!$A:$E,MATCH($B$1,Database!$A$1:$E$1,),))</f>
        <v/>
      </c>
      <c r="C1953">
        <f>IF(VLOOKUP(Table73[[#This Row],[Date]],Database!$A:$C,MATCH($C$1,Database!$A$1:$C$1,),)=0,#N/A,VLOOKUP(Table73[[#This Row],[Date]],Database!$A:$C,MATCH($C$1,Database!$A$1:$C$1,),))</f>
        <v/>
      </c>
      <c r="D1953">
        <f>IFERROR(Table73[[#This Row],[United States 10y]]-Table73[[#This Row],[United States 2y]],#N/A)</f>
        <v/>
      </c>
    </row>
    <row r="1954">
      <c r="A1954" s="6">
        <f>Database!A1953</f>
        <v/>
      </c>
      <c r="B1954">
        <f>IF(VLOOKUP(Table73[[#This Row],[Date]],Database!$A:$E,MATCH($B$1,Database!$A$1:$E$1,),)=0,#N/A,VLOOKUP(Table73[[#This Row],[Date]],Database!$A:$E,MATCH($B$1,Database!$A$1:$E$1,),))</f>
        <v/>
      </c>
      <c r="C1954">
        <f>IF(VLOOKUP(Table73[[#This Row],[Date]],Database!$A:$C,MATCH($C$1,Database!$A$1:$C$1,),)=0,#N/A,VLOOKUP(Table73[[#This Row],[Date]],Database!$A:$C,MATCH($C$1,Database!$A$1:$C$1,),))</f>
        <v/>
      </c>
      <c r="D1954">
        <f>IFERROR(Table73[[#This Row],[United States 10y]]-Table73[[#This Row],[United States 2y]],#N/A)</f>
        <v/>
      </c>
    </row>
    <row r="1955">
      <c r="A1955" s="6">
        <f>Database!A1954</f>
        <v/>
      </c>
      <c r="B1955">
        <f>IF(VLOOKUP(Table73[[#This Row],[Date]],Database!$A:$E,MATCH($B$1,Database!$A$1:$E$1,),)=0,#N/A,VLOOKUP(Table73[[#This Row],[Date]],Database!$A:$E,MATCH($B$1,Database!$A$1:$E$1,),))</f>
        <v/>
      </c>
      <c r="C1955">
        <f>IF(VLOOKUP(Table73[[#This Row],[Date]],Database!$A:$C,MATCH($C$1,Database!$A$1:$C$1,),)=0,#N/A,VLOOKUP(Table73[[#This Row],[Date]],Database!$A:$C,MATCH($C$1,Database!$A$1:$C$1,),))</f>
        <v/>
      </c>
      <c r="D1955">
        <f>IFERROR(Table73[[#This Row],[United States 10y]]-Table73[[#This Row],[United States 2y]],#N/A)</f>
        <v/>
      </c>
    </row>
    <row r="1956">
      <c r="A1956" s="6">
        <f>Database!A1955</f>
        <v/>
      </c>
      <c r="B1956">
        <f>IF(VLOOKUP(Table73[[#This Row],[Date]],Database!$A:$E,MATCH($B$1,Database!$A$1:$E$1,),)=0,#N/A,VLOOKUP(Table73[[#This Row],[Date]],Database!$A:$E,MATCH($B$1,Database!$A$1:$E$1,),))</f>
        <v/>
      </c>
      <c r="C1956">
        <f>IF(VLOOKUP(Table73[[#This Row],[Date]],Database!$A:$C,MATCH($C$1,Database!$A$1:$C$1,),)=0,#N/A,VLOOKUP(Table73[[#This Row],[Date]],Database!$A:$C,MATCH($C$1,Database!$A$1:$C$1,),))</f>
        <v/>
      </c>
      <c r="D1956">
        <f>IFERROR(Table73[[#This Row],[United States 10y]]-Table73[[#This Row],[United States 2y]],#N/A)</f>
        <v/>
      </c>
    </row>
    <row r="1957">
      <c r="A1957" s="6">
        <f>Database!A1956</f>
        <v/>
      </c>
      <c r="B1957">
        <f>IF(VLOOKUP(Table73[[#This Row],[Date]],Database!$A:$E,MATCH($B$1,Database!$A$1:$E$1,),)=0,#N/A,VLOOKUP(Table73[[#This Row],[Date]],Database!$A:$E,MATCH($B$1,Database!$A$1:$E$1,),))</f>
        <v/>
      </c>
      <c r="C1957">
        <f>IF(VLOOKUP(Table73[[#This Row],[Date]],Database!$A:$C,MATCH($C$1,Database!$A$1:$C$1,),)=0,#N/A,VLOOKUP(Table73[[#This Row],[Date]],Database!$A:$C,MATCH($C$1,Database!$A$1:$C$1,),))</f>
        <v/>
      </c>
      <c r="D1957">
        <f>IFERROR(Table73[[#This Row],[United States 10y]]-Table73[[#This Row],[United States 2y]],#N/A)</f>
        <v/>
      </c>
    </row>
    <row r="1958">
      <c r="A1958" s="6">
        <f>Database!A1957</f>
        <v/>
      </c>
      <c r="B1958">
        <f>IF(VLOOKUP(Table73[[#This Row],[Date]],Database!$A:$E,MATCH($B$1,Database!$A$1:$E$1,),)=0,#N/A,VLOOKUP(Table73[[#This Row],[Date]],Database!$A:$E,MATCH($B$1,Database!$A$1:$E$1,),))</f>
        <v/>
      </c>
      <c r="C1958">
        <f>IF(VLOOKUP(Table73[[#This Row],[Date]],Database!$A:$C,MATCH($C$1,Database!$A$1:$C$1,),)=0,#N/A,VLOOKUP(Table73[[#This Row],[Date]],Database!$A:$C,MATCH($C$1,Database!$A$1:$C$1,),))</f>
        <v/>
      </c>
      <c r="D1958">
        <f>IFERROR(Table73[[#This Row],[United States 10y]]-Table73[[#This Row],[United States 2y]],#N/A)</f>
        <v/>
      </c>
    </row>
    <row r="1959">
      <c r="A1959" s="6">
        <f>Database!A1958</f>
        <v/>
      </c>
      <c r="B1959">
        <f>IF(VLOOKUP(Table73[[#This Row],[Date]],Database!$A:$E,MATCH($B$1,Database!$A$1:$E$1,),)=0,#N/A,VLOOKUP(Table73[[#This Row],[Date]],Database!$A:$E,MATCH($B$1,Database!$A$1:$E$1,),))</f>
        <v/>
      </c>
      <c r="C1959">
        <f>IF(VLOOKUP(Table73[[#This Row],[Date]],Database!$A:$C,MATCH($C$1,Database!$A$1:$C$1,),)=0,#N/A,VLOOKUP(Table73[[#This Row],[Date]],Database!$A:$C,MATCH($C$1,Database!$A$1:$C$1,),))</f>
        <v/>
      </c>
      <c r="D1959">
        <f>IFERROR(Table73[[#This Row],[United States 10y]]-Table73[[#This Row],[United States 2y]],#N/A)</f>
        <v/>
      </c>
    </row>
    <row r="1960">
      <c r="A1960" s="6">
        <f>Database!A1959</f>
        <v/>
      </c>
      <c r="B1960">
        <f>IF(VLOOKUP(Table73[[#This Row],[Date]],Database!$A:$E,MATCH($B$1,Database!$A$1:$E$1,),)=0,#N/A,VLOOKUP(Table73[[#This Row],[Date]],Database!$A:$E,MATCH($B$1,Database!$A$1:$E$1,),))</f>
        <v/>
      </c>
      <c r="C1960">
        <f>IF(VLOOKUP(Table73[[#This Row],[Date]],Database!$A:$C,MATCH($C$1,Database!$A$1:$C$1,),)=0,#N/A,VLOOKUP(Table73[[#This Row],[Date]],Database!$A:$C,MATCH($C$1,Database!$A$1:$C$1,),))</f>
        <v/>
      </c>
      <c r="D1960">
        <f>IFERROR(Table73[[#This Row],[United States 10y]]-Table73[[#This Row],[United States 2y]],#N/A)</f>
        <v/>
      </c>
    </row>
    <row r="1961">
      <c r="A1961" s="6">
        <f>Database!A1960</f>
        <v/>
      </c>
      <c r="B1961">
        <f>IF(VLOOKUP(Table73[[#This Row],[Date]],Database!$A:$E,MATCH($B$1,Database!$A$1:$E$1,),)=0,#N/A,VLOOKUP(Table73[[#This Row],[Date]],Database!$A:$E,MATCH($B$1,Database!$A$1:$E$1,),))</f>
        <v/>
      </c>
      <c r="C1961">
        <f>IF(VLOOKUP(Table73[[#This Row],[Date]],Database!$A:$C,MATCH($C$1,Database!$A$1:$C$1,),)=0,#N/A,VLOOKUP(Table73[[#This Row],[Date]],Database!$A:$C,MATCH($C$1,Database!$A$1:$C$1,),))</f>
        <v/>
      </c>
      <c r="D1961">
        <f>IFERROR(Table73[[#This Row],[United States 10y]]-Table73[[#This Row],[United States 2y]],#N/A)</f>
        <v/>
      </c>
    </row>
    <row r="1962">
      <c r="A1962" s="6">
        <f>Database!A1961</f>
        <v/>
      </c>
      <c r="B1962">
        <f>IF(VLOOKUP(Table73[[#This Row],[Date]],Database!$A:$E,MATCH($B$1,Database!$A$1:$E$1,),)=0,#N/A,VLOOKUP(Table73[[#This Row],[Date]],Database!$A:$E,MATCH($B$1,Database!$A$1:$E$1,),))</f>
        <v/>
      </c>
      <c r="C1962">
        <f>IF(VLOOKUP(Table73[[#This Row],[Date]],Database!$A:$C,MATCH($C$1,Database!$A$1:$C$1,),)=0,#N/A,VLOOKUP(Table73[[#This Row],[Date]],Database!$A:$C,MATCH($C$1,Database!$A$1:$C$1,),))</f>
        <v/>
      </c>
      <c r="D1962">
        <f>IFERROR(Table73[[#This Row],[United States 10y]]-Table73[[#This Row],[United States 2y]],#N/A)</f>
        <v/>
      </c>
    </row>
    <row r="1963">
      <c r="A1963" s="6">
        <f>Database!A1962</f>
        <v/>
      </c>
      <c r="B1963">
        <f>IF(VLOOKUP(Table73[[#This Row],[Date]],Database!$A:$E,MATCH($B$1,Database!$A$1:$E$1,),)=0,#N/A,VLOOKUP(Table73[[#This Row],[Date]],Database!$A:$E,MATCH($B$1,Database!$A$1:$E$1,),))</f>
        <v/>
      </c>
      <c r="C1963">
        <f>IF(VLOOKUP(Table73[[#This Row],[Date]],Database!$A:$C,MATCH($C$1,Database!$A$1:$C$1,),)=0,#N/A,VLOOKUP(Table73[[#This Row],[Date]],Database!$A:$C,MATCH($C$1,Database!$A$1:$C$1,),))</f>
        <v/>
      </c>
      <c r="D1963">
        <f>IFERROR(Table73[[#This Row],[United States 10y]]-Table73[[#This Row],[United States 2y]],#N/A)</f>
        <v/>
      </c>
    </row>
    <row r="1964">
      <c r="A1964" s="6">
        <f>Database!A1963</f>
        <v/>
      </c>
      <c r="B1964">
        <f>IF(VLOOKUP(Table73[[#This Row],[Date]],Database!$A:$E,MATCH($B$1,Database!$A$1:$E$1,),)=0,#N/A,VLOOKUP(Table73[[#This Row],[Date]],Database!$A:$E,MATCH($B$1,Database!$A$1:$E$1,),))</f>
        <v/>
      </c>
      <c r="C1964">
        <f>IF(VLOOKUP(Table73[[#This Row],[Date]],Database!$A:$C,MATCH($C$1,Database!$A$1:$C$1,),)=0,#N/A,VLOOKUP(Table73[[#This Row],[Date]],Database!$A:$C,MATCH($C$1,Database!$A$1:$C$1,),))</f>
        <v/>
      </c>
      <c r="D1964">
        <f>IFERROR(Table73[[#This Row],[United States 10y]]-Table73[[#This Row],[United States 2y]],#N/A)</f>
        <v/>
      </c>
    </row>
    <row r="1965">
      <c r="A1965" s="6">
        <f>Database!A1964</f>
        <v/>
      </c>
      <c r="B1965">
        <f>IF(VLOOKUP(Table73[[#This Row],[Date]],Database!$A:$E,MATCH($B$1,Database!$A$1:$E$1,),)=0,#N/A,VLOOKUP(Table73[[#This Row],[Date]],Database!$A:$E,MATCH($B$1,Database!$A$1:$E$1,),))</f>
        <v/>
      </c>
      <c r="C1965">
        <f>IF(VLOOKUP(Table73[[#This Row],[Date]],Database!$A:$C,MATCH($C$1,Database!$A$1:$C$1,),)=0,#N/A,VLOOKUP(Table73[[#This Row],[Date]],Database!$A:$C,MATCH($C$1,Database!$A$1:$C$1,),))</f>
        <v/>
      </c>
      <c r="D1965">
        <f>IFERROR(Table73[[#This Row],[United States 10y]]-Table73[[#This Row],[United States 2y]],#N/A)</f>
        <v/>
      </c>
    </row>
    <row r="1966">
      <c r="A1966" s="6">
        <f>Database!A1965</f>
        <v/>
      </c>
      <c r="B1966">
        <f>IF(VLOOKUP(Table73[[#This Row],[Date]],Database!$A:$E,MATCH($B$1,Database!$A$1:$E$1,),)=0,#N/A,VLOOKUP(Table73[[#This Row],[Date]],Database!$A:$E,MATCH($B$1,Database!$A$1:$E$1,),))</f>
        <v/>
      </c>
      <c r="C1966">
        <f>IF(VLOOKUP(Table73[[#This Row],[Date]],Database!$A:$C,MATCH($C$1,Database!$A$1:$C$1,),)=0,#N/A,VLOOKUP(Table73[[#This Row],[Date]],Database!$A:$C,MATCH($C$1,Database!$A$1:$C$1,),))</f>
        <v/>
      </c>
      <c r="D1966">
        <f>IFERROR(Table73[[#This Row],[United States 10y]]-Table73[[#This Row],[United States 2y]],#N/A)</f>
        <v/>
      </c>
    </row>
    <row r="1967">
      <c r="A1967" s="6">
        <f>Database!A1966</f>
        <v/>
      </c>
      <c r="B1967">
        <f>IF(VLOOKUP(Table73[[#This Row],[Date]],Database!$A:$E,MATCH($B$1,Database!$A$1:$E$1,),)=0,#N/A,VLOOKUP(Table73[[#This Row],[Date]],Database!$A:$E,MATCH($B$1,Database!$A$1:$E$1,),))</f>
        <v/>
      </c>
      <c r="C1967">
        <f>IF(VLOOKUP(Table73[[#This Row],[Date]],Database!$A:$C,MATCH($C$1,Database!$A$1:$C$1,),)=0,#N/A,VLOOKUP(Table73[[#This Row],[Date]],Database!$A:$C,MATCH($C$1,Database!$A$1:$C$1,),))</f>
        <v/>
      </c>
      <c r="D1967">
        <f>IFERROR(Table73[[#This Row],[United States 10y]]-Table73[[#This Row],[United States 2y]],#N/A)</f>
        <v/>
      </c>
    </row>
    <row r="1968">
      <c r="A1968" s="6">
        <f>Database!A1967</f>
        <v/>
      </c>
      <c r="B1968">
        <f>IF(VLOOKUP(Table73[[#This Row],[Date]],Database!$A:$E,MATCH($B$1,Database!$A$1:$E$1,),)=0,#N/A,VLOOKUP(Table73[[#This Row],[Date]],Database!$A:$E,MATCH($B$1,Database!$A$1:$E$1,),))</f>
        <v/>
      </c>
      <c r="C1968">
        <f>IF(VLOOKUP(Table73[[#This Row],[Date]],Database!$A:$C,MATCH($C$1,Database!$A$1:$C$1,),)=0,#N/A,VLOOKUP(Table73[[#This Row],[Date]],Database!$A:$C,MATCH($C$1,Database!$A$1:$C$1,),))</f>
        <v/>
      </c>
      <c r="D1968">
        <f>IFERROR(Table73[[#This Row],[United States 10y]]-Table73[[#This Row],[United States 2y]],#N/A)</f>
        <v/>
      </c>
    </row>
    <row r="1969">
      <c r="A1969" s="6">
        <f>Database!A1968</f>
        <v/>
      </c>
      <c r="B1969">
        <f>IF(VLOOKUP(Table73[[#This Row],[Date]],Database!$A:$E,MATCH($B$1,Database!$A$1:$E$1,),)=0,#N/A,VLOOKUP(Table73[[#This Row],[Date]],Database!$A:$E,MATCH($B$1,Database!$A$1:$E$1,),))</f>
        <v/>
      </c>
      <c r="C1969">
        <f>IF(VLOOKUP(Table73[[#This Row],[Date]],Database!$A:$C,MATCH($C$1,Database!$A$1:$C$1,),)=0,#N/A,VLOOKUP(Table73[[#This Row],[Date]],Database!$A:$C,MATCH($C$1,Database!$A$1:$C$1,),))</f>
        <v/>
      </c>
      <c r="D1969">
        <f>IFERROR(Table73[[#This Row],[United States 10y]]-Table73[[#This Row],[United States 2y]],#N/A)</f>
        <v/>
      </c>
    </row>
    <row r="1970">
      <c r="A1970" s="6">
        <f>Database!A1969</f>
        <v/>
      </c>
      <c r="B1970">
        <f>IF(VLOOKUP(Table73[[#This Row],[Date]],Database!$A:$E,MATCH($B$1,Database!$A$1:$E$1,),)=0,#N/A,VLOOKUP(Table73[[#This Row],[Date]],Database!$A:$E,MATCH($B$1,Database!$A$1:$E$1,),))</f>
        <v/>
      </c>
      <c r="C1970">
        <f>IF(VLOOKUP(Table73[[#This Row],[Date]],Database!$A:$C,MATCH($C$1,Database!$A$1:$C$1,),)=0,#N/A,VLOOKUP(Table73[[#This Row],[Date]],Database!$A:$C,MATCH($C$1,Database!$A$1:$C$1,),))</f>
        <v/>
      </c>
      <c r="D1970">
        <f>IFERROR(Table73[[#This Row],[United States 10y]]-Table73[[#This Row],[United States 2y]],#N/A)</f>
        <v/>
      </c>
    </row>
    <row r="1971">
      <c r="A1971" s="6">
        <f>Database!A1970</f>
        <v/>
      </c>
      <c r="B1971">
        <f>IF(VLOOKUP(Table73[[#This Row],[Date]],Database!$A:$E,MATCH($B$1,Database!$A$1:$E$1,),)=0,#N/A,VLOOKUP(Table73[[#This Row],[Date]],Database!$A:$E,MATCH($B$1,Database!$A$1:$E$1,),))</f>
        <v/>
      </c>
      <c r="C1971">
        <f>IF(VLOOKUP(Table73[[#This Row],[Date]],Database!$A:$C,MATCH($C$1,Database!$A$1:$C$1,),)=0,#N/A,VLOOKUP(Table73[[#This Row],[Date]],Database!$A:$C,MATCH($C$1,Database!$A$1:$C$1,),))</f>
        <v/>
      </c>
      <c r="D1971">
        <f>IFERROR(Table73[[#This Row],[United States 10y]]-Table73[[#This Row],[United States 2y]],#N/A)</f>
        <v/>
      </c>
    </row>
    <row r="1972">
      <c r="A1972" s="6">
        <f>Database!A1971</f>
        <v/>
      </c>
      <c r="B1972">
        <f>IF(VLOOKUP(Table73[[#This Row],[Date]],Database!$A:$E,MATCH($B$1,Database!$A$1:$E$1,),)=0,#N/A,VLOOKUP(Table73[[#This Row],[Date]],Database!$A:$E,MATCH($B$1,Database!$A$1:$E$1,),))</f>
        <v/>
      </c>
      <c r="C1972">
        <f>IF(VLOOKUP(Table73[[#This Row],[Date]],Database!$A:$C,MATCH($C$1,Database!$A$1:$C$1,),)=0,#N/A,VLOOKUP(Table73[[#This Row],[Date]],Database!$A:$C,MATCH($C$1,Database!$A$1:$C$1,),))</f>
        <v/>
      </c>
      <c r="D1972">
        <f>IFERROR(Table73[[#This Row],[United States 10y]]-Table73[[#This Row],[United States 2y]],#N/A)</f>
        <v/>
      </c>
    </row>
    <row r="1973">
      <c r="A1973" s="6">
        <f>Database!A1972</f>
        <v/>
      </c>
      <c r="B1973">
        <f>IF(VLOOKUP(Table73[[#This Row],[Date]],Database!$A:$E,MATCH($B$1,Database!$A$1:$E$1,),)=0,#N/A,VLOOKUP(Table73[[#This Row],[Date]],Database!$A:$E,MATCH($B$1,Database!$A$1:$E$1,),))</f>
        <v/>
      </c>
      <c r="C1973">
        <f>IF(VLOOKUP(Table73[[#This Row],[Date]],Database!$A:$C,MATCH($C$1,Database!$A$1:$C$1,),)=0,#N/A,VLOOKUP(Table73[[#This Row],[Date]],Database!$A:$C,MATCH($C$1,Database!$A$1:$C$1,),))</f>
        <v/>
      </c>
      <c r="D1973">
        <f>IFERROR(Table73[[#This Row],[United States 10y]]-Table73[[#This Row],[United States 2y]],#N/A)</f>
        <v/>
      </c>
    </row>
    <row r="1974">
      <c r="A1974" s="6">
        <f>Database!A1973</f>
        <v/>
      </c>
      <c r="B1974">
        <f>IF(VLOOKUP(Table73[[#This Row],[Date]],Database!$A:$E,MATCH($B$1,Database!$A$1:$E$1,),)=0,#N/A,VLOOKUP(Table73[[#This Row],[Date]],Database!$A:$E,MATCH($B$1,Database!$A$1:$E$1,),))</f>
        <v/>
      </c>
      <c r="C1974">
        <f>IF(VLOOKUP(Table73[[#This Row],[Date]],Database!$A:$C,MATCH($C$1,Database!$A$1:$C$1,),)=0,#N/A,VLOOKUP(Table73[[#This Row],[Date]],Database!$A:$C,MATCH($C$1,Database!$A$1:$C$1,),))</f>
        <v/>
      </c>
      <c r="D1974">
        <f>IFERROR(Table73[[#This Row],[United States 10y]]-Table73[[#This Row],[United States 2y]],#N/A)</f>
        <v/>
      </c>
    </row>
    <row r="1975">
      <c r="A1975" s="6">
        <f>Database!A1974</f>
        <v/>
      </c>
      <c r="B1975">
        <f>IF(VLOOKUP(Table73[[#This Row],[Date]],Database!$A:$E,MATCH($B$1,Database!$A$1:$E$1,),)=0,#N/A,VLOOKUP(Table73[[#This Row],[Date]],Database!$A:$E,MATCH($B$1,Database!$A$1:$E$1,),))</f>
        <v/>
      </c>
      <c r="C1975">
        <f>IF(VLOOKUP(Table73[[#This Row],[Date]],Database!$A:$C,MATCH($C$1,Database!$A$1:$C$1,),)=0,#N/A,VLOOKUP(Table73[[#This Row],[Date]],Database!$A:$C,MATCH($C$1,Database!$A$1:$C$1,),))</f>
        <v/>
      </c>
      <c r="D1975">
        <f>IFERROR(Table73[[#This Row],[United States 10y]]-Table73[[#This Row],[United States 2y]],#N/A)</f>
        <v/>
      </c>
    </row>
    <row r="1976">
      <c r="A1976" s="6">
        <f>Database!A1975</f>
        <v/>
      </c>
      <c r="B1976">
        <f>IF(VLOOKUP(Table73[[#This Row],[Date]],Database!$A:$E,MATCH($B$1,Database!$A$1:$E$1,),)=0,#N/A,VLOOKUP(Table73[[#This Row],[Date]],Database!$A:$E,MATCH($B$1,Database!$A$1:$E$1,),))</f>
        <v/>
      </c>
      <c r="C1976">
        <f>IF(VLOOKUP(Table73[[#This Row],[Date]],Database!$A:$C,MATCH($C$1,Database!$A$1:$C$1,),)=0,#N/A,VLOOKUP(Table73[[#This Row],[Date]],Database!$A:$C,MATCH($C$1,Database!$A$1:$C$1,),))</f>
        <v/>
      </c>
      <c r="D1976">
        <f>IFERROR(Table73[[#This Row],[United States 10y]]-Table73[[#This Row],[United States 2y]],#N/A)</f>
        <v/>
      </c>
    </row>
    <row r="1977">
      <c r="A1977" s="6">
        <f>Database!A1976</f>
        <v/>
      </c>
      <c r="B1977">
        <f>IF(VLOOKUP(Table73[[#This Row],[Date]],Database!$A:$E,MATCH($B$1,Database!$A$1:$E$1,),)=0,#N/A,VLOOKUP(Table73[[#This Row],[Date]],Database!$A:$E,MATCH($B$1,Database!$A$1:$E$1,),))</f>
        <v/>
      </c>
      <c r="C1977">
        <f>IF(VLOOKUP(Table73[[#This Row],[Date]],Database!$A:$C,MATCH($C$1,Database!$A$1:$C$1,),)=0,#N/A,VLOOKUP(Table73[[#This Row],[Date]],Database!$A:$C,MATCH($C$1,Database!$A$1:$C$1,),))</f>
        <v/>
      </c>
      <c r="D1977">
        <f>IFERROR(Table73[[#This Row],[United States 10y]]-Table73[[#This Row],[United States 2y]],#N/A)</f>
        <v/>
      </c>
    </row>
    <row r="1978">
      <c r="A1978" s="6">
        <f>Database!A1977</f>
        <v/>
      </c>
      <c r="B1978">
        <f>IF(VLOOKUP(Table73[[#This Row],[Date]],Database!$A:$E,MATCH($B$1,Database!$A$1:$E$1,),)=0,#N/A,VLOOKUP(Table73[[#This Row],[Date]],Database!$A:$E,MATCH($B$1,Database!$A$1:$E$1,),))</f>
        <v/>
      </c>
      <c r="C1978">
        <f>IF(VLOOKUP(Table73[[#This Row],[Date]],Database!$A:$C,MATCH($C$1,Database!$A$1:$C$1,),)=0,#N/A,VLOOKUP(Table73[[#This Row],[Date]],Database!$A:$C,MATCH($C$1,Database!$A$1:$C$1,),))</f>
        <v/>
      </c>
      <c r="D1978">
        <f>IFERROR(Table73[[#This Row],[United States 10y]]-Table73[[#This Row],[United States 2y]],#N/A)</f>
        <v/>
      </c>
    </row>
    <row r="1979">
      <c r="A1979" s="6">
        <f>Database!A1978</f>
        <v/>
      </c>
      <c r="B1979">
        <f>IF(VLOOKUP(Table73[[#This Row],[Date]],Database!$A:$E,MATCH($B$1,Database!$A$1:$E$1,),)=0,#N/A,VLOOKUP(Table73[[#This Row],[Date]],Database!$A:$E,MATCH($B$1,Database!$A$1:$E$1,),))</f>
        <v/>
      </c>
      <c r="C1979">
        <f>IF(VLOOKUP(Table73[[#This Row],[Date]],Database!$A:$C,MATCH($C$1,Database!$A$1:$C$1,),)=0,#N/A,VLOOKUP(Table73[[#This Row],[Date]],Database!$A:$C,MATCH($C$1,Database!$A$1:$C$1,),))</f>
        <v/>
      </c>
      <c r="D1979">
        <f>IFERROR(Table73[[#This Row],[United States 10y]]-Table73[[#This Row],[United States 2y]],#N/A)</f>
        <v/>
      </c>
    </row>
    <row r="1980">
      <c r="A1980" s="6">
        <f>Database!A1979</f>
        <v/>
      </c>
      <c r="B1980">
        <f>IF(VLOOKUP(Table73[[#This Row],[Date]],Database!$A:$E,MATCH($B$1,Database!$A$1:$E$1,),)=0,#N/A,VLOOKUP(Table73[[#This Row],[Date]],Database!$A:$E,MATCH($B$1,Database!$A$1:$E$1,),))</f>
        <v/>
      </c>
      <c r="C1980">
        <f>IF(VLOOKUP(Table73[[#This Row],[Date]],Database!$A:$C,MATCH($C$1,Database!$A$1:$C$1,),)=0,#N/A,VLOOKUP(Table73[[#This Row],[Date]],Database!$A:$C,MATCH($C$1,Database!$A$1:$C$1,),))</f>
        <v/>
      </c>
      <c r="D1980">
        <f>IFERROR(Table73[[#This Row],[United States 10y]]-Table73[[#This Row],[United States 2y]],#N/A)</f>
        <v/>
      </c>
    </row>
    <row r="1981">
      <c r="A1981" s="6">
        <f>Database!A1980</f>
        <v/>
      </c>
      <c r="B1981">
        <f>IF(VLOOKUP(Table73[[#This Row],[Date]],Database!$A:$E,MATCH($B$1,Database!$A$1:$E$1,),)=0,#N/A,VLOOKUP(Table73[[#This Row],[Date]],Database!$A:$E,MATCH($B$1,Database!$A$1:$E$1,),))</f>
        <v/>
      </c>
      <c r="C1981">
        <f>IF(VLOOKUP(Table73[[#This Row],[Date]],Database!$A:$C,MATCH($C$1,Database!$A$1:$C$1,),)=0,#N/A,VLOOKUP(Table73[[#This Row],[Date]],Database!$A:$C,MATCH($C$1,Database!$A$1:$C$1,),))</f>
        <v/>
      </c>
      <c r="D1981">
        <f>IFERROR(Table73[[#This Row],[United States 10y]]-Table73[[#This Row],[United States 2y]],#N/A)</f>
        <v/>
      </c>
    </row>
    <row r="1982">
      <c r="A1982" s="6">
        <f>Database!A1981</f>
        <v/>
      </c>
      <c r="B1982">
        <f>IF(VLOOKUP(Table73[[#This Row],[Date]],Database!$A:$E,MATCH($B$1,Database!$A$1:$E$1,),)=0,#N/A,VLOOKUP(Table73[[#This Row],[Date]],Database!$A:$E,MATCH($B$1,Database!$A$1:$E$1,),))</f>
        <v/>
      </c>
      <c r="C1982">
        <f>IF(VLOOKUP(Table73[[#This Row],[Date]],Database!$A:$C,MATCH($C$1,Database!$A$1:$C$1,),)=0,#N/A,VLOOKUP(Table73[[#This Row],[Date]],Database!$A:$C,MATCH($C$1,Database!$A$1:$C$1,),))</f>
        <v/>
      </c>
      <c r="D1982">
        <f>IFERROR(Table73[[#This Row],[United States 10y]]-Table73[[#This Row],[United States 2y]],#N/A)</f>
        <v/>
      </c>
    </row>
    <row r="1983">
      <c r="A1983" s="6">
        <f>Database!A1982</f>
        <v/>
      </c>
      <c r="B1983">
        <f>IF(VLOOKUP(Table73[[#This Row],[Date]],Database!$A:$E,MATCH($B$1,Database!$A$1:$E$1,),)=0,#N/A,VLOOKUP(Table73[[#This Row],[Date]],Database!$A:$E,MATCH($B$1,Database!$A$1:$E$1,),))</f>
        <v/>
      </c>
      <c r="C1983">
        <f>IF(VLOOKUP(Table73[[#This Row],[Date]],Database!$A:$C,MATCH($C$1,Database!$A$1:$C$1,),)=0,#N/A,VLOOKUP(Table73[[#This Row],[Date]],Database!$A:$C,MATCH($C$1,Database!$A$1:$C$1,),))</f>
        <v/>
      </c>
      <c r="D1983">
        <f>IFERROR(Table73[[#This Row],[United States 10y]]-Table73[[#This Row],[United States 2y]],#N/A)</f>
        <v/>
      </c>
    </row>
    <row r="1984">
      <c r="A1984" s="6">
        <f>Database!A1983</f>
        <v/>
      </c>
      <c r="B1984">
        <f>IF(VLOOKUP(Table73[[#This Row],[Date]],Database!$A:$E,MATCH($B$1,Database!$A$1:$E$1,),)=0,#N/A,VLOOKUP(Table73[[#This Row],[Date]],Database!$A:$E,MATCH($B$1,Database!$A$1:$E$1,),))</f>
        <v/>
      </c>
      <c r="C1984">
        <f>IF(VLOOKUP(Table73[[#This Row],[Date]],Database!$A:$C,MATCH($C$1,Database!$A$1:$C$1,),)=0,#N/A,VLOOKUP(Table73[[#This Row],[Date]],Database!$A:$C,MATCH($C$1,Database!$A$1:$C$1,),))</f>
        <v/>
      </c>
      <c r="D1984">
        <f>IFERROR(Table73[[#This Row],[United States 10y]]-Table73[[#This Row],[United States 2y]],#N/A)</f>
        <v/>
      </c>
    </row>
    <row r="1985">
      <c r="A1985" s="6">
        <f>Database!A1984</f>
        <v/>
      </c>
      <c r="B1985">
        <f>IF(VLOOKUP(Table73[[#This Row],[Date]],Database!$A:$E,MATCH($B$1,Database!$A$1:$E$1,),)=0,#N/A,VLOOKUP(Table73[[#This Row],[Date]],Database!$A:$E,MATCH($B$1,Database!$A$1:$E$1,),))</f>
        <v/>
      </c>
      <c r="C1985">
        <f>IF(VLOOKUP(Table73[[#This Row],[Date]],Database!$A:$C,MATCH($C$1,Database!$A$1:$C$1,),)=0,#N/A,VLOOKUP(Table73[[#This Row],[Date]],Database!$A:$C,MATCH($C$1,Database!$A$1:$C$1,),))</f>
        <v/>
      </c>
      <c r="D1985">
        <f>IFERROR(Table73[[#This Row],[United States 10y]]-Table73[[#This Row],[United States 2y]],#N/A)</f>
        <v/>
      </c>
    </row>
    <row r="1986">
      <c r="A1986" s="6">
        <f>Database!A1985</f>
        <v/>
      </c>
      <c r="B1986">
        <f>IF(VLOOKUP(Table73[[#This Row],[Date]],Database!$A:$E,MATCH($B$1,Database!$A$1:$E$1,),)=0,#N/A,VLOOKUP(Table73[[#This Row],[Date]],Database!$A:$E,MATCH($B$1,Database!$A$1:$E$1,),))</f>
        <v/>
      </c>
      <c r="C1986">
        <f>IF(VLOOKUP(Table73[[#This Row],[Date]],Database!$A:$C,MATCH($C$1,Database!$A$1:$C$1,),)=0,#N/A,VLOOKUP(Table73[[#This Row],[Date]],Database!$A:$C,MATCH($C$1,Database!$A$1:$C$1,),))</f>
        <v/>
      </c>
      <c r="D1986">
        <f>IFERROR(Table73[[#This Row],[United States 10y]]-Table73[[#This Row],[United States 2y]],#N/A)</f>
        <v/>
      </c>
    </row>
    <row r="1987">
      <c r="A1987" s="6">
        <f>Database!A1986</f>
        <v/>
      </c>
      <c r="B1987">
        <f>IF(VLOOKUP(Table73[[#This Row],[Date]],Database!$A:$E,MATCH($B$1,Database!$A$1:$E$1,),)=0,#N/A,VLOOKUP(Table73[[#This Row],[Date]],Database!$A:$E,MATCH($B$1,Database!$A$1:$E$1,),))</f>
        <v/>
      </c>
      <c r="C1987">
        <f>IF(VLOOKUP(Table73[[#This Row],[Date]],Database!$A:$C,MATCH($C$1,Database!$A$1:$C$1,),)=0,#N/A,VLOOKUP(Table73[[#This Row],[Date]],Database!$A:$C,MATCH($C$1,Database!$A$1:$C$1,),))</f>
        <v/>
      </c>
      <c r="D1987">
        <f>IFERROR(Table73[[#This Row],[United States 10y]]-Table73[[#This Row],[United States 2y]],#N/A)</f>
        <v/>
      </c>
    </row>
    <row r="1988">
      <c r="A1988" s="6">
        <f>Database!A1987</f>
        <v/>
      </c>
      <c r="B1988">
        <f>IF(VLOOKUP(Table73[[#This Row],[Date]],Database!$A:$E,MATCH($B$1,Database!$A$1:$E$1,),)=0,#N/A,VLOOKUP(Table73[[#This Row],[Date]],Database!$A:$E,MATCH($B$1,Database!$A$1:$E$1,),))</f>
        <v/>
      </c>
      <c r="C1988">
        <f>IF(VLOOKUP(Table73[[#This Row],[Date]],Database!$A:$C,MATCH($C$1,Database!$A$1:$C$1,),)=0,#N/A,VLOOKUP(Table73[[#This Row],[Date]],Database!$A:$C,MATCH($C$1,Database!$A$1:$C$1,),))</f>
        <v/>
      </c>
      <c r="D1988">
        <f>IFERROR(Table73[[#This Row],[United States 10y]]-Table73[[#This Row],[United States 2y]],#N/A)</f>
        <v/>
      </c>
    </row>
    <row r="1989">
      <c r="A1989" s="6">
        <f>Database!A1988</f>
        <v/>
      </c>
      <c r="B1989">
        <f>IF(VLOOKUP(Table73[[#This Row],[Date]],Database!$A:$E,MATCH($B$1,Database!$A$1:$E$1,),)=0,#N/A,VLOOKUP(Table73[[#This Row],[Date]],Database!$A:$E,MATCH($B$1,Database!$A$1:$E$1,),))</f>
        <v/>
      </c>
      <c r="C1989">
        <f>IF(VLOOKUP(Table73[[#This Row],[Date]],Database!$A:$C,MATCH($C$1,Database!$A$1:$C$1,),)=0,#N/A,VLOOKUP(Table73[[#This Row],[Date]],Database!$A:$C,MATCH($C$1,Database!$A$1:$C$1,),))</f>
        <v/>
      </c>
      <c r="D1989">
        <f>IFERROR(Table73[[#This Row],[United States 10y]]-Table73[[#This Row],[United States 2y]],#N/A)</f>
        <v/>
      </c>
    </row>
    <row r="1990">
      <c r="A1990" s="6">
        <f>Database!A1989</f>
        <v/>
      </c>
      <c r="B1990">
        <f>IF(VLOOKUP(Table73[[#This Row],[Date]],Database!$A:$E,MATCH($B$1,Database!$A$1:$E$1,),)=0,#N/A,VLOOKUP(Table73[[#This Row],[Date]],Database!$A:$E,MATCH($B$1,Database!$A$1:$E$1,),))</f>
        <v/>
      </c>
      <c r="C1990">
        <f>IF(VLOOKUP(Table73[[#This Row],[Date]],Database!$A:$C,MATCH($C$1,Database!$A$1:$C$1,),)=0,#N/A,VLOOKUP(Table73[[#This Row],[Date]],Database!$A:$C,MATCH($C$1,Database!$A$1:$C$1,),))</f>
        <v/>
      </c>
      <c r="D1990">
        <f>IFERROR(Table73[[#This Row],[United States 10y]]-Table73[[#This Row],[United States 2y]],#N/A)</f>
        <v/>
      </c>
    </row>
    <row r="1991">
      <c r="A1991" s="6">
        <f>Database!A1990</f>
        <v/>
      </c>
      <c r="B1991">
        <f>IF(VLOOKUP(Table73[[#This Row],[Date]],Database!$A:$E,MATCH($B$1,Database!$A$1:$E$1,),)=0,#N/A,VLOOKUP(Table73[[#This Row],[Date]],Database!$A:$E,MATCH($B$1,Database!$A$1:$E$1,),))</f>
        <v/>
      </c>
      <c r="C1991">
        <f>IF(VLOOKUP(Table73[[#This Row],[Date]],Database!$A:$C,MATCH($C$1,Database!$A$1:$C$1,),)=0,#N/A,VLOOKUP(Table73[[#This Row],[Date]],Database!$A:$C,MATCH($C$1,Database!$A$1:$C$1,),))</f>
        <v/>
      </c>
      <c r="D1991">
        <f>IFERROR(Table73[[#This Row],[United States 10y]]-Table73[[#This Row],[United States 2y]],#N/A)</f>
        <v/>
      </c>
    </row>
    <row r="1992">
      <c r="A1992" s="6">
        <f>Database!A1991</f>
        <v/>
      </c>
      <c r="B1992">
        <f>IF(VLOOKUP(Table73[[#This Row],[Date]],Database!$A:$E,MATCH($B$1,Database!$A$1:$E$1,),)=0,#N/A,VLOOKUP(Table73[[#This Row],[Date]],Database!$A:$E,MATCH($B$1,Database!$A$1:$E$1,),))</f>
        <v/>
      </c>
      <c r="C1992">
        <f>IF(VLOOKUP(Table73[[#This Row],[Date]],Database!$A:$C,MATCH($C$1,Database!$A$1:$C$1,),)=0,#N/A,VLOOKUP(Table73[[#This Row],[Date]],Database!$A:$C,MATCH($C$1,Database!$A$1:$C$1,),))</f>
        <v/>
      </c>
      <c r="D1992">
        <f>IFERROR(Table73[[#This Row],[United States 10y]]-Table73[[#This Row],[United States 2y]],#N/A)</f>
        <v/>
      </c>
    </row>
    <row r="1993">
      <c r="A1993" s="6">
        <f>Database!A1992</f>
        <v/>
      </c>
      <c r="B1993">
        <f>IF(VLOOKUP(Table73[[#This Row],[Date]],Database!$A:$E,MATCH($B$1,Database!$A$1:$E$1,),)=0,#N/A,VLOOKUP(Table73[[#This Row],[Date]],Database!$A:$E,MATCH($B$1,Database!$A$1:$E$1,),))</f>
        <v/>
      </c>
      <c r="C1993">
        <f>IF(VLOOKUP(Table73[[#This Row],[Date]],Database!$A:$C,MATCH($C$1,Database!$A$1:$C$1,),)=0,#N/A,VLOOKUP(Table73[[#This Row],[Date]],Database!$A:$C,MATCH($C$1,Database!$A$1:$C$1,),))</f>
        <v/>
      </c>
      <c r="D1993">
        <f>IFERROR(Table73[[#This Row],[United States 10y]]-Table73[[#This Row],[United States 2y]],#N/A)</f>
        <v/>
      </c>
    </row>
    <row r="1994">
      <c r="A1994" s="6">
        <f>Database!A1993</f>
        <v/>
      </c>
      <c r="B1994">
        <f>IF(VLOOKUP(Table73[[#This Row],[Date]],Database!$A:$E,MATCH($B$1,Database!$A$1:$E$1,),)=0,#N/A,VLOOKUP(Table73[[#This Row],[Date]],Database!$A:$E,MATCH($B$1,Database!$A$1:$E$1,),))</f>
        <v/>
      </c>
      <c r="C1994">
        <f>IF(VLOOKUP(Table73[[#This Row],[Date]],Database!$A:$C,MATCH($C$1,Database!$A$1:$C$1,),)=0,#N/A,VLOOKUP(Table73[[#This Row],[Date]],Database!$A:$C,MATCH($C$1,Database!$A$1:$C$1,),))</f>
        <v/>
      </c>
      <c r="D1994">
        <f>IFERROR(Table73[[#This Row],[United States 10y]]-Table73[[#This Row],[United States 2y]],#N/A)</f>
        <v/>
      </c>
    </row>
    <row r="1995">
      <c r="A1995" s="6">
        <f>Database!A1994</f>
        <v/>
      </c>
      <c r="B1995">
        <f>IF(VLOOKUP(Table73[[#This Row],[Date]],Database!$A:$E,MATCH($B$1,Database!$A$1:$E$1,),)=0,#N/A,VLOOKUP(Table73[[#This Row],[Date]],Database!$A:$E,MATCH($B$1,Database!$A$1:$E$1,),))</f>
        <v/>
      </c>
      <c r="C1995">
        <f>IF(VLOOKUP(Table73[[#This Row],[Date]],Database!$A:$C,MATCH($C$1,Database!$A$1:$C$1,),)=0,#N/A,VLOOKUP(Table73[[#This Row],[Date]],Database!$A:$C,MATCH($C$1,Database!$A$1:$C$1,),))</f>
        <v/>
      </c>
      <c r="D1995">
        <f>IFERROR(Table73[[#This Row],[United States 10y]]-Table73[[#This Row],[United States 2y]],#N/A)</f>
        <v/>
      </c>
    </row>
    <row r="1996">
      <c r="A1996" s="6">
        <f>Database!A1995</f>
        <v/>
      </c>
      <c r="B1996">
        <f>IF(VLOOKUP(Table73[[#This Row],[Date]],Database!$A:$E,MATCH($B$1,Database!$A$1:$E$1,),)=0,#N/A,VLOOKUP(Table73[[#This Row],[Date]],Database!$A:$E,MATCH($B$1,Database!$A$1:$E$1,),))</f>
        <v/>
      </c>
      <c r="C1996">
        <f>IF(VLOOKUP(Table73[[#This Row],[Date]],Database!$A:$C,MATCH($C$1,Database!$A$1:$C$1,),)=0,#N/A,VLOOKUP(Table73[[#This Row],[Date]],Database!$A:$C,MATCH($C$1,Database!$A$1:$C$1,),))</f>
        <v/>
      </c>
      <c r="D1996">
        <f>IFERROR(Table73[[#This Row],[United States 10y]]-Table73[[#This Row],[United States 2y]],#N/A)</f>
        <v/>
      </c>
    </row>
    <row r="1997">
      <c r="A1997" s="6">
        <f>Database!A1996</f>
        <v/>
      </c>
      <c r="B1997">
        <f>IF(VLOOKUP(Table73[[#This Row],[Date]],Database!$A:$E,MATCH($B$1,Database!$A$1:$E$1,),)=0,#N/A,VLOOKUP(Table73[[#This Row],[Date]],Database!$A:$E,MATCH($B$1,Database!$A$1:$E$1,),))</f>
        <v/>
      </c>
      <c r="C1997">
        <f>IF(VLOOKUP(Table73[[#This Row],[Date]],Database!$A:$C,MATCH($C$1,Database!$A$1:$C$1,),)=0,#N/A,VLOOKUP(Table73[[#This Row],[Date]],Database!$A:$C,MATCH($C$1,Database!$A$1:$C$1,),))</f>
        <v/>
      </c>
      <c r="D1997">
        <f>IFERROR(Table73[[#This Row],[United States 10y]]-Table73[[#This Row],[United States 2y]],#N/A)</f>
        <v/>
      </c>
    </row>
    <row r="1998">
      <c r="A1998" s="6">
        <f>Database!A1997</f>
        <v/>
      </c>
      <c r="B1998">
        <f>IF(VLOOKUP(Table73[[#This Row],[Date]],Database!$A:$E,MATCH($B$1,Database!$A$1:$E$1,),)=0,#N/A,VLOOKUP(Table73[[#This Row],[Date]],Database!$A:$E,MATCH($B$1,Database!$A$1:$E$1,),))</f>
        <v/>
      </c>
      <c r="C1998">
        <f>IF(VLOOKUP(Table73[[#This Row],[Date]],Database!$A:$C,MATCH($C$1,Database!$A$1:$C$1,),)=0,#N/A,VLOOKUP(Table73[[#This Row],[Date]],Database!$A:$C,MATCH($C$1,Database!$A$1:$C$1,),))</f>
        <v/>
      </c>
      <c r="D1998">
        <f>IFERROR(Table73[[#This Row],[United States 10y]]-Table73[[#This Row],[United States 2y]],#N/A)</f>
        <v/>
      </c>
    </row>
    <row r="1999">
      <c r="A1999" s="6">
        <f>Database!A1998</f>
        <v/>
      </c>
      <c r="B1999">
        <f>IF(VLOOKUP(Table73[[#This Row],[Date]],Database!$A:$E,MATCH($B$1,Database!$A$1:$E$1,),)=0,#N/A,VLOOKUP(Table73[[#This Row],[Date]],Database!$A:$E,MATCH($B$1,Database!$A$1:$E$1,),))</f>
        <v/>
      </c>
      <c r="C1999">
        <f>IF(VLOOKUP(Table73[[#This Row],[Date]],Database!$A:$C,MATCH($C$1,Database!$A$1:$C$1,),)=0,#N/A,VLOOKUP(Table73[[#This Row],[Date]],Database!$A:$C,MATCH($C$1,Database!$A$1:$C$1,),))</f>
        <v/>
      </c>
      <c r="D1999">
        <f>IFERROR(Table73[[#This Row],[United States 10y]]-Table73[[#This Row],[United States 2y]],#N/A)</f>
        <v/>
      </c>
    </row>
    <row r="2000">
      <c r="A2000" s="6">
        <f>Database!A1999</f>
        <v/>
      </c>
      <c r="B2000">
        <f>IF(VLOOKUP(Table73[[#This Row],[Date]],Database!$A:$E,MATCH($B$1,Database!$A$1:$E$1,),)=0,#N/A,VLOOKUP(Table73[[#This Row],[Date]],Database!$A:$E,MATCH($B$1,Database!$A$1:$E$1,),))</f>
        <v/>
      </c>
      <c r="C2000">
        <f>IF(VLOOKUP(Table73[[#This Row],[Date]],Database!$A:$C,MATCH($C$1,Database!$A$1:$C$1,),)=0,#N/A,VLOOKUP(Table73[[#This Row],[Date]],Database!$A:$C,MATCH($C$1,Database!$A$1:$C$1,),))</f>
        <v/>
      </c>
      <c r="D2000">
        <f>IFERROR(Table73[[#This Row],[United States 10y]]-Table73[[#This Row],[United States 2y]],#N/A)</f>
        <v/>
      </c>
    </row>
    <row r="2001">
      <c r="A2001" s="6">
        <f>Database!A2000</f>
        <v/>
      </c>
      <c r="B2001">
        <f>IF(VLOOKUP(Table73[[#This Row],[Date]],Database!$A:$E,MATCH($B$1,Database!$A$1:$E$1,),)=0,#N/A,VLOOKUP(Table73[[#This Row],[Date]],Database!$A:$E,MATCH($B$1,Database!$A$1:$E$1,),))</f>
        <v/>
      </c>
      <c r="C2001">
        <f>IF(VLOOKUP(Table73[[#This Row],[Date]],Database!$A:$C,MATCH($C$1,Database!$A$1:$C$1,),)=0,#N/A,VLOOKUP(Table73[[#This Row],[Date]],Database!$A:$C,MATCH($C$1,Database!$A$1:$C$1,),))</f>
        <v/>
      </c>
      <c r="D2001">
        <f>IFERROR(Table73[[#This Row],[United States 10y]]-Table73[[#This Row],[United States 2y]],#N/A)</f>
        <v/>
      </c>
    </row>
    <row r="2002">
      <c r="A2002" s="6">
        <f>Database!A2001</f>
        <v/>
      </c>
      <c r="B2002">
        <f>IF(VLOOKUP(Table73[[#This Row],[Date]],Database!$A:$E,MATCH($B$1,Database!$A$1:$E$1,),)=0,#N/A,VLOOKUP(Table73[[#This Row],[Date]],Database!$A:$E,MATCH($B$1,Database!$A$1:$E$1,),))</f>
        <v/>
      </c>
      <c r="C2002">
        <f>IF(VLOOKUP(Table73[[#This Row],[Date]],Database!$A:$C,MATCH($C$1,Database!$A$1:$C$1,),)=0,#N/A,VLOOKUP(Table73[[#This Row],[Date]],Database!$A:$C,MATCH($C$1,Database!$A$1:$C$1,),))</f>
        <v/>
      </c>
      <c r="D2002">
        <f>IFERROR(Table73[[#This Row],[United States 10y]]-Table73[[#This Row],[United States 2y]],#N/A)</f>
        <v/>
      </c>
    </row>
    <row r="2003">
      <c r="A2003" s="6">
        <f>Database!A2002</f>
        <v/>
      </c>
      <c r="B2003">
        <f>IF(VLOOKUP(Table73[[#This Row],[Date]],Database!$A:$E,MATCH($B$1,Database!$A$1:$E$1,),)=0,#N/A,VLOOKUP(Table73[[#This Row],[Date]],Database!$A:$E,MATCH($B$1,Database!$A$1:$E$1,),))</f>
        <v/>
      </c>
      <c r="C2003">
        <f>IF(VLOOKUP(Table73[[#This Row],[Date]],Database!$A:$C,MATCH($C$1,Database!$A$1:$C$1,),)=0,#N/A,VLOOKUP(Table73[[#This Row],[Date]],Database!$A:$C,MATCH($C$1,Database!$A$1:$C$1,),))</f>
        <v/>
      </c>
      <c r="D2003">
        <f>IFERROR(Table73[[#This Row],[United States 10y]]-Table73[[#This Row],[United States 2y]],#N/A)</f>
        <v/>
      </c>
    </row>
    <row r="2004">
      <c r="A2004" s="6">
        <f>Database!A2003</f>
        <v/>
      </c>
      <c r="B2004">
        <f>IF(VLOOKUP(Table73[[#This Row],[Date]],Database!$A:$E,MATCH($B$1,Database!$A$1:$E$1,),)=0,#N/A,VLOOKUP(Table73[[#This Row],[Date]],Database!$A:$E,MATCH($B$1,Database!$A$1:$E$1,),))</f>
        <v/>
      </c>
      <c r="C2004">
        <f>IF(VLOOKUP(Table73[[#This Row],[Date]],Database!$A:$C,MATCH($C$1,Database!$A$1:$C$1,),)=0,#N/A,VLOOKUP(Table73[[#This Row],[Date]],Database!$A:$C,MATCH($C$1,Database!$A$1:$C$1,),))</f>
        <v/>
      </c>
      <c r="D2004">
        <f>IFERROR(Table73[[#This Row],[United States 10y]]-Table73[[#This Row],[United States 2y]],#N/A)</f>
        <v/>
      </c>
    </row>
    <row r="2005">
      <c r="A2005" s="6">
        <f>Database!A2004</f>
        <v/>
      </c>
      <c r="B2005">
        <f>IF(VLOOKUP(Table73[[#This Row],[Date]],Database!$A:$E,MATCH($B$1,Database!$A$1:$E$1,),)=0,#N/A,VLOOKUP(Table73[[#This Row],[Date]],Database!$A:$E,MATCH($B$1,Database!$A$1:$E$1,),))</f>
        <v/>
      </c>
      <c r="C2005">
        <f>IF(VLOOKUP(Table73[[#This Row],[Date]],Database!$A:$C,MATCH($C$1,Database!$A$1:$C$1,),)=0,#N/A,VLOOKUP(Table73[[#This Row],[Date]],Database!$A:$C,MATCH($C$1,Database!$A$1:$C$1,),))</f>
        <v/>
      </c>
      <c r="D2005">
        <f>IFERROR(Table73[[#This Row],[United States 10y]]-Table73[[#This Row],[United States 2y]],#N/A)</f>
        <v/>
      </c>
    </row>
    <row r="2006">
      <c r="A2006" s="6">
        <f>Database!A2005</f>
        <v/>
      </c>
      <c r="B2006">
        <f>IF(VLOOKUP(Table73[[#This Row],[Date]],Database!$A:$E,MATCH($B$1,Database!$A$1:$E$1,),)=0,#N/A,VLOOKUP(Table73[[#This Row],[Date]],Database!$A:$E,MATCH($B$1,Database!$A$1:$E$1,),))</f>
        <v/>
      </c>
      <c r="C2006">
        <f>IF(VLOOKUP(Table73[[#This Row],[Date]],Database!$A:$C,MATCH($C$1,Database!$A$1:$C$1,),)=0,#N/A,VLOOKUP(Table73[[#This Row],[Date]],Database!$A:$C,MATCH($C$1,Database!$A$1:$C$1,),))</f>
        <v/>
      </c>
      <c r="D2006">
        <f>IFERROR(Table73[[#This Row],[United States 10y]]-Table73[[#This Row],[United States 2y]],#N/A)</f>
        <v/>
      </c>
    </row>
    <row r="2007">
      <c r="A2007" s="6">
        <f>Database!A2006</f>
        <v/>
      </c>
      <c r="B2007">
        <f>IF(VLOOKUP(Table73[[#This Row],[Date]],Database!$A:$E,MATCH($B$1,Database!$A$1:$E$1,),)=0,#N/A,VLOOKUP(Table73[[#This Row],[Date]],Database!$A:$E,MATCH($B$1,Database!$A$1:$E$1,),))</f>
        <v/>
      </c>
      <c r="C2007">
        <f>IF(VLOOKUP(Table73[[#This Row],[Date]],Database!$A:$C,MATCH($C$1,Database!$A$1:$C$1,),)=0,#N/A,VLOOKUP(Table73[[#This Row],[Date]],Database!$A:$C,MATCH($C$1,Database!$A$1:$C$1,),))</f>
        <v/>
      </c>
      <c r="D2007">
        <f>IFERROR(Table73[[#This Row],[United States 10y]]-Table73[[#This Row],[United States 2y]],#N/A)</f>
        <v/>
      </c>
    </row>
    <row r="2008">
      <c r="A2008" s="6">
        <f>Database!A2007</f>
        <v/>
      </c>
      <c r="B2008">
        <f>IF(VLOOKUP(Table73[[#This Row],[Date]],Database!$A:$E,MATCH($B$1,Database!$A$1:$E$1,),)=0,#N/A,VLOOKUP(Table73[[#This Row],[Date]],Database!$A:$E,MATCH($B$1,Database!$A$1:$E$1,),))</f>
        <v/>
      </c>
      <c r="C2008">
        <f>IF(VLOOKUP(Table73[[#This Row],[Date]],Database!$A:$C,MATCH($C$1,Database!$A$1:$C$1,),)=0,#N/A,VLOOKUP(Table73[[#This Row],[Date]],Database!$A:$C,MATCH($C$1,Database!$A$1:$C$1,),))</f>
        <v/>
      </c>
      <c r="D2008">
        <f>IFERROR(Table73[[#This Row],[United States 10y]]-Table73[[#This Row],[United States 2y]],#N/A)</f>
        <v/>
      </c>
    </row>
    <row r="2009">
      <c r="A2009" s="6">
        <f>Database!A2008</f>
        <v/>
      </c>
      <c r="B2009">
        <f>IF(VLOOKUP(Table73[[#This Row],[Date]],Database!$A:$E,MATCH($B$1,Database!$A$1:$E$1,),)=0,#N/A,VLOOKUP(Table73[[#This Row],[Date]],Database!$A:$E,MATCH($B$1,Database!$A$1:$E$1,),))</f>
        <v/>
      </c>
      <c r="C2009">
        <f>IF(VLOOKUP(Table73[[#This Row],[Date]],Database!$A:$C,MATCH($C$1,Database!$A$1:$C$1,),)=0,#N/A,VLOOKUP(Table73[[#This Row],[Date]],Database!$A:$C,MATCH($C$1,Database!$A$1:$C$1,),))</f>
        <v/>
      </c>
      <c r="D2009">
        <f>IFERROR(Table73[[#This Row],[United States 10y]]-Table73[[#This Row],[United States 2y]],#N/A)</f>
        <v/>
      </c>
    </row>
    <row r="2010">
      <c r="A2010" s="6">
        <f>Database!A2009</f>
        <v/>
      </c>
      <c r="B2010">
        <f>IF(VLOOKUP(Table73[[#This Row],[Date]],Database!$A:$E,MATCH($B$1,Database!$A$1:$E$1,),)=0,#N/A,VLOOKUP(Table73[[#This Row],[Date]],Database!$A:$E,MATCH($B$1,Database!$A$1:$E$1,),))</f>
        <v/>
      </c>
      <c r="C2010">
        <f>IF(VLOOKUP(Table73[[#This Row],[Date]],Database!$A:$C,MATCH($C$1,Database!$A$1:$C$1,),)=0,#N/A,VLOOKUP(Table73[[#This Row],[Date]],Database!$A:$C,MATCH($C$1,Database!$A$1:$C$1,),))</f>
        <v/>
      </c>
      <c r="D2010">
        <f>IFERROR(Table73[[#This Row],[United States 10y]]-Table73[[#This Row],[United States 2y]],#N/A)</f>
        <v/>
      </c>
    </row>
    <row r="2011">
      <c r="A2011" s="6">
        <f>Database!A2010</f>
        <v/>
      </c>
      <c r="B2011">
        <f>IF(VLOOKUP(Table73[[#This Row],[Date]],Database!$A:$E,MATCH($B$1,Database!$A$1:$E$1,),)=0,#N/A,VLOOKUP(Table73[[#This Row],[Date]],Database!$A:$E,MATCH($B$1,Database!$A$1:$E$1,),))</f>
        <v/>
      </c>
      <c r="C2011">
        <f>IF(VLOOKUP(Table73[[#This Row],[Date]],Database!$A:$C,MATCH($C$1,Database!$A$1:$C$1,),)=0,#N/A,VLOOKUP(Table73[[#This Row],[Date]],Database!$A:$C,MATCH($C$1,Database!$A$1:$C$1,),))</f>
        <v/>
      </c>
      <c r="D2011">
        <f>IFERROR(Table73[[#This Row],[United States 10y]]-Table73[[#This Row],[United States 2y]],#N/A)</f>
        <v/>
      </c>
    </row>
    <row r="2012">
      <c r="A2012" s="6">
        <f>Database!A2011</f>
        <v/>
      </c>
      <c r="B2012">
        <f>IF(VLOOKUP(Table73[[#This Row],[Date]],Database!$A:$E,MATCH($B$1,Database!$A$1:$E$1,),)=0,#N/A,VLOOKUP(Table73[[#This Row],[Date]],Database!$A:$E,MATCH($B$1,Database!$A$1:$E$1,),))</f>
        <v/>
      </c>
      <c r="C2012">
        <f>IF(VLOOKUP(Table73[[#This Row],[Date]],Database!$A:$C,MATCH($C$1,Database!$A$1:$C$1,),)=0,#N/A,VLOOKUP(Table73[[#This Row],[Date]],Database!$A:$C,MATCH($C$1,Database!$A$1:$C$1,),))</f>
        <v/>
      </c>
      <c r="D2012">
        <f>IFERROR(Table73[[#This Row],[United States 10y]]-Table73[[#This Row],[United States 2y]],#N/A)</f>
        <v/>
      </c>
    </row>
    <row r="2013">
      <c r="A2013" s="6">
        <f>Database!A2012</f>
        <v/>
      </c>
      <c r="B2013">
        <f>IF(VLOOKUP(Table73[[#This Row],[Date]],Database!$A:$E,MATCH($B$1,Database!$A$1:$E$1,),)=0,#N/A,VLOOKUP(Table73[[#This Row],[Date]],Database!$A:$E,MATCH($B$1,Database!$A$1:$E$1,),))</f>
        <v/>
      </c>
      <c r="C2013">
        <f>IF(VLOOKUP(Table73[[#This Row],[Date]],Database!$A:$C,MATCH($C$1,Database!$A$1:$C$1,),)=0,#N/A,VLOOKUP(Table73[[#This Row],[Date]],Database!$A:$C,MATCH($C$1,Database!$A$1:$C$1,),))</f>
        <v/>
      </c>
      <c r="D2013">
        <f>IFERROR(Table73[[#This Row],[United States 10y]]-Table73[[#This Row],[United States 2y]],#N/A)</f>
        <v/>
      </c>
    </row>
    <row r="2014">
      <c r="A2014" s="6">
        <f>Database!A2013</f>
        <v/>
      </c>
      <c r="B2014">
        <f>IF(VLOOKUP(Table73[[#This Row],[Date]],Database!$A:$E,MATCH($B$1,Database!$A$1:$E$1,),)=0,#N/A,VLOOKUP(Table73[[#This Row],[Date]],Database!$A:$E,MATCH($B$1,Database!$A$1:$E$1,),))</f>
        <v/>
      </c>
      <c r="C2014">
        <f>IF(VLOOKUP(Table73[[#This Row],[Date]],Database!$A:$C,MATCH($C$1,Database!$A$1:$C$1,),)=0,#N/A,VLOOKUP(Table73[[#This Row],[Date]],Database!$A:$C,MATCH($C$1,Database!$A$1:$C$1,),))</f>
        <v/>
      </c>
      <c r="D2014">
        <f>IFERROR(Table73[[#This Row],[United States 10y]]-Table73[[#This Row],[United States 2y]],#N/A)</f>
        <v/>
      </c>
    </row>
    <row r="2015">
      <c r="A2015" s="6">
        <f>Database!A2014</f>
        <v/>
      </c>
      <c r="B2015">
        <f>IF(VLOOKUP(Table73[[#This Row],[Date]],Database!$A:$E,MATCH($B$1,Database!$A$1:$E$1,),)=0,#N/A,VLOOKUP(Table73[[#This Row],[Date]],Database!$A:$E,MATCH($B$1,Database!$A$1:$E$1,),))</f>
        <v/>
      </c>
      <c r="C2015">
        <f>IF(VLOOKUP(Table73[[#This Row],[Date]],Database!$A:$C,MATCH($C$1,Database!$A$1:$C$1,),)=0,#N/A,VLOOKUP(Table73[[#This Row],[Date]],Database!$A:$C,MATCH($C$1,Database!$A$1:$C$1,),))</f>
        <v/>
      </c>
      <c r="D2015">
        <f>IFERROR(Table73[[#This Row],[United States 10y]]-Table73[[#This Row],[United States 2y]],#N/A)</f>
        <v/>
      </c>
    </row>
    <row r="2016">
      <c r="A2016" s="6">
        <f>Database!A2015</f>
        <v/>
      </c>
      <c r="B2016">
        <f>IF(VLOOKUP(Table73[[#This Row],[Date]],Database!$A:$E,MATCH($B$1,Database!$A$1:$E$1,),)=0,#N/A,VLOOKUP(Table73[[#This Row],[Date]],Database!$A:$E,MATCH($B$1,Database!$A$1:$E$1,),))</f>
        <v/>
      </c>
      <c r="C2016">
        <f>IF(VLOOKUP(Table73[[#This Row],[Date]],Database!$A:$C,MATCH($C$1,Database!$A$1:$C$1,),)=0,#N/A,VLOOKUP(Table73[[#This Row],[Date]],Database!$A:$C,MATCH($C$1,Database!$A$1:$C$1,),))</f>
        <v/>
      </c>
      <c r="D2016">
        <f>IFERROR(Table73[[#This Row],[United States 10y]]-Table73[[#This Row],[United States 2y]],#N/A)</f>
        <v/>
      </c>
    </row>
    <row r="2017">
      <c r="A2017" s="6">
        <f>Database!A2016</f>
        <v/>
      </c>
      <c r="B2017">
        <f>IF(VLOOKUP(Table73[[#This Row],[Date]],Database!$A:$E,MATCH($B$1,Database!$A$1:$E$1,),)=0,#N/A,VLOOKUP(Table73[[#This Row],[Date]],Database!$A:$E,MATCH($B$1,Database!$A$1:$E$1,),))</f>
        <v/>
      </c>
      <c r="C2017">
        <f>IF(VLOOKUP(Table73[[#This Row],[Date]],Database!$A:$C,MATCH($C$1,Database!$A$1:$C$1,),)=0,#N/A,VLOOKUP(Table73[[#This Row],[Date]],Database!$A:$C,MATCH($C$1,Database!$A$1:$C$1,),))</f>
        <v/>
      </c>
      <c r="D2017">
        <f>IFERROR(Table73[[#This Row],[United States 10y]]-Table73[[#This Row],[United States 2y]],#N/A)</f>
        <v/>
      </c>
    </row>
    <row r="2018">
      <c r="A2018" s="6">
        <f>Database!A2017</f>
        <v/>
      </c>
      <c r="B2018">
        <f>IF(VLOOKUP(Table73[[#This Row],[Date]],Database!$A:$E,MATCH($B$1,Database!$A$1:$E$1,),)=0,#N/A,VLOOKUP(Table73[[#This Row],[Date]],Database!$A:$E,MATCH($B$1,Database!$A$1:$E$1,),))</f>
        <v/>
      </c>
      <c r="C2018">
        <f>IF(VLOOKUP(Table73[[#This Row],[Date]],Database!$A:$C,MATCH($C$1,Database!$A$1:$C$1,),)=0,#N/A,VLOOKUP(Table73[[#This Row],[Date]],Database!$A:$C,MATCH($C$1,Database!$A$1:$C$1,),))</f>
        <v/>
      </c>
      <c r="D2018">
        <f>IFERROR(Table73[[#This Row],[United States 10y]]-Table73[[#This Row],[United States 2y]],#N/A)</f>
        <v/>
      </c>
    </row>
    <row r="2019">
      <c r="A2019" s="6">
        <f>Database!A2018</f>
        <v/>
      </c>
      <c r="B2019">
        <f>IF(VLOOKUP(Table73[[#This Row],[Date]],Database!$A:$E,MATCH($B$1,Database!$A$1:$E$1,),)=0,#N/A,VLOOKUP(Table73[[#This Row],[Date]],Database!$A:$E,MATCH($B$1,Database!$A$1:$E$1,),))</f>
        <v/>
      </c>
      <c r="C2019">
        <f>IF(VLOOKUP(Table73[[#This Row],[Date]],Database!$A:$C,MATCH($C$1,Database!$A$1:$C$1,),)=0,#N/A,VLOOKUP(Table73[[#This Row],[Date]],Database!$A:$C,MATCH($C$1,Database!$A$1:$C$1,),))</f>
        <v/>
      </c>
      <c r="D2019">
        <f>IFERROR(Table73[[#This Row],[United States 10y]]-Table73[[#This Row],[United States 2y]],#N/A)</f>
        <v/>
      </c>
    </row>
    <row r="2020">
      <c r="A2020" s="6">
        <f>Database!A2019</f>
        <v/>
      </c>
      <c r="B2020">
        <f>IF(VLOOKUP(Table73[[#This Row],[Date]],Database!$A:$E,MATCH($B$1,Database!$A$1:$E$1,),)=0,#N/A,VLOOKUP(Table73[[#This Row],[Date]],Database!$A:$E,MATCH($B$1,Database!$A$1:$E$1,),))</f>
        <v/>
      </c>
      <c r="C2020">
        <f>IF(VLOOKUP(Table73[[#This Row],[Date]],Database!$A:$C,MATCH($C$1,Database!$A$1:$C$1,),)=0,#N/A,VLOOKUP(Table73[[#This Row],[Date]],Database!$A:$C,MATCH($C$1,Database!$A$1:$C$1,),))</f>
        <v/>
      </c>
      <c r="D2020">
        <f>IFERROR(Table73[[#This Row],[United States 10y]]-Table73[[#This Row],[United States 2y]],#N/A)</f>
        <v/>
      </c>
    </row>
    <row r="2021">
      <c r="A2021" s="6">
        <f>Database!A2020</f>
        <v/>
      </c>
      <c r="B2021">
        <f>IF(VLOOKUP(Table73[[#This Row],[Date]],Database!$A:$E,MATCH($B$1,Database!$A$1:$E$1,),)=0,#N/A,VLOOKUP(Table73[[#This Row],[Date]],Database!$A:$E,MATCH($B$1,Database!$A$1:$E$1,),))</f>
        <v/>
      </c>
      <c r="C2021">
        <f>IF(VLOOKUP(Table73[[#This Row],[Date]],Database!$A:$C,MATCH($C$1,Database!$A$1:$C$1,),)=0,#N/A,VLOOKUP(Table73[[#This Row],[Date]],Database!$A:$C,MATCH($C$1,Database!$A$1:$C$1,),))</f>
        <v/>
      </c>
      <c r="D2021">
        <f>IFERROR(Table73[[#This Row],[United States 10y]]-Table73[[#This Row],[United States 2y]],#N/A)</f>
        <v/>
      </c>
    </row>
    <row r="2022">
      <c r="A2022" s="6">
        <f>Database!A2021</f>
        <v/>
      </c>
      <c r="B2022">
        <f>IF(VLOOKUP(Table73[[#This Row],[Date]],Database!$A:$E,MATCH($B$1,Database!$A$1:$E$1,),)=0,#N/A,VLOOKUP(Table73[[#This Row],[Date]],Database!$A:$E,MATCH($B$1,Database!$A$1:$E$1,),))</f>
        <v/>
      </c>
      <c r="C2022">
        <f>IF(VLOOKUP(Table73[[#This Row],[Date]],Database!$A:$C,MATCH($C$1,Database!$A$1:$C$1,),)=0,#N/A,VLOOKUP(Table73[[#This Row],[Date]],Database!$A:$C,MATCH($C$1,Database!$A$1:$C$1,),))</f>
        <v/>
      </c>
      <c r="D2022">
        <f>IFERROR(Table73[[#This Row],[United States 10y]]-Table73[[#This Row],[United States 2y]],#N/A)</f>
        <v/>
      </c>
    </row>
    <row r="2023">
      <c r="A2023" s="6">
        <f>Database!A2022</f>
        <v/>
      </c>
      <c r="B2023">
        <f>IF(VLOOKUP(Table73[[#This Row],[Date]],Database!$A:$E,MATCH($B$1,Database!$A$1:$E$1,),)=0,#N/A,VLOOKUP(Table73[[#This Row],[Date]],Database!$A:$E,MATCH($B$1,Database!$A$1:$E$1,),))</f>
        <v/>
      </c>
      <c r="C2023">
        <f>IF(VLOOKUP(Table73[[#This Row],[Date]],Database!$A:$C,MATCH($C$1,Database!$A$1:$C$1,),)=0,#N/A,VLOOKUP(Table73[[#This Row],[Date]],Database!$A:$C,MATCH($C$1,Database!$A$1:$C$1,),))</f>
        <v/>
      </c>
      <c r="D2023">
        <f>IFERROR(Table73[[#This Row],[United States 10y]]-Table73[[#This Row],[United States 2y]],#N/A)</f>
        <v/>
      </c>
    </row>
    <row r="2024">
      <c r="A2024" s="6">
        <f>Database!A2023</f>
        <v/>
      </c>
      <c r="B2024">
        <f>IF(VLOOKUP(Table73[[#This Row],[Date]],Database!$A:$E,MATCH($B$1,Database!$A$1:$E$1,),)=0,#N/A,VLOOKUP(Table73[[#This Row],[Date]],Database!$A:$E,MATCH($B$1,Database!$A$1:$E$1,),))</f>
        <v/>
      </c>
      <c r="C2024">
        <f>IF(VLOOKUP(Table73[[#This Row],[Date]],Database!$A:$C,MATCH($C$1,Database!$A$1:$C$1,),)=0,#N/A,VLOOKUP(Table73[[#This Row],[Date]],Database!$A:$C,MATCH($C$1,Database!$A$1:$C$1,),))</f>
        <v/>
      </c>
      <c r="D2024">
        <f>IFERROR(Table73[[#This Row],[United States 10y]]-Table73[[#This Row],[United States 2y]],#N/A)</f>
        <v/>
      </c>
    </row>
    <row r="2025">
      <c r="A2025" s="6">
        <f>Database!A2024</f>
        <v/>
      </c>
      <c r="B2025">
        <f>IF(VLOOKUP(Table73[[#This Row],[Date]],Database!$A:$E,MATCH($B$1,Database!$A$1:$E$1,),)=0,#N/A,VLOOKUP(Table73[[#This Row],[Date]],Database!$A:$E,MATCH($B$1,Database!$A$1:$E$1,),))</f>
        <v/>
      </c>
      <c r="C2025">
        <f>IF(VLOOKUP(Table73[[#This Row],[Date]],Database!$A:$C,MATCH($C$1,Database!$A$1:$C$1,),)=0,#N/A,VLOOKUP(Table73[[#This Row],[Date]],Database!$A:$C,MATCH($C$1,Database!$A$1:$C$1,),))</f>
        <v/>
      </c>
      <c r="D2025">
        <f>IFERROR(Table73[[#This Row],[United States 10y]]-Table73[[#This Row],[United States 2y]],#N/A)</f>
        <v/>
      </c>
    </row>
    <row r="2026">
      <c r="A2026" s="6">
        <f>Database!A2025</f>
        <v/>
      </c>
      <c r="B2026">
        <f>IF(VLOOKUP(Table73[[#This Row],[Date]],Database!$A:$E,MATCH($B$1,Database!$A$1:$E$1,),)=0,#N/A,VLOOKUP(Table73[[#This Row],[Date]],Database!$A:$E,MATCH($B$1,Database!$A$1:$E$1,),))</f>
        <v/>
      </c>
      <c r="C2026">
        <f>IF(VLOOKUP(Table73[[#This Row],[Date]],Database!$A:$C,MATCH($C$1,Database!$A$1:$C$1,),)=0,#N/A,VLOOKUP(Table73[[#This Row],[Date]],Database!$A:$C,MATCH($C$1,Database!$A$1:$C$1,),))</f>
        <v/>
      </c>
      <c r="D2026">
        <f>IFERROR(Table73[[#This Row],[United States 10y]]-Table73[[#This Row],[United States 2y]],#N/A)</f>
        <v/>
      </c>
    </row>
    <row r="2027">
      <c r="A2027" s="6">
        <f>Database!A2026</f>
        <v/>
      </c>
      <c r="B2027">
        <f>IF(VLOOKUP(Table73[[#This Row],[Date]],Database!$A:$E,MATCH($B$1,Database!$A$1:$E$1,),)=0,#N/A,VLOOKUP(Table73[[#This Row],[Date]],Database!$A:$E,MATCH($B$1,Database!$A$1:$E$1,),))</f>
        <v/>
      </c>
      <c r="C2027">
        <f>IF(VLOOKUP(Table73[[#This Row],[Date]],Database!$A:$C,MATCH($C$1,Database!$A$1:$C$1,),)=0,#N/A,VLOOKUP(Table73[[#This Row],[Date]],Database!$A:$C,MATCH($C$1,Database!$A$1:$C$1,),))</f>
        <v/>
      </c>
      <c r="D2027">
        <f>IFERROR(Table73[[#This Row],[United States 10y]]-Table73[[#This Row],[United States 2y]],#N/A)</f>
        <v/>
      </c>
    </row>
    <row r="2028">
      <c r="A2028" s="6">
        <f>Database!A2027</f>
        <v/>
      </c>
      <c r="B2028">
        <f>IF(VLOOKUP(Table73[[#This Row],[Date]],Database!$A:$E,MATCH($B$1,Database!$A$1:$E$1,),)=0,#N/A,VLOOKUP(Table73[[#This Row],[Date]],Database!$A:$E,MATCH($B$1,Database!$A$1:$E$1,),))</f>
        <v/>
      </c>
      <c r="C2028">
        <f>IF(VLOOKUP(Table73[[#This Row],[Date]],Database!$A:$C,MATCH($C$1,Database!$A$1:$C$1,),)=0,#N/A,VLOOKUP(Table73[[#This Row],[Date]],Database!$A:$C,MATCH($C$1,Database!$A$1:$C$1,),))</f>
        <v/>
      </c>
      <c r="D2028">
        <f>IFERROR(Table73[[#This Row],[United States 10y]]-Table73[[#This Row],[United States 2y]],#N/A)</f>
        <v/>
      </c>
    </row>
    <row r="2029">
      <c r="A2029" s="6">
        <f>Database!A2028</f>
        <v/>
      </c>
      <c r="B2029">
        <f>IF(VLOOKUP(Table73[[#This Row],[Date]],Database!$A:$E,MATCH($B$1,Database!$A$1:$E$1,),)=0,#N/A,VLOOKUP(Table73[[#This Row],[Date]],Database!$A:$E,MATCH($B$1,Database!$A$1:$E$1,),))</f>
        <v/>
      </c>
      <c r="C2029">
        <f>IF(VLOOKUP(Table73[[#This Row],[Date]],Database!$A:$C,MATCH($C$1,Database!$A$1:$C$1,),)=0,#N/A,VLOOKUP(Table73[[#This Row],[Date]],Database!$A:$C,MATCH($C$1,Database!$A$1:$C$1,),))</f>
        <v/>
      </c>
      <c r="D2029">
        <f>IFERROR(Table73[[#This Row],[United States 10y]]-Table73[[#This Row],[United States 2y]],#N/A)</f>
        <v/>
      </c>
    </row>
    <row r="2030">
      <c r="A2030" s="6">
        <f>Database!A2029</f>
        <v/>
      </c>
      <c r="B2030">
        <f>IF(VLOOKUP(Table73[[#This Row],[Date]],Database!$A:$E,MATCH($B$1,Database!$A$1:$E$1,),)=0,#N/A,VLOOKUP(Table73[[#This Row],[Date]],Database!$A:$E,MATCH($B$1,Database!$A$1:$E$1,),))</f>
        <v/>
      </c>
      <c r="C2030">
        <f>IF(VLOOKUP(Table73[[#This Row],[Date]],Database!$A:$C,MATCH($C$1,Database!$A$1:$C$1,),)=0,#N/A,VLOOKUP(Table73[[#This Row],[Date]],Database!$A:$C,MATCH($C$1,Database!$A$1:$C$1,),))</f>
        <v/>
      </c>
      <c r="D2030">
        <f>IFERROR(Table73[[#This Row],[United States 10y]]-Table73[[#This Row],[United States 2y]],#N/A)</f>
        <v/>
      </c>
    </row>
    <row r="2031">
      <c r="A2031" s="6">
        <f>Database!A2030</f>
        <v/>
      </c>
      <c r="B2031">
        <f>IF(VLOOKUP(Table73[[#This Row],[Date]],Database!$A:$E,MATCH($B$1,Database!$A$1:$E$1,),)=0,#N/A,VLOOKUP(Table73[[#This Row],[Date]],Database!$A:$E,MATCH($B$1,Database!$A$1:$E$1,),))</f>
        <v/>
      </c>
      <c r="C2031">
        <f>IF(VLOOKUP(Table73[[#This Row],[Date]],Database!$A:$C,MATCH($C$1,Database!$A$1:$C$1,),)=0,#N/A,VLOOKUP(Table73[[#This Row],[Date]],Database!$A:$C,MATCH($C$1,Database!$A$1:$C$1,),))</f>
        <v/>
      </c>
      <c r="D2031">
        <f>IFERROR(Table73[[#This Row],[United States 10y]]-Table73[[#This Row],[United States 2y]],#N/A)</f>
        <v/>
      </c>
    </row>
    <row r="2032">
      <c r="A2032" s="6">
        <f>Database!A2031</f>
        <v/>
      </c>
      <c r="B2032">
        <f>IF(VLOOKUP(Table73[[#This Row],[Date]],Database!$A:$E,MATCH($B$1,Database!$A$1:$E$1,),)=0,#N/A,VLOOKUP(Table73[[#This Row],[Date]],Database!$A:$E,MATCH($B$1,Database!$A$1:$E$1,),))</f>
        <v/>
      </c>
      <c r="C2032">
        <f>IF(VLOOKUP(Table73[[#This Row],[Date]],Database!$A:$C,MATCH($C$1,Database!$A$1:$C$1,),)=0,#N/A,VLOOKUP(Table73[[#This Row],[Date]],Database!$A:$C,MATCH($C$1,Database!$A$1:$C$1,),))</f>
        <v/>
      </c>
      <c r="D2032">
        <f>IFERROR(Table73[[#This Row],[United States 10y]]-Table73[[#This Row],[United States 2y]],#N/A)</f>
        <v/>
      </c>
    </row>
    <row r="2033">
      <c r="A2033" s="6">
        <f>Database!A2032</f>
        <v/>
      </c>
      <c r="B2033">
        <f>IF(VLOOKUP(Table73[[#This Row],[Date]],Database!$A:$E,MATCH($B$1,Database!$A$1:$E$1,),)=0,#N/A,VLOOKUP(Table73[[#This Row],[Date]],Database!$A:$E,MATCH($B$1,Database!$A$1:$E$1,),))</f>
        <v/>
      </c>
      <c r="C2033">
        <f>IF(VLOOKUP(Table73[[#This Row],[Date]],Database!$A:$C,MATCH($C$1,Database!$A$1:$C$1,),)=0,#N/A,VLOOKUP(Table73[[#This Row],[Date]],Database!$A:$C,MATCH($C$1,Database!$A$1:$C$1,),))</f>
        <v/>
      </c>
      <c r="D2033">
        <f>IFERROR(Table73[[#This Row],[United States 10y]]-Table73[[#This Row],[United States 2y]],#N/A)</f>
        <v/>
      </c>
    </row>
    <row r="2034">
      <c r="A2034" s="6">
        <f>Database!A2033</f>
        <v/>
      </c>
      <c r="B2034">
        <f>IF(VLOOKUP(Table73[[#This Row],[Date]],Database!$A:$E,MATCH($B$1,Database!$A$1:$E$1,),)=0,#N/A,VLOOKUP(Table73[[#This Row],[Date]],Database!$A:$E,MATCH($B$1,Database!$A$1:$E$1,),))</f>
        <v/>
      </c>
      <c r="C2034">
        <f>IF(VLOOKUP(Table73[[#This Row],[Date]],Database!$A:$C,MATCH($C$1,Database!$A$1:$C$1,),)=0,#N/A,VLOOKUP(Table73[[#This Row],[Date]],Database!$A:$C,MATCH($C$1,Database!$A$1:$C$1,),))</f>
        <v/>
      </c>
      <c r="D2034">
        <f>IFERROR(Table73[[#This Row],[United States 10y]]-Table73[[#This Row],[United States 2y]],#N/A)</f>
        <v/>
      </c>
    </row>
    <row r="2035">
      <c r="A2035" s="6">
        <f>Database!A2034</f>
        <v/>
      </c>
      <c r="B2035">
        <f>IF(VLOOKUP(Table73[[#This Row],[Date]],Database!$A:$E,MATCH($B$1,Database!$A$1:$E$1,),)=0,#N/A,VLOOKUP(Table73[[#This Row],[Date]],Database!$A:$E,MATCH($B$1,Database!$A$1:$E$1,),))</f>
        <v/>
      </c>
      <c r="C2035">
        <f>IF(VLOOKUP(Table73[[#This Row],[Date]],Database!$A:$C,MATCH($C$1,Database!$A$1:$C$1,),)=0,#N/A,VLOOKUP(Table73[[#This Row],[Date]],Database!$A:$C,MATCH($C$1,Database!$A$1:$C$1,),))</f>
        <v/>
      </c>
      <c r="D2035">
        <f>IFERROR(Table73[[#This Row],[United States 10y]]-Table73[[#This Row],[United States 2y]],#N/A)</f>
        <v/>
      </c>
    </row>
    <row r="2036">
      <c r="A2036" s="6">
        <f>Database!A2035</f>
        <v/>
      </c>
      <c r="B2036">
        <f>IF(VLOOKUP(Table73[[#This Row],[Date]],Database!$A:$E,MATCH($B$1,Database!$A$1:$E$1,),)=0,#N/A,VLOOKUP(Table73[[#This Row],[Date]],Database!$A:$E,MATCH($B$1,Database!$A$1:$E$1,),))</f>
        <v/>
      </c>
      <c r="C2036">
        <f>IF(VLOOKUP(Table73[[#This Row],[Date]],Database!$A:$C,MATCH($C$1,Database!$A$1:$C$1,),)=0,#N/A,VLOOKUP(Table73[[#This Row],[Date]],Database!$A:$C,MATCH($C$1,Database!$A$1:$C$1,),))</f>
        <v/>
      </c>
      <c r="D2036">
        <f>IFERROR(Table73[[#This Row],[United States 10y]]-Table73[[#This Row],[United States 2y]],#N/A)</f>
        <v/>
      </c>
    </row>
    <row r="2037">
      <c r="A2037" s="6">
        <f>Database!A2036</f>
        <v/>
      </c>
      <c r="B2037">
        <f>IF(VLOOKUP(Table73[[#This Row],[Date]],Database!$A:$E,MATCH($B$1,Database!$A$1:$E$1,),)=0,#N/A,VLOOKUP(Table73[[#This Row],[Date]],Database!$A:$E,MATCH($B$1,Database!$A$1:$E$1,),))</f>
        <v/>
      </c>
      <c r="C2037">
        <f>IF(VLOOKUP(Table73[[#This Row],[Date]],Database!$A:$C,MATCH($C$1,Database!$A$1:$C$1,),)=0,#N/A,VLOOKUP(Table73[[#This Row],[Date]],Database!$A:$C,MATCH($C$1,Database!$A$1:$C$1,),))</f>
        <v/>
      </c>
      <c r="D2037">
        <f>IFERROR(Table73[[#This Row],[United States 10y]]-Table73[[#This Row],[United States 2y]],#N/A)</f>
        <v/>
      </c>
    </row>
    <row r="2038">
      <c r="A2038" s="6">
        <f>Database!A2037</f>
        <v/>
      </c>
      <c r="B2038">
        <f>IF(VLOOKUP(Table73[[#This Row],[Date]],Database!$A:$E,MATCH($B$1,Database!$A$1:$E$1,),)=0,#N/A,VLOOKUP(Table73[[#This Row],[Date]],Database!$A:$E,MATCH($B$1,Database!$A$1:$E$1,),))</f>
        <v/>
      </c>
      <c r="C2038">
        <f>IF(VLOOKUP(Table73[[#This Row],[Date]],Database!$A:$C,MATCH($C$1,Database!$A$1:$C$1,),)=0,#N/A,VLOOKUP(Table73[[#This Row],[Date]],Database!$A:$C,MATCH($C$1,Database!$A$1:$C$1,),))</f>
        <v/>
      </c>
      <c r="D2038">
        <f>IFERROR(Table73[[#This Row],[United States 10y]]-Table73[[#This Row],[United States 2y]],#N/A)</f>
        <v/>
      </c>
    </row>
    <row r="2039">
      <c r="A2039" s="6">
        <f>Database!A2038</f>
        <v/>
      </c>
      <c r="B2039">
        <f>IF(VLOOKUP(Table73[[#This Row],[Date]],Database!$A:$E,MATCH($B$1,Database!$A$1:$E$1,),)=0,#N/A,VLOOKUP(Table73[[#This Row],[Date]],Database!$A:$E,MATCH($B$1,Database!$A$1:$E$1,),))</f>
        <v/>
      </c>
      <c r="C2039">
        <f>IF(VLOOKUP(Table73[[#This Row],[Date]],Database!$A:$C,MATCH($C$1,Database!$A$1:$C$1,),)=0,#N/A,VLOOKUP(Table73[[#This Row],[Date]],Database!$A:$C,MATCH($C$1,Database!$A$1:$C$1,),))</f>
        <v/>
      </c>
      <c r="D2039">
        <f>IFERROR(Table73[[#This Row],[United States 10y]]-Table73[[#This Row],[United States 2y]],#N/A)</f>
        <v/>
      </c>
    </row>
    <row r="2040">
      <c r="A2040" s="6">
        <f>Database!A2039</f>
        <v/>
      </c>
      <c r="B2040">
        <f>IF(VLOOKUP(Table73[[#This Row],[Date]],Database!$A:$E,MATCH($B$1,Database!$A$1:$E$1,),)=0,#N/A,VLOOKUP(Table73[[#This Row],[Date]],Database!$A:$E,MATCH($B$1,Database!$A$1:$E$1,),))</f>
        <v/>
      </c>
      <c r="C2040">
        <f>IF(VLOOKUP(Table73[[#This Row],[Date]],Database!$A:$C,MATCH($C$1,Database!$A$1:$C$1,),)=0,#N/A,VLOOKUP(Table73[[#This Row],[Date]],Database!$A:$C,MATCH($C$1,Database!$A$1:$C$1,),))</f>
        <v/>
      </c>
      <c r="D2040">
        <f>IFERROR(Table73[[#This Row],[United States 10y]]-Table73[[#This Row],[United States 2y]],#N/A)</f>
        <v/>
      </c>
    </row>
    <row r="2041">
      <c r="A2041" s="6">
        <f>Database!A2040</f>
        <v/>
      </c>
      <c r="B2041">
        <f>IF(VLOOKUP(Table73[[#This Row],[Date]],Database!$A:$E,MATCH($B$1,Database!$A$1:$E$1,),)=0,#N/A,VLOOKUP(Table73[[#This Row],[Date]],Database!$A:$E,MATCH($B$1,Database!$A$1:$E$1,),))</f>
        <v/>
      </c>
      <c r="C2041">
        <f>IF(VLOOKUP(Table73[[#This Row],[Date]],Database!$A:$C,MATCH($C$1,Database!$A$1:$C$1,),)=0,#N/A,VLOOKUP(Table73[[#This Row],[Date]],Database!$A:$C,MATCH($C$1,Database!$A$1:$C$1,),))</f>
        <v/>
      </c>
      <c r="D2041">
        <f>IFERROR(Table73[[#This Row],[United States 10y]]-Table73[[#This Row],[United States 2y]],#N/A)</f>
        <v/>
      </c>
    </row>
    <row r="2042">
      <c r="A2042" s="6">
        <f>Database!A2041</f>
        <v/>
      </c>
      <c r="B2042">
        <f>IF(VLOOKUP(Table73[[#This Row],[Date]],Database!$A:$E,MATCH($B$1,Database!$A$1:$E$1,),)=0,#N/A,VLOOKUP(Table73[[#This Row],[Date]],Database!$A:$E,MATCH($B$1,Database!$A$1:$E$1,),))</f>
        <v/>
      </c>
      <c r="C2042">
        <f>IF(VLOOKUP(Table73[[#This Row],[Date]],Database!$A:$C,MATCH($C$1,Database!$A$1:$C$1,),)=0,#N/A,VLOOKUP(Table73[[#This Row],[Date]],Database!$A:$C,MATCH($C$1,Database!$A$1:$C$1,),))</f>
        <v/>
      </c>
      <c r="D2042">
        <f>IFERROR(Table73[[#This Row],[United States 10y]]-Table73[[#This Row],[United States 2y]],#N/A)</f>
        <v/>
      </c>
    </row>
    <row r="2043">
      <c r="A2043" s="6">
        <f>Database!A2042</f>
        <v/>
      </c>
      <c r="B2043">
        <f>IF(VLOOKUP(Table73[[#This Row],[Date]],Database!$A:$E,MATCH($B$1,Database!$A$1:$E$1,),)=0,#N/A,VLOOKUP(Table73[[#This Row],[Date]],Database!$A:$E,MATCH($B$1,Database!$A$1:$E$1,),))</f>
        <v/>
      </c>
      <c r="C2043">
        <f>IF(VLOOKUP(Table73[[#This Row],[Date]],Database!$A:$C,MATCH($C$1,Database!$A$1:$C$1,),)=0,#N/A,VLOOKUP(Table73[[#This Row],[Date]],Database!$A:$C,MATCH($C$1,Database!$A$1:$C$1,),))</f>
        <v/>
      </c>
      <c r="D2043">
        <f>IFERROR(Table73[[#This Row],[United States 10y]]-Table73[[#This Row],[United States 2y]],#N/A)</f>
        <v/>
      </c>
    </row>
    <row r="2044">
      <c r="A2044" s="6">
        <f>Database!A2043</f>
        <v/>
      </c>
      <c r="B2044">
        <f>IF(VLOOKUP(Table73[[#This Row],[Date]],Database!$A:$E,MATCH($B$1,Database!$A$1:$E$1,),)=0,#N/A,VLOOKUP(Table73[[#This Row],[Date]],Database!$A:$E,MATCH($B$1,Database!$A$1:$E$1,),))</f>
        <v/>
      </c>
      <c r="C2044">
        <f>IF(VLOOKUP(Table73[[#This Row],[Date]],Database!$A:$C,MATCH($C$1,Database!$A$1:$C$1,),)=0,#N/A,VLOOKUP(Table73[[#This Row],[Date]],Database!$A:$C,MATCH($C$1,Database!$A$1:$C$1,),))</f>
        <v/>
      </c>
      <c r="D2044">
        <f>IFERROR(Table73[[#This Row],[United States 10y]]-Table73[[#This Row],[United States 2y]],#N/A)</f>
        <v/>
      </c>
    </row>
    <row r="2045">
      <c r="A2045" s="6">
        <f>Database!A2044</f>
        <v/>
      </c>
      <c r="B2045">
        <f>IF(VLOOKUP(Table73[[#This Row],[Date]],Database!$A:$E,MATCH($B$1,Database!$A$1:$E$1,),)=0,#N/A,VLOOKUP(Table73[[#This Row],[Date]],Database!$A:$E,MATCH($B$1,Database!$A$1:$E$1,),))</f>
        <v/>
      </c>
      <c r="C2045">
        <f>IF(VLOOKUP(Table73[[#This Row],[Date]],Database!$A:$C,MATCH($C$1,Database!$A$1:$C$1,),)=0,#N/A,VLOOKUP(Table73[[#This Row],[Date]],Database!$A:$C,MATCH($C$1,Database!$A$1:$C$1,),))</f>
        <v/>
      </c>
      <c r="D2045">
        <f>IFERROR(Table73[[#This Row],[United States 10y]]-Table73[[#This Row],[United States 2y]],#N/A)</f>
        <v/>
      </c>
    </row>
    <row r="2046">
      <c r="A2046" s="6">
        <f>Database!A2045</f>
        <v/>
      </c>
      <c r="B2046">
        <f>IF(VLOOKUP(Table73[[#This Row],[Date]],Database!$A:$E,MATCH($B$1,Database!$A$1:$E$1,),)=0,#N/A,VLOOKUP(Table73[[#This Row],[Date]],Database!$A:$E,MATCH($B$1,Database!$A$1:$E$1,),))</f>
        <v/>
      </c>
      <c r="C2046">
        <f>IF(VLOOKUP(Table73[[#This Row],[Date]],Database!$A:$C,MATCH($C$1,Database!$A$1:$C$1,),)=0,#N/A,VLOOKUP(Table73[[#This Row],[Date]],Database!$A:$C,MATCH($C$1,Database!$A$1:$C$1,),))</f>
        <v/>
      </c>
      <c r="D2046">
        <f>IFERROR(Table73[[#This Row],[United States 10y]]-Table73[[#This Row],[United States 2y]],#N/A)</f>
        <v/>
      </c>
    </row>
    <row r="2047">
      <c r="A2047" s="6">
        <f>Database!A2046</f>
        <v/>
      </c>
      <c r="B2047">
        <f>IF(VLOOKUP(Table73[[#This Row],[Date]],Database!$A:$E,MATCH($B$1,Database!$A$1:$E$1,),)=0,#N/A,VLOOKUP(Table73[[#This Row],[Date]],Database!$A:$E,MATCH($B$1,Database!$A$1:$E$1,),))</f>
        <v/>
      </c>
      <c r="C2047">
        <f>IF(VLOOKUP(Table73[[#This Row],[Date]],Database!$A:$C,MATCH($C$1,Database!$A$1:$C$1,),)=0,#N/A,VLOOKUP(Table73[[#This Row],[Date]],Database!$A:$C,MATCH($C$1,Database!$A$1:$C$1,),))</f>
        <v/>
      </c>
      <c r="D2047">
        <f>IFERROR(Table73[[#This Row],[United States 10y]]-Table73[[#This Row],[United States 2y]],#N/A)</f>
        <v/>
      </c>
    </row>
    <row r="2048">
      <c r="A2048" s="6">
        <f>Database!A2047</f>
        <v/>
      </c>
      <c r="B2048">
        <f>IF(VLOOKUP(Table73[[#This Row],[Date]],Database!$A:$E,MATCH($B$1,Database!$A$1:$E$1,),)=0,#N/A,VLOOKUP(Table73[[#This Row],[Date]],Database!$A:$E,MATCH($B$1,Database!$A$1:$E$1,),))</f>
        <v/>
      </c>
      <c r="C2048">
        <f>IF(VLOOKUP(Table73[[#This Row],[Date]],Database!$A:$C,MATCH($C$1,Database!$A$1:$C$1,),)=0,#N/A,VLOOKUP(Table73[[#This Row],[Date]],Database!$A:$C,MATCH($C$1,Database!$A$1:$C$1,),))</f>
        <v/>
      </c>
      <c r="D2048">
        <f>IFERROR(Table73[[#This Row],[United States 10y]]-Table73[[#This Row],[United States 2y]],#N/A)</f>
        <v/>
      </c>
    </row>
    <row r="2049">
      <c r="A2049" s="6">
        <f>Database!A2048</f>
        <v/>
      </c>
      <c r="B2049">
        <f>IF(VLOOKUP(Table73[[#This Row],[Date]],Database!$A:$E,MATCH($B$1,Database!$A$1:$E$1,),)=0,#N/A,VLOOKUP(Table73[[#This Row],[Date]],Database!$A:$E,MATCH($B$1,Database!$A$1:$E$1,),))</f>
        <v/>
      </c>
      <c r="C2049">
        <f>IF(VLOOKUP(Table73[[#This Row],[Date]],Database!$A:$C,MATCH($C$1,Database!$A$1:$C$1,),)=0,#N/A,VLOOKUP(Table73[[#This Row],[Date]],Database!$A:$C,MATCH($C$1,Database!$A$1:$C$1,),))</f>
        <v/>
      </c>
      <c r="D2049">
        <f>IFERROR(Table73[[#This Row],[United States 10y]]-Table73[[#This Row],[United States 2y]],#N/A)</f>
        <v/>
      </c>
    </row>
    <row r="2050">
      <c r="A2050" s="6">
        <f>Database!A2049</f>
        <v/>
      </c>
      <c r="B2050">
        <f>IF(VLOOKUP(Table73[[#This Row],[Date]],Database!$A:$E,MATCH($B$1,Database!$A$1:$E$1,),)=0,#N/A,VLOOKUP(Table73[[#This Row],[Date]],Database!$A:$E,MATCH($B$1,Database!$A$1:$E$1,),))</f>
        <v/>
      </c>
      <c r="C2050">
        <f>IF(VLOOKUP(Table73[[#This Row],[Date]],Database!$A:$C,MATCH($C$1,Database!$A$1:$C$1,),)=0,#N/A,VLOOKUP(Table73[[#This Row],[Date]],Database!$A:$C,MATCH($C$1,Database!$A$1:$C$1,),))</f>
        <v/>
      </c>
      <c r="D2050">
        <f>IFERROR(Table73[[#This Row],[United States 10y]]-Table73[[#This Row],[United States 2y]],#N/A)</f>
        <v/>
      </c>
    </row>
    <row r="2051">
      <c r="A2051" s="6">
        <f>Database!A2050</f>
        <v/>
      </c>
      <c r="B2051">
        <f>IF(VLOOKUP(Table73[[#This Row],[Date]],Database!$A:$E,MATCH($B$1,Database!$A$1:$E$1,),)=0,#N/A,VLOOKUP(Table73[[#This Row],[Date]],Database!$A:$E,MATCH($B$1,Database!$A$1:$E$1,),))</f>
        <v/>
      </c>
      <c r="C2051">
        <f>IF(VLOOKUP(Table73[[#This Row],[Date]],Database!$A:$C,MATCH($C$1,Database!$A$1:$C$1,),)=0,#N/A,VLOOKUP(Table73[[#This Row],[Date]],Database!$A:$C,MATCH($C$1,Database!$A$1:$C$1,),))</f>
        <v/>
      </c>
      <c r="D2051">
        <f>IFERROR(Table73[[#This Row],[United States 10y]]-Table73[[#This Row],[United States 2y]],#N/A)</f>
        <v/>
      </c>
    </row>
    <row r="2052">
      <c r="A2052" s="6">
        <f>Database!A2051</f>
        <v/>
      </c>
      <c r="B2052">
        <f>IF(VLOOKUP(Table73[[#This Row],[Date]],Database!$A:$E,MATCH($B$1,Database!$A$1:$E$1,),)=0,#N/A,VLOOKUP(Table73[[#This Row],[Date]],Database!$A:$E,MATCH($B$1,Database!$A$1:$E$1,),))</f>
        <v/>
      </c>
      <c r="C2052">
        <f>IF(VLOOKUP(Table73[[#This Row],[Date]],Database!$A:$C,MATCH($C$1,Database!$A$1:$C$1,),)=0,#N/A,VLOOKUP(Table73[[#This Row],[Date]],Database!$A:$C,MATCH($C$1,Database!$A$1:$C$1,),))</f>
        <v/>
      </c>
      <c r="D2052">
        <f>IFERROR(Table73[[#This Row],[United States 10y]]-Table73[[#This Row],[United States 2y]],#N/A)</f>
        <v/>
      </c>
    </row>
    <row r="2053">
      <c r="A2053" s="6">
        <f>Database!A2052</f>
        <v/>
      </c>
      <c r="B2053">
        <f>IF(VLOOKUP(Table73[[#This Row],[Date]],Database!$A:$E,MATCH($B$1,Database!$A$1:$E$1,),)=0,#N/A,VLOOKUP(Table73[[#This Row],[Date]],Database!$A:$E,MATCH($B$1,Database!$A$1:$E$1,),))</f>
        <v/>
      </c>
      <c r="C2053">
        <f>IF(VLOOKUP(Table73[[#This Row],[Date]],Database!$A:$C,MATCH($C$1,Database!$A$1:$C$1,),)=0,#N/A,VLOOKUP(Table73[[#This Row],[Date]],Database!$A:$C,MATCH($C$1,Database!$A$1:$C$1,),))</f>
        <v/>
      </c>
      <c r="D2053">
        <f>IFERROR(Table73[[#This Row],[United States 10y]]-Table73[[#This Row],[United States 2y]],#N/A)</f>
        <v/>
      </c>
    </row>
    <row r="2054">
      <c r="A2054" s="6">
        <f>Database!A2053</f>
        <v/>
      </c>
      <c r="B2054">
        <f>IF(VLOOKUP(Table73[[#This Row],[Date]],Database!$A:$E,MATCH($B$1,Database!$A$1:$E$1,),)=0,#N/A,VLOOKUP(Table73[[#This Row],[Date]],Database!$A:$E,MATCH($B$1,Database!$A$1:$E$1,),))</f>
        <v/>
      </c>
      <c r="C2054">
        <f>IF(VLOOKUP(Table73[[#This Row],[Date]],Database!$A:$C,MATCH($C$1,Database!$A$1:$C$1,),)=0,#N/A,VLOOKUP(Table73[[#This Row],[Date]],Database!$A:$C,MATCH($C$1,Database!$A$1:$C$1,),))</f>
        <v/>
      </c>
      <c r="D2054">
        <f>IFERROR(Table73[[#This Row],[United States 10y]]-Table73[[#This Row],[United States 2y]],#N/A)</f>
        <v/>
      </c>
    </row>
    <row r="2055">
      <c r="A2055" s="6">
        <f>Database!A2054</f>
        <v/>
      </c>
      <c r="B2055">
        <f>IF(VLOOKUP(Table73[[#This Row],[Date]],Database!$A:$E,MATCH($B$1,Database!$A$1:$E$1,),)=0,#N/A,VLOOKUP(Table73[[#This Row],[Date]],Database!$A:$E,MATCH($B$1,Database!$A$1:$E$1,),))</f>
        <v/>
      </c>
      <c r="C2055">
        <f>IF(VLOOKUP(Table73[[#This Row],[Date]],Database!$A:$C,MATCH($C$1,Database!$A$1:$C$1,),)=0,#N/A,VLOOKUP(Table73[[#This Row],[Date]],Database!$A:$C,MATCH($C$1,Database!$A$1:$C$1,),))</f>
        <v/>
      </c>
      <c r="D2055">
        <f>IFERROR(Table73[[#This Row],[United States 10y]]-Table73[[#This Row],[United States 2y]],#N/A)</f>
        <v/>
      </c>
    </row>
    <row r="2056">
      <c r="A2056" s="6">
        <f>Database!A2055</f>
        <v/>
      </c>
      <c r="B2056">
        <f>IF(VLOOKUP(Table73[[#This Row],[Date]],Database!$A:$E,MATCH($B$1,Database!$A$1:$E$1,),)=0,#N/A,VLOOKUP(Table73[[#This Row],[Date]],Database!$A:$E,MATCH($B$1,Database!$A$1:$E$1,),))</f>
        <v/>
      </c>
      <c r="C2056">
        <f>IF(VLOOKUP(Table73[[#This Row],[Date]],Database!$A:$C,MATCH($C$1,Database!$A$1:$C$1,),)=0,#N/A,VLOOKUP(Table73[[#This Row],[Date]],Database!$A:$C,MATCH($C$1,Database!$A$1:$C$1,),))</f>
        <v/>
      </c>
      <c r="D2056">
        <f>IFERROR(Table73[[#This Row],[United States 10y]]-Table73[[#This Row],[United States 2y]],#N/A)</f>
        <v/>
      </c>
    </row>
    <row r="2057">
      <c r="A2057" s="6">
        <f>Database!A2056</f>
        <v/>
      </c>
      <c r="B2057">
        <f>IF(VLOOKUP(Table73[[#This Row],[Date]],Database!$A:$E,MATCH($B$1,Database!$A$1:$E$1,),)=0,#N/A,VLOOKUP(Table73[[#This Row],[Date]],Database!$A:$E,MATCH($B$1,Database!$A$1:$E$1,),))</f>
        <v/>
      </c>
      <c r="C2057">
        <f>IF(VLOOKUP(Table73[[#This Row],[Date]],Database!$A:$C,MATCH($C$1,Database!$A$1:$C$1,),)=0,#N/A,VLOOKUP(Table73[[#This Row],[Date]],Database!$A:$C,MATCH($C$1,Database!$A$1:$C$1,),))</f>
        <v/>
      </c>
      <c r="D2057">
        <f>IFERROR(Table73[[#This Row],[United States 10y]]-Table73[[#This Row],[United States 2y]],#N/A)</f>
        <v/>
      </c>
    </row>
    <row r="2058">
      <c r="A2058" s="6">
        <f>Database!A2057</f>
        <v/>
      </c>
      <c r="B2058">
        <f>IF(VLOOKUP(Table73[[#This Row],[Date]],Database!$A:$E,MATCH($B$1,Database!$A$1:$E$1,),)=0,#N/A,VLOOKUP(Table73[[#This Row],[Date]],Database!$A:$E,MATCH($B$1,Database!$A$1:$E$1,),))</f>
        <v/>
      </c>
      <c r="C2058">
        <f>IF(VLOOKUP(Table73[[#This Row],[Date]],Database!$A:$C,MATCH($C$1,Database!$A$1:$C$1,),)=0,#N/A,VLOOKUP(Table73[[#This Row],[Date]],Database!$A:$C,MATCH($C$1,Database!$A$1:$C$1,),))</f>
        <v/>
      </c>
      <c r="D2058">
        <f>IFERROR(Table73[[#This Row],[United States 10y]]-Table73[[#This Row],[United States 2y]],#N/A)</f>
        <v/>
      </c>
    </row>
    <row r="2059">
      <c r="A2059" s="6">
        <f>Database!A2058</f>
        <v/>
      </c>
      <c r="B2059">
        <f>IF(VLOOKUP(Table73[[#This Row],[Date]],Database!$A:$E,MATCH($B$1,Database!$A$1:$E$1,),)=0,#N/A,VLOOKUP(Table73[[#This Row],[Date]],Database!$A:$E,MATCH($B$1,Database!$A$1:$E$1,),))</f>
        <v/>
      </c>
      <c r="C2059">
        <f>IF(VLOOKUP(Table73[[#This Row],[Date]],Database!$A:$C,MATCH($C$1,Database!$A$1:$C$1,),)=0,#N/A,VLOOKUP(Table73[[#This Row],[Date]],Database!$A:$C,MATCH($C$1,Database!$A$1:$C$1,),))</f>
        <v/>
      </c>
      <c r="D2059">
        <f>IFERROR(Table73[[#This Row],[United States 10y]]-Table73[[#This Row],[United States 2y]],#N/A)</f>
        <v/>
      </c>
    </row>
    <row r="2060">
      <c r="A2060" s="6">
        <f>Database!A2059</f>
        <v/>
      </c>
      <c r="B2060">
        <f>IF(VLOOKUP(Table73[[#This Row],[Date]],Database!$A:$E,MATCH($B$1,Database!$A$1:$E$1,),)=0,#N/A,VLOOKUP(Table73[[#This Row],[Date]],Database!$A:$E,MATCH($B$1,Database!$A$1:$E$1,),))</f>
        <v/>
      </c>
      <c r="C2060">
        <f>IF(VLOOKUP(Table73[[#This Row],[Date]],Database!$A:$C,MATCH($C$1,Database!$A$1:$C$1,),)=0,#N/A,VLOOKUP(Table73[[#This Row],[Date]],Database!$A:$C,MATCH($C$1,Database!$A$1:$C$1,),))</f>
        <v/>
      </c>
      <c r="D2060">
        <f>IFERROR(Table73[[#This Row],[United States 10y]]-Table73[[#This Row],[United States 2y]],#N/A)</f>
        <v/>
      </c>
    </row>
    <row r="2061">
      <c r="A2061" s="6">
        <f>Database!A2060</f>
        <v/>
      </c>
      <c r="B2061">
        <f>IF(VLOOKUP(Table73[[#This Row],[Date]],Database!$A:$E,MATCH($B$1,Database!$A$1:$E$1,),)=0,#N/A,VLOOKUP(Table73[[#This Row],[Date]],Database!$A:$E,MATCH($B$1,Database!$A$1:$E$1,),))</f>
        <v/>
      </c>
      <c r="C2061">
        <f>IF(VLOOKUP(Table73[[#This Row],[Date]],Database!$A:$C,MATCH($C$1,Database!$A$1:$C$1,),)=0,#N/A,VLOOKUP(Table73[[#This Row],[Date]],Database!$A:$C,MATCH($C$1,Database!$A$1:$C$1,),))</f>
        <v/>
      </c>
      <c r="D2061">
        <f>IFERROR(Table73[[#This Row],[United States 10y]]-Table73[[#This Row],[United States 2y]],#N/A)</f>
        <v/>
      </c>
    </row>
    <row r="2062">
      <c r="A2062" s="6">
        <f>Database!A2061</f>
        <v/>
      </c>
      <c r="B2062">
        <f>IF(VLOOKUP(Table73[[#This Row],[Date]],Database!$A:$E,MATCH($B$1,Database!$A$1:$E$1,),)=0,#N/A,VLOOKUP(Table73[[#This Row],[Date]],Database!$A:$E,MATCH($B$1,Database!$A$1:$E$1,),))</f>
        <v/>
      </c>
      <c r="C2062">
        <f>IF(VLOOKUP(Table73[[#This Row],[Date]],Database!$A:$C,MATCH($C$1,Database!$A$1:$C$1,),)=0,#N/A,VLOOKUP(Table73[[#This Row],[Date]],Database!$A:$C,MATCH($C$1,Database!$A$1:$C$1,),))</f>
        <v/>
      </c>
      <c r="D2062">
        <f>IFERROR(Table73[[#This Row],[United States 10y]]-Table73[[#This Row],[United States 2y]],#N/A)</f>
        <v/>
      </c>
    </row>
    <row r="2063">
      <c r="A2063" s="6">
        <f>Database!A2062</f>
        <v/>
      </c>
      <c r="B2063">
        <f>IF(VLOOKUP(Table73[[#This Row],[Date]],Database!$A:$E,MATCH($B$1,Database!$A$1:$E$1,),)=0,#N/A,VLOOKUP(Table73[[#This Row],[Date]],Database!$A:$E,MATCH($B$1,Database!$A$1:$E$1,),))</f>
        <v/>
      </c>
      <c r="C2063">
        <f>IF(VLOOKUP(Table73[[#This Row],[Date]],Database!$A:$C,MATCH($C$1,Database!$A$1:$C$1,),)=0,#N/A,VLOOKUP(Table73[[#This Row],[Date]],Database!$A:$C,MATCH($C$1,Database!$A$1:$C$1,),))</f>
        <v/>
      </c>
      <c r="D2063">
        <f>IFERROR(Table73[[#This Row],[United States 10y]]-Table73[[#This Row],[United States 2y]],#N/A)</f>
        <v/>
      </c>
    </row>
    <row r="2064">
      <c r="A2064" s="6">
        <f>Database!A2063</f>
        <v/>
      </c>
      <c r="B2064">
        <f>IF(VLOOKUP(Table73[[#This Row],[Date]],Database!$A:$E,MATCH($B$1,Database!$A$1:$E$1,),)=0,#N/A,VLOOKUP(Table73[[#This Row],[Date]],Database!$A:$E,MATCH($B$1,Database!$A$1:$E$1,),))</f>
        <v/>
      </c>
      <c r="C2064">
        <f>IF(VLOOKUP(Table73[[#This Row],[Date]],Database!$A:$C,MATCH($C$1,Database!$A$1:$C$1,),)=0,#N/A,VLOOKUP(Table73[[#This Row],[Date]],Database!$A:$C,MATCH($C$1,Database!$A$1:$C$1,),))</f>
        <v/>
      </c>
      <c r="D2064">
        <f>IFERROR(Table73[[#This Row],[United States 10y]]-Table73[[#This Row],[United States 2y]],#N/A)</f>
        <v/>
      </c>
    </row>
    <row r="2065">
      <c r="A2065" s="6">
        <f>Database!A2064</f>
        <v/>
      </c>
      <c r="B2065">
        <f>IF(VLOOKUP(Table73[[#This Row],[Date]],Database!$A:$E,MATCH($B$1,Database!$A$1:$E$1,),)=0,#N/A,VLOOKUP(Table73[[#This Row],[Date]],Database!$A:$E,MATCH($B$1,Database!$A$1:$E$1,),))</f>
        <v/>
      </c>
      <c r="C2065">
        <f>IF(VLOOKUP(Table73[[#This Row],[Date]],Database!$A:$C,MATCH($C$1,Database!$A$1:$C$1,),)=0,#N/A,VLOOKUP(Table73[[#This Row],[Date]],Database!$A:$C,MATCH($C$1,Database!$A$1:$C$1,),))</f>
        <v/>
      </c>
      <c r="D2065">
        <f>IFERROR(Table73[[#This Row],[United States 10y]]-Table73[[#This Row],[United States 2y]],#N/A)</f>
        <v/>
      </c>
    </row>
    <row r="2066">
      <c r="A2066" s="6">
        <f>Database!A2065</f>
        <v/>
      </c>
      <c r="B2066">
        <f>IF(VLOOKUP(Table73[[#This Row],[Date]],Database!$A:$E,MATCH($B$1,Database!$A$1:$E$1,),)=0,#N/A,VLOOKUP(Table73[[#This Row],[Date]],Database!$A:$E,MATCH($B$1,Database!$A$1:$E$1,),))</f>
        <v/>
      </c>
      <c r="C2066">
        <f>IF(VLOOKUP(Table73[[#This Row],[Date]],Database!$A:$C,MATCH($C$1,Database!$A$1:$C$1,),)=0,#N/A,VLOOKUP(Table73[[#This Row],[Date]],Database!$A:$C,MATCH($C$1,Database!$A$1:$C$1,),))</f>
        <v/>
      </c>
      <c r="D2066">
        <f>IFERROR(Table73[[#This Row],[United States 10y]]-Table73[[#This Row],[United States 2y]],#N/A)</f>
        <v/>
      </c>
    </row>
    <row r="2067">
      <c r="A2067" s="6">
        <f>Database!A2066</f>
        <v/>
      </c>
      <c r="B2067">
        <f>IF(VLOOKUP(Table73[[#This Row],[Date]],Database!$A:$E,MATCH($B$1,Database!$A$1:$E$1,),)=0,#N/A,VLOOKUP(Table73[[#This Row],[Date]],Database!$A:$E,MATCH($B$1,Database!$A$1:$E$1,),))</f>
        <v/>
      </c>
      <c r="C2067">
        <f>IF(VLOOKUP(Table73[[#This Row],[Date]],Database!$A:$C,MATCH($C$1,Database!$A$1:$C$1,),)=0,#N/A,VLOOKUP(Table73[[#This Row],[Date]],Database!$A:$C,MATCH($C$1,Database!$A$1:$C$1,),))</f>
        <v/>
      </c>
      <c r="D2067">
        <f>IFERROR(Table73[[#This Row],[United States 10y]]-Table73[[#This Row],[United States 2y]],#N/A)</f>
        <v/>
      </c>
    </row>
    <row r="2068">
      <c r="A2068" s="6">
        <f>Database!A2067</f>
        <v/>
      </c>
      <c r="B2068">
        <f>IF(VLOOKUP(Table73[[#This Row],[Date]],Database!$A:$E,MATCH($B$1,Database!$A$1:$E$1,),)=0,#N/A,VLOOKUP(Table73[[#This Row],[Date]],Database!$A:$E,MATCH($B$1,Database!$A$1:$E$1,),))</f>
        <v/>
      </c>
      <c r="C2068">
        <f>IF(VLOOKUP(Table73[[#This Row],[Date]],Database!$A:$C,MATCH($C$1,Database!$A$1:$C$1,),)=0,#N/A,VLOOKUP(Table73[[#This Row],[Date]],Database!$A:$C,MATCH($C$1,Database!$A$1:$C$1,),))</f>
        <v/>
      </c>
      <c r="D2068">
        <f>IFERROR(Table73[[#This Row],[United States 10y]]-Table73[[#This Row],[United States 2y]],#N/A)</f>
        <v/>
      </c>
    </row>
    <row r="2069">
      <c r="A2069" s="6">
        <f>Database!A2068</f>
        <v/>
      </c>
      <c r="B2069">
        <f>IF(VLOOKUP(Table73[[#This Row],[Date]],Database!$A:$E,MATCH($B$1,Database!$A$1:$E$1,),)=0,#N/A,VLOOKUP(Table73[[#This Row],[Date]],Database!$A:$E,MATCH($B$1,Database!$A$1:$E$1,),))</f>
        <v/>
      </c>
      <c r="C2069">
        <f>IF(VLOOKUP(Table73[[#This Row],[Date]],Database!$A:$C,MATCH($C$1,Database!$A$1:$C$1,),)=0,#N/A,VLOOKUP(Table73[[#This Row],[Date]],Database!$A:$C,MATCH($C$1,Database!$A$1:$C$1,),))</f>
        <v/>
      </c>
      <c r="D2069">
        <f>IFERROR(Table73[[#This Row],[United States 10y]]-Table73[[#This Row],[United States 2y]],#N/A)</f>
        <v/>
      </c>
    </row>
    <row r="2070">
      <c r="A2070" s="6">
        <f>Database!A2069</f>
        <v/>
      </c>
      <c r="B2070">
        <f>IF(VLOOKUP(Table73[[#This Row],[Date]],Database!$A:$E,MATCH($B$1,Database!$A$1:$E$1,),)=0,#N/A,VLOOKUP(Table73[[#This Row],[Date]],Database!$A:$E,MATCH($B$1,Database!$A$1:$E$1,),))</f>
        <v/>
      </c>
      <c r="C2070">
        <f>IF(VLOOKUP(Table73[[#This Row],[Date]],Database!$A:$C,MATCH($C$1,Database!$A$1:$C$1,),)=0,#N/A,VLOOKUP(Table73[[#This Row],[Date]],Database!$A:$C,MATCH($C$1,Database!$A$1:$C$1,),))</f>
        <v/>
      </c>
      <c r="D2070">
        <f>IFERROR(Table73[[#This Row],[United States 10y]]-Table73[[#This Row],[United States 2y]],#N/A)</f>
        <v/>
      </c>
    </row>
    <row r="2071">
      <c r="A2071" s="6">
        <f>Database!A2070</f>
        <v/>
      </c>
      <c r="B2071">
        <f>IF(VLOOKUP(Table73[[#This Row],[Date]],Database!$A:$E,MATCH($B$1,Database!$A$1:$E$1,),)=0,#N/A,VLOOKUP(Table73[[#This Row],[Date]],Database!$A:$E,MATCH($B$1,Database!$A$1:$E$1,),))</f>
        <v/>
      </c>
      <c r="C2071">
        <f>IF(VLOOKUP(Table73[[#This Row],[Date]],Database!$A:$C,MATCH($C$1,Database!$A$1:$C$1,),)=0,#N/A,VLOOKUP(Table73[[#This Row],[Date]],Database!$A:$C,MATCH($C$1,Database!$A$1:$C$1,),))</f>
        <v/>
      </c>
      <c r="D2071">
        <f>IFERROR(Table73[[#This Row],[United States 10y]]-Table73[[#This Row],[United States 2y]],#N/A)</f>
        <v/>
      </c>
    </row>
    <row r="2072">
      <c r="A2072" s="6">
        <f>Database!A2071</f>
        <v/>
      </c>
      <c r="B2072">
        <f>IF(VLOOKUP(Table73[[#This Row],[Date]],Database!$A:$E,MATCH($B$1,Database!$A$1:$E$1,),)=0,#N/A,VLOOKUP(Table73[[#This Row],[Date]],Database!$A:$E,MATCH($B$1,Database!$A$1:$E$1,),))</f>
        <v/>
      </c>
      <c r="C2072">
        <f>IF(VLOOKUP(Table73[[#This Row],[Date]],Database!$A:$C,MATCH($C$1,Database!$A$1:$C$1,),)=0,#N/A,VLOOKUP(Table73[[#This Row],[Date]],Database!$A:$C,MATCH($C$1,Database!$A$1:$C$1,),))</f>
        <v/>
      </c>
      <c r="D2072">
        <f>IFERROR(Table73[[#This Row],[United States 10y]]-Table73[[#This Row],[United States 2y]],#N/A)</f>
        <v/>
      </c>
    </row>
    <row r="2073">
      <c r="A2073" s="6">
        <f>Database!A2072</f>
        <v/>
      </c>
      <c r="B2073">
        <f>IF(VLOOKUP(Table73[[#This Row],[Date]],Database!$A:$E,MATCH($B$1,Database!$A$1:$E$1,),)=0,#N/A,VLOOKUP(Table73[[#This Row],[Date]],Database!$A:$E,MATCH($B$1,Database!$A$1:$E$1,),))</f>
        <v/>
      </c>
      <c r="C2073">
        <f>IF(VLOOKUP(Table73[[#This Row],[Date]],Database!$A:$C,MATCH($C$1,Database!$A$1:$C$1,),)=0,#N/A,VLOOKUP(Table73[[#This Row],[Date]],Database!$A:$C,MATCH($C$1,Database!$A$1:$C$1,),))</f>
        <v/>
      </c>
      <c r="D2073">
        <f>IFERROR(Table73[[#This Row],[United States 10y]]-Table73[[#This Row],[United States 2y]],#N/A)</f>
        <v/>
      </c>
    </row>
    <row r="2074">
      <c r="A2074" s="6">
        <f>Database!A2073</f>
        <v/>
      </c>
      <c r="B2074">
        <f>IF(VLOOKUP(Table73[[#This Row],[Date]],Database!$A:$E,MATCH($B$1,Database!$A$1:$E$1,),)=0,#N/A,VLOOKUP(Table73[[#This Row],[Date]],Database!$A:$E,MATCH($B$1,Database!$A$1:$E$1,),))</f>
        <v/>
      </c>
      <c r="C2074">
        <f>IF(VLOOKUP(Table73[[#This Row],[Date]],Database!$A:$C,MATCH($C$1,Database!$A$1:$C$1,),)=0,#N/A,VLOOKUP(Table73[[#This Row],[Date]],Database!$A:$C,MATCH($C$1,Database!$A$1:$C$1,),))</f>
        <v/>
      </c>
      <c r="D2074">
        <f>IFERROR(Table73[[#This Row],[United States 10y]]-Table73[[#This Row],[United States 2y]],#N/A)</f>
        <v/>
      </c>
    </row>
    <row r="2075">
      <c r="A2075" s="6">
        <f>Database!A2074</f>
        <v/>
      </c>
      <c r="B2075">
        <f>IF(VLOOKUP(Table73[[#This Row],[Date]],Database!$A:$E,MATCH($B$1,Database!$A$1:$E$1,),)=0,#N/A,VLOOKUP(Table73[[#This Row],[Date]],Database!$A:$E,MATCH($B$1,Database!$A$1:$E$1,),))</f>
        <v/>
      </c>
      <c r="C2075">
        <f>IF(VLOOKUP(Table73[[#This Row],[Date]],Database!$A:$C,MATCH($C$1,Database!$A$1:$C$1,),)=0,#N/A,VLOOKUP(Table73[[#This Row],[Date]],Database!$A:$C,MATCH($C$1,Database!$A$1:$C$1,),))</f>
        <v/>
      </c>
      <c r="D2075">
        <f>IFERROR(Table73[[#This Row],[United States 10y]]-Table73[[#This Row],[United States 2y]],#N/A)</f>
        <v/>
      </c>
    </row>
    <row r="2076">
      <c r="A2076" s="6">
        <f>Database!A2075</f>
        <v/>
      </c>
      <c r="B2076">
        <f>IF(VLOOKUP(Table73[[#This Row],[Date]],Database!$A:$E,MATCH($B$1,Database!$A$1:$E$1,),)=0,#N/A,VLOOKUP(Table73[[#This Row],[Date]],Database!$A:$E,MATCH($B$1,Database!$A$1:$E$1,),))</f>
        <v/>
      </c>
      <c r="C2076">
        <f>IF(VLOOKUP(Table73[[#This Row],[Date]],Database!$A:$C,MATCH($C$1,Database!$A$1:$C$1,),)=0,#N/A,VLOOKUP(Table73[[#This Row],[Date]],Database!$A:$C,MATCH($C$1,Database!$A$1:$C$1,),))</f>
        <v/>
      </c>
      <c r="D2076">
        <f>IFERROR(Table73[[#This Row],[United States 10y]]-Table73[[#This Row],[United States 2y]],#N/A)</f>
        <v/>
      </c>
    </row>
    <row r="2077">
      <c r="A2077" s="6">
        <f>Database!A2076</f>
        <v/>
      </c>
      <c r="B2077">
        <f>IF(VLOOKUP(Table73[[#This Row],[Date]],Database!$A:$E,MATCH($B$1,Database!$A$1:$E$1,),)=0,#N/A,VLOOKUP(Table73[[#This Row],[Date]],Database!$A:$E,MATCH($B$1,Database!$A$1:$E$1,),))</f>
        <v/>
      </c>
      <c r="C2077">
        <f>IF(VLOOKUP(Table73[[#This Row],[Date]],Database!$A:$C,MATCH($C$1,Database!$A$1:$C$1,),)=0,#N/A,VLOOKUP(Table73[[#This Row],[Date]],Database!$A:$C,MATCH($C$1,Database!$A$1:$C$1,),))</f>
        <v/>
      </c>
      <c r="D2077">
        <f>IFERROR(Table73[[#This Row],[United States 10y]]-Table73[[#This Row],[United States 2y]],#N/A)</f>
        <v/>
      </c>
    </row>
    <row r="2078">
      <c r="A2078" s="6">
        <f>Database!A2077</f>
        <v/>
      </c>
      <c r="B2078">
        <f>IF(VLOOKUP(Table73[[#This Row],[Date]],Database!$A:$E,MATCH($B$1,Database!$A$1:$E$1,),)=0,#N/A,VLOOKUP(Table73[[#This Row],[Date]],Database!$A:$E,MATCH($B$1,Database!$A$1:$E$1,),))</f>
        <v/>
      </c>
      <c r="C2078">
        <f>IF(VLOOKUP(Table73[[#This Row],[Date]],Database!$A:$C,MATCH($C$1,Database!$A$1:$C$1,),)=0,#N/A,VLOOKUP(Table73[[#This Row],[Date]],Database!$A:$C,MATCH($C$1,Database!$A$1:$C$1,),))</f>
        <v/>
      </c>
      <c r="D2078">
        <f>IFERROR(Table73[[#This Row],[United States 10y]]-Table73[[#This Row],[United States 2y]],#N/A)</f>
        <v/>
      </c>
    </row>
    <row r="2079">
      <c r="A2079" s="6">
        <f>Database!A2078</f>
        <v/>
      </c>
      <c r="B2079">
        <f>IF(VLOOKUP(Table73[[#This Row],[Date]],Database!$A:$E,MATCH($B$1,Database!$A$1:$E$1,),)=0,#N/A,VLOOKUP(Table73[[#This Row],[Date]],Database!$A:$E,MATCH($B$1,Database!$A$1:$E$1,),))</f>
        <v/>
      </c>
      <c r="C2079">
        <f>IF(VLOOKUP(Table73[[#This Row],[Date]],Database!$A:$C,MATCH($C$1,Database!$A$1:$C$1,),)=0,#N/A,VLOOKUP(Table73[[#This Row],[Date]],Database!$A:$C,MATCH($C$1,Database!$A$1:$C$1,),))</f>
        <v/>
      </c>
      <c r="D2079">
        <f>IFERROR(Table73[[#This Row],[United States 10y]]-Table73[[#This Row],[United States 2y]],#N/A)</f>
        <v/>
      </c>
    </row>
    <row r="2080">
      <c r="A2080" s="6">
        <f>Database!A2079</f>
        <v/>
      </c>
      <c r="B2080">
        <f>IF(VLOOKUP(Table73[[#This Row],[Date]],Database!$A:$E,MATCH($B$1,Database!$A$1:$E$1,),)=0,#N/A,VLOOKUP(Table73[[#This Row],[Date]],Database!$A:$E,MATCH($B$1,Database!$A$1:$E$1,),))</f>
        <v/>
      </c>
      <c r="C2080">
        <f>IF(VLOOKUP(Table73[[#This Row],[Date]],Database!$A:$C,MATCH($C$1,Database!$A$1:$C$1,),)=0,#N/A,VLOOKUP(Table73[[#This Row],[Date]],Database!$A:$C,MATCH($C$1,Database!$A$1:$C$1,),))</f>
        <v/>
      </c>
      <c r="D2080">
        <f>IFERROR(Table73[[#This Row],[United States 10y]]-Table73[[#This Row],[United States 2y]],#N/A)</f>
        <v/>
      </c>
    </row>
    <row r="2081">
      <c r="A2081" s="6">
        <f>Database!A2080</f>
        <v/>
      </c>
      <c r="B2081">
        <f>IF(VLOOKUP(Table73[[#This Row],[Date]],Database!$A:$E,MATCH($B$1,Database!$A$1:$E$1,),)=0,#N/A,VLOOKUP(Table73[[#This Row],[Date]],Database!$A:$E,MATCH($B$1,Database!$A$1:$E$1,),))</f>
        <v/>
      </c>
      <c r="C2081">
        <f>IF(VLOOKUP(Table73[[#This Row],[Date]],Database!$A:$C,MATCH($C$1,Database!$A$1:$C$1,),)=0,#N/A,VLOOKUP(Table73[[#This Row],[Date]],Database!$A:$C,MATCH($C$1,Database!$A$1:$C$1,),))</f>
        <v/>
      </c>
      <c r="D2081">
        <f>IFERROR(Table73[[#This Row],[United States 10y]]-Table73[[#This Row],[United States 2y]],#N/A)</f>
        <v/>
      </c>
    </row>
    <row r="2082">
      <c r="A2082" s="6">
        <f>Database!A2081</f>
        <v/>
      </c>
      <c r="B2082">
        <f>IF(VLOOKUP(Table73[[#This Row],[Date]],Database!$A:$E,MATCH($B$1,Database!$A$1:$E$1,),)=0,#N/A,VLOOKUP(Table73[[#This Row],[Date]],Database!$A:$E,MATCH($B$1,Database!$A$1:$E$1,),))</f>
        <v/>
      </c>
      <c r="C2082">
        <f>IF(VLOOKUP(Table73[[#This Row],[Date]],Database!$A:$C,MATCH($C$1,Database!$A$1:$C$1,),)=0,#N/A,VLOOKUP(Table73[[#This Row],[Date]],Database!$A:$C,MATCH($C$1,Database!$A$1:$C$1,),))</f>
        <v/>
      </c>
      <c r="D2082">
        <f>IFERROR(Table73[[#This Row],[United States 10y]]-Table73[[#This Row],[United States 2y]],#N/A)</f>
        <v/>
      </c>
    </row>
    <row r="2083">
      <c r="A2083" s="6">
        <f>Database!A2082</f>
        <v/>
      </c>
      <c r="B2083">
        <f>IF(VLOOKUP(Table73[[#This Row],[Date]],Database!$A:$E,MATCH($B$1,Database!$A$1:$E$1,),)=0,#N/A,VLOOKUP(Table73[[#This Row],[Date]],Database!$A:$E,MATCH($B$1,Database!$A$1:$E$1,),))</f>
        <v/>
      </c>
      <c r="C2083">
        <f>IF(VLOOKUP(Table73[[#This Row],[Date]],Database!$A:$C,MATCH($C$1,Database!$A$1:$C$1,),)=0,#N/A,VLOOKUP(Table73[[#This Row],[Date]],Database!$A:$C,MATCH($C$1,Database!$A$1:$C$1,),))</f>
        <v/>
      </c>
      <c r="D2083">
        <f>IFERROR(Table73[[#This Row],[United States 10y]]-Table73[[#This Row],[United States 2y]],#N/A)</f>
        <v/>
      </c>
    </row>
    <row r="2084">
      <c r="A2084" s="6">
        <f>Database!A2083</f>
        <v/>
      </c>
      <c r="B2084">
        <f>IF(VLOOKUP(Table73[[#This Row],[Date]],Database!$A:$E,MATCH($B$1,Database!$A$1:$E$1,),)=0,#N/A,VLOOKUP(Table73[[#This Row],[Date]],Database!$A:$E,MATCH($B$1,Database!$A$1:$E$1,),))</f>
        <v/>
      </c>
      <c r="C2084">
        <f>IF(VLOOKUP(Table73[[#This Row],[Date]],Database!$A:$C,MATCH($C$1,Database!$A$1:$C$1,),)=0,#N/A,VLOOKUP(Table73[[#This Row],[Date]],Database!$A:$C,MATCH($C$1,Database!$A$1:$C$1,),))</f>
        <v/>
      </c>
      <c r="D2084">
        <f>IFERROR(Table73[[#This Row],[United States 10y]]-Table73[[#This Row],[United States 2y]],#N/A)</f>
        <v/>
      </c>
    </row>
    <row r="2085">
      <c r="A2085" s="6">
        <f>Database!A2084</f>
        <v/>
      </c>
      <c r="B2085">
        <f>IF(VLOOKUP(Table73[[#This Row],[Date]],Database!$A:$E,MATCH($B$1,Database!$A$1:$E$1,),)=0,#N/A,VLOOKUP(Table73[[#This Row],[Date]],Database!$A:$E,MATCH($B$1,Database!$A$1:$E$1,),))</f>
        <v/>
      </c>
      <c r="C2085">
        <f>IF(VLOOKUP(Table73[[#This Row],[Date]],Database!$A:$C,MATCH($C$1,Database!$A$1:$C$1,),)=0,#N/A,VLOOKUP(Table73[[#This Row],[Date]],Database!$A:$C,MATCH($C$1,Database!$A$1:$C$1,),))</f>
        <v/>
      </c>
      <c r="D2085">
        <f>IFERROR(Table73[[#This Row],[United States 10y]]-Table73[[#This Row],[United States 2y]],#N/A)</f>
        <v/>
      </c>
    </row>
    <row r="2086">
      <c r="A2086" s="6">
        <f>Database!A2085</f>
        <v/>
      </c>
      <c r="B2086">
        <f>IF(VLOOKUP(Table73[[#This Row],[Date]],Database!$A:$E,MATCH($B$1,Database!$A$1:$E$1,),)=0,#N/A,VLOOKUP(Table73[[#This Row],[Date]],Database!$A:$E,MATCH($B$1,Database!$A$1:$E$1,),))</f>
        <v/>
      </c>
      <c r="C2086">
        <f>IF(VLOOKUP(Table73[[#This Row],[Date]],Database!$A:$C,MATCH($C$1,Database!$A$1:$C$1,),)=0,#N/A,VLOOKUP(Table73[[#This Row],[Date]],Database!$A:$C,MATCH($C$1,Database!$A$1:$C$1,),))</f>
        <v/>
      </c>
      <c r="D2086">
        <f>IFERROR(Table73[[#This Row],[United States 10y]]-Table73[[#This Row],[United States 2y]],#N/A)</f>
        <v/>
      </c>
    </row>
    <row r="2087">
      <c r="A2087" s="6">
        <f>Database!A2086</f>
        <v/>
      </c>
      <c r="B2087">
        <f>IF(VLOOKUP(Table73[[#This Row],[Date]],Database!$A:$E,MATCH($B$1,Database!$A$1:$E$1,),)=0,#N/A,VLOOKUP(Table73[[#This Row],[Date]],Database!$A:$E,MATCH($B$1,Database!$A$1:$E$1,),))</f>
        <v/>
      </c>
      <c r="C2087">
        <f>IF(VLOOKUP(Table73[[#This Row],[Date]],Database!$A:$C,MATCH($C$1,Database!$A$1:$C$1,),)=0,#N/A,VLOOKUP(Table73[[#This Row],[Date]],Database!$A:$C,MATCH($C$1,Database!$A$1:$C$1,),))</f>
        <v/>
      </c>
      <c r="D2087">
        <f>IFERROR(Table73[[#This Row],[United States 10y]]-Table73[[#This Row],[United States 2y]],#N/A)</f>
        <v/>
      </c>
    </row>
    <row r="2088">
      <c r="A2088" s="6">
        <f>Database!A2087</f>
        <v/>
      </c>
      <c r="B2088">
        <f>IF(VLOOKUP(Table73[[#This Row],[Date]],Database!$A:$E,MATCH($B$1,Database!$A$1:$E$1,),)=0,#N/A,VLOOKUP(Table73[[#This Row],[Date]],Database!$A:$E,MATCH($B$1,Database!$A$1:$E$1,),))</f>
        <v/>
      </c>
      <c r="C2088">
        <f>IF(VLOOKUP(Table73[[#This Row],[Date]],Database!$A:$C,MATCH($C$1,Database!$A$1:$C$1,),)=0,#N/A,VLOOKUP(Table73[[#This Row],[Date]],Database!$A:$C,MATCH($C$1,Database!$A$1:$C$1,),))</f>
        <v/>
      </c>
      <c r="D2088">
        <f>IFERROR(Table73[[#This Row],[United States 10y]]-Table73[[#This Row],[United States 2y]],#N/A)</f>
        <v/>
      </c>
    </row>
    <row r="2089">
      <c r="A2089" s="6">
        <f>Database!A2088</f>
        <v/>
      </c>
      <c r="B2089">
        <f>IF(VLOOKUP(Table73[[#This Row],[Date]],Database!$A:$E,MATCH($B$1,Database!$A$1:$E$1,),)=0,#N/A,VLOOKUP(Table73[[#This Row],[Date]],Database!$A:$E,MATCH($B$1,Database!$A$1:$E$1,),))</f>
        <v/>
      </c>
      <c r="C2089">
        <f>IF(VLOOKUP(Table73[[#This Row],[Date]],Database!$A:$C,MATCH($C$1,Database!$A$1:$C$1,),)=0,#N/A,VLOOKUP(Table73[[#This Row],[Date]],Database!$A:$C,MATCH($C$1,Database!$A$1:$C$1,),))</f>
        <v/>
      </c>
      <c r="D2089">
        <f>IFERROR(Table73[[#This Row],[United States 10y]]-Table73[[#This Row],[United States 2y]],#N/A)</f>
        <v/>
      </c>
    </row>
    <row r="2090">
      <c r="A2090" s="6">
        <f>Database!A2089</f>
        <v/>
      </c>
      <c r="B2090">
        <f>IF(VLOOKUP(Table73[[#This Row],[Date]],Database!$A:$E,MATCH($B$1,Database!$A$1:$E$1,),)=0,#N/A,VLOOKUP(Table73[[#This Row],[Date]],Database!$A:$E,MATCH($B$1,Database!$A$1:$E$1,),))</f>
        <v/>
      </c>
      <c r="C2090">
        <f>IF(VLOOKUP(Table73[[#This Row],[Date]],Database!$A:$C,MATCH($C$1,Database!$A$1:$C$1,),)=0,#N/A,VLOOKUP(Table73[[#This Row],[Date]],Database!$A:$C,MATCH($C$1,Database!$A$1:$C$1,),))</f>
        <v/>
      </c>
      <c r="D2090">
        <f>IFERROR(Table73[[#This Row],[United States 10y]]-Table73[[#This Row],[United States 2y]],#N/A)</f>
        <v/>
      </c>
    </row>
    <row r="2091">
      <c r="A2091" s="6">
        <f>Database!A2090</f>
        <v/>
      </c>
      <c r="B2091">
        <f>IF(VLOOKUP(Table73[[#This Row],[Date]],Database!$A:$E,MATCH($B$1,Database!$A$1:$E$1,),)=0,#N/A,VLOOKUP(Table73[[#This Row],[Date]],Database!$A:$E,MATCH($B$1,Database!$A$1:$E$1,),))</f>
        <v/>
      </c>
      <c r="C2091">
        <f>IF(VLOOKUP(Table73[[#This Row],[Date]],Database!$A:$C,MATCH($C$1,Database!$A$1:$C$1,),)=0,#N/A,VLOOKUP(Table73[[#This Row],[Date]],Database!$A:$C,MATCH($C$1,Database!$A$1:$C$1,),))</f>
        <v/>
      </c>
      <c r="D2091">
        <f>IFERROR(Table73[[#This Row],[United States 10y]]-Table73[[#This Row],[United States 2y]],#N/A)</f>
        <v/>
      </c>
    </row>
    <row r="2092">
      <c r="A2092" s="6">
        <f>Database!A2091</f>
        <v/>
      </c>
      <c r="B2092">
        <f>IF(VLOOKUP(Table73[[#This Row],[Date]],Database!$A:$E,MATCH($B$1,Database!$A$1:$E$1,),)=0,#N/A,VLOOKUP(Table73[[#This Row],[Date]],Database!$A:$E,MATCH($B$1,Database!$A$1:$E$1,),))</f>
        <v/>
      </c>
      <c r="C2092">
        <f>IF(VLOOKUP(Table73[[#This Row],[Date]],Database!$A:$C,MATCH($C$1,Database!$A$1:$C$1,),)=0,#N/A,VLOOKUP(Table73[[#This Row],[Date]],Database!$A:$C,MATCH($C$1,Database!$A$1:$C$1,),))</f>
        <v/>
      </c>
      <c r="D2092">
        <f>IFERROR(Table73[[#This Row],[United States 10y]]-Table73[[#This Row],[United States 2y]],#N/A)</f>
        <v/>
      </c>
    </row>
    <row r="2093">
      <c r="A2093" s="6">
        <f>Database!A2092</f>
        <v/>
      </c>
      <c r="B2093">
        <f>IF(VLOOKUP(Table73[[#This Row],[Date]],Database!$A:$E,MATCH($B$1,Database!$A$1:$E$1,),)=0,#N/A,VLOOKUP(Table73[[#This Row],[Date]],Database!$A:$E,MATCH($B$1,Database!$A$1:$E$1,),))</f>
        <v/>
      </c>
      <c r="C2093">
        <f>IF(VLOOKUP(Table73[[#This Row],[Date]],Database!$A:$C,MATCH($C$1,Database!$A$1:$C$1,),)=0,#N/A,VLOOKUP(Table73[[#This Row],[Date]],Database!$A:$C,MATCH($C$1,Database!$A$1:$C$1,),))</f>
        <v/>
      </c>
      <c r="D2093">
        <f>IFERROR(Table73[[#This Row],[United States 10y]]-Table73[[#This Row],[United States 2y]],#N/A)</f>
        <v/>
      </c>
    </row>
    <row r="2094">
      <c r="A2094" s="6">
        <f>Database!A2093</f>
        <v/>
      </c>
      <c r="B2094">
        <f>IF(VLOOKUP(Table73[[#This Row],[Date]],Database!$A:$E,MATCH($B$1,Database!$A$1:$E$1,),)=0,#N/A,VLOOKUP(Table73[[#This Row],[Date]],Database!$A:$E,MATCH($B$1,Database!$A$1:$E$1,),))</f>
        <v/>
      </c>
      <c r="C2094">
        <f>IF(VLOOKUP(Table73[[#This Row],[Date]],Database!$A:$C,MATCH($C$1,Database!$A$1:$C$1,),)=0,#N/A,VLOOKUP(Table73[[#This Row],[Date]],Database!$A:$C,MATCH($C$1,Database!$A$1:$C$1,),))</f>
        <v/>
      </c>
      <c r="D2094">
        <f>IFERROR(Table73[[#This Row],[United States 10y]]-Table73[[#This Row],[United States 2y]],#N/A)</f>
        <v/>
      </c>
    </row>
    <row r="2095">
      <c r="A2095" s="6">
        <f>Database!A2094</f>
        <v/>
      </c>
      <c r="B2095">
        <f>IF(VLOOKUP(Table73[[#This Row],[Date]],Database!$A:$E,MATCH($B$1,Database!$A$1:$E$1,),)=0,#N/A,VLOOKUP(Table73[[#This Row],[Date]],Database!$A:$E,MATCH($B$1,Database!$A$1:$E$1,),))</f>
        <v/>
      </c>
      <c r="C2095">
        <f>IF(VLOOKUP(Table73[[#This Row],[Date]],Database!$A:$C,MATCH($C$1,Database!$A$1:$C$1,),)=0,#N/A,VLOOKUP(Table73[[#This Row],[Date]],Database!$A:$C,MATCH($C$1,Database!$A$1:$C$1,),))</f>
        <v/>
      </c>
      <c r="D2095">
        <f>IFERROR(Table73[[#This Row],[United States 10y]]-Table73[[#This Row],[United States 2y]],#N/A)</f>
        <v/>
      </c>
    </row>
    <row r="2096">
      <c r="A2096" s="6">
        <f>Database!A2095</f>
        <v/>
      </c>
      <c r="B2096">
        <f>IF(VLOOKUP(Table73[[#This Row],[Date]],Database!$A:$E,MATCH($B$1,Database!$A$1:$E$1,),)=0,#N/A,VLOOKUP(Table73[[#This Row],[Date]],Database!$A:$E,MATCH($B$1,Database!$A$1:$E$1,),))</f>
        <v/>
      </c>
      <c r="C2096">
        <f>IF(VLOOKUP(Table73[[#This Row],[Date]],Database!$A:$C,MATCH($C$1,Database!$A$1:$C$1,),)=0,#N/A,VLOOKUP(Table73[[#This Row],[Date]],Database!$A:$C,MATCH($C$1,Database!$A$1:$C$1,),))</f>
        <v/>
      </c>
      <c r="D2096">
        <f>IFERROR(Table73[[#This Row],[United States 10y]]-Table73[[#This Row],[United States 2y]],#N/A)</f>
        <v/>
      </c>
    </row>
    <row r="2097">
      <c r="A2097" s="6">
        <f>Database!A2096</f>
        <v/>
      </c>
      <c r="B2097">
        <f>IF(VLOOKUP(Table73[[#This Row],[Date]],Database!$A:$E,MATCH($B$1,Database!$A$1:$E$1,),)=0,#N/A,VLOOKUP(Table73[[#This Row],[Date]],Database!$A:$E,MATCH($B$1,Database!$A$1:$E$1,),))</f>
        <v/>
      </c>
      <c r="C2097">
        <f>IF(VLOOKUP(Table73[[#This Row],[Date]],Database!$A:$C,MATCH($C$1,Database!$A$1:$C$1,),)=0,#N/A,VLOOKUP(Table73[[#This Row],[Date]],Database!$A:$C,MATCH($C$1,Database!$A$1:$C$1,),))</f>
        <v/>
      </c>
      <c r="D2097">
        <f>IFERROR(Table73[[#This Row],[United States 10y]]-Table73[[#This Row],[United States 2y]],#N/A)</f>
        <v/>
      </c>
    </row>
    <row r="2098">
      <c r="A2098" s="6">
        <f>Database!A2097</f>
        <v/>
      </c>
      <c r="B2098">
        <f>IF(VLOOKUP(Table73[[#This Row],[Date]],Database!$A:$E,MATCH($B$1,Database!$A$1:$E$1,),)=0,#N/A,VLOOKUP(Table73[[#This Row],[Date]],Database!$A:$E,MATCH($B$1,Database!$A$1:$E$1,),))</f>
        <v/>
      </c>
      <c r="C2098">
        <f>IF(VLOOKUP(Table73[[#This Row],[Date]],Database!$A:$C,MATCH($C$1,Database!$A$1:$C$1,),)=0,#N/A,VLOOKUP(Table73[[#This Row],[Date]],Database!$A:$C,MATCH($C$1,Database!$A$1:$C$1,),))</f>
        <v/>
      </c>
      <c r="D2098">
        <f>IFERROR(Table73[[#This Row],[United States 10y]]-Table73[[#This Row],[United States 2y]],#N/A)</f>
        <v/>
      </c>
    </row>
    <row r="2099">
      <c r="A2099" s="6">
        <f>Database!A2098</f>
        <v/>
      </c>
      <c r="B2099">
        <f>IF(VLOOKUP(Table73[[#This Row],[Date]],Database!$A:$E,MATCH($B$1,Database!$A$1:$E$1,),)=0,#N/A,VLOOKUP(Table73[[#This Row],[Date]],Database!$A:$E,MATCH($B$1,Database!$A$1:$E$1,),))</f>
        <v/>
      </c>
      <c r="C2099">
        <f>IF(VLOOKUP(Table73[[#This Row],[Date]],Database!$A:$C,MATCH($C$1,Database!$A$1:$C$1,),)=0,#N/A,VLOOKUP(Table73[[#This Row],[Date]],Database!$A:$C,MATCH($C$1,Database!$A$1:$C$1,),))</f>
        <v/>
      </c>
      <c r="D2099">
        <f>IFERROR(Table73[[#This Row],[United States 10y]]-Table73[[#This Row],[United States 2y]],#N/A)</f>
        <v/>
      </c>
    </row>
    <row r="2100">
      <c r="A2100" s="6">
        <f>Database!A2099</f>
        <v/>
      </c>
      <c r="B2100">
        <f>IF(VLOOKUP(Table73[[#This Row],[Date]],Database!$A:$E,MATCH($B$1,Database!$A$1:$E$1,),)=0,#N/A,VLOOKUP(Table73[[#This Row],[Date]],Database!$A:$E,MATCH($B$1,Database!$A$1:$E$1,),))</f>
        <v/>
      </c>
      <c r="C2100">
        <f>IF(VLOOKUP(Table73[[#This Row],[Date]],Database!$A:$C,MATCH($C$1,Database!$A$1:$C$1,),)=0,#N/A,VLOOKUP(Table73[[#This Row],[Date]],Database!$A:$C,MATCH($C$1,Database!$A$1:$C$1,),))</f>
        <v/>
      </c>
      <c r="D2100">
        <f>IFERROR(Table73[[#This Row],[United States 10y]]-Table73[[#This Row],[United States 2y]],#N/A)</f>
        <v/>
      </c>
    </row>
    <row r="2101">
      <c r="A2101" s="6">
        <f>Database!A2100</f>
        <v/>
      </c>
      <c r="B2101">
        <f>IF(VLOOKUP(Table73[[#This Row],[Date]],Database!$A:$E,MATCH($B$1,Database!$A$1:$E$1,),)=0,#N/A,VLOOKUP(Table73[[#This Row],[Date]],Database!$A:$E,MATCH($B$1,Database!$A$1:$E$1,),))</f>
        <v/>
      </c>
      <c r="C2101">
        <f>IF(VLOOKUP(Table73[[#This Row],[Date]],Database!$A:$C,MATCH($C$1,Database!$A$1:$C$1,),)=0,#N/A,VLOOKUP(Table73[[#This Row],[Date]],Database!$A:$C,MATCH($C$1,Database!$A$1:$C$1,),))</f>
        <v/>
      </c>
      <c r="D2101">
        <f>IFERROR(Table73[[#This Row],[United States 10y]]-Table73[[#This Row],[United States 2y]],#N/A)</f>
        <v/>
      </c>
    </row>
    <row r="2102">
      <c r="A2102" s="6">
        <f>Database!A2101</f>
        <v/>
      </c>
      <c r="B2102">
        <f>IF(VLOOKUP(Table73[[#This Row],[Date]],Database!$A:$E,MATCH($B$1,Database!$A$1:$E$1,),)=0,#N/A,VLOOKUP(Table73[[#This Row],[Date]],Database!$A:$E,MATCH($B$1,Database!$A$1:$E$1,),))</f>
        <v/>
      </c>
      <c r="C2102">
        <f>IF(VLOOKUP(Table73[[#This Row],[Date]],Database!$A:$C,MATCH($C$1,Database!$A$1:$C$1,),)=0,#N/A,VLOOKUP(Table73[[#This Row],[Date]],Database!$A:$C,MATCH($C$1,Database!$A$1:$C$1,),))</f>
        <v/>
      </c>
      <c r="D2102">
        <f>IFERROR(Table73[[#This Row],[United States 10y]]-Table73[[#This Row],[United States 2y]],#N/A)</f>
        <v/>
      </c>
    </row>
    <row r="2103">
      <c r="A2103" s="6">
        <f>Database!A2102</f>
        <v/>
      </c>
      <c r="B2103">
        <f>IF(VLOOKUP(Table73[[#This Row],[Date]],Database!$A:$E,MATCH($B$1,Database!$A$1:$E$1,),)=0,#N/A,VLOOKUP(Table73[[#This Row],[Date]],Database!$A:$E,MATCH($B$1,Database!$A$1:$E$1,),))</f>
        <v/>
      </c>
      <c r="C2103">
        <f>IF(VLOOKUP(Table73[[#This Row],[Date]],Database!$A:$C,MATCH($C$1,Database!$A$1:$C$1,),)=0,#N/A,VLOOKUP(Table73[[#This Row],[Date]],Database!$A:$C,MATCH($C$1,Database!$A$1:$C$1,),))</f>
        <v/>
      </c>
      <c r="D2103">
        <f>IFERROR(Table73[[#This Row],[United States 10y]]-Table73[[#This Row],[United States 2y]],#N/A)</f>
        <v/>
      </c>
    </row>
    <row r="2104">
      <c r="A2104" s="6">
        <f>Database!A2103</f>
        <v/>
      </c>
      <c r="B2104">
        <f>IF(VLOOKUP(Table73[[#This Row],[Date]],Database!$A:$E,MATCH($B$1,Database!$A$1:$E$1,),)=0,#N/A,VLOOKUP(Table73[[#This Row],[Date]],Database!$A:$E,MATCH($B$1,Database!$A$1:$E$1,),))</f>
        <v/>
      </c>
      <c r="C2104">
        <f>IF(VLOOKUP(Table73[[#This Row],[Date]],Database!$A:$C,MATCH($C$1,Database!$A$1:$C$1,),)=0,#N/A,VLOOKUP(Table73[[#This Row],[Date]],Database!$A:$C,MATCH($C$1,Database!$A$1:$C$1,),))</f>
        <v/>
      </c>
      <c r="D2104">
        <f>IFERROR(Table73[[#This Row],[United States 10y]]-Table73[[#This Row],[United States 2y]],#N/A)</f>
        <v/>
      </c>
    </row>
    <row r="2105">
      <c r="A2105" s="6">
        <f>Database!A2104</f>
        <v/>
      </c>
      <c r="B2105">
        <f>IF(VLOOKUP(Table73[[#This Row],[Date]],Database!$A:$E,MATCH($B$1,Database!$A$1:$E$1,),)=0,#N/A,VLOOKUP(Table73[[#This Row],[Date]],Database!$A:$E,MATCH($B$1,Database!$A$1:$E$1,),))</f>
        <v/>
      </c>
      <c r="C2105">
        <f>IF(VLOOKUP(Table73[[#This Row],[Date]],Database!$A:$C,MATCH($C$1,Database!$A$1:$C$1,),)=0,#N/A,VLOOKUP(Table73[[#This Row],[Date]],Database!$A:$C,MATCH($C$1,Database!$A$1:$C$1,),))</f>
        <v/>
      </c>
      <c r="D2105">
        <f>IFERROR(Table73[[#This Row],[United States 10y]]-Table73[[#This Row],[United States 2y]],#N/A)</f>
        <v/>
      </c>
    </row>
    <row r="2106">
      <c r="A2106" s="6">
        <f>Database!A2105</f>
        <v/>
      </c>
      <c r="B2106">
        <f>IF(VLOOKUP(Table73[[#This Row],[Date]],Database!$A:$E,MATCH($B$1,Database!$A$1:$E$1,),)=0,#N/A,VLOOKUP(Table73[[#This Row],[Date]],Database!$A:$E,MATCH($B$1,Database!$A$1:$E$1,),))</f>
        <v/>
      </c>
      <c r="C2106">
        <f>IF(VLOOKUP(Table73[[#This Row],[Date]],Database!$A:$C,MATCH($C$1,Database!$A$1:$C$1,),)=0,#N/A,VLOOKUP(Table73[[#This Row],[Date]],Database!$A:$C,MATCH($C$1,Database!$A$1:$C$1,),))</f>
        <v/>
      </c>
      <c r="D2106">
        <f>IFERROR(Table73[[#This Row],[United States 10y]]-Table73[[#This Row],[United States 2y]],#N/A)</f>
        <v/>
      </c>
    </row>
    <row r="2107">
      <c r="A2107" s="6">
        <f>Database!A2106</f>
        <v/>
      </c>
      <c r="B2107">
        <f>IF(VLOOKUP(Table73[[#This Row],[Date]],Database!$A:$E,MATCH($B$1,Database!$A$1:$E$1,),)=0,#N/A,VLOOKUP(Table73[[#This Row],[Date]],Database!$A:$E,MATCH($B$1,Database!$A$1:$E$1,),))</f>
        <v/>
      </c>
      <c r="C2107">
        <f>IF(VLOOKUP(Table73[[#This Row],[Date]],Database!$A:$C,MATCH($C$1,Database!$A$1:$C$1,),)=0,#N/A,VLOOKUP(Table73[[#This Row],[Date]],Database!$A:$C,MATCH($C$1,Database!$A$1:$C$1,),))</f>
        <v/>
      </c>
      <c r="D2107">
        <f>IFERROR(Table73[[#This Row],[United States 10y]]-Table73[[#This Row],[United States 2y]],#N/A)</f>
        <v/>
      </c>
    </row>
    <row r="2108">
      <c r="A2108" s="6">
        <f>Database!A2107</f>
        <v/>
      </c>
      <c r="B2108">
        <f>IF(VLOOKUP(Table73[[#This Row],[Date]],Database!$A:$E,MATCH($B$1,Database!$A$1:$E$1,),)=0,#N/A,VLOOKUP(Table73[[#This Row],[Date]],Database!$A:$E,MATCH($B$1,Database!$A$1:$E$1,),))</f>
        <v/>
      </c>
      <c r="C2108">
        <f>IF(VLOOKUP(Table73[[#This Row],[Date]],Database!$A:$C,MATCH($C$1,Database!$A$1:$C$1,),)=0,#N/A,VLOOKUP(Table73[[#This Row],[Date]],Database!$A:$C,MATCH($C$1,Database!$A$1:$C$1,),))</f>
        <v/>
      </c>
      <c r="D2108">
        <f>IFERROR(Table73[[#This Row],[United States 10y]]-Table73[[#This Row],[United States 2y]],#N/A)</f>
        <v/>
      </c>
    </row>
    <row r="2109">
      <c r="A2109" s="6">
        <f>Database!A2108</f>
        <v/>
      </c>
      <c r="B2109">
        <f>IF(VLOOKUP(Table73[[#This Row],[Date]],Database!$A:$E,MATCH($B$1,Database!$A$1:$E$1,),)=0,#N/A,VLOOKUP(Table73[[#This Row],[Date]],Database!$A:$E,MATCH($B$1,Database!$A$1:$E$1,),))</f>
        <v/>
      </c>
      <c r="C2109">
        <f>IF(VLOOKUP(Table73[[#This Row],[Date]],Database!$A:$C,MATCH($C$1,Database!$A$1:$C$1,),)=0,#N/A,VLOOKUP(Table73[[#This Row],[Date]],Database!$A:$C,MATCH($C$1,Database!$A$1:$C$1,),))</f>
        <v/>
      </c>
      <c r="D2109">
        <f>IFERROR(Table73[[#This Row],[United States 10y]]-Table73[[#This Row],[United States 2y]],#N/A)</f>
        <v/>
      </c>
    </row>
    <row r="2110">
      <c r="A2110" s="6">
        <f>Database!A2109</f>
        <v/>
      </c>
      <c r="B2110">
        <f>IF(VLOOKUP(Table73[[#This Row],[Date]],Database!$A:$E,MATCH($B$1,Database!$A$1:$E$1,),)=0,#N/A,VLOOKUP(Table73[[#This Row],[Date]],Database!$A:$E,MATCH($B$1,Database!$A$1:$E$1,),))</f>
        <v/>
      </c>
      <c r="C2110">
        <f>IF(VLOOKUP(Table73[[#This Row],[Date]],Database!$A:$C,MATCH($C$1,Database!$A$1:$C$1,),)=0,#N/A,VLOOKUP(Table73[[#This Row],[Date]],Database!$A:$C,MATCH($C$1,Database!$A$1:$C$1,),))</f>
        <v/>
      </c>
      <c r="D2110">
        <f>IFERROR(Table73[[#This Row],[United States 10y]]-Table73[[#This Row],[United States 2y]],#N/A)</f>
        <v/>
      </c>
    </row>
    <row r="2111">
      <c r="A2111" s="6">
        <f>Database!A2110</f>
        <v/>
      </c>
      <c r="B2111">
        <f>IF(VLOOKUP(Table73[[#This Row],[Date]],Database!$A:$E,MATCH($B$1,Database!$A$1:$E$1,),)=0,#N/A,VLOOKUP(Table73[[#This Row],[Date]],Database!$A:$E,MATCH($B$1,Database!$A$1:$E$1,),))</f>
        <v/>
      </c>
      <c r="C2111">
        <f>IF(VLOOKUP(Table73[[#This Row],[Date]],Database!$A:$C,MATCH($C$1,Database!$A$1:$C$1,),)=0,#N/A,VLOOKUP(Table73[[#This Row],[Date]],Database!$A:$C,MATCH($C$1,Database!$A$1:$C$1,),))</f>
        <v/>
      </c>
      <c r="D2111">
        <f>IFERROR(Table73[[#This Row],[United States 10y]]-Table73[[#This Row],[United States 2y]],#N/A)</f>
        <v/>
      </c>
    </row>
    <row r="2112">
      <c r="A2112" s="6">
        <f>Database!A2111</f>
        <v/>
      </c>
      <c r="B2112">
        <f>IF(VLOOKUP(Table73[[#This Row],[Date]],Database!$A:$E,MATCH($B$1,Database!$A$1:$E$1,),)=0,#N/A,VLOOKUP(Table73[[#This Row],[Date]],Database!$A:$E,MATCH($B$1,Database!$A$1:$E$1,),))</f>
        <v/>
      </c>
      <c r="C2112">
        <f>IF(VLOOKUP(Table73[[#This Row],[Date]],Database!$A:$C,MATCH($C$1,Database!$A$1:$C$1,),)=0,#N/A,VLOOKUP(Table73[[#This Row],[Date]],Database!$A:$C,MATCH($C$1,Database!$A$1:$C$1,),))</f>
        <v/>
      </c>
      <c r="D2112">
        <f>IFERROR(Table73[[#This Row],[United States 10y]]-Table73[[#This Row],[United States 2y]],#N/A)</f>
        <v/>
      </c>
    </row>
    <row r="2113">
      <c r="A2113" s="6">
        <f>Database!A2112</f>
        <v/>
      </c>
      <c r="B2113">
        <f>IF(VLOOKUP(Table73[[#This Row],[Date]],Database!$A:$E,MATCH($B$1,Database!$A$1:$E$1,),)=0,#N/A,VLOOKUP(Table73[[#This Row],[Date]],Database!$A:$E,MATCH($B$1,Database!$A$1:$E$1,),))</f>
        <v/>
      </c>
      <c r="C2113">
        <f>IF(VLOOKUP(Table73[[#This Row],[Date]],Database!$A:$C,MATCH($C$1,Database!$A$1:$C$1,),)=0,#N/A,VLOOKUP(Table73[[#This Row],[Date]],Database!$A:$C,MATCH($C$1,Database!$A$1:$C$1,),))</f>
        <v/>
      </c>
      <c r="D2113">
        <f>IFERROR(Table73[[#This Row],[United States 10y]]-Table73[[#This Row],[United States 2y]],#N/A)</f>
        <v/>
      </c>
    </row>
    <row r="2114">
      <c r="A2114" s="6">
        <f>Database!A2113</f>
        <v/>
      </c>
      <c r="B2114">
        <f>IF(VLOOKUP(Table73[[#This Row],[Date]],Database!$A:$E,MATCH($B$1,Database!$A$1:$E$1,),)=0,#N/A,VLOOKUP(Table73[[#This Row],[Date]],Database!$A:$E,MATCH($B$1,Database!$A$1:$E$1,),))</f>
        <v/>
      </c>
      <c r="C2114">
        <f>IF(VLOOKUP(Table73[[#This Row],[Date]],Database!$A:$C,MATCH($C$1,Database!$A$1:$C$1,),)=0,#N/A,VLOOKUP(Table73[[#This Row],[Date]],Database!$A:$C,MATCH($C$1,Database!$A$1:$C$1,),))</f>
        <v/>
      </c>
      <c r="D2114">
        <f>IFERROR(Table73[[#This Row],[United States 10y]]-Table73[[#This Row],[United States 2y]],#N/A)</f>
        <v/>
      </c>
    </row>
    <row r="2115">
      <c r="A2115" s="6">
        <f>Database!A2114</f>
        <v/>
      </c>
      <c r="B2115">
        <f>IF(VLOOKUP(Table73[[#This Row],[Date]],Database!$A:$E,MATCH($B$1,Database!$A$1:$E$1,),)=0,#N/A,VLOOKUP(Table73[[#This Row],[Date]],Database!$A:$E,MATCH($B$1,Database!$A$1:$E$1,),))</f>
        <v/>
      </c>
      <c r="C2115">
        <f>IF(VLOOKUP(Table73[[#This Row],[Date]],Database!$A:$C,MATCH($C$1,Database!$A$1:$C$1,),)=0,#N/A,VLOOKUP(Table73[[#This Row],[Date]],Database!$A:$C,MATCH($C$1,Database!$A$1:$C$1,),))</f>
        <v/>
      </c>
      <c r="D2115">
        <f>IFERROR(Table73[[#This Row],[United States 10y]]-Table73[[#This Row],[United States 2y]],#N/A)</f>
        <v/>
      </c>
    </row>
    <row r="2116">
      <c r="A2116" s="6">
        <f>Database!A2115</f>
        <v/>
      </c>
      <c r="B2116">
        <f>IF(VLOOKUP(Table73[[#This Row],[Date]],Database!$A:$E,MATCH($B$1,Database!$A$1:$E$1,),)=0,#N/A,VLOOKUP(Table73[[#This Row],[Date]],Database!$A:$E,MATCH($B$1,Database!$A$1:$E$1,),))</f>
        <v/>
      </c>
      <c r="C2116">
        <f>IF(VLOOKUP(Table73[[#This Row],[Date]],Database!$A:$C,MATCH($C$1,Database!$A$1:$C$1,),)=0,#N/A,VLOOKUP(Table73[[#This Row],[Date]],Database!$A:$C,MATCH($C$1,Database!$A$1:$C$1,),))</f>
        <v/>
      </c>
      <c r="D2116">
        <f>IFERROR(Table73[[#This Row],[United States 10y]]-Table73[[#This Row],[United States 2y]],#N/A)</f>
        <v/>
      </c>
    </row>
    <row r="2117">
      <c r="A2117" s="6">
        <f>Database!A2116</f>
        <v/>
      </c>
      <c r="B2117">
        <f>IF(VLOOKUP(Table73[[#This Row],[Date]],Database!$A:$E,MATCH($B$1,Database!$A$1:$E$1,),)=0,#N/A,VLOOKUP(Table73[[#This Row],[Date]],Database!$A:$E,MATCH($B$1,Database!$A$1:$E$1,),))</f>
        <v/>
      </c>
      <c r="C2117">
        <f>IF(VLOOKUP(Table73[[#This Row],[Date]],Database!$A:$C,MATCH($C$1,Database!$A$1:$C$1,),)=0,#N/A,VLOOKUP(Table73[[#This Row],[Date]],Database!$A:$C,MATCH($C$1,Database!$A$1:$C$1,),))</f>
        <v/>
      </c>
      <c r="D2117">
        <f>IFERROR(Table73[[#This Row],[United States 10y]]-Table73[[#This Row],[United States 2y]],#N/A)</f>
        <v/>
      </c>
    </row>
    <row r="2118">
      <c r="A2118" s="6">
        <f>Database!A2117</f>
        <v/>
      </c>
      <c r="B2118">
        <f>IF(VLOOKUP(Table73[[#This Row],[Date]],Database!$A:$E,MATCH($B$1,Database!$A$1:$E$1,),)=0,#N/A,VLOOKUP(Table73[[#This Row],[Date]],Database!$A:$E,MATCH($B$1,Database!$A$1:$E$1,),))</f>
        <v/>
      </c>
      <c r="C2118">
        <f>IF(VLOOKUP(Table73[[#This Row],[Date]],Database!$A:$C,MATCH($C$1,Database!$A$1:$C$1,),)=0,#N/A,VLOOKUP(Table73[[#This Row],[Date]],Database!$A:$C,MATCH($C$1,Database!$A$1:$C$1,),))</f>
        <v/>
      </c>
      <c r="D2118">
        <f>IFERROR(Table73[[#This Row],[United States 10y]]-Table73[[#This Row],[United States 2y]],#N/A)</f>
        <v/>
      </c>
    </row>
    <row r="2119">
      <c r="A2119" s="6">
        <f>Database!A2118</f>
        <v/>
      </c>
      <c r="B2119">
        <f>IF(VLOOKUP(Table73[[#This Row],[Date]],Database!$A:$E,MATCH($B$1,Database!$A$1:$E$1,),)=0,#N/A,VLOOKUP(Table73[[#This Row],[Date]],Database!$A:$E,MATCH($B$1,Database!$A$1:$E$1,),))</f>
        <v/>
      </c>
      <c r="C2119">
        <f>IF(VLOOKUP(Table73[[#This Row],[Date]],Database!$A:$C,MATCH($C$1,Database!$A$1:$C$1,),)=0,#N/A,VLOOKUP(Table73[[#This Row],[Date]],Database!$A:$C,MATCH($C$1,Database!$A$1:$C$1,),))</f>
        <v/>
      </c>
      <c r="D2119">
        <f>IFERROR(Table73[[#This Row],[United States 10y]]-Table73[[#This Row],[United States 2y]],#N/A)</f>
        <v/>
      </c>
    </row>
    <row r="2120">
      <c r="A2120" s="6">
        <f>Database!A2119</f>
        <v/>
      </c>
      <c r="B2120">
        <f>IF(VLOOKUP(Table73[[#This Row],[Date]],Database!$A:$E,MATCH($B$1,Database!$A$1:$E$1,),)=0,#N/A,VLOOKUP(Table73[[#This Row],[Date]],Database!$A:$E,MATCH($B$1,Database!$A$1:$E$1,),))</f>
        <v/>
      </c>
      <c r="C2120">
        <f>IF(VLOOKUP(Table73[[#This Row],[Date]],Database!$A:$C,MATCH($C$1,Database!$A$1:$C$1,),)=0,#N/A,VLOOKUP(Table73[[#This Row],[Date]],Database!$A:$C,MATCH($C$1,Database!$A$1:$C$1,),))</f>
        <v/>
      </c>
      <c r="D2120">
        <f>IFERROR(Table73[[#This Row],[United States 10y]]-Table73[[#This Row],[United States 2y]],#N/A)</f>
        <v/>
      </c>
    </row>
    <row r="2121">
      <c r="A2121" s="6">
        <f>Database!A2120</f>
        <v/>
      </c>
      <c r="B2121">
        <f>IF(VLOOKUP(Table73[[#This Row],[Date]],Database!$A:$E,MATCH($B$1,Database!$A$1:$E$1,),)=0,#N/A,VLOOKUP(Table73[[#This Row],[Date]],Database!$A:$E,MATCH($B$1,Database!$A$1:$E$1,),))</f>
        <v/>
      </c>
      <c r="C2121">
        <f>IF(VLOOKUP(Table73[[#This Row],[Date]],Database!$A:$C,MATCH($C$1,Database!$A$1:$C$1,),)=0,#N/A,VLOOKUP(Table73[[#This Row],[Date]],Database!$A:$C,MATCH($C$1,Database!$A$1:$C$1,),))</f>
        <v/>
      </c>
      <c r="D2121">
        <f>IFERROR(Table73[[#This Row],[United States 10y]]-Table73[[#This Row],[United States 2y]],#N/A)</f>
        <v/>
      </c>
    </row>
    <row r="2122">
      <c r="A2122" s="6">
        <f>Database!A2121</f>
        <v/>
      </c>
      <c r="B2122">
        <f>IF(VLOOKUP(Table73[[#This Row],[Date]],Database!$A:$E,MATCH($B$1,Database!$A$1:$E$1,),)=0,#N/A,VLOOKUP(Table73[[#This Row],[Date]],Database!$A:$E,MATCH($B$1,Database!$A$1:$E$1,),))</f>
        <v/>
      </c>
      <c r="C2122">
        <f>IF(VLOOKUP(Table73[[#This Row],[Date]],Database!$A:$C,MATCH($C$1,Database!$A$1:$C$1,),)=0,#N/A,VLOOKUP(Table73[[#This Row],[Date]],Database!$A:$C,MATCH($C$1,Database!$A$1:$C$1,),))</f>
        <v/>
      </c>
      <c r="D2122">
        <f>IFERROR(Table73[[#This Row],[United States 10y]]-Table73[[#This Row],[United States 2y]],#N/A)</f>
        <v/>
      </c>
    </row>
    <row r="2123">
      <c r="A2123" s="6">
        <f>Database!A2122</f>
        <v/>
      </c>
      <c r="B2123">
        <f>IF(VLOOKUP(Table73[[#This Row],[Date]],Database!$A:$E,MATCH($B$1,Database!$A$1:$E$1,),)=0,#N/A,VLOOKUP(Table73[[#This Row],[Date]],Database!$A:$E,MATCH($B$1,Database!$A$1:$E$1,),))</f>
        <v/>
      </c>
      <c r="C2123">
        <f>IF(VLOOKUP(Table73[[#This Row],[Date]],Database!$A:$C,MATCH($C$1,Database!$A$1:$C$1,),)=0,#N/A,VLOOKUP(Table73[[#This Row],[Date]],Database!$A:$C,MATCH($C$1,Database!$A$1:$C$1,),))</f>
        <v/>
      </c>
      <c r="D2123">
        <f>IFERROR(Table73[[#This Row],[United States 10y]]-Table73[[#This Row],[United States 2y]],#N/A)</f>
        <v/>
      </c>
    </row>
    <row r="2124">
      <c r="A2124" s="6">
        <f>Database!A2123</f>
        <v/>
      </c>
      <c r="B2124">
        <f>IF(VLOOKUP(Table73[[#This Row],[Date]],Database!$A:$E,MATCH($B$1,Database!$A$1:$E$1,),)=0,#N/A,VLOOKUP(Table73[[#This Row],[Date]],Database!$A:$E,MATCH($B$1,Database!$A$1:$E$1,),))</f>
        <v/>
      </c>
      <c r="C2124">
        <f>IF(VLOOKUP(Table73[[#This Row],[Date]],Database!$A:$C,MATCH($C$1,Database!$A$1:$C$1,),)=0,#N/A,VLOOKUP(Table73[[#This Row],[Date]],Database!$A:$C,MATCH($C$1,Database!$A$1:$C$1,),))</f>
        <v/>
      </c>
      <c r="D2124">
        <f>IFERROR(Table73[[#This Row],[United States 10y]]-Table73[[#This Row],[United States 2y]],#N/A)</f>
        <v/>
      </c>
    </row>
    <row r="2125">
      <c r="A2125" s="6">
        <f>Database!A2124</f>
        <v/>
      </c>
      <c r="B2125">
        <f>IF(VLOOKUP(Table73[[#This Row],[Date]],Database!$A:$E,MATCH($B$1,Database!$A$1:$E$1,),)=0,#N/A,VLOOKUP(Table73[[#This Row],[Date]],Database!$A:$E,MATCH($B$1,Database!$A$1:$E$1,),))</f>
        <v/>
      </c>
      <c r="C2125">
        <f>IF(VLOOKUP(Table73[[#This Row],[Date]],Database!$A:$C,MATCH($C$1,Database!$A$1:$C$1,),)=0,#N/A,VLOOKUP(Table73[[#This Row],[Date]],Database!$A:$C,MATCH($C$1,Database!$A$1:$C$1,),))</f>
        <v/>
      </c>
      <c r="D2125">
        <f>IFERROR(Table73[[#This Row],[United States 10y]]-Table73[[#This Row],[United States 2y]],#N/A)</f>
        <v/>
      </c>
    </row>
    <row r="2126">
      <c r="A2126" s="6">
        <f>Database!A2125</f>
        <v/>
      </c>
      <c r="B2126">
        <f>IF(VLOOKUP(Table73[[#This Row],[Date]],Database!$A:$E,MATCH($B$1,Database!$A$1:$E$1,),)=0,#N/A,VLOOKUP(Table73[[#This Row],[Date]],Database!$A:$E,MATCH($B$1,Database!$A$1:$E$1,),))</f>
        <v/>
      </c>
      <c r="C2126">
        <f>IF(VLOOKUP(Table73[[#This Row],[Date]],Database!$A:$C,MATCH($C$1,Database!$A$1:$C$1,),)=0,#N/A,VLOOKUP(Table73[[#This Row],[Date]],Database!$A:$C,MATCH($C$1,Database!$A$1:$C$1,),))</f>
        <v/>
      </c>
      <c r="D2126">
        <f>IFERROR(Table73[[#This Row],[United States 10y]]-Table73[[#This Row],[United States 2y]],#N/A)</f>
        <v/>
      </c>
    </row>
    <row r="2127">
      <c r="A2127" s="6">
        <f>Database!A2126</f>
        <v/>
      </c>
      <c r="B2127">
        <f>IF(VLOOKUP(Table73[[#This Row],[Date]],Database!$A:$E,MATCH($B$1,Database!$A$1:$E$1,),)=0,#N/A,VLOOKUP(Table73[[#This Row],[Date]],Database!$A:$E,MATCH($B$1,Database!$A$1:$E$1,),))</f>
        <v/>
      </c>
      <c r="C2127">
        <f>IF(VLOOKUP(Table73[[#This Row],[Date]],Database!$A:$C,MATCH($C$1,Database!$A$1:$C$1,),)=0,#N/A,VLOOKUP(Table73[[#This Row],[Date]],Database!$A:$C,MATCH($C$1,Database!$A$1:$C$1,),))</f>
        <v/>
      </c>
      <c r="D2127">
        <f>IFERROR(Table73[[#This Row],[United States 10y]]-Table73[[#This Row],[United States 2y]],#N/A)</f>
        <v/>
      </c>
    </row>
    <row r="2128">
      <c r="A2128" s="6">
        <f>Database!A2127</f>
        <v/>
      </c>
      <c r="B2128">
        <f>IF(VLOOKUP(Table73[[#This Row],[Date]],Database!$A:$E,MATCH($B$1,Database!$A$1:$E$1,),)=0,#N/A,VLOOKUP(Table73[[#This Row],[Date]],Database!$A:$E,MATCH($B$1,Database!$A$1:$E$1,),))</f>
        <v/>
      </c>
      <c r="C2128">
        <f>IF(VLOOKUP(Table73[[#This Row],[Date]],Database!$A:$C,MATCH($C$1,Database!$A$1:$C$1,),)=0,#N/A,VLOOKUP(Table73[[#This Row],[Date]],Database!$A:$C,MATCH($C$1,Database!$A$1:$C$1,),))</f>
        <v/>
      </c>
      <c r="D2128">
        <f>IFERROR(Table73[[#This Row],[United States 10y]]-Table73[[#This Row],[United States 2y]],#N/A)</f>
        <v/>
      </c>
    </row>
    <row r="2129">
      <c r="A2129" s="6">
        <f>Database!A2128</f>
        <v/>
      </c>
      <c r="B2129">
        <f>IF(VLOOKUP(Table73[[#This Row],[Date]],Database!$A:$E,MATCH($B$1,Database!$A$1:$E$1,),)=0,#N/A,VLOOKUP(Table73[[#This Row],[Date]],Database!$A:$E,MATCH($B$1,Database!$A$1:$E$1,),))</f>
        <v/>
      </c>
      <c r="C2129">
        <f>IF(VLOOKUP(Table73[[#This Row],[Date]],Database!$A:$C,MATCH($C$1,Database!$A$1:$C$1,),)=0,#N/A,VLOOKUP(Table73[[#This Row],[Date]],Database!$A:$C,MATCH($C$1,Database!$A$1:$C$1,),))</f>
        <v/>
      </c>
      <c r="D2129">
        <f>IFERROR(Table73[[#This Row],[United States 10y]]-Table73[[#This Row],[United States 2y]],#N/A)</f>
        <v/>
      </c>
    </row>
    <row r="2130">
      <c r="A2130" s="6">
        <f>Database!A2129</f>
        <v/>
      </c>
      <c r="B2130">
        <f>IF(VLOOKUP(Table73[[#This Row],[Date]],Database!$A:$E,MATCH($B$1,Database!$A$1:$E$1,),)=0,#N/A,VLOOKUP(Table73[[#This Row],[Date]],Database!$A:$E,MATCH($B$1,Database!$A$1:$E$1,),))</f>
        <v/>
      </c>
      <c r="C2130">
        <f>IF(VLOOKUP(Table73[[#This Row],[Date]],Database!$A:$C,MATCH($C$1,Database!$A$1:$C$1,),)=0,#N/A,VLOOKUP(Table73[[#This Row],[Date]],Database!$A:$C,MATCH($C$1,Database!$A$1:$C$1,),))</f>
        <v/>
      </c>
      <c r="D2130">
        <f>IFERROR(Table73[[#This Row],[United States 10y]]-Table73[[#This Row],[United States 2y]],#N/A)</f>
        <v/>
      </c>
    </row>
    <row r="2131">
      <c r="A2131" s="6">
        <f>Database!A2130</f>
        <v/>
      </c>
      <c r="B2131">
        <f>IF(VLOOKUP(Table73[[#This Row],[Date]],Database!$A:$E,MATCH($B$1,Database!$A$1:$E$1,),)=0,#N/A,VLOOKUP(Table73[[#This Row],[Date]],Database!$A:$E,MATCH($B$1,Database!$A$1:$E$1,),))</f>
        <v/>
      </c>
      <c r="C2131">
        <f>IF(VLOOKUP(Table73[[#This Row],[Date]],Database!$A:$C,MATCH($C$1,Database!$A$1:$C$1,),)=0,#N/A,VLOOKUP(Table73[[#This Row],[Date]],Database!$A:$C,MATCH($C$1,Database!$A$1:$C$1,),))</f>
        <v/>
      </c>
      <c r="D2131">
        <f>IFERROR(Table73[[#This Row],[United States 10y]]-Table73[[#This Row],[United States 2y]],#N/A)</f>
        <v/>
      </c>
    </row>
    <row r="2132">
      <c r="A2132" s="6">
        <f>Database!A2131</f>
        <v/>
      </c>
      <c r="B2132">
        <f>IF(VLOOKUP(Table73[[#This Row],[Date]],Database!$A:$E,MATCH($B$1,Database!$A$1:$E$1,),)=0,#N/A,VLOOKUP(Table73[[#This Row],[Date]],Database!$A:$E,MATCH($B$1,Database!$A$1:$E$1,),))</f>
        <v/>
      </c>
      <c r="C2132">
        <f>IF(VLOOKUP(Table73[[#This Row],[Date]],Database!$A:$C,MATCH($C$1,Database!$A$1:$C$1,),)=0,#N/A,VLOOKUP(Table73[[#This Row],[Date]],Database!$A:$C,MATCH($C$1,Database!$A$1:$C$1,),))</f>
        <v/>
      </c>
      <c r="D2132">
        <f>IFERROR(Table73[[#This Row],[United States 10y]]-Table73[[#This Row],[United States 2y]],#N/A)</f>
        <v/>
      </c>
    </row>
    <row r="2133">
      <c r="A2133" s="6">
        <f>Database!A2132</f>
        <v/>
      </c>
      <c r="B2133">
        <f>IF(VLOOKUP(Table73[[#This Row],[Date]],Database!$A:$E,MATCH($B$1,Database!$A$1:$E$1,),)=0,#N/A,VLOOKUP(Table73[[#This Row],[Date]],Database!$A:$E,MATCH($B$1,Database!$A$1:$E$1,),))</f>
        <v/>
      </c>
      <c r="C2133">
        <f>IF(VLOOKUP(Table73[[#This Row],[Date]],Database!$A:$C,MATCH($C$1,Database!$A$1:$C$1,),)=0,#N/A,VLOOKUP(Table73[[#This Row],[Date]],Database!$A:$C,MATCH($C$1,Database!$A$1:$C$1,),))</f>
        <v/>
      </c>
      <c r="D2133">
        <f>IFERROR(Table73[[#This Row],[United States 10y]]-Table73[[#This Row],[United States 2y]],#N/A)</f>
        <v/>
      </c>
    </row>
    <row r="2134">
      <c r="A2134" s="6">
        <f>Database!A2133</f>
        <v/>
      </c>
      <c r="B2134">
        <f>IF(VLOOKUP(Table73[[#This Row],[Date]],Database!$A:$E,MATCH($B$1,Database!$A$1:$E$1,),)=0,#N/A,VLOOKUP(Table73[[#This Row],[Date]],Database!$A:$E,MATCH($B$1,Database!$A$1:$E$1,),))</f>
        <v/>
      </c>
      <c r="C2134">
        <f>IF(VLOOKUP(Table73[[#This Row],[Date]],Database!$A:$C,MATCH($C$1,Database!$A$1:$C$1,),)=0,#N/A,VLOOKUP(Table73[[#This Row],[Date]],Database!$A:$C,MATCH($C$1,Database!$A$1:$C$1,),))</f>
        <v/>
      </c>
      <c r="D2134">
        <f>IFERROR(Table73[[#This Row],[United States 10y]]-Table73[[#This Row],[United States 2y]],#N/A)</f>
        <v/>
      </c>
    </row>
    <row r="2135">
      <c r="A2135" s="6">
        <f>Database!A2134</f>
        <v/>
      </c>
      <c r="B2135">
        <f>IF(VLOOKUP(Table73[[#This Row],[Date]],Database!$A:$E,MATCH($B$1,Database!$A$1:$E$1,),)=0,#N/A,VLOOKUP(Table73[[#This Row],[Date]],Database!$A:$E,MATCH($B$1,Database!$A$1:$E$1,),))</f>
        <v/>
      </c>
      <c r="C2135">
        <f>IF(VLOOKUP(Table73[[#This Row],[Date]],Database!$A:$C,MATCH($C$1,Database!$A$1:$C$1,),)=0,#N/A,VLOOKUP(Table73[[#This Row],[Date]],Database!$A:$C,MATCH($C$1,Database!$A$1:$C$1,),))</f>
        <v/>
      </c>
      <c r="D2135">
        <f>IFERROR(Table73[[#This Row],[United States 10y]]-Table73[[#This Row],[United States 2y]],#N/A)</f>
        <v/>
      </c>
    </row>
    <row r="2136">
      <c r="A2136" s="6">
        <f>Database!A2135</f>
        <v/>
      </c>
      <c r="B2136">
        <f>IF(VLOOKUP(Table73[[#This Row],[Date]],Database!$A:$E,MATCH($B$1,Database!$A$1:$E$1,),)=0,#N/A,VLOOKUP(Table73[[#This Row],[Date]],Database!$A:$E,MATCH($B$1,Database!$A$1:$E$1,),))</f>
        <v/>
      </c>
      <c r="C2136">
        <f>IF(VLOOKUP(Table73[[#This Row],[Date]],Database!$A:$C,MATCH($C$1,Database!$A$1:$C$1,),)=0,#N/A,VLOOKUP(Table73[[#This Row],[Date]],Database!$A:$C,MATCH($C$1,Database!$A$1:$C$1,),))</f>
        <v/>
      </c>
      <c r="D2136">
        <f>IFERROR(Table73[[#This Row],[United States 10y]]-Table73[[#This Row],[United States 2y]],#N/A)</f>
        <v/>
      </c>
    </row>
    <row r="2137">
      <c r="A2137" s="6">
        <f>Database!A2136</f>
        <v/>
      </c>
      <c r="B2137">
        <f>IF(VLOOKUP(Table73[[#This Row],[Date]],Database!$A:$E,MATCH($B$1,Database!$A$1:$E$1,),)=0,#N/A,VLOOKUP(Table73[[#This Row],[Date]],Database!$A:$E,MATCH($B$1,Database!$A$1:$E$1,),))</f>
        <v/>
      </c>
      <c r="C2137">
        <f>IF(VLOOKUP(Table73[[#This Row],[Date]],Database!$A:$C,MATCH($C$1,Database!$A$1:$C$1,),)=0,#N/A,VLOOKUP(Table73[[#This Row],[Date]],Database!$A:$C,MATCH($C$1,Database!$A$1:$C$1,),))</f>
        <v/>
      </c>
      <c r="D2137">
        <f>IFERROR(Table73[[#This Row],[United States 10y]]-Table73[[#This Row],[United States 2y]],#N/A)</f>
        <v/>
      </c>
    </row>
    <row r="2138">
      <c r="A2138" s="6">
        <f>Database!A2137</f>
        <v/>
      </c>
      <c r="B2138">
        <f>IF(VLOOKUP(Table73[[#This Row],[Date]],Database!$A:$E,MATCH($B$1,Database!$A$1:$E$1,),)=0,#N/A,VLOOKUP(Table73[[#This Row],[Date]],Database!$A:$E,MATCH($B$1,Database!$A$1:$E$1,),))</f>
        <v/>
      </c>
      <c r="C2138">
        <f>IF(VLOOKUP(Table73[[#This Row],[Date]],Database!$A:$C,MATCH($C$1,Database!$A$1:$C$1,),)=0,#N/A,VLOOKUP(Table73[[#This Row],[Date]],Database!$A:$C,MATCH($C$1,Database!$A$1:$C$1,),))</f>
        <v/>
      </c>
      <c r="D2138">
        <f>IFERROR(Table73[[#This Row],[United States 10y]]-Table73[[#This Row],[United States 2y]],#N/A)</f>
        <v/>
      </c>
    </row>
    <row r="2139">
      <c r="A2139" s="6">
        <f>Database!A2138</f>
        <v/>
      </c>
      <c r="B2139">
        <f>IF(VLOOKUP(Table73[[#This Row],[Date]],Database!$A:$E,MATCH($B$1,Database!$A$1:$E$1,),)=0,#N/A,VLOOKUP(Table73[[#This Row],[Date]],Database!$A:$E,MATCH($B$1,Database!$A$1:$E$1,),))</f>
        <v/>
      </c>
      <c r="C2139">
        <f>IF(VLOOKUP(Table73[[#This Row],[Date]],Database!$A:$C,MATCH($C$1,Database!$A$1:$C$1,),)=0,#N/A,VLOOKUP(Table73[[#This Row],[Date]],Database!$A:$C,MATCH($C$1,Database!$A$1:$C$1,),))</f>
        <v/>
      </c>
      <c r="D2139">
        <f>IFERROR(Table73[[#This Row],[United States 10y]]-Table73[[#This Row],[United States 2y]],#N/A)</f>
        <v/>
      </c>
    </row>
    <row r="2140">
      <c r="A2140" s="6">
        <f>Database!A2139</f>
        <v/>
      </c>
      <c r="B2140">
        <f>IF(VLOOKUP(Table73[[#This Row],[Date]],Database!$A:$E,MATCH($B$1,Database!$A$1:$E$1,),)=0,#N/A,VLOOKUP(Table73[[#This Row],[Date]],Database!$A:$E,MATCH($B$1,Database!$A$1:$E$1,),))</f>
        <v/>
      </c>
      <c r="C2140">
        <f>IF(VLOOKUP(Table73[[#This Row],[Date]],Database!$A:$C,MATCH($C$1,Database!$A$1:$C$1,),)=0,#N/A,VLOOKUP(Table73[[#This Row],[Date]],Database!$A:$C,MATCH($C$1,Database!$A$1:$C$1,),))</f>
        <v/>
      </c>
      <c r="D2140">
        <f>IFERROR(Table73[[#This Row],[United States 10y]]-Table73[[#This Row],[United States 2y]],#N/A)</f>
        <v/>
      </c>
    </row>
    <row r="2141">
      <c r="A2141" s="6">
        <f>Database!A2140</f>
        <v/>
      </c>
      <c r="B2141">
        <f>IF(VLOOKUP(Table73[[#This Row],[Date]],Database!$A:$E,MATCH($B$1,Database!$A$1:$E$1,),)=0,#N/A,VLOOKUP(Table73[[#This Row],[Date]],Database!$A:$E,MATCH($B$1,Database!$A$1:$E$1,),))</f>
        <v/>
      </c>
      <c r="C2141">
        <f>IF(VLOOKUP(Table73[[#This Row],[Date]],Database!$A:$C,MATCH($C$1,Database!$A$1:$C$1,),)=0,#N/A,VLOOKUP(Table73[[#This Row],[Date]],Database!$A:$C,MATCH($C$1,Database!$A$1:$C$1,),))</f>
        <v/>
      </c>
      <c r="D2141">
        <f>IFERROR(Table73[[#This Row],[United States 10y]]-Table73[[#This Row],[United States 2y]],#N/A)</f>
        <v/>
      </c>
    </row>
    <row r="2142">
      <c r="A2142" s="6">
        <f>Database!A2141</f>
        <v/>
      </c>
      <c r="B2142">
        <f>IF(VLOOKUP(Table73[[#This Row],[Date]],Database!$A:$E,MATCH($B$1,Database!$A$1:$E$1,),)=0,#N/A,VLOOKUP(Table73[[#This Row],[Date]],Database!$A:$E,MATCH($B$1,Database!$A$1:$E$1,),))</f>
        <v/>
      </c>
      <c r="C2142">
        <f>IF(VLOOKUP(Table73[[#This Row],[Date]],Database!$A:$C,MATCH($C$1,Database!$A$1:$C$1,),)=0,#N/A,VLOOKUP(Table73[[#This Row],[Date]],Database!$A:$C,MATCH($C$1,Database!$A$1:$C$1,),))</f>
        <v/>
      </c>
      <c r="D2142">
        <f>IFERROR(Table73[[#This Row],[United States 10y]]-Table73[[#This Row],[United States 2y]],#N/A)</f>
        <v/>
      </c>
    </row>
    <row r="2143">
      <c r="A2143" s="6">
        <f>Database!A2142</f>
        <v/>
      </c>
      <c r="B2143">
        <f>IF(VLOOKUP(Table73[[#This Row],[Date]],Database!$A:$E,MATCH($B$1,Database!$A$1:$E$1,),)=0,#N/A,VLOOKUP(Table73[[#This Row],[Date]],Database!$A:$E,MATCH($B$1,Database!$A$1:$E$1,),))</f>
        <v/>
      </c>
      <c r="C2143">
        <f>IF(VLOOKUP(Table73[[#This Row],[Date]],Database!$A:$C,MATCH($C$1,Database!$A$1:$C$1,),)=0,#N/A,VLOOKUP(Table73[[#This Row],[Date]],Database!$A:$C,MATCH($C$1,Database!$A$1:$C$1,),))</f>
        <v/>
      </c>
      <c r="D2143">
        <f>IFERROR(Table73[[#This Row],[United States 10y]]-Table73[[#This Row],[United States 2y]],#N/A)</f>
        <v/>
      </c>
    </row>
    <row r="2144">
      <c r="A2144" s="6">
        <f>Database!A2143</f>
        <v/>
      </c>
      <c r="B2144">
        <f>IF(VLOOKUP(Table73[[#This Row],[Date]],Database!$A:$E,MATCH($B$1,Database!$A$1:$E$1,),)=0,#N/A,VLOOKUP(Table73[[#This Row],[Date]],Database!$A:$E,MATCH($B$1,Database!$A$1:$E$1,),))</f>
        <v/>
      </c>
      <c r="C2144">
        <f>IF(VLOOKUP(Table73[[#This Row],[Date]],Database!$A:$C,MATCH($C$1,Database!$A$1:$C$1,),)=0,#N/A,VLOOKUP(Table73[[#This Row],[Date]],Database!$A:$C,MATCH($C$1,Database!$A$1:$C$1,),))</f>
        <v/>
      </c>
      <c r="D2144">
        <f>IFERROR(Table73[[#This Row],[United States 10y]]-Table73[[#This Row],[United States 2y]],#N/A)</f>
        <v/>
      </c>
    </row>
    <row r="2145">
      <c r="A2145" s="6">
        <f>Database!A2144</f>
        <v/>
      </c>
      <c r="B2145">
        <f>IF(VLOOKUP(Table73[[#This Row],[Date]],Database!$A:$E,MATCH($B$1,Database!$A$1:$E$1,),)=0,#N/A,VLOOKUP(Table73[[#This Row],[Date]],Database!$A:$E,MATCH($B$1,Database!$A$1:$E$1,),))</f>
        <v/>
      </c>
      <c r="C2145">
        <f>IF(VLOOKUP(Table73[[#This Row],[Date]],Database!$A:$C,MATCH($C$1,Database!$A$1:$C$1,),)=0,#N/A,VLOOKUP(Table73[[#This Row],[Date]],Database!$A:$C,MATCH($C$1,Database!$A$1:$C$1,),))</f>
        <v/>
      </c>
      <c r="D2145">
        <f>IFERROR(Table73[[#This Row],[United States 10y]]-Table73[[#This Row],[United States 2y]],#N/A)</f>
        <v/>
      </c>
    </row>
    <row r="2146">
      <c r="A2146" s="6">
        <f>Database!A2145</f>
        <v/>
      </c>
      <c r="B2146">
        <f>IF(VLOOKUP(Table73[[#This Row],[Date]],Database!$A:$E,MATCH($B$1,Database!$A$1:$E$1,),)=0,#N/A,VLOOKUP(Table73[[#This Row],[Date]],Database!$A:$E,MATCH($B$1,Database!$A$1:$E$1,),))</f>
        <v/>
      </c>
      <c r="C2146">
        <f>IF(VLOOKUP(Table73[[#This Row],[Date]],Database!$A:$C,MATCH($C$1,Database!$A$1:$C$1,),)=0,#N/A,VLOOKUP(Table73[[#This Row],[Date]],Database!$A:$C,MATCH($C$1,Database!$A$1:$C$1,),))</f>
        <v/>
      </c>
      <c r="D2146">
        <f>IFERROR(Table73[[#This Row],[United States 10y]]-Table73[[#This Row],[United States 2y]],#N/A)</f>
        <v/>
      </c>
    </row>
    <row r="2147">
      <c r="A2147" s="6">
        <f>Database!A2146</f>
        <v/>
      </c>
      <c r="B2147">
        <f>IF(VLOOKUP(Table73[[#This Row],[Date]],Database!$A:$E,MATCH($B$1,Database!$A$1:$E$1,),)=0,#N/A,VLOOKUP(Table73[[#This Row],[Date]],Database!$A:$E,MATCH($B$1,Database!$A$1:$E$1,),))</f>
        <v/>
      </c>
      <c r="C2147">
        <f>IF(VLOOKUP(Table73[[#This Row],[Date]],Database!$A:$C,MATCH($C$1,Database!$A$1:$C$1,),)=0,#N/A,VLOOKUP(Table73[[#This Row],[Date]],Database!$A:$C,MATCH($C$1,Database!$A$1:$C$1,),))</f>
        <v/>
      </c>
      <c r="D2147">
        <f>IFERROR(Table73[[#This Row],[United States 10y]]-Table73[[#This Row],[United States 2y]],#N/A)</f>
        <v/>
      </c>
    </row>
    <row r="2148">
      <c r="A2148" s="6">
        <f>Database!A2147</f>
        <v/>
      </c>
      <c r="B2148">
        <f>IF(VLOOKUP(Table73[[#This Row],[Date]],Database!$A:$E,MATCH($B$1,Database!$A$1:$E$1,),)=0,#N/A,VLOOKUP(Table73[[#This Row],[Date]],Database!$A:$E,MATCH($B$1,Database!$A$1:$E$1,),))</f>
        <v/>
      </c>
      <c r="C2148">
        <f>IF(VLOOKUP(Table73[[#This Row],[Date]],Database!$A:$C,MATCH($C$1,Database!$A$1:$C$1,),)=0,#N/A,VLOOKUP(Table73[[#This Row],[Date]],Database!$A:$C,MATCH($C$1,Database!$A$1:$C$1,),))</f>
        <v/>
      </c>
      <c r="D2148">
        <f>IFERROR(Table73[[#This Row],[United States 10y]]-Table73[[#This Row],[United States 2y]],#N/A)</f>
        <v/>
      </c>
    </row>
    <row r="2149">
      <c r="A2149" s="6">
        <f>Database!A2148</f>
        <v/>
      </c>
      <c r="B2149">
        <f>IF(VLOOKUP(Table73[[#This Row],[Date]],Database!$A:$E,MATCH($B$1,Database!$A$1:$E$1,),)=0,#N/A,VLOOKUP(Table73[[#This Row],[Date]],Database!$A:$E,MATCH($B$1,Database!$A$1:$E$1,),))</f>
        <v/>
      </c>
      <c r="C2149">
        <f>IF(VLOOKUP(Table73[[#This Row],[Date]],Database!$A:$C,MATCH($C$1,Database!$A$1:$C$1,),)=0,#N/A,VLOOKUP(Table73[[#This Row],[Date]],Database!$A:$C,MATCH($C$1,Database!$A$1:$C$1,),))</f>
        <v/>
      </c>
      <c r="D2149">
        <f>IFERROR(Table73[[#This Row],[United States 10y]]-Table73[[#This Row],[United States 2y]],#N/A)</f>
        <v/>
      </c>
    </row>
    <row r="2150">
      <c r="A2150" s="6">
        <f>Database!A2149</f>
        <v/>
      </c>
      <c r="B2150">
        <f>IF(VLOOKUP(Table73[[#This Row],[Date]],Database!$A:$E,MATCH($B$1,Database!$A$1:$E$1,),)=0,#N/A,VLOOKUP(Table73[[#This Row],[Date]],Database!$A:$E,MATCH($B$1,Database!$A$1:$E$1,),))</f>
        <v/>
      </c>
      <c r="C2150">
        <f>IF(VLOOKUP(Table73[[#This Row],[Date]],Database!$A:$C,MATCH($C$1,Database!$A$1:$C$1,),)=0,#N/A,VLOOKUP(Table73[[#This Row],[Date]],Database!$A:$C,MATCH($C$1,Database!$A$1:$C$1,),))</f>
        <v/>
      </c>
      <c r="D2150">
        <f>IFERROR(Table73[[#This Row],[United States 10y]]-Table73[[#This Row],[United States 2y]],#N/A)</f>
        <v/>
      </c>
    </row>
    <row r="2151">
      <c r="A2151" s="6">
        <f>Database!A2150</f>
        <v/>
      </c>
      <c r="B2151">
        <f>IF(VLOOKUP(Table73[[#This Row],[Date]],Database!$A:$E,MATCH($B$1,Database!$A$1:$E$1,),)=0,#N/A,VLOOKUP(Table73[[#This Row],[Date]],Database!$A:$E,MATCH($B$1,Database!$A$1:$E$1,),))</f>
        <v/>
      </c>
      <c r="C2151">
        <f>IF(VLOOKUP(Table73[[#This Row],[Date]],Database!$A:$C,MATCH($C$1,Database!$A$1:$C$1,),)=0,#N/A,VLOOKUP(Table73[[#This Row],[Date]],Database!$A:$C,MATCH($C$1,Database!$A$1:$C$1,),))</f>
        <v/>
      </c>
      <c r="D2151">
        <f>IFERROR(Table73[[#This Row],[United States 10y]]-Table73[[#This Row],[United States 2y]],#N/A)</f>
        <v/>
      </c>
    </row>
    <row r="2152">
      <c r="A2152" s="6">
        <f>Database!A2151</f>
        <v/>
      </c>
      <c r="B2152">
        <f>IF(VLOOKUP(Table73[[#This Row],[Date]],Database!$A:$E,MATCH($B$1,Database!$A$1:$E$1,),)=0,#N/A,VLOOKUP(Table73[[#This Row],[Date]],Database!$A:$E,MATCH($B$1,Database!$A$1:$E$1,),))</f>
        <v/>
      </c>
      <c r="C2152">
        <f>IF(VLOOKUP(Table73[[#This Row],[Date]],Database!$A:$C,MATCH($C$1,Database!$A$1:$C$1,),)=0,#N/A,VLOOKUP(Table73[[#This Row],[Date]],Database!$A:$C,MATCH($C$1,Database!$A$1:$C$1,),))</f>
        <v/>
      </c>
      <c r="D2152">
        <f>IFERROR(Table73[[#This Row],[United States 10y]]-Table73[[#This Row],[United States 2y]],#N/A)</f>
        <v/>
      </c>
    </row>
    <row r="2153">
      <c r="A2153" s="6">
        <f>Database!A2152</f>
        <v/>
      </c>
      <c r="B2153">
        <f>IF(VLOOKUP(Table73[[#This Row],[Date]],Database!$A:$E,MATCH($B$1,Database!$A$1:$E$1,),)=0,#N/A,VLOOKUP(Table73[[#This Row],[Date]],Database!$A:$E,MATCH($B$1,Database!$A$1:$E$1,),))</f>
        <v/>
      </c>
      <c r="C2153">
        <f>IF(VLOOKUP(Table73[[#This Row],[Date]],Database!$A:$C,MATCH($C$1,Database!$A$1:$C$1,),)=0,#N/A,VLOOKUP(Table73[[#This Row],[Date]],Database!$A:$C,MATCH($C$1,Database!$A$1:$C$1,),))</f>
        <v/>
      </c>
      <c r="D2153">
        <f>IFERROR(Table73[[#This Row],[United States 10y]]-Table73[[#This Row],[United States 2y]],#N/A)</f>
        <v/>
      </c>
    </row>
    <row r="2154">
      <c r="A2154" s="6">
        <f>Database!A2153</f>
        <v/>
      </c>
      <c r="B2154">
        <f>IF(VLOOKUP(Table73[[#This Row],[Date]],Database!$A:$E,MATCH($B$1,Database!$A$1:$E$1,),)=0,#N/A,VLOOKUP(Table73[[#This Row],[Date]],Database!$A:$E,MATCH($B$1,Database!$A$1:$E$1,),))</f>
        <v/>
      </c>
      <c r="C2154">
        <f>IF(VLOOKUP(Table73[[#This Row],[Date]],Database!$A:$C,MATCH($C$1,Database!$A$1:$C$1,),)=0,#N/A,VLOOKUP(Table73[[#This Row],[Date]],Database!$A:$C,MATCH($C$1,Database!$A$1:$C$1,),))</f>
        <v/>
      </c>
      <c r="D2154">
        <f>IFERROR(Table73[[#This Row],[United States 10y]]-Table73[[#This Row],[United States 2y]],#N/A)</f>
        <v/>
      </c>
    </row>
    <row r="2155">
      <c r="A2155" s="6">
        <f>Database!A2154</f>
        <v/>
      </c>
      <c r="B2155">
        <f>IF(VLOOKUP(Table73[[#This Row],[Date]],Database!$A:$E,MATCH($B$1,Database!$A$1:$E$1,),)=0,#N/A,VLOOKUP(Table73[[#This Row],[Date]],Database!$A:$E,MATCH($B$1,Database!$A$1:$E$1,),))</f>
        <v/>
      </c>
      <c r="C2155">
        <f>IF(VLOOKUP(Table73[[#This Row],[Date]],Database!$A:$C,MATCH($C$1,Database!$A$1:$C$1,),)=0,#N/A,VLOOKUP(Table73[[#This Row],[Date]],Database!$A:$C,MATCH($C$1,Database!$A$1:$C$1,),))</f>
        <v/>
      </c>
      <c r="D2155">
        <f>IFERROR(Table73[[#This Row],[United States 10y]]-Table73[[#This Row],[United States 2y]],#N/A)</f>
        <v/>
      </c>
    </row>
    <row r="2156">
      <c r="A2156" s="6">
        <f>Database!A2155</f>
        <v/>
      </c>
      <c r="B2156">
        <f>IF(VLOOKUP(Table73[[#This Row],[Date]],Database!$A:$E,MATCH($B$1,Database!$A$1:$E$1,),)=0,#N/A,VLOOKUP(Table73[[#This Row],[Date]],Database!$A:$E,MATCH($B$1,Database!$A$1:$E$1,),))</f>
        <v/>
      </c>
      <c r="C2156">
        <f>IF(VLOOKUP(Table73[[#This Row],[Date]],Database!$A:$C,MATCH($C$1,Database!$A$1:$C$1,),)=0,#N/A,VLOOKUP(Table73[[#This Row],[Date]],Database!$A:$C,MATCH($C$1,Database!$A$1:$C$1,),))</f>
        <v/>
      </c>
      <c r="D2156">
        <f>IFERROR(Table73[[#This Row],[United States 10y]]-Table73[[#This Row],[United States 2y]],#N/A)</f>
        <v/>
      </c>
    </row>
    <row r="2157">
      <c r="A2157" s="6">
        <f>Database!A2156</f>
        <v/>
      </c>
      <c r="B2157">
        <f>IF(VLOOKUP(Table73[[#This Row],[Date]],Database!$A:$E,MATCH($B$1,Database!$A$1:$E$1,),)=0,#N/A,VLOOKUP(Table73[[#This Row],[Date]],Database!$A:$E,MATCH($B$1,Database!$A$1:$E$1,),))</f>
        <v/>
      </c>
      <c r="C2157">
        <f>IF(VLOOKUP(Table73[[#This Row],[Date]],Database!$A:$C,MATCH($C$1,Database!$A$1:$C$1,),)=0,#N/A,VLOOKUP(Table73[[#This Row],[Date]],Database!$A:$C,MATCH($C$1,Database!$A$1:$C$1,),))</f>
        <v/>
      </c>
      <c r="D2157">
        <f>IFERROR(Table73[[#This Row],[United States 10y]]-Table73[[#This Row],[United States 2y]],#N/A)</f>
        <v/>
      </c>
    </row>
    <row r="2158">
      <c r="A2158" s="6">
        <f>Database!A2157</f>
        <v/>
      </c>
      <c r="B2158">
        <f>IF(VLOOKUP(Table73[[#This Row],[Date]],Database!$A:$E,MATCH($B$1,Database!$A$1:$E$1,),)=0,#N/A,VLOOKUP(Table73[[#This Row],[Date]],Database!$A:$E,MATCH($B$1,Database!$A$1:$E$1,),))</f>
        <v/>
      </c>
      <c r="C2158">
        <f>IF(VLOOKUP(Table73[[#This Row],[Date]],Database!$A:$C,MATCH($C$1,Database!$A$1:$C$1,),)=0,#N/A,VLOOKUP(Table73[[#This Row],[Date]],Database!$A:$C,MATCH($C$1,Database!$A$1:$C$1,),))</f>
        <v/>
      </c>
      <c r="D2158">
        <f>IFERROR(Table73[[#This Row],[United States 10y]]-Table73[[#This Row],[United States 2y]],#N/A)</f>
        <v/>
      </c>
    </row>
    <row r="2159">
      <c r="A2159" s="6">
        <f>Database!A2158</f>
        <v/>
      </c>
      <c r="B2159">
        <f>IF(VLOOKUP(Table73[[#This Row],[Date]],Database!$A:$E,MATCH($B$1,Database!$A$1:$E$1,),)=0,#N/A,VLOOKUP(Table73[[#This Row],[Date]],Database!$A:$E,MATCH($B$1,Database!$A$1:$E$1,),))</f>
        <v/>
      </c>
      <c r="C2159">
        <f>IF(VLOOKUP(Table73[[#This Row],[Date]],Database!$A:$C,MATCH($C$1,Database!$A$1:$C$1,),)=0,#N/A,VLOOKUP(Table73[[#This Row],[Date]],Database!$A:$C,MATCH($C$1,Database!$A$1:$C$1,),))</f>
        <v/>
      </c>
      <c r="D2159">
        <f>IFERROR(Table73[[#This Row],[United States 10y]]-Table73[[#This Row],[United States 2y]],#N/A)</f>
        <v/>
      </c>
    </row>
    <row r="2160">
      <c r="A2160" s="6">
        <f>Database!A2159</f>
        <v/>
      </c>
      <c r="B2160">
        <f>IF(VLOOKUP(Table73[[#This Row],[Date]],Database!$A:$E,MATCH($B$1,Database!$A$1:$E$1,),)=0,#N/A,VLOOKUP(Table73[[#This Row],[Date]],Database!$A:$E,MATCH($B$1,Database!$A$1:$E$1,),))</f>
        <v/>
      </c>
      <c r="C2160">
        <f>IF(VLOOKUP(Table73[[#This Row],[Date]],Database!$A:$C,MATCH($C$1,Database!$A$1:$C$1,),)=0,#N/A,VLOOKUP(Table73[[#This Row],[Date]],Database!$A:$C,MATCH($C$1,Database!$A$1:$C$1,),))</f>
        <v/>
      </c>
      <c r="D2160">
        <f>IFERROR(Table73[[#This Row],[United States 10y]]-Table73[[#This Row],[United States 2y]],#N/A)</f>
        <v/>
      </c>
    </row>
    <row r="2161">
      <c r="A2161" s="6">
        <f>Database!A2160</f>
        <v/>
      </c>
      <c r="B2161">
        <f>IF(VLOOKUP(Table73[[#This Row],[Date]],Database!$A:$E,MATCH($B$1,Database!$A$1:$E$1,),)=0,#N/A,VLOOKUP(Table73[[#This Row],[Date]],Database!$A:$E,MATCH($B$1,Database!$A$1:$E$1,),))</f>
        <v/>
      </c>
      <c r="C2161">
        <f>IF(VLOOKUP(Table73[[#This Row],[Date]],Database!$A:$C,MATCH($C$1,Database!$A$1:$C$1,),)=0,#N/A,VLOOKUP(Table73[[#This Row],[Date]],Database!$A:$C,MATCH($C$1,Database!$A$1:$C$1,),))</f>
        <v/>
      </c>
      <c r="D2161">
        <f>IFERROR(Table73[[#This Row],[United States 10y]]-Table73[[#This Row],[United States 2y]],#N/A)</f>
        <v/>
      </c>
    </row>
    <row r="2162">
      <c r="A2162" s="6">
        <f>Database!A2161</f>
        <v/>
      </c>
      <c r="B2162">
        <f>IF(VLOOKUP(Table73[[#This Row],[Date]],Database!$A:$E,MATCH($B$1,Database!$A$1:$E$1,),)=0,#N/A,VLOOKUP(Table73[[#This Row],[Date]],Database!$A:$E,MATCH($B$1,Database!$A$1:$E$1,),))</f>
        <v/>
      </c>
      <c r="C2162">
        <f>IF(VLOOKUP(Table73[[#This Row],[Date]],Database!$A:$C,MATCH($C$1,Database!$A$1:$C$1,),)=0,#N/A,VLOOKUP(Table73[[#This Row],[Date]],Database!$A:$C,MATCH($C$1,Database!$A$1:$C$1,),))</f>
        <v/>
      </c>
      <c r="D2162">
        <f>IFERROR(Table73[[#This Row],[United States 10y]]-Table73[[#This Row],[United States 2y]],#N/A)</f>
        <v/>
      </c>
    </row>
    <row r="2163">
      <c r="A2163" s="6">
        <f>Database!A2162</f>
        <v/>
      </c>
      <c r="B2163">
        <f>IF(VLOOKUP(Table73[[#This Row],[Date]],Database!$A:$E,MATCH($B$1,Database!$A$1:$E$1,),)=0,#N/A,VLOOKUP(Table73[[#This Row],[Date]],Database!$A:$E,MATCH($B$1,Database!$A$1:$E$1,),))</f>
        <v/>
      </c>
      <c r="C2163">
        <f>IF(VLOOKUP(Table73[[#This Row],[Date]],Database!$A:$C,MATCH($C$1,Database!$A$1:$C$1,),)=0,#N/A,VLOOKUP(Table73[[#This Row],[Date]],Database!$A:$C,MATCH($C$1,Database!$A$1:$C$1,),))</f>
        <v/>
      </c>
      <c r="D2163">
        <f>IFERROR(Table73[[#This Row],[United States 10y]]-Table73[[#This Row],[United States 2y]],#N/A)</f>
        <v/>
      </c>
    </row>
    <row r="2164">
      <c r="A2164" s="6">
        <f>Database!A2163</f>
        <v/>
      </c>
      <c r="B2164">
        <f>IF(VLOOKUP(Table73[[#This Row],[Date]],Database!$A:$E,MATCH($B$1,Database!$A$1:$E$1,),)=0,#N/A,VLOOKUP(Table73[[#This Row],[Date]],Database!$A:$E,MATCH($B$1,Database!$A$1:$E$1,),))</f>
        <v/>
      </c>
      <c r="C2164">
        <f>IF(VLOOKUP(Table73[[#This Row],[Date]],Database!$A:$C,MATCH($C$1,Database!$A$1:$C$1,),)=0,#N/A,VLOOKUP(Table73[[#This Row],[Date]],Database!$A:$C,MATCH($C$1,Database!$A$1:$C$1,),))</f>
        <v/>
      </c>
      <c r="D2164">
        <f>IFERROR(Table73[[#This Row],[United States 10y]]-Table73[[#This Row],[United States 2y]],#N/A)</f>
        <v/>
      </c>
    </row>
    <row r="2165">
      <c r="A2165" s="6">
        <f>Database!A2164</f>
        <v/>
      </c>
      <c r="B2165">
        <f>IF(VLOOKUP(Table73[[#This Row],[Date]],Database!$A:$E,MATCH($B$1,Database!$A$1:$E$1,),)=0,#N/A,VLOOKUP(Table73[[#This Row],[Date]],Database!$A:$E,MATCH($B$1,Database!$A$1:$E$1,),))</f>
        <v/>
      </c>
      <c r="C2165">
        <f>IF(VLOOKUP(Table73[[#This Row],[Date]],Database!$A:$C,MATCH($C$1,Database!$A$1:$C$1,),)=0,#N/A,VLOOKUP(Table73[[#This Row],[Date]],Database!$A:$C,MATCH($C$1,Database!$A$1:$C$1,),))</f>
        <v/>
      </c>
      <c r="D2165">
        <f>IFERROR(Table73[[#This Row],[United States 10y]]-Table73[[#This Row],[United States 2y]],#N/A)</f>
        <v/>
      </c>
    </row>
    <row r="2166">
      <c r="A2166" s="6">
        <f>Database!A2165</f>
        <v/>
      </c>
      <c r="B2166">
        <f>IF(VLOOKUP(Table73[[#This Row],[Date]],Database!$A:$E,MATCH($B$1,Database!$A$1:$E$1,),)=0,#N/A,VLOOKUP(Table73[[#This Row],[Date]],Database!$A:$E,MATCH($B$1,Database!$A$1:$E$1,),))</f>
        <v/>
      </c>
      <c r="C2166">
        <f>IF(VLOOKUP(Table73[[#This Row],[Date]],Database!$A:$C,MATCH($C$1,Database!$A$1:$C$1,),)=0,#N/A,VLOOKUP(Table73[[#This Row],[Date]],Database!$A:$C,MATCH($C$1,Database!$A$1:$C$1,),))</f>
        <v/>
      </c>
      <c r="D2166">
        <f>IFERROR(Table73[[#This Row],[United States 10y]]-Table73[[#This Row],[United States 2y]],#N/A)</f>
        <v/>
      </c>
    </row>
    <row r="2167">
      <c r="A2167" s="6">
        <f>Database!A2166</f>
        <v/>
      </c>
      <c r="B2167">
        <f>IF(VLOOKUP(Table73[[#This Row],[Date]],Database!$A:$E,MATCH($B$1,Database!$A$1:$E$1,),)=0,#N/A,VLOOKUP(Table73[[#This Row],[Date]],Database!$A:$E,MATCH($B$1,Database!$A$1:$E$1,),))</f>
        <v/>
      </c>
      <c r="C2167">
        <f>IF(VLOOKUP(Table73[[#This Row],[Date]],Database!$A:$C,MATCH($C$1,Database!$A$1:$C$1,),)=0,#N/A,VLOOKUP(Table73[[#This Row],[Date]],Database!$A:$C,MATCH($C$1,Database!$A$1:$C$1,),))</f>
        <v/>
      </c>
      <c r="D2167">
        <f>IFERROR(Table73[[#This Row],[United States 10y]]-Table73[[#This Row],[United States 2y]],#N/A)</f>
        <v/>
      </c>
    </row>
    <row r="2168">
      <c r="A2168" s="6">
        <f>Database!A2167</f>
        <v/>
      </c>
      <c r="B2168">
        <f>IF(VLOOKUP(Table73[[#This Row],[Date]],Database!$A:$E,MATCH($B$1,Database!$A$1:$E$1,),)=0,#N/A,VLOOKUP(Table73[[#This Row],[Date]],Database!$A:$E,MATCH($B$1,Database!$A$1:$E$1,),))</f>
        <v/>
      </c>
      <c r="C2168">
        <f>IF(VLOOKUP(Table73[[#This Row],[Date]],Database!$A:$C,MATCH($C$1,Database!$A$1:$C$1,),)=0,#N/A,VLOOKUP(Table73[[#This Row],[Date]],Database!$A:$C,MATCH($C$1,Database!$A$1:$C$1,),))</f>
        <v/>
      </c>
      <c r="D2168">
        <f>IFERROR(Table73[[#This Row],[United States 10y]]-Table73[[#This Row],[United States 2y]],#N/A)</f>
        <v/>
      </c>
    </row>
    <row r="2169">
      <c r="A2169" s="6">
        <f>Database!A2168</f>
        <v/>
      </c>
      <c r="B2169">
        <f>IF(VLOOKUP(Table73[[#This Row],[Date]],Database!$A:$E,MATCH($B$1,Database!$A$1:$E$1,),)=0,#N/A,VLOOKUP(Table73[[#This Row],[Date]],Database!$A:$E,MATCH($B$1,Database!$A$1:$E$1,),))</f>
        <v/>
      </c>
      <c r="C2169">
        <f>IF(VLOOKUP(Table73[[#This Row],[Date]],Database!$A:$C,MATCH($C$1,Database!$A$1:$C$1,),)=0,#N/A,VLOOKUP(Table73[[#This Row],[Date]],Database!$A:$C,MATCH($C$1,Database!$A$1:$C$1,),))</f>
        <v/>
      </c>
      <c r="D2169">
        <f>IFERROR(Table73[[#This Row],[United States 10y]]-Table73[[#This Row],[United States 2y]],#N/A)</f>
        <v/>
      </c>
    </row>
    <row r="2170">
      <c r="A2170" s="6">
        <f>Database!A2169</f>
        <v/>
      </c>
      <c r="B2170">
        <f>IF(VLOOKUP(Table73[[#This Row],[Date]],Database!$A:$E,MATCH($B$1,Database!$A$1:$E$1,),)=0,#N/A,VLOOKUP(Table73[[#This Row],[Date]],Database!$A:$E,MATCH($B$1,Database!$A$1:$E$1,),))</f>
        <v/>
      </c>
      <c r="C2170">
        <f>IF(VLOOKUP(Table73[[#This Row],[Date]],Database!$A:$C,MATCH($C$1,Database!$A$1:$C$1,),)=0,#N/A,VLOOKUP(Table73[[#This Row],[Date]],Database!$A:$C,MATCH($C$1,Database!$A$1:$C$1,),))</f>
        <v/>
      </c>
      <c r="D2170">
        <f>IFERROR(Table73[[#This Row],[United States 10y]]-Table73[[#This Row],[United States 2y]],#N/A)</f>
        <v/>
      </c>
    </row>
    <row r="2171">
      <c r="A2171" s="6">
        <f>Database!A2170</f>
        <v/>
      </c>
      <c r="B2171">
        <f>IF(VLOOKUP(Table73[[#This Row],[Date]],Database!$A:$E,MATCH($B$1,Database!$A$1:$E$1,),)=0,#N/A,VLOOKUP(Table73[[#This Row],[Date]],Database!$A:$E,MATCH($B$1,Database!$A$1:$E$1,),))</f>
        <v/>
      </c>
      <c r="C2171">
        <f>IF(VLOOKUP(Table73[[#This Row],[Date]],Database!$A:$C,MATCH($C$1,Database!$A$1:$C$1,),)=0,#N/A,VLOOKUP(Table73[[#This Row],[Date]],Database!$A:$C,MATCH($C$1,Database!$A$1:$C$1,),))</f>
        <v/>
      </c>
      <c r="D2171">
        <f>IFERROR(Table73[[#This Row],[United States 10y]]-Table73[[#This Row],[United States 2y]],#N/A)</f>
        <v/>
      </c>
    </row>
    <row r="2172">
      <c r="A2172" s="6">
        <f>Database!A2171</f>
        <v/>
      </c>
      <c r="B2172">
        <f>IF(VLOOKUP(Table73[[#This Row],[Date]],Database!$A:$E,MATCH($B$1,Database!$A$1:$E$1,),)=0,#N/A,VLOOKUP(Table73[[#This Row],[Date]],Database!$A:$E,MATCH($B$1,Database!$A$1:$E$1,),))</f>
        <v/>
      </c>
      <c r="C2172">
        <f>IF(VLOOKUP(Table73[[#This Row],[Date]],Database!$A:$C,MATCH($C$1,Database!$A$1:$C$1,),)=0,#N/A,VLOOKUP(Table73[[#This Row],[Date]],Database!$A:$C,MATCH($C$1,Database!$A$1:$C$1,),))</f>
        <v/>
      </c>
      <c r="D2172">
        <f>IFERROR(Table73[[#This Row],[United States 10y]]-Table73[[#This Row],[United States 2y]],#N/A)</f>
        <v/>
      </c>
    </row>
    <row r="2173">
      <c r="A2173" s="6">
        <f>Database!A2172</f>
        <v/>
      </c>
      <c r="B2173">
        <f>IF(VLOOKUP(Table73[[#This Row],[Date]],Database!$A:$E,MATCH($B$1,Database!$A$1:$E$1,),)=0,#N/A,VLOOKUP(Table73[[#This Row],[Date]],Database!$A:$E,MATCH($B$1,Database!$A$1:$E$1,),))</f>
        <v/>
      </c>
      <c r="C2173">
        <f>IF(VLOOKUP(Table73[[#This Row],[Date]],Database!$A:$C,MATCH($C$1,Database!$A$1:$C$1,),)=0,#N/A,VLOOKUP(Table73[[#This Row],[Date]],Database!$A:$C,MATCH($C$1,Database!$A$1:$C$1,),))</f>
        <v/>
      </c>
      <c r="D2173">
        <f>IFERROR(Table73[[#This Row],[United States 10y]]-Table73[[#This Row],[United States 2y]],#N/A)</f>
        <v/>
      </c>
    </row>
    <row r="2174">
      <c r="A2174" s="6">
        <f>Database!A2173</f>
        <v/>
      </c>
      <c r="B2174">
        <f>IF(VLOOKUP(Table73[[#This Row],[Date]],Database!$A:$E,MATCH($B$1,Database!$A$1:$E$1,),)=0,#N/A,VLOOKUP(Table73[[#This Row],[Date]],Database!$A:$E,MATCH($B$1,Database!$A$1:$E$1,),))</f>
        <v/>
      </c>
      <c r="C2174">
        <f>IF(VLOOKUP(Table73[[#This Row],[Date]],Database!$A:$C,MATCH($C$1,Database!$A$1:$C$1,),)=0,#N/A,VLOOKUP(Table73[[#This Row],[Date]],Database!$A:$C,MATCH($C$1,Database!$A$1:$C$1,),))</f>
        <v/>
      </c>
      <c r="D2174">
        <f>IFERROR(Table73[[#This Row],[United States 10y]]-Table73[[#This Row],[United States 2y]],#N/A)</f>
        <v/>
      </c>
    </row>
    <row r="2175">
      <c r="A2175" s="6">
        <f>Database!A2174</f>
        <v/>
      </c>
      <c r="B2175">
        <f>IF(VLOOKUP(Table73[[#This Row],[Date]],Database!$A:$E,MATCH($B$1,Database!$A$1:$E$1,),)=0,#N/A,VLOOKUP(Table73[[#This Row],[Date]],Database!$A:$E,MATCH($B$1,Database!$A$1:$E$1,),))</f>
        <v/>
      </c>
      <c r="C2175">
        <f>IF(VLOOKUP(Table73[[#This Row],[Date]],Database!$A:$C,MATCH($C$1,Database!$A$1:$C$1,),)=0,#N/A,VLOOKUP(Table73[[#This Row],[Date]],Database!$A:$C,MATCH($C$1,Database!$A$1:$C$1,),))</f>
        <v/>
      </c>
      <c r="D2175">
        <f>IFERROR(Table73[[#This Row],[United States 10y]]-Table73[[#This Row],[United States 2y]],#N/A)</f>
        <v/>
      </c>
    </row>
    <row r="2176">
      <c r="A2176" s="6">
        <f>Database!A2175</f>
        <v/>
      </c>
      <c r="B2176">
        <f>IF(VLOOKUP(Table73[[#This Row],[Date]],Database!$A:$E,MATCH($B$1,Database!$A$1:$E$1,),)=0,#N/A,VLOOKUP(Table73[[#This Row],[Date]],Database!$A:$E,MATCH($B$1,Database!$A$1:$E$1,),))</f>
        <v/>
      </c>
      <c r="C2176">
        <f>IF(VLOOKUP(Table73[[#This Row],[Date]],Database!$A:$C,MATCH($C$1,Database!$A$1:$C$1,),)=0,#N/A,VLOOKUP(Table73[[#This Row],[Date]],Database!$A:$C,MATCH($C$1,Database!$A$1:$C$1,),))</f>
        <v/>
      </c>
      <c r="D2176">
        <f>IFERROR(Table73[[#This Row],[United States 10y]]-Table73[[#This Row],[United States 2y]],#N/A)</f>
        <v/>
      </c>
    </row>
    <row r="2177">
      <c r="A2177" s="6">
        <f>Database!A2176</f>
        <v/>
      </c>
      <c r="B2177">
        <f>IF(VLOOKUP(Table73[[#This Row],[Date]],Database!$A:$E,MATCH($B$1,Database!$A$1:$E$1,),)=0,#N/A,VLOOKUP(Table73[[#This Row],[Date]],Database!$A:$E,MATCH($B$1,Database!$A$1:$E$1,),))</f>
        <v/>
      </c>
      <c r="C2177">
        <f>IF(VLOOKUP(Table73[[#This Row],[Date]],Database!$A:$C,MATCH($C$1,Database!$A$1:$C$1,),)=0,#N/A,VLOOKUP(Table73[[#This Row],[Date]],Database!$A:$C,MATCH($C$1,Database!$A$1:$C$1,),))</f>
        <v/>
      </c>
      <c r="D2177">
        <f>IFERROR(Table73[[#This Row],[United States 10y]]-Table73[[#This Row],[United States 2y]],#N/A)</f>
        <v/>
      </c>
    </row>
    <row r="2178">
      <c r="A2178" s="6">
        <f>Database!A2177</f>
        <v/>
      </c>
      <c r="B2178">
        <f>IF(VLOOKUP(Table73[[#This Row],[Date]],Database!$A:$E,MATCH($B$1,Database!$A$1:$E$1,),)=0,#N/A,VLOOKUP(Table73[[#This Row],[Date]],Database!$A:$E,MATCH($B$1,Database!$A$1:$E$1,),))</f>
        <v/>
      </c>
      <c r="C2178">
        <f>IF(VLOOKUP(Table73[[#This Row],[Date]],Database!$A:$C,MATCH($C$1,Database!$A$1:$C$1,),)=0,#N/A,VLOOKUP(Table73[[#This Row],[Date]],Database!$A:$C,MATCH($C$1,Database!$A$1:$C$1,),))</f>
        <v/>
      </c>
      <c r="D2178">
        <f>IFERROR(Table73[[#This Row],[United States 10y]]-Table73[[#This Row],[United States 2y]],#N/A)</f>
        <v/>
      </c>
    </row>
    <row r="2179">
      <c r="A2179" s="6">
        <f>Database!A2178</f>
        <v/>
      </c>
      <c r="B2179">
        <f>IF(VLOOKUP(Table73[[#This Row],[Date]],Database!$A:$E,MATCH($B$1,Database!$A$1:$E$1,),)=0,#N/A,VLOOKUP(Table73[[#This Row],[Date]],Database!$A:$E,MATCH($B$1,Database!$A$1:$E$1,),))</f>
        <v/>
      </c>
      <c r="C2179">
        <f>IF(VLOOKUP(Table73[[#This Row],[Date]],Database!$A:$C,MATCH($C$1,Database!$A$1:$C$1,),)=0,#N/A,VLOOKUP(Table73[[#This Row],[Date]],Database!$A:$C,MATCH($C$1,Database!$A$1:$C$1,),))</f>
        <v/>
      </c>
      <c r="D2179">
        <f>IFERROR(Table73[[#This Row],[United States 10y]]-Table73[[#This Row],[United States 2y]],#N/A)</f>
        <v/>
      </c>
    </row>
    <row r="2180">
      <c r="A2180" s="6">
        <f>Database!A2179</f>
        <v/>
      </c>
      <c r="B2180">
        <f>IF(VLOOKUP(Table73[[#This Row],[Date]],Database!$A:$E,MATCH($B$1,Database!$A$1:$E$1,),)=0,#N/A,VLOOKUP(Table73[[#This Row],[Date]],Database!$A:$E,MATCH($B$1,Database!$A$1:$E$1,),))</f>
        <v/>
      </c>
      <c r="C2180">
        <f>IF(VLOOKUP(Table73[[#This Row],[Date]],Database!$A:$C,MATCH($C$1,Database!$A$1:$C$1,),)=0,#N/A,VLOOKUP(Table73[[#This Row],[Date]],Database!$A:$C,MATCH($C$1,Database!$A$1:$C$1,),))</f>
        <v/>
      </c>
      <c r="D2180">
        <f>IFERROR(Table73[[#This Row],[United States 10y]]-Table73[[#This Row],[United States 2y]],#N/A)</f>
        <v/>
      </c>
    </row>
    <row r="2181">
      <c r="A2181" s="6">
        <f>Database!A2180</f>
        <v/>
      </c>
      <c r="B2181">
        <f>IF(VLOOKUP(Table73[[#This Row],[Date]],Database!$A:$E,MATCH($B$1,Database!$A$1:$E$1,),)=0,#N/A,VLOOKUP(Table73[[#This Row],[Date]],Database!$A:$E,MATCH($B$1,Database!$A$1:$E$1,),))</f>
        <v/>
      </c>
      <c r="C2181">
        <f>IF(VLOOKUP(Table73[[#This Row],[Date]],Database!$A:$C,MATCH($C$1,Database!$A$1:$C$1,),)=0,#N/A,VLOOKUP(Table73[[#This Row],[Date]],Database!$A:$C,MATCH($C$1,Database!$A$1:$C$1,),))</f>
        <v/>
      </c>
      <c r="D2181">
        <f>IFERROR(Table73[[#This Row],[United States 10y]]-Table73[[#This Row],[United States 2y]],#N/A)</f>
        <v/>
      </c>
    </row>
    <row r="2182">
      <c r="A2182" s="6">
        <f>Database!A2181</f>
        <v/>
      </c>
      <c r="B2182">
        <f>IF(VLOOKUP(Table73[[#This Row],[Date]],Database!$A:$E,MATCH($B$1,Database!$A$1:$E$1,),)=0,#N/A,VLOOKUP(Table73[[#This Row],[Date]],Database!$A:$E,MATCH($B$1,Database!$A$1:$E$1,),))</f>
        <v/>
      </c>
      <c r="C2182">
        <f>IF(VLOOKUP(Table73[[#This Row],[Date]],Database!$A:$C,MATCH($C$1,Database!$A$1:$C$1,),)=0,#N/A,VLOOKUP(Table73[[#This Row],[Date]],Database!$A:$C,MATCH($C$1,Database!$A$1:$C$1,),))</f>
        <v/>
      </c>
      <c r="D2182">
        <f>IFERROR(Table73[[#This Row],[United States 10y]]-Table73[[#This Row],[United States 2y]],#N/A)</f>
        <v/>
      </c>
    </row>
    <row r="2183">
      <c r="A2183" s="6">
        <f>Database!A2182</f>
        <v/>
      </c>
      <c r="B2183">
        <f>IF(VLOOKUP(Table73[[#This Row],[Date]],Database!$A:$E,MATCH($B$1,Database!$A$1:$E$1,),)=0,#N/A,VLOOKUP(Table73[[#This Row],[Date]],Database!$A:$E,MATCH($B$1,Database!$A$1:$E$1,),))</f>
        <v/>
      </c>
      <c r="C2183">
        <f>IF(VLOOKUP(Table73[[#This Row],[Date]],Database!$A:$C,MATCH($C$1,Database!$A$1:$C$1,),)=0,#N/A,VLOOKUP(Table73[[#This Row],[Date]],Database!$A:$C,MATCH($C$1,Database!$A$1:$C$1,),))</f>
        <v/>
      </c>
      <c r="D2183">
        <f>IFERROR(Table73[[#This Row],[United States 10y]]-Table73[[#This Row],[United States 2y]],#N/A)</f>
        <v/>
      </c>
    </row>
    <row r="2184">
      <c r="A2184" s="6">
        <f>Database!A2183</f>
        <v/>
      </c>
      <c r="B2184">
        <f>IF(VLOOKUP(Table73[[#This Row],[Date]],Database!$A:$E,MATCH($B$1,Database!$A$1:$E$1,),)=0,#N/A,VLOOKUP(Table73[[#This Row],[Date]],Database!$A:$E,MATCH($B$1,Database!$A$1:$E$1,),))</f>
        <v/>
      </c>
      <c r="C2184">
        <f>IF(VLOOKUP(Table73[[#This Row],[Date]],Database!$A:$C,MATCH($C$1,Database!$A$1:$C$1,),)=0,#N/A,VLOOKUP(Table73[[#This Row],[Date]],Database!$A:$C,MATCH($C$1,Database!$A$1:$C$1,),))</f>
        <v/>
      </c>
      <c r="D2184">
        <f>IFERROR(Table73[[#This Row],[United States 10y]]-Table73[[#This Row],[United States 2y]],#N/A)</f>
        <v/>
      </c>
    </row>
    <row r="2185">
      <c r="A2185" s="6">
        <f>Database!A2184</f>
        <v/>
      </c>
      <c r="B2185">
        <f>IF(VLOOKUP(Table73[[#This Row],[Date]],Database!$A:$E,MATCH($B$1,Database!$A$1:$E$1,),)=0,#N/A,VLOOKUP(Table73[[#This Row],[Date]],Database!$A:$E,MATCH($B$1,Database!$A$1:$E$1,),))</f>
        <v/>
      </c>
      <c r="C2185">
        <f>IF(VLOOKUP(Table73[[#This Row],[Date]],Database!$A:$C,MATCH($C$1,Database!$A$1:$C$1,),)=0,#N/A,VLOOKUP(Table73[[#This Row],[Date]],Database!$A:$C,MATCH($C$1,Database!$A$1:$C$1,),))</f>
        <v/>
      </c>
      <c r="D2185">
        <f>IFERROR(Table73[[#This Row],[United States 10y]]-Table73[[#This Row],[United States 2y]],#N/A)</f>
        <v/>
      </c>
    </row>
    <row r="2186">
      <c r="A2186" s="6">
        <f>Database!A2185</f>
        <v/>
      </c>
      <c r="B2186">
        <f>IF(VLOOKUP(Table73[[#This Row],[Date]],Database!$A:$E,MATCH($B$1,Database!$A$1:$E$1,),)=0,#N/A,VLOOKUP(Table73[[#This Row],[Date]],Database!$A:$E,MATCH($B$1,Database!$A$1:$E$1,),))</f>
        <v/>
      </c>
      <c r="C2186">
        <f>IF(VLOOKUP(Table73[[#This Row],[Date]],Database!$A:$C,MATCH($C$1,Database!$A$1:$C$1,),)=0,#N/A,VLOOKUP(Table73[[#This Row],[Date]],Database!$A:$C,MATCH($C$1,Database!$A$1:$C$1,),))</f>
        <v/>
      </c>
      <c r="D2186">
        <f>IFERROR(Table73[[#This Row],[United States 10y]]-Table73[[#This Row],[United States 2y]],#N/A)</f>
        <v/>
      </c>
    </row>
    <row r="2187">
      <c r="A2187" s="6">
        <f>Database!A2186</f>
        <v/>
      </c>
      <c r="B2187">
        <f>IF(VLOOKUP(Table73[[#This Row],[Date]],Database!$A:$E,MATCH($B$1,Database!$A$1:$E$1,),)=0,#N/A,VLOOKUP(Table73[[#This Row],[Date]],Database!$A:$E,MATCH($B$1,Database!$A$1:$E$1,),))</f>
        <v/>
      </c>
      <c r="C2187">
        <f>IF(VLOOKUP(Table73[[#This Row],[Date]],Database!$A:$C,MATCH($C$1,Database!$A$1:$C$1,),)=0,#N/A,VLOOKUP(Table73[[#This Row],[Date]],Database!$A:$C,MATCH($C$1,Database!$A$1:$C$1,),))</f>
        <v/>
      </c>
      <c r="D2187">
        <f>IFERROR(Table73[[#This Row],[United States 10y]]-Table73[[#This Row],[United States 2y]],#N/A)</f>
        <v/>
      </c>
    </row>
    <row r="2188">
      <c r="A2188" s="6">
        <f>Database!A2187</f>
        <v/>
      </c>
      <c r="B2188">
        <f>IF(VLOOKUP(Table73[[#This Row],[Date]],Database!$A:$E,MATCH($B$1,Database!$A$1:$E$1,),)=0,#N/A,VLOOKUP(Table73[[#This Row],[Date]],Database!$A:$E,MATCH($B$1,Database!$A$1:$E$1,),))</f>
        <v/>
      </c>
      <c r="C2188">
        <f>IF(VLOOKUP(Table73[[#This Row],[Date]],Database!$A:$C,MATCH($C$1,Database!$A$1:$C$1,),)=0,#N/A,VLOOKUP(Table73[[#This Row],[Date]],Database!$A:$C,MATCH($C$1,Database!$A$1:$C$1,),))</f>
        <v/>
      </c>
      <c r="D2188">
        <f>IFERROR(Table73[[#This Row],[United States 10y]]-Table73[[#This Row],[United States 2y]],#N/A)</f>
        <v/>
      </c>
    </row>
    <row r="2189">
      <c r="A2189" s="6">
        <f>Database!A2188</f>
        <v/>
      </c>
      <c r="B2189">
        <f>IF(VLOOKUP(Table73[[#This Row],[Date]],Database!$A:$E,MATCH($B$1,Database!$A$1:$E$1,),)=0,#N/A,VLOOKUP(Table73[[#This Row],[Date]],Database!$A:$E,MATCH($B$1,Database!$A$1:$E$1,),))</f>
        <v/>
      </c>
      <c r="C2189">
        <f>IF(VLOOKUP(Table73[[#This Row],[Date]],Database!$A:$C,MATCH($C$1,Database!$A$1:$C$1,),)=0,#N/A,VLOOKUP(Table73[[#This Row],[Date]],Database!$A:$C,MATCH($C$1,Database!$A$1:$C$1,),))</f>
        <v/>
      </c>
      <c r="D2189">
        <f>IFERROR(Table73[[#This Row],[United States 10y]]-Table73[[#This Row],[United States 2y]],#N/A)</f>
        <v/>
      </c>
    </row>
    <row r="2190">
      <c r="A2190" s="6">
        <f>Database!A2189</f>
        <v/>
      </c>
      <c r="B2190">
        <f>IF(VLOOKUP(Table73[[#This Row],[Date]],Database!$A:$E,MATCH($B$1,Database!$A$1:$E$1,),)=0,#N/A,VLOOKUP(Table73[[#This Row],[Date]],Database!$A:$E,MATCH($B$1,Database!$A$1:$E$1,),))</f>
        <v/>
      </c>
      <c r="C2190">
        <f>IF(VLOOKUP(Table73[[#This Row],[Date]],Database!$A:$C,MATCH($C$1,Database!$A$1:$C$1,),)=0,#N/A,VLOOKUP(Table73[[#This Row],[Date]],Database!$A:$C,MATCH($C$1,Database!$A$1:$C$1,),))</f>
        <v/>
      </c>
      <c r="D2190">
        <f>IFERROR(Table73[[#This Row],[United States 10y]]-Table73[[#This Row],[United States 2y]],#N/A)</f>
        <v/>
      </c>
    </row>
    <row r="2191">
      <c r="A2191" s="6">
        <f>Database!A2190</f>
        <v/>
      </c>
      <c r="B2191">
        <f>IF(VLOOKUP(Table73[[#This Row],[Date]],Database!$A:$E,MATCH($B$1,Database!$A$1:$E$1,),)=0,#N/A,VLOOKUP(Table73[[#This Row],[Date]],Database!$A:$E,MATCH($B$1,Database!$A$1:$E$1,),))</f>
        <v/>
      </c>
      <c r="C2191">
        <f>IF(VLOOKUP(Table73[[#This Row],[Date]],Database!$A:$C,MATCH($C$1,Database!$A$1:$C$1,),)=0,#N/A,VLOOKUP(Table73[[#This Row],[Date]],Database!$A:$C,MATCH($C$1,Database!$A$1:$C$1,),))</f>
        <v/>
      </c>
      <c r="D2191">
        <f>IFERROR(Table73[[#This Row],[United States 10y]]-Table73[[#This Row],[United States 2y]],#N/A)</f>
        <v/>
      </c>
    </row>
    <row r="2192">
      <c r="A2192" s="6">
        <f>Database!A2191</f>
        <v/>
      </c>
      <c r="B2192">
        <f>IF(VLOOKUP(Table73[[#This Row],[Date]],Database!$A:$E,MATCH($B$1,Database!$A$1:$E$1,),)=0,#N/A,VLOOKUP(Table73[[#This Row],[Date]],Database!$A:$E,MATCH($B$1,Database!$A$1:$E$1,),))</f>
        <v/>
      </c>
      <c r="C2192">
        <f>IF(VLOOKUP(Table73[[#This Row],[Date]],Database!$A:$C,MATCH($C$1,Database!$A$1:$C$1,),)=0,#N/A,VLOOKUP(Table73[[#This Row],[Date]],Database!$A:$C,MATCH($C$1,Database!$A$1:$C$1,),))</f>
        <v/>
      </c>
      <c r="D2192">
        <f>IFERROR(Table73[[#This Row],[United States 10y]]-Table73[[#This Row],[United States 2y]],#N/A)</f>
        <v/>
      </c>
    </row>
    <row r="2193">
      <c r="A2193" s="6">
        <f>Database!A2192</f>
        <v/>
      </c>
      <c r="B2193">
        <f>IF(VLOOKUP(Table73[[#This Row],[Date]],Database!$A:$E,MATCH($B$1,Database!$A$1:$E$1,),)=0,#N/A,VLOOKUP(Table73[[#This Row],[Date]],Database!$A:$E,MATCH($B$1,Database!$A$1:$E$1,),))</f>
        <v/>
      </c>
      <c r="C2193">
        <f>IF(VLOOKUP(Table73[[#This Row],[Date]],Database!$A:$C,MATCH($C$1,Database!$A$1:$C$1,),)=0,#N/A,VLOOKUP(Table73[[#This Row],[Date]],Database!$A:$C,MATCH($C$1,Database!$A$1:$C$1,),))</f>
        <v/>
      </c>
      <c r="D2193">
        <f>IFERROR(Table73[[#This Row],[United States 10y]]-Table73[[#This Row],[United States 2y]],#N/A)</f>
        <v/>
      </c>
    </row>
    <row r="2194">
      <c r="A2194" s="6">
        <f>Database!A2193</f>
        <v/>
      </c>
      <c r="B2194">
        <f>IF(VLOOKUP(Table73[[#This Row],[Date]],Database!$A:$E,MATCH($B$1,Database!$A$1:$E$1,),)=0,#N/A,VLOOKUP(Table73[[#This Row],[Date]],Database!$A:$E,MATCH($B$1,Database!$A$1:$E$1,),))</f>
        <v/>
      </c>
      <c r="C2194">
        <f>IF(VLOOKUP(Table73[[#This Row],[Date]],Database!$A:$C,MATCH($C$1,Database!$A$1:$C$1,),)=0,#N/A,VLOOKUP(Table73[[#This Row],[Date]],Database!$A:$C,MATCH($C$1,Database!$A$1:$C$1,),))</f>
        <v/>
      </c>
      <c r="D2194">
        <f>IFERROR(Table73[[#This Row],[United States 10y]]-Table73[[#This Row],[United States 2y]],#N/A)</f>
        <v/>
      </c>
    </row>
    <row r="2195">
      <c r="A2195" s="6">
        <f>Database!A2194</f>
        <v/>
      </c>
      <c r="B2195">
        <f>IF(VLOOKUP(Table73[[#This Row],[Date]],Database!$A:$E,MATCH($B$1,Database!$A$1:$E$1,),)=0,#N/A,VLOOKUP(Table73[[#This Row],[Date]],Database!$A:$E,MATCH($B$1,Database!$A$1:$E$1,),))</f>
        <v/>
      </c>
      <c r="C2195">
        <f>IF(VLOOKUP(Table73[[#This Row],[Date]],Database!$A:$C,MATCH($C$1,Database!$A$1:$C$1,),)=0,#N/A,VLOOKUP(Table73[[#This Row],[Date]],Database!$A:$C,MATCH($C$1,Database!$A$1:$C$1,),))</f>
        <v/>
      </c>
      <c r="D2195">
        <f>IFERROR(Table73[[#This Row],[United States 10y]]-Table73[[#This Row],[United States 2y]],#N/A)</f>
        <v/>
      </c>
    </row>
    <row r="2196">
      <c r="A2196" s="6">
        <f>Database!A2195</f>
        <v/>
      </c>
      <c r="B2196">
        <f>IF(VLOOKUP(Table73[[#This Row],[Date]],Database!$A:$E,MATCH($B$1,Database!$A$1:$E$1,),)=0,#N/A,VLOOKUP(Table73[[#This Row],[Date]],Database!$A:$E,MATCH($B$1,Database!$A$1:$E$1,),))</f>
        <v/>
      </c>
      <c r="C2196">
        <f>IF(VLOOKUP(Table73[[#This Row],[Date]],Database!$A:$C,MATCH($C$1,Database!$A$1:$C$1,),)=0,#N/A,VLOOKUP(Table73[[#This Row],[Date]],Database!$A:$C,MATCH($C$1,Database!$A$1:$C$1,),))</f>
        <v/>
      </c>
      <c r="D2196">
        <f>IFERROR(Table73[[#This Row],[United States 10y]]-Table73[[#This Row],[United States 2y]],#N/A)</f>
        <v/>
      </c>
    </row>
    <row r="2197">
      <c r="A2197" s="6">
        <f>Database!A2196</f>
        <v/>
      </c>
      <c r="B2197">
        <f>IF(VLOOKUP(Table73[[#This Row],[Date]],Database!$A:$E,MATCH($B$1,Database!$A$1:$E$1,),)=0,#N/A,VLOOKUP(Table73[[#This Row],[Date]],Database!$A:$E,MATCH($B$1,Database!$A$1:$E$1,),))</f>
        <v/>
      </c>
      <c r="C2197">
        <f>IF(VLOOKUP(Table73[[#This Row],[Date]],Database!$A:$C,MATCH($C$1,Database!$A$1:$C$1,),)=0,#N/A,VLOOKUP(Table73[[#This Row],[Date]],Database!$A:$C,MATCH($C$1,Database!$A$1:$C$1,),))</f>
        <v/>
      </c>
      <c r="D2197">
        <f>IFERROR(Table73[[#This Row],[United States 10y]]-Table73[[#This Row],[United States 2y]],#N/A)</f>
        <v/>
      </c>
    </row>
    <row r="2198">
      <c r="A2198" s="6">
        <f>Database!A2197</f>
        <v/>
      </c>
      <c r="B2198">
        <f>IF(VLOOKUP(Table73[[#This Row],[Date]],Database!$A:$E,MATCH($B$1,Database!$A$1:$E$1,),)=0,#N/A,VLOOKUP(Table73[[#This Row],[Date]],Database!$A:$E,MATCH($B$1,Database!$A$1:$E$1,),))</f>
        <v/>
      </c>
      <c r="C2198">
        <f>IF(VLOOKUP(Table73[[#This Row],[Date]],Database!$A:$C,MATCH($C$1,Database!$A$1:$C$1,),)=0,#N/A,VLOOKUP(Table73[[#This Row],[Date]],Database!$A:$C,MATCH($C$1,Database!$A$1:$C$1,),))</f>
        <v/>
      </c>
      <c r="D2198">
        <f>IFERROR(Table73[[#This Row],[United States 10y]]-Table73[[#This Row],[United States 2y]],#N/A)</f>
        <v/>
      </c>
    </row>
    <row r="2199">
      <c r="A2199" s="6">
        <f>Database!A2198</f>
        <v/>
      </c>
      <c r="B2199">
        <f>IF(VLOOKUP(Table73[[#This Row],[Date]],Database!$A:$E,MATCH($B$1,Database!$A$1:$E$1,),)=0,#N/A,VLOOKUP(Table73[[#This Row],[Date]],Database!$A:$E,MATCH($B$1,Database!$A$1:$E$1,),))</f>
        <v/>
      </c>
      <c r="C2199">
        <f>IF(VLOOKUP(Table73[[#This Row],[Date]],Database!$A:$C,MATCH($C$1,Database!$A$1:$C$1,),)=0,#N/A,VLOOKUP(Table73[[#This Row],[Date]],Database!$A:$C,MATCH($C$1,Database!$A$1:$C$1,),))</f>
        <v/>
      </c>
      <c r="D2199">
        <f>IFERROR(Table73[[#This Row],[United States 10y]]-Table73[[#This Row],[United States 2y]],#N/A)</f>
        <v/>
      </c>
    </row>
    <row r="2200">
      <c r="A2200" s="6">
        <f>Database!A2199</f>
        <v/>
      </c>
      <c r="B2200">
        <f>IF(VLOOKUP(Table73[[#This Row],[Date]],Database!$A:$E,MATCH($B$1,Database!$A$1:$E$1,),)=0,#N/A,VLOOKUP(Table73[[#This Row],[Date]],Database!$A:$E,MATCH($B$1,Database!$A$1:$E$1,),))</f>
        <v/>
      </c>
      <c r="C2200">
        <f>IF(VLOOKUP(Table73[[#This Row],[Date]],Database!$A:$C,MATCH($C$1,Database!$A$1:$C$1,),)=0,#N/A,VLOOKUP(Table73[[#This Row],[Date]],Database!$A:$C,MATCH($C$1,Database!$A$1:$C$1,),))</f>
        <v/>
      </c>
      <c r="D2200">
        <f>IFERROR(Table73[[#This Row],[United States 10y]]-Table73[[#This Row],[United States 2y]],#N/A)</f>
        <v/>
      </c>
    </row>
    <row r="2201">
      <c r="A2201" s="6">
        <f>Database!A2200</f>
        <v/>
      </c>
      <c r="B2201">
        <f>IF(VLOOKUP(Table73[[#This Row],[Date]],Database!$A:$E,MATCH($B$1,Database!$A$1:$E$1,),)=0,#N/A,VLOOKUP(Table73[[#This Row],[Date]],Database!$A:$E,MATCH($B$1,Database!$A$1:$E$1,),))</f>
        <v/>
      </c>
      <c r="C2201">
        <f>IF(VLOOKUP(Table73[[#This Row],[Date]],Database!$A:$C,MATCH($C$1,Database!$A$1:$C$1,),)=0,#N/A,VLOOKUP(Table73[[#This Row],[Date]],Database!$A:$C,MATCH($C$1,Database!$A$1:$C$1,),))</f>
        <v/>
      </c>
      <c r="D2201">
        <f>IFERROR(Table73[[#This Row],[United States 10y]]-Table73[[#This Row],[United States 2y]],#N/A)</f>
        <v/>
      </c>
    </row>
    <row r="2202">
      <c r="A2202" s="6">
        <f>Database!A2201</f>
        <v/>
      </c>
      <c r="B2202">
        <f>IF(VLOOKUP(Table73[[#This Row],[Date]],Database!$A:$E,MATCH($B$1,Database!$A$1:$E$1,),)=0,#N/A,VLOOKUP(Table73[[#This Row],[Date]],Database!$A:$E,MATCH($B$1,Database!$A$1:$E$1,),))</f>
        <v/>
      </c>
      <c r="C2202">
        <f>IF(VLOOKUP(Table73[[#This Row],[Date]],Database!$A:$C,MATCH($C$1,Database!$A$1:$C$1,),)=0,#N/A,VLOOKUP(Table73[[#This Row],[Date]],Database!$A:$C,MATCH($C$1,Database!$A$1:$C$1,),))</f>
        <v/>
      </c>
      <c r="D2202">
        <f>IFERROR(Table73[[#This Row],[United States 10y]]-Table73[[#This Row],[United States 2y]],#N/A)</f>
        <v/>
      </c>
    </row>
    <row r="2203">
      <c r="A2203" s="6">
        <f>Database!A2202</f>
        <v/>
      </c>
      <c r="B2203">
        <f>IF(VLOOKUP(Table73[[#This Row],[Date]],Database!$A:$E,MATCH($B$1,Database!$A$1:$E$1,),)=0,#N/A,VLOOKUP(Table73[[#This Row],[Date]],Database!$A:$E,MATCH($B$1,Database!$A$1:$E$1,),))</f>
        <v/>
      </c>
      <c r="C2203">
        <f>IF(VLOOKUP(Table73[[#This Row],[Date]],Database!$A:$C,MATCH($C$1,Database!$A$1:$C$1,),)=0,#N/A,VLOOKUP(Table73[[#This Row],[Date]],Database!$A:$C,MATCH($C$1,Database!$A$1:$C$1,),))</f>
        <v/>
      </c>
      <c r="D2203">
        <f>IFERROR(Table73[[#This Row],[United States 10y]]-Table73[[#This Row],[United States 2y]],#N/A)</f>
        <v/>
      </c>
    </row>
    <row r="2204">
      <c r="A2204" s="6">
        <f>Database!A2203</f>
        <v/>
      </c>
      <c r="B2204">
        <f>IF(VLOOKUP(Table73[[#This Row],[Date]],Database!$A:$E,MATCH($B$1,Database!$A$1:$E$1,),)=0,#N/A,VLOOKUP(Table73[[#This Row],[Date]],Database!$A:$E,MATCH($B$1,Database!$A$1:$E$1,),))</f>
        <v/>
      </c>
      <c r="C2204">
        <f>IF(VLOOKUP(Table73[[#This Row],[Date]],Database!$A:$C,MATCH($C$1,Database!$A$1:$C$1,),)=0,#N/A,VLOOKUP(Table73[[#This Row],[Date]],Database!$A:$C,MATCH($C$1,Database!$A$1:$C$1,),))</f>
        <v/>
      </c>
      <c r="D2204">
        <f>IFERROR(Table73[[#This Row],[United States 10y]]-Table73[[#This Row],[United States 2y]],#N/A)</f>
        <v/>
      </c>
    </row>
    <row r="2205">
      <c r="A2205" s="6">
        <f>Database!A2204</f>
        <v/>
      </c>
      <c r="B2205">
        <f>IF(VLOOKUP(Table73[[#This Row],[Date]],Database!$A:$E,MATCH($B$1,Database!$A$1:$E$1,),)=0,#N/A,VLOOKUP(Table73[[#This Row],[Date]],Database!$A:$E,MATCH($B$1,Database!$A$1:$E$1,),))</f>
        <v/>
      </c>
      <c r="C2205">
        <f>IF(VLOOKUP(Table73[[#This Row],[Date]],Database!$A:$C,MATCH($C$1,Database!$A$1:$C$1,),)=0,#N/A,VLOOKUP(Table73[[#This Row],[Date]],Database!$A:$C,MATCH($C$1,Database!$A$1:$C$1,),))</f>
        <v/>
      </c>
      <c r="D2205">
        <f>IFERROR(Table73[[#This Row],[United States 10y]]-Table73[[#This Row],[United States 2y]],#N/A)</f>
        <v/>
      </c>
    </row>
    <row r="2206">
      <c r="A2206" s="6">
        <f>Database!A2205</f>
        <v/>
      </c>
      <c r="B2206">
        <f>IF(VLOOKUP(Table73[[#This Row],[Date]],Database!$A:$E,MATCH($B$1,Database!$A$1:$E$1,),)=0,#N/A,VLOOKUP(Table73[[#This Row],[Date]],Database!$A:$E,MATCH($B$1,Database!$A$1:$E$1,),))</f>
        <v/>
      </c>
      <c r="C2206">
        <f>IF(VLOOKUP(Table73[[#This Row],[Date]],Database!$A:$C,MATCH($C$1,Database!$A$1:$C$1,),)=0,#N/A,VLOOKUP(Table73[[#This Row],[Date]],Database!$A:$C,MATCH($C$1,Database!$A$1:$C$1,),))</f>
        <v/>
      </c>
      <c r="D2206">
        <f>IFERROR(Table73[[#This Row],[United States 10y]]-Table73[[#This Row],[United States 2y]],#N/A)</f>
        <v/>
      </c>
    </row>
    <row r="2207">
      <c r="A2207" s="6">
        <f>Database!A2206</f>
        <v/>
      </c>
      <c r="B2207">
        <f>IF(VLOOKUP(Table73[[#This Row],[Date]],Database!$A:$E,MATCH($B$1,Database!$A$1:$E$1,),)=0,#N/A,VLOOKUP(Table73[[#This Row],[Date]],Database!$A:$E,MATCH($B$1,Database!$A$1:$E$1,),))</f>
        <v/>
      </c>
      <c r="C2207">
        <f>IF(VLOOKUP(Table73[[#This Row],[Date]],Database!$A:$C,MATCH($C$1,Database!$A$1:$C$1,),)=0,#N/A,VLOOKUP(Table73[[#This Row],[Date]],Database!$A:$C,MATCH($C$1,Database!$A$1:$C$1,),))</f>
        <v/>
      </c>
      <c r="D2207">
        <f>IFERROR(Table73[[#This Row],[United States 10y]]-Table73[[#This Row],[United States 2y]],#N/A)</f>
        <v/>
      </c>
    </row>
    <row r="2208">
      <c r="A2208" s="6">
        <f>Database!A2207</f>
        <v/>
      </c>
      <c r="B2208">
        <f>IF(VLOOKUP(Table73[[#This Row],[Date]],Database!$A:$E,MATCH($B$1,Database!$A$1:$E$1,),)=0,#N/A,VLOOKUP(Table73[[#This Row],[Date]],Database!$A:$E,MATCH($B$1,Database!$A$1:$E$1,),))</f>
        <v/>
      </c>
      <c r="C2208">
        <f>IF(VLOOKUP(Table73[[#This Row],[Date]],Database!$A:$C,MATCH($C$1,Database!$A$1:$C$1,),)=0,#N/A,VLOOKUP(Table73[[#This Row],[Date]],Database!$A:$C,MATCH($C$1,Database!$A$1:$C$1,),))</f>
        <v/>
      </c>
      <c r="D2208">
        <f>IFERROR(Table73[[#This Row],[United States 10y]]-Table73[[#This Row],[United States 2y]],#N/A)</f>
        <v/>
      </c>
    </row>
    <row r="2209">
      <c r="A2209" s="6">
        <f>Database!A2208</f>
        <v/>
      </c>
      <c r="B2209">
        <f>IF(VLOOKUP(Table73[[#This Row],[Date]],Database!$A:$E,MATCH($B$1,Database!$A$1:$E$1,),)=0,#N/A,VLOOKUP(Table73[[#This Row],[Date]],Database!$A:$E,MATCH($B$1,Database!$A$1:$E$1,),))</f>
        <v/>
      </c>
      <c r="C2209">
        <f>IF(VLOOKUP(Table73[[#This Row],[Date]],Database!$A:$C,MATCH($C$1,Database!$A$1:$C$1,),)=0,#N/A,VLOOKUP(Table73[[#This Row],[Date]],Database!$A:$C,MATCH($C$1,Database!$A$1:$C$1,),))</f>
        <v/>
      </c>
      <c r="D2209">
        <f>IFERROR(Table73[[#This Row],[United States 10y]]-Table73[[#This Row],[United States 2y]],#N/A)</f>
        <v/>
      </c>
    </row>
    <row r="2210">
      <c r="A2210" s="6">
        <f>Database!A2209</f>
        <v/>
      </c>
      <c r="B2210">
        <f>IF(VLOOKUP(Table73[[#This Row],[Date]],Database!$A:$E,MATCH($B$1,Database!$A$1:$E$1,),)=0,#N/A,VLOOKUP(Table73[[#This Row],[Date]],Database!$A:$E,MATCH($B$1,Database!$A$1:$E$1,),))</f>
        <v/>
      </c>
      <c r="C2210">
        <f>IF(VLOOKUP(Table73[[#This Row],[Date]],Database!$A:$C,MATCH($C$1,Database!$A$1:$C$1,),)=0,#N/A,VLOOKUP(Table73[[#This Row],[Date]],Database!$A:$C,MATCH($C$1,Database!$A$1:$C$1,),))</f>
        <v/>
      </c>
      <c r="D2210">
        <f>IFERROR(Table73[[#This Row],[United States 10y]]-Table73[[#This Row],[United States 2y]],#N/A)</f>
        <v/>
      </c>
    </row>
    <row r="2211">
      <c r="A2211" s="6">
        <f>Database!A2210</f>
        <v/>
      </c>
      <c r="B2211">
        <f>IF(VLOOKUP(Table73[[#This Row],[Date]],Database!$A:$E,MATCH($B$1,Database!$A$1:$E$1,),)=0,#N/A,VLOOKUP(Table73[[#This Row],[Date]],Database!$A:$E,MATCH($B$1,Database!$A$1:$E$1,),))</f>
        <v/>
      </c>
      <c r="C2211">
        <f>IF(VLOOKUP(Table73[[#This Row],[Date]],Database!$A:$C,MATCH($C$1,Database!$A$1:$C$1,),)=0,#N/A,VLOOKUP(Table73[[#This Row],[Date]],Database!$A:$C,MATCH($C$1,Database!$A$1:$C$1,),))</f>
        <v/>
      </c>
      <c r="D2211">
        <f>IFERROR(Table73[[#This Row],[United States 10y]]-Table73[[#This Row],[United States 2y]],#N/A)</f>
        <v/>
      </c>
    </row>
    <row r="2212">
      <c r="A2212" s="6">
        <f>Database!A2211</f>
        <v/>
      </c>
      <c r="B2212">
        <f>IF(VLOOKUP(Table73[[#This Row],[Date]],Database!$A:$E,MATCH($B$1,Database!$A$1:$E$1,),)=0,#N/A,VLOOKUP(Table73[[#This Row],[Date]],Database!$A:$E,MATCH($B$1,Database!$A$1:$E$1,),))</f>
        <v/>
      </c>
      <c r="C2212">
        <f>IF(VLOOKUP(Table73[[#This Row],[Date]],Database!$A:$C,MATCH($C$1,Database!$A$1:$C$1,),)=0,#N/A,VLOOKUP(Table73[[#This Row],[Date]],Database!$A:$C,MATCH($C$1,Database!$A$1:$C$1,),))</f>
        <v/>
      </c>
      <c r="D2212">
        <f>IFERROR(Table73[[#This Row],[United States 10y]]-Table73[[#This Row],[United States 2y]],#N/A)</f>
        <v/>
      </c>
    </row>
    <row r="2213">
      <c r="A2213" s="6">
        <f>Database!A2212</f>
        <v/>
      </c>
      <c r="B2213">
        <f>IF(VLOOKUP(Table73[[#This Row],[Date]],Database!$A:$E,MATCH($B$1,Database!$A$1:$E$1,),)=0,#N/A,VLOOKUP(Table73[[#This Row],[Date]],Database!$A:$E,MATCH($B$1,Database!$A$1:$E$1,),))</f>
        <v/>
      </c>
      <c r="C2213">
        <f>IF(VLOOKUP(Table73[[#This Row],[Date]],Database!$A:$C,MATCH($C$1,Database!$A$1:$C$1,),)=0,#N/A,VLOOKUP(Table73[[#This Row],[Date]],Database!$A:$C,MATCH($C$1,Database!$A$1:$C$1,),))</f>
        <v/>
      </c>
      <c r="D2213">
        <f>IFERROR(Table73[[#This Row],[United States 10y]]-Table73[[#This Row],[United States 2y]],#N/A)</f>
        <v/>
      </c>
    </row>
    <row r="2214">
      <c r="A2214" s="6">
        <f>Database!A2213</f>
        <v/>
      </c>
      <c r="B2214">
        <f>IF(VLOOKUP(Table73[[#This Row],[Date]],Database!$A:$E,MATCH($B$1,Database!$A$1:$E$1,),)=0,#N/A,VLOOKUP(Table73[[#This Row],[Date]],Database!$A:$E,MATCH($B$1,Database!$A$1:$E$1,),))</f>
        <v/>
      </c>
      <c r="C2214">
        <f>IF(VLOOKUP(Table73[[#This Row],[Date]],Database!$A:$C,MATCH($C$1,Database!$A$1:$C$1,),)=0,#N/A,VLOOKUP(Table73[[#This Row],[Date]],Database!$A:$C,MATCH($C$1,Database!$A$1:$C$1,),))</f>
        <v/>
      </c>
      <c r="D2214">
        <f>IFERROR(Table73[[#This Row],[United States 10y]]-Table73[[#This Row],[United States 2y]],#N/A)</f>
        <v/>
      </c>
    </row>
    <row r="2215">
      <c r="A2215" s="6">
        <f>Database!A2214</f>
        <v/>
      </c>
      <c r="B2215">
        <f>IF(VLOOKUP(Table73[[#This Row],[Date]],Database!$A:$E,MATCH($B$1,Database!$A$1:$E$1,),)=0,#N/A,VLOOKUP(Table73[[#This Row],[Date]],Database!$A:$E,MATCH($B$1,Database!$A$1:$E$1,),))</f>
        <v/>
      </c>
      <c r="C2215">
        <f>IF(VLOOKUP(Table73[[#This Row],[Date]],Database!$A:$C,MATCH($C$1,Database!$A$1:$C$1,),)=0,#N/A,VLOOKUP(Table73[[#This Row],[Date]],Database!$A:$C,MATCH($C$1,Database!$A$1:$C$1,),))</f>
        <v/>
      </c>
      <c r="D2215">
        <f>IFERROR(Table73[[#This Row],[United States 10y]]-Table73[[#This Row],[United States 2y]],#N/A)</f>
        <v/>
      </c>
    </row>
    <row r="2216">
      <c r="A2216" s="6">
        <f>Database!A2215</f>
        <v/>
      </c>
      <c r="B2216">
        <f>IF(VLOOKUP(Table73[[#This Row],[Date]],Database!$A:$E,MATCH($B$1,Database!$A$1:$E$1,),)=0,#N/A,VLOOKUP(Table73[[#This Row],[Date]],Database!$A:$E,MATCH($B$1,Database!$A$1:$E$1,),))</f>
        <v/>
      </c>
      <c r="C2216">
        <f>IF(VLOOKUP(Table73[[#This Row],[Date]],Database!$A:$C,MATCH($C$1,Database!$A$1:$C$1,),)=0,#N/A,VLOOKUP(Table73[[#This Row],[Date]],Database!$A:$C,MATCH($C$1,Database!$A$1:$C$1,),))</f>
        <v/>
      </c>
      <c r="D2216">
        <f>IFERROR(Table73[[#This Row],[United States 10y]]-Table73[[#This Row],[United States 2y]],#N/A)</f>
        <v/>
      </c>
    </row>
    <row r="2217">
      <c r="A2217" s="6">
        <f>Database!A2216</f>
        <v/>
      </c>
      <c r="B2217">
        <f>IF(VLOOKUP(Table73[[#This Row],[Date]],Database!$A:$E,MATCH($B$1,Database!$A$1:$E$1,),)=0,#N/A,VLOOKUP(Table73[[#This Row],[Date]],Database!$A:$E,MATCH($B$1,Database!$A$1:$E$1,),))</f>
        <v/>
      </c>
      <c r="C2217">
        <f>IF(VLOOKUP(Table73[[#This Row],[Date]],Database!$A:$C,MATCH($C$1,Database!$A$1:$C$1,),)=0,#N/A,VLOOKUP(Table73[[#This Row],[Date]],Database!$A:$C,MATCH($C$1,Database!$A$1:$C$1,),))</f>
        <v/>
      </c>
      <c r="D2217">
        <f>IFERROR(Table73[[#This Row],[United States 10y]]-Table73[[#This Row],[United States 2y]],#N/A)</f>
        <v/>
      </c>
    </row>
    <row r="2218">
      <c r="A2218" s="6">
        <f>Database!A2217</f>
        <v/>
      </c>
      <c r="B2218">
        <f>IF(VLOOKUP(Table73[[#This Row],[Date]],Database!$A:$E,MATCH($B$1,Database!$A$1:$E$1,),)=0,#N/A,VLOOKUP(Table73[[#This Row],[Date]],Database!$A:$E,MATCH($B$1,Database!$A$1:$E$1,),))</f>
        <v/>
      </c>
      <c r="C2218">
        <f>IF(VLOOKUP(Table73[[#This Row],[Date]],Database!$A:$C,MATCH($C$1,Database!$A$1:$C$1,),)=0,#N/A,VLOOKUP(Table73[[#This Row],[Date]],Database!$A:$C,MATCH($C$1,Database!$A$1:$C$1,),))</f>
        <v/>
      </c>
      <c r="D2218">
        <f>IFERROR(Table73[[#This Row],[United States 10y]]-Table73[[#This Row],[United States 2y]],#N/A)</f>
        <v/>
      </c>
    </row>
    <row r="2219">
      <c r="A2219" s="6">
        <f>Database!A2218</f>
        <v/>
      </c>
      <c r="B2219">
        <f>IF(VLOOKUP(Table73[[#This Row],[Date]],Database!$A:$E,MATCH($B$1,Database!$A$1:$E$1,),)=0,#N/A,VLOOKUP(Table73[[#This Row],[Date]],Database!$A:$E,MATCH($B$1,Database!$A$1:$E$1,),))</f>
        <v/>
      </c>
      <c r="C2219">
        <f>IF(VLOOKUP(Table73[[#This Row],[Date]],Database!$A:$C,MATCH($C$1,Database!$A$1:$C$1,),)=0,#N/A,VLOOKUP(Table73[[#This Row],[Date]],Database!$A:$C,MATCH($C$1,Database!$A$1:$C$1,),))</f>
        <v/>
      </c>
      <c r="D2219">
        <f>IFERROR(Table73[[#This Row],[United States 10y]]-Table73[[#This Row],[United States 2y]],#N/A)</f>
        <v/>
      </c>
    </row>
    <row r="2220">
      <c r="A2220" s="6">
        <f>Database!A2219</f>
        <v/>
      </c>
      <c r="B2220">
        <f>IF(VLOOKUP(Table73[[#This Row],[Date]],Database!$A:$E,MATCH($B$1,Database!$A$1:$E$1,),)=0,#N/A,VLOOKUP(Table73[[#This Row],[Date]],Database!$A:$E,MATCH($B$1,Database!$A$1:$E$1,),))</f>
        <v/>
      </c>
      <c r="C2220">
        <f>IF(VLOOKUP(Table73[[#This Row],[Date]],Database!$A:$C,MATCH($C$1,Database!$A$1:$C$1,),)=0,#N/A,VLOOKUP(Table73[[#This Row],[Date]],Database!$A:$C,MATCH($C$1,Database!$A$1:$C$1,),))</f>
        <v/>
      </c>
      <c r="D2220">
        <f>IFERROR(Table73[[#This Row],[United States 10y]]-Table73[[#This Row],[United States 2y]],#N/A)</f>
        <v/>
      </c>
    </row>
    <row r="2221">
      <c r="A2221" s="6">
        <f>Database!A2220</f>
        <v/>
      </c>
      <c r="B2221">
        <f>IF(VLOOKUP(Table73[[#This Row],[Date]],Database!$A:$E,MATCH($B$1,Database!$A$1:$E$1,),)=0,#N/A,VLOOKUP(Table73[[#This Row],[Date]],Database!$A:$E,MATCH($B$1,Database!$A$1:$E$1,),))</f>
        <v/>
      </c>
      <c r="C2221">
        <f>IF(VLOOKUP(Table73[[#This Row],[Date]],Database!$A:$C,MATCH($C$1,Database!$A$1:$C$1,),)=0,#N/A,VLOOKUP(Table73[[#This Row],[Date]],Database!$A:$C,MATCH($C$1,Database!$A$1:$C$1,),))</f>
        <v/>
      </c>
      <c r="D2221">
        <f>IFERROR(Table73[[#This Row],[United States 10y]]-Table73[[#This Row],[United States 2y]],#N/A)</f>
        <v/>
      </c>
    </row>
    <row r="2222">
      <c r="A2222" s="6">
        <f>Database!A2221</f>
        <v/>
      </c>
      <c r="B2222">
        <f>IF(VLOOKUP(Table73[[#This Row],[Date]],Database!$A:$E,MATCH($B$1,Database!$A$1:$E$1,),)=0,#N/A,VLOOKUP(Table73[[#This Row],[Date]],Database!$A:$E,MATCH($B$1,Database!$A$1:$E$1,),))</f>
        <v/>
      </c>
      <c r="C2222">
        <f>IF(VLOOKUP(Table73[[#This Row],[Date]],Database!$A:$C,MATCH($C$1,Database!$A$1:$C$1,),)=0,#N/A,VLOOKUP(Table73[[#This Row],[Date]],Database!$A:$C,MATCH($C$1,Database!$A$1:$C$1,),))</f>
        <v/>
      </c>
      <c r="D2222">
        <f>IFERROR(Table73[[#This Row],[United States 10y]]-Table73[[#This Row],[United States 2y]],#N/A)</f>
        <v/>
      </c>
    </row>
    <row r="2223">
      <c r="A2223" s="6">
        <f>Database!A2222</f>
        <v/>
      </c>
      <c r="B2223">
        <f>IF(VLOOKUP(Table73[[#This Row],[Date]],Database!$A:$E,MATCH($B$1,Database!$A$1:$E$1,),)=0,#N/A,VLOOKUP(Table73[[#This Row],[Date]],Database!$A:$E,MATCH($B$1,Database!$A$1:$E$1,),))</f>
        <v/>
      </c>
      <c r="C2223">
        <f>IF(VLOOKUP(Table73[[#This Row],[Date]],Database!$A:$C,MATCH($C$1,Database!$A$1:$C$1,),)=0,#N/A,VLOOKUP(Table73[[#This Row],[Date]],Database!$A:$C,MATCH($C$1,Database!$A$1:$C$1,),))</f>
        <v/>
      </c>
      <c r="D2223">
        <f>IFERROR(Table73[[#This Row],[United States 10y]]-Table73[[#This Row],[United States 2y]],#N/A)</f>
        <v/>
      </c>
    </row>
    <row r="2224">
      <c r="A2224" s="6">
        <f>Database!A2223</f>
        <v/>
      </c>
      <c r="B2224">
        <f>IF(VLOOKUP(Table73[[#This Row],[Date]],Database!$A:$E,MATCH($B$1,Database!$A$1:$E$1,),)=0,#N/A,VLOOKUP(Table73[[#This Row],[Date]],Database!$A:$E,MATCH($B$1,Database!$A$1:$E$1,),))</f>
        <v/>
      </c>
      <c r="C2224">
        <f>IF(VLOOKUP(Table73[[#This Row],[Date]],Database!$A:$C,MATCH($C$1,Database!$A$1:$C$1,),)=0,#N/A,VLOOKUP(Table73[[#This Row],[Date]],Database!$A:$C,MATCH($C$1,Database!$A$1:$C$1,),))</f>
        <v/>
      </c>
      <c r="D2224">
        <f>IFERROR(Table73[[#This Row],[United States 10y]]-Table73[[#This Row],[United States 2y]],#N/A)</f>
        <v/>
      </c>
    </row>
    <row r="2225">
      <c r="A2225" s="6">
        <f>Database!A2224</f>
        <v/>
      </c>
      <c r="B2225">
        <f>IF(VLOOKUP(Table73[[#This Row],[Date]],Database!$A:$E,MATCH($B$1,Database!$A$1:$E$1,),)=0,#N/A,VLOOKUP(Table73[[#This Row],[Date]],Database!$A:$E,MATCH($B$1,Database!$A$1:$E$1,),))</f>
        <v/>
      </c>
      <c r="C2225">
        <f>IF(VLOOKUP(Table73[[#This Row],[Date]],Database!$A:$C,MATCH($C$1,Database!$A$1:$C$1,),)=0,#N/A,VLOOKUP(Table73[[#This Row],[Date]],Database!$A:$C,MATCH($C$1,Database!$A$1:$C$1,),))</f>
        <v/>
      </c>
      <c r="D2225">
        <f>IFERROR(Table73[[#This Row],[United States 10y]]-Table73[[#This Row],[United States 2y]],#N/A)</f>
        <v/>
      </c>
    </row>
    <row r="2226">
      <c r="A2226" s="6">
        <f>Database!A2225</f>
        <v/>
      </c>
      <c r="B2226">
        <f>IF(VLOOKUP(Table73[[#This Row],[Date]],Database!$A:$E,MATCH($B$1,Database!$A$1:$E$1,),)=0,#N/A,VLOOKUP(Table73[[#This Row],[Date]],Database!$A:$E,MATCH($B$1,Database!$A$1:$E$1,),))</f>
        <v/>
      </c>
      <c r="C2226">
        <f>IF(VLOOKUP(Table73[[#This Row],[Date]],Database!$A:$C,MATCH($C$1,Database!$A$1:$C$1,),)=0,#N/A,VLOOKUP(Table73[[#This Row],[Date]],Database!$A:$C,MATCH($C$1,Database!$A$1:$C$1,),))</f>
        <v/>
      </c>
      <c r="D2226">
        <f>IFERROR(Table73[[#This Row],[United States 10y]]-Table73[[#This Row],[United States 2y]],#N/A)</f>
        <v/>
      </c>
    </row>
    <row r="2227">
      <c r="A2227" s="6">
        <f>Database!A2226</f>
        <v/>
      </c>
      <c r="B2227">
        <f>IF(VLOOKUP(Table73[[#This Row],[Date]],Database!$A:$E,MATCH($B$1,Database!$A$1:$E$1,),)=0,#N/A,VLOOKUP(Table73[[#This Row],[Date]],Database!$A:$E,MATCH($B$1,Database!$A$1:$E$1,),))</f>
        <v/>
      </c>
      <c r="C2227">
        <f>IF(VLOOKUP(Table73[[#This Row],[Date]],Database!$A:$C,MATCH($C$1,Database!$A$1:$C$1,),)=0,#N/A,VLOOKUP(Table73[[#This Row],[Date]],Database!$A:$C,MATCH($C$1,Database!$A$1:$C$1,),))</f>
        <v/>
      </c>
      <c r="D2227">
        <f>IFERROR(Table73[[#This Row],[United States 10y]]-Table73[[#This Row],[United States 2y]],#N/A)</f>
        <v/>
      </c>
    </row>
    <row r="2228">
      <c r="A2228" s="6">
        <f>Database!A2227</f>
        <v/>
      </c>
      <c r="B2228">
        <f>IF(VLOOKUP(Table73[[#This Row],[Date]],Database!$A:$E,MATCH($B$1,Database!$A$1:$E$1,),)=0,#N/A,VLOOKUP(Table73[[#This Row],[Date]],Database!$A:$E,MATCH($B$1,Database!$A$1:$E$1,),))</f>
        <v/>
      </c>
      <c r="C2228">
        <f>IF(VLOOKUP(Table73[[#This Row],[Date]],Database!$A:$C,MATCH($C$1,Database!$A$1:$C$1,),)=0,#N/A,VLOOKUP(Table73[[#This Row],[Date]],Database!$A:$C,MATCH($C$1,Database!$A$1:$C$1,),))</f>
        <v/>
      </c>
      <c r="D2228">
        <f>IFERROR(Table73[[#This Row],[United States 10y]]-Table73[[#This Row],[United States 2y]],#N/A)</f>
        <v/>
      </c>
    </row>
    <row r="2229">
      <c r="A2229" s="6">
        <f>Database!A2228</f>
        <v/>
      </c>
      <c r="B2229">
        <f>IF(VLOOKUP(Table73[[#This Row],[Date]],Database!$A:$E,MATCH($B$1,Database!$A$1:$E$1,),)=0,#N/A,VLOOKUP(Table73[[#This Row],[Date]],Database!$A:$E,MATCH($B$1,Database!$A$1:$E$1,),))</f>
        <v/>
      </c>
      <c r="C2229">
        <f>IF(VLOOKUP(Table73[[#This Row],[Date]],Database!$A:$C,MATCH($C$1,Database!$A$1:$C$1,),)=0,#N/A,VLOOKUP(Table73[[#This Row],[Date]],Database!$A:$C,MATCH($C$1,Database!$A$1:$C$1,),))</f>
        <v/>
      </c>
      <c r="D2229">
        <f>IFERROR(Table73[[#This Row],[United States 10y]]-Table73[[#This Row],[United States 2y]],#N/A)</f>
        <v/>
      </c>
    </row>
    <row r="2230">
      <c r="A2230" s="6">
        <f>Database!A2229</f>
        <v/>
      </c>
      <c r="B2230">
        <f>IF(VLOOKUP(Table73[[#This Row],[Date]],Database!$A:$E,MATCH($B$1,Database!$A$1:$E$1,),)=0,#N/A,VLOOKUP(Table73[[#This Row],[Date]],Database!$A:$E,MATCH($B$1,Database!$A$1:$E$1,),))</f>
        <v/>
      </c>
      <c r="C2230">
        <f>IF(VLOOKUP(Table73[[#This Row],[Date]],Database!$A:$C,MATCH($C$1,Database!$A$1:$C$1,),)=0,#N/A,VLOOKUP(Table73[[#This Row],[Date]],Database!$A:$C,MATCH($C$1,Database!$A$1:$C$1,),))</f>
        <v/>
      </c>
      <c r="D2230">
        <f>IFERROR(Table73[[#This Row],[United States 10y]]-Table73[[#This Row],[United States 2y]],#N/A)</f>
        <v/>
      </c>
    </row>
    <row r="2231">
      <c r="A2231" s="6">
        <f>Database!A2230</f>
        <v/>
      </c>
      <c r="B2231">
        <f>IF(VLOOKUP(Table73[[#This Row],[Date]],Database!$A:$E,MATCH($B$1,Database!$A$1:$E$1,),)=0,#N/A,VLOOKUP(Table73[[#This Row],[Date]],Database!$A:$E,MATCH($B$1,Database!$A$1:$E$1,),))</f>
        <v/>
      </c>
      <c r="C2231">
        <f>IF(VLOOKUP(Table73[[#This Row],[Date]],Database!$A:$C,MATCH($C$1,Database!$A$1:$C$1,),)=0,#N/A,VLOOKUP(Table73[[#This Row],[Date]],Database!$A:$C,MATCH($C$1,Database!$A$1:$C$1,),))</f>
        <v/>
      </c>
      <c r="D2231">
        <f>IFERROR(Table73[[#This Row],[United States 10y]]-Table73[[#This Row],[United States 2y]],#N/A)</f>
        <v/>
      </c>
    </row>
    <row r="2232">
      <c r="A2232" s="6">
        <f>Database!A2231</f>
        <v/>
      </c>
      <c r="B2232">
        <f>IF(VLOOKUP(Table73[[#This Row],[Date]],Database!$A:$E,MATCH($B$1,Database!$A$1:$E$1,),)=0,#N/A,VLOOKUP(Table73[[#This Row],[Date]],Database!$A:$E,MATCH($B$1,Database!$A$1:$E$1,),))</f>
        <v/>
      </c>
      <c r="C2232">
        <f>IF(VLOOKUP(Table73[[#This Row],[Date]],Database!$A:$C,MATCH($C$1,Database!$A$1:$C$1,),)=0,#N/A,VLOOKUP(Table73[[#This Row],[Date]],Database!$A:$C,MATCH($C$1,Database!$A$1:$C$1,),))</f>
        <v/>
      </c>
      <c r="D2232">
        <f>IFERROR(Table73[[#This Row],[United States 10y]]-Table73[[#This Row],[United States 2y]],#N/A)</f>
        <v/>
      </c>
    </row>
    <row r="2233">
      <c r="A2233" s="6">
        <f>Database!A2232</f>
        <v/>
      </c>
      <c r="B2233">
        <f>IF(VLOOKUP(Table73[[#This Row],[Date]],Database!$A:$E,MATCH($B$1,Database!$A$1:$E$1,),)=0,#N/A,VLOOKUP(Table73[[#This Row],[Date]],Database!$A:$E,MATCH($B$1,Database!$A$1:$E$1,),))</f>
        <v/>
      </c>
      <c r="C2233">
        <f>IF(VLOOKUP(Table73[[#This Row],[Date]],Database!$A:$C,MATCH($C$1,Database!$A$1:$C$1,),)=0,#N/A,VLOOKUP(Table73[[#This Row],[Date]],Database!$A:$C,MATCH($C$1,Database!$A$1:$C$1,),))</f>
        <v/>
      </c>
      <c r="D2233">
        <f>IFERROR(Table73[[#This Row],[United States 10y]]-Table73[[#This Row],[United States 2y]],#N/A)</f>
        <v/>
      </c>
    </row>
    <row r="2234">
      <c r="A2234" s="6">
        <f>Database!A2233</f>
        <v/>
      </c>
      <c r="B2234">
        <f>IF(VLOOKUP(Table73[[#This Row],[Date]],Database!$A:$E,MATCH($B$1,Database!$A$1:$E$1,),)=0,#N/A,VLOOKUP(Table73[[#This Row],[Date]],Database!$A:$E,MATCH($B$1,Database!$A$1:$E$1,),))</f>
        <v/>
      </c>
      <c r="C2234">
        <f>IF(VLOOKUP(Table73[[#This Row],[Date]],Database!$A:$C,MATCH($C$1,Database!$A$1:$C$1,),)=0,#N/A,VLOOKUP(Table73[[#This Row],[Date]],Database!$A:$C,MATCH($C$1,Database!$A$1:$C$1,),))</f>
        <v/>
      </c>
      <c r="D2234">
        <f>IFERROR(Table73[[#This Row],[United States 10y]]-Table73[[#This Row],[United States 2y]],#N/A)</f>
        <v/>
      </c>
    </row>
    <row r="2235">
      <c r="A2235" s="6">
        <f>Database!A2234</f>
        <v/>
      </c>
      <c r="B2235">
        <f>IF(VLOOKUP(Table73[[#This Row],[Date]],Database!$A:$E,MATCH($B$1,Database!$A$1:$E$1,),)=0,#N/A,VLOOKUP(Table73[[#This Row],[Date]],Database!$A:$E,MATCH($B$1,Database!$A$1:$E$1,),))</f>
        <v/>
      </c>
      <c r="C2235">
        <f>IF(VLOOKUP(Table73[[#This Row],[Date]],Database!$A:$C,MATCH($C$1,Database!$A$1:$C$1,),)=0,#N/A,VLOOKUP(Table73[[#This Row],[Date]],Database!$A:$C,MATCH($C$1,Database!$A$1:$C$1,),))</f>
        <v/>
      </c>
      <c r="D2235">
        <f>IFERROR(Table73[[#This Row],[United States 10y]]-Table73[[#This Row],[United States 2y]],#N/A)</f>
        <v/>
      </c>
    </row>
    <row r="2236">
      <c r="A2236" s="6">
        <f>Database!A2235</f>
        <v/>
      </c>
      <c r="B2236">
        <f>IF(VLOOKUP(Table73[[#This Row],[Date]],Database!$A:$E,MATCH($B$1,Database!$A$1:$E$1,),)=0,#N/A,VLOOKUP(Table73[[#This Row],[Date]],Database!$A:$E,MATCH($B$1,Database!$A$1:$E$1,),))</f>
        <v/>
      </c>
      <c r="C2236">
        <f>IF(VLOOKUP(Table73[[#This Row],[Date]],Database!$A:$C,MATCH($C$1,Database!$A$1:$C$1,),)=0,#N/A,VLOOKUP(Table73[[#This Row],[Date]],Database!$A:$C,MATCH($C$1,Database!$A$1:$C$1,),))</f>
        <v/>
      </c>
      <c r="D2236">
        <f>IFERROR(Table73[[#This Row],[United States 10y]]-Table73[[#This Row],[United States 2y]],#N/A)</f>
        <v/>
      </c>
    </row>
    <row r="2237">
      <c r="A2237" s="6">
        <f>Database!A2236</f>
        <v/>
      </c>
      <c r="B2237">
        <f>IF(VLOOKUP(Table73[[#This Row],[Date]],Database!$A:$E,MATCH($B$1,Database!$A$1:$E$1,),)=0,#N/A,VLOOKUP(Table73[[#This Row],[Date]],Database!$A:$E,MATCH($B$1,Database!$A$1:$E$1,),))</f>
        <v/>
      </c>
      <c r="C2237">
        <f>IF(VLOOKUP(Table73[[#This Row],[Date]],Database!$A:$C,MATCH($C$1,Database!$A$1:$C$1,),)=0,#N/A,VLOOKUP(Table73[[#This Row],[Date]],Database!$A:$C,MATCH($C$1,Database!$A$1:$C$1,),))</f>
        <v/>
      </c>
      <c r="D2237">
        <f>IFERROR(Table73[[#This Row],[United States 10y]]-Table73[[#This Row],[United States 2y]],#N/A)</f>
        <v/>
      </c>
    </row>
    <row r="2238">
      <c r="A2238" s="6">
        <f>Database!A2237</f>
        <v/>
      </c>
      <c r="B2238">
        <f>IF(VLOOKUP(Table73[[#This Row],[Date]],Database!$A:$E,MATCH($B$1,Database!$A$1:$E$1,),)=0,#N/A,VLOOKUP(Table73[[#This Row],[Date]],Database!$A:$E,MATCH($B$1,Database!$A$1:$E$1,),))</f>
        <v/>
      </c>
      <c r="C2238">
        <f>IF(VLOOKUP(Table73[[#This Row],[Date]],Database!$A:$C,MATCH($C$1,Database!$A$1:$C$1,),)=0,#N/A,VLOOKUP(Table73[[#This Row],[Date]],Database!$A:$C,MATCH($C$1,Database!$A$1:$C$1,),))</f>
        <v/>
      </c>
      <c r="D2238">
        <f>IFERROR(Table73[[#This Row],[United States 10y]]-Table73[[#This Row],[United States 2y]],#N/A)</f>
        <v/>
      </c>
    </row>
    <row r="2239">
      <c r="A2239" s="6">
        <f>Database!A2238</f>
        <v/>
      </c>
      <c r="B2239">
        <f>IF(VLOOKUP(Table73[[#This Row],[Date]],Database!$A:$E,MATCH($B$1,Database!$A$1:$E$1,),)=0,#N/A,VLOOKUP(Table73[[#This Row],[Date]],Database!$A:$E,MATCH($B$1,Database!$A$1:$E$1,),))</f>
        <v/>
      </c>
      <c r="C2239">
        <f>IF(VLOOKUP(Table73[[#This Row],[Date]],Database!$A:$C,MATCH($C$1,Database!$A$1:$C$1,),)=0,#N/A,VLOOKUP(Table73[[#This Row],[Date]],Database!$A:$C,MATCH($C$1,Database!$A$1:$C$1,),))</f>
        <v/>
      </c>
      <c r="D2239">
        <f>IFERROR(Table73[[#This Row],[United States 10y]]-Table73[[#This Row],[United States 2y]],#N/A)</f>
        <v/>
      </c>
    </row>
    <row r="2240">
      <c r="A2240" s="6">
        <f>Database!A2239</f>
        <v/>
      </c>
      <c r="B2240">
        <f>IF(VLOOKUP(Table73[[#This Row],[Date]],Database!$A:$E,MATCH($B$1,Database!$A$1:$E$1,),)=0,#N/A,VLOOKUP(Table73[[#This Row],[Date]],Database!$A:$E,MATCH($B$1,Database!$A$1:$E$1,),))</f>
        <v/>
      </c>
      <c r="C2240">
        <f>IF(VLOOKUP(Table73[[#This Row],[Date]],Database!$A:$C,MATCH($C$1,Database!$A$1:$C$1,),)=0,#N/A,VLOOKUP(Table73[[#This Row],[Date]],Database!$A:$C,MATCH($C$1,Database!$A$1:$C$1,),))</f>
        <v/>
      </c>
      <c r="D2240">
        <f>IFERROR(Table73[[#This Row],[United States 10y]]-Table73[[#This Row],[United States 2y]],#N/A)</f>
        <v/>
      </c>
    </row>
    <row r="2241">
      <c r="A2241" s="6">
        <f>Database!A2240</f>
        <v/>
      </c>
      <c r="B2241">
        <f>IF(VLOOKUP(Table73[[#This Row],[Date]],Database!$A:$E,MATCH($B$1,Database!$A$1:$E$1,),)=0,#N/A,VLOOKUP(Table73[[#This Row],[Date]],Database!$A:$E,MATCH($B$1,Database!$A$1:$E$1,),))</f>
        <v/>
      </c>
      <c r="C2241">
        <f>IF(VLOOKUP(Table73[[#This Row],[Date]],Database!$A:$C,MATCH($C$1,Database!$A$1:$C$1,),)=0,#N/A,VLOOKUP(Table73[[#This Row],[Date]],Database!$A:$C,MATCH($C$1,Database!$A$1:$C$1,),))</f>
        <v/>
      </c>
      <c r="D2241">
        <f>IFERROR(Table73[[#This Row],[United States 10y]]-Table73[[#This Row],[United States 2y]],#N/A)</f>
        <v/>
      </c>
    </row>
    <row r="2242">
      <c r="A2242" s="6">
        <f>Database!A2241</f>
        <v/>
      </c>
      <c r="B2242">
        <f>IF(VLOOKUP(Table73[[#This Row],[Date]],Database!$A:$E,MATCH($B$1,Database!$A$1:$E$1,),)=0,#N/A,VLOOKUP(Table73[[#This Row],[Date]],Database!$A:$E,MATCH($B$1,Database!$A$1:$E$1,),))</f>
        <v/>
      </c>
      <c r="C2242">
        <f>IF(VLOOKUP(Table73[[#This Row],[Date]],Database!$A:$C,MATCH($C$1,Database!$A$1:$C$1,),)=0,#N/A,VLOOKUP(Table73[[#This Row],[Date]],Database!$A:$C,MATCH($C$1,Database!$A$1:$C$1,),))</f>
        <v/>
      </c>
      <c r="D2242">
        <f>IFERROR(Table73[[#This Row],[United States 10y]]-Table73[[#This Row],[United States 2y]],#N/A)</f>
        <v/>
      </c>
    </row>
    <row r="2243">
      <c r="A2243" s="6">
        <f>Database!A2242</f>
        <v/>
      </c>
      <c r="B2243">
        <f>IF(VLOOKUP(Table73[[#This Row],[Date]],Database!$A:$E,MATCH($B$1,Database!$A$1:$E$1,),)=0,#N/A,VLOOKUP(Table73[[#This Row],[Date]],Database!$A:$E,MATCH($B$1,Database!$A$1:$E$1,),))</f>
        <v/>
      </c>
      <c r="C2243">
        <f>IF(VLOOKUP(Table73[[#This Row],[Date]],Database!$A:$C,MATCH($C$1,Database!$A$1:$C$1,),)=0,#N/A,VLOOKUP(Table73[[#This Row],[Date]],Database!$A:$C,MATCH($C$1,Database!$A$1:$C$1,),))</f>
        <v/>
      </c>
      <c r="D2243">
        <f>IFERROR(Table73[[#This Row],[United States 10y]]-Table73[[#This Row],[United States 2y]],#N/A)</f>
        <v/>
      </c>
    </row>
    <row r="2244">
      <c r="A2244" s="6">
        <f>Database!A2243</f>
        <v/>
      </c>
      <c r="B2244">
        <f>IF(VLOOKUP(Table73[[#This Row],[Date]],Database!$A:$E,MATCH($B$1,Database!$A$1:$E$1,),)=0,#N/A,VLOOKUP(Table73[[#This Row],[Date]],Database!$A:$E,MATCH($B$1,Database!$A$1:$E$1,),))</f>
        <v/>
      </c>
      <c r="C2244">
        <f>IF(VLOOKUP(Table73[[#This Row],[Date]],Database!$A:$C,MATCH($C$1,Database!$A$1:$C$1,),)=0,#N/A,VLOOKUP(Table73[[#This Row],[Date]],Database!$A:$C,MATCH($C$1,Database!$A$1:$C$1,),))</f>
        <v/>
      </c>
      <c r="D2244">
        <f>IFERROR(Table73[[#This Row],[United States 10y]]-Table73[[#This Row],[United States 2y]],#N/A)</f>
        <v/>
      </c>
    </row>
    <row r="2245">
      <c r="A2245" s="6">
        <f>Database!A2244</f>
        <v/>
      </c>
      <c r="B2245">
        <f>IF(VLOOKUP(Table73[[#This Row],[Date]],Database!$A:$E,MATCH($B$1,Database!$A$1:$E$1,),)=0,#N/A,VLOOKUP(Table73[[#This Row],[Date]],Database!$A:$E,MATCH($B$1,Database!$A$1:$E$1,),))</f>
        <v/>
      </c>
      <c r="C2245">
        <f>IF(VLOOKUP(Table73[[#This Row],[Date]],Database!$A:$C,MATCH($C$1,Database!$A$1:$C$1,),)=0,#N/A,VLOOKUP(Table73[[#This Row],[Date]],Database!$A:$C,MATCH($C$1,Database!$A$1:$C$1,),))</f>
        <v/>
      </c>
      <c r="D2245">
        <f>IFERROR(Table73[[#This Row],[United States 10y]]-Table73[[#This Row],[United States 2y]],#N/A)</f>
        <v/>
      </c>
    </row>
    <row r="2246">
      <c r="A2246" s="6">
        <f>Database!A2245</f>
        <v/>
      </c>
      <c r="B2246">
        <f>IF(VLOOKUP(Table73[[#This Row],[Date]],Database!$A:$E,MATCH($B$1,Database!$A$1:$E$1,),)=0,#N/A,VLOOKUP(Table73[[#This Row],[Date]],Database!$A:$E,MATCH($B$1,Database!$A$1:$E$1,),))</f>
        <v/>
      </c>
      <c r="C2246">
        <f>IF(VLOOKUP(Table73[[#This Row],[Date]],Database!$A:$C,MATCH($C$1,Database!$A$1:$C$1,),)=0,#N/A,VLOOKUP(Table73[[#This Row],[Date]],Database!$A:$C,MATCH($C$1,Database!$A$1:$C$1,),))</f>
        <v/>
      </c>
      <c r="D2246">
        <f>IFERROR(Table73[[#This Row],[United States 10y]]-Table73[[#This Row],[United States 2y]],#N/A)</f>
        <v/>
      </c>
    </row>
    <row r="2247">
      <c r="A2247" s="6">
        <f>Database!A2246</f>
        <v/>
      </c>
      <c r="B2247">
        <f>IF(VLOOKUP(Table73[[#This Row],[Date]],Database!$A:$E,MATCH($B$1,Database!$A$1:$E$1,),)=0,#N/A,VLOOKUP(Table73[[#This Row],[Date]],Database!$A:$E,MATCH($B$1,Database!$A$1:$E$1,),))</f>
        <v/>
      </c>
      <c r="C2247">
        <f>IF(VLOOKUP(Table73[[#This Row],[Date]],Database!$A:$C,MATCH($C$1,Database!$A$1:$C$1,),)=0,#N/A,VLOOKUP(Table73[[#This Row],[Date]],Database!$A:$C,MATCH($C$1,Database!$A$1:$C$1,),))</f>
        <v/>
      </c>
      <c r="D2247">
        <f>IFERROR(Table73[[#This Row],[United States 10y]]-Table73[[#This Row],[United States 2y]],#N/A)</f>
        <v/>
      </c>
    </row>
    <row r="2248">
      <c r="A2248" s="6">
        <f>Database!A2247</f>
        <v/>
      </c>
      <c r="B2248">
        <f>IF(VLOOKUP(Table73[[#This Row],[Date]],Database!$A:$E,MATCH($B$1,Database!$A$1:$E$1,),)=0,#N/A,VLOOKUP(Table73[[#This Row],[Date]],Database!$A:$E,MATCH($B$1,Database!$A$1:$E$1,),))</f>
        <v/>
      </c>
      <c r="C2248">
        <f>IF(VLOOKUP(Table73[[#This Row],[Date]],Database!$A:$C,MATCH($C$1,Database!$A$1:$C$1,),)=0,#N/A,VLOOKUP(Table73[[#This Row],[Date]],Database!$A:$C,MATCH($C$1,Database!$A$1:$C$1,),))</f>
        <v/>
      </c>
      <c r="D2248">
        <f>IFERROR(Table73[[#This Row],[United States 10y]]-Table73[[#This Row],[United States 2y]],#N/A)</f>
        <v/>
      </c>
    </row>
    <row r="2249">
      <c r="A2249" s="6">
        <f>Database!A2248</f>
        <v/>
      </c>
      <c r="B2249">
        <f>IF(VLOOKUP(Table73[[#This Row],[Date]],Database!$A:$E,MATCH($B$1,Database!$A$1:$E$1,),)=0,#N/A,VLOOKUP(Table73[[#This Row],[Date]],Database!$A:$E,MATCH($B$1,Database!$A$1:$E$1,),))</f>
        <v/>
      </c>
      <c r="C2249">
        <f>IF(VLOOKUP(Table73[[#This Row],[Date]],Database!$A:$C,MATCH($C$1,Database!$A$1:$C$1,),)=0,#N/A,VLOOKUP(Table73[[#This Row],[Date]],Database!$A:$C,MATCH($C$1,Database!$A$1:$C$1,),))</f>
        <v/>
      </c>
      <c r="D2249">
        <f>IFERROR(Table73[[#This Row],[United States 10y]]-Table73[[#This Row],[United States 2y]],#N/A)</f>
        <v/>
      </c>
    </row>
    <row r="2250">
      <c r="A2250" s="6">
        <f>Database!A2249</f>
        <v/>
      </c>
      <c r="B2250">
        <f>IF(VLOOKUP(Table73[[#This Row],[Date]],Database!$A:$E,MATCH($B$1,Database!$A$1:$E$1,),)=0,#N/A,VLOOKUP(Table73[[#This Row],[Date]],Database!$A:$E,MATCH($B$1,Database!$A$1:$E$1,),))</f>
        <v/>
      </c>
      <c r="C2250">
        <f>IF(VLOOKUP(Table73[[#This Row],[Date]],Database!$A:$C,MATCH($C$1,Database!$A$1:$C$1,),)=0,#N/A,VLOOKUP(Table73[[#This Row],[Date]],Database!$A:$C,MATCH($C$1,Database!$A$1:$C$1,),))</f>
        <v/>
      </c>
      <c r="D2250">
        <f>IFERROR(Table73[[#This Row],[United States 10y]]-Table73[[#This Row],[United States 2y]],#N/A)</f>
        <v/>
      </c>
    </row>
    <row r="2251">
      <c r="A2251" s="6">
        <f>Database!A2250</f>
        <v/>
      </c>
      <c r="B2251">
        <f>IF(VLOOKUP(Table73[[#This Row],[Date]],Database!$A:$E,MATCH($B$1,Database!$A$1:$E$1,),)=0,#N/A,VLOOKUP(Table73[[#This Row],[Date]],Database!$A:$E,MATCH($B$1,Database!$A$1:$E$1,),))</f>
        <v/>
      </c>
      <c r="C2251">
        <f>IF(VLOOKUP(Table73[[#This Row],[Date]],Database!$A:$C,MATCH($C$1,Database!$A$1:$C$1,),)=0,#N/A,VLOOKUP(Table73[[#This Row],[Date]],Database!$A:$C,MATCH($C$1,Database!$A$1:$C$1,),))</f>
        <v/>
      </c>
      <c r="D2251">
        <f>IFERROR(Table73[[#This Row],[United States 10y]]-Table73[[#This Row],[United States 2y]],#N/A)</f>
        <v/>
      </c>
    </row>
    <row r="2252">
      <c r="A2252" s="6">
        <f>Database!A2251</f>
        <v/>
      </c>
      <c r="B2252">
        <f>IF(VLOOKUP(Table73[[#This Row],[Date]],Database!$A:$E,MATCH($B$1,Database!$A$1:$E$1,),)=0,#N/A,VLOOKUP(Table73[[#This Row],[Date]],Database!$A:$E,MATCH($B$1,Database!$A$1:$E$1,),))</f>
        <v/>
      </c>
      <c r="C2252">
        <f>IF(VLOOKUP(Table73[[#This Row],[Date]],Database!$A:$C,MATCH($C$1,Database!$A$1:$C$1,),)=0,#N/A,VLOOKUP(Table73[[#This Row],[Date]],Database!$A:$C,MATCH($C$1,Database!$A$1:$C$1,),))</f>
        <v/>
      </c>
      <c r="D2252">
        <f>IFERROR(Table73[[#This Row],[United States 10y]]-Table73[[#This Row],[United States 2y]],#N/A)</f>
        <v/>
      </c>
    </row>
    <row r="2253">
      <c r="A2253" s="6">
        <f>Database!A2252</f>
        <v/>
      </c>
      <c r="B2253">
        <f>IF(VLOOKUP(Table73[[#This Row],[Date]],Database!$A:$E,MATCH($B$1,Database!$A$1:$E$1,),)=0,#N/A,VLOOKUP(Table73[[#This Row],[Date]],Database!$A:$E,MATCH($B$1,Database!$A$1:$E$1,),))</f>
        <v/>
      </c>
      <c r="C2253">
        <f>IF(VLOOKUP(Table73[[#This Row],[Date]],Database!$A:$C,MATCH($C$1,Database!$A$1:$C$1,),)=0,#N/A,VLOOKUP(Table73[[#This Row],[Date]],Database!$A:$C,MATCH($C$1,Database!$A$1:$C$1,),))</f>
        <v/>
      </c>
      <c r="D2253">
        <f>IFERROR(Table73[[#This Row],[United States 10y]]-Table73[[#This Row],[United States 2y]],#N/A)</f>
        <v/>
      </c>
    </row>
    <row r="2254">
      <c r="A2254" s="6">
        <f>Database!A2253</f>
        <v/>
      </c>
      <c r="B2254">
        <f>IF(VLOOKUP(Table73[[#This Row],[Date]],Database!$A:$E,MATCH($B$1,Database!$A$1:$E$1,),)=0,#N/A,VLOOKUP(Table73[[#This Row],[Date]],Database!$A:$E,MATCH($B$1,Database!$A$1:$E$1,),))</f>
        <v/>
      </c>
      <c r="C2254">
        <f>IF(VLOOKUP(Table73[[#This Row],[Date]],Database!$A:$C,MATCH($C$1,Database!$A$1:$C$1,),)=0,#N/A,VLOOKUP(Table73[[#This Row],[Date]],Database!$A:$C,MATCH($C$1,Database!$A$1:$C$1,),))</f>
        <v/>
      </c>
      <c r="D2254">
        <f>IFERROR(Table73[[#This Row],[United States 10y]]-Table73[[#This Row],[United States 2y]],#N/A)</f>
        <v/>
      </c>
    </row>
    <row r="2255">
      <c r="A2255" s="6">
        <f>Database!A2254</f>
        <v/>
      </c>
      <c r="B2255">
        <f>IF(VLOOKUP(Table73[[#This Row],[Date]],Database!$A:$E,MATCH($B$1,Database!$A$1:$E$1,),)=0,#N/A,VLOOKUP(Table73[[#This Row],[Date]],Database!$A:$E,MATCH($B$1,Database!$A$1:$E$1,),))</f>
        <v/>
      </c>
      <c r="C2255">
        <f>IF(VLOOKUP(Table73[[#This Row],[Date]],Database!$A:$C,MATCH($C$1,Database!$A$1:$C$1,),)=0,#N/A,VLOOKUP(Table73[[#This Row],[Date]],Database!$A:$C,MATCH($C$1,Database!$A$1:$C$1,),))</f>
        <v/>
      </c>
      <c r="D2255">
        <f>IFERROR(Table73[[#This Row],[United States 10y]]-Table73[[#This Row],[United States 2y]],#N/A)</f>
        <v/>
      </c>
    </row>
    <row r="2256">
      <c r="A2256" s="6">
        <f>Database!A2255</f>
        <v/>
      </c>
      <c r="B2256">
        <f>IF(VLOOKUP(Table73[[#This Row],[Date]],Database!$A:$E,MATCH($B$1,Database!$A$1:$E$1,),)=0,#N/A,VLOOKUP(Table73[[#This Row],[Date]],Database!$A:$E,MATCH($B$1,Database!$A$1:$E$1,),))</f>
        <v/>
      </c>
      <c r="C2256">
        <f>IF(VLOOKUP(Table73[[#This Row],[Date]],Database!$A:$C,MATCH($C$1,Database!$A$1:$C$1,),)=0,#N/A,VLOOKUP(Table73[[#This Row],[Date]],Database!$A:$C,MATCH($C$1,Database!$A$1:$C$1,),))</f>
        <v/>
      </c>
      <c r="D2256">
        <f>IFERROR(Table73[[#This Row],[United States 10y]]-Table73[[#This Row],[United States 2y]],#N/A)</f>
        <v/>
      </c>
    </row>
    <row r="2257">
      <c r="A2257" s="6">
        <f>Database!A2256</f>
        <v/>
      </c>
      <c r="B2257">
        <f>IF(VLOOKUP(Table73[[#This Row],[Date]],Database!$A:$E,MATCH($B$1,Database!$A$1:$E$1,),)=0,#N/A,VLOOKUP(Table73[[#This Row],[Date]],Database!$A:$E,MATCH($B$1,Database!$A$1:$E$1,),))</f>
        <v/>
      </c>
      <c r="C2257">
        <f>IF(VLOOKUP(Table73[[#This Row],[Date]],Database!$A:$C,MATCH($C$1,Database!$A$1:$C$1,),)=0,#N/A,VLOOKUP(Table73[[#This Row],[Date]],Database!$A:$C,MATCH($C$1,Database!$A$1:$C$1,),))</f>
        <v/>
      </c>
      <c r="D2257">
        <f>IFERROR(Table73[[#This Row],[United States 10y]]-Table73[[#This Row],[United States 2y]],#N/A)</f>
        <v/>
      </c>
    </row>
    <row r="2258">
      <c r="A2258" s="6">
        <f>Database!A2257</f>
        <v/>
      </c>
      <c r="B2258">
        <f>IF(VLOOKUP(Table73[[#This Row],[Date]],Database!$A:$E,MATCH($B$1,Database!$A$1:$E$1,),)=0,#N/A,VLOOKUP(Table73[[#This Row],[Date]],Database!$A:$E,MATCH($B$1,Database!$A$1:$E$1,),))</f>
        <v/>
      </c>
      <c r="C2258">
        <f>IF(VLOOKUP(Table73[[#This Row],[Date]],Database!$A:$C,MATCH($C$1,Database!$A$1:$C$1,),)=0,#N/A,VLOOKUP(Table73[[#This Row],[Date]],Database!$A:$C,MATCH($C$1,Database!$A$1:$C$1,),))</f>
        <v/>
      </c>
      <c r="D2258">
        <f>IFERROR(Table73[[#This Row],[United States 10y]]-Table73[[#This Row],[United States 2y]],#N/A)</f>
        <v/>
      </c>
    </row>
    <row r="2259">
      <c r="A2259" s="6">
        <f>Database!A2258</f>
        <v/>
      </c>
      <c r="B2259">
        <f>IF(VLOOKUP(Table73[[#This Row],[Date]],Database!$A:$E,MATCH($B$1,Database!$A$1:$E$1,),)=0,#N/A,VLOOKUP(Table73[[#This Row],[Date]],Database!$A:$E,MATCH($B$1,Database!$A$1:$E$1,),))</f>
        <v/>
      </c>
      <c r="C2259">
        <f>IF(VLOOKUP(Table73[[#This Row],[Date]],Database!$A:$C,MATCH($C$1,Database!$A$1:$C$1,),)=0,#N/A,VLOOKUP(Table73[[#This Row],[Date]],Database!$A:$C,MATCH($C$1,Database!$A$1:$C$1,),))</f>
        <v/>
      </c>
      <c r="D2259">
        <f>IFERROR(Table73[[#This Row],[United States 10y]]-Table73[[#This Row],[United States 2y]],#N/A)</f>
        <v/>
      </c>
    </row>
    <row r="2260">
      <c r="A2260" s="6">
        <f>Database!A2259</f>
        <v/>
      </c>
      <c r="B2260">
        <f>IF(VLOOKUP(Table73[[#This Row],[Date]],Database!$A:$E,MATCH($B$1,Database!$A$1:$E$1,),)=0,#N/A,VLOOKUP(Table73[[#This Row],[Date]],Database!$A:$E,MATCH($B$1,Database!$A$1:$E$1,),))</f>
        <v/>
      </c>
      <c r="C2260">
        <f>IF(VLOOKUP(Table73[[#This Row],[Date]],Database!$A:$C,MATCH($C$1,Database!$A$1:$C$1,),)=0,#N/A,VLOOKUP(Table73[[#This Row],[Date]],Database!$A:$C,MATCH($C$1,Database!$A$1:$C$1,),))</f>
        <v/>
      </c>
      <c r="D2260">
        <f>IFERROR(Table73[[#This Row],[United States 10y]]-Table73[[#This Row],[United States 2y]],#N/A)</f>
        <v/>
      </c>
    </row>
    <row r="2261">
      <c r="A2261" s="6">
        <f>Database!A2260</f>
        <v/>
      </c>
      <c r="B2261">
        <f>IF(VLOOKUP(Table73[[#This Row],[Date]],Database!$A:$E,MATCH($B$1,Database!$A$1:$E$1,),)=0,#N/A,VLOOKUP(Table73[[#This Row],[Date]],Database!$A:$E,MATCH($B$1,Database!$A$1:$E$1,),))</f>
        <v/>
      </c>
      <c r="C2261">
        <f>IF(VLOOKUP(Table73[[#This Row],[Date]],Database!$A:$C,MATCH($C$1,Database!$A$1:$C$1,),)=0,#N/A,VLOOKUP(Table73[[#This Row],[Date]],Database!$A:$C,MATCH($C$1,Database!$A$1:$C$1,),))</f>
        <v/>
      </c>
      <c r="D2261">
        <f>IFERROR(Table73[[#This Row],[United States 10y]]-Table73[[#This Row],[United States 2y]],#N/A)</f>
        <v/>
      </c>
    </row>
    <row r="2262">
      <c r="A2262" s="6">
        <f>Database!A2261</f>
        <v/>
      </c>
      <c r="B2262">
        <f>IF(VLOOKUP(Table73[[#This Row],[Date]],Database!$A:$E,MATCH($B$1,Database!$A$1:$E$1,),)=0,#N/A,VLOOKUP(Table73[[#This Row],[Date]],Database!$A:$E,MATCH($B$1,Database!$A$1:$E$1,),))</f>
        <v/>
      </c>
      <c r="C2262">
        <f>IF(VLOOKUP(Table73[[#This Row],[Date]],Database!$A:$C,MATCH($C$1,Database!$A$1:$C$1,),)=0,#N/A,VLOOKUP(Table73[[#This Row],[Date]],Database!$A:$C,MATCH($C$1,Database!$A$1:$C$1,),))</f>
        <v/>
      </c>
      <c r="D2262">
        <f>IFERROR(Table73[[#This Row],[United States 10y]]-Table73[[#This Row],[United States 2y]],#N/A)</f>
        <v/>
      </c>
    </row>
    <row r="2263">
      <c r="A2263" s="6">
        <f>Database!A2262</f>
        <v/>
      </c>
      <c r="B2263">
        <f>IF(VLOOKUP(Table73[[#This Row],[Date]],Database!$A:$E,MATCH($B$1,Database!$A$1:$E$1,),)=0,#N/A,VLOOKUP(Table73[[#This Row],[Date]],Database!$A:$E,MATCH($B$1,Database!$A$1:$E$1,),))</f>
        <v/>
      </c>
      <c r="C2263">
        <f>IF(VLOOKUP(Table73[[#This Row],[Date]],Database!$A:$C,MATCH($C$1,Database!$A$1:$C$1,),)=0,#N/A,VLOOKUP(Table73[[#This Row],[Date]],Database!$A:$C,MATCH($C$1,Database!$A$1:$C$1,),))</f>
        <v/>
      </c>
      <c r="D2263">
        <f>IFERROR(Table73[[#This Row],[United States 10y]]-Table73[[#This Row],[United States 2y]],#N/A)</f>
        <v/>
      </c>
    </row>
    <row r="2264">
      <c r="A2264" s="6">
        <f>Database!A2263</f>
        <v/>
      </c>
      <c r="B2264">
        <f>IF(VLOOKUP(Table73[[#This Row],[Date]],Database!$A:$E,MATCH($B$1,Database!$A$1:$E$1,),)=0,#N/A,VLOOKUP(Table73[[#This Row],[Date]],Database!$A:$E,MATCH($B$1,Database!$A$1:$E$1,),))</f>
        <v/>
      </c>
      <c r="C2264">
        <f>IF(VLOOKUP(Table73[[#This Row],[Date]],Database!$A:$C,MATCH($C$1,Database!$A$1:$C$1,),)=0,#N/A,VLOOKUP(Table73[[#This Row],[Date]],Database!$A:$C,MATCH($C$1,Database!$A$1:$C$1,),))</f>
        <v/>
      </c>
      <c r="D2264">
        <f>IFERROR(Table73[[#This Row],[United States 10y]]-Table73[[#This Row],[United States 2y]],#N/A)</f>
        <v/>
      </c>
    </row>
    <row r="2265">
      <c r="A2265" s="6">
        <f>Database!A2264</f>
        <v/>
      </c>
      <c r="B2265">
        <f>IF(VLOOKUP(Table73[[#This Row],[Date]],Database!$A:$E,MATCH($B$1,Database!$A$1:$E$1,),)=0,#N/A,VLOOKUP(Table73[[#This Row],[Date]],Database!$A:$E,MATCH($B$1,Database!$A$1:$E$1,),))</f>
        <v/>
      </c>
      <c r="C2265">
        <f>IF(VLOOKUP(Table73[[#This Row],[Date]],Database!$A:$C,MATCH($C$1,Database!$A$1:$C$1,),)=0,#N/A,VLOOKUP(Table73[[#This Row],[Date]],Database!$A:$C,MATCH($C$1,Database!$A$1:$C$1,),))</f>
        <v/>
      </c>
      <c r="D2265">
        <f>IFERROR(Table73[[#This Row],[United States 10y]]-Table73[[#This Row],[United States 2y]],#N/A)</f>
        <v/>
      </c>
    </row>
    <row r="2266">
      <c r="A2266" s="6">
        <f>Database!A2265</f>
        <v/>
      </c>
      <c r="B2266">
        <f>IF(VLOOKUP(Table73[[#This Row],[Date]],Database!$A:$E,MATCH($B$1,Database!$A$1:$E$1,),)=0,#N/A,VLOOKUP(Table73[[#This Row],[Date]],Database!$A:$E,MATCH($B$1,Database!$A$1:$E$1,),))</f>
        <v/>
      </c>
      <c r="C2266">
        <f>IF(VLOOKUP(Table73[[#This Row],[Date]],Database!$A:$C,MATCH($C$1,Database!$A$1:$C$1,),)=0,#N/A,VLOOKUP(Table73[[#This Row],[Date]],Database!$A:$C,MATCH($C$1,Database!$A$1:$C$1,),))</f>
        <v/>
      </c>
      <c r="D2266">
        <f>IFERROR(Table73[[#This Row],[United States 10y]]-Table73[[#This Row],[United States 2y]],#N/A)</f>
        <v/>
      </c>
    </row>
    <row r="2267">
      <c r="A2267" s="6">
        <f>Database!A2266</f>
        <v/>
      </c>
      <c r="B2267">
        <f>IF(VLOOKUP(Table73[[#This Row],[Date]],Database!$A:$E,MATCH($B$1,Database!$A$1:$E$1,),)=0,#N/A,VLOOKUP(Table73[[#This Row],[Date]],Database!$A:$E,MATCH($B$1,Database!$A$1:$E$1,),))</f>
        <v/>
      </c>
      <c r="C2267">
        <f>IF(VLOOKUP(Table73[[#This Row],[Date]],Database!$A:$C,MATCH($C$1,Database!$A$1:$C$1,),)=0,#N/A,VLOOKUP(Table73[[#This Row],[Date]],Database!$A:$C,MATCH($C$1,Database!$A$1:$C$1,),))</f>
        <v/>
      </c>
      <c r="D2267">
        <f>IFERROR(Table73[[#This Row],[United States 10y]]-Table73[[#This Row],[United States 2y]],#N/A)</f>
        <v/>
      </c>
    </row>
    <row r="2268">
      <c r="A2268" s="6">
        <f>Database!A2267</f>
        <v/>
      </c>
      <c r="B2268">
        <f>IF(VLOOKUP(Table73[[#This Row],[Date]],Database!$A:$E,MATCH($B$1,Database!$A$1:$E$1,),)=0,#N/A,VLOOKUP(Table73[[#This Row],[Date]],Database!$A:$E,MATCH($B$1,Database!$A$1:$E$1,),))</f>
        <v/>
      </c>
      <c r="C2268">
        <f>IF(VLOOKUP(Table73[[#This Row],[Date]],Database!$A:$C,MATCH($C$1,Database!$A$1:$C$1,),)=0,#N/A,VLOOKUP(Table73[[#This Row],[Date]],Database!$A:$C,MATCH($C$1,Database!$A$1:$C$1,),))</f>
        <v/>
      </c>
      <c r="D2268">
        <f>IFERROR(Table73[[#This Row],[United States 10y]]-Table73[[#This Row],[United States 2y]],#N/A)</f>
        <v/>
      </c>
    </row>
    <row r="2269">
      <c r="A2269" s="6">
        <f>Database!A2268</f>
        <v/>
      </c>
      <c r="B2269">
        <f>IF(VLOOKUP(Table73[[#This Row],[Date]],Database!$A:$E,MATCH($B$1,Database!$A$1:$E$1,),)=0,#N/A,VLOOKUP(Table73[[#This Row],[Date]],Database!$A:$E,MATCH($B$1,Database!$A$1:$E$1,),))</f>
        <v/>
      </c>
      <c r="C2269">
        <f>IF(VLOOKUP(Table73[[#This Row],[Date]],Database!$A:$C,MATCH($C$1,Database!$A$1:$C$1,),)=0,#N/A,VLOOKUP(Table73[[#This Row],[Date]],Database!$A:$C,MATCH($C$1,Database!$A$1:$C$1,),))</f>
        <v/>
      </c>
      <c r="D2269">
        <f>IFERROR(Table73[[#This Row],[United States 10y]]-Table73[[#This Row],[United States 2y]],#N/A)</f>
        <v/>
      </c>
    </row>
    <row r="2270">
      <c r="A2270" s="6">
        <f>Database!A2269</f>
        <v/>
      </c>
      <c r="B2270">
        <f>IF(VLOOKUP(Table73[[#This Row],[Date]],Database!$A:$E,MATCH($B$1,Database!$A$1:$E$1,),)=0,#N/A,VLOOKUP(Table73[[#This Row],[Date]],Database!$A:$E,MATCH($B$1,Database!$A$1:$E$1,),))</f>
        <v/>
      </c>
      <c r="C2270">
        <f>IF(VLOOKUP(Table73[[#This Row],[Date]],Database!$A:$C,MATCH($C$1,Database!$A$1:$C$1,),)=0,#N/A,VLOOKUP(Table73[[#This Row],[Date]],Database!$A:$C,MATCH($C$1,Database!$A$1:$C$1,),))</f>
        <v/>
      </c>
      <c r="D2270">
        <f>IFERROR(Table73[[#This Row],[United States 10y]]-Table73[[#This Row],[United States 2y]],#N/A)</f>
        <v/>
      </c>
    </row>
    <row r="2271">
      <c r="A2271" s="6">
        <f>Database!A2270</f>
        <v/>
      </c>
      <c r="B2271">
        <f>IF(VLOOKUP(Table73[[#This Row],[Date]],Database!$A:$E,MATCH($B$1,Database!$A$1:$E$1,),)=0,#N/A,VLOOKUP(Table73[[#This Row],[Date]],Database!$A:$E,MATCH($B$1,Database!$A$1:$E$1,),))</f>
        <v/>
      </c>
      <c r="C2271">
        <f>IF(VLOOKUP(Table73[[#This Row],[Date]],Database!$A:$C,MATCH($C$1,Database!$A$1:$C$1,),)=0,#N/A,VLOOKUP(Table73[[#This Row],[Date]],Database!$A:$C,MATCH($C$1,Database!$A$1:$C$1,),))</f>
        <v/>
      </c>
      <c r="D2271">
        <f>IFERROR(Table73[[#This Row],[United States 10y]]-Table73[[#This Row],[United States 2y]],#N/A)</f>
        <v/>
      </c>
    </row>
    <row r="2272">
      <c r="A2272" s="6">
        <f>Database!A2271</f>
        <v/>
      </c>
      <c r="B2272">
        <f>IF(VLOOKUP(Table73[[#This Row],[Date]],Database!$A:$E,MATCH($B$1,Database!$A$1:$E$1,),)=0,#N/A,VLOOKUP(Table73[[#This Row],[Date]],Database!$A:$E,MATCH($B$1,Database!$A$1:$E$1,),))</f>
        <v/>
      </c>
      <c r="C2272">
        <f>IF(VLOOKUP(Table73[[#This Row],[Date]],Database!$A:$C,MATCH($C$1,Database!$A$1:$C$1,),)=0,#N/A,VLOOKUP(Table73[[#This Row],[Date]],Database!$A:$C,MATCH($C$1,Database!$A$1:$C$1,),))</f>
        <v/>
      </c>
      <c r="D2272">
        <f>IFERROR(Table73[[#This Row],[United States 10y]]-Table73[[#This Row],[United States 2y]],#N/A)</f>
        <v/>
      </c>
    </row>
    <row r="2273">
      <c r="A2273" s="6">
        <f>Database!A2272</f>
        <v/>
      </c>
      <c r="B2273">
        <f>IF(VLOOKUP(Table73[[#This Row],[Date]],Database!$A:$E,MATCH($B$1,Database!$A$1:$E$1,),)=0,#N/A,VLOOKUP(Table73[[#This Row],[Date]],Database!$A:$E,MATCH($B$1,Database!$A$1:$E$1,),))</f>
        <v/>
      </c>
      <c r="C2273">
        <f>IF(VLOOKUP(Table73[[#This Row],[Date]],Database!$A:$C,MATCH($C$1,Database!$A$1:$C$1,),)=0,#N/A,VLOOKUP(Table73[[#This Row],[Date]],Database!$A:$C,MATCH($C$1,Database!$A$1:$C$1,),))</f>
        <v/>
      </c>
      <c r="D2273">
        <f>IFERROR(Table73[[#This Row],[United States 10y]]-Table73[[#This Row],[United States 2y]],#N/A)</f>
        <v/>
      </c>
    </row>
    <row r="2274">
      <c r="A2274" s="6">
        <f>Database!A2273</f>
        <v/>
      </c>
      <c r="B2274">
        <f>IF(VLOOKUP(Table73[[#This Row],[Date]],Database!$A:$E,MATCH($B$1,Database!$A$1:$E$1,),)=0,#N/A,VLOOKUP(Table73[[#This Row],[Date]],Database!$A:$E,MATCH($B$1,Database!$A$1:$E$1,),))</f>
        <v/>
      </c>
      <c r="C2274">
        <f>IF(VLOOKUP(Table73[[#This Row],[Date]],Database!$A:$C,MATCH($C$1,Database!$A$1:$C$1,),)=0,#N/A,VLOOKUP(Table73[[#This Row],[Date]],Database!$A:$C,MATCH($C$1,Database!$A$1:$C$1,),))</f>
        <v/>
      </c>
      <c r="D2274">
        <f>IFERROR(Table73[[#This Row],[United States 10y]]-Table73[[#This Row],[United States 2y]],#N/A)</f>
        <v/>
      </c>
    </row>
    <row r="2275">
      <c r="A2275" s="6">
        <f>Database!A2274</f>
        <v/>
      </c>
      <c r="B2275">
        <f>IF(VLOOKUP(Table73[[#This Row],[Date]],Database!$A:$E,MATCH($B$1,Database!$A$1:$E$1,),)=0,#N/A,VLOOKUP(Table73[[#This Row],[Date]],Database!$A:$E,MATCH($B$1,Database!$A$1:$E$1,),))</f>
        <v/>
      </c>
      <c r="C2275">
        <f>IF(VLOOKUP(Table73[[#This Row],[Date]],Database!$A:$C,MATCH($C$1,Database!$A$1:$C$1,),)=0,#N/A,VLOOKUP(Table73[[#This Row],[Date]],Database!$A:$C,MATCH($C$1,Database!$A$1:$C$1,),))</f>
        <v/>
      </c>
      <c r="D2275">
        <f>IFERROR(Table73[[#This Row],[United States 10y]]-Table73[[#This Row],[United States 2y]],#N/A)</f>
        <v/>
      </c>
    </row>
    <row r="2276">
      <c r="A2276" s="6">
        <f>Database!A2275</f>
        <v/>
      </c>
      <c r="B2276">
        <f>IF(VLOOKUP(Table73[[#This Row],[Date]],Database!$A:$E,MATCH($B$1,Database!$A$1:$E$1,),)=0,#N/A,VLOOKUP(Table73[[#This Row],[Date]],Database!$A:$E,MATCH($B$1,Database!$A$1:$E$1,),))</f>
        <v/>
      </c>
      <c r="C2276">
        <f>IF(VLOOKUP(Table73[[#This Row],[Date]],Database!$A:$C,MATCH($C$1,Database!$A$1:$C$1,),)=0,#N/A,VLOOKUP(Table73[[#This Row],[Date]],Database!$A:$C,MATCH($C$1,Database!$A$1:$C$1,),))</f>
        <v/>
      </c>
      <c r="D2276">
        <f>IFERROR(Table73[[#This Row],[United States 10y]]-Table73[[#This Row],[United States 2y]],#N/A)</f>
        <v/>
      </c>
    </row>
    <row r="2277">
      <c r="A2277" s="6">
        <f>Database!A2276</f>
        <v/>
      </c>
      <c r="B2277">
        <f>IF(VLOOKUP(Table73[[#This Row],[Date]],Database!$A:$E,MATCH($B$1,Database!$A$1:$E$1,),)=0,#N/A,VLOOKUP(Table73[[#This Row],[Date]],Database!$A:$E,MATCH($B$1,Database!$A$1:$E$1,),))</f>
        <v/>
      </c>
      <c r="C2277">
        <f>IF(VLOOKUP(Table73[[#This Row],[Date]],Database!$A:$C,MATCH($C$1,Database!$A$1:$C$1,),)=0,#N/A,VLOOKUP(Table73[[#This Row],[Date]],Database!$A:$C,MATCH($C$1,Database!$A$1:$C$1,),))</f>
        <v/>
      </c>
      <c r="D2277">
        <f>IFERROR(Table73[[#This Row],[United States 10y]]-Table73[[#This Row],[United States 2y]],#N/A)</f>
        <v/>
      </c>
    </row>
    <row r="2278">
      <c r="A2278" s="6">
        <f>Database!A2277</f>
        <v/>
      </c>
      <c r="B2278">
        <f>IF(VLOOKUP(Table73[[#This Row],[Date]],Database!$A:$E,MATCH($B$1,Database!$A$1:$E$1,),)=0,#N/A,VLOOKUP(Table73[[#This Row],[Date]],Database!$A:$E,MATCH($B$1,Database!$A$1:$E$1,),))</f>
        <v/>
      </c>
      <c r="C2278">
        <f>IF(VLOOKUP(Table73[[#This Row],[Date]],Database!$A:$C,MATCH($C$1,Database!$A$1:$C$1,),)=0,#N/A,VLOOKUP(Table73[[#This Row],[Date]],Database!$A:$C,MATCH($C$1,Database!$A$1:$C$1,),))</f>
        <v/>
      </c>
      <c r="D2278">
        <f>IFERROR(Table73[[#This Row],[United States 10y]]-Table73[[#This Row],[United States 2y]],#N/A)</f>
        <v/>
      </c>
    </row>
    <row r="2279">
      <c r="A2279" s="6">
        <f>Database!A2278</f>
        <v/>
      </c>
      <c r="B2279">
        <f>IF(VLOOKUP(Table73[[#This Row],[Date]],Database!$A:$E,MATCH($B$1,Database!$A$1:$E$1,),)=0,#N/A,VLOOKUP(Table73[[#This Row],[Date]],Database!$A:$E,MATCH($B$1,Database!$A$1:$E$1,),))</f>
        <v/>
      </c>
      <c r="C2279">
        <f>IF(VLOOKUP(Table73[[#This Row],[Date]],Database!$A:$C,MATCH($C$1,Database!$A$1:$C$1,),)=0,#N/A,VLOOKUP(Table73[[#This Row],[Date]],Database!$A:$C,MATCH($C$1,Database!$A$1:$C$1,),))</f>
        <v/>
      </c>
      <c r="D2279">
        <f>IFERROR(Table73[[#This Row],[United States 10y]]-Table73[[#This Row],[United States 2y]],#N/A)</f>
        <v/>
      </c>
    </row>
    <row r="2280">
      <c r="A2280" s="6">
        <f>Database!A2279</f>
        <v/>
      </c>
      <c r="B2280">
        <f>IF(VLOOKUP(Table73[[#This Row],[Date]],Database!$A:$E,MATCH($B$1,Database!$A$1:$E$1,),)=0,#N/A,VLOOKUP(Table73[[#This Row],[Date]],Database!$A:$E,MATCH($B$1,Database!$A$1:$E$1,),))</f>
        <v/>
      </c>
      <c r="C2280">
        <f>IF(VLOOKUP(Table73[[#This Row],[Date]],Database!$A:$C,MATCH($C$1,Database!$A$1:$C$1,),)=0,#N/A,VLOOKUP(Table73[[#This Row],[Date]],Database!$A:$C,MATCH($C$1,Database!$A$1:$C$1,),))</f>
        <v/>
      </c>
      <c r="D2280">
        <f>IFERROR(Table73[[#This Row],[United States 10y]]-Table73[[#This Row],[United States 2y]],#N/A)</f>
        <v/>
      </c>
    </row>
    <row r="2281">
      <c r="A2281" s="6">
        <f>Database!A2280</f>
        <v/>
      </c>
      <c r="B2281">
        <f>IF(VLOOKUP(Table73[[#This Row],[Date]],Database!$A:$E,MATCH($B$1,Database!$A$1:$E$1,),)=0,#N/A,VLOOKUP(Table73[[#This Row],[Date]],Database!$A:$E,MATCH($B$1,Database!$A$1:$E$1,),))</f>
        <v/>
      </c>
      <c r="C2281">
        <f>IF(VLOOKUP(Table73[[#This Row],[Date]],Database!$A:$C,MATCH($C$1,Database!$A$1:$C$1,),)=0,#N/A,VLOOKUP(Table73[[#This Row],[Date]],Database!$A:$C,MATCH($C$1,Database!$A$1:$C$1,),))</f>
        <v/>
      </c>
      <c r="D2281">
        <f>IFERROR(Table73[[#This Row],[United States 10y]]-Table73[[#This Row],[United States 2y]],#N/A)</f>
        <v/>
      </c>
    </row>
    <row r="2282">
      <c r="A2282" s="6">
        <f>Database!A2281</f>
        <v/>
      </c>
      <c r="B2282">
        <f>IF(VLOOKUP(Table73[[#This Row],[Date]],Database!$A:$E,MATCH($B$1,Database!$A$1:$E$1,),)=0,#N/A,VLOOKUP(Table73[[#This Row],[Date]],Database!$A:$E,MATCH($B$1,Database!$A$1:$E$1,),))</f>
        <v/>
      </c>
      <c r="C2282">
        <f>IF(VLOOKUP(Table73[[#This Row],[Date]],Database!$A:$C,MATCH($C$1,Database!$A$1:$C$1,),)=0,#N/A,VLOOKUP(Table73[[#This Row],[Date]],Database!$A:$C,MATCH($C$1,Database!$A$1:$C$1,),))</f>
        <v/>
      </c>
      <c r="D2282">
        <f>IFERROR(Table73[[#This Row],[United States 10y]]-Table73[[#This Row],[United States 2y]],#N/A)</f>
        <v/>
      </c>
    </row>
    <row r="2283">
      <c r="A2283" s="6">
        <f>Database!A2282</f>
        <v/>
      </c>
      <c r="B2283">
        <f>IF(VLOOKUP(Table73[[#This Row],[Date]],Database!$A:$E,MATCH($B$1,Database!$A$1:$E$1,),)=0,#N/A,VLOOKUP(Table73[[#This Row],[Date]],Database!$A:$E,MATCH($B$1,Database!$A$1:$E$1,),))</f>
        <v/>
      </c>
      <c r="C2283">
        <f>IF(VLOOKUP(Table73[[#This Row],[Date]],Database!$A:$C,MATCH($C$1,Database!$A$1:$C$1,),)=0,#N/A,VLOOKUP(Table73[[#This Row],[Date]],Database!$A:$C,MATCH($C$1,Database!$A$1:$C$1,),))</f>
        <v/>
      </c>
      <c r="D2283">
        <f>IFERROR(Table73[[#This Row],[United States 10y]]-Table73[[#This Row],[United States 2y]],#N/A)</f>
        <v/>
      </c>
    </row>
    <row r="2284">
      <c r="A2284" s="6">
        <f>Database!A2283</f>
        <v/>
      </c>
      <c r="B2284">
        <f>IF(VLOOKUP(Table73[[#This Row],[Date]],Database!$A:$E,MATCH($B$1,Database!$A$1:$E$1,),)=0,#N/A,VLOOKUP(Table73[[#This Row],[Date]],Database!$A:$E,MATCH($B$1,Database!$A$1:$E$1,),))</f>
        <v/>
      </c>
      <c r="C2284">
        <f>IF(VLOOKUP(Table73[[#This Row],[Date]],Database!$A:$C,MATCH($C$1,Database!$A$1:$C$1,),)=0,#N/A,VLOOKUP(Table73[[#This Row],[Date]],Database!$A:$C,MATCH($C$1,Database!$A$1:$C$1,),))</f>
        <v/>
      </c>
      <c r="D2284">
        <f>IFERROR(Table73[[#This Row],[United States 10y]]-Table73[[#This Row],[United States 2y]],#N/A)</f>
        <v/>
      </c>
    </row>
    <row r="2285">
      <c r="A2285" s="6">
        <f>Database!A2284</f>
        <v/>
      </c>
      <c r="B2285">
        <f>IF(VLOOKUP(Table73[[#This Row],[Date]],Database!$A:$E,MATCH($B$1,Database!$A$1:$E$1,),)=0,#N/A,VLOOKUP(Table73[[#This Row],[Date]],Database!$A:$E,MATCH($B$1,Database!$A$1:$E$1,),))</f>
        <v/>
      </c>
      <c r="C2285">
        <f>IF(VLOOKUP(Table73[[#This Row],[Date]],Database!$A:$C,MATCH($C$1,Database!$A$1:$C$1,),)=0,#N/A,VLOOKUP(Table73[[#This Row],[Date]],Database!$A:$C,MATCH($C$1,Database!$A$1:$C$1,),))</f>
        <v/>
      </c>
      <c r="D2285">
        <f>IFERROR(Table73[[#This Row],[United States 10y]]-Table73[[#This Row],[United States 2y]],#N/A)</f>
        <v/>
      </c>
    </row>
    <row r="2286">
      <c r="A2286" s="6">
        <f>Database!A2285</f>
        <v/>
      </c>
      <c r="B2286">
        <f>IF(VLOOKUP(Table73[[#This Row],[Date]],Database!$A:$E,MATCH($B$1,Database!$A$1:$E$1,),)=0,#N/A,VLOOKUP(Table73[[#This Row],[Date]],Database!$A:$E,MATCH($B$1,Database!$A$1:$E$1,),))</f>
        <v/>
      </c>
      <c r="C2286">
        <f>IF(VLOOKUP(Table73[[#This Row],[Date]],Database!$A:$C,MATCH($C$1,Database!$A$1:$C$1,),)=0,#N/A,VLOOKUP(Table73[[#This Row],[Date]],Database!$A:$C,MATCH($C$1,Database!$A$1:$C$1,),))</f>
        <v/>
      </c>
      <c r="D2286">
        <f>IFERROR(Table73[[#This Row],[United States 10y]]-Table73[[#This Row],[United States 2y]],#N/A)</f>
        <v/>
      </c>
    </row>
    <row r="2287">
      <c r="A2287" s="6">
        <f>Database!A2286</f>
        <v/>
      </c>
      <c r="B2287">
        <f>IF(VLOOKUP(Table73[[#This Row],[Date]],Database!$A:$E,MATCH($B$1,Database!$A$1:$E$1,),)=0,#N/A,VLOOKUP(Table73[[#This Row],[Date]],Database!$A:$E,MATCH($B$1,Database!$A$1:$E$1,),))</f>
        <v/>
      </c>
      <c r="C2287">
        <f>IF(VLOOKUP(Table73[[#This Row],[Date]],Database!$A:$C,MATCH($C$1,Database!$A$1:$C$1,),)=0,#N/A,VLOOKUP(Table73[[#This Row],[Date]],Database!$A:$C,MATCH($C$1,Database!$A$1:$C$1,),))</f>
        <v/>
      </c>
      <c r="D2287">
        <f>IFERROR(Table73[[#This Row],[United States 10y]]-Table73[[#This Row],[United States 2y]],#N/A)</f>
        <v/>
      </c>
    </row>
    <row r="2288">
      <c r="A2288" s="6">
        <f>Database!A2287</f>
        <v/>
      </c>
      <c r="B2288">
        <f>IF(VLOOKUP(Table73[[#This Row],[Date]],Database!$A:$E,MATCH($B$1,Database!$A$1:$E$1,),)=0,#N/A,VLOOKUP(Table73[[#This Row],[Date]],Database!$A:$E,MATCH($B$1,Database!$A$1:$E$1,),))</f>
        <v/>
      </c>
      <c r="C2288">
        <f>IF(VLOOKUP(Table73[[#This Row],[Date]],Database!$A:$C,MATCH($C$1,Database!$A$1:$C$1,),)=0,#N/A,VLOOKUP(Table73[[#This Row],[Date]],Database!$A:$C,MATCH($C$1,Database!$A$1:$C$1,),))</f>
        <v/>
      </c>
      <c r="D2288">
        <f>IFERROR(Table73[[#This Row],[United States 10y]]-Table73[[#This Row],[United States 2y]],#N/A)</f>
        <v/>
      </c>
    </row>
    <row r="2289">
      <c r="A2289" s="6">
        <f>Database!A2288</f>
        <v/>
      </c>
      <c r="B2289">
        <f>IF(VLOOKUP(Table73[[#This Row],[Date]],Database!$A:$E,MATCH($B$1,Database!$A$1:$E$1,),)=0,#N/A,VLOOKUP(Table73[[#This Row],[Date]],Database!$A:$E,MATCH($B$1,Database!$A$1:$E$1,),))</f>
        <v/>
      </c>
      <c r="C2289">
        <f>IF(VLOOKUP(Table73[[#This Row],[Date]],Database!$A:$C,MATCH($C$1,Database!$A$1:$C$1,),)=0,#N/A,VLOOKUP(Table73[[#This Row],[Date]],Database!$A:$C,MATCH($C$1,Database!$A$1:$C$1,),))</f>
        <v/>
      </c>
      <c r="D2289">
        <f>IFERROR(Table73[[#This Row],[United States 10y]]-Table73[[#This Row],[United States 2y]],#N/A)</f>
        <v/>
      </c>
    </row>
    <row r="2290">
      <c r="A2290" s="6">
        <f>Database!A2289</f>
        <v/>
      </c>
      <c r="B2290">
        <f>IF(VLOOKUP(Table73[[#This Row],[Date]],Database!$A:$E,MATCH($B$1,Database!$A$1:$E$1,),)=0,#N/A,VLOOKUP(Table73[[#This Row],[Date]],Database!$A:$E,MATCH($B$1,Database!$A$1:$E$1,),))</f>
        <v/>
      </c>
      <c r="C2290">
        <f>IF(VLOOKUP(Table73[[#This Row],[Date]],Database!$A:$C,MATCH($C$1,Database!$A$1:$C$1,),)=0,#N/A,VLOOKUP(Table73[[#This Row],[Date]],Database!$A:$C,MATCH($C$1,Database!$A$1:$C$1,),))</f>
        <v/>
      </c>
      <c r="D2290">
        <f>IFERROR(Table73[[#This Row],[United States 10y]]-Table73[[#This Row],[United States 2y]],#N/A)</f>
        <v/>
      </c>
    </row>
    <row r="2291">
      <c r="A2291" s="6">
        <f>Database!A2290</f>
        <v/>
      </c>
      <c r="B2291">
        <f>IF(VLOOKUP(Table73[[#This Row],[Date]],Database!$A:$E,MATCH($B$1,Database!$A$1:$E$1,),)=0,#N/A,VLOOKUP(Table73[[#This Row],[Date]],Database!$A:$E,MATCH($B$1,Database!$A$1:$E$1,),))</f>
        <v/>
      </c>
      <c r="C2291">
        <f>IF(VLOOKUP(Table73[[#This Row],[Date]],Database!$A:$C,MATCH($C$1,Database!$A$1:$C$1,),)=0,#N/A,VLOOKUP(Table73[[#This Row],[Date]],Database!$A:$C,MATCH($C$1,Database!$A$1:$C$1,),))</f>
        <v/>
      </c>
      <c r="D2291">
        <f>IFERROR(Table73[[#This Row],[United States 10y]]-Table73[[#This Row],[United States 2y]],#N/A)</f>
        <v/>
      </c>
    </row>
    <row r="2292">
      <c r="A2292" s="6">
        <f>Database!A2291</f>
        <v/>
      </c>
      <c r="B2292">
        <f>IF(VLOOKUP(Table73[[#This Row],[Date]],Database!$A:$E,MATCH($B$1,Database!$A$1:$E$1,),)=0,#N/A,VLOOKUP(Table73[[#This Row],[Date]],Database!$A:$E,MATCH($B$1,Database!$A$1:$E$1,),))</f>
        <v/>
      </c>
      <c r="C2292">
        <f>IF(VLOOKUP(Table73[[#This Row],[Date]],Database!$A:$C,MATCH($C$1,Database!$A$1:$C$1,),)=0,#N/A,VLOOKUP(Table73[[#This Row],[Date]],Database!$A:$C,MATCH($C$1,Database!$A$1:$C$1,),))</f>
        <v/>
      </c>
      <c r="D2292">
        <f>IFERROR(Table73[[#This Row],[United States 10y]]-Table73[[#This Row],[United States 2y]],#N/A)</f>
        <v/>
      </c>
    </row>
    <row r="2293">
      <c r="A2293" s="6">
        <f>Database!A2292</f>
        <v/>
      </c>
      <c r="B2293">
        <f>IF(VLOOKUP(Table73[[#This Row],[Date]],Database!$A:$E,MATCH($B$1,Database!$A$1:$E$1,),)=0,#N/A,VLOOKUP(Table73[[#This Row],[Date]],Database!$A:$E,MATCH($B$1,Database!$A$1:$E$1,),))</f>
        <v/>
      </c>
      <c r="C2293">
        <f>IF(VLOOKUP(Table73[[#This Row],[Date]],Database!$A:$C,MATCH($C$1,Database!$A$1:$C$1,),)=0,#N/A,VLOOKUP(Table73[[#This Row],[Date]],Database!$A:$C,MATCH($C$1,Database!$A$1:$C$1,),))</f>
        <v/>
      </c>
      <c r="D2293">
        <f>IFERROR(Table73[[#This Row],[United States 10y]]-Table73[[#This Row],[United States 2y]],#N/A)</f>
        <v/>
      </c>
    </row>
    <row r="2294">
      <c r="A2294" s="6">
        <f>Database!A2293</f>
        <v/>
      </c>
      <c r="B2294">
        <f>IF(VLOOKUP(Table73[[#This Row],[Date]],Database!$A:$E,MATCH($B$1,Database!$A$1:$E$1,),)=0,#N/A,VLOOKUP(Table73[[#This Row],[Date]],Database!$A:$E,MATCH($B$1,Database!$A$1:$E$1,),))</f>
        <v/>
      </c>
      <c r="C2294">
        <f>IF(VLOOKUP(Table73[[#This Row],[Date]],Database!$A:$C,MATCH($C$1,Database!$A$1:$C$1,),)=0,#N/A,VLOOKUP(Table73[[#This Row],[Date]],Database!$A:$C,MATCH($C$1,Database!$A$1:$C$1,),))</f>
        <v/>
      </c>
      <c r="D2294">
        <f>IFERROR(Table73[[#This Row],[United States 10y]]-Table73[[#This Row],[United States 2y]],#N/A)</f>
        <v/>
      </c>
    </row>
    <row r="2295">
      <c r="A2295" s="6">
        <f>Database!A2294</f>
        <v/>
      </c>
      <c r="B2295">
        <f>IF(VLOOKUP(Table73[[#This Row],[Date]],Database!$A:$E,MATCH($B$1,Database!$A$1:$E$1,),)=0,#N/A,VLOOKUP(Table73[[#This Row],[Date]],Database!$A:$E,MATCH($B$1,Database!$A$1:$E$1,),))</f>
        <v/>
      </c>
      <c r="C2295">
        <f>IF(VLOOKUP(Table73[[#This Row],[Date]],Database!$A:$C,MATCH($C$1,Database!$A$1:$C$1,),)=0,#N/A,VLOOKUP(Table73[[#This Row],[Date]],Database!$A:$C,MATCH($C$1,Database!$A$1:$C$1,),))</f>
        <v/>
      </c>
      <c r="D2295">
        <f>IFERROR(Table73[[#This Row],[United States 10y]]-Table73[[#This Row],[United States 2y]],#N/A)</f>
        <v/>
      </c>
    </row>
    <row r="2296">
      <c r="A2296" s="6">
        <f>Database!A2295</f>
        <v/>
      </c>
      <c r="B2296">
        <f>IF(VLOOKUP(Table73[[#This Row],[Date]],Database!$A:$E,MATCH($B$1,Database!$A$1:$E$1,),)=0,#N/A,VLOOKUP(Table73[[#This Row],[Date]],Database!$A:$E,MATCH($B$1,Database!$A$1:$E$1,),))</f>
        <v/>
      </c>
      <c r="C2296">
        <f>IF(VLOOKUP(Table73[[#This Row],[Date]],Database!$A:$C,MATCH($C$1,Database!$A$1:$C$1,),)=0,#N/A,VLOOKUP(Table73[[#This Row],[Date]],Database!$A:$C,MATCH($C$1,Database!$A$1:$C$1,),))</f>
        <v/>
      </c>
      <c r="D2296">
        <f>IFERROR(Table73[[#This Row],[United States 10y]]-Table73[[#This Row],[United States 2y]],#N/A)</f>
        <v/>
      </c>
    </row>
    <row r="2297">
      <c r="A2297" s="6">
        <f>Database!A2296</f>
        <v/>
      </c>
      <c r="B2297">
        <f>IF(VLOOKUP(Table73[[#This Row],[Date]],Database!$A:$E,MATCH($B$1,Database!$A$1:$E$1,),)=0,#N/A,VLOOKUP(Table73[[#This Row],[Date]],Database!$A:$E,MATCH($B$1,Database!$A$1:$E$1,),))</f>
        <v/>
      </c>
      <c r="C2297">
        <f>IF(VLOOKUP(Table73[[#This Row],[Date]],Database!$A:$C,MATCH($C$1,Database!$A$1:$C$1,),)=0,#N/A,VLOOKUP(Table73[[#This Row],[Date]],Database!$A:$C,MATCH($C$1,Database!$A$1:$C$1,),))</f>
        <v/>
      </c>
      <c r="D2297">
        <f>IFERROR(Table73[[#This Row],[United States 10y]]-Table73[[#This Row],[United States 2y]],#N/A)</f>
        <v/>
      </c>
    </row>
    <row r="2298">
      <c r="A2298" s="6">
        <f>Database!A2297</f>
        <v/>
      </c>
      <c r="B2298">
        <f>IF(VLOOKUP(Table73[[#This Row],[Date]],Database!$A:$E,MATCH($B$1,Database!$A$1:$E$1,),)=0,#N/A,VLOOKUP(Table73[[#This Row],[Date]],Database!$A:$E,MATCH($B$1,Database!$A$1:$E$1,),))</f>
        <v/>
      </c>
      <c r="C2298">
        <f>IF(VLOOKUP(Table73[[#This Row],[Date]],Database!$A:$C,MATCH($C$1,Database!$A$1:$C$1,),)=0,#N/A,VLOOKUP(Table73[[#This Row],[Date]],Database!$A:$C,MATCH($C$1,Database!$A$1:$C$1,),))</f>
        <v/>
      </c>
      <c r="D2298">
        <f>IFERROR(Table73[[#This Row],[United States 10y]]-Table73[[#This Row],[United States 2y]],#N/A)</f>
        <v/>
      </c>
    </row>
    <row r="2299">
      <c r="A2299" s="6">
        <f>Database!A2298</f>
        <v/>
      </c>
      <c r="B2299">
        <f>IF(VLOOKUP(Table73[[#This Row],[Date]],Database!$A:$E,MATCH($B$1,Database!$A$1:$E$1,),)=0,#N/A,VLOOKUP(Table73[[#This Row],[Date]],Database!$A:$E,MATCH($B$1,Database!$A$1:$E$1,),))</f>
        <v/>
      </c>
      <c r="C2299">
        <f>IF(VLOOKUP(Table73[[#This Row],[Date]],Database!$A:$C,MATCH($C$1,Database!$A$1:$C$1,),)=0,#N/A,VLOOKUP(Table73[[#This Row],[Date]],Database!$A:$C,MATCH($C$1,Database!$A$1:$C$1,),))</f>
        <v/>
      </c>
      <c r="D2299">
        <f>IFERROR(Table73[[#This Row],[United States 10y]]-Table73[[#This Row],[United States 2y]],#N/A)</f>
        <v/>
      </c>
    </row>
    <row r="2300">
      <c r="A2300" s="6">
        <f>Database!A2299</f>
        <v/>
      </c>
      <c r="B2300">
        <f>IF(VLOOKUP(Table73[[#This Row],[Date]],Database!$A:$E,MATCH($B$1,Database!$A$1:$E$1,),)=0,#N/A,VLOOKUP(Table73[[#This Row],[Date]],Database!$A:$E,MATCH($B$1,Database!$A$1:$E$1,),))</f>
        <v/>
      </c>
      <c r="C2300">
        <f>IF(VLOOKUP(Table73[[#This Row],[Date]],Database!$A:$C,MATCH($C$1,Database!$A$1:$C$1,),)=0,#N/A,VLOOKUP(Table73[[#This Row],[Date]],Database!$A:$C,MATCH($C$1,Database!$A$1:$C$1,),))</f>
        <v/>
      </c>
      <c r="D2300">
        <f>IFERROR(Table73[[#This Row],[United States 10y]]-Table73[[#This Row],[United States 2y]],#N/A)</f>
        <v/>
      </c>
    </row>
    <row r="2301">
      <c r="A2301" s="6">
        <f>Database!A2300</f>
        <v/>
      </c>
      <c r="B2301">
        <f>IF(VLOOKUP(Table73[[#This Row],[Date]],Database!$A:$E,MATCH($B$1,Database!$A$1:$E$1,),)=0,#N/A,VLOOKUP(Table73[[#This Row],[Date]],Database!$A:$E,MATCH($B$1,Database!$A$1:$E$1,),))</f>
        <v/>
      </c>
      <c r="C2301">
        <f>IF(VLOOKUP(Table73[[#This Row],[Date]],Database!$A:$C,MATCH($C$1,Database!$A$1:$C$1,),)=0,#N/A,VLOOKUP(Table73[[#This Row],[Date]],Database!$A:$C,MATCH($C$1,Database!$A$1:$C$1,),))</f>
        <v/>
      </c>
      <c r="D2301">
        <f>IFERROR(Table73[[#This Row],[United States 10y]]-Table73[[#This Row],[United States 2y]],#N/A)</f>
        <v/>
      </c>
    </row>
    <row r="2302">
      <c r="A2302" s="6">
        <f>Database!A2301</f>
        <v/>
      </c>
      <c r="B2302">
        <f>IF(VLOOKUP(Table73[[#This Row],[Date]],Database!$A:$E,MATCH($B$1,Database!$A$1:$E$1,),)=0,#N/A,VLOOKUP(Table73[[#This Row],[Date]],Database!$A:$E,MATCH($B$1,Database!$A$1:$E$1,),))</f>
        <v/>
      </c>
      <c r="C2302">
        <f>IF(VLOOKUP(Table73[[#This Row],[Date]],Database!$A:$C,MATCH($C$1,Database!$A$1:$C$1,),)=0,#N/A,VLOOKUP(Table73[[#This Row],[Date]],Database!$A:$C,MATCH($C$1,Database!$A$1:$C$1,),))</f>
        <v/>
      </c>
      <c r="D2302">
        <f>IFERROR(Table73[[#This Row],[United States 10y]]-Table73[[#This Row],[United States 2y]],#N/A)</f>
        <v/>
      </c>
    </row>
    <row r="2303">
      <c r="A2303" s="6">
        <f>Database!A2302</f>
        <v/>
      </c>
      <c r="B2303">
        <f>IF(VLOOKUP(Table73[[#This Row],[Date]],Database!$A:$E,MATCH($B$1,Database!$A$1:$E$1,),)=0,#N/A,VLOOKUP(Table73[[#This Row],[Date]],Database!$A:$E,MATCH($B$1,Database!$A$1:$E$1,),))</f>
        <v/>
      </c>
      <c r="C2303">
        <f>IF(VLOOKUP(Table73[[#This Row],[Date]],Database!$A:$C,MATCH($C$1,Database!$A$1:$C$1,),)=0,#N/A,VLOOKUP(Table73[[#This Row],[Date]],Database!$A:$C,MATCH($C$1,Database!$A$1:$C$1,),))</f>
        <v/>
      </c>
      <c r="D2303">
        <f>IFERROR(Table73[[#This Row],[United States 10y]]-Table73[[#This Row],[United States 2y]],#N/A)</f>
        <v/>
      </c>
    </row>
    <row r="2304">
      <c r="A2304" s="6">
        <f>Database!A2303</f>
        <v/>
      </c>
      <c r="B2304">
        <f>IF(VLOOKUP(Table73[[#This Row],[Date]],Database!$A:$E,MATCH($B$1,Database!$A$1:$E$1,),)=0,#N/A,VLOOKUP(Table73[[#This Row],[Date]],Database!$A:$E,MATCH($B$1,Database!$A$1:$E$1,),))</f>
        <v/>
      </c>
      <c r="C2304">
        <f>IF(VLOOKUP(Table73[[#This Row],[Date]],Database!$A:$C,MATCH($C$1,Database!$A$1:$C$1,),)=0,#N/A,VLOOKUP(Table73[[#This Row],[Date]],Database!$A:$C,MATCH($C$1,Database!$A$1:$C$1,),))</f>
        <v/>
      </c>
      <c r="D2304">
        <f>IFERROR(Table73[[#This Row],[United States 10y]]-Table73[[#This Row],[United States 2y]],#N/A)</f>
        <v/>
      </c>
    </row>
    <row r="2305">
      <c r="A2305" s="6">
        <f>Database!A2304</f>
        <v/>
      </c>
      <c r="B2305">
        <f>IF(VLOOKUP(Table73[[#This Row],[Date]],Database!$A:$E,MATCH($B$1,Database!$A$1:$E$1,),)=0,#N/A,VLOOKUP(Table73[[#This Row],[Date]],Database!$A:$E,MATCH($B$1,Database!$A$1:$E$1,),))</f>
        <v/>
      </c>
      <c r="C2305">
        <f>IF(VLOOKUP(Table73[[#This Row],[Date]],Database!$A:$C,MATCH($C$1,Database!$A$1:$C$1,),)=0,#N/A,VLOOKUP(Table73[[#This Row],[Date]],Database!$A:$C,MATCH($C$1,Database!$A$1:$C$1,),))</f>
        <v/>
      </c>
      <c r="D2305">
        <f>IFERROR(Table73[[#This Row],[United States 10y]]-Table73[[#This Row],[United States 2y]],#N/A)</f>
        <v/>
      </c>
    </row>
    <row r="2306">
      <c r="A2306" s="6">
        <f>Database!A2305</f>
        <v/>
      </c>
      <c r="B2306">
        <f>IF(VLOOKUP(Table73[[#This Row],[Date]],Database!$A:$E,MATCH($B$1,Database!$A$1:$E$1,),)=0,#N/A,VLOOKUP(Table73[[#This Row],[Date]],Database!$A:$E,MATCH($B$1,Database!$A$1:$E$1,),))</f>
        <v/>
      </c>
      <c r="C2306">
        <f>IF(VLOOKUP(Table73[[#This Row],[Date]],Database!$A:$C,MATCH($C$1,Database!$A$1:$C$1,),)=0,#N/A,VLOOKUP(Table73[[#This Row],[Date]],Database!$A:$C,MATCH($C$1,Database!$A$1:$C$1,),))</f>
        <v/>
      </c>
      <c r="D2306">
        <f>IFERROR(Table73[[#This Row],[United States 10y]]-Table73[[#This Row],[United States 2y]],#N/A)</f>
        <v/>
      </c>
    </row>
    <row r="2307">
      <c r="A2307" s="6">
        <f>Database!A2306</f>
        <v/>
      </c>
      <c r="B2307">
        <f>IF(VLOOKUP(Table73[[#This Row],[Date]],Database!$A:$E,MATCH($B$1,Database!$A$1:$E$1,),)=0,#N/A,VLOOKUP(Table73[[#This Row],[Date]],Database!$A:$E,MATCH($B$1,Database!$A$1:$E$1,),))</f>
        <v/>
      </c>
      <c r="C2307">
        <f>IF(VLOOKUP(Table73[[#This Row],[Date]],Database!$A:$C,MATCH($C$1,Database!$A$1:$C$1,),)=0,#N/A,VLOOKUP(Table73[[#This Row],[Date]],Database!$A:$C,MATCH($C$1,Database!$A$1:$C$1,),))</f>
        <v/>
      </c>
      <c r="D2307">
        <f>IFERROR(Table73[[#This Row],[United States 10y]]-Table73[[#This Row],[United States 2y]],#N/A)</f>
        <v/>
      </c>
    </row>
    <row r="2308">
      <c r="A2308" s="6">
        <f>Database!A2307</f>
        <v/>
      </c>
      <c r="B2308">
        <f>IF(VLOOKUP(Table73[[#This Row],[Date]],Database!$A:$E,MATCH($B$1,Database!$A$1:$E$1,),)=0,#N/A,VLOOKUP(Table73[[#This Row],[Date]],Database!$A:$E,MATCH($B$1,Database!$A$1:$E$1,),))</f>
        <v/>
      </c>
      <c r="C2308">
        <f>IF(VLOOKUP(Table73[[#This Row],[Date]],Database!$A:$C,MATCH($C$1,Database!$A$1:$C$1,),)=0,#N/A,VLOOKUP(Table73[[#This Row],[Date]],Database!$A:$C,MATCH($C$1,Database!$A$1:$C$1,),))</f>
        <v/>
      </c>
      <c r="D2308">
        <f>IFERROR(Table73[[#This Row],[United States 10y]]-Table73[[#This Row],[United States 2y]],#N/A)</f>
        <v/>
      </c>
    </row>
    <row r="2309">
      <c r="A2309" s="6">
        <f>Database!A2308</f>
        <v/>
      </c>
      <c r="B2309">
        <f>IF(VLOOKUP(Table73[[#This Row],[Date]],Database!$A:$E,MATCH($B$1,Database!$A$1:$E$1,),)=0,#N/A,VLOOKUP(Table73[[#This Row],[Date]],Database!$A:$E,MATCH($B$1,Database!$A$1:$E$1,),))</f>
        <v/>
      </c>
      <c r="C2309">
        <f>IF(VLOOKUP(Table73[[#This Row],[Date]],Database!$A:$C,MATCH($C$1,Database!$A$1:$C$1,),)=0,#N/A,VLOOKUP(Table73[[#This Row],[Date]],Database!$A:$C,MATCH($C$1,Database!$A$1:$C$1,),))</f>
        <v/>
      </c>
      <c r="D2309">
        <f>IFERROR(Table73[[#This Row],[United States 10y]]-Table73[[#This Row],[United States 2y]],#N/A)</f>
        <v/>
      </c>
    </row>
    <row r="2310">
      <c r="A2310" s="6">
        <f>Database!A2309</f>
        <v/>
      </c>
      <c r="B2310">
        <f>IF(VLOOKUP(Table73[[#This Row],[Date]],Database!$A:$E,MATCH($B$1,Database!$A$1:$E$1,),)=0,#N/A,VLOOKUP(Table73[[#This Row],[Date]],Database!$A:$E,MATCH($B$1,Database!$A$1:$E$1,),))</f>
        <v/>
      </c>
      <c r="C2310">
        <f>IF(VLOOKUP(Table73[[#This Row],[Date]],Database!$A:$C,MATCH($C$1,Database!$A$1:$C$1,),)=0,#N/A,VLOOKUP(Table73[[#This Row],[Date]],Database!$A:$C,MATCH($C$1,Database!$A$1:$C$1,),))</f>
        <v/>
      </c>
      <c r="D2310">
        <f>IFERROR(Table73[[#This Row],[United States 10y]]-Table73[[#This Row],[United States 2y]],#N/A)</f>
        <v/>
      </c>
    </row>
    <row r="2311">
      <c r="A2311" s="6">
        <f>Database!A2310</f>
        <v/>
      </c>
      <c r="B2311">
        <f>IF(VLOOKUP(Table73[[#This Row],[Date]],Database!$A:$E,MATCH($B$1,Database!$A$1:$E$1,),)=0,#N/A,VLOOKUP(Table73[[#This Row],[Date]],Database!$A:$E,MATCH($B$1,Database!$A$1:$E$1,),))</f>
        <v/>
      </c>
      <c r="C2311">
        <f>IF(VLOOKUP(Table73[[#This Row],[Date]],Database!$A:$C,MATCH($C$1,Database!$A$1:$C$1,),)=0,#N/A,VLOOKUP(Table73[[#This Row],[Date]],Database!$A:$C,MATCH($C$1,Database!$A$1:$C$1,),))</f>
        <v/>
      </c>
      <c r="D2311">
        <f>IFERROR(Table73[[#This Row],[United States 10y]]-Table73[[#This Row],[United States 2y]],#N/A)</f>
        <v/>
      </c>
    </row>
    <row r="2312">
      <c r="A2312" s="6">
        <f>Database!A2311</f>
        <v/>
      </c>
      <c r="B2312">
        <f>IF(VLOOKUP(Table73[[#This Row],[Date]],Database!$A:$E,MATCH($B$1,Database!$A$1:$E$1,),)=0,#N/A,VLOOKUP(Table73[[#This Row],[Date]],Database!$A:$E,MATCH($B$1,Database!$A$1:$E$1,),))</f>
        <v/>
      </c>
      <c r="C2312">
        <f>IF(VLOOKUP(Table73[[#This Row],[Date]],Database!$A:$C,MATCH($C$1,Database!$A$1:$C$1,),)=0,#N/A,VLOOKUP(Table73[[#This Row],[Date]],Database!$A:$C,MATCH($C$1,Database!$A$1:$C$1,),))</f>
        <v/>
      </c>
      <c r="D2312">
        <f>IFERROR(Table73[[#This Row],[United States 10y]]-Table73[[#This Row],[United States 2y]],#N/A)</f>
        <v/>
      </c>
    </row>
    <row r="2313">
      <c r="A2313" s="6">
        <f>Database!A2312</f>
        <v/>
      </c>
      <c r="B2313">
        <f>IF(VLOOKUP(Table73[[#This Row],[Date]],Database!$A:$E,MATCH($B$1,Database!$A$1:$E$1,),)=0,#N/A,VLOOKUP(Table73[[#This Row],[Date]],Database!$A:$E,MATCH($B$1,Database!$A$1:$E$1,),))</f>
        <v/>
      </c>
      <c r="C2313">
        <f>IF(VLOOKUP(Table73[[#This Row],[Date]],Database!$A:$C,MATCH($C$1,Database!$A$1:$C$1,),)=0,#N/A,VLOOKUP(Table73[[#This Row],[Date]],Database!$A:$C,MATCH($C$1,Database!$A$1:$C$1,),))</f>
        <v/>
      </c>
      <c r="D2313">
        <f>IFERROR(Table73[[#This Row],[United States 10y]]-Table73[[#This Row],[United States 2y]],#N/A)</f>
        <v/>
      </c>
    </row>
    <row r="2314">
      <c r="A2314" s="6">
        <f>Database!A2313</f>
        <v/>
      </c>
      <c r="B2314">
        <f>IF(VLOOKUP(Table73[[#This Row],[Date]],Database!$A:$E,MATCH($B$1,Database!$A$1:$E$1,),)=0,#N/A,VLOOKUP(Table73[[#This Row],[Date]],Database!$A:$E,MATCH($B$1,Database!$A$1:$E$1,),))</f>
        <v/>
      </c>
      <c r="C2314">
        <f>IF(VLOOKUP(Table73[[#This Row],[Date]],Database!$A:$C,MATCH($C$1,Database!$A$1:$C$1,),)=0,#N/A,VLOOKUP(Table73[[#This Row],[Date]],Database!$A:$C,MATCH($C$1,Database!$A$1:$C$1,),))</f>
        <v/>
      </c>
      <c r="D2314">
        <f>IFERROR(Table73[[#This Row],[United States 10y]]-Table73[[#This Row],[United States 2y]],#N/A)</f>
        <v/>
      </c>
    </row>
    <row r="2315">
      <c r="A2315" s="6">
        <f>Database!A2314</f>
        <v/>
      </c>
      <c r="B2315">
        <f>IF(VLOOKUP(Table73[[#This Row],[Date]],Database!$A:$E,MATCH($B$1,Database!$A$1:$E$1,),)=0,#N/A,VLOOKUP(Table73[[#This Row],[Date]],Database!$A:$E,MATCH($B$1,Database!$A$1:$E$1,),))</f>
        <v/>
      </c>
      <c r="C2315">
        <f>IF(VLOOKUP(Table73[[#This Row],[Date]],Database!$A:$C,MATCH($C$1,Database!$A$1:$C$1,),)=0,#N/A,VLOOKUP(Table73[[#This Row],[Date]],Database!$A:$C,MATCH($C$1,Database!$A$1:$C$1,),))</f>
        <v/>
      </c>
      <c r="D2315">
        <f>IFERROR(Table73[[#This Row],[United States 10y]]-Table73[[#This Row],[United States 2y]],#N/A)</f>
        <v/>
      </c>
    </row>
    <row r="2316">
      <c r="A2316" s="6">
        <f>Database!A2315</f>
        <v/>
      </c>
      <c r="B2316">
        <f>IF(VLOOKUP(Table73[[#This Row],[Date]],Database!$A:$E,MATCH($B$1,Database!$A$1:$E$1,),)=0,#N/A,VLOOKUP(Table73[[#This Row],[Date]],Database!$A:$E,MATCH($B$1,Database!$A$1:$E$1,),))</f>
        <v/>
      </c>
      <c r="C2316">
        <f>IF(VLOOKUP(Table73[[#This Row],[Date]],Database!$A:$C,MATCH($C$1,Database!$A$1:$C$1,),)=0,#N/A,VLOOKUP(Table73[[#This Row],[Date]],Database!$A:$C,MATCH($C$1,Database!$A$1:$C$1,),))</f>
        <v/>
      </c>
      <c r="D2316">
        <f>IFERROR(Table73[[#This Row],[United States 10y]]-Table73[[#This Row],[United States 2y]],#N/A)</f>
        <v/>
      </c>
    </row>
    <row r="2317">
      <c r="A2317" s="6">
        <f>Database!A2316</f>
        <v/>
      </c>
      <c r="B2317">
        <f>IF(VLOOKUP(Table73[[#This Row],[Date]],Database!$A:$E,MATCH($B$1,Database!$A$1:$E$1,),)=0,#N/A,VLOOKUP(Table73[[#This Row],[Date]],Database!$A:$E,MATCH($B$1,Database!$A$1:$E$1,),))</f>
        <v/>
      </c>
      <c r="C2317">
        <f>IF(VLOOKUP(Table73[[#This Row],[Date]],Database!$A:$C,MATCH($C$1,Database!$A$1:$C$1,),)=0,#N/A,VLOOKUP(Table73[[#This Row],[Date]],Database!$A:$C,MATCH($C$1,Database!$A$1:$C$1,),))</f>
        <v/>
      </c>
      <c r="D2317">
        <f>IFERROR(Table73[[#This Row],[United States 10y]]-Table73[[#This Row],[United States 2y]],#N/A)</f>
        <v/>
      </c>
    </row>
    <row r="2318">
      <c r="A2318" s="6">
        <f>Database!A2317</f>
        <v/>
      </c>
      <c r="B2318">
        <f>IF(VLOOKUP(Table73[[#This Row],[Date]],Database!$A:$E,MATCH($B$1,Database!$A$1:$E$1,),)=0,#N/A,VLOOKUP(Table73[[#This Row],[Date]],Database!$A:$E,MATCH($B$1,Database!$A$1:$E$1,),))</f>
        <v/>
      </c>
      <c r="C2318">
        <f>IF(VLOOKUP(Table73[[#This Row],[Date]],Database!$A:$C,MATCH($C$1,Database!$A$1:$C$1,),)=0,#N/A,VLOOKUP(Table73[[#This Row],[Date]],Database!$A:$C,MATCH($C$1,Database!$A$1:$C$1,),))</f>
        <v/>
      </c>
      <c r="D2318">
        <f>IFERROR(Table73[[#This Row],[United States 10y]]-Table73[[#This Row],[United States 2y]],#N/A)</f>
        <v/>
      </c>
    </row>
    <row r="2319">
      <c r="A2319" s="6">
        <f>Database!A2318</f>
        <v/>
      </c>
      <c r="B2319">
        <f>IF(VLOOKUP(Table73[[#This Row],[Date]],Database!$A:$E,MATCH($B$1,Database!$A$1:$E$1,),)=0,#N/A,VLOOKUP(Table73[[#This Row],[Date]],Database!$A:$E,MATCH($B$1,Database!$A$1:$E$1,),))</f>
        <v/>
      </c>
      <c r="C2319">
        <f>IF(VLOOKUP(Table73[[#This Row],[Date]],Database!$A:$C,MATCH($C$1,Database!$A$1:$C$1,),)=0,#N/A,VLOOKUP(Table73[[#This Row],[Date]],Database!$A:$C,MATCH($C$1,Database!$A$1:$C$1,),))</f>
        <v/>
      </c>
      <c r="D2319">
        <f>IFERROR(Table73[[#This Row],[United States 10y]]-Table73[[#This Row],[United States 2y]],#N/A)</f>
        <v/>
      </c>
    </row>
    <row r="2320">
      <c r="A2320" s="6">
        <f>Database!A2319</f>
        <v/>
      </c>
      <c r="B2320">
        <f>IF(VLOOKUP(Table73[[#This Row],[Date]],Database!$A:$E,MATCH($B$1,Database!$A$1:$E$1,),)=0,#N/A,VLOOKUP(Table73[[#This Row],[Date]],Database!$A:$E,MATCH($B$1,Database!$A$1:$E$1,),))</f>
        <v/>
      </c>
      <c r="C2320">
        <f>IF(VLOOKUP(Table73[[#This Row],[Date]],Database!$A:$C,MATCH($C$1,Database!$A$1:$C$1,),)=0,#N/A,VLOOKUP(Table73[[#This Row],[Date]],Database!$A:$C,MATCH($C$1,Database!$A$1:$C$1,),))</f>
        <v/>
      </c>
      <c r="D2320">
        <f>IFERROR(Table73[[#This Row],[United States 10y]]-Table73[[#This Row],[United States 2y]],#N/A)</f>
        <v/>
      </c>
    </row>
    <row r="2321">
      <c r="A2321" s="6">
        <f>Database!A2320</f>
        <v/>
      </c>
      <c r="B2321">
        <f>IF(VLOOKUP(Table73[[#This Row],[Date]],Database!$A:$E,MATCH($B$1,Database!$A$1:$E$1,),)=0,#N/A,VLOOKUP(Table73[[#This Row],[Date]],Database!$A:$E,MATCH($B$1,Database!$A$1:$E$1,),))</f>
        <v/>
      </c>
      <c r="C2321">
        <f>IF(VLOOKUP(Table73[[#This Row],[Date]],Database!$A:$C,MATCH($C$1,Database!$A$1:$C$1,),)=0,#N/A,VLOOKUP(Table73[[#This Row],[Date]],Database!$A:$C,MATCH($C$1,Database!$A$1:$C$1,),))</f>
        <v/>
      </c>
      <c r="D2321">
        <f>IFERROR(Table73[[#This Row],[United States 10y]]-Table73[[#This Row],[United States 2y]],#N/A)</f>
        <v/>
      </c>
    </row>
    <row r="2322">
      <c r="A2322" s="6">
        <f>Database!A2321</f>
        <v/>
      </c>
      <c r="B2322">
        <f>IF(VLOOKUP(Table73[[#This Row],[Date]],Database!$A:$E,MATCH($B$1,Database!$A$1:$E$1,),)=0,#N/A,VLOOKUP(Table73[[#This Row],[Date]],Database!$A:$E,MATCH($B$1,Database!$A$1:$E$1,),))</f>
        <v/>
      </c>
      <c r="C2322">
        <f>IF(VLOOKUP(Table73[[#This Row],[Date]],Database!$A:$C,MATCH($C$1,Database!$A$1:$C$1,),)=0,#N/A,VLOOKUP(Table73[[#This Row],[Date]],Database!$A:$C,MATCH($C$1,Database!$A$1:$C$1,),))</f>
        <v/>
      </c>
      <c r="D2322">
        <f>IFERROR(Table73[[#This Row],[United States 10y]]-Table73[[#This Row],[United States 2y]],#N/A)</f>
        <v/>
      </c>
    </row>
    <row r="2323">
      <c r="A2323" s="6">
        <f>Database!A2322</f>
        <v/>
      </c>
      <c r="B2323">
        <f>IF(VLOOKUP(Table73[[#This Row],[Date]],Database!$A:$E,MATCH($B$1,Database!$A$1:$E$1,),)=0,#N/A,VLOOKUP(Table73[[#This Row],[Date]],Database!$A:$E,MATCH($B$1,Database!$A$1:$E$1,),))</f>
        <v/>
      </c>
      <c r="C2323">
        <f>IF(VLOOKUP(Table73[[#This Row],[Date]],Database!$A:$C,MATCH($C$1,Database!$A$1:$C$1,),)=0,#N/A,VLOOKUP(Table73[[#This Row],[Date]],Database!$A:$C,MATCH($C$1,Database!$A$1:$C$1,),))</f>
        <v/>
      </c>
      <c r="D2323">
        <f>IFERROR(Table73[[#This Row],[United States 10y]]-Table73[[#This Row],[United States 2y]],#N/A)</f>
        <v/>
      </c>
    </row>
    <row r="2324">
      <c r="A2324" s="6">
        <f>Database!A2323</f>
        <v/>
      </c>
      <c r="B2324">
        <f>IF(VLOOKUP(Table73[[#This Row],[Date]],Database!$A:$E,MATCH($B$1,Database!$A$1:$E$1,),)=0,#N/A,VLOOKUP(Table73[[#This Row],[Date]],Database!$A:$E,MATCH($B$1,Database!$A$1:$E$1,),))</f>
        <v/>
      </c>
      <c r="C2324">
        <f>IF(VLOOKUP(Table73[[#This Row],[Date]],Database!$A:$C,MATCH($C$1,Database!$A$1:$C$1,),)=0,#N/A,VLOOKUP(Table73[[#This Row],[Date]],Database!$A:$C,MATCH($C$1,Database!$A$1:$C$1,),))</f>
        <v/>
      </c>
      <c r="D2324">
        <f>IFERROR(Table73[[#This Row],[United States 10y]]-Table73[[#This Row],[United States 2y]],#N/A)</f>
        <v/>
      </c>
    </row>
    <row r="2325">
      <c r="A2325" s="6">
        <f>Database!A2324</f>
        <v/>
      </c>
      <c r="B2325">
        <f>IF(VLOOKUP(Table73[[#This Row],[Date]],Database!$A:$E,MATCH($B$1,Database!$A$1:$E$1,),)=0,#N/A,VLOOKUP(Table73[[#This Row],[Date]],Database!$A:$E,MATCH($B$1,Database!$A$1:$E$1,),))</f>
        <v/>
      </c>
      <c r="C2325">
        <f>IF(VLOOKUP(Table73[[#This Row],[Date]],Database!$A:$C,MATCH($C$1,Database!$A$1:$C$1,),)=0,#N/A,VLOOKUP(Table73[[#This Row],[Date]],Database!$A:$C,MATCH($C$1,Database!$A$1:$C$1,),))</f>
        <v/>
      </c>
      <c r="D2325">
        <f>IFERROR(Table73[[#This Row],[United States 10y]]-Table73[[#This Row],[United States 2y]],#N/A)</f>
        <v/>
      </c>
    </row>
    <row r="2326">
      <c r="A2326" s="6">
        <f>Database!A2325</f>
        <v/>
      </c>
      <c r="B2326">
        <f>IF(VLOOKUP(Table73[[#This Row],[Date]],Database!$A:$E,MATCH($B$1,Database!$A$1:$E$1,),)=0,#N/A,VLOOKUP(Table73[[#This Row],[Date]],Database!$A:$E,MATCH($B$1,Database!$A$1:$E$1,),))</f>
        <v/>
      </c>
      <c r="C2326">
        <f>IF(VLOOKUP(Table73[[#This Row],[Date]],Database!$A:$C,MATCH($C$1,Database!$A$1:$C$1,),)=0,#N/A,VLOOKUP(Table73[[#This Row],[Date]],Database!$A:$C,MATCH($C$1,Database!$A$1:$C$1,),))</f>
        <v/>
      </c>
      <c r="D2326">
        <f>IFERROR(Table73[[#This Row],[United States 10y]]-Table73[[#This Row],[United States 2y]],#N/A)</f>
        <v/>
      </c>
    </row>
    <row r="2327">
      <c r="A2327" s="6">
        <f>Database!A2326</f>
        <v/>
      </c>
      <c r="B2327">
        <f>IF(VLOOKUP(Table73[[#This Row],[Date]],Database!$A:$E,MATCH($B$1,Database!$A$1:$E$1,),)=0,#N/A,VLOOKUP(Table73[[#This Row],[Date]],Database!$A:$E,MATCH($B$1,Database!$A$1:$E$1,),))</f>
        <v/>
      </c>
      <c r="C2327">
        <f>IF(VLOOKUP(Table73[[#This Row],[Date]],Database!$A:$C,MATCH($C$1,Database!$A$1:$C$1,),)=0,#N/A,VLOOKUP(Table73[[#This Row],[Date]],Database!$A:$C,MATCH($C$1,Database!$A$1:$C$1,),))</f>
        <v/>
      </c>
      <c r="D2327">
        <f>IFERROR(Table73[[#This Row],[United States 10y]]-Table73[[#This Row],[United States 2y]],#N/A)</f>
        <v/>
      </c>
    </row>
    <row r="2328">
      <c r="A2328" s="6">
        <f>Database!A2327</f>
        <v/>
      </c>
      <c r="B2328">
        <f>IF(VLOOKUP(Table73[[#This Row],[Date]],Database!$A:$E,MATCH($B$1,Database!$A$1:$E$1,),)=0,#N/A,VLOOKUP(Table73[[#This Row],[Date]],Database!$A:$E,MATCH($B$1,Database!$A$1:$E$1,),))</f>
        <v/>
      </c>
      <c r="C2328">
        <f>IF(VLOOKUP(Table73[[#This Row],[Date]],Database!$A:$C,MATCH($C$1,Database!$A$1:$C$1,),)=0,#N/A,VLOOKUP(Table73[[#This Row],[Date]],Database!$A:$C,MATCH($C$1,Database!$A$1:$C$1,),))</f>
        <v/>
      </c>
      <c r="D2328">
        <f>IFERROR(Table73[[#This Row],[United States 10y]]-Table73[[#This Row],[United States 2y]],#N/A)</f>
        <v/>
      </c>
    </row>
    <row r="2329">
      <c r="A2329" s="6">
        <f>Database!A2328</f>
        <v/>
      </c>
      <c r="B2329">
        <f>IF(VLOOKUP(Table73[[#This Row],[Date]],Database!$A:$E,MATCH($B$1,Database!$A$1:$E$1,),)=0,#N/A,VLOOKUP(Table73[[#This Row],[Date]],Database!$A:$E,MATCH($B$1,Database!$A$1:$E$1,),))</f>
        <v/>
      </c>
      <c r="C2329">
        <f>IF(VLOOKUP(Table73[[#This Row],[Date]],Database!$A:$C,MATCH($C$1,Database!$A$1:$C$1,),)=0,#N/A,VLOOKUP(Table73[[#This Row],[Date]],Database!$A:$C,MATCH($C$1,Database!$A$1:$C$1,),))</f>
        <v/>
      </c>
      <c r="D2329">
        <f>IFERROR(Table73[[#This Row],[United States 10y]]-Table73[[#This Row],[United States 2y]],#N/A)</f>
        <v/>
      </c>
    </row>
    <row r="2330">
      <c r="A2330" s="6">
        <f>Database!A2329</f>
        <v/>
      </c>
      <c r="B2330">
        <f>IF(VLOOKUP(Table73[[#This Row],[Date]],Database!$A:$E,MATCH($B$1,Database!$A$1:$E$1,),)=0,#N/A,VLOOKUP(Table73[[#This Row],[Date]],Database!$A:$E,MATCH($B$1,Database!$A$1:$E$1,),))</f>
        <v/>
      </c>
      <c r="C2330">
        <f>IF(VLOOKUP(Table73[[#This Row],[Date]],Database!$A:$C,MATCH($C$1,Database!$A$1:$C$1,),)=0,#N/A,VLOOKUP(Table73[[#This Row],[Date]],Database!$A:$C,MATCH($C$1,Database!$A$1:$C$1,),))</f>
        <v/>
      </c>
      <c r="D2330">
        <f>IFERROR(Table73[[#This Row],[United States 10y]]-Table73[[#This Row],[United States 2y]],#N/A)</f>
        <v/>
      </c>
    </row>
    <row r="2331">
      <c r="A2331" s="6">
        <f>Database!A2330</f>
        <v/>
      </c>
      <c r="B2331">
        <f>IF(VLOOKUP(Table73[[#This Row],[Date]],Database!$A:$E,MATCH($B$1,Database!$A$1:$E$1,),)=0,#N/A,VLOOKUP(Table73[[#This Row],[Date]],Database!$A:$E,MATCH($B$1,Database!$A$1:$E$1,),))</f>
        <v/>
      </c>
      <c r="C2331">
        <f>IF(VLOOKUP(Table73[[#This Row],[Date]],Database!$A:$C,MATCH($C$1,Database!$A$1:$C$1,),)=0,#N/A,VLOOKUP(Table73[[#This Row],[Date]],Database!$A:$C,MATCH($C$1,Database!$A$1:$C$1,),))</f>
        <v/>
      </c>
      <c r="D2331">
        <f>IFERROR(Table73[[#This Row],[United States 10y]]-Table73[[#This Row],[United States 2y]],#N/A)</f>
        <v/>
      </c>
    </row>
    <row r="2332">
      <c r="A2332" s="6">
        <f>Database!A2331</f>
        <v/>
      </c>
      <c r="B2332">
        <f>IF(VLOOKUP(Table73[[#This Row],[Date]],Database!$A:$E,MATCH($B$1,Database!$A$1:$E$1,),)=0,#N/A,VLOOKUP(Table73[[#This Row],[Date]],Database!$A:$E,MATCH($B$1,Database!$A$1:$E$1,),))</f>
        <v/>
      </c>
      <c r="C2332">
        <f>IF(VLOOKUP(Table73[[#This Row],[Date]],Database!$A:$C,MATCH($C$1,Database!$A$1:$C$1,),)=0,#N/A,VLOOKUP(Table73[[#This Row],[Date]],Database!$A:$C,MATCH($C$1,Database!$A$1:$C$1,),))</f>
        <v/>
      </c>
      <c r="D2332">
        <f>IFERROR(Table73[[#This Row],[United States 10y]]-Table73[[#This Row],[United States 2y]],#N/A)</f>
        <v/>
      </c>
    </row>
    <row r="2333">
      <c r="A2333" s="6">
        <f>Database!A2332</f>
        <v/>
      </c>
      <c r="B2333">
        <f>IF(VLOOKUP(Table73[[#This Row],[Date]],Database!$A:$E,MATCH($B$1,Database!$A$1:$E$1,),)=0,#N/A,VLOOKUP(Table73[[#This Row],[Date]],Database!$A:$E,MATCH($B$1,Database!$A$1:$E$1,),))</f>
        <v/>
      </c>
      <c r="C2333">
        <f>IF(VLOOKUP(Table73[[#This Row],[Date]],Database!$A:$C,MATCH($C$1,Database!$A$1:$C$1,),)=0,#N/A,VLOOKUP(Table73[[#This Row],[Date]],Database!$A:$C,MATCH($C$1,Database!$A$1:$C$1,),))</f>
        <v/>
      </c>
      <c r="D2333">
        <f>IFERROR(Table73[[#This Row],[United States 10y]]-Table73[[#This Row],[United States 2y]],#N/A)</f>
        <v/>
      </c>
    </row>
    <row r="2334">
      <c r="A2334" s="6">
        <f>Database!A2333</f>
        <v/>
      </c>
      <c r="B2334">
        <f>IF(VLOOKUP(Table73[[#This Row],[Date]],Database!$A:$E,MATCH($B$1,Database!$A$1:$E$1,),)=0,#N/A,VLOOKUP(Table73[[#This Row],[Date]],Database!$A:$E,MATCH($B$1,Database!$A$1:$E$1,),))</f>
        <v/>
      </c>
      <c r="C2334">
        <f>IF(VLOOKUP(Table73[[#This Row],[Date]],Database!$A:$C,MATCH($C$1,Database!$A$1:$C$1,),)=0,#N/A,VLOOKUP(Table73[[#This Row],[Date]],Database!$A:$C,MATCH($C$1,Database!$A$1:$C$1,),))</f>
        <v/>
      </c>
      <c r="D2334">
        <f>IFERROR(Table73[[#This Row],[United States 10y]]-Table73[[#This Row],[United States 2y]],#N/A)</f>
        <v/>
      </c>
    </row>
    <row r="2335">
      <c r="A2335" s="6">
        <f>Database!A2334</f>
        <v/>
      </c>
      <c r="B2335">
        <f>IF(VLOOKUP(Table73[[#This Row],[Date]],Database!$A:$E,MATCH($B$1,Database!$A$1:$E$1,),)=0,#N/A,VLOOKUP(Table73[[#This Row],[Date]],Database!$A:$E,MATCH($B$1,Database!$A$1:$E$1,),))</f>
        <v/>
      </c>
      <c r="C2335">
        <f>IF(VLOOKUP(Table73[[#This Row],[Date]],Database!$A:$C,MATCH($C$1,Database!$A$1:$C$1,),)=0,#N/A,VLOOKUP(Table73[[#This Row],[Date]],Database!$A:$C,MATCH($C$1,Database!$A$1:$C$1,),))</f>
        <v/>
      </c>
      <c r="D2335">
        <f>IFERROR(Table73[[#This Row],[United States 10y]]-Table73[[#This Row],[United States 2y]],#N/A)</f>
        <v/>
      </c>
    </row>
    <row r="2336">
      <c r="A2336" s="6">
        <f>Database!A2335</f>
        <v/>
      </c>
      <c r="B2336">
        <f>IF(VLOOKUP(Table73[[#This Row],[Date]],Database!$A:$E,MATCH($B$1,Database!$A$1:$E$1,),)=0,#N/A,VLOOKUP(Table73[[#This Row],[Date]],Database!$A:$E,MATCH($B$1,Database!$A$1:$E$1,),))</f>
        <v/>
      </c>
      <c r="C2336">
        <f>IF(VLOOKUP(Table73[[#This Row],[Date]],Database!$A:$C,MATCH($C$1,Database!$A$1:$C$1,),)=0,#N/A,VLOOKUP(Table73[[#This Row],[Date]],Database!$A:$C,MATCH($C$1,Database!$A$1:$C$1,),))</f>
        <v/>
      </c>
      <c r="D2336">
        <f>IFERROR(Table73[[#This Row],[United States 10y]]-Table73[[#This Row],[United States 2y]],#N/A)</f>
        <v/>
      </c>
    </row>
    <row r="2337">
      <c r="A2337" s="6">
        <f>Database!A2336</f>
        <v/>
      </c>
      <c r="B2337">
        <f>IF(VLOOKUP(Table73[[#This Row],[Date]],Database!$A:$E,MATCH($B$1,Database!$A$1:$E$1,),)=0,#N/A,VLOOKUP(Table73[[#This Row],[Date]],Database!$A:$E,MATCH($B$1,Database!$A$1:$E$1,),))</f>
        <v/>
      </c>
      <c r="C2337">
        <f>IF(VLOOKUP(Table73[[#This Row],[Date]],Database!$A:$C,MATCH($C$1,Database!$A$1:$C$1,),)=0,#N/A,VLOOKUP(Table73[[#This Row],[Date]],Database!$A:$C,MATCH($C$1,Database!$A$1:$C$1,),))</f>
        <v/>
      </c>
      <c r="D2337">
        <f>IFERROR(Table73[[#This Row],[United States 10y]]-Table73[[#This Row],[United States 2y]],#N/A)</f>
        <v/>
      </c>
    </row>
    <row r="2338">
      <c r="A2338" s="6">
        <f>Database!A2337</f>
        <v/>
      </c>
      <c r="B2338">
        <f>IF(VLOOKUP(Table73[[#This Row],[Date]],Database!$A:$E,MATCH($B$1,Database!$A$1:$E$1,),)=0,#N/A,VLOOKUP(Table73[[#This Row],[Date]],Database!$A:$E,MATCH($B$1,Database!$A$1:$E$1,),))</f>
        <v/>
      </c>
      <c r="C2338">
        <f>IF(VLOOKUP(Table73[[#This Row],[Date]],Database!$A:$C,MATCH($C$1,Database!$A$1:$C$1,),)=0,#N/A,VLOOKUP(Table73[[#This Row],[Date]],Database!$A:$C,MATCH($C$1,Database!$A$1:$C$1,),))</f>
        <v/>
      </c>
      <c r="D2338">
        <f>IFERROR(Table73[[#This Row],[United States 10y]]-Table73[[#This Row],[United States 2y]],#N/A)</f>
        <v/>
      </c>
    </row>
    <row r="2339">
      <c r="A2339" s="6">
        <f>Database!A2338</f>
        <v/>
      </c>
      <c r="B2339">
        <f>IF(VLOOKUP(Table73[[#This Row],[Date]],Database!$A:$E,MATCH($B$1,Database!$A$1:$E$1,),)=0,#N/A,VLOOKUP(Table73[[#This Row],[Date]],Database!$A:$E,MATCH($B$1,Database!$A$1:$E$1,),))</f>
        <v/>
      </c>
      <c r="C2339">
        <f>IF(VLOOKUP(Table73[[#This Row],[Date]],Database!$A:$C,MATCH($C$1,Database!$A$1:$C$1,),)=0,#N/A,VLOOKUP(Table73[[#This Row],[Date]],Database!$A:$C,MATCH($C$1,Database!$A$1:$C$1,),))</f>
        <v/>
      </c>
      <c r="D2339">
        <f>IFERROR(Table73[[#This Row],[United States 10y]]-Table73[[#This Row],[United States 2y]],#N/A)</f>
        <v/>
      </c>
    </row>
    <row r="2340">
      <c r="A2340" s="6">
        <f>Database!A2339</f>
        <v/>
      </c>
      <c r="B2340">
        <f>IF(VLOOKUP(Table73[[#This Row],[Date]],Database!$A:$E,MATCH($B$1,Database!$A$1:$E$1,),)=0,#N/A,VLOOKUP(Table73[[#This Row],[Date]],Database!$A:$E,MATCH($B$1,Database!$A$1:$E$1,),))</f>
        <v/>
      </c>
      <c r="C2340">
        <f>IF(VLOOKUP(Table73[[#This Row],[Date]],Database!$A:$C,MATCH($C$1,Database!$A$1:$C$1,),)=0,#N/A,VLOOKUP(Table73[[#This Row],[Date]],Database!$A:$C,MATCH($C$1,Database!$A$1:$C$1,),))</f>
        <v/>
      </c>
      <c r="D2340">
        <f>IFERROR(Table73[[#This Row],[United States 10y]]-Table73[[#This Row],[United States 2y]],#N/A)</f>
        <v/>
      </c>
    </row>
    <row r="2341">
      <c r="A2341" s="6">
        <f>Database!A2340</f>
        <v/>
      </c>
      <c r="B2341">
        <f>IF(VLOOKUP(Table73[[#This Row],[Date]],Database!$A:$E,MATCH($B$1,Database!$A$1:$E$1,),)=0,#N/A,VLOOKUP(Table73[[#This Row],[Date]],Database!$A:$E,MATCH($B$1,Database!$A$1:$E$1,),))</f>
        <v/>
      </c>
      <c r="C2341">
        <f>IF(VLOOKUP(Table73[[#This Row],[Date]],Database!$A:$C,MATCH($C$1,Database!$A$1:$C$1,),)=0,#N/A,VLOOKUP(Table73[[#This Row],[Date]],Database!$A:$C,MATCH($C$1,Database!$A$1:$C$1,),))</f>
        <v/>
      </c>
      <c r="D2341">
        <f>IFERROR(Table73[[#This Row],[United States 10y]]-Table73[[#This Row],[United States 2y]],#N/A)</f>
        <v/>
      </c>
    </row>
    <row r="2342">
      <c r="A2342" s="6">
        <f>Database!A2341</f>
        <v/>
      </c>
      <c r="B2342">
        <f>IF(VLOOKUP(Table73[[#This Row],[Date]],Database!$A:$E,MATCH($B$1,Database!$A$1:$E$1,),)=0,#N/A,VLOOKUP(Table73[[#This Row],[Date]],Database!$A:$E,MATCH($B$1,Database!$A$1:$E$1,),))</f>
        <v/>
      </c>
      <c r="C2342">
        <f>IF(VLOOKUP(Table73[[#This Row],[Date]],Database!$A:$C,MATCH($C$1,Database!$A$1:$C$1,),)=0,#N/A,VLOOKUP(Table73[[#This Row],[Date]],Database!$A:$C,MATCH($C$1,Database!$A$1:$C$1,),))</f>
        <v/>
      </c>
      <c r="D2342">
        <f>IFERROR(Table73[[#This Row],[United States 10y]]-Table73[[#This Row],[United States 2y]],#N/A)</f>
        <v/>
      </c>
    </row>
    <row r="2343">
      <c r="A2343" s="6">
        <f>Database!A2342</f>
        <v/>
      </c>
      <c r="B2343">
        <f>IF(VLOOKUP(Table73[[#This Row],[Date]],Database!$A:$E,MATCH($B$1,Database!$A$1:$E$1,),)=0,#N/A,VLOOKUP(Table73[[#This Row],[Date]],Database!$A:$E,MATCH($B$1,Database!$A$1:$E$1,),))</f>
        <v/>
      </c>
      <c r="C2343">
        <f>IF(VLOOKUP(Table73[[#This Row],[Date]],Database!$A:$C,MATCH($C$1,Database!$A$1:$C$1,),)=0,#N/A,VLOOKUP(Table73[[#This Row],[Date]],Database!$A:$C,MATCH($C$1,Database!$A$1:$C$1,),))</f>
        <v/>
      </c>
      <c r="D2343">
        <f>IFERROR(Table73[[#This Row],[United States 10y]]-Table73[[#This Row],[United States 2y]],#N/A)</f>
        <v/>
      </c>
    </row>
    <row r="2344">
      <c r="A2344" s="6">
        <f>Database!A2343</f>
        <v/>
      </c>
      <c r="B2344">
        <f>IF(VLOOKUP(Table73[[#This Row],[Date]],Database!$A:$E,MATCH($B$1,Database!$A$1:$E$1,),)=0,#N/A,VLOOKUP(Table73[[#This Row],[Date]],Database!$A:$E,MATCH($B$1,Database!$A$1:$E$1,),))</f>
        <v/>
      </c>
      <c r="C2344">
        <f>IF(VLOOKUP(Table73[[#This Row],[Date]],Database!$A:$C,MATCH($C$1,Database!$A$1:$C$1,),)=0,#N/A,VLOOKUP(Table73[[#This Row],[Date]],Database!$A:$C,MATCH($C$1,Database!$A$1:$C$1,),))</f>
        <v/>
      </c>
      <c r="D2344">
        <f>IFERROR(Table73[[#This Row],[United States 10y]]-Table73[[#This Row],[United States 2y]],#N/A)</f>
        <v/>
      </c>
    </row>
    <row r="2345">
      <c r="A2345" s="6">
        <f>Database!A2344</f>
        <v/>
      </c>
      <c r="B2345">
        <f>IF(VLOOKUP(Table73[[#This Row],[Date]],Database!$A:$E,MATCH($B$1,Database!$A$1:$E$1,),)=0,#N/A,VLOOKUP(Table73[[#This Row],[Date]],Database!$A:$E,MATCH($B$1,Database!$A$1:$E$1,),))</f>
        <v/>
      </c>
      <c r="C2345">
        <f>IF(VLOOKUP(Table73[[#This Row],[Date]],Database!$A:$C,MATCH($C$1,Database!$A$1:$C$1,),)=0,#N/A,VLOOKUP(Table73[[#This Row],[Date]],Database!$A:$C,MATCH($C$1,Database!$A$1:$C$1,),))</f>
        <v/>
      </c>
      <c r="D2345">
        <f>IFERROR(Table73[[#This Row],[United States 10y]]-Table73[[#This Row],[United States 2y]],#N/A)</f>
        <v/>
      </c>
    </row>
    <row r="2346">
      <c r="A2346" s="6">
        <f>Database!A2345</f>
        <v/>
      </c>
      <c r="B2346">
        <f>IF(VLOOKUP(Table73[[#This Row],[Date]],Database!$A:$E,MATCH($B$1,Database!$A$1:$E$1,),)=0,#N/A,VLOOKUP(Table73[[#This Row],[Date]],Database!$A:$E,MATCH($B$1,Database!$A$1:$E$1,),))</f>
        <v/>
      </c>
      <c r="C2346">
        <f>IF(VLOOKUP(Table73[[#This Row],[Date]],Database!$A:$C,MATCH($C$1,Database!$A$1:$C$1,),)=0,#N/A,VLOOKUP(Table73[[#This Row],[Date]],Database!$A:$C,MATCH($C$1,Database!$A$1:$C$1,),))</f>
        <v/>
      </c>
      <c r="D2346">
        <f>IFERROR(Table73[[#This Row],[United States 10y]]-Table73[[#This Row],[United States 2y]],#N/A)</f>
        <v/>
      </c>
    </row>
    <row r="2347">
      <c r="A2347" s="6">
        <f>Database!A2346</f>
        <v/>
      </c>
      <c r="B2347">
        <f>IF(VLOOKUP(Table73[[#This Row],[Date]],Database!$A:$E,MATCH($B$1,Database!$A$1:$E$1,),)=0,#N/A,VLOOKUP(Table73[[#This Row],[Date]],Database!$A:$E,MATCH($B$1,Database!$A$1:$E$1,),))</f>
        <v/>
      </c>
      <c r="C2347">
        <f>IF(VLOOKUP(Table73[[#This Row],[Date]],Database!$A:$C,MATCH($C$1,Database!$A$1:$C$1,),)=0,#N/A,VLOOKUP(Table73[[#This Row],[Date]],Database!$A:$C,MATCH($C$1,Database!$A$1:$C$1,),))</f>
        <v/>
      </c>
      <c r="D2347">
        <f>IFERROR(Table73[[#This Row],[United States 10y]]-Table73[[#This Row],[United States 2y]],#N/A)</f>
        <v/>
      </c>
    </row>
    <row r="2348">
      <c r="A2348" s="6">
        <f>Database!A2347</f>
        <v/>
      </c>
      <c r="B2348">
        <f>IF(VLOOKUP(Table73[[#This Row],[Date]],Database!$A:$E,MATCH($B$1,Database!$A$1:$E$1,),)=0,#N/A,VLOOKUP(Table73[[#This Row],[Date]],Database!$A:$E,MATCH($B$1,Database!$A$1:$E$1,),))</f>
        <v/>
      </c>
      <c r="C2348">
        <f>IF(VLOOKUP(Table73[[#This Row],[Date]],Database!$A:$C,MATCH($C$1,Database!$A$1:$C$1,),)=0,#N/A,VLOOKUP(Table73[[#This Row],[Date]],Database!$A:$C,MATCH($C$1,Database!$A$1:$C$1,),))</f>
        <v/>
      </c>
      <c r="D2348">
        <f>IFERROR(Table73[[#This Row],[United States 10y]]-Table73[[#This Row],[United States 2y]],#N/A)</f>
        <v/>
      </c>
    </row>
    <row r="2349">
      <c r="A2349" s="6">
        <f>Database!A2348</f>
        <v/>
      </c>
      <c r="B2349">
        <f>IF(VLOOKUP(Table73[[#This Row],[Date]],Database!$A:$E,MATCH($B$1,Database!$A$1:$E$1,),)=0,#N/A,VLOOKUP(Table73[[#This Row],[Date]],Database!$A:$E,MATCH($B$1,Database!$A$1:$E$1,),))</f>
        <v/>
      </c>
      <c r="C2349">
        <f>IF(VLOOKUP(Table73[[#This Row],[Date]],Database!$A:$C,MATCH($C$1,Database!$A$1:$C$1,),)=0,#N/A,VLOOKUP(Table73[[#This Row],[Date]],Database!$A:$C,MATCH($C$1,Database!$A$1:$C$1,),))</f>
        <v/>
      </c>
      <c r="D2349">
        <f>IFERROR(Table73[[#This Row],[United States 10y]]-Table73[[#This Row],[United States 2y]],#N/A)</f>
        <v/>
      </c>
    </row>
    <row r="2350">
      <c r="A2350" s="6">
        <f>Database!A2349</f>
        <v/>
      </c>
      <c r="B2350">
        <f>IF(VLOOKUP(Table73[[#This Row],[Date]],Database!$A:$E,MATCH($B$1,Database!$A$1:$E$1,),)=0,#N/A,VLOOKUP(Table73[[#This Row],[Date]],Database!$A:$E,MATCH($B$1,Database!$A$1:$E$1,),))</f>
        <v/>
      </c>
      <c r="C2350">
        <f>IF(VLOOKUP(Table73[[#This Row],[Date]],Database!$A:$C,MATCH($C$1,Database!$A$1:$C$1,),)=0,#N/A,VLOOKUP(Table73[[#This Row],[Date]],Database!$A:$C,MATCH($C$1,Database!$A$1:$C$1,),))</f>
        <v/>
      </c>
      <c r="D2350">
        <f>IFERROR(Table73[[#This Row],[United States 10y]]-Table73[[#This Row],[United States 2y]],#N/A)</f>
        <v/>
      </c>
    </row>
    <row r="2351">
      <c r="A2351" s="6">
        <f>Database!A2350</f>
        <v/>
      </c>
      <c r="B2351">
        <f>IF(VLOOKUP(Table73[[#This Row],[Date]],Database!$A:$E,MATCH($B$1,Database!$A$1:$E$1,),)=0,#N/A,VLOOKUP(Table73[[#This Row],[Date]],Database!$A:$E,MATCH($B$1,Database!$A$1:$E$1,),))</f>
        <v/>
      </c>
      <c r="C2351">
        <f>IF(VLOOKUP(Table73[[#This Row],[Date]],Database!$A:$C,MATCH($C$1,Database!$A$1:$C$1,),)=0,#N/A,VLOOKUP(Table73[[#This Row],[Date]],Database!$A:$C,MATCH($C$1,Database!$A$1:$C$1,),))</f>
        <v/>
      </c>
      <c r="D2351">
        <f>IFERROR(Table73[[#This Row],[United States 10y]]-Table73[[#This Row],[United States 2y]],#N/A)</f>
        <v/>
      </c>
    </row>
    <row r="2352">
      <c r="A2352" s="6">
        <f>Database!A2351</f>
        <v/>
      </c>
      <c r="B2352">
        <f>IF(VLOOKUP(Table73[[#This Row],[Date]],Database!$A:$E,MATCH($B$1,Database!$A$1:$E$1,),)=0,#N/A,VLOOKUP(Table73[[#This Row],[Date]],Database!$A:$E,MATCH($B$1,Database!$A$1:$E$1,),))</f>
        <v/>
      </c>
      <c r="C2352">
        <f>IF(VLOOKUP(Table73[[#This Row],[Date]],Database!$A:$C,MATCH($C$1,Database!$A$1:$C$1,),)=0,#N/A,VLOOKUP(Table73[[#This Row],[Date]],Database!$A:$C,MATCH($C$1,Database!$A$1:$C$1,),))</f>
        <v/>
      </c>
      <c r="D2352">
        <f>IFERROR(Table73[[#This Row],[United States 10y]]-Table73[[#This Row],[United States 2y]],#N/A)</f>
        <v/>
      </c>
    </row>
    <row r="2353">
      <c r="A2353" s="6">
        <f>Database!A2352</f>
        <v/>
      </c>
      <c r="B2353">
        <f>IF(VLOOKUP(Table73[[#This Row],[Date]],Database!$A:$E,MATCH($B$1,Database!$A$1:$E$1,),)=0,#N/A,VLOOKUP(Table73[[#This Row],[Date]],Database!$A:$E,MATCH($B$1,Database!$A$1:$E$1,),))</f>
        <v/>
      </c>
      <c r="C2353">
        <f>IF(VLOOKUP(Table73[[#This Row],[Date]],Database!$A:$C,MATCH($C$1,Database!$A$1:$C$1,),)=0,#N/A,VLOOKUP(Table73[[#This Row],[Date]],Database!$A:$C,MATCH($C$1,Database!$A$1:$C$1,),))</f>
        <v/>
      </c>
      <c r="D2353">
        <f>IFERROR(Table73[[#This Row],[United States 10y]]-Table73[[#This Row],[United States 2y]],#N/A)</f>
        <v/>
      </c>
    </row>
    <row r="2354">
      <c r="A2354" s="6">
        <f>Database!A2353</f>
        <v/>
      </c>
      <c r="B2354">
        <f>IF(VLOOKUP(Table73[[#This Row],[Date]],Database!$A:$E,MATCH($B$1,Database!$A$1:$E$1,),)=0,#N/A,VLOOKUP(Table73[[#This Row],[Date]],Database!$A:$E,MATCH($B$1,Database!$A$1:$E$1,),))</f>
        <v/>
      </c>
      <c r="C2354">
        <f>IF(VLOOKUP(Table73[[#This Row],[Date]],Database!$A:$C,MATCH($C$1,Database!$A$1:$C$1,),)=0,#N/A,VLOOKUP(Table73[[#This Row],[Date]],Database!$A:$C,MATCH($C$1,Database!$A$1:$C$1,),))</f>
        <v/>
      </c>
      <c r="D2354">
        <f>IFERROR(Table73[[#This Row],[United States 10y]]-Table73[[#This Row],[United States 2y]],#N/A)</f>
        <v/>
      </c>
    </row>
    <row r="2355">
      <c r="A2355" s="6">
        <f>Database!A2354</f>
        <v/>
      </c>
      <c r="B2355">
        <f>IF(VLOOKUP(Table73[[#This Row],[Date]],Database!$A:$E,MATCH($B$1,Database!$A$1:$E$1,),)=0,#N/A,VLOOKUP(Table73[[#This Row],[Date]],Database!$A:$E,MATCH($B$1,Database!$A$1:$E$1,),))</f>
        <v/>
      </c>
      <c r="C2355">
        <f>IF(VLOOKUP(Table73[[#This Row],[Date]],Database!$A:$C,MATCH($C$1,Database!$A$1:$C$1,),)=0,#N/A,VLOOKUP(Table73[[#This Row],[Date]],Database!$A:$C,MATCH($C$1,Database!$A$1:$C$1,),))</f>
        <v/>
      </c>
      <c r="D2355">
        <f>IFERROR(Table73[[#This Row],[United States 10y]]-Table73[[#This Row],[United States 2y]],#N/A)</f>
        <v/>
      </c>
    </row>
    <row r="2356">
      <c r="A2356" s="6">
        <f>Database!A2355</f>
        <v/>
      </c>
      <c r="B2356">
        <f>IF(VLOOKUP(Table73[[#This Row],[Date]],Database!$A:$E,MATCH($B$1,Database!$A$1:$E$1,),)=0,#N/A,VLOOKUP(Table73[[#This Row],[Date]],Database!$A:$E,MATCH($B$1,Database!$A$1:$E$1,),))</f>
        <v/>
      </c>
      <c r="C2356">
        <f>IF(VLOOKUP(Table73[[#This Row],[Date]],Database!$A:$C,MATCH($C$1,Database!$A$1:$C$1,),)=0,#N/A,VLOOKUP(Table73[[#This Row],[Date]],Database!$A:$C,MATCH($C$1,Database!$A$1:$C$1,),))</f>
        <v/>
      </c>
      <c r="D2356">
        <f>IFERROR(Table73[[#This Row],[United States 10y]]-Table73[[#This Row],[United States 2y]],#N/A)</f>
        <v/>
      </c>
    </row>
    <row r="2357">
      <c r="A2357" s="6">
        <f>Database!A2356</f>
        <v/>
      </c>
      <c r="B2357">
        <f>IF(VLOOKUP(Table73[[#This Row],[Date]],Database!$A:$E,MATCH($B$1,Database!$A$1:$E$1,),)=0,#N/A,VLOOKUP(Table73[[#This Row],[Date]],Database!$A:$E,MATCH($B$1,Database!$A$1:$E$1,),))</f>
        <v/>
      </c>
      <c r="C2357">
        <f>IF(VLOOKUP(Table73[[#This Row],[Date]],Database!$A:$C,MATCH($C$1,Database!$A$1:$C$1,),)=0,#N/A,VLOOKUP(Table73[[#This Row],[Date]],Database!$A:$C,MATCH($C$1,Database!$A$1:$C$1,),))</f>
        <v/>
      </c>
      <c r="D2357">
        <f>IFERROR(Table73[[#This Row],[United States 10y]]-Table73[[#This Row],[United States 2y]],#N/A)</f>
        <v/>
      </c>
    </row>
    <row r="2358">
      <c r="A2358" s="6">
        <f>Database!A2357</f>
        <v/>
      </c>
      <c r="B2358">
        <f>IF(VLOOKUP(Table73[[#This Row],[Date]],Database!$A:$E,MATCH($B$1,Database!$A$1:$E$1,),)=0,#N/A,VLOOKUP(Table73[[#This Row],[Date]],Database!$A:$E,MATCH($B$1,Database!$A$1:$E$1,),))</f>
        <v/>
      </c>
      <c r="C2358">
        <f>IF(VLOOKUP(Table73[[#This Row],[Date]],Database!$A:$C,MATCH($C$1,Database!$A$1:$C$1,),)=0,#N/A,VLOOKUP(Table73[[#This Row],[Date]],Database!$A:$C,MATCH($C$1,Database!$A$1:$C$1,),))</f>
        <v/>
      </c>
      <c r="D2358">
        <f>IFERROR(Table73[[#This Row],[United States 10y]]-Table73[[#This Row],[United States 2y]],#N/A)</f>
        <v/>
      </c>
    </row>
    <row r="2359">
      <c r="A2359" s="6">
        <f>Database!A2358</f>
        <v/>
      </c>
      <c r="B2359">
        <f>IF(VLOOKUP(Table73[[#This Row],[Date]],Database!$A:$E,MATCH($B$1,Database!$A$1:$E$1,),)=0,#N/A,VLOOKUP(Table73[[#This Row],[Date]],Database!$A:$E,MATCH($B$1,Database!$A$1:$E$1,),))</f>
        <v/>
      </c>
      <c r="C2359">
        <f>IF(VLOOKUP(Table73[[#This Row],[Date]],Database!$A:$C,MATCH($C$1,Database!$A$1:$C$1,),)=0,#N/A,VLOOKUP(Table73[[#This Row],[Date]],Database!$A:$C,MATCH($C$1,Database!$A$1:$C$1,),))</f>
        <v/>
      </c>
      <c r="D2359">
        <f>IFERROR(Table73[[#This Row],[United States 10y]]-Table73[[#This Row],[United States 2y]],#N/A)</f>
        <v/>
      </c>
    </row>
    <row r="2360">
      <c r="A2360" s="6">
        <f>Database!A2359</f>
        <v/>
      </c>
      <c r="B2360">
        <f>IF(VLOOKUP(Table73[[#This Row],[Date]],Database!$A:$E,MATCH($B$1,Database!$A$1:$E$1,),)=0,#N/A,VLOOKUP(Table73[[#This Row],[Date]],Database!$A:$E,MATCH($B$1,Database!$A$1:$E$1,),))</f>
        <v/>
      </c>
      <c r="C2360">
        <f>IF(VLOOKUP(Table73[[#This Row],[Date]],Database!$A:$C,MATCH($C$1,Database!$A$1:$C$1,),)=0,#N/A,VLOOKUP(Table73[[#This Row],[Date]],Database!$A:$C,MATCH($C$1,Database!$A$1:$C$1,),))</f>
        <v/>
      </c>
      <c r="D2360">
        <f>IFERROR(Table73[[#This Row],[United States 10y]]-Table73[[#This Row],[United States 2y]],#N/A)</f>
        <v/>
      </c>
    </row>
    <row r="2361">
      <c r="A2361" s="6">
        <f>Database!A2360</f>
        <v/>
      </c>
      <c r="B2361">
        <f>IF(VLOOKUP(Table73[[#This Row],[Date]],Database!$A:$E,MATCH($B$1,Database!$A$1:$E$1,),)=0,#N/A,VLOOKUP(Table73[[#This Row],[Date]],Database!$A:$E,MATCH($B$1,Database!$A$1:$E$1,),))</f>
        <v/>
      </c>
      <c r="C2361">
        <f>IF(VLOOKUP(Table73[[#This Row],[Date]],Database!$A:$C,MATCH($C$1,Database!$A$1:$C$1,),)=0,#N/A,VLOOKUP(Table73[[#This Row],[Date]],Database!$A:$C,MATCH($C$1,Database!$A$1:$C$1,),))</f>
        <v/>
      </c>
      <c r="D2361">
        <f>IFERROR(Table73[[#This Row],[United States 10y]]-Table73[[#This Row],[United States 2y]],#N/A)</f>
        <v/>
      </c>
    </row>
    <row r="2362">
      <c r="A2362" s="6">
        <f>Database!A2361</f>
        <v/>
      </c>
      <c r="B2362">
        <f>IF(VLOOKUP(Table73[[#This Row],[Date]],Database!$A:$E,MATCH($B$1,Database!$A$1:$E$1,),)=0,#N/A,VLOOKUP(Table73[[#This Row],[Date]],Database!$A:$E,MATCH($B$1,Database!$A$1:$E$1,),))</f>
        <v/>
      </c>
      <c r="C2362">
        <f>IF(VLOOKUP(Table73[[#This Row],[Date]],Database!$A:$C,MATCH($C$1,Database!$A$1:$C$1,),)=0,#N/A,VLOOKUP(Table73[[#This Row],[Date]],Database!$A:$C,MATCH($C$1,Database!$A$1:$C$1,),))</f>
        <v/>
      </c>
      <c r="D2362">
        <f>IFERROR(Table73[[#This Row],[United States 10y]]-Table73[[#This Row],[United States 2y]],#N/A)</f>
        <v/>
      </c>
    </row>
    <row r="2363">
      <c r="A2363" s="6">
        <f>Database!A2362</f>
        <v/>
      </c>
      <c r="B2363">
        <f>IF(VLOOKUP(Table73[[#This Row],[Date]],Database!$A:$E,MATCH($B$1,Database!$A$1:$E$1,),)=0,#N/A,VLOOKUP(Table73[[#This Row],[Date]],Database!$A:$E,MATCH($B$1,Database!$A$1:$E$1,),))</f>
        <v/>
      </c>
      <c r="C2363">
        <f>IF(VLOOKUP(Table73[[#This Row],[Date]],Database!$A:$C,MATCH($C$1,Database!$A$1:$C$1,),)=0,#N/A,VLOOKUP(Table73[[#This Row],[Date]],Database!$A:$C,MATCH($C$1,Database!$A$1:$C$1,),))</f>
        <v/>
      </c>
      <c r="D2363">
        <f>IFERROR(Table73[[#This Row],[United States 10y]]-Table73[[#This Row],[United States 2y]],#N/A)</f>
        <v/>
      </c>
    </row>
    <row r="2364">
      <c r="A2364" s="6">
        <f>Database!A2363</f>
        <v/>
      </c>
      <c r="B2364">
        <f>IF(VLOOKUP(Table73[[#This Row],[Date]],Database!$A:$E,MATCH($B$1,Database!$A$1:$E$1,),)=0,#N/A,VLOOKUP(Table73[[#This Row],[Date]],Database!$A:$E,MATCH($B$1,Database!$A$1:$E$1,),))</f>
        <v/>
      </c>
      <c r="C2364">
        <f>IF(VLOOKUP(Table73[[#This Row],[Date]],Database!$A:$C,MATCH($C$1,Database!$A$1:$C$1,),)=0,#N/A,VLOOKUP(Table73[[#This Row],[Date]],Database!$A:$C,MATCH($C$1,Database!$A$1:$C$1,),))</f>
        <v/>
      </c>
      <c r="D2364">
        <f>IFERROR(Table73[[#This Row],[United States 10y]]-Table73[[#This Row],[United States 2y]],#N/A)</f>
        <v/>
      </c>
    </row>
    <row r="2365">
      <c r="A2365" s="6">
        <f>Database!A2364</f>
        <v/>
      </c>
      <c r="B2365">
        <f>IF(VLOOKUP(Table73[[#This Row],[Date]],Database!$A:$E,MATCH($B$1,Database!$A$1:$E$1,),)=0,#N/A,VLOOKUP(Table73[[#This Row],[Date]],Database!$A:$E,MATCH($B$1,Database!$A$1:$E$1,),))</f>
        <v/>
      </c>
      <c r="C2365">
        <f>IF(VLOOKUP(Table73[[#This Row],[Date]],Database!$A:$C,MATCH($C$1,Database!$A$1:$C$1,),)=0,#N/A,VLOOKUP(Table73[[#This Row],[Date]],Database!$A:$C,MATCH($C$1,Database!$A$1:$C$1,),))</f>
        <v/>
      </c>
      <c r="D2365">
        <f>IFERROR(Table73[[#This Row],[United States 10y]]-Table73[[#This Row],[United States 2y]],#N/A)</f>
        <v/>
      </c>
    </row>
    <row r="2366">
      <c r="A2366" s="6">
        <f>Database!A2365</f>
        <v/>
      </c>
      <c r="B2366">
        <f>IF(VLOOKUP(Table73[[#This Row],[Date]],Database!$A:$E,MATCH($B$1,Database!$A$1:$E$1,),)=0,#N/A,VLOOKUP(Table73[[#This Row],[Date]],Database!$A:$E,MATCH($B$1,Database!$A$1:$E$1,),))</f>
        <v/>
      </c>
      <c r="C2366">
        <f>IF(VLOOKUP(Table73[[#This Row],[Date]],Database!$A:$C,MATCH($C$1,Database!$A$1:$C$1,),)=0,#N/A,VLOOKUP(Table73[[#This Row],[Date]],Database!$A:$C,MATCH($C$1,Database!$A$1:$C$1,),))</f>
        <v/>
      </c>
      <c r="D2366">
        <f>IFERROR(Table73[[#This Row],[United States 10y]]-Table73[[#This Row],[United States 2y]],#N/A)</f>
        <v/>
      </c>
    </row>
    <row r="2367">
      <c r="A2367" s="6">
        <f>Database!A2366</f>
        <v/>
      </c>
      <c r="B2367">
        <f>IF(VLOOKUP(Table73[[#This Row],[Date]],Database!$A:$E,MATCH($B$1,Database!$A$1:$E$1,),)=0,#N/A,VLOOKUP(Table73[[#This Row],[Date]],Database!$A:$E,MATCH($B$1,Database!$A$1:$E$1,),))</f>
        <v/>
      </c>
      <c r="C2367">
        <f>IF(VLOOKUP(Table73[[#This Row],[Date]],Database!$A:$C,MATCH($C$1,Database!$A$1:$C$1,),)=0,#N/A,VLOOKUP(Table73[[#This Row],[Date]],Database!$A:$C,MATCH($C$1,Database!$A$1:$C$1,),))</f>
        <v/>
      </c>
      <c r="D2367">
        <f>IFERROR(Table73[[#This Row],[United States 10y]]-Table73[[#This Row],[United States 2y]],#N/A)</f>
        <v/>
      </c>
    </row>
    <row r="2368">
      <c r="A2368" s="6">
        <f>Database!A2367</f>
        <v/>
      </c>
      <c r="B2368">
        <f>IF(VLOOKUP(Table73[[#This Row],[Date]],Database!$A:$E,MATCH($B$1,Database!$A$1:$E$1,),)=0,#N/A,VLOOKUP(Table73[[#This Row],[Date]],Database!$A:$E,MATCH($B$1,Database!$A$1:$E$1,),))</f>
        <v/>
      </c>
      <c r="C2368">
        <f>IF(VLOOKUP(Table73[[#This Row],[Date]],Database!$A:$C,MATCH($C$1,Database!$A$1:$C$1,),)=0,#N/A,VLOOKUP(Table73[[#This Row],[Date]],Database!$A:$C,MATCH($C$1,Database!$A$1:$C$1,),))</f>
        <v/>
      </c>
      <c r="D2368">
        <f>IFERROR(Table73[[#This Row],[United States 10y]]-Table73[[#This Row],[United States 2y]],#N/A)</f>
        <v/>
      </c>
    </row>
    <row r="2369">
      <c r="A2369" s="6">
        <f>Database!A2368</f>
        <v/>
      </c>
      <c r="B2369">
        <f>IF(VLOOKUP(Table73[[#This Row],[Date]],Database!$A:$E,MATCH($B$1,Database!$A$1:$E$1,),)=0,#N/A,VLOOKUP(Table73[[#This Row],[Date]],Database!$A:$E,MATCH($B$1,Database!$A$1:$E$1,),))</f>
        <v/>
      </c>
      <c r="C2369">
        <f>IF(VLOOKUP(Table73[[#This Row],[Date]],Database!$A:$C,MATCH($C$1,Database!$A$1:$C$1,),)=0,#N/A,VLOOKUP(Table73[[#This Row],[Date]],Database!$A:$C,MATCH($C$1,Database!$A$1:$C$1,),))</f>
        <v/>
      </c>
      <c r="D2369">
        <f>IFERROR(Table73[[#This Row],[United States 10y]]-Table73[[#This Row],[United States 2y]],#N/A)</f>
        <v/>
      </c>
    </row>
    <row r="2370">
      <c r="A2370" s="6">
        <f>Database!A2369</f>
        <v/>
      </c>
      <c r="B2370">
        <f>IF(VLOOKUP(Table73[[#This Row],[Date]],Database!$A:$E,MATCH($B$1,Database!$A$1:$E$1,),)=0,#N/A,VLOOKUP(Table73[[#This Row],[Date]],Database!$A:$E,MATCH($B$1,Database!$A$1:$E$1,),))</f>
        <v/>
      </c>
      <c r="C2370">
        <f>IF(VLOOKUP(Table73[[#This Row],[Date]],Database!$A:$C,MATCH($C$1,Database!$A$1:$C$1,),)=0,#N/A,VLOOKUP(Table73[[#This Row],[Date]],Database!$A:$C,MATCH($C$1,Database!$A$1:$C$1,),))</f>
        <v/>
      </c>
      <c r="D2370">
        <f>IFERROR(Table73[[#This Row],[United States 10y]]-Table73[[#This Row],[United States 2y]],#N/A)</f>
        <v/>
      </c>
    </row>
    <row r="2371">
      <c r="A2371" s="6">
        <f>Database!A2370</f>
        <v/>
      </c>
      <c r="B2371">
        <f>IF(VLOOKUP(Table73[[#This Row],[Date]],Database!$A:$E,MATCH($B$1,Database!$A$1:$E$1,),)=0,#N/A,VLOOKUP(Table73[[#This Row],[Date]],Database!$A:$E,MATCH($B$1,Database!$A$1:$E$1,),))</f>
        <v/>
      </c>
      <c r="C2371">
        <f>IF(VLOOKUP(Table73[[#This Row],[Date]],Database!$A:$C,MATCH($C$1,Database!$A$1:$C$1,),)=0,#N/A,VLOOKUP(Table73[[#This Row],[Date]],Database!$A:$C,MATCH($C$1,Database!$A$1:$C$1,),))</f>
        <v/>
      </c>
      <c r="D2371">
        <f>IFERROR(Table73[[#This Row],[United States 10y]]-Table73[[#This Row],[United States 2y]],#N/A)</f>
        <v/>
      </c>
    </row>
    <row r="2372">
      <c r="A2372" s="6">
        <f>Database!A2371</f>
        <v/>
      </c>
      <c r="B2372">
        <f>IF(VLOOKUP(Table73[[#This Row],[Date]],Database!$A:$E,MATCH($B$1,Database!$A$1:$E$1,),)=0,#N/A,VLOOKUP(Table73[[#This Row],[Date]],Database!$A:$E,MATCH($B$1,Database!$A$1:$E$1,),))</f>
        <v/>
      </c>
      <c r="C2372">
        <f>IF(VLOOKUP(Table73[[#This Row],[Date]],Database!$A:$C,MATCH($C$1,Database!$A$1:$C$1,),)=0,#N/A,VLOOKUP(Table73[[#This Row],[Date]],Database!$A:$C,MATCH($C$1,Database!$A$1:$C$1,),))</f>
        <v/>
      </c>
      <c r="D2372">
        <f>IFERROR(Table73[[#This Row],[United States 10y]]-Table73[[#This Row],[United States 2y]],#N/A)</f>
        <v/>
      </c>
    </row>
    <row r="2373">
      <c r="A2373" s="6">
        <f>Database!A2372</f>
        <v/>
      </c>
      <c r="B2373">
        <f>IF(VLOOKUP(Table73[[#This Row],[Date]],Database!$A:$E,MATCH($B$1,Database!$A$1:$E$1,),)=0,#N/A,VLOOKUP(Table73[[#This Row],[Date]],Database!$A:$E,MATCH($B$1,Database!$A$1:$E$1,),))</f>
        <v/>
      </c>
      <c r="C2373">
        <f>IF(VLOOKUP(Table73[[#This Row],[Date]],Database!$A:$C,MATCH($C$1,Database!$A$1:$C$1,),)=0,#N/A,VLOOKUP(Table73[[#This Row],[Date]],Database!$A:$C,MATCH($C$1,Database!$A$1:$C$1,),))</f>
        <v/>
      </c>
      <c r="D2373">
        <f>IFERROR(Table73[[#This Row],[United States 10y]]-Table73[[#This Row],[United States 2y]],#N/A)</f>
        <v/>
      </c>
    </row>
    <row r="2374">
      <c r="A2374" s="6">
        <f>Database!A2373</f>
        <v/>
      </c>
      <c r="B2374">
        <f>IF(VLOOKUP(Table73[[#This Row],[Date]],Database!$A:$E,MATCH($B$1,Database!$A$1:$E$1,),)=0,#N/A,VLOOKUP(Table73[[#This Row],[Date]],Database!$A:$E,MATCH($B$1,Database!$A$1:$E$1,),))</f>
        <v/>
      </c>
      <c r="C2374">
        <f>IF(VLOOKUP(Table73[[#This Row],[Date]],Database!$A:$C,MATCH($C$1,Database!$A$1:$C$1,),)=0,#N/A,VLOOKUP(Table73[[#This Row],[Date]],Database!$A:$C,MATCH($C$1,Database!$A$1:$C$1,),))</f>
        <v/>
      </c>
      <c r="D2374">
        <f>IFERROR(Table73[[#This Row],[United States 10y]]-Table73[[#This Row],[United States 2y]],#N/A)</f>
        <v/>
      </c>
    </row>
    <row r="2375">
      <c r="A2375" s="6">
        <f>Database!A2374</f>
        <v/>
      </c>
      <c r="B2375">
        <f>IF(VLOOKUP(Table73[[#This Row],[Date]],Database!$A:$E,MATCH($B$1,Database!$A$1:$E$1,),)=0,#N/A,VLOOKUP(Table73[[#This Row],[Date]],Database!$A:$E,MATCH($B$1,Database!$A$1:$E$1,),))</f>
        <v/>
      </c>
      <c r="C2375">
        <f>IF(VLOOKUP(Table73[[#This Row],[Date]],Database!$A:$C,MATCH($C$1,Database!$A$1:$C$1,),)=0,#N/A,VLOOKUP(Table73[[#This Row],[Date]],Database!$A:$C,MATCH($C$1,Database!$A$1:$C$1,),))</f>
        <v/>
      </c>
      <c r="D2375">
        <f>IFERROR(Table73[[#This Row],[United States 10y]]-Table73[[#This Row],[United States 2y]],#N/A)</f>
        <v/>
      </c>
    </row>
    <row r="2376">
      <c r="A2376" s="6">
        <f>Database!A2375</f>
        <v/>
      </c>
      <c r="B2376">
        <f>IF(VLOOKUP(Table73[[#This Row],[Date]],Database!$A:$E,MATCH($B$1,Database!$A$1:$E$1,),)=0,#N/A,VLOOKUP(Table73[[#This Row],[Date]],Database!$A:$E,MATCH($B$1,Database!$A$1:$E$1,),))</f>
        <v/>
      </c>
      <c r="C2376">
        <f>IF(VLOOKUP(Table73[[#This Row],[Date]],Database!$A:$C,MATCH($C$1,Database!$A$1:$C$1,),)=0,#N/A,VLOOKUP(Table73[[#This Row],[Date]],Database!$A:$C,MATCH($C$1,Database!$A$1:$C$1,),))</f>
        <v/>
      </c>
      <c r="D2376">
        <f>IFERROR(Table73[[#This Row],[United States 10y]]-Table73[[#This Row],[United States 2y]],#N/A)</f>
        <v/>
      </c>
    </row>
    <row r="2377">
      <c r="A2377" s="6">
        <f>Database!A2376</f>
        <v/>
      </c>
      <c r="B2377">
        <f>IF(VLOOKUP(Table73[[#This Row],[Date]],Database!$A:$E,MATCH($B$1,Database!$A$1:$E$1,),)=0,#N/A,VLOOKUP(Table73[[#This Row],[Date]],Database!$A:$E,MATCH($B$1,Database!$A$1:$E$1,),))</f>
        <v/>
      </c>
      <c r="C2377">
        <f>IF(VLOOKUP(Table73[[#This Row],[Date]],Database!$A:$C,MATCH($C$1,Database!$A$1:$C$1,),)=0,#N/A,VLOOKUP(Table73[[#This Row],[Date]],Database!$A:$C,MATCH($C$1,Database!$A$1:$C$1,),))</f>
        <v/>
      </c>
      <c r="D2377">
        <f>IFERROR(Table73[[#This Row],[United States 10y]]-Table73[[#This Row],[United States 2y]],#N/A)</f>
        <v/>
      </c>
    </row>
    <row r="2378">
      <c r="A2378" s="6">
        <f>Database!A2377</f>
        <v/>
      </c>
      <c r="B2378">
        <f>IF(VLOOKUP(Table73[[#This Row],[Date]],Database!$A:$E,MATCH($B$1,Database!$A$1:$E$1,),)=0,#N/A,VLOOKUP(Table73[[#This Row],[Date]],Database!$A:$E,MATCH($B$1,Database!$A$1:$E$1,),))</f>
        <v/>
      </c>
      <c r="C2378">
        <f>IF(VLOOKUP(Table73[[#This Row],[Date]],Database!$A:$C,MATCH($C$1,Database!$A$1:$C$1,),)=0,#N/A,VLOOKUP(Table73[[#This Row],[Date]],Database!$A:$C,MATCH($C$1,Database!$A$1:$C$1,),))</f>
        <v/>
      </c>
      <c r="D2378">
        <f>IFERROR(Table73[[#This Row],[United States 10y]]-Table73[[#This Row],[United States 2y]],#N/A)</f>
        <v/>
      </c>
    </row>
    <row r="2379">
      <c r="A2379" s="6">
        <f>Database!A2378</f>
        <v/>
      </c>
      <c r="B2379">
        <f>IF(VLOOKUP(Table73[[#This Row],[Date]],Database!$A:$E,MATCH($B$1,Database!$A$1:$E$1,),)=0,#N/A,VLOOKUP(Table73[[#This Row],[Date]],Database!$A:$E,MATCH($B$1,Database!$A$1:$E$1,),))</f>
        <v/>
      </c>
      <c r="C2379">
        <f>IF(VLOOKUP(Table73[[#This Row],[Date]],Database!$A:$C,MATCH($C$1,Database!$A$1:$C$1,),)=0,#N/A,VLOOKUP(Table73[[#This Row],[Date]],Database!$A:$C,MATCH($C$1,Database!$A$1:$C$1,),))</f>
        <v/>
      </c>
      <c r="D2379">
        <f>IFERROR(Table73[[#This Row],[United States 10y]]-Table73[[#This Row],[United States 2y]],#N/A)</f>
        <v/>
      </c>
    </row>
    <row r="2380">
      <c r="A2380" s="6">
        <f>Database!A2379</f>
        <v/>
      </c>
      <c r="B2380">
        <f>IF(VLOOKUP(Table73[[#This Row],[Date]],Database!$A:$E,MATCH($B$1,Database!$A$1:$E$1,),)=0,#N/A,VLOOKUP(Table73[[#This Row],[Date]],Database!$A:$E,MATCH($B$1,Database!$A$1:$E$1,),))</f>
        <v/>
      </c>
      <c r="C2380">
        <f>IF(VLOOKUP(Table73[[#This Row],[Date]],Database!$A:$C,MATCH($C$1,Database!$A$1:$C$1,),)=0,#N/A,VLOOKUP(Table73[[#This Row],[Date]],Database!$A:$C,MATCH($C$1,Database!$A$1:$C$1,),))</f>
        <v/>
      </c>
      <c r="D2380">
        <f>IFERROR(Table73[[#This Row],[United States 10y]]-Table73[[#This Row],[United States 2y]],#N/A)</f>
        <v/>
      </c>
    </row>
    <row r="2381">
      <c r="A2381" s="6">
        <f>Database!A2380</f>
        <v/>
      </c>
      <c r="B2381">
        <f>IF(VLOOKUP(Table73[[#This Row],[Date]],Database!$A:$E,MATCH($B$1,Database!$A$1:$E$1,),)=0,#N/A,VLOOKUP(Table73[[#This Row],[Date]],Database!$A:$E,MATCH($B$1,Database!$A$1:$E$1,),))</f>
        <v/>
      </c>
      <c r="C2381">
        <f>IF(VLOOKUP(Table73[[#This Row],[Date]],Database!$A:$C,MATCH($C$1,Database!$A$1:$C$1,),)=0,#N/A,VLOOKUP(Table73[[#This Row],[Date]],Database!$A:$C,MATCH($C$1,Database!$A$1:$C$1,),))</f>
        <v/>
      </c>
      <c r="D2381">
        <f>IFERROR(Table73[[#This Row],[United States 10y]]-Table73[[#This Row],[United States 2y]],#N/A)</f>
        <v/>
      </c>
    </row>
    <row r="2382">
      <c r="A2382" s="6">
        <f>Database!A2381</f>
        <v/>
      </c>
      <c r="B2382">
        <f>IF(VLOOKUP(Table73[[#This Row],[Date]],Database!$A:$E,MATCH($B$1,Database!$A$1:$E$1,),)=0,#N/A,VLOOKUP(Table73[[#This Row],[Date]],Database!$A:$E,MATCH($B$1,Database!$A$1:$E$1,),))</f>
        <v/>
      </c>
      <c r="C2382">
        <f>IF(VLOOKUP(Table73[[#This Row],[Date]],Database!$A:$C,MATCH($C$1,Database!$A$1:$C$1,),)=0,#N/A,VLOOKUP(Table73[[#This Row],[Date]],Database!$A:$C,MATCH($C$1,Database!$A$1:$C$1,),))</f>
        <v/>
      </c>
      <c r="D2382">
        <f>IFERROR(Table73[[#This Row],[United States 10y]]-Table73[[#This Row],[United States 2y]],#N/A)</f>
        <v/>
      </c>
    </row>
    <row r="2383">
      <c r="A2383" s="6">
        <f>Database!A2382</f>
        <v/>
      </c>
      <c r="B2383">
        <f>IF(VLOOKUP(Table73[[#This Row],[Date]],Database!$A:$E,MATCH($B$1,Database!$A$1:$E$1,),)=0,#N/A,VLOOKUP(Table73[[#This Row],[Date]],Database!$A:$E,MATCH($B$1,Database!$A$1:$E$1,),))</f>
        <v/>
      </c>
      <c r="C2383">
        <f>IF(VLOOKUP(Table73[[#This Row],[Date]],Database!$A:$C,MATCH($C$1,Database!$A$1:$C$1,),)=0,#N/A,VLOOKUP(Table73[[#This Row],[Date]],Database!$A:$C,MATCH($C$1,Database!$A$1:$C$1,),))</f>
        <v/>
      </c>
      <c r="D2383">
        <f>IFERROR(Table73[[#This Row],[United States 10y]]-Table73[[#This Row],[United States 2y]],#N/A)</f>
        <v/>
      </c>
    </row>
    <row r="2384">
      <c r="A2384" s="6">
        <f>Database!A2383</f>
        <v/>
      </c>
      <c r="B2384">
        <f>IF(VLOOKUP(Table73[[#This Row],[Date]],Database!$A:$E,MATCH($B$1,Database!$A$1:$E$1,),)=0,#N/A,VLOOKUP(Table73[[#This Row],[Date]],Database!$A:$E,MATCH($B$1,Database!$A$1:$E$1,),))</f>
        <v/>
      </c>
      <c r="C2384">
        <f>IF(VLOOKUP(Table73[[#This Row],[Date]],Database!$A:$C,MATCH($C$1,Database!$A$1:$C$1,),)=0,#N/A,VLOOKUP(Table73[[#This Row],[Date]],Database!$A:$C,MATCH($C$1,Database!$A$1:$C$1,),))</f>
        <v/>
      </c>
      <c r="D2384">
        <f>IFERROR(Table73[[#This Row],[United States 10y]]-Table73[[#This Row],[United States 2y]],#N/A)</f>
        <v/>
      </c>
    </row>
    <row r="2385">
      <c r="A2385" s="6">
        <f>Database!A2384</f>
        <v/>
      </c>
      <c r="B2385">
        <f>IF(VLOOKUP(Table73[[#This Row],[Date]],Database!$A:$E,MATCH($B$1,Database!$A$1:$E$1,),)=0,#N/A,VLOOKUP(Table73[[#This Row],[Date]],Database!$A:$E,MATCH($B$1,Database!$A$1:$E$1,),))</f>
        <v/>
      </c>
      <c r="C2385">
        <f>IF(VLOOKUP(Table73[[#This Row],[Date]],Database!$A:$C,MATCH($C$1,Database!$A$1:$C$1,),)=0,#N/A,VLOOKUP(Table73[[#This Row],[Date]],Database!$A:$C,MATCH($C$1,Database!$A$1:$C$1,),))</f>
        <v/>
      </c>
      <c r="D2385">
        <f>IFERROR(Table73[[#This Row],[United States 10y]]-Table73[[#This Row],[United States 2y]],#N/A)</f>
        <v/>
      </c>
    </row>
    <row r="2386">
      <c r="A2386" s="6">
        <f>Database!A2385</f>
        <v/>
      </c>
      <c r="B2386">
        <f>IF(VLOOKUP(Table73[[#This Row],[Date]],Database!$A:$E,MATCH($B$1,Database!$A$1:$E$1,),)=0,#N/A,VLOOKUP(Table73[[#This Row],[Date]],Database!$A:$E,MATCH($B$1,Database!$A$1:$E$1,),))</f>
        <v/>
      </c>
      <c r="C2386">
        <f>IF(VLOOKUP(Table73[[#This Row],[Date]],Database!$A:$C,MATCH($C$1,Database!$A$1:$C$1,),)=0,#N/A,VLOOKUP(Table73[[#This Row],[Date]],Database!$A:$C,MATCH($C$1,Database!$A$1:$C$1,),))</f>
        <v/>
      </c>
      <c r="D2386">
        <f>IFERROR(Table73[[#This Row],[United States 10y]]-Table73[[#This Row],[United States 2y]],#N/A)</f>
        <v/>
      </c>
    </row>
    <row r="2387">
      <c r="A2387" s="6">
        <f>Database!A2386</f>
        <v/>
      </c>
      <c r="B2387">
        <f>IF(VLOOKUP(Table73[[#This Row],[Date]],Database!$A:$E,MATCH($B$1,Database!$A$1:$E$1,),)=0,#N/A,VLOOKUP(Table73[[#This Row],[Date]],Database!$A:$E,MATCH($B$1,Database!$A$1:$E$1,),))</f>
        <v/>
      </c>
      <c r="C2387">
        <f>IF(VLOOKUP(Table73[[#This Row],[Date]],Database!$A:$C,MATCH($C$1,Database!$A$1:$C$1,),)=0,#N/A,VLOOKUP(Table73[[#This Row],[Date]],Database!$A:$C,MATCH($C$1,Database!$A$1:$C$1,),))</f>
        <v/>
      </c>
      <c r="D2387">
        <f>IFERROR(Table73[[#This Row],[United States 10y]]-Table73[[#This Row],[United States 2y]],#N/A)</f>
        <v/>
      </c>
    </row>
    <row r="2388">
      <c r="A2388" s="6">
        <f>Database!A2387</f>
        <v/>
      </c>
      <c r="B2388">
        <f>IF(VLOOKUP(Table73[[#This Row],[Date]],Database!$A:$E,MATCH($B$1,Database!$A$1:$E$1,),)=0,#N/A,VLOOKUP(Table73[[#This Row],[Date]],Database!$A:$E,MATCH($B$1,Database!$A$1:$E$1,),))</f>
        <v/>
      </c>
      <c r="C2388">
        <f>IF(VLOOKUP(Table73[[#This Row],[Date]],Database!$A:$C,MATCH($C$1,Database!$A$1:$C$1,),)=0,#N/A,VLOOKUP(Table73[[#This Row],[Date]],Database!$A:$C,MATCH($C$1,Database!$A$1:$C$1,),))</f>
        <v/>
      </c>
      <c r="D2388">
        <f>IFERROR(Table73[[#This Row],[United States 10y]]-Table73[[#This Row],[United States 2y]],#N/A)</f>
        <v/>
      </c>
    </row>
    <row r="2389">
      <c r="A2389" s="6">
        <f>Database!A2388</f>
        <v/>
      </c>
      <c r="B2389">
        <f>IF(VLOOKUP(Table73[[#This Row],[Date]],Database!$A:$E,MATCH($B$1,Database!$A$1:$E$1,),)=0,#N/A,VLOOKUP(Table73[[#This Row],[Date]],Database!$A:$E,MATCH($B$1,Database!$A$1:$E$1,),))</f>
        <v/>
      </c>
      <c r="C2389">
        <f>IF(VLOOKUP(Table73[[#This Row],[Date]],Database!$A:$C,MATCH($C$1,Database!$A$1:$C$1,),)=0,#N/A,VLOOKUP(Table73[[#This Row],[Date]],Database!$A:$C,MATCH($C$1,Database!$A$1:$C$1,),))</f>
        <v/>
      </c>
      <c r="D2389">
        <f>IFERROR(Table73[[#This Row],[United States 10y]]-Table73[[#This Row],[United States 2y]],#N/A)</f>
        <v/>
      </c>
    </row>
    <row r="2390">
      <c r="A2390" s="6">
        <f>Database!A2389</f>
        <v/>
      </c>
      <c r="B2390">
        <f>IF(VLOOKUP(Table73[[#This Row],[Date]],Database!$A:$E,MATCH($B$1,Database!$A$1:$E$1,),)=0,#N/A,VLOOKUP(Table73[[#This Row],[Date]],Database!$A:$E,MATCH($B$1,Database!$A$1:$E$1,),))</f>
        <v/>
      </c>
      <c r="C2390">
        <f>IF(VLOOKUP(Table73[[#This Row],[Date]],Database!$A:$C,MATCH($C$1,Database!$A$1:$C$1,),)=0,#N/A,VLOOKUP(Table73[[#This Row],[Date]],Database!$A:$C,MATCH($C$1,Database!$A$1:$C$1,),))</f>
        <v/>
      </c>
      <c r="D2390">
        <f>IFERROR(Table73[[#This Row],[United States 10y]]-Table73[[#This Row],[United States 2y]],#N/A)</f>
        <v/>
      </c>
    </row>
    <row r="2391">
      <c r="A2391" s="6">
        <f>Database!A2390</f>
        <v/>
      </c>
      <c r="B2391">
        <f>IF(VLOOKUP(Table73[[#This Row],[Date]],Database!$A:$E,MATCH($B$1,Database!$A$1:$E$1,),)=0,#N/A,VLOOKUP(Table73[[#This Row],[Date]],Database!$A:$E,MATCH($B$1,Database!$A$1:$E$1,),))</f>
        <v/>
      </c>
      <c r="C2391">
        <f>IF(VLOOKUP(Table73[[#This Row],[Date]],Database!$A:$C,MATCH($C$1,Database!$A$1:$C$1,),)=0,#N/A,VLOOKUP(Table73[[#This Row],[Date]],Database!$A:$C,MATCH($C$1,Database!$A$1:$C$1,),))</f>
        <v/>
      </c>
      <c r="D2391">
        <f>IFERROR(Table73[[#This Row],[United States 10y]]-Table73[[#This Row],[United States 2y]],#N/A)</f>
        <v/>
      </c>
    </row>
    <row r="2392">
      <c r="A2392" s="6">
        <f>Database!A2391</f>
        <v/>
      </c>
      <c r="B2392">
        <f>IF(VLOOKUP(Table73[[#This Row],[Date]],Database!$A:$E,MATCH($B$1,Database!$A$1:$E$1,),)=0,#N/A,VLOOKUP(Table73[[#This Row],[Date]],Database!$A:$E,MATCH($B$1,Database!$A$1:$E$1,),))</f>
        <v/>
      </c>
      <c r="C2392">
        <f>IF(VLOOKUP(Table73[[#This Row],[Date]],Database!$A:$C,MATCH($C$1,Database!$A$1:$C$1,),)=0,#N/A,VLOOKUP(Table73[[#This Row],[Date]],Database!$A:$C,MATCH($C$1,Database!$A$1:$C$1,),))</f>
        <v/>
      </c>
      <c r="D2392">
        <f>IFERROR(Table73[[#This Row],[United States 10y]]-Table73[[#This Row],[United States 2y]],#N/A)</f>
        <v/>
      </c>
    </row>
    <row r="2393">
      <c r="A2393" s="6">
        <f>Database!A2392</f>
        <v/>
      </c>
      <c r="B2393">
        <f>IF(VLOOKUP(Table73[[#This Row],[Date]],Database!$A:$E,MATCH($B$1,Database!$A$1:$E$1,),)=0,#N/A,VLOOKUP(Table73[[#This Row],[Date]],Database!$A:$E,MATCH($B$1,Database!$A$1:$E$1,),))</f>
        <v/>
      </c>
      <c r="C2393">
        <f>IF(VLOOKUP(Table73[[#This Row],[Date]],Database!$A:$C,MATCH($C$1,Database!$A$1:$C$1,),)=0,#N/A,VLOOKUP(Table73[[#This Row],[Date]],Database!$A:$C,MATCH($C$1,Database!$A$1:$C$1,),))</f>
        <v/>
      </c>
      <c r="D2393">
        <f>IFERROR(Table73[[#This Row],[United States 10y]]-Table73[[#This Row],[United States 2y]],#N/A)</f>
        <v/>
      </c>
    </row>
    <row r="2394">
      <c r="A2394" s="6">
        <f>Database!A2393</f>
        <v/>
      </c>
      <c r="B2394">
        <f>IF(VLOOKUP(Table73[[#This Row],[Date]],Database!$A:$E,MATCH($B$1,Database!$A$1:$E$1,),)=0,#N/A,VLOOKUP(Table73[[#This Row],[Date]],Database!$A:$E,MATCH($B$1,Database!$A$1:$E$1,),))</f>
        <v/>
      </c>
      <c r="C2394">
        <f>IF(VLOOKUP(Table73[[#This Row],[Date]],Database!$A:$C,MATCH($C$1,Database!$A$1:$C$1,),)=0,#N/A,VLOOKUP(Table73[[#This Row],[Date]],Database!$A:$C,MATCH($C$1,Database!$A$1:$C$1,),))</f>
        <v/>
      </c>
      <c r="D2394">
        <f>IFERROR(Table73[[#This Row],[United States 10y]]-Table73[[#This Row],[United States 2y]],#N/A)</f>
        <v/>
      </c>
    </row>
    <row r="2395">
      <c r="A2395" s="6">
        <f>Database!A2394</f>
        <v/>
      </c>
      <c r="B2395">
        <f>IF(VLOOKUP(Table73[[#This Row],[Date]],Database!$A:$E,MATCH($B$1,Database!$A$1:$E$1,),)=0,#N/A,VLOOKUP(Table73[[#This Row],[Date]],Database!$A:$E,MATCH($B$1,Database!$A$1:$E$1,),))</f>
        <v/>
      </c>
      <c r="C2395">
        <f>IF(VLOOKUP(Table73[[#This Row],[Date]],Database!$A:$C,MATCH($C$1,Database!$A$1:$C$1,),)=0,#N/A,VLOOKUP(Table73[[#This Row],[Date]],Database!$A:$C,MATCH($C$1,Database!$A$1:$C$1,),))</f>
        <v/>
      </c>
      <c r="D2395">
        <f>IFERROR(Table73[[#This Row],[United States 10y]]-Table73[[#This Row],[United States 2y]],#N/A)</f>
        <v/>
      </c>
    </row>
    <row r="2396">
      <c r="A2396" s="6">
        <f>Database!A2395</f>
        <v/>
      </c>
      <c r="B2396">
        <f>IF(VLOOKUP(Table73[[#This Row],[Date]],Database!$A:$E,MATCH($B$1,Database!$A$1:$E$1,),)=0,#N/A,VLOOKUP(Table73[[#This Row],[Date]],Database!$A:$E,MATCH($B$1,Database!$A$1:$E$1,),))</f>
        <v/>
      </c>
      <c r="C2396">
        <f>IF(VLOOKUP(Table73[[#This Row],[Date]],Database!$A:$C,MATCH($C$1,Database!$A$1:$C$1,),)=0,#N/A,VLOOKUP(Table73[[#This Row],[Date]],Database!$A:$C,MATCH($C$1,Database!$A$1:$C$1,),))</f>
        <v/>
      </c>
      <c r="D2396">
        <f>IFERROR(Table73[[#This Row],[United States 10y]]-Table73[[#This Row],[United States 2y]],#N/A)</f>
        <v/>
      </c>
    </row>
    <row r="2397">
      <c r="A2397" s="6">
        <f>Database!A2396</f>
        <v/>
      </c>
      <c r="B2397">
        <f>IF(VLOOKUP(Table73[[#This Row],[Date]],Database!$A:$E,MATCH($B$1,Database!$A$1:$E$1,),)=0,#N/A,VLOOKUP(Table73[[#This Row],[Date]],Database!$A:$E,MATCH($B$1,Database!$A$1:$E$1,),))</f>
        <v/>
      </c>
      <c r="C2397">
        <f>IF(VLOOKUP(Table73[[#This Row],[Date]],Database!$A:$C,MATCH($C$1,Database!$A$1:$C$1,),)=0,#N/A,VLOOKUP(Table73[[#This Row],[Date]],Database!$A:$C,MATCH($C$1,Database!$A$1:$C$1,),))</f>
        <v/>
      </c>
      <c r="D2397">
        <f>IFERROR(Table73[[#This Row],[United States 10y]]-Table73[[#This Row],[United States 2y]],#N/A)</f>
        <v/>
      </c>
    </row>
    <row r="2398">
      <c r="A2398" s="6">
        <f>Database!A2397</f>
        <v/>
      </c>
      <c r="B2398">
        <f>IF(VLOOKUP(Table73[[#This Row],[Date]],Database!$A:$E,MATCH($B$1,Database!$A$1:$E$1,),)=0,#N/A,VLOOKUP(Table73[[#This Row],[Date]],Database!$A:$E,MATCH($B$1,Database!$A$1:$E$1,),))</f>
        <v/>
      </c>
      <c r="C2398">
        <f>IF(VLOOKUP(Table73[[#This Row],[Date]],Database!$A:$C,MATCH($C$1,Database!$A$1:$C$1,),)=0,#N/A,VLOOKUP(Table73[[#This Row],[Date]],Database!$A:$C,MATCH($C$1,Database!$A$1:$C$1,),))</f>
        <v/>
      </c>
      <c r="D2398">
        <f>IFERROR(Table73[[#This Row],[United States 10y]]-Table73[[#This Row],[United States 2y]],#N/A)</f>
        <v/>
      </c>
    </row>
    <row r="2399">
      <c r="A2399" s="6">
        <f>Database!A2398</f>
        <v/>
      </c>
      <c r="B2399">
        <f>IF(VLOOKUP(Table73[[#This Row],[Date]],Database!$A:$E,MATCH($B$1,Database!$A$1:$E$1,),)=0,#N/A,VLOOKUP(Table73[[#This Row],[Date]],Database!$A:$E,MATCH($B$1,Database!$A$1:$E$1,),))</f>
        <v/>
      </c>
      <c r="C2399">
        <f>IF(VLOOKUP(Table73[[#This Row],[Date]],Database!$A:$C,MATCH($C$1,Database!$A$1:$C$1,),)=0,#N/A,VLOOKUP(Table73[[#This Row],[Date]],Database!$A:$C,MATCH($C$1,Database!$A$1:$C$1,),))</f>
        <v/>
      </c>
      <c r="D2399">
        <f>IFERROR(Table73[[#This Row],[United States 10y]]-Table73[[#This Row],[United States 2y]],#N/A)</f>
        <v/>
      </c>
    </row>
    <row r="2400">
      <c r="A2400" s="6">
        <f>Database!A2399</f>
        <v/>
      </c>
      <c r="B2400">
        <f>IF(VLOOKUP(Table73[[#This Row],[Date]],Database!$A:$E,MATCH($B$1,Database!$A$1:$E$1,),)=0,#N/A,VLOOKUP(Table73[[#This Row],[Date]],Database!$A:$E,MATCH($B$1,Database!$A$1:$E$1,),))</f>
        <v/>
      </c>
      <c r="C2400">
        <f>IF(VLOOKUP(Table73[[#This Row],[Date]],Database!$A:$C,MATCH($C$1,Database!$A$1:$C$1,),)=0,#N/A,VLOOKUP(Table73[[#This Row],[Date]],Database!$A:$C,MATCH($C$1,Database!$A$1:$C$1,),))</f>
        <v/>
      </c>
      <c r="D2400">
        <f>IFERROR(Table73[[#This Row],[United States 10y]]-Table73[[#This Row],[United States 2y]],#N/A)</f>
        <v/>
      </c>
    </row>
    <row r="2401">
      <c r="A2401" s="6">
        <f>Database!A2400</f>
        <v/>
      </c>
      <c r="B2401">
        <f>IF(VLOOKUP(Table73[[#This Row],[Date]],Database!$A:$E,MATCH($B$1,Database!$A$1:$E$1,),)=0,#N/A,VLOOKUP(Table73[[#This Row],[Date]],Database!$A:$E,MATCH($B$1,Database!$A$1:$E$1,),))</f>
        <v/>
      </c>
      <c r="C2401">
        <f>IF(VLOOKUP(Table73[[#This Row],[Date]],Database!$A:$C,MATCH($C$1,Database!$A$1:$C$1,),)=0,#N/A,VLOOKUP(Table73[[#This Row],[Date]],Database!$A:$C,MATCH($C$1,Database!$A$1:$C$1,),))</f>
        <v/>
      </c>
      <c r="D2401">
        <f>IFERROR(Table73[[#This Row],[United States 10y]]-Table73[[#This Row],[United States 2y]],#N/A)</f>
        <v/>
      </c>
    </row>
    <row r="2402">
      <c r="A2402" s="6">
        <f>Database!A2401</f>
        <v/>
      </c>
      <c r="B2402">
        <f>IF(VLOOKUP(Table73[[#This Row],[Date]],Database!$A:$E,MATCH($B$1,Database!$A$1:$E$1,),)=0,#N/A,VLOOKUP(Table73[[#This Row],[Date]],Database!$A:$E,MATCH($B$1,Database!$A$1:$E$1,),))</f>
        <v/>
      </c>
      <c r="C2402">
        <f>IF(VLOOKUP(Table73[[#This Row],[Date]],Database!$A:$C,MATCH($C$1,Database!$A$1:$C$1,),)=0,#N/A,VLOOKUP(Table73[[#This Row],[Date]],Database!$A:$C,MATCH($C$1,Database!$A$1:$C$1,),))</f>
        <v/>
      </c>
      <c r="D2402">
        <f>IFERROR(Table73[[#This Row],[United States 10y]]-Table73[[#This Row],[United States 2y]],#N/A)</f>
        <v/>
      </c>
    </row>
    <row r="2403">
      <c r="A2403" s="6">
        <f>Database!A2402</f>
        <v/>
      </c>
      <c r="B2403">
        <f>IF(VLOOKUP(Table73[[#This Row],[Date]],Database!$A:$E,MATCH($B$1,Database!$A$1:$E$1,),)=0,#N/A,VLOOKUP(Table73[[#This Row],[Date]],Database!$A:$E,MATCH($B$1,Database!$A$1:$E$1,),))</f>
        <v/>
      </c>
      <c r="C2403">
        <f>IF(VLOOKUP(Table73[[#This Row],[Date]],Database!$A:$C,MATCH($C$1,Database!$A$1:$C$1,),)=0,#N/A,VLOOKUP(Table73[[#This Row],[Date]],Database!$A:$C,MATCH($C$1,Database!$A$1:$C$1,),))</f>
        <v/>
      </c>
      <c r="D2403">
        <f>IFERROR(Table73[[#This Row],[United States 10y]]-Table73[[#This Row],[United States 2y]],#N/A)</f>
        <v/>
      </c>
    </row>
    <row r="2404">
      <c r="A2404" s="6">
        <f>Database!A2403</f>
        <v/>
      </c>
      <c r="B2404">
        <f>IF(VLOOKUP(Table73[[#This Row],[Date]],Database!$A:$E,MATCH($B$1,Database!$A$1:$E$1,),)=0,#N/A,VLOOKUP(Table73[[#This Row],[Date]],Database!$A:$E,MATCH($B$1,Database!$A$1:$E$1,),))</f>
        <v/>
      </c>
      <c r="C2404">
        <f>IF(VLOOKUP(Table73[[#This Row],[Date]],Database!$A:$C,MATCH($C$1,Database!$A$1:$C$1,),)=0,#N/A,VLOOKUP(Table73[[#This Row],[Date]],Database!$A:$C,MATCH($C$1,Database!$A$1:$C$1,),))</f>
        <v/>
      </c>
      <c r="D2404">
        <f>IFERROR(Table73[[#This Row],[United States 10y]]-Table73[[#This Row],[United States 2y]],#N/A)</f>
        <v/>
      </c>
    </row>
    <row r="2405">
      <c r="A2405" s="6">
        <f>Database!A2404</f>
        <v/>
      </c>
      <c r="B2405">
        <f>IF(VLOOKUP(Table73[[#This Row],[Date]],Database!$A:$E,MATCH($B$1,Database!$A$1:$E$1,),)=0,#N/A,VLOOKUP(Table73[[#This Row],[Date]],Database!$A:$E,MATCH($B$1,Database!$A$1:$E$1,),))</f>
        <v/>
      </c>
      <c r="C2405">
        <f>IF(VLOOKUP(Table73[[#This Row],[Date]],Database!$A:$C,MATCH($C$1,Database!$A$1:$C$1,),)=0,#N/A,VLOOKUP(Table73[[#This Row],[Date]],Database!$A:$C,MATCH($C$1,Database!$A$1:$C$1,),))</f>
        <v/>
      </c>
      <c r="D2405">
        <f>IFERROR(Table73[[#This Row],[United States 10y]]-Table73[[#This Row],[United States 2y]],#N/A)</f>
        <v/>
      </c>
    </row>
    <row r="2406">
      <c r="A2406" s="6">
        <f>Database!A2405</f>
        <v/>
      </c>
      <c r="B2406">
        <f>IF(VLOOKUP(Table73[[#This Row],[Date]],Database!$A:$E,MATCH($B$1,Database!$A$1:$E$1,),)=0,#N/A,VLOOKUP(Table73[[#This Row],[Date]],Database!$A:$E,MATCH($B$1,Database!$A$1:$E$1,),))</f>
        <v/>
      </c>
      <c r="C2406">
        <f>IF(VLOOKUP(Table73[[#This Row],[Date]],Database!$A:$C,MATCH($C$1,Database!$A$1:$C$1,),)=0,#N/A,VLOOKUP(Table73[[#This Row],[Date]],Database!$A:$C,MATCH($C$1,Database!$A$1:$C$1,),))</f>
        <v/>
      </c>
      <c r="D2406">
        <f>IFERROR(Table73[[#This Row],[United States 10y]]-Table73[[#This Row],[United States 2y]],#N/A)</f>
        <v/>
      </c>
    </row>
    <row r="2407">
      <c r="A2407" s="6">
        <f>Database!A2406</f>
        <v/>
      </c>
      <c r="B2407">
        <f>IF(VLOOKUP(Table73[[#This Row],[Date]],Database!$A:$E,MATCH($B$1,Database!$A$1:$E$1,),)=0,#N/A,VLOOKUP(Table73[[#This Row],[Date]],Database!$A:$E,MATCH($B$1,Database!$A$1:$E$1,),))</f>
        <v/>
      </c>
      <c r="C2407">
        <f>IF(VLOOKUP(Table73[[#This Row],[Date]],Database!$A:$C,MATCH($C$1,Database!$A$1:$C$1,),)=0,#N/A,VLOOKUP(Table73[[#This Row],[Date]],Database!$A:$C,MATCH($C$1,Database!$A$1:$C$1,),))</f>
        <v/>
      </c>
      <c r="D2407">
        <f>IFERROR(Table73[[#This Row],[United States 10y]]-Table73[[#This Row],[United States 2y]],#N/A)</f>
        <v/>
      </c>
    </row>
    <row r="2408">
      <c r="A2408" s="6">
        <f>Database!A2407</f>
        <v/>
      </c>
      <c r="B2408">
        <f>IF(VLOOKUP(Table73[[#This Row],[Date]],Database!$A:$E,MATCH($B$1,Database!$A$1:$E$1,),)=0,#N/A,VLOOKUP(Table73[[#This Row],[Date]],Database!$A:$E,MATCH($B$1,Database!$A$1:$E$1,),))</f>
        <v/>
      </c>
      <c r="C2408">
        <f>IF(VLOOKUP(Table73[[#This Row],[Date]],Database!$A:$C,MATCH($C$1,Database!$A$1:$C$1,),)=0,#N/A,VLOOKUP(Table73[[#This Row],[Date]],Database!$A:$C,MATCH($C$1,Database!$A$1:$C$1,),))</f>
        <v/>
      </c>
      <c r="D2408">
        <f>IFERROR(Table73[[#This Row],[United States 10y]]-Table73[[#This Row],[United States 2y]],#N/A)</f>
        <v/>
      </c>
    </row>
    <row r="2409">
      <c r="A2409" s="6">
        <f>Database!A2408</f>
        <v/>
      </c>
      <c r="B2409">
        <f>IF(VLOOKUP(Table73[[#This Row],[Date]],Database!$A:$E,MATCH($B$1,Database!$A$1:$E$1,),)=0,#N/A,VLOOKUP(Table73[[#This Row],[Date]],Database!$A:$E,MATCH($B$1,Database!$A$1:$E$1,),))</f>
        <v/>
      </c>
      <c r="C2409">
        <f>IF(VLOOKUP(Table73[[#This Row],[Date]],Database!$A:$C,MATCH($C$1,Database!$A$1:$C$1,),)=0,#N/A,VLOOKUP(Table73[[#This Row],[Date]],Database!$A:$C,MATCH($C$1,Database!$A$1:$C$1,),))</f>
        <v/>
      </c>
      <c r="D2409">
        <f>IFERROR(Table73[[#This Row],[United States 10y]]-Table73[[#This Row],[United States 2y]],#N/A)</f>
        <v/>
      </c>
    </row>
    <row r="2410">
      <c r="A2410" s="6">
        <f>Database!A2409</f>
        <v/>
      </c>
      <c r="B2410">
        <f>IF(VLOOKUP(Table73[[#This Row],[Date]],Database!$A:$E,MATCH($B$1,Database!$A$1:$E$1,),)=0,#N/A,VLOOKUP(Table73[[#This Row],[Date]],Database!$A:$E,MATCH($B$1,Database!$A$1:$E$1,),))</f>
        <v/>
      </c>
      <c r="C2410">
        <f>IF(VLOOKUP(Table73[[#This Row],[Date]],Database!$A:$C,MATCH($C$1,Database!$A$1:$C$1,),)=0,#N/A,VLOOKUP(Table73[[#This Row],[Date]],Database!$A:$C,MATCH($C$1,Database!$A$1:$C$1,),))</f>
        <v/>
      </c>
      <c r="D2410">
        <f>IFERROR(Table73[[#This Row],[United States 10y]]-Table73[[#This Row],[United States 2y]],#N/A)</f>
        <v/>
      </c>
    </row>
    <row r="2411">
      <c r="A2411" s="6">
        <f>Database!A2410</f>
        <v/>
      </c>
      <c r="B2411">
        <f>IF(VLOOKUP(Table73[[#This Row],[Date]],Database!$A:$E,MATCH($B$1,Database!$A$1:$E$1,),)=0,#N/A,VLOOKUP(Table73[[#This Row],[Date]],Database!$A:$E,MATCH($B$1,Database!$A$1:$E$1,),))</f>
        <v/>
      </c>
      <c r="C2411">
        <f>IF(VLOOKUP(Table73[[#This Row],[Date]],Database!$A:$C,MATCH($C$1,Database!$A$1:$C$1,),)=0,#N/A,VLOOKUP(Table73[[#This Row],[Date]],Database!$A:$C,MATCH($C$1,Database!$A$1:$C$1,),))</f>
        <v/>
      </c>
      <c r="D2411">
        <f>IFERROR(Table73[[#This Row],[United States 10y]]-Table73[[#This Row],[United States 2y]],#N/A)</f>
        <v/>
      </c>
    </row>
    <row r="2412">
      <c r="A2412" s="6">
        <f>Database!A2411</f>
        <v/>
      </c>
      <c r="B2412">
        <f>IF(VLOOKUP(Table73[[#This Row],[Date]],Database!$A:$E,MATCH($B$1,Database!$A$1:$E$1,),)=0,#N/A,VLOOKUP(Table73[[#This Row],[Date]],Database!$A:$E,MATCH($B$1,Database!$A$1:$E$1,),))</f>
        <v/>
      </c>
      <c r="C2412">
        <f>IF(VLOOKUP(Table73[[#This Row],[Date]],Database!$A:$C,MATCH($C$1,Database!$A$1:$C$1,),)=0,#N/A,VLOOKUP(Table73[[#This Row],[Date]],Database!$A:$C,MATCH($C$1,Database!$A$1:$C$1,),))</f>
        <v/>
      </c>
      <c r="D2412">
        <f>IFERROR(Table73[[#This Row],[United States 10y]]-Table73[[#This Row],[United States 2y]],#N/A)</f>
        <v/>
      </c>
    </row>
    <row r="2413">
      <c r="A2413" s="6">
        <f>Database!A2412</f>
        <v/>
      </c>
      <c r="B2413">
        <f>IF(VLOOKUP(Table73[[#This Row],[Date]],Database!$A:$E,MATCH($B$1,Database!$A$1:$E$1,),)=0,#N/A,VLOOKUP(Table73[[#This Row],[Date]],Database!$A:$E,MATCH($B$1,Database!$A$1:$E$1,),))</f>
        <v/>
      </c>
      <c r="C2413">
        <f>IF(VLOOKUP(Table73[[#This Row],[Date]],Database!$A:$C,MATCH($C$1,Database!$A$1:$C$1,),)=0,#N/A,VLOOKUP(Table73[[#This Row],[Date]],Database!$A:$C,MATCH($C$1,Database!$A$1:$C$1,),))</f>
        <v/>
      </c>
      <c r="D2413">
        <f>IFERROR(Table73[[#This Row],[United States 10y]]-Table73[[#This Row],[United States 2y]],#N/A)</f>
        <v/>
      </c>
    </row>
    <row r="2414">
      <c r="A2414" s="6">
        <f>Database!A2413</f>
        <v/>
      </c>
      <c r="B2414">
        <f>IF(VLOOKUP(Table73[[#This Row],[Date]],Database!$A:$E,MATCH($B$1,Database!$A$1:$E$1,),)=0,#N/A,VLOOKUP(Table73[[#This Row],[Date]],Database!$A:$E,MATCH($B$1,Database!$A$1:$E$1,),))</f>
        <v/>
      </c>
      <c r="C2414">
        <f>IF(VLOOKUP(Table73[[#This Row],[Date]],Database!$A:$C,MATCH($C$1,Database!$A$1:$C$1,),)=0,#N/A,VLOOKUP(Table73[[#This Row],[Date]],Database!$A:$C,MATCH($C$1,Database!$A$1:$C$1,),))</f>
        <v/>
      </c>
      <c r="D2414">
        <f>IFERROR(Table73[[#This Row],[United States 10y]]-Table73[[#This Row],[United States 2y]],#N/A)</f>
        <v/>
      </c>
    </row>
    <row r="2415">
      <c r="A2415" s="6">
        <f>Database!A2414</f>
        <v/>
      </c>
      <c r="B2415">
        <f>IF(VLOOKUP(Table73[[#This Row],[Date]],Database!$A:$E,MATCH($B$1,Database!$A$1:$E$1,),)=0,#N/A,VLOOKUP(Table73[[#This Row],[Date]],Database!$A:$E,MATCH($B$1,Database!$A$1:$E$1,),))</f>
        <v/>
      </c>
      <c r="C2415">
        <f>IF(VLOOKUP(Table73[[#This Row],[Date]],Database!$A:$C,MATCH($C$1,Database!$A$1:$C$1,),)=0,#N/A,VLOOKUP(Table73[[#This Row],[Date]],Database!$A:$C,MATCH($C$1,Database!$A$1:$C$1,),))</f>
        <v/>
      </c>
      <c r="D2415">
        <f>IFERROR(Table73[[#This Row],[United States 10y]]-Table73[[#This Row],[United States 2y]],#N/A)</f>
        <v/>
      </c>
    </row>
    <row r="2416">
      <c r="A2416" s="6">
        <f>Database!A2415</f>
        <v/>
      </c>
      <c r="B2416">
        <f>IF(VLOOKUP(Table73[[#This Row],[Date]],Database!$A:$E,MATCH($B$1,Database!$A$1:$E$1,),)=0,#N/A,VLOOKUP(Table73[[#This Row],[Date]],Database!$A:$E,MATCH($B$1,Database!$A$1:$E$1,),))</f>
        <v/>
      </c>
      <c r="C2416">
        <f>IF(VLOOKUP(Table73[[#This Row],[Date]],Database!$A:$C,MATCH($C$1,Database!$A$1:$C$1,),)=0,#N/A,VLOOKUP(Table73[[#This Row],[Date]],Database!$A:$C,MATCH($C$1,Database!$A$1:$C$1,),))</f>
        <v/>
      </c>
      <c r="D2416">
        <f>IFERROR(Table73[[#This Row],[United States 10y]]-Table73[[#This Row],[United States 2y]],#N/A)</f>
        <v/>
      </c>
    </row>
    <row r="2417">
      <c r="A2417" s="6">
        <f>Database!A2416</f>
        <v/>
      </c>
      <c r="B2417">
        <f>IF(VLOOKUP(Table73[[#This Row],[Date]],Database!$A:$E,MATCH($B$1,Database!$A$1:$E$1,),)=0,#N/A,VLOOKUP(Table73[[#This Row],[Date]],Database!$A:$E,MATCH($B$1,Database!$A$1:$E$1,),))</f>
        <v/>
      </c>
      <c r="C2417">
        <f>IF(VLOOKUP(Table73[[#This Row],[Date]],Database!$A:$C,MATCH($C$1,Database!$A$1:$C$1,),)=0,#N/A,VLOOKUP(Table73[[#This Row],[Date]],Database!$A:$C,MATCH($C$1,Database!$A$1:$C$1,),))</f>
        <v/>
      </c>
      <c r="D2417">
        <f>IFERROR(Table73[[#This Row],[United States 10y]]-Table73[[#This Row],[United States 2y]],#N/A)</f>
        <v/>
      </c>
    </row>
    <row r="2418">
      <c r="A2418" s="6">
        <f>Database!A2417</f>
        <v/>
      </c>
      <c r="B2418">
        <f>IF(VLOOKUP(Table73[[#This Row],[Date]],Database!$A:$E,MATCH($B$1,Database!$A$1:$E$1,),)=0,#N/A,VLOOKUP(Table73[[#This Row],[Date]],Database!$A:$E,MATCH($B$1,Database!$A$1:$E$1,),))</f>
        <v/>
      </c>
      <c r="C2418">
        <f>IF(VLOOKUP(Table73[[#This Row],[Date]],Database!$A:$C,MATCH($C$1,Database!$A$1:$C$1,),)=0,#N/A,VLOOKUP(Table73[[#This Row],[Date]],Database!$A:$C,MATCH($C$1,Database!$A$1:$C$1,),))</f>
        <v/>
      </c>
      <c r="D2418">
        <f>IFERROR(Table73[[#This Row],[United States 10y]]-Table73[[#This Row],[United States 2y]],#N/A)</f>
        <v/>
      </c>
    </row>
    <row r="2419">
      <c r="A2419" s="6">
        <f>Database!A2418</f>
        <v/>
      </c>
      <c r="B2419">
        <f>IF(VLOOKUP(Table73[[#This Row],[Date]],Database!$A:$E,MATCH($B$1,Database!$A$1:$E$1,),)=0,#N/A,VLOOKUP(Table73[[#This Row],[Date]],Database!$A:$E,MATCH($B$1,Database!$A$1:$E$1,),))</f>
        <v/>
      </c>
      <c r="C2419">
        <f>IF(VLOOKUP(Table73[[#This Row],[Date]],Database!$A:$C,MATCH($C$1,Database!$A$1:$C$1,),)=0,#N/A,VLOOKUP(Table73[[#This Row],[Date]],Database!$A:$C,MATCH($C$1,Database!$A$1:$C$1,),))</f>
        <v/>
      </c>
      <c r="D2419">
        <f>IFERROR(Table73[[#This Row],[United States 10y]]-Table73[[#This Row],[United States 2y]],#N/A)</f>
        <v/>
      </c>
    </row>
    <row r="2420">
      <c r="A2420" s="6">
        <f>Database!A2419</f>
        <v/>
      </c>
      <c r="B2420">
        <f>IF(VLOOKUP(Table73[[#This Row],[Date]],Database!$A:$E,MATCH($B$1,Database!$A$1:$E$1,),)=0,#N/A,VLOOKUP(Table73[[#This Row],[Date]],Database!$A:$E,MATCH($B$1,Database!$A$1:$E$1,),))</f>
        <v/>
      </c>
      <c r="C2420">
        <f>IF(VLOOKUP(Table73[[#This Row],[Date]],Database!$A:$C,MATCH($C$1,Database!$A$1:$C$1,),)=0,#N/A,VLOOKUP(Table73[[#This Row],[Date]],Database!$A:$C,MATCH($C$1,Database!$A$1:$C$1,),))</f>
        <v/>
      </c>
      <c r="D2420">
        <f>IFERROR(Table73[[#This Row],[United States 10y]]-Table73[[#This Row],[United States 2y]],#N/A)</f>
        <v/>
      </c>
    </row>
    <row r="2421">
      <c r="A2421" s="6">
        <f>Database!A2420</f>
        <v/>
      </c>
      <c r="B2421">
        <f>IF(VLOOKUP(Table73[[#This Row],[Date]],Database!$A:$E,MATCH($B$1,Database!$A$1:$E$1,),)=0,#N/A,VLOOKUP(Table73[[#This Row],[Date]],Database!$A:$E,MATCH($B$1,Database!$A$1:$E$1,),))</f>
        <v/>
      </c>
      <c r="C2421">
        <f>IF(VLOOKUP(Table73[[#This Row],[Date]],Database!$A:$C,MATCH($C$1,Database!$A$1:$C$1,),)=0,#N/A,VLOOKUP(Table73[[#This Row],[Date]],Database!$A:$C,MATCH($C$1,Database!$A$1:$C$1,),))</f>
        <v/>
      </c>
      <c r="D2421">
        <f>IFERROR(Table73[[#This Row],[United States 10y]]-Table73[[#This Row],[United States 2y]],#N/A)</f>
        <v/>
      </c>
    </row>
    <row r="2422">
      <c r="A2422" s="6">
        <f>Database!A2421</f>
        <v/>
      </c>
      <c r="B2422">
        <f>IF(VLOOKUP(Table73[[#This Row],[Date]],Database!$A:$E,MATCH($B$1,Database!$A$1:$E$1,),)=0,#N/A,VLOOKUP(Table73[[#This Row],[Date]],Database!$A:$E,MATCH($B$1,Database!$A$1:$E$1,),))</f>
        <v/>
      </c>
      <c r="C2422">
        <f>IF(VLOOKUP(Table73[[#This Row],[Date]],Database!$A:$C,MATCH($C$1,Database!$A$1:$C$1,),)=0,#N/A,VLOOKUP(Table73[[#This Row],[Date]],Database!$A:$C,MATCH($C$1,Database!$A$1:$C$1,),))</f>
        <v/>
      </c>
      <c r="D2422">
        <f>IFERROR(Table73[[#This Row],[United States 10y]]-Table73[[#This Row],[United States 2y]],#N/A)</f>
        <v/>
      </c>
    </row>
    <row r="2423">
      <c r="A2423" s="6">
        <f>Database!A2422</f>
        <v/>
      </c>
      <c r="B2423">
        <f>IF(VLOOKUP(Table73[[#This Row],[Date]],Database!$A:$E,MATCH($B$1,Database!$A$1:$E$1,),)=0,#N/A,VLOOKUP(Table73[[#This Row],[Date]],Database!$A:$E,MATCH($B$1,Database!$A$1:$E$1,),))</f>
        <v/>
      </c>
      <c r="C2423">
        <f>IF(VLOOKUP(Table73[[#This Row],[Date]],Database!$A:$C,MATCH($C$1,Database!$A$1:$C$1,),)=0,#N/A,VLOOKUP(Table73[[#This Row],[Date]],Database!$A:$C,MATCH($C$1,Database!$A$1:$C$1,),))</f>
        <v/>
      </c>
      <c r="D2423">
        <f>IFERROR(Table73[[#This Row],[United States 10y]]-Table73[[#This Row],[United States 2y]],#N/A)</f>
        <v/>
      </c>
    </row>
    <row r="2424">
      <c r="A2424" s="6">
        <f>Database!A2423</f>
        <v/>
      </c>
      <c r="B2424">
        <f>IF(VLOOKUP(Table73[[#This Row],[Date]],Database!$A:$E,MATCH($B$1,Database!$A$1:$E$1,),)=0,#N/A,VLOOKUP(Table73[[#This Row],[Date]],Database!$A:$E,MATCH($B$1,Database!$A$1:$E$1,),))</f>
        <v/>
      </c>
      <c r="C2424">
        <f>IF(VLOOKUP(Table73[[#This Row],[Date]],Database!$A:$C,MATCH($C$1,Database!$A$1:$C$1,),)=0,#N/A,VLOOKUP(Table73[[#This Row],[Date]],Database!$A:$C,MATCH($C$1,Database!$A$1:$C$1,),))</f>
        <v/>
      </c>
      <c r="D2424">
        <f>IFERROR(Table73[[#This Row],[United States 10y]]-Table73[[#This Row],[United States 2y]],#N/A)</f>
        <v/>
      </c>
    </row>
    <row r="2425">
      <c r="A2425" s="6">
        <f>Database!A2424</f>
        <v/>
      </c>
      <c r="B2425">
        <f>IF(VLOOKUP(Table73[[#This Row],[Date]],Database!$A:$E,MATCH($B$1,Database!$A$1:$E$1,),)=0,#N/A,VLOOKUP(Table73[[#This Row],[Date]],Database!$A:$E,MATCH($B$1,Database!$A$1:$E$1,),))</f>
        <v/>
      </c>
      <c r="C2425">
        <f>IF(VLOOKUP(Table73[[#This Row],[Date]],Database!$A:$C,MATCH($C$1,Database!$A$1:$C$1,),)=0,#N/A,VLOOKUP(Table73[[#This Row],[Date]],Database!$A:$C,MATCH($C$1,Database!$A$1:$C$1,),))</f>
        <v/>
      </c>
      <c r="D2425">
        <f>IFERROR(Table73[[#This Row],[United States 10y]]-Table73[[#This Row],[United States 2y]],#N/A)</f>
        <v/>
      </c>
    </row>
    <row r="2426">
      <c r="A2426" s="6">
        <f>Database!A2425</f>
        <v/>
      </c>
      <c r="B2426">
        <f>IF(VLOOKUP(Table73[[#This Row],[Date]],Database!$A:$E,MATCH($B$1,Database!$A$1:$E$1,),)=0,#N/A,VLOOKUP(Table73[[#This Row],[Date]],Database!$A:$E,MATCH($B$1,Database!$A$1:$E$1,),))</f>
        <v/>
      </c>
      <c r="C2426">
        <f>IF(VLOOKUP(Table73[[#This Row],[Date]],Database!$A:$C,MATCH($C$1,Database!$A$1:$C$1,),)=0,#N/A,VLOOKUP(Table73[[#This Row],[Date]],Database!$A:$C,MATCH($C$1,Database!$A$1:$C$1,),))</f>
        <v/>
      </c>
      <c r="D2426">
        <f>IFERROR(Table73[[#This Row],[United States 10y]]-Table73[[#This Row],[United States 2y]],#N/A)</f>
        <v/>
      </c>
    </row>
    <row r="2427">
      <c r="A2427" s="6">
        <f>Database!A2426</f>
        <v/>
      </c>
      <c r="B2427">
        <f>IF(VLOOKUP(Table73[[#This Row],[Date]],Database!$A:$E,MATCH($B$1,Database!$A$1:$E$1,),)=0,#N/A,VLOOKUP(Table73[[#This Row],[Date]],Database!$A:$E,MATCH($B$1,Database!$A$1:$E$1,),))</f>
        <v/>
      </c>
      <c r="C2427">
        <f>IF(VLOOKUP(Table73[[#This Row],[Date]],Database!$A:$C,MATCH($C$1,Database!$A$1:$C$1,),)=0,#N/A,VLOOKUP(Table73[[#This Row],[Date]],Database!$A:$C,MATCH($C$1,Database!$A$1:$C$1,),))</f>
        <v/>
      </c>
      <c r="D2427">
        <f>IFERROR(Table73[[#This Row],[United States 10y]]-Table73[[#This Row],[United States 2y]],#N/A)</f>
        <v/>
      </c>
    </row>
    <row r="2428">
      <c r="A2428" s="6">
        <f>Database!A2427</f>
        <v/>
      </c>
      <c r="B2428">
        <f>IF(VLOOKUP(Table73[[#This Row],[Date]],Database!$A:$E,MATCH($B$1,Database!$A$1:$E$1,),)=0,#N/A,VLOOKUP(Table73[[#This Row],[Date]],Database!$A:$E,MATCH($B$1,Database!$A$1:$E$1,),))</f>
        <v/>
      </c>
      <c r="C2428">
        <f>IF(VLOOKUP(Table73[[#This Row],[Date]],Database!$A:$C,MATCH($C$1,Database!$A$1:$C$1,),)=0,#N/A,VLOOKUP(Table73[[#This Row],[Date]],Database!$A:$C,MATCH($C$1,Database!$A$1:$C$1,),))</f>
        <v/>
      </c>
      <c r="D2428">
        <f>IFERROR(Table73[[#This Row],[United States 10y]]-Table73[[#This Row],[United States 2y]],#N/A)</f>
        <v/>
      </c>
    </row>
    <row r="2429">
      <c r="A2429" s="6">
        <f>Database!A2428</f>
        <v/>
      </c>
      <c r="B2429">
        <f>IF(VLOOKUP(Table73[[#This Row],[Date]],Database!$A:$E,MATCH($B$1,Database!$A$1:$E$1,),)=0,#N/A,VLOOKUP(Table73[[#This Row],[Date]],Database!$A:$E,MATCH($B$1,Database!$A$1:$E$1,),))</f>
        <v/>
      </c>
      <c r="C2429">
        <f>IF(VLOOKUP(Table73[[#This Row],[Date]],Database!$A:$C,MATCH($C$1,Database!$A$1:$C$1,),)=0,#N/A,VLOOKUP(Table73[[#This Row],[Date]],Database!$A:$C,MATCH($C$1,Database!$A$1:$C$1,),))</f>
        <v/>
      </c>
      <c r="D2429">
        <f>IFERROR(Table73[[#This Row],[United States 10y]]-Table73[[#This Row],[United States 2y]],#N/A)</f>
        <v/>
      </c>
    </row>
    <row r="2430">
      <c r="A2430" s="6">
        <f>Database!A2429</f>
        <v/>
      </c>
      <c r="B2430">
        <f>IF(VLOOKUP(Table73[[#This Row],[Date]],Database!$A:$E,MATCH($B$1,Database!$A$1:$E$1,),)=0,#N/A,VLOOKUP(Table73[[#This Row],[Date]],Database!$A:$E,MATCH($B$1,Database!$A$1:$E$1,),))</f>
        <v/>
      </c>
      <c r="C2430">
        <f>IF(VLOOKUP(Table73[[#This Row],[Date]],Database!$A:$C,MATCH($C$1,Database!$A$1:$C$1,),)=0,#N/A,VLOOKUP(Table73[[#This Row],[Date]],Database!$A:$C,MATCH($C$1,Database!$A$1:$C$1,),))</f>
        <v/>
      </c>
      <c r="D2430">
        <f>IFERROR(Table73[[#This Row],[United States 10y]]-Table73[[#This Row],[United States 2y]],#N/A)</f>
        <v/>
      </c>
    </row>
    <row r="2431">
      <c r="A2431" s="6">
        <f>Database!A2430</f>
        <v/>
      </c>
      <c r="B2431">
        <f>IF(VLOOKUP(Table73[[#This Row],[Date]],Database!$A:$E,MATCH($B$1,Database!$A$1:$E$1,),)=0,#N/A,VLOOKUP(Table73[[#This Row],[Date]],Database!$A:$E,MATCH($B$1,Database!$A$1:$E$1,),))</f>
        <v/>
      </c>
      <c r="C2431">
        <f>IF(VLOOKUP(Table73[[#This Row],[Date]],Database!$A:$C,MATCH($C$1,Database!$A$1:$C$1,),)=0,#N/A,VLOOKUP(Table73[[#This Row],[Date]],Database!$A:$C,MATCH($C$1,Database!$A$1:$C$1,),))</f>
        <v/>
      </c>
      <c r="D2431">
        <f>IFERROR(Table73[[#This Row],[United States 10y]]-Table73[[#This Row],[United States 2y]],#N/A)</f>
        <v/>
      </c>
    </row>
    <row r="2432">
      <c r="A2432" s="6">
        <f>Database!A2431</f>
        <v/>
      </c>
      <c r="B2432">
        <f>IF(VLOOKUP(Table73[[#This Row],[Date]],Database!$A:$E,MATCH($B$1,Database!$A$1:$E$1,),)=0,#N/A,VLOOKUP(Table73[[#This Row],[Date]],Database!$A:$E,MATCH($B$1,Database!$A$1:$E$1,),))</f>
        <v/>
      </c>
      <c r="C2432">
        <f>IF(VLOOKUP(Table73[[#This Row],[Date]],Database!$A:$C,MATCH($C$1,Database!$A$1:$C$1,),)=0,#N/A,VLOOKUP(Table73[[#This Row],[Date]],Database!$A:$C,MATCH($C$1,Database!$A$1:$C$1,),))</f>
        <v/>
      </c>
      <c r="D2432">
        <f>IFERROR(Table73[[#This Row],[United States 10y]]-Table73[[#This Row],[United States 2y]],#N/A)</f>
        <v/>
      </c>
    </row>
    <row r="2433">
      <c r="A2433" s="6">
        <f>Database!A2432</f>
        <v/>
      </c>
      <c r="B2433">
        <f>IF(VLOOKUP(Table73[[#This Row],[Date]],Database!$A:$E,MATCH($B$1,Database!$A$1:$E$1,),)=0,#N/A,VLOOKUP(Table73[[#This Row],[Date]],Database!$A:$E,MATCH($B$1,Database!$A$1:$E$1,),))</f>
        <v/>
      </c>
      <c r="C2433">
        <f>IF(VLOOKUP(Table73[[#This Row],[Date]],Database!$A:$C,MATCH($C$1,Database!$A$1:$C$1,),)=0,#N/A,VLOOKUP(Table73[[#This Row],[Date]],Database!$A:$C,MATCH($C$1,Database!$A$1:$C$1,),))</f>
        <v/>
      </c>
      <c r="D2433">
        <f>IFERROR(Table73[[#This Row],[United States 10y]]-Table73[[#This Row],[United States 2y]],#N/A)</f>
        <v/>
      </c>
    </row>
    <row r="2434">
      <c r="A2434" s="6">
        <f>Database!A2433</f>
        <v/>
      </c>
      <c r="B2434">
        <f>IF(VLOOKUP(Table73[[#This Row],[Date]],Database!$A:$E,MATCH($B$1,Database!$A$1:$E$1,),)=0,#N/A,VLOOKUP(Table73[[#This Row],[Date]],Database!$A:$E,MATCH($B$1,Database!$A$1:$E$1,),))</f>
        <v/>
      </c>
      <c r="C2434">
        <f>IF(VLOOKUP(Table73[[#This Row],[Date]],Database!$A:$C,MATCH($C$1,Database!$A$1:$C$1,),)=0,#N/A,VLOOKUP(Table73[[#This Row],[Date]],Database!$A:$C,MATCH($C$1,Database!$A$1:$C$1,),))</f>
        <v/>
      </c>
      <c r="D2434">
        <f>IFERROR(Table73[[#This Row],[United States 10y]]-Table73[[#This Row],[United States 2y]],#N/A)</f>
        <v/>
      </c>
    </row>
    <row r="2435">
      <c r="A2435" s="6">
        <f>Database!A2434</f>
        <v/>
      </c>
      <c r="B2435">
        <f>IF(VLOOKUP(Table73[[#This Row],[Date]],Database!$A:$E,MATCH($B$1,Database!$A$1:$E$1,),)=0,#N/A,VLOOKUP(Table73[[#This Row],[Date]],Database!$A:$E,MATCH($B$1,Database!$A$1:$E$1,),))</f>
        <v/>
      </c>
      <c r="C2435">
        <f>IF(VLOOKUP(Table73[[#This Row],[Date]],Database!$A:$C,MATCH($C$1,Database!$A$1:$C$1,),)=0,#N/A,VLOOKUP(Table73[[#This Row],[Date]],Database!$A:$C,MATCH($C$1,Database!$A$1:$C$1,),))</f>
        <v/>
      </c>
      <c r="D2435">
        <f>IFERROR(Table73[[#This Row],[United States 10y]]-Table73[[#This Row],[United States 2y]],#N/A)</f>
        <v/>
      </c>
    </row>
    <row r="2436">
      <c r="A2436" s="6">
        <f>Database!A2435</f>
        <v/>
      </c>
      <c r="B2436">
        <f>IF(VLOOKUP(Table73[[#This Row],[Date]],Database!$A:$E,MATCH($B$1,Database!$A$1:$E$1,),)=0,#N/A,VLOOKUP(Table73[[#This Row],[Date]],Database!$A:$E,MATCH($B$1,Database!$A$1:$E$1,),))</f>
        <v/>
      </c>
      <c r="C2436">
        <f>IF(VLOOKUP(Table73[[#This Row],[Date]],Database!$A:$C,MATCH($C$1,Database!$A$1:$C$1,),)=0,#N/A,VLOOKUP(Table73[[#This Row],[Date]],Database!$A:$C,MATCH($C$1,Database!$A$1:$C$1,),))</f>
        <v/>
      </c>
      <c r="D2436">
        <f>IFERROR(Table73[[#This Row],[United States 10y]]-Table73[[#This Row],[United States 2y]],#N/A)</f>
        <v/>
      </c>
    </row>
    <row r="2437">
      <c r="A2437" s="6">
        <f>Database!A2436</f>
        <v/>
      </c>
      <c r="B2437">
        <f>IF(VLOOKUP(Table73[[#This Row],[Date]],Database!$A:$E,MATCH($B$1,Database!$A$1:$E$1,),)=0,#N/A,VLOOKUP(Table73[[#This Row],[Date]],Database!$A:$E,MATCH($B$1,Database!$A$1:$E$1,),))</f>
        <v/>
      </c>
      <c r="C2437">
        <f>IF(VLOOKUP(Table73[[#This Row],[Date]],Database!$A:$C,MATCH($C$1,Database!$A$1:$C$1,),)=0,#N/A,VLOOKUP(Table73[[#This Row],[Date]],Database!$A:$C,MATCH($C$1,Database!$A$1:$C$1,),))</f>
        <v/>
      </c>
      <c r="D2437">
        <f>IFERROR(Table73[[#This Row],[United States 10y]]-Table73[[#This Row],[United States 2y]],#N/A)</f>
        <v/>
      </c>
    </row>
    <row r="2438">
      <c r="A2438" s="6">
        <f>Database!A2437</f>
        <v/>
      </c>
      <c r="B2438">
        <f>IF(VLOOKUP(Table73[[#This Row],[Date]],Database!$A:$E,MATCH($B$1,Database!$A$1:$E$1,),)=0,#N/A,VLOOKUP(Table73[[#This Row],[Date]],Database!$A:$E,MATCH($B$1,Database!$A$1:$E$1,),))</f>
        <v/>
      </c>
      <c r="C2438">
        <f>IF(VLOOKUP(Table73[[#This Row],[Date]],Database!$A:$C,MATCH($C$1,Database!$A$1:$C$1,),)=0,#N/A,VLOOKUP(Table73[[#This Row],[Date]],Database!$A:$C,MATCH($C$1,Database!$A$1:$C$1,),))</f>
        <v/>
      </c>
      <c r="D2438">
        <f>IFERROR(Table73[[#This Row],[United States 10y]]-Table73[[#This Row],[United States 2y]],#N/A)</f>
        <v/>
      </c>
    </row>
    <row r="2439">
      <c r="A2439" s="6">
        <f>Database!A2438</f>
        <v/>
      </c>
      <c r="B2439">
        <f>IF(VLOOKUP(Table73[[#This Row],[Date]],Database!$A:$E,MATCH($B$1,Database!$A$1:$E$1,),)=0,#N/A,VLOOKUP(Table73[[#This Row],[Date]],Database!$A:$E,MATCH($B$1,Database!$A$1:$E$1,),))</f>
        <v/>
      </c>
      <c r="C2439">
        <f>IF(VLOOKUP(Table73[[#This Row],[Date]],Database!$A:$C,MATCH($C$1,Database!$A$1:$C$1,),)=0,#N/A,VLOOKUP(Table73[[#This Row],[Date]],Database!$A:$C,MATCH($C$1,Database!$A$1:$C$1,),))</f>
        <v/>
      </c>
      <c r="D2439">
        <f>IFERROR(Table73[[#This Row],[United States 10y]]-Table73[[#This Row],[United States 2y]],#N/A)</f>
        <v/>
      </c>
    </row>
    <row r="2440">
      <c r="A2440" s="6">
        <f>Database!A2439</f>
        <v/>
      </c>
      <c r="B2440">
        <f>IF(VLOOKUP(Table73[[#This Row],[Date]],Database!$A:$E,MATCH($B$1,Database!$A$1:$E$1,),)=0,#N/A,VLOOKUP(Table73[[#This Row],[Date]],Database!$A:$E,MATCH($B$1,Database!$A$1:$E$1,),))</f>
        <v/>
      </c>
      <c r="C2440">
        <f>IF(VLOOKUP(Table73[[#This Row],[Date]],Database!$A:$C,MATCH($C$1,Database!$A$1:$C$1,),)=0,#N/A,VLOOKUP(Table73[[#This Row],[Date]],Database!$A:$C,MATCH($C$1,Database!$A$1:$C$1,),))</f>
        <v/>
      </c>
      <c r="D2440">
        <f>IFERROR(Table73[[#This Row],[United States 10y]]-Table73[[#This Row],[United States 2y]],#N/A)</f>
        <v/>
      </c>
    </row>
    <row r="2441">
      <c r="A2441" s="6">
        <f>Database!A2440</f>
        <v/>
      </c>
      <c r="B2441">
        <f>IF(VLOOKUP(Table73[[#This Row],[Date]],Database!$A:$E,MATCH($B$1,Database!$A$1:$E$1,),)=0,#N/A,VLOOKUP(Table73[[#This Row],[Date]],Database!$A:$E,MATCH($B$1,Database!$A$1:$E$1,),))</f>
        <v/>
      </c>
      <c r="C2441">
        <f>IF(VLOOKUP(Table73[[#This Row],[Date]],Database!$A:$C,MATCH($C$1,Database!$A$1:$C$1,),)=0,#N/A,VLOOKUP(Table73[[#This Row],[Date]],Database!$A:$C,MATCH($C$1,Database!$A$1:$C$1,),))</f>
        <v/>
      </c>
      <c r="D2441">
        <f>IFERROR(Table73[[#This Row],[United States 10y]]-Table73[[#This Row],[United States 2y]],#N/A)</f>
        <v/>
      </c>
    </row>
    <row r="2442">
      <c r="A2442" s="6">
        <f>Database!A2441</f>
        <v/>
      </c>
      <c r="B2442">
        <f>IF(VLOOKUP(Table73[[#This Row],[Date]],Database!$A:$E,MATCH($B$1,Database!$A$1:$E$1,),)=0,#N/A,VLOOKUP(Table73[[#This Row],[Date]],Database!$A:$E,MATCH($B$1,Database!$A$1:$E$1,),))</f>
        <v/>
      </c>
      <c r="C2442">
        <f>IF(VLOOKUP(Table73[[#This Row],[Date]],Database!$A:$C,MATCH($C$1,Database!$A$1:$C$1,),)=0,#N/A,VLOOKUP(Table73[[#This Row],[Date]],Database!$A:$C,MATCH($C$1,Database!$A$1:$C$1,),))</f>
        <v/>
      </c>
      <c r="D2442">
        <f>IFERROR(Table73[[#This Row],[United States 10y]]-Table73[[#This Row],[United States 2y]],#N/A)</f>
        <v/>
      </c>
    </row>
    <row r="2443">
      <c r="A2443" s="6">
        <f>Database!A2442</f>
        <v/>
      </c>
      <c r="B2443">
        <f>IF(VLOOKUP(Table73[[#This Row],[Date]],Database!$A:$E,MATCH($B$1,Database!$A$1:$E$1,),)=0,#N/A,VLOOKUP(Table73[[#This Row],[Date]],Database!$A:$E,MATCH($B$1,Database!$A$1:$E$1,),))</f>
        <v/>
      </c>
      <c r="C2443">
        <f>IF(VLOOKUP(Table73[[#This Row],[Date]],Database!$A:$C,MATCH($C$1,Database!$A$1:$C$1,),)=0,#N/A,VLOOKUP(Table73[[#This Row],[Date]],Database!$A:$C,MATCH($C$1,Database!$A$1:$C$1,),))</f>
        <v/>
      </c>
      <c r="D2443">
        <f>IFERROR(Table73[[#This Row],[United States 10y]]-Table73[[#This Row],[United States 2y]],#N/A)</f>
        <v/>
      </c>
    </row>
    <row r="2444">
      <c r="A2444" s="6">
        <f>Database!A2443</f>
        <v/>
      </c>
      <c r="B2444">
        <f>IF(VLOOKUP(Table73[[#This Row],[Date]],Database!$A:$E,MATCH($B$1,Database!$A$1:$E$1,),)=0,#N/A,VLOOKUP(Table73[[#This Row],[Date]],Database!$A:$E,MATCH($B$1,Database!$A$1:$E$1,),))</f>
        <v/>
      </c>
      <c r="C2444">
        <f>IF(VLOOKUP(Table73[[#This Row],[Date]],Database!$A:$C,MATCH($C$1,Database!$A$1:$C$1,),)=0,#N/A,VLOOKUP(Table73[[#This Row],[Date]],Database!$A:$C,MATCH($C$1,Database!$A$1:$C$1,),))</f>
        <v/>
      </c>
      <c r="D2444">
        <f>IFERROR(Table73[[#This Row],[United States 10y]]-Table73[[#This Row],[United States 2y]],#N/A)</f>
        <v/>
      </c>
    </row>
    <row r="2445">
      <c r="A2445" s="6">
        <f>Database!A2444</f>
        <v/>
      </c>
      <c r="B2445">
        <f>IF(VLOOKUP(Table73[[#This Row],[Date]],Database!$A:$E,MATCH($B$1,Database!$A$1:$E$1,),)=0,#N/A,VLOOKUP(Table73[[#This Row],[Date]],Database!$A:$E,MATCH($B$1,Database!$A$1:$E$1,),))</f>
        <v/>
      </c>
      <c r="C2445">
        <f>IF(VLOOKUP(Table73[[#This Row],[Date]],Database!$A:$C,MATCH($C$1,Database!$A$1:$C$1,),)=0,#N/A,VLOOKUP(Table73[[#This Row],[Date]],Database!$A:$C,MATCH($C$1,Database!$A$1:$C$1,),))</f>
        <v/>
      </c>
      <c r="D2445">
        <f>IFERROR(Table73[[#This Row],[United States 10y]]-Table73[[#This Row],[United States 2y]],#N/A)</f>
        <v/>
      </c>
    </row>
    <row r="2446">
      <c r="A2446" s="6">
        <f>Database!A2445</f>
        <v/>
      </c>
      <c r="B2446">
        <f>IF(VLOOKUP(Table73[[#This Row],[Date]],Database!$A:$E,MATCH($B$1,Database!$A$1:$E$1,),)=0,#N/A,VLOOKUP(Table73[[#This Row],[Date]],Database!$A:$E,MATCH($B$1,Database!$A$1:$E$1,),))</f>
        <v/>
      </c>
      <c r="C2446">
        <f>IF(VLOOKUP(Table73[[#This Row],[Date]],Database!$A:$C,MATCH($C$1,Database!$A$1:$C$1,),)=0,#N/A,VLOOKUP(Table73[[#This Row],[Date]],Database!$A:$C,MATCH($C$1,Database!$A$1:$C$1,),))</f>
        <v/>
      </c>
      <c r="D2446">
        <f>IFERROR(Table73[[#This Row],[United States 10y]]-Table73[[#This Row],[United States 2y]],#N/A)</f>
        <v/>
      </c>
    </row>
    <row r="2447">
      <c r="A2447" s="6">
        <f>Database!A2446</f>
        <v/>
      </c>
      <c r="B2447">
        <f>IF(VLOOKUP(Table73[[#This Row],[Date]],Database!$A:$E,MATCH($B$1,Database!$A$1:$E$1,),)=0,#N/A,VLOOKUP(Table73[[#This Row],[Date]],Database!$A:$E,MATCH($B$1,Database!$A$1:$E$1,),))</f>
        <v/>
      </c>
      <c r="C2447">
        <f>IF(VLOOKUP(Table73[[#This Row],[Date]],Database!$A:$C,MATCH($C$1,Database!$A$1:$C$1,),)=0,#N/A,VLOOKUP(Table73[[#This Row],[Date]],Database!$A:$C,MATCH($C$1,Database!$A$1:$C$1,),))</f>
        <v/>
      </c>
      <c r="D2447">
        <f>IFERROR(Table73[[#This Row],[United States 10y]]-Table73[[#This Row],[United States 2y]],#N/A)</f>
        <v/>
      </c>
    </row>
    <row r="2448">
      <c r="A2448" s="6">
        <f>Database!A2447</f>
        <v/>
      </c>
      <c r="B2448">
        <f>IF(VLOOKUP(Table73[[#This Row],[Date]],Database!$A:$E,MATCH($B$1,Database!$A$1:$E$1,),)=0,#N/A,VLOOKUP(Table73[[#This Row],[Date]],Database!$A:$E,MATCH($B$1,Database!$A$1:$E$1,),))</f>
        <v/>
      </c>
      <c r="C2448">
        <f>IF(VLOOKUP(Table73[[#This Row],[Date]],Database!$A:$C,MATCH($C$1,Database!$A$1:$C$1,),)=0,#N/A,VLOOKUP(Table73[[#This Row],[Date]],Database!$A:$C,MATCH($C$1,Database!$A$1:$C$1,),))</f>
        <v/>
      </c>
      <c r="D2448">
        <f>IFERROR(Table73[[#This Row],[United States 10y]]-Table73[[#This Row],[United States 2y]],#N/A)</f>
        <v/>
      </c>
    </row>
    <row r="2449">
      <c r="A2449" s="6">
        <f>Database!A2448</f>
        <v/>
      </c>
      <c r="B2449">
        <f>IF(VLOOKUP(Table73[[#This Row],[Date]],Database!$A:$E,MATCH($B$1,Database!$A$1:$E$1,),)=0,#N/A,VLOOKUP(Table73[[#This Row],[Date]],Database!$A:$E,MATCH($B$1,Database!$A$1:$E$1,),))</f>
        <v/>
      </c>
      <c r="C2449">
        <f>IF(VLOOKUP(Table73[[#This Row],[Date]],Database!$A:$C,MATCH($C$1,Database!$A$1:$C$1,),)=0,#N/A,VLOOKUP(Table73[[#This Row],[Date]],Database!$A:$C,MATCH($C$1,Database!$A$1:$C$1,),))</f>
        <v/>
      </c>
      <c r="D2449">
        <f>IFERROR(Table73[[#This Row],[United States 10y]]-Table73[[#This Row],[United States 2y]],#N/A)</f>
        <v/>
      </c>
    </row>
    <row r="2450">
      <c r="A2450" s="6">
        <f>Database!A2449</f>
        <v/>
      </c>
      <c r="B2450">
        <f>IF(VLOOKUP(Table73[[#This Row],[Date]],Database!$A:$E,MATCH($B$1,Database!$A$1:$E$1,),)=0,#N/A,VLOOKUP(Table73[[#This Row],[Date]],Database!$A:$E,MATCH($B$1,Database!$A$1:$E$1,),))</f>
        <v/>
      </c>
      <c r="C2450">
        <f>IF(VLOOKUP(Table73[[#This Row],[Date]],Database!$A:$C,MATCH($C$1,Database!$A$1:$C$1,),)=0,#N/A,VLOOKUP(Table73[[#This Row],[Date]],Database!$A:$C,MATCH($C$1,Database!$A$1:$C$1,),))</f>
        <v/>
      </c>
      <c r="D2450">
        <f>IFERROR(Table73[[#This Row],[United States 10y]]-Table73[[#This Row],[United States 2y]],#N/A)</f>
        <v/>
      </c>
    </row>
    <row r="2451">
      <c r="A2451" s="6">
        <f>Database!A2450</f>
        <v/>
      </c>
      <c r="B2451">
        <f>IF(VLOOKUP(Table73[[#This Row],[Date]],Database!$A:$E,MATCH($B$1,Database!$A$1:$E$1,),)=0,#N/A,VLOOKUP(Table73[[#This Row],[Date]],Database!$A:$E,MATCH($B$1,Database!$A$1:$E$1,),))</f>
        <v/>
      </c>
      <c r="C2451">
        <f>IF(VLOOKUP(Table73[[#This Row],[Date]],Database!$A:$C,MATCH($C$1,Database!$A$1:$C$1,),)=0,#N/A,VLOOKUP(Table73[[#This Row],[Date]],Database!$A:$C,MATCH($C$1,Database!$A$1:$C$1,),))</f>
        <v/>
      </c>
      <c r="D2451">
        <f>IFERROR(Table73[[#This Row],[United States 10y]]-Table73[[#This Row],[United States 2y]],#N/A)</f>
        <v/>
      </c>
    </row>
    <row r="2452">
      <c r="A2452" s="6">
        <f>Database!A2451</f>
        <v/>
      </c>
      <c r="B2452">
        <f>IF(VLOOKUP(Table73[[#This Row],[Date]],Database!$A:$E,MATCH($B$1,Database!$A$1:$E$1,),)=0,#N/A,VLOOKUP(Table73[[#This Row],[Date]],Database!$A:$E,MATCH($B$1,Database!$A$1:$E$1,),))</f>
        <v/>
      </c>
      <c r="C2452">
        <f>IF(VLOOKUP(Table73[[#This Row],[Date]],Database!$A:$C,MATCH($C$1,Database!$A$1:$C$1,),)=0,#N/A,VLOOKUP(Table73[[#This Row],[Date]],Database!$A:$C,MATCH($C$1,Database!$A$1:$C$1,),))</f>
        <v/>
      </c>
      <c r="D2452">
        <f>IFERROR(Table73[[#This Row],[United States 10y]]-Table73[[#This Row],[United States 2y]],#N/A)</f>
        <v/>
      </c>
    </row>
    <row r="2453">
      <c r="A2453" s="6">
        <f>Database!A2452</f>
        <v/>
      </c>
      <c r="B2453">
        <f>IF(VLOOKUP(Table73[[#This Row],[Date]],Database!$A:$E,MATCH($B$1,Database!$A$1:$E$1,),)=0,#N/A,VLOOKUP(Table73[[#This Row],[Date]],Database!$A:$E,MATCH($B$1,Database!$A$1:$E$1,),))</f>
        <v/>
      </c>
      <c r="C2453">
        <f>IF(VLOOKUP(Table73[[#This Row],[Date]],Database!$A:$C,MATCH($C$1,Database!$A$1:$C$1,),)=0,#N/A,VLOOKUP(Table73[[#This Row],[Date]],Database!$A:$C,MATCH($C$1,Database!$A$1:$C$1,),))</f>
        <v/>
      </c>
      <c r="D2453">
        <f>IFERROR(Table73[[#This Row],[United States 10y]]-Table73[[#This Row],[United States 2y]],#N/A)</f>
        <v/>
      </c>
    </row>
    <row r="2454">
      <c r="A2454" s="6">
        <f>Database!A2453</f>
        <v/>
      </c>
      <c r="B2454">
        <f>IF(VLOOKUP(Table73[[#This Row],[Date]],Database!$A:$E,MATCH($B$1,Database!$A$1:$E$1,),)=0,#N/A,VLOOKUP(Table73[[#This Row],[Date]],Database!$A:$E,MATCH($B$1,Database!$A$1:$E$1,),))</f>
        <v/>
      </c>
      <c r="C2454">
        <f>IF(VLOOKUP(Table73[[#This Row],[Date]],Database!$A:$C,MATCH($C$1,Database!$A$1:$C$1,),)=0,#N/A,VLOOKUP(Table73[[#This Row],[Date]],Database!$A:$C,MATCH($C$1,Database!$A$1:$C$1,),))</f>
        <v/>
      </c>
      <c r="D2454">
        <f>IFERROR(Table73[[#This Row],[United States 10y]]-Table73[[#This Row],[United States 2y]],#N/A)</f>
        <v/>
      </c>
    </row>
    <row r="2455">
      <c r="A2455" s="6">
        <f>Database!A2454</f>
        <v/>
      </c>
      <c r="B2455">
        <f>IF(VLOOKUP(Table73[[#This Row],[Date]],Database!$A:$E,MATCH($B$1,Database!$A$1:$E$1,),)=0,#N/A,VLOOKUP(Table73[[#This Row],[Date]],Database!$A:$E,MATCH($B$1,Database!$A$1:$E$1,),))</f>
        <v/>
      </c>
      <c r="C2455">
        <f>IF(VLOOKUP(Table73[[#This Row],[Date]],Database!$A:$C,MATCH($C$1,Database!$A$1:$C$1,),)=0,#N/A,VLOOKUP(Table73[[#This Row],[Date]],Database!$A:$C,MATCH($C$1,Database!$A$1:$C$1,),))</f>
        <v/>
      </c>
      <c r="D2455">
        <f>IFERROR(Table73[[#This Row],[United States 10y]]-Table73[[#This Row],[United States 2y]],#N/A)</f>
        <v/>
      </c>
    </row>
    <row r="2456">
      <c r="A2456" s="6">
        <f>Database!A2455</f>
        <v/>
      </c>
      <c r="B2456">
        <f>IF(VLOOKUP(Table73[[#This Row],[Date]],Database!$A:$E,MATCH($B$1,Database!$A$1:$E$1,),)=0,#N/A,VLOOKUP(Table73[[#This Row],[Date]],Database!$A:$E,MATCH($B$1,Database!$A$1:$E$1,),))</f>
        <v/>
      </c>
      <c r="C2456">
        <f>IF(VLOOKUP(Table73[[#This Row],[Date]],Database!$A:$C,MATCH($C$1,Database!$A$1:$C$1,),)=0,#N/A,VLOOKUP(Table73[[#This Row],[Date]],Database!$A:$C,MATCH($C$1,Database!$A$1:$C$1,),))</f>
        <v/>
      </c>
      <c r="D2456">
        <f>IFERROR(Table73[[#This Row],[United States 10y]]-Table73[[#This Row],[United States 2y]],#N/A)</f>
        <v/>
      </c>
    </row>
    <row r="2457">
      <c r="A2457" s="6">
        <f>Database!A2456</f>
        <v/>
      </c>
      <c r="B2457">
        <f>IF(VLOOKUP(Table73[[#This Row],[Date]],Database!$A:$E,MATCH($B$1,Database!$A$1:$E$1,),)=0,#N/A,VLOOKUP(Table73[[#This Row],[Date]],Database!$A:$E,MATCH($B$1,Database!$A$1:$E$1,),))</f>
        <v/>
      </c>
      <c r="C2457">
        <f>IF(VLOOKUP(Table73[[#This Row],[Date]],Database!$A:$C,MATCH($C$1,Database!$A$1:$C$1,),)=0,#N/A,VLOOKUP(Table73[[#This Row],[Date]],Database!$A:$C,MATCH($C$1,Database!$A$1:$C$1,),))</f>
        <v/>
      </c>
      <c r="D2457">
        <f>IFERROR(Table73[[#This Row],[United States 10y]]-Table73[[#This Row],[United States 2y]],#N/A)</f>
        <v/>
      </c>
    </row>
    <row r="2458">
      <c r="A2458" s="6">
        <f>Database!A2457</f>
        <v/>
      </c>
      <c r="B2458">
        <f>IF(VLOOKUP(Table73[[#This Row],[Date]],Database!$A:$E,MATCH($B$1,Database!$A$1:$E$1,),)=0,#N/A,VLOOKUP(Table73[[#This Row],[Date]],Database!$A:$E,MATCH($B$1,Database!$A$1:$E$1,),))</f>
        <v/>
      </c>
      <c r="C2458">
        <f>IF(VLOOKUP(Table73[[#This Row],[Date]],Database!$A:$C,MATCH($C$1,Database!$A$1:$C$1,),)=0,#N/A,VLOOKUP(Table73[[#This Row],[Date]],Database!$A:$C,MATCH($C$1,Database!$A$1:$C$1,),))</f>
        <v/>
      </c>
      <c r="D2458">
        <f>IFERROR(Table73[[#This Row],[United States 10y]]-Table73[[#This Row],[United States 2y]],#N/A)</f>
        <v/>
      </c>
    </row>
    <row r="2459">
      <c r="A2459" s="6">
        <f>Database!A2458</f>
        <v/>
      </c>
      <c r="B2459">
        <f>IF(VLOOKUP(Table73[[#This Row],[Date]],Database!$A:$E,MATCH($B$1,Database!$A$1:$E$1,),)=0,#N/A,VLOOKUP(Table73[[#This Row],[Date]],Database!$A:$E,MATCH($B$1,Database!$A$1:$E$1,),))</f>
        <v/>
      </c>
      <c r="C2459">
        <f>IF(VLOOKUP(Table73[[#This Row],[Date]],Database!$A:$C,MATCH($C$1,Database!$A$1:$C$1,),)=0,#N/A,VLOOKUP(Table73[[#This Row],[Date]],Database!$A:$C,MATCH($C$1,Database!$A$1:$C$1,),))</f>
        <v/>
      </c>
      <c r="D2459">
        <f>IFERROR(Table73[[#This Row],[United States 10y]]-Table73[[#This Row],[United States 2y]],#N/A)</f>
        <v/>
      </c>
    </row>
    <row r="2460">
      <c r="A2460" s="6">
        <f>Database!A2459</f>
        <v/>
      </c>
      <c r="B2460">
        <f>IF(VLOOKUP(Table73[[#This Row],[Date]],Database!$A:$E,MATCH($B$1,Database!$A$1:$E$1,),)=0,#N/A,VLOOKUP(Table73[[#This Row],[Date]],Database!$A:$E,MATCH($B$1,Database!$A$1:$E$1,),))</f>
        <v/>
      </c>
      <c r="C2460">
        <f>IF(VLOOKUP(Table73[[#This Row],[Date]],Database!$A:$C,MATCH($C$1,Database!$A$1:$C$1,),)=0,#N/A,VLOOKUP(Table73[[#This Row],[Date]],Database!$A:$C,MATCH($C$1,Database!$A$1:$C$1,),))</f>
        <v/>
      </c>
      <c r="D2460">
        <f>IFERROR(Table73[[#This Row],[United States 10y]]-Table73[[#This Row],[United States 2y]],#N/A)</f>
        <v/>
      </c>
    </row>
    <row r="2461">
      <c r="A2461" s="6">
        <f>Database!A2460</f>
        <v/>
      </c>
      <c r="B2461">
        <f>IF(VLOOKUP(Table73[[#This Row],[Date]],Database!$A:$E,MATCH($B$1,Database!$A$1:$E$1,),)=0,#N/A,VLOOKUP(Table73[[#This Row],[Date]],Database!$A:$E,MATCH($B$1,Database!$A$1:$E$1,),))</f>
        <v/>
      </c>
      <c r="C2461">
        <f>IF(VLOOKUP(Table73[[#This Row],[Date]],Database!$A:$C,MATCH($C$1,Database!$A$1:$C$1,),)=0,#N/A,VLOOKUP(Table73[[#This Row],[Date]],Database!$A:$C,MATCH($C$1,Database!$A$1:$C$1,),))</f>
        <v/>
      </c>
      <c r="D2461">
        <f>IFERROR(Table73[[#This Row],[United States 10y]]-Table73[[#This Row],[United States 2y]],#N/A)</f>
        <v/>
      </c>
    </row>
    <row r="2462">
      <c r="A2462" s="6">
        <f>Database!A2461</f>
        <v/>
      </c>
      <c r="B2462">
        <f>IF(VLOOKUP(Table73[[#This Row],[Date]],Database!$A:$E,MATCH($B$1,Database!$A$1:$E$1,),)=0,#N/A,VLOOKUP(Table73[[#This Row],[Date]],Database!$A:$E,MATCH($B$1,Database!$A$1:$E$1,),))</f>
        <v/>
      </c>
      <c r="C2462">
        <f>IF(VLOOKUP(Table73[[#This Row],[Date]],Database!$A:$C,MATCH($C$1,Database!$A$1:$C$1,),)=0,#N/A,VLOOKUP(Table73[[#This Row],[Date]],Database!$A:$C,MATCH($C$1,Database!$A$1:$C$1,),))</f>
        <v/>
      </c>
      <c r="D2462">
        <f>IFERROR(Table73[[#This Row],[United States 10y]]-Table73[[#This Row],[United States 2y]],#N/A)</f>
        <v/>
      </c>
    </row>
    <row r="2463">
      <c r="A2463" s="6">
        <f>Database!A2462</f>
        <v/>
      </c>
      <c r="B2463">
        <f>IF(VLOOKUP(Table73[[#This Row],[Date]],Database!$A:$E,MATCH($B$1,Database!$A$1:$E$1,),)=0,#N/A,VLOOKUP(Table73[[#This Row],[Date]],Database!$A:$E,MATCH($B$1,Database!$A$1:$E$1,),))</f>
        <v/>
      </c>
      <c r="C2463">
        <f>IF(VLOOKUP(Table73[[#This Row],[Date]],Database!$A:$C,MATCH($C$1,Database!$A$1:$C$1,),)=0,#N/A,VLOOKUP(Table73[[#This Row],[Date]],Database!$A:$C,MATCH($C$1,Database!$A$1:$C$1,),))</f>
        <v/>
      </c>
      <c r="D2463">
        <f>IFERROR(Table73[[#This Row],[United States 10y]]-Table73[[#This Row],[United States 2y]],#N/A)</f>
        <v/>
      </c>
    </row>
    <row r="2464">
      <c r="A2464" s="6">
        <f>Database!A2463</f>
        <v/>
      </c>
      <c r="B2464">
        <f>IF(VLOOKUP(Table73[[#This Row],[Date]],Database!$A:$E,MATCH($B$1,Database!$A$1:$E$1,),)=0,#N/A,VLOOKUP(Table73[[#This Row],[Date]],Database!$A:$E,MATCH($B$1,Database!$A$1:$E$1,),))</f>
        <v/>
      </c>
      <c r="C2464">
        <f>IF(VLOOKUP(Table73[[#This Row],[Date]],Database!$A:$C,MATCH($C$1,Database!$A$1:$C$1,),)=0,#N/A,VLOOKUP(Table73[[#This Row],[Date]],Database!$A:$C,MATCH($C$1,Database!$A$1:$C$1,),))</f>
        <v/>
      </c>
      <c r="D2464">
        <f>IFERROR(Table73[[#This Row],[United States 10y]]-Table73[[#This Row],[United States 2y]],#N/A)</f>
        <v/>
      </c>
    </row>
    <row r="2465">
      <c r="A2465" s="6">
        <f>Database!A2464</f>
        <v/>
      </c>
      <c r="B2465">
        <f>IF(VLOOKUP(Table73[[#This Row],[Date]],Database!$A:$E,MATCH($B$1,Database!$A$1:$E$1,),)=0,#N/A,VLOOKUP(Table73[[#This Row],[Date]],Database!$A:$E,MATCH($B$1,Database!$A$1:$E$1,),))</f>
        <v/>
      </c>
      <c r="C2465">
        <f>IF(VLOOKUP(Table73[[#This Row],[Date]],Database!$A:$C,MATCH($C$1,Database!$A$1:$C$1,),)=0,#N/A,VLOOKUP(Table73[[#This Row],[Date]],Database!$A:$C,MATCH($C$1,Database!$A$1:$C$1,),))</f>
        <v/>
      </c>
      <c r="D2465">
        <f>IFERROR(Table73[[#This Row],[United States 10y]]-Table73[[#This Row],[United States 2y]],#N/A)</f>
        <v/>
      </c>
    </row>
    <row r="2466">
      <c r="A2466" s="6">
        <f>Database!A2465</f>
        <v/>
      </c>
      <c r="B2466">
        <f>IF(VLOOKUP(Table73[[#This Row],[Date]],Database!$A:$E,MATCH($B$1,Database!$A$1:$E$1,),)=0,#N/A,VLOOKUP(Table73[[#This Row],[Date]],Database!$A:$E,MATCH($B$1,Database!$A$1:$E$1,),))</f>
        <v/>
      </c>
      <c r="C2466">
        <f>IF(VLOOKUP(Table73[[#This Row],[Date]],Database!$A:$C,MATCH($C$1,Database!$A$1:$C$1,),)=0,#N/A,VLOOKUP(Table73[[#This Row],[Date]],Database!$A:$C,MATCH($C$1,Database!$A$1:$C$1,),))</f>
        <v/>
      </c>
      <c r="D2466">
        <f>IFERROR(Table73[[#This Row],[United States 10y]]-Table73[[#This Row],[United States 2y]],#N/A)</f>
        <v/>
      </c>
    </row>
    <row r="2467">
      <c r="A2467" s="6">
        <f>Database!A2466</f>
        <v/>
      </c>
      <c r="B2467">
        <f>IF(VLOOKUP(Table73[[#This Row],[Date]],Database!$A:$E,MATCH($B$1,Database!$A$1:$E$1,),)=0,#N/A,VLOOKUP(Table73[[#This Row],[Date]],Database!$A:$E,MATCH($B$1,Database!$A$1:$E$1,),))</f>
        <v/>
      </c>
      <c r="C2467">
        <f>IF(VLOOKUP(Table73[[#This Row],[Date]],Database!$A:$C,MATCH($C$1,Database!$A$1:$C$1,),)=0,#N/A,VLOOKUP(Table73[[#This Row],[Date]],Database!$A:$C,MATCH($C$1,Database!$A$1:$C$1,),))</f>
        <v/>
      </c>
      <c r="D2467">
        <f>IFERROR(Table73[[#This Row],[United States 10y]]-Table73[[#This Row],[United States 2y]],#N/A)</f>
        <v/>
      </c>
    </row>
    <row r="2468">
      <c r="A2468" s="6">
        <f>Database!A2467</f>
        <v/>
      </c>
      <c r="B2468">
        <f>IF(VLOOKUP(Table73[[#This Row],[Date]],Database!$A:$E,MATCH($B$1,Database!$A$1:$E$1,),)=0,#N/A,VLOOKUP(Table73[[#This Row],[Date]],Database!$A:$E,MATCH($B$1,Database!$A$1:$E$1,),))</f>
        <v/>
      </c>
      <c r="C2468">
        <f>IF(VLOOKUP(Table73[[#This Row],[Date]],Database!$A:$C,MATCH($C$1,Database!$A$1:$C$1,),)=0,#N/A,VLOOKUP(Table73[[#This Row],[Date]],Database!$A:$C,MATCH($C$1,Database!$A$1:$C$1,),))</f>
        <v/>
      </c>
      <c r="D2468">
        <f>IFERROR(Table73[[#This Row],[United States 10y]]-Table73[[#This Row],[United States 2y]],#N/A)</f>
        <v/>
      </c>
    </row>
    <row r="2469">
      <c r="A2469" s="6">
        <f>Database!A2468</f>
        <v/>
      </c>
      <c r="B2469">
        <f>IF(VLOOKUP(Table73[[#This Row],[Date]],Database!$A:$E,MATCH($B$1,Database!$A$1:$E$1,),)=0,#N/A,VLOOKUP(Table73[[#This Row],[Date]],Database!$A:$E,MATCH($B$1,Database!$A$1:$E$1,),))</f>
        <v/>
      </c>
      <c r="C2469">
        <f>IF(VLOOKUP(Table73[[#This Row],[Date]],Database!$A:$C,MATCH($C$1,Database!$A$1:$C$1,),)=0,#N/A,VLOOKUP(Table73[[#This Row],[Date]],Database!$A:$C,MATCH($C$1,Database!$A$1:$C$1,),))</f>
        <v/>
      </c>
      <c r="D2469">
        <f>IFERROR(Table73[[#This Row],[United States 10y]]-Table73[[#This Row],[United States 2y]],#N/A)</f>
        <v/>
      </c>
    </row>
    <row r="2470">
      <c r="A2470" s="6">
        <f>Database!A2469</f>
        <v/>
      </c>
      <c r="B2470">
        <f>IF(VLOOKUP(Table73[[#This Row],[Date]],Database!$A:$E,MATCH($B$1,Database!$A$1:$E$1,),)=0,#N/A,VLOOKUP(Table73[[#This Row],[Date]],Database!$A:$E,MATCH($B$1,Database!$A$1:$E$1,),))</f>
        <v/>
      </c>
      <c r="C2470">
        <f>IF(VLOOKUP(Table73[[#This Row],[Date]],Database!$A:$C,MATCH($C$1,Database!$A$1:$C$1,),)=0,#N/A,VLOOKUP(Table73[[#This Row],[Date]],Database!$A:$C,MATCH($C$1,Database!$A$1:$C$1,),))</f>
        <v/>
      </c>
      <c r="D2470">
        <f>IFERROR(Table73[[#This Row],[United States 10y]]-Table73[[#This Row],[United States 2y]],#N/A)</f>
        <v/>
      </c>
    </row>
    <row r="2471">
      <c r="A2471" s="6">
        <f>Database!A2470</f>
        <v/>
      </c>
      <c r="B2471">
        <f>IF(VLOOKUP(Table73[[#This Row],[Date]],Database!$A:$E,MATCH($B$1,Database!$A$1:$E$1,),)=0,#N/A,VLOOKUP(Table73[[#This Row],[Date]],Database!$A:$E,MATCH($B$1,Database!$A$1:$E$1,),))</f>
        <v/>
      </c>
      <c r="C2471">
        <f>IF(VLOOKUP(Table73[[#This Row],[Date]],Database!$A:$C,MATCH($C$1,Database!$A$1:$C$1,),)=0,#N/A,VLOOKUP(Table73[[#This Row],[Date]],Database!$A:$C,MATCH($C$1,Database!$A$1:$C$1,),))</f>
        <v/>
      </c>
      <c r="D2471">
        <f>IFERROR(Table73[[#This Row],[United States 10y]]-Table73[[#This Row],[United States 2y]],#N/A)</f>
        <v/>
      </c>
    </row>
    <row r="2472">
      <c r="A2472" s="6">
        <f>Database!A2471</f>
        <v/>
      </c>
      <c r="B2472">
        <f>IF(VLOOKUP(Table73[[#This Row],[Date]],Database!$A:$E,MATCH($B$1,Database!$A$1:$E$1,),)=0,#N/A,VLOOKUP(Table73[[#This Row],[Date]],Database!$A:$E,MATCH($B$1,Database!$A$1:$E$1,),))</f>
        <v/>
      </c>
      <c r="C2472">
        <f>IF(VLOOKUP(Table73[[#This Row],[Date]],Database!$A:$C,MATCH($C$1,Database!$A$1:$C$1,),)=0,#N/A,VLOOKUP(Table73[[#This Row],[Date]],Database!$A:$C,MATCH($C$1,Database!$A$1:$C$1,),))</f>
        <v/>
      </c>
      <c r="D2472">
        <f>IFERROR(Table73[[#This Row],[United States 10y]]-Table73[[#This Row],[United States 2y]],#N/A)</f>
        <v/>
      </c>
    </row>
    <row r="2473">
      <c r="A2473" s="6">
        <f>Database!A2472</f>
        <v/>
      </c>
      <c r="B2473">
        <f>IF(VLOOKUP(Table73[[#This Row],[Date]],Database!$A:$E,MATCH($B$1,Database!$A$1:$E$1,),)=0,#N/A,VLOOKUP(Table73[[#This Row],[Date]],Database!$A:$E,MATCH($B$1,Database!$A$1:$E$1,),))</f>
        <v/>
      </c>
      <c r="C2473">
        <f>IF(VLOOKUP(Table73[[#This Row],[Date]],Database!$A:$C,MATCH($C$1,Database!$A$1:$C$1,),)=0,#N/A,VLOOKUP(Table73[[#This Row],[Date]],Database!$A:$C,MATCH($C$1,Database!$A$1:$C$1,),))</f>
        <v/>
      </c>
      <c r="D2473">
        <f>IFERROR(Table73[[#This Row],[United States 10y]]-Table73[[#This Row],[United States 2y]],#N/A)</f>
        <v/>
      </c>
    </row>
    <row r="2474">
      <c r="A2474" s="6">
        <f>Database!A2473</f>
        <v/>
      </c>
      <c r="B2474">
        <f>IF(VLOOKUP(Table73[[#This Row],[Date]],Database!$A:$E,MATCH($B$1,Database!$A$1:$E$1,),)=0,#N/A,VLOOKUP(Table73[[#This Row],[Date]],Database!$A:$E,MATCH($B$1,Database!$A$1:$E$1,),))</f>
        <v/>
      </c>
      <c r="C2474">
        <f>IF(VLOOKUP(Table73[[#This Row],[Date]],Database!$A:$C,MATCH($C$1,Database!$A$1:$C$1,),)=0,#N/A,VLOOKUP(Table73[[#This Row],[Date]],Database!$A:$C,MATCH($C$1,Database!$A$1:$C$1,),))</f>
        <v/>
      </c>
      <c r="D2474">
        <f>IFERROR(Table73[[#This Row],[United States 10y]]-Table73[[#This Row],[United States 2y]],#N/A)</f>
        <v/>
      </c>
    </row>
    <row r="2475">
      <c r="A2475" s="6">
        <f>Database!A2474</f>
        <v/>
      </c>
      <c r="B2475">
        <f>IF(VLOOKUP(Table73[[#This Row],[Date]],Database!$A:$E,MATCH($B$1,Database!$A$1:$E$1,),)=0,#N/A,VLOOKUP(Table73[[#This Row],[Date]],Database!$A:$E,MATCH($B$1,Database!$A$1:$E$1,),))</f>
        <v/>
      </c>
      <c r="C2475">
        <f>IF(VLOOKUP(Table73[[#This Row],[Date]],Database!$A:$C,MATCH($C$1,Database!$A$1:$C$1,),)=0,#N/A,VLOOKUP(Table73[[#This Row],[Date]],Database!$A:$C,MATCH($C$1,Database!$A$1:$C$1,),))</f>
        <v/>
      </c>
      <c r="D2475">
        <f>IFERROR(Table73[[#This Row],[United States 10y]]-Table73[[#This Row],[United States 2y]],#N/A)</f>
        <v/>
      </c>
    </row>
    <row r="2476">
      <c r="A2476" s="6">
        <f>Database!A2475</f>
        <v/>
      </c>
      <c r="B2476">
        <f>IF(VLOOKUP(Table73[[#This Row],[Date]],Database!$A:$E,MATCH($B$1,Database!$A$1:$E$1,),)=0,#N/A,VLOOKUP(Table73[[#This Row],[Date]],Database!$A:$E,MATCH($B$1,Database!$A$1:$E$1,),))</f>
        <v/>
      </c>
      <c r="C2476">
        <f>IF(VLOOKUP(Table73[[#This Row],[Date]],Database!$A:$C,MATCH($C$1,Database!$A$1:$C$1,),)=0,#N/A,VLOOKUP(Table73[[#This Row],[Date]],Database!$A:$C,MATCH($C$1,Database!$A$1:$C$1,),))</f>
        <v/>
      </c>
      <c r="D2476">
        <f>IFERROR(Table73[[#This Row],[United States 10y]]-Table73[[#This Row],[United States 2y]],#N/A)</f>
        <v/>
      </c>
    </row>
    <row r="2477">
      <c r="A2477" s="6">
        <f>Database!A2476</f>
        <v/>
      </c>
      <c r="B2477">
        <f>IF(VLOOKUP(Table73[[#This Row],[Date]],Database!$A:$E,MATCH($B$1,Database!$A$1:$E$1,),)=0,#N/A,VLOOKUP(Table73[[#This Row],[Date]],Database!$A:$E,MATCH($B$1,Database!$A$1:$E$1,),))</f>
        <v/>
      </c>
      <c r="C2477">
        <f>IF(VLOOKUP(Table73[[#This Row],[Date]],Database!$A:$C,MATCH($C$1,Database!$A$1:$C$1,),)=0,#N/A,VLOOKUP(Table73[[#This Row],[Date]],Database!$A:$C,MATCH($C$1,Database!$A$1:$C$1,),))</f>
        <v/>
      </c>
      <c r="D2477">
        <f>IFERROR(Table73[[#This Row],[United States 10y]]-Table73[[#This Row],[United States 2y]],#N/A)</f>
        <v/>
      </c>
    </row>
    <row r="2478">
      <c r="A2478" s="6">
        <f>Database!A2477</f>
        <v/>
      </c>
      <c r="B2478">
        <f>IF(VLOOKUP(Table73[[#This Row],[Date]],Database!$A:$E,MATCH($B$1,Database!$A$1:$E$1,),)=0,#N/A,VLOOKUP(Table73[[#This Row],[Date]],Database!$A:$E,MATCH($B$1,Database!$A$1:$E$1,),))</f>
        <v/>
      </c>
      <c r="C2478">
        <f>IF(VLOOKUP(Table73[[#This Row],[Date]],Database!$A:$C,MATCH($C$1,Database!$A$1:$C$1,),)=0,#N/A,VLOOKUP(Table73[[#This Row],[Date]],Database!$A:$C,MATCH($C$1,Database!$A$1:$C$1,),))</f>
        <v/>
      </c>
      <c r="D2478">
        <f>IFERROR(Table73[[#This Row],[United States 10y]]-Table73[[#This Row],[United States 2y]],#N/A)</f>
        <v/>
      </c>
    </row>
    <row r="2479">
      <c r="A2479" s="6">
        <f>Database!A2478</f>
        <v/>
      </c>
      <c r="B2479">
        <f>IF(VLOOKUP(Table73[[#This Row],[Date]],Database!$A:$E,MATCH($B$1,Database!$A$1:$E$1,),)=0,#N/A,VLOOKUP(Table73[[#This Row],[Date]],Database!$A:$E,MATCH($B$1,Database!$A$1:$E$1,),))</f>
        <v/>
      </c>
      <c r="C2479">
        <f>IF(VLOOKUP(Table73[[#This Row],[Date]],Database!$A:$C,MATCH($C$1,Database!$A$1:$C$1,),)=0,#N/A,VLOOKUP(Table73[[#This Row],[Date]],Database!$A:$C,MATCH($C$1,Database!$A$1:$C$1,),))</f>
        <v/>
      </c>
      <c r="D2479">
        <f>IFERROR(Table73[[#This Row],[United States 10y]]-Table73[[#This Row],[United States 2y]],#N/A)</f>
        <v/>
      </c>
    </row>
    <row r="2480">
      <c r="A2480" s="6">
        <f>Database!A2479</f>
        <v/>
      </c>
      <c r="B2480">
        <f>IF(VLOOKUP(Table73[[#This Row],[Date]],Database!$A:$E,MATCH($B$1,Database!$A$1:$E$1,),)=0,#N/A,VLOOKUP(Table73[[#This Row],[Date]],Database!$A:$E,MATCH($B$1,Database!$A$1:$E$1,),))</f>
        <v/>
      </c>
      <c r="C2480">
        <f>IF(VLOOKUP(Table73[[#This Row],[Date]],Database!$A:$C,MATCH($C$1,Database!$A$1:$C$1,),)=0,#N/A,VLOOKUP(Table73[[#This Row],[Date]],Database!$A:$C,MATCH($C$1,Database!$A$1:$C$1,),))</f>
        <v/>
      </c>
      <c r="D2480">
        <f>IFERROR(Table73[[#This Row],[United States 10y]]-Table73[[#This Row],[United States 2y]],#N/A)</f>
        <v/>
      </c>
    </row>
    <row r="2481">
      <c r="A2481" s="6">
        <f>Database!A2480</f>
        <v/>
      </c>
      <c r="B2481">
        <f>IF(VLOOKUP(Table73[[#This Row],[Date]],Database!$A:$E,MATCH($B$1,Database!$A$1:$E$1,),)=0,#N/A,VLOOKUP(Table73[[#This Row],[Date]],Database!$A:$E,MATCH($B$1,Database!$A$1:$E$1,),))</f>
        <v/>
      </c>
      <c r="C2481">
        <f>IF(VLOOKUP(Table73[[#This Row],[Date]],Database!$A:$C,MATCH($C$1,Database!$A$1:$C$1,),)=0,#N/A,VLOOKUP(Table73[[#This Row],[Date]],Database!$A:$C,MATCH($C$1,Database!$A$1:$C$1,),))</f>
        <v/>
      </c>
      <c r="D2481">
        <f>IFERROR(Table73[[#This Row],[United States 10y]]-Table73[[#This Row],[United States 2y]],#N/A)</f>
        <v/>
      </c>
    </row>
    <row r="2482">
      <c r="A2482" s="6">
        <f>Database!A2481</f>
        <v/>
      </c>
      <c r="B2482">
        <f>IF(VLOOKUP(Table73[[#This Row],[Date]],Database!$A:$E,MATCH($B$1,Database!$A$1:$E$1,),)=0,#N/A,VLOOKUP(Table73[[#This Row],[Date]],Database!$A:$E,MATCH($B$1,Database!$A$1:$E$1,),))</f>
        <v/>
      </c>
      <c r="C2482">
        <f>IF(VLOOKUP(Table73[[#This Row],[Date]],Database!$A:$C,MATCH($C$1,Database!$A$1:$C$1,),)=0,#N/A,VLOOKUP(Table73[[#This Row],[Date]],Database!$A:$C,MATCH($C$1,Database!$A$1:$C$1,),))</f>
        <v/>
      </c>
      <c r="D2482">
        <f>IFERROR(Table73[[#This Row],[United States 10y]]-Table73[[#This Row],[United States 2y]],#N/A)</f>
        <v/>
      </c>
    </row>
    <row r="2483">
      <c r="A2483" s="6">
        <f>Database!A2482</f>
        <v/>
      </c>
      <c r="B2483">
        <f>IF(VLOOKUP(Table73[[#This Row],[Date]],Database!$A:$E,MATCH($B$1,Database!$A$1:$E$1,),)=0,#N/A,VLOOKUP(Table73[[#This Row],[Date]],Database!$A:$E,MATCH($B$1,Database!$A$1:$E$1,),))</f>
        <v/>
      </c>
      <c r="C2483">
        <f>IF(VLOOKUP(Table73[[#This Row],[Date]],Database!$A:$C,MATCH($C$1,Database!$A$1:$C$1,),)=0,#N/A,VLOOKUP(Table73[[#This Row],[Date]],Database!$A:$C,MATCH($C$1,Database!$A$1:$C$1,),))</f>
        <v/>
      </c>
      <c r="D2483">
        <f>IFERROR(Table73[[#This Row],[United States 10y]]-Table73[[#This Row],[United States 2y]],#N/A)</f>
        <v/>
      </c>
    </row>
    <row r="2484">
      <c r="A2484" s="6">
        <f>Database!A2483</f>
        <v/>
      </c>
      <c r="B2484">
        <f>IF(VLOOKUP(Table73[[#This Row],[Date]],Database!$A:$E,MATCH($B$1,Database!$A$1:$E$1,),)=0,#N/A,VLOOKUP(Table73[[#This Row],[Date]],Database!$A:$E,MATCH($B$1,Database!$A$1:$E$1,),))</f>
        <v/>
      </c>
      <c r="C2484">
        <f>IF(VLOOKUP(Table73[[#This Row],[Date]],Database!$A:$C,MATCH($C$1,Database!$A$1:$C$1,),)=0,#N/A,VLOOKUP(Table73[[#This Row],[Date]],Database!$A:$C,MATCH($C$1,Database!$A$1:$C$1,),))</f>
        <v/>
      </c>
      <c r="D2484">
        <f>IFERROR(Table73[[#This Row],[United States 10y]]-Table73[[#This Row],[United States 2y]],#N/A)</f>
        <v/>
      </c>
    </row>
    <row r="2485">
      <c r="A2485" s="6">
        <f>Database!A2484</f>
        <v/>
      </c>
      <c r="B2485">
        <f>IF(VLOOKUP(Table73[[#This Row],[Date]],Database!$A:$E,MATCH($B$1,Database!$A$1:$E$1,),)=0,#N/A,VLOOKUP(Table73[[#This Row],[Date]],Database!$A:$E,MATCH($B$1,Database!$A$1:$E$1,),))</f>
        <v/>
      </c>
      <c r="C2485">
        <f>IF(VLOOKUP(Table73[[#This Row],[Date]],Database!$A:$C,MATCH($C$1,Database!$A$1:$C$1,),)=0,#N/A,VLOOKUP(Table73[[#This Row],[Date]],Database!$A:$C,MATCH($C$1,Database!$A$1:$C$1,),))</f>
        <v/>
      </c>
      <c r="D2485">
        <f>IFERROR(Table73[[#This Row],[United States 10y]]-Table73[[#This Row],[United States 2y]],#N/A)</f>
        <v/>
      </c>
    </row>
    <row r="2486">
      <c r="A2486" s="6">
        <f>Database!A2485</f>
        <v/>
      </c>
      <c r="B2486">
        <f>IF(VLOOKUP(Table73[[#This Row],[Date]],Database!$A:$E,MATCH($B$1,Database!$A$1:$E$1,),)=0,#N/A,VLOOKUP(Table73[[#This Row],[Date]],Database!$A:$E,MATCH($B$1,Database!$A$1:$E$1,),))</f>
        <v/>
      </c>
      <c r="C2486">
        <f>IF(VLOOKUP(Table73[[#This Row],[Date]],Database!$A:$C,MATCH($C$1,Database!$A$1:$C$1,),)=0,#N/A,VLOOKUP(Table73[[#This Row],[Date]],Database!$A:$C,MATCH($C$1,Database!$A$1:$C$1,),))</f>
        <v/>
      </c>
      <c r="D2486">
        <f>IFERROR(Table73[[#This Row],[United States 10y]]-Table73[[#This Row],[United States 2y]],#N/A)</f>
        <v/>
      </c>
    </row>
    <row r="2487">
      <c r="A2487" s="6">
        <f>Database!A2486</f>
        <v/>
      </c>
      <c r="B2487">
        <f>IF(VLOOKUP(Table73[[#This Row],[Date]],Database!$A:$E,MATCH($B$1,Database!$A$1:$E$1,),)=0,#N/A,VLOOKUP(Table73[[#This Row],[Date]],Database!$A:$E,MATCH($B$1,Database!$A$1:$E$1,),))</f>
        <v/>
      </c>
      <c r="C2487">
        <f>IF(VLOOKUP(Table73[[#This Row],[Date]],Database!$A:$C,MATCH($C$1,Database!$A$1:$C$1,),)=0,#N/A,VLOOKUP(Table73[[#This Row],[Date]],Database!$A:$C,MATCH($C$1,Database!$A$1:$C$1,),))</f>
        <v/>
      </c>
      <c r="D2487">
        <f>IFERROR(Table73[[#This Row],[United States 10y]]-Table73[[#This Row],[United States 2y]],#N/A)</f>
        <v/>
      </c>
    </row>
    <row r="2488">
      <c r="A2488" s="6">
        <f>Database!A2487</f>
        <v/>
      </c>
      <c r="B2488">
        <f>IF(VLOOKUP(Table73[[#This Row],[Date]],Database!$A:$E,MATCH($B$1,Database!$A$1:$E$1,),)=0,#N/A,VLOOKUP(Table73[[#This Row],[Date]],Database!$A:$E,MATCH($B$1,Database!$A$1:$E$1,),))</f>
        <v/>
      </c>
      <c r="C2488">
        <f>IF(VLOOKUP(Table73[[#This Row],[Date]],Database!$A:$C,MATCH($C$1,Database!$A$1:$C$1,),)=0,#N/A,VLOOKUP(Table73[[#This Row],[Date]],Database!$A:$C,MATCH($C$1,Database!$A$1:$C$1,),))</f>
        <v/>
      </c>
      <c r="D2488">
        <f>IFERROR(Table73[[#This Row],[United States 10y]]-Table73[[#This Row],[United States 2y]],#N/A)</f>
        <v/>
      </c>
    </row>
    <row r="2489">
      <c r="A2489" s="6">
        <f>Database!A2488</f>
        <v/>
      </c>
      <c r="B2489">
        <f>IF(VLOOKUP(Table73[[#This Row],[Date]],Database!$A:$E,MATCH($B$1,Database!$A$1:$E$1,),)=0,#N/A,VLOOKUP(Table73[[#This Row],[Date]],Database!$A:$E,MATCH($B$1,Database!$A$1:$E$1,),))</f>
        <v/>
      </c>
      <c r="C2489">
        <f>IF(VLOOKUP(Table73[[#This Row],[Date]],Database!$A:$C,MATCH($C$1,Database!$A$1:$C$1,),)=0,#N/A,VLOOKUP(Table73[[#This Row],[Date]],Database!$A:$C,MATCH($C$1,Database!$A$1:$C$1,),))</f>
        <v/>
      </c>
      <c r="D2489">
        <f>IFERROR(Table73[[#This Row],[United States 10y]]-Table73[[#This Row],[United States 2y]],#N/A)</f>
        <v/>
      </c>
    </row>
    <row r="2490">
      <c r="A2490" s="6">
        <f>Database!A2489</f>
        <v/>
      </c>
      <c r="B2490">
        <f>IF(VLOOKUP(Table73[[#This Row],[Date]],Database!$A:$E,MATCH($B$1,Database!$A$1:$E$1,),)=0,#N/A,VLOOKUP(Table73[[#This Row],[Date]],Database!$A:$E,MATCH($B$1,Database!$A$1:$E$1,),))</f>
        <v/>
      </c>
      <c r="C2490">
        <f>IF(VLOOKUP(Table73[[#This Row],[Date]],Database!$A:$C,MATCH($C$1,Database!$A$1:$C$1,),)=0,#N/A,VLOOKUP(Table73[[#This Row],[Date]],Database!$A:$C,MATCH($C$1,Database!$A$1:$C$1,),))</f>
        <v/>
      </c>
      <c r="D2490">
        <f>IFERROR(Table73[[#This Row],[United States 10y]]-Table73[[#This Row],[United States 2y]],#N/A)</f>
        <v/>
      </c>
    </row>
    <row r="2491">
      <c r="A2491" s="6">
        <f>Database!A2490</f>
        <v/>
      </c>
      <c r="B2491">
        <f>IF(VLOOKUP(Table73[[#This Row],[Date]],Database!$A:$E,MATCH($B$1,Database!$A$1:$E$1,),)=0,#N/A,VLOOKUP(Table73[[#This Row],[Date]],Database!$A:$E,MATCH($B$1,Database!$A$1:$E$1,),))</f>
        <v/>
      </c>
      <c r="C2491">
        <f>IF(VLOOKUP(Table73[[#This Row],[Date]],Database!$A:$C,MATCH($C$1,Database!$A$1:$C$1,),)=0,#N/A,VLOOKUP(Table73[[#This Row],[Date]],Database!$A:$C,MATCH($C$1,Database!$A$1:$C$1,),))</f>
        <v/>
      </c>
      <c r="D2491">
        <f>IFERROR(Table73[[#This Row],[United States 10y]]-Table73[[#This Row],[United States 2y]],#N/A)</f>
        <v/>
      </c>
    </row>
    <row r="2492">
      <c r="A2492" s="6">
        <f>Database!A2491</f>
        <v/>
      </c>
      <c r="B2492">
        <f>IF(VLOOKUP(Table73[[#This Row],[Date]],Database!$A:$E,MATCH($B$1,Database!$A$1:$E$1,),)=0,#N/A,VLOOKUP(Table73[[#This Row],[Date]],Database!$A:$E,MATCH($B$1,Database!$A$1:$E$1,),))</f>
        <v/>
      </c>
      <c r="C2492">
        <f>IF(VLOOKUP(Table73[[#This Row],[Date]],Database!$A:$C,MATCH($C$1,Database!$A$1:$C$1,),)=0,#N/A,VLOOKUP(Table73[[#This Row],[Date]],Database!$A:$C,MATCH($C$1,Database!$A$1:$C$1,),))</f>
        <v/>
      </c>
      <c r="D2492">
        <f>IFERROR(Table73[[#This Row],[United States 10y]]-Table73[[#This Row],[United States 2y]],#N/A)</f>
        <v/>
      </c>
    </row>
    <row r="2493">
      <c r="A2493" s="6">
        <f>Database!A2492</f>
        <v/>
      </c>
      <c r="B2493">
        <f>IF(VLOOKUP(Table73[[#This Row],[Date]],Database!$A:$E,MATCH($B$1,Database!$A$1:$E$1,),)=0,#N/A,VLOOKUP(Table73[[#This Row],[Date]],Database!$A:$E,MATCH($B$1,Database!$A$1:$E$1,),))</f>
        <v/>
      </c>
      <c r="C2493">
        <f>IF(VLOOKUP(Table73[[#This Row],[Date]],Database!$A:$C,MATCH($C$1,Database!$A$1:$C$1,),)=0,#N/A,VLOOKUP(Table73[[#This Row],[Date]],Database!$A:$C,MATCH($C$1,Database!$A$1:$C$1,),))</f>
        <v/>
      </c>
      <c r="D2493">
        <f>IFERROR(Table73[[#This Row],[United States 10y]]-Table73[[#This Row],[United States 2y]],#N/A)</f>
        <v/>
      </c>
    </row>
    <row r="2494">
      <c r="A2494" s="6">
        <f>Database!A2493</f>
        <v/>
      </c>
      <c r="B2494">
        <f>IF(VLOOKUP(Table73[[#This Row],[Date]],Database!$A:$E,MATCH($B$1,Database!$A$1:$E$1,),)=0,#N/A,VLOOKUP(Table73[[#This Row],[Date]],Database!$A:$E,MATCH($B$1,Database!$A$1:$E$1,),))</f>
        <v/>
      </c>
      <c r="C2494">
        <f>IF(VLOOKUP(Table73[[#This Row],[Date]],Database!$A:$C,MATCH($C$1,Database!$A$1:$C$1,),)=0,#N/A,VLOOKUP(Table73[[#This Row],[Date]],Database!$A:$C,MATCH($C$1,Database!$A$1:$C$1,),))</f>
        <v/>
      </c>
      <c r="D2494">
        <f>IFERROR(Table73[[#This Row],[United States 10y]]-Table73[[#This Row],[United States 2y]],#N/A)</f>
        <v/>
      </c>
    </row>
    <row r="2495">
      <c r="A2495" s="6">
        <f>Database!A2494</f>
        <v/>
      </c>
      <c r="B2495">
        <f>IF(VLOOKUP(Table73[[#This Row],[Date]],Database!$A:$E,MATCH($B$1,Database!$A$1:$E$1,),)=0,#N/A,VLOOKUP(Table73[[#This Row],[Date]],Database!$A:$E,MATCH($B$1,Database!$A$1:$E$1,),))</f>
        <v/>
      </c>
      <c r="C2495">
        <f>IF(VLOOKUP(Table73[[#This Row],[Date]],Database!$A:$C,MATCH($C$1,Database!$A$1:$C$1,),)=0,#N/A,VLOOKUP(Table73[[#This Row],[Date]],Database!$A:$C,MATCH($C$1,Database!$A$1:$C$1,),))</f>
        <v/>
      </c>
      <c r="D2495">
        <f>IFERROR(Table73[[#This Row],[United States 10y]]-Table73[[#This Row],[United States 2y]],#N/A)</f>
        <v/>
      </c>
    </row>
    <row r="2496">
      <c r="A2496" s="6">
        <f>Database!A2495</f>
        <v/>
      </c>
      <c r="B2496">
        <f>IF(VLOOKUP(Table73[[#This Row],[Date]],Database!$A:$E,MATCH($B$1,Database!$A$1:$E$1,),)=0,#N/A,VLOOKUP(Table73[[#This Row],[Date]],Database!$A:$E,MATCH($B$1,Database!$A$1:$E$1,),))</f>
        <v/>
      </c>
      <c r="C2496">
        <f>IF(VLOOKUP(Table73[[#This Row],[Date]],Database!$A:$C,MATCH($C$1,Database!$A$1:$C$1,),)=0,#N/A,VLOOKUP(Table73[[#This Row],[Date]],Database!$A:$C,MATCH($C$1,Database!$A$1:$C$1,),))</f>
        <v/>
      </c>
      <c r="D2496">
        <f>IFERROR(Table73[[#This Row],[United States 10y]]-Table73[[#This Row],[United States 2y]],#N/A)</f>
        <v/>
      </c>
    </row>
    <row r="2497">
      <c r="A2497" s="6">
        <f>Database!A2496</f>
        <v/>
      </c>
      <c r="B2497">
        <f>IF(VLOOKUP(Table73[[#This Row],[Date]],Database!$A:$E,MATCH($B$1,Database!$A$1:$E$1,),)=0,#N/A,VLOOKUP(Table73[[#This Row],[Date]],Database!$A:$E,MATCH($B$1,Database!$A$1:$E$1,),))</f>
        <v/>
      </c>
      <c r="C2497">
        <f>IF(VLOOKUP(Table73[[#This Row],[Date]],Database!$A:$C,MATCH($C$1,Database!$A$1:$C$1,),)=0,#N/A,VLOOKUP(Table73[[#This Row],[Date]],Database!$A:$C,MATCH($C$1,Database!$A$1:$C$1,),))</f>
        <v/>
      </c>
      <c r="D2497">
        <f>IFERROR(Table73[[#This Row],[United States 10y]]-Table73[[#This Row],[United States 2y]],#N/A)</f>
        <v/>
      </c>
    </row>
    <row r="2498">
      <c r="A2498" s="6">
        <f>Database!A2497</f>
        <v/>
      </c>
      <c r="B2498">
        <f>IF(VLOOKUP(Table73[[#This Row],[Date]],Database!$A:$E,MATCH($B$1,Database!$A$1:$E$1,),)=0,#N/A,VLOOKUP(Table73[[#This Row],[Date]],Database!$A:$E,MATCH($B$1,Database!$A$1:$E$1,),))</f>
        <v/>
      </c>
      <c r="C2498">
        <f>IF(VLOOKUP(Table73[[#This Row],[Date]],Database!$A:$C,MATCH($C$1,Database!$A$1:$C$1,),)=0,#N/A,VLOOKUP(Table73[[#This Row],[Date]],Database!$A:$C,MATCH($C$1,Database!$A$1:$C$1,),))</f>
        <v/>
      </c>
      <c r="D2498">
        <f>IFERROR(Table73[[#This Row],[United States 10y]]-Table73[[#This Row],[United States 2y]],#N/A)</f>
        <v/>
      </c>
    </row>
    <row r="2499">
      <c r="A2499" s="6">
        <f>Database!A2498</f>
        <v/>
      </c>
      <c r="B2499">
        <f>IF(VLOOKUP(Table73[[#This Row],[Date]],Database!$A:$E,MATCH($B$1,Database!$A$1:$E$1,),)=0,#N/A,VLOOKUP(Table73[[#This Row],[Date]],Database!$A:$E,MATCH($B$1,Database!$A$1:$E$1,),))</f>
        <v/>
      </c>
      <c r="C2499">
        <f>IF(VLOOKUP(Table73[[#This Row],[Date]],Database!$A:$C,MATCH($C$1,Database!$A$1:$C$1,),)=0,#N/A,VLOOKUP(Table73[[#This Row],[Date]],Database!$A:$C,MATCH($C$1,Database!$A$1:$C$1,),))</f>
        <v/>
      </c>
      <c r="D2499">
        <f>IFERROR(Table73[[#This Row],[United States 10y]]-Table73[[#This Row],[United States 2y]],#N/A)</f>
        <v/>
      </c>
    </row>
    <row r="2500">
      <c r="A2500" s="6">
        <f>Database!A2499</f>
        <v/>
      </c>
      <c r="B2500">
        <f>IF(VLOOKUP(Table73[[#This Row],[Date]],Database!$A:$E,MATCH($B$1,Database!$A$1:$E$1,),)=0,#N/A,VLOOKUP(Table73[[#This Row],[Date]],Database!$A:$E,MATCH($B$1,Database!$A$1:$E$1,),))</f>
        <v/>
      </c>
      <c r="C2500">
        <f>IF(VLOOKUP(Table73[[#This Row],[Date]],Database!$A:$C,MATCH($C$1,Database!$A$1:$C$1,),)=0,#N/A,VLOOKUP(Table73[[#This Row],[Date]],Database!$A:$C,MATCH($C$1,Database!$A$1:$C$1,),))</f>
        <v/>
      </c>
      <c r="D2500">
        <f>IFERROR(Table73[[#This Row],[United States 10y]]-Table73[[#This Row],[United States 2y]],#N/A)</f>
        <v/>
      </c>
    </row>
    <row r="2501">
      <c r="A2501" s="6">
        <f>Database!A2500</f>
        <v/>
      </c>
      <c r="B2501">
        <f>IF(VLOOKUP(Table73[[#This Row],[Date]],Database!$A:$E,MATCH($B$1,Database!$A$1:$E$1,),)=0,#N/A,VLOOKUP(Table73[[#This Row],[Date]],Database!$A:$E,MATCH($B$1,Database!$A$1:$E$1,),))</f>
        <v/>
      </c>
      <c r="C2501">
        <f>IF(VLOOKUP(Table73[[#This Row],[Date]],Database!$A:$C,MATCH($C$1,Database!$A$1:$C$1,),)=0,#N/A,VLOOKUP(Table73[[#This Row],[Date]],Database!$A:$C,MATCH($C$1,Database!$A$1:$C$1,),))</f>
        <v/>
      </c>
      <c r="D2501">
        <f>IFERROR(Table73[[#This Row],[United States 10y]]-Table73[[#This Row],[United States 2y]],#N/A)</f>
        <v/>
      </c>
    </row>
    <row r="2502">
      <c r="A2502" s="6">
        <f>Database!A2501</f>
        <v/>
      </c>
      <c r="B2502">
        <f>IF(VLOOKUP(Table73[[#This Row],[Date]],Database!$A:$E,MATCH($B$1,Database!$A$1:$E$1,),)=0,#N/A,VLOOKUP(Table73[[#This Row],[Date]],Database!$A:$E,MATCH($B$1,Database!$A$1:$E$1,),))</f>
        <v/>
      </c>
      <c r="C2502">
        <f>IF(VLOOKUP(Table73[[#This Row],[Date]],Database!$A:$C,MATCH($C$1,Database!$A$1:$C$1,),)=0,#N/A,VLOOKUP(Table73[[#This Row],[Date]],Database!$A:$C,MATCH($C$1,Database!$A$1:$C$1,),))</f>
        <v/>
      </c>
      <c r="D2502">
        <f>IFERROR(Table73[[#This Row],[United States 10y]]-Table73[[#This Row],[United States 2y]],#N/A)</f>
        <v/>
      </c>
    </row>
    <row r="2503">
      <c r="A2503" s="6">
        <f>Database!A2502</f>
        <v/>
      </c>
      <c r="B2503">
        <f>IF(VLOOKUP(Table73[[#This Row],[Date]],Database!$A:$E,MATCH($B$1,Database!$A$1:$E$1,),)=0,#N/A,VLOOKUP(Table73[[#This Row],[Date]],Database!$A:$E,MATCH($B$1,Database!$A$1:$E$1,),))</f>
        <v/>
      </c>
      <c r="C2503">
        <f>IF(VLOOKUP(Table73[[#This Row],[Date]],Database!$A:$C,MATCH($C$1,Database!$A$1:$C$1,),)=0,#N/A,VLOOKUP(Table73[[#This Row],[Date]],Database!$A:$C,MATCH($C$1,Database!$A$1:$C$1,),))</f>
        <v/>
      </c>
      <c r="D2503">
        <f>IFERROR(Table73[[#This Row],[United States 10y]]-Table73[[#This Row],[United States 2y]],#N/A)</f>
        <v/>
      </c>
    </row>
    <row r="2504">
      <c r="A2504" s="6">
        <f>Database!A2503</f>
        <v/>
      </c>
      <c r="B2504">
        <f>IF(VLOOKUP(Table73[[#This Row],[Date]],Database!$A:$E,MATCH($B$1,Database!$A$1:$E$1,),)=0,#N/A,VLOOKUP(Table73[[#This Row],[Date]],Database!$A:$E,MATCH($B$1,Database!$A$1:$E$1,),))</f>
        <v/>
      </c>
      <c r="C2504">
        <f>IF(VLOOKUP(Table73[[#This Row],[Date]],Database!$A:$C,MATCH($C$1,Database!$A$1:$C$1,),)=0,#N/A,VLOOKUP(Table73[[#This Row],[Date]],Database!$A:$C,MATCH($C$1,Database!$A$1:$C$1,),))</f>
        <v/>
      </c>
      <c r="D2504">
        <f>IFERROR(Table73[[#This Row],[United States 10y]]-Table73[[#This Row],[United States 2y]],#N/A)</f>
        <v/>
      </c>
    </row>
    <row r="2505">
      <c r="A2505" s="6">
        <f>Database!A2504</f>
        <v/>
      </c>
      <c r="B2505">
        <f>IF(VLOOKUP(Table73[[#This Row],[Date]],Database!$A:$E,MATCH($B$1,Database!$A$1:$E$1,),)=0,#N/A,VLOOKUP(Table73[[#This Row],[Date]],Database!$A:$E,MATCH($B$1,Database!$A$1:$E$1,),))</f>
        <v/>
      </c>
      <c r="C2505">
        <f>IF(VLOOKUP(Table73[[#This Row],[Date]],Database!$A:$C,MATCH($C$1,Database!$A$1:$C$1,),)=0,#N/A,VLOOKUP(Table73[[#This Row],[Date]],Database!$A:$C,MATCH($C$1,Database!$A$1:$C$1,),))</f>
        <v/>
      </c>
      <c r="D2505">
        <f>IFERROR(Table73[[#This Row],[United States 10y]]-Table73[[#This Row],[United States 2y]],#N/A)</f>
        <v/>
      </c>
    </row>
    <row r="2506">
      <c r="A2506" s="6">
        <f>Database!A2505</f>
        <v/>
      </c>
      <c r="B2506">
        <f>IF(VLOOKUP(Table73[[#This Row],[Date]],Database!$A:$E,MATCH($B$1,Database!$A$1:$E$1,),)=0,#N/A,VLOOKUP(Table73[[#This Row],[Date]],Database!$A:$E,MATCH($B$1,Database!$A$1:$E$1,),))</f>
        <v/>
      </c>
      <c r="C2506">
        <f>IF(VLOOKUP(Table73[[#This Row],[Date]],Database!$A:$C,MATCH($C$1,Database!$A$1:$C$1,),)=0,#N/A,VLOOKUP(Table73[[#This Row],[Date]],Database!$A:$C,MATCH($C$1,Database!$A$1:$C$1,),))</f>
        <v/>
      </c>
      <c r="D2506">
        <f>IFERROR(Table73[[#This Row],[United States 10y]]-Table73[[#This Row],[United States 2y]],#N/A)</f>
        <v/>
      </c>
    </row>
    <row r="2507">
      <c r="A2507" s="6">
        <f>Database!A2506</f>
        <v/>
      </c>
      <c r="B2507">
        <f>IF(VLOOKUP(Table73[[#This Row],[Date]],Database!$A:$E,MATCH($B$1,Database!$A$1:$E$1,),)=0,#N/A,VLOOKUP(Table73[[#This Row],[Date]],Database!$A:$E,MATCH($B$1,Database!$A$1:$E$1,),))</f>
        <v/>
      </c>
      <c r="C2507">
        <f>IF(VLOOKUP(Table73[[#This Row],[Date]],Database!$A:$C,MATCH($C$1,Database!$A$1:$C$1,),)=0,#N/A,VLOOKUP(Table73[[#This Row],[Date]],Database!$A:$C,MATCH($C$1,Database!$A$1:$C$1,),))</f>
        <v/>
      </c>
      <c r="D2507">
        <f>IFERROR(Table73[[#This Row],[United States 10y]]-Table73[[#This Row],[United States 2y]],#N/A)</f>
        <v/>
      </c>
    </row>
    <row r="2508">
      <c r="A2508" s="6">
        <f>Database!A2507</f>
        <v/>
      </c>
      <c r="B2508">
        <f>IF(VLOOKUP(Table73[[#This Row],[Date]],Database!$A:$E,MATCH($B$1,Database!$A$1:$E$1,),)=0,#N/A,VLOOKUP(Table73[[#This Row],[Date]],Database!$A:$E,MATCH($B$1,Database!$A$1:$E$1,),))</f>
        <v/>
      </c>
      <c r="C2508">
        <f>IF(VLOOKUP(Table73[[#This Row],[Date]],Database!$A:$C,MATCH($C$1,Database!$A$1:$C$1,),)=0,#N/A,VLOOKUP(Table73[[#This Row],[Date]],Database!$A:$C,MATCH($C$1,Database!$A$1:$C$1,),))</f>
        <v/>
      </c>
      <c r="D2508">
        <f>IFERROR(Table73[[#This Row],[United States 10y]]-Table73[[#This Row],[United States 2y]],#N/A)</f>
        <v/>
      </c>
    </row>
    <row r="2509">
      <c r="A2509" s="6">
        <f>Database!A2508</f>
        <v/>
      </c>
      <c r="B2509">
        <f>IF(VLOOKUP(Table73[[#This Row],[Date]],Database!$A:$E,MATCH($B$1,Database!$A$1:$E$1,),)=0,#N/A,VLOOKUP(Table73[[#This Row],[Date]],Database!$A:$E,MATCH($B$1,Database!$A$1:$E$1,),))</f>
        <v/>
      </c>
      <c r="C2509">
        <f>IF(VLOOKUP(Table73[[#This Row],[Date]],Database!$A:$C,MATCH($C$1,Database!$A$1:$C$1,),)=0,#N/A,VLOOKUP(Table73[[#This Row],[Date]],Database!$A:$C,MATCH($C$1,Database!$A$1:$C$1,),))</f>
        <v/>
      </c>
      <c r="D2509">
        <f>IFERROR(Table73[[#This Row],[United States 10y]]-Table73[[#This Row],[United States 2y]],#N/A)</f>
        <v/>
      </c>
    </row>
    <row r="2510">
      <c r="A2510" s="6">
        <f>Database!A2509</f>
        <v/>
      </c>
      <c r="B2510">
        <f>IF(VLOOKUP(Table73[[#This Row],[Date]],Database!$A:$E,MATCH($B$1,Database!$A$1:$E$1,),)=0,#N/A,VLOOKUP(Table73[[#This Row],[Date]],Database!$A:$E,MATCH($B$1,Database!$A$1:$E$1,),))</f>
        <v/>
      </c>
      <c r="C2510">
        <f>IF(VLOOKUP(Table73[[#This Row],[Date]],Database!$A:$C,MATCH($C$1,Database!$A$1:$C$1,),)=0,#N/A,VLOOKUP(Table73[[#This Row],[Date]],Database!$A:$C,MATCH($C$1,Database!$A$1:$C$1,),))</f>
        <v/>
      </c>
      <c r="D2510">
        <f>IFERROR(Table73[[#This Row],[United States 10y]]-Table73[[#This Row],[United States 2y]],#N/A)</f>
        <v/>
      </c>
    </row>
    <row r="2511">
      <c r="A2511" s="6">
        <f>Database!A2510</f>
        <v/>
      </c>
      <c r="B2511">
        <f>IF(VLOOKUP(Table73[[#This Row],[Date]],Database!$A:$E,MATCH($B$1,Database!$A$1:$E$1,),)=0,#N/A,VLOOKUP(Table73[[#This Row],[Date]],Database!$A:$E,MATCH($B$1,Database!$A$1:$E$1,),))</f>
        <v/>
      </c>
      <c r="C2511">
        <f>IF(VLOOKUP(Table73[[#This Row],[Date]],Database!$A:$C,MATCH($C$1,Database!$A$1:$C$1,),)=0,#N/A,VLOOKUP(Table73[[#This Row],[Date]],Database!$A:$C,MATCH($C$1,Database!$A$1:$C$1,),))</f>
        <v/>
      </c>
      <c r="D2511">
        <f>IFERROR(Table73[[#This Row],[United States 10y]]-Table73[[#This Row],[United States 2y]],#N/A)</f>
        <v/>
      </c>
    </row>
    <row r="2512">
      <c r="A2512" s="6">
        <f>Database!A2511</f>
        <v/>
      </c>
      <c r="B2512">
        <f>IF(VLOOKUP(Table73[[#This Row],[Date]],Database!$A:$E,MATCH($B$1,Database!$A$1:$E$1,),)=0,#N/A,VLOOKUP(Table73[[#This Row],[Date]],Database!$A:$E,MATCH($B$1,Database!$A$1:$E$1,),))</f>
        <v/>
      </c>
      <c r="C2512">
        <f>IF(VLOOKUP(Table73[[#This Row],[Date]],Database!$A:$C,MATCH($C$1,Database!$A$1:$C$1,),)=0,#N/A,VLOOKUP(Table73[[#This Row],[Date]],Database!$A:$C,MATCH($C$1,Database!$A$1:$C$1,),))</f>
        <v/>
      </c>
      <c r="D2512">
        <f>IFERROR(Table73[[#This Row],[United States 10y]]-Table73[[#This Row],[United States 2y]],#N/A)</f>
        <v/>
      </c>
    </row>
    <row r="2513">
      <c r="A2513" s="6">
        <f>Database!A2512</f>
        <v/>
      </c>
      <c r="B2513">
        <f>IF(VLOOKUP(Table73[[#This Row],[Date]],Database!$A:$E,MATCH($B$1,Database!$A$1:$E$1,),)=0,#N/A,VLOOKUP(Table73[[#This Row],[Date]],Database!$A:$E,MATCH($B$1,Database!$A$1:$E$1,),))</f>
        <v/>
      </c>
      <c r="C2513">
        <f>IF(VLOOKUP(Table73[[#This Row],[Date]],Database!$A:$C,MATCH($C$1,Database!$A$1:$C$1,),)=0,#N/A,VLOOKUP(Table73[[#This Row],[Date]],Database!$A:$C,MATCH($C$1,Database!$A$1:$C$1,),))</f>
        <v/>
      </c>
      <c r="D2513">
        <f>IFERROR(Table73[[#This Row],[United States 10y]]-Table73[[#This Row],[United States 2y]],#N/A)</f>
        <v/>
      </c>
    </row>
    <row r="2514">
      <c r="A2514" s="6">
        <f>Database!A2513</f>
        <v/>
      </c>
      <c r="B2514">
        <f>IF(VLOOKUP(Table73[[#This Row],[Date]],Database!$A:$E,MATCH($B$1,Database!$A$1:$E$1,),)=0,#N/A,VLOOKUP(Table73[[#This Row],[Date]],Database!$A:$E,MATCH($B$1,Database!$A$1:$E$1,),))</f>
        <v/>
      </c>
      <c r="C2514">
        <f>IF(VLOOKUP(Table73[[#This Row],[Date]],Database!$A:$C,MATCH($C$1,Database!$A$1:$C$1,),)=0,#N/A,VLOOKUP(Table73[[#This Row],[Date]],Database!$A:$C,MATCH($C$1,Database!$A$1:$C$1,),))</f>
        <v/>
      </c>
      <c r="D2514">
        <f>IFERROR(Table73[[#This Row],[United States 10y]]-Table73[[#This Row],[United States 2y]],#N/A)</f>
        <v/>
      </c>
    </row>
    <row r="2515">
      <c r="A2515" s="6">
        <f>Database!A2514</f>
        <v/>
      </c>
      <c r="B2515">
        <f>IF(VLOOKUP(Table73[[#This Row],[Date]],Database!$A:$E,MATCH($B$1,Database!$A$1:$E$1,),)=0,#N/A,VLOOKUP(Table73[[#This Row],[Date]],Database!$A:$E,MATCH($B$1,Database!$A$1:$E$1,),))</f>
        <v/>
      </c>
      <c r="C2515">
        <f>IF(VLOOKUP(Table73[[#This Row],[Date]],Database!$A:$C,MATCH($C$1,Database!$A$1:$C$1,),)=0,#N/A,VLOOKUP(Table73[[#This Row],[Date]],Database!$A:$C,MATCH($C$1,Database!$A$1:$C$1,),))</f>
        <v/>
      </c>
      <c r="D2515">
        <f>IFERROR(Table73[[#This Row],[United States 10y]]-Table73[[#This Row],[United States 2y]],#N/A)</f>
        <v/>
      </c>
    </row>
    <row r="2516">
      <c r="A2516" s="6">
        <f>Database!A2515</f>
        <v/>
      </c>
      <c r="B2516">
        <f>IF(VLOOKUP(Table73[[#This Row],[Date]],Database!$A:$E,MATCH($B$1,Database!$A$1:$E$1,),)=0,#N/A,VLOOKUP(Table73[[#This Row],[Date]],Database!$A:$E,MATCH($B$1,Database!$A$1:$E$1,),))</f>
        <v/>
      </c>
      <c r="C2516">
        <f>IF(VLOOKUP(Table73[[#This Row],[Date]],Database!$A:$C,MATCH($C$1,Database!$A$1:$C$1,),)=0,#N/A,VLOOKUP(Table73[[#This Row],[Date]],Database!$A:$C,MATCH($C$1,Database!$A$1:$C$1,),))</f>
        <v/>
      </c>
      <c r="D2516">
        <f>IFERROR(Table73[[#This Row],[United States 10y]]-Table73[[#This Row],[United States 2y]],#N/A)</f>
        <v/>
      </c>
    </row>
    <row r="2517">
      <c r="A2517" s="6">
        <f>Database!A2516</f>
        <v/>
      </c>
      <c r="B2517">
        <f>IF(VLOOKUP(Table73[[#This Row],[Date]],Database!$A:$E,MATCH($B$1,Database!$A$1:$E$1,),)=0,#N/A,VLOOKUP(Table73[[#This Row],[Date]],Database!$A:$E,MATCH($B$1,Database!$A$1:$E$1,),))</f>
        <v/>
      </c>
      <c r="C2517">
        <f>IF(VLOOKUP(Table73[[#This Row],[Date]],Database!$A:$C,MATCH($C$1,Database!$A$1:$C$1,),)=0,#N/A,VLOOKUP(Table73[[#This Row],[Date]],Database!$A:$C,MATCH($C$1,Database!$A$1:$C$1,),))</f>
        <v/>
      </c>
      <c r="D2517">
        <f>IFERROR(Table73[[#This Row],[United States 10y]]-Table73[[#This Row],[United States 2y]],#N/A)</f>
        <v/>
      </c>
    </row>
    <row r="2518">
      <c r="A2518" s="6">
        <f>Database!A2517</f>
        <v/>
      </c>
      <c r="B2518">
        <f>IF(VLOOKUP(Table73[[#This Row],[Date]],Database!$A:$E,MATCH($B$1,Database!$A$1:$E$1,),)=0,#N/A,VLOOKUP(Table73[[#This Row],[Date]],Database!$A:$E,MATCH($B$1,Database!$A$1:$E$1,),))</f>
        <v/>
      </c>
      <c r="C2518">
        <f>IF(VLOOKUP(Table73[[#This Row],[Date]],Database!$A:$C,MATCH($C$1,Database!$A$1:$C$1,),)=0,#N/A,VLOOKUP(Table73[[#This Row],[Date]],Database!$A:$C,MATCH($C$1,Database!$A$1:$C$1,),))</f>
        <v/>
      </c>
      <c r="D2518">
        <f>IFERROR(Table73[[#This Row],[United States 10y]]-Table73[[#This Row],[United States 2y]],#N/A)</f>
        <v/>
      </c>
    </row>
    <row r="2519">
      <c r="A2519" s="6">
        <f>Database!A2518</f>
        <v/>
      </c>
      <c r="B2519">
        <f>IF(VLOOKUP(Table73[[#This Row],[Date]],Database!$A:$E,MATCH($B$1,Database!$A$1:$E$1,),)=0,#N/A,VLOOKUP(Table73[[#This Row],[Date]],Database!$A:$E,MATCH($B$1,Database!$A$1:$E$1,),))</f>
        <v/>
      </c>
      <c r="C2519">
        <f>IF(VLOOKUP(Table73[[#This Row],[Date]],Database!$A:$C,MATCH($C$1,Database!$A$1:$C$1,),)=0,#N/A,VLOOKUP(Table73[[#This Row],[Date]],Database!$A:$C,MATCH($C$1,Database!$A$1:$C$1,),))</f>
        <v/>
      </c>
      <c r="D2519">
        <f>IFERROR(Table73[[#This Row],[United States 10y]]-Table73[[#This Row],[United States 2y]],#N/A)</f>
        <v/>
      </c>
    </row>
    <row r="2520">
      <c r="A2520" s="6">
        <f>Database!A2519</f>
        <v/>
      </c>
      <c r="B2520">
        <f>IF(VLOOKUP(Table73[[#This Row],[Date]],Database!$A:$E,MATCH($B$1,Database!$A$1:$E$1,),)=0,#N/A,VLOOKUP(Table73[[#This Row],[Date]],Database!$A:$E,MATCH($B$1,Database!$A$1:$E$1,),))</f>
        <v/>
      </c>
      <c r="C2520">
        <f>IF(VLOOKUP(Table73[[#This Row],[Date]],Database!$A:$C,MATCH($C$1,Database!$A$1:$C$1,),)=0,#N/A,VLOOKUP(Table73[[#This Row],[Date]],Database!$A:$C,MATCH($C$1,Database!$A$1:$C$1,),))</f>
        <v/>
      </c>
      <c r="D2520">
        <f>IFERROR(Table73[[#This Row],[United States 10y]]-Table73[[#This Row],[United States 2y]],#N/A)</f>
        <v/>
      </c>
    </row>
    <row r="2521">
      <c r="A2521" s="6">
        <f>Database!A2520</f>
        <v/>
      </c>
      <c r="B2521">
        <f>IF(VLOOKUP(Table73[[#This Row],[Date]],Database!$A:$E,MATCH($B$1,Database!$A$1:$E$1,),)=0,#N/A,VLOOKUP(Table73[[#This Row],[Date]],Database!$A:$E,MATCH($B$1,Database!$A$1:$E$1,),))</f>
        <v/>
      </c>
      <c r="C2521">
        <f>IF(VLOOKUP(Table73[[#This Row],[Date]],Database!$A:$C,MATCH($C$1,Database!$A$1:$C$1,),)=0,#N/A,VLOOKUP(Table73[[#This Row],[Date]],Database!$A:$C,MATCH($C$1,Database!$A$1:$C$1,),))</f>
        <v/>
      </c>
      <c r="D2521">
        <f>IFERROR(Table73[[#This Row],[United States 10y]]-Table73[[#This Row],[United States 2y]],#N/A)</f>
        <v/>
      </c>
    </row>
    <row r="2522">
      <c r="A2522" s="6">
        <f>Database!A2521</f>
        <v/>
      </c>
      <c r="B2522">
        <f>IF(VLOOKUP(Table73[[#This Row],[Date]],Database!$A:$E,MATCH($B$1,Database!$A$1:$E$1,),)=0,#N/A,VLOOKUP(Table73[[#This Row],[Date]],Database!$A:$E,MATCH($B$1,Database!$A$1:$E$1,),))</f>
        <v/>
      </c>
      <c r="C2522">
        <f>IF(VLOOKUP(Table73[[#This Row],[Date]],Database!$A:$C,MATCH($C$1,Database!$A$1:$C$1,),)=0,#N/A,VLOOKUP(Table73[[#This Row],[Date]],Database!$A:$C,MATCH($C$1,Database!$A$1:$C$1,),))</f>
        <v/>
      </c>
      <c r="D2522">
        <f>IFERROR(Table73[[#This Row],[United States 10y]]-Table73[[#This Row],[United States 2y]],#N/A)</f>
        <v/>
      </c>
    </row>
    <row r="2523">
      <c r="A2523" s="6">
        <f>Database!A2522</f>
        <v/>
      </c>
      <c r="B2523">
        <f>IF(VLOOKUP(Table73[[#This Row],[Date]],Database!$A:$E,MATCH($B$1,Database!$A$1:$E$1,),)=0,#N/A,VLOOKUP(Table73[[#This Row],[Date]],Database!$A:$E,MATCH($B$1,Database!$A$1:$E$1,),))</f>
        <v/>
      </c>
      <c r="C2523">
        <f>IF(VLOOKUP(Table73[[#This Row],[Date]],Database!$A:$C,MATCH($C$1,Database!$A$1:$C$1,),)=0,#N/A,VLOOKUP(Table73[[#This Row],[Date]],Database!$A:$C,MATCH($C$1,Database!$A$1:$C$1,),))</f>
        <v/>
      </c>
      <c r="D2523">
        <f>IFERROR(Table73[[#This Row],[United States 10y]]-Table73[[#This Row],[United States 2y]],#N/A)</f>
        <v/>
      </c>
    </row>
    <row r="2524">
      <c r="A2524" s="6">
        <f>Database!A2523</f>
        <v/>
      </c>
      <c r="B2524">
        <f>IF(VLOOKUP(Table73[[#This Row],[Date]],Database!$A:$E,MATCH($B$1,Database!$A$1:$E$1,),)=0,#N/A,VLOOKUP(Table73[[#This Row],[Date]],Database!$A:$E,MATCH($B$1,Database!$A$1:$E$1,),))</f>
        <v/>
      </c>
      <c r="C2524">
        <f>IF(VLOOKUP(Table73[[#This Row],[Date]],Database!$A:$C,MATCH($C$1,Database!$A$1:$C$1,),)=0,#N/A,VLOOKUP(Table73[[#This Row],[Date]],Database!$A:$C,MATCH($C$1,Database!$A$1:$C$1,),))</f>
        <v/>
      </c>
      <c r="D2524">
        <f>IFERROR(Table73[[#This Row],[United States 10y]]-Table73[[#This Row],[United States 2y]],#N/A)</f>
        <v/>
      </c>
    </row>
    <row r="2525">
      <c r="A2525" s="6">
        <f>Database!A2524</f>
        <v/>
      </c>
      <c r="B2525">
        <f>IF(VLOOKUP(Table73[[#This Row],[Date]],Database!$A:$E,MATCH($B$1,Database!$A$1:$E$1,),)=0,#N/A,VLOOKUP(Table73[[#This Row],[Date]],Database!$A:$E,MATCH($B$1,Database!$A$1:$E$1,),))</f>
        <v/>
      </c>
      <c r="C2525">
        <f>IF(VLOOKUP(Table73[[#This Row],[Date]],Database!$A:$C,MATCH($C$1,Database!$A$1:$C$1,),)=0,#N/A,VLOOKUP(Table73[[#This Row],[Date]],Database!$A:$C,MATCH($C$1,Database!$A$1:$C$1,),))</f>
        <v/>
      </c>
      <c r="D2525">
        <f>IFERROR(Table73[[#This Row],[United States 10y]]-Table73[[#This Row],[United States 2y]],#N/A)</f>
        <v/>
      </c>
    </row>
    <row r="2526">
      <c r="A2526" s="6">
        <f>Database!A2525</f>
        <v/>
      </c>
      <c r="B2526">
        <f>IF(VLOOKUP(Table73[[#This Row],[Date]],Database!$A:$E,MATCH($B$1,Database!$A$1:$E$1,),)=0,#N/A,VLOOKUP(Table73[[#This Row],[Date]],Database!$A:$E,MATCH($B$1,Database!$A$1:$E$1,),))</f>
        <v/>
      </c>
      <c r="C2526">
        <f>IF(VLOOKUP(Table73[[#This Row],[Date]],Database!$A:$C,MATCH($C$1,Database!$A$1:$C$1,),)=0,#N/A,VLOOKUP(Table73[[#This Row],[Date]],Database!$A:$C,MATCH($C$1,Database!$A$1:$C$1,),))</f>
        <v/>
      </c>
      <c r="D2526">
        <f>IFERROR(Table73[[#This Row],[United States 10y]]-Table73[[#This Row],[United States 2y]],#N/A)</f>
        <v/>
      </c>
    </row>
    <row r="2527">
      <c r="A2527" s="6">
        <f>Database!A2526</f>
        <v/>
      </c>
      <c r="B2527">
        <f>IF(VLOOKUP(Table73[[#This Row],[Date]],Database!$A:$E,MATCH($B$1,Database!$A$1:$E$1,),)=0,#N/A,VLOOKUP(Table73[[#This Row],[Date]],Database!$A:$E,MATCH($B$1,Database!$A$1:$E$1,),))</f>
        <v/>
      </c>
      <c r="C2527">
        <f>IF(VLOOKUP(Table73[[#This Row],[Date]],Database!$A:$C,MATCH($C$1,Database!$A$1:$C$1,),)=0,#N/A,VLOOKUP(Table73[[#This Row],[Date]],Database!$A:$C,MATCH($C$1,Database!$A$1:$C$1,),))</f>
        <v/>
      </c>
      <c r="D2527">
        <f>IFERROR(Table73[[#This Row],[United States 10y]]-Table73[[#This Row],[United States 2y]],#N/A)</f>
        <v/>
      </c>
    </row>
    <row r="2528">
      <c r="A2528" s="6">
        <f>Database!A2527</f>
        <v/>
      </c>
      <c r="B2528">
        <f>IF(VLOOKUP(Table73[[#This Row],[Date]],Database!$A:$E,MATCH($B$1,Database!$A$1:$E$1,),)=0,#N/A,VLOOKUP(Table73[[#This Row],[Date]],Database!$A:$E,MATCH($B$1,Database!$A$1:$E$1,),))</f>
        <v/>
      </c>
      <c r="C2528">
        <f>IF(VLOOKUP(Table73[[#This Row],[Date]],Database!$A:$C,MATCH($C$1,Database!$A$1:$C$1,),)=0,#N/A,VLOOKUP(Table73[[#This Row],[Date]],Database!$A:$C,MATCH($C$1,Database!$A$1:$C$1,),))</f>
        <v/>
      </c>
      <c r="D2528">
        <f>IFERROR(Table73[[#This Row],[United States 10y]]-Table73[[#This Row],[United States 2y]],#N/A)</f>
        <v/>
      </c>
    </row>
    <row r="2529">
      <c r="A2529" s="6">
        <f>Database!A2528</f>
        <v/>
      </c>
      <c r="B2529">
        <f>IF(VLOOKUP(Table73[[#This Row],[Date]],Database!$A:$E,MATCH($B$1,Database!$A$1:$E$1,),)=0,#N/A,VLOOKUP(Table73[[#This Row],[Date]],Database!$A:$E,MATCH($B$1,Database!$A$1:$E$1,),))</f>
        <v/>
      </c>
      <c r="C2529">
        <f>IF(VLOOKUP(Table73[[#This Row],[Date]],Database!$A:$C,MATCH($C$1,Database!$A$1:$C$1,),)=0,#N/A,VLOOKUP(Table73[[#This Row],[Date]],Database!$A:$C,MATCH($C$1,Database!$A$1:$C$1,),))</f>
        <v/>
      </c>
      <c r="D2529">
        <f>IFERROR(Table73[[#This Row],[United States 10y]]-Table73[[#This Row],[United States 2y]],#N/A)</f>
        <v/>
      </c>
    </row>
    <row r="2530">
      <c r="A2530" s="6">
        <f>Database!A2529</f>
        <v/>
      </c>
      <c r="B2530">
        <f>IF(VLOOKUP(Table73[[#This Row],[Date]],Database!$A:$E,MATCH($B$1,Database!$A$1:$E$1,),)=0,#N/A,VLOOKUP(Table73[[#This Row],[Date]],Database!$A:$E,MATCH($B$1,Database!$A$1:$E$1,),))</f>
        <v/>
      </c>
      <c r="C2530">
        <f>IF(VLOOKUP(Table73[[#This Row],[Date]],Database!$A:$C,MATCH($C$1,Database!$A$1:$C$1,),)=0,#N/A,VLOOKUP(Table73[[#This Row],[Date]],Database!$A:$C,MATCH($C$1,Database!$A$1:$C$1,),))</f>
        <v/>
      </c>
      <c r="D2530">
        <f>IFERROR(Table73[[#This Row],[United States 10y]]-Table73[[#This Row],[United States 2y]],#N/A)</f>
        <v/>
      </c>
    </row>
    <row r="2531">
      <c r="A2531" s="6">
        <f>Database!A2530</f>
        <v/>
      </c>
      <c r="B2531">
        <f>IF(VLOOKUP(Table73[[#This Row],[Date]],Database!$A:$E,MATCH($B$1,Database!$A$1:$E$1,),)=0,#N/A,VLOOKUP(Table73[[#This Row],[Date]],Database!$A:$E,MATCH($B$1,Database!$A$1:$E$1,),))</f>
        <v/>
      </c>
      <c r="C2531">
        <f>IF(VLOOKUP(Table73[[#This Row],[Date]],Database!$A:$C,MATCH($C$1,Database!$A$1:$C$1,),)=0,#N/A,VLOOKUP(Table73[[#This Row],[Date]],Database!$A:$C,MATCH($C$1,Database!$A$1:$C$1,),))</f>
        <v/>
      </c>
      <c r="D2531">
        <f>IFERROR(Table73[[#This Row],[United States 10y]]-Table73[[#This Row],[United States 2y]],#N/A)</f>
        <v/>
      </c>
    </row>
    <row r="2532">
      <c r="A2532" s="6">
        <f>Database!A2531</f>
        <v/>
      </c>
      <c r="B2532">
        <f>IF(VLOOKUP(Table73[[#This Row],[Date]],Database!$A:$E,MATCH($B$1,Database!$A$1:$E$1,),)=0,#N/A,VLOOKUP(Table73[[#This Row],[Date]],Database!$A:$E,MATCH($B$1,Database!$A$1:$E$1,),))</f>
        <v/>
      </c>
      <c r="C2532">
        <f>IF(VLOOKUP(Table73[[#This Row],[Date]],Database!$A:$C,MATCH($C$1,Database!$A$1:$C$1,),)=0,#N/A,VLOOKUP(Table73[[#This Row],[Date]],Database!$A:$C,MATCH($C$1,Database!$A$1:$C$1,),))</f>
        <v/>
      </c>
      <c r="D2532">
        <f>IFERROR(Table73[[#This Row],[United States 10y]]-Table73[[#This Row],[United States 2y]],#N/A)</f>
        <v/>
      </c>
    </row>
    <row r="2533">
      <c r="A2533" s="6">
        <f>Database!A2532</f>
        <v/>
      </c>
      <c r="B2533">
        <f>IF(VLOOKUP(Table73[[#This Row],[Date]],Database!$A:$E,MATCH($B$1,Database!$A$1:$E$1,),)=0,#N/A,VLOOKUP(Table73[[#This Row],[Date]],Database!$A:$E,MATCH($B$1,Database!$A$1:$E$1,),))</f>
        <v/>
      </c>
      <c r="C2533">
        <f>IF(VLOOKUP(Table73[[#This Row],[Date]],Database!$A:$C,MATCH($C$1,Database!$A$1:$C$1,),)=0,#N/A,VLOOKUP(Table73[[#This Row],[Date]],Database!$A:$C,MATCH($C$1,Database!$A$1:$C$1,),))</f>
        <v/>
      </c>
      <c r="D2533">
        <f>IFERROR(Table73[[#This Row],[United States 10y]]-Table73[[#This Row],[United States 2y]],#N/A)</f>
        <v/>
      </c>
    </row>
    <row r="2534">
      <c r="A2534" s="6">
        <f>Database!A2533</f>
        <v/>
      </c>
      <c r="B2534">
        <f>IF(VLOOKUP(Table73[[#This Row],[Date]],Database!$A:$E,MATCH($B$1,Database!$A$1:$E$1,),)=0,#N/A,VLOOKUP(Table73[[#This Row],[Date]],Database!$A:$E,MATCH($B$1,Database!$A$1:$E$1,),))</f>
        <v/>
      </c>
      <c r="C2534">
        <f>IF(VLOOKUP(Table73[[#This Row],[Date]],Database!$A:$C,MATCH($C$1,Database!$A$1:$C$1,),)=0,#N/A,VLOOKUP(Table73[[#This Row],[Date]],Database!$A:$C,MATCH($C$1,Database!$A$1:$C$1,),))</f>
        <v/>
      </c>
      <c r="D2534">
        <f>IFERROR(Table73[[#This Row],[United States 10y]]-Table73[[#This Row],[United States 2y]],#N/A)</f>
        <v/>
      </c>
    </row>
    <row r="2535">
      <c r="A2535" s="6">
        <f>Database!A2534</f>
        <v/>
      </c>
      <c r="B2535">
        <f>IF(VLOOKUP(Table73[[#This Row],[Date]],Database!$A:$E,MATCH($B$1,Database!$A$1:$E$1,),)=0,#N/A,VLOOKUP(Table73[[#This Row],[Date]],Database!$A:$E,MATCH($B$1,Database!$A$1:$E$1,),))</f>
        <v/>
      </c>
      <c r="C2535">
        <f>IF(VLOOKUP(Table73[[#This Row],[Date]],Database!$A:$C,MATCH($C$1,Database!$A$1:$C$1,),)=0,#N/A,VLOOKUP(Table73[[#This Row],[Date]],Database!$A:$C,MATCH($C$1,Database!$A$1:$C$1,),))</f>
        <v/>
      </c>
      <c r="D2535">
        <f>IFERROR(Table73[[#This Row],[United States 10y]]-Table73[[#This Row],[United States 2y]],#N/A)</f>
        <v/>
      </c>
    </row>
    <row r="2536">
      <c r="A2536" s="6">
        <f>Database!A2535</f>
        <v/>
      </c>
      <c r="B2536">
        <f>IF(VLOOKUP(Table73[[#This Row],[Date]],Database!$A:$E,MATCH($B$1,Database!$A$1:$E$1,),)=0,#N/A,VLOOKUP(Table73[[#This Row],[Date]],Database!$A:$E,MATCH($B$1,Database!$A$1:$E$1,),))</f>
        <v/>
      </c>
      <c r="C2536">
        <f>IF(VLOOKUP(Table73[[#This Row],[Date]],Database!$A:$C,MATCH($C$1,Database!$A$1:$C$1,),)=0,#N/A,VLOOKUP(Table73[[#This Row],[Date]],Database!$A:$C,MATCH($C$1,Database!$A$1:$C$1,),))</f>
        <v/>
      </c>
      <c r="D2536">
        <f>IFERROR(Table73[[#This Row],[United States 10y]]-Table73[[#This Row],[United States 2y]],#N/A)</f>
        <v/>
      </c>
    </row>
    <row r="2537">
      <c r="A2537" s="6">
        <f>Database!A2536</f>
        <v/>
      </c>
      <c r="B2537">
        <f>IF(VLOOKUP(Table73[[#This Row],[Date]],Database!$A:$E,MATCH($B$1,Database!$A$1:$E$1,),)=0,#N/A,VLOOKUP(Table73[[#This Row],[Date]],Database!$A:$E,MATCH($B$1,Database!$A$1:$E$1,),))</f>
        <v/>
      </c>
      <c r="C2537">
        <f>IF(VLOOKUP(Table73[[#This Row],[Date]],Database!$A:$C,MATCH($C$1,Database!$A$1:$C$1,),)=0,#N/A,VLOOKUP(Table73[[#This Row],[Date]],Database!$A:$C,MATCH($C$1,Database!$A$1:$C$1,),))</f>
        <v/>
      </c>
      <c r="D2537">
        <f>IFERROR(Table73[[#This Row],[United States 10y]]-Table73[[#This Row],[United States 2y]],#N/A)</f>
        <v/>
      </c>
    </row>
    <row r="2538">
      <c r="A2538" s="6">
        <f>Database!A2537</f>
        <v/>
      </c>
      <c r="B2538">
        <f>IF(VLOOKUP(Table73[[#This Row],[Date]],Database!$A:$E,MATCH($B$1,Database!$A$1:$E$1,),)=0,#N/A,VLOOKUP(Table73[[#This Row],[Date]],Database!$A:$E,MATCH($B$1,Database!$A$1:$E$1,),))</f>
        <v/>
      </c>
      <c r="C2538">
        <f>IF(VLOOKUP(Table73[[#This Row],[Date]],Database!$A:$C,MATCH($C$1,Database!$A$1:$C$1,),)=0,#N/A,VLOOKUP(Table73[[#This Row],[Date]],Database!$A:$C,MATCH($C$1,Database!$A$1:$C$1,),))</f>
        <v/>
      </c>
      <c r="D2538">
        <f>IFERROR(Table73[[#This Row],[United States 10y]]-Table73[[#This Row],[United States 2y]],#N/A)</f>
        <v/>
      </c>
    </row>
    <row r="2539">
      <c r="A2539" s="6">
        <f>Database!A2538</f>
        <v/>
      </c>
      <c r="B2539">
        <f>IF(VLOOKUP(Table73[[#This Row],[Date]],Database!$A:$E,MATCH($B$1,Database!$A$1:$E$1,),)=0,#N/A,VLOOKUP(Table73[[#This Row],[Date]],Database!$A:$E,MATCH($B$1,Database!$A$1:$E$1,),))</f>
        <v/>
      </c>
      <c r="C2539">
        <f>IF(VLOOKUP(Table73[[#This Row],[Date]],Database!$A:$C,MATCH($C$1,Database!$A$1:$C$1,),)=0,#N/A,VLOOKUP(Table73[[#This Row],[Date]],Database!$A:$C,MATCH($C$1,Database!$A$1:$C$1,),))</f>
        <v/>
      </c>
      <c r="D2539">
        <f>IFERROR(Table73[[#This Row],[United States 10y]]-Table73[[#This Row],[United States 2y]],#N/A)</f>
        <v/>
      </c>
    </row>
    <row r="2540">
      <c r="A2540" s="6">
        <f>Database!A2539</f>
        <v/>
      </c>
      <c r="B2540">
        <f>IF(VLOOKUP(Table73[[#This Row],[Date]],Database!$A:$E,MATCH($B$1,Database!$A$1:$E$1,),)=0,#N/A,VLOOKUP(Table73[[#This Row],[Date]],Database!$A:$E,MATCH($B$1,Database!$A$1:$E$1,),))</f>
        <v/>
      </c>
      <c r="C2540">
        <f>IF(VLOOKUP(Table73[[#This Row],[Date]],Database!$A:$C,MATCH($C$1,Database!$A$1:$C$1,),)=0,#N/A,VLOOKUP(Table73[[#This Row],[Date]],Database!$A:$C,MATCH($C$1,Database!$A$1:$C$1,),))</f>
        <v/>
      </c>
      <c r="D2540">
        <f>IFERROR(Table73[[#This Row],[United States 10y]]-Table73[[#This Row],[United States 2y]],#N/A)</f>
        <v/>
      </c>
    </row>
    <row r="2541">
      <c r="A2541" s="6">
        <f>Database!A2540</f>
        <v/>
      </c>
      <c r="B2541">
        <f>IF(VLOOKUP(Table73[[#This Row],[Date]],Database!$A:$E,MATCH($B$1,Database!$A$1:$E$1,),)=0,#N/A,VLOOKUP(Table73[[#This Row],[Date]],Database!$A:$E,MATCH($B$1,Database!$A$1:$E$1,),))</f>
        <v/>
      </c>
      <c r="C2541">
        <f>IF(VLOOKUP(Table73[[#This Row],[Date]],Database!$A:$C,MATCH($C$1,Database!$A$1:$C$1,),)=0,#N/A,VLOOKUP(Table73[[#This Row],[Date]],Database!$A:$C,MATCH($C$1,Database!$A$1:$C$1,),))</f>
        <v/>
      </c>
      <c r="D2541">
        <f>IFERROR(Table73[[#This Row],[United States 10y]]-Table73[[#This Row],[United States 2y]],#N/A)</f>
        <v/>
      </c>
    </row>
    <row r="2542">
      <c r="A2542" s="6">
        <f>Database!A2541</f>
        <v/>
      </c>
      <c r="B2542">
        <f>IF(VLOOKUP(Table73[[#This Row],[Date]],Database!$A:$E,MATCH($B$1,Database!$A$1:$E$1,),)=0,#N/A,VLOOKUP(Table73[[#This Row],[Date]],Database!$A:$E,MATCH($B$1,Database!$A$1:$E$1,),))</f>
        <v/>
      </c>
      <c r="C2542">
        <f>IF(VLOOKUP(Table73[[#This Row],[Date]],Database!$A:$C,MATCH($C$1,Database!$A$1:$C$1,),)=0,#N/A,VLOOKUP(Table73[[#This Row],[Date]],Database!$A:$C,MATCH($C$1,Database!$A$1:$C$1,),))</f>
        <v/>
      </c>
      <c r="D2542">
        <f>IFERROR(Table73[[#This Row],[United States 10y]]-Table73[[#This Row],[United States 2y]],#N/A)</f>
        <v/>
      </c>
    </row>
    <row r="2543">
      <c r="A2543" s="6">
        <f>Database!A2542</f>
        <v/>
      </c>
      <c r="B2543">
        <f>IF(VLOOKUP(Table73[[#This Row],[Date]],Database!$A:$E,MATCH($B$1,Database!$A$1:$E$1,),)=0,#N/A,VLOOKUP(Table73[[#This Row],[Date]],Database!$A:$E,MATCH($B$1,Database!$A$1:$E$1,),))</f>
        <v/>
      </c>
      <c r="C2543">
        <f>IF(VLOOKUP(Table73[[#This Row],[Date]],Database!$A:$C,MATCH($C$1,Database!$A$1:$C$1,),)=0,#N/A,VLOOKUP(Table73[[#This Row],[Date]],Database!$A:$C,MATCH($C$1,Database!$A$1:$C$1,),))</f>
        <v/>
      </c>
      <c r="D2543">
        <f>IFERROR(Table73[[#This Row],[United States 10y]]-Table73[[#This Row],[United States 2y]],#N/A)</f>
        <v/>
      </c>
    </row>
    <row r="2544">
      <c r="A2544" s="6">
        <f>Database!A2543</f>
        <v/>
      </c>
      <c r="B2544">
        <f>IF(VLOOKUP(Table73[[#This Row],[Date]],Database!$A:$E,MATCH($B$1,Database!$A$1:$E$1,),)=0,#N/A,VLOOKUP(Table73[[#This Row],[Date]],Database!$A:$E,MATCH($B$1,Database!$A$1:$E$1,),))</f>
        <v/>
      </c>
      <c r="C2544">
        <f>IF(VLOOKUP(Table73[[#This Row],[Date]],Database!$A:$C,MATCH($C$1,Database!$A$1:$C$1,),)=0,#N/A,VLOOKUP(Table73[[#This Row],[Date]],Database!$A:$C,MATCH($C$1,Database!$A$1:$C$1,),))</f>
        <v/>
      </c>
      <c r="D2544">
        <f>IFERROR(Table73[[#This Row],[United States 10y]]-Table73[[#This Row],[United States 2y]],#N/A)</f>
        <v/>
      </c>
    </row>
    <row r="2545">
      <c r="A2545" s="6">
        <f>Database!A2544</f>
        <v/>
      </c>
      <c r="B2545">
        <f>IF(VLOOKUP(Table73[[#This Row],[Date]],Database!$A:$E,MATCH($B$1,Database!$A$1:$E$1,),)=0,#N/A,VLOOKUP(Table73[[#This Row],[Date]],Database!$A:$E,MATCH($B$1,Database!$A$1:$E$1,),))</f>
        <v/>
      </c>
      <c r="C2545">
        <f>IF(VLOOKUP(Table73[[#This Row],[Date]],Database!$A:$C,MATCH($C$1,Database!$A$1:$C$1,),)=0,#N/A,VLOOKUP(Table73[[#This Row],[Date]],Database!$A:$C,MATCH($C$1,Database!$A$1:$C$1,),))</f>
        <v/>
      </c>
      <c r="D2545">
        <f>IFERROR(Table73[[#This Row],[United States 10y]]-Table73[[#This Row],[United States 2y]],#N/A)</f>
        <v/>
      </c>
    </row>
    <row r="2546">
      <c r="A2546" s="6">
        <f>Database!A2545</f>
        <v/>
      </c>
      <c r="B2546">
        <f>IF(VLOOKUP(Table73[[#This Row],[Date]],Database!$A:$E,MATCH($B$1,Database!$A$1:$E$1,),)=0,#N/A,VLOOKUP(Table73[[#This Row],[Date]],Database!$A:$E,MATCH($B$1,Database!$A$1:$E$1,),))</f>
        <v/>
      </c>
      <c r="C2546">
        <f>IF(VLOOKUP(Table73[[#This Row],[Date]],Database!$A:$C,MATCH($C$1,Database!$A$1:$C$1,),)=0,#N/A,VLOOKUP(Table73[[#This Row],[Date]],Database!$A:$C,MATCH($C$1,Database!$A$1:$C$1,),))</f>
        <v/>
      </c>
      <c r="D2546">
        <f>IFERROR(Table73[[#This Row],[United States 10y]]-Table73[[#This Row],[United States 2y]],#N/A)</f>
        <v/>
      </c>
    </row>
    <row r="2547">
      <c r="A2547" s="6">
        <f>Database!A2546</f>
        <v/>
      </c>
      <c r="B2547">
        <f>IF(VLOOKUP(Table73[[#This Row],[Date]],Database!$A:$E,MATCH($B$1,Database!$A$1:$E$1,),)=0,#N/A,VLOOKUP(Table73[[#This Row],[Date]],Database!$A:$E,MATCH($B$1,Database!$A$1:$E$1,),))</f>
        <v/>
      </c>
      <c r="C2547">
        <f>IF(VLOOKUP(Table73[[#This Row],[Date]],Database!$A:$C,MATCH($C$1,Database!$A$1:$C$1,),)=0,#N/A,VLOOKUP(Table73[[#This Row],[Date]],Database!$A:$C,MATCH($C$1,Database!$A$1:$C$1,),))</f>
        <v/>
      </c>
      <c r="D2547">
        <f>IFERROR(Table73[[#This Row],[United States 10y]]-Table73[[#This Row],[United States 2y]],#N/A)</f>
        <v/>
      </c>
    </row>
    <row r="2548">
      <c r="A2548" s="6">
        <f>Database!A2547</f>
        <v/>
      </c>
      <c r="B2548">
        <f>IF(VLOOKUP(Table73[[#This Row],[Date]],Database!$A:$E,MATCH($B$1,Database!$A$1:$E$1,),)=0,#N/A,VLOOKUP(Table73[[#This Row],[Date]],Database!$A:$E,MATCH($B$1,Database!$A$1:$E$1,),))</f>
        <v/>
      </c>
      <c r="C2548">
        <f>IF(VLOOKUP(Table73[[#This Row],[Date]],Database!$A:$C,MATCH($C$1,Database!$A$1:$C$1,),)=0,#N/A,VLOOKUP(Table73[[#This Row],[Date]],Database!$A:$C,MATCH($C$1,Database!$A$1:$C$1,),))</f>
        <v/>
      </c>
      <c r="D2548">
        <f>IFERROR(Table73[[#This Row],[United States 10y]]-Table73[[#This Row],[United States 2y]],#N/A)</f>
        <v/>
      </c>
    </row>
    <row r="2549">
      <c r="A2549" s="6">
        <f>Database!A2548</f>
        <v/>
      </c>
      <c r="B2549">
        <f>IF(VLOOKUP(Table73[[#This Row],[Date]],Database!$A:$E,MATCH($B$1,Database!$A$1:$E$1,),)=0,#N/A,VLOOKUP(Table73[[#This Row],[Date]],Database!$A:$E,MATCH($B$1,Database!$A$1:$E$1,),))</f>
        <v/>
      </c>
      <c r="C2549">
        <f>IF(VLOOKUP(Table73[[#This Row],[Date]],Database!$A:$C,MATCH($C$1,Database!$A$1:$C$1,),)=0,#N/A,VLOOKUP(Table73[[#This Row],[Date]],Database!$A:$C,MATCH($C$1,Database!$A$1:$C$1,),))</f>
        <v/>
      </c>
      <c r="D2549">
        <f>IFERROR(Table73[[#This Row],[United States 10y]]-Table73[[#This Row],[United States 2y]],#N/A)</f>
        <v/>
      </c>
    </row>
    <row r="2550">
      <c r="A2550" s="6">
        <f>Database!A2549</f>
        <v/>
      </c>
      <c r="B2550">
        <f>IF(VLOOKUP(Table73[[#This Row],[Date]],Database!$A:$E,MATCH($B$1,Database!$A$1:$E$1,),)=0,#N/A,VLOOKUP(Table73[[#This Row],[Date]],Database!$A:$E,MATCH($B$1,Database!$A$1:$E$1,),))</f>
        <v/>
      </c>
      <c r="C2550">
        <f>IF(VLOOKUP(Table73[[#This Row],[Date]],Database!$A:$C,MATCH($C$1,Database!$A$1:$C$1,),)=0,#N/A,VLOOKUP(Table73[[#This Row],[Date]],Database!$A:$C,MATCH($C$1,Database!$A$1:$C$1,),))</f>
        <v/>
      </c>
      <c r="D2550">
        <f>IFERROR(Table73[[#This Row],[United States 10y]]-Table73[[#This Row],[United States 2y]],#N/A)</f>
        <v/>
      </c>
    </row>
    <row r="2551">
      <c r="A2551" s="6">
        <f>Database!A2550</f>
        <v/>
      </c>
      <c r="B2551">
        <f>IF(VLOOKUP(Table73[[#This Row],[Date]],Database!$A:$E,MATCH($B$1,Database!$A$1:$E$1,),)=0,#N/A,VLOOKUP(Table73[[#This Row],[Date]],Database!$A:$E,MATCH($B$1,Database!$A$1:$E$1,),))</f>
        <v/>
      </c>
      <c r="C2551">
        <f>IF(VLOOKUP(Table73[[#This Row],[Date]],Database!$A:$C,MATCH($C$1,Database!$A$1:$C$1,),)=0,#N/A,VLOOKUP(Table73[[#This Row],[Date]],Database!$A:$C,MATCH($C$1,Database!$A$1:$C$1,),))</f>
        <v/>
      </c>
      <c r="D2551">
        <f>IFERROR(Table73[[#This Row],[United States 10y]]-Table73[[#This Row],[United States 2y]],#N/A)</f>
        <v/>
      </c>
    </row>
    <row r="2552">
      <c r="A2552" s="6">
        <f>Database!A2551</f>
        <v/>
      </c>
      <c r="B2552">
        <f>IF(VLOOKUP(Table73[[#This Row],[Date]],Database!$A:$E,MATCH($B$1,Database!$A$1:$E$1,),)=0,#N/A,VLOOKUP(Table73[[#This Row],[Date]],Database!$A:$E,MATCH($B$1,Database!$A$1:$E$1,),))</f>
        <v/>
      </c>
      <c r="C2552">
        <f>IF(VLOOKUP(Table73[[#This Row],[Date]],Database!$A:$C,MATCH($C$1,Database!$A$1:$C$1,),)=0,#N/A,VLOOKUP(Table73[[#This Row],[Date]],Database!$A:$C,MATCH($C$1,Database!$A$1:$C$1,),))</f>
        <v/>
      </c>
      <c r="D2552">
        <f>IFERROR(Table73[[#This Row],[United States 10y]]-Table73[[#This Row],[United States 2y]],#N/A)</f>
        <v/>
      </c>
    </row>
    <row r="2553">
      <c r="A2553" s="6">
        <f>Database!A2552</f>
        <v/>
      </c>
      <c r="B2553">
        <f>IF(VLOOKUP(Table73[[#This Row],[Date]],Database!$A:$E,MATCH($B$1,Database!$A$1:$E$1,),)=0,#N/A,VLOOKUP(Table73[[#This Row],[Date]],Database!$A:$E,MATCH($B$1,Database!$A$1:$E$1,),))</f>
        <v/>
      </c>
      <c r="C2553">
        <f>IF(VLOOKUP(Table73[[#This Row],[Date]],Database!$A:$C,MATCH($C$1,Database!$A$1:$C$1,),)=0,#N/A,VLOOKUP(Table73[[#This Row],[Date]],Database!$A:$C,MATCH($C$1,Database!$A$1:$C$1,),))</f>
        <v/>
      </c>
      <c r="D2553">
        <f>IFERROR(Table73[[#This Row],[United States 10y]]-Table73[[#This Row],[United States 2y]],#N/A)</f>
        <v/>
      </c>
    </row>
    <row r="2554">
      <c r="A2554" s="6">
        <f>Database!A2553</f>
        <v/>
      </c>
      <c r="B2554">
        <f>IF(VLOOKUP(Table73[[#This Row],[Date]],Database!$A:$E,MATCH($B$1,Database!$A$1:$E$1,),)=0,#N/A,VLOOKUP(Table73[[#This Row],[Date]],Database!$A:$E,MATCH($B$1,Database!$A$1:$E$1,),))</f>
        <v/>
      </c>
      <c r="C2554">
        <f>IF(VLOOKUP(Table73[[#This Row],[Date]],Database!$A:$C,MATCH($C$1,Database!$A$1:$C$1,),)=0,#N/A,VLOOKUP(Table73[[#This Row],[Date]],Database!$A:$C,MATCH($C$1,Database!$A$1:$C$1,),))</f>
        <v/>
      </c>
      <c r="D2554">
        <f>IFERROR(Table73[[#This Row],[United States 10y]]-Table73[[#This Row],[United States 2y]],#N/A)</f>
        <v/>
      </c>
    </row>
    <row r="2555">
      <c r="A2555" s="6">
        <f>Database!A2554</f>
        <v/>
      </c>
      <c r="B2555">
        <f>IF(VLOOKUP(Table73[[#This Row],[Date]],Database!$A:$E,MATCH($B$1,Database!$A$1:$E$1,),)=0,#N/A,VLOOKUP(Table73[[#This Row],[Date]],Database!$A:$E,MATCH($B$1,Database!$A$1:$E$1,),))</f>
        <v/>
      </c>
      <c r="C2555">
        <f>IF(VLOOKUP(Table73[[#This Row],[Date]],Database!$A:$C,MATCH($C$1,Database!$A$1:$C$1,),)=0,#N/A,VLOOKUP(Table73[[#This Row],[Date]],Database!$A:$C,MATCH($C$1,Database!$A$1:$C$1,),))</f>
        <v/>
      </c>
      <c r="D2555">
        <f>IFERROR(Table73[[#This Row],[United States 10y]]-Table73[[#This Row],[United States 2y]],#N/A)</f>
        <v/>
      </c>
    </row>
    <row r="2556">
      <c r="A2556" s="6">
        <f>Database!A2555</f>
        <v/>
      </c>
      <c r="B2556">
        <f>IF(VLOOKUP(Table73[[#This Row],[Date]],Database!$A:$E,MATCH($B$1,Database!$A$1:$E$1,),)=0,#N/A,VLOOKUP(Table73[[#This Row],[Date]],Database!$A:$E,MATCH($B$1,Database!$A$1:$E$1,),))</f>
        <v/>
      </c>
      <c r="C2556">
        <f>IF(VLOOKUP(Table73[[#This Row],[Date]],Database!$A:$C,MATCH($C$1,Database!$A$1:$C$1,),)=0,#N/A,VLOOKUP(Table73[[#This Row],[Date]],Database!$A:$C,MATCH($C$1,Database!$A$1:$C$1,),))</f>
        <v/>
      </c>
      <c r="D2556">
        <f>IFERROR(Table73[[#This Row],[United States 10y]]-Table73[[#This Row],[United States 2y]],#N/A)</f>
        <v/>
      </c>
    </row>
    <row r="2557">
      <c r="A2557" s="6">
        <f>Database!A2556</f>
        <v/>
      </c>
      <c r="B2557">
        <f>IF(VLOOKUP(Table73[[#This Row],[Date]],Database!$A:$E,MATCH($B$1,Database!$A$1:$E$1,),)=0,#N/A,VLOOKUP(Table73[[#This Row],[Date]],Database!$A:$E,MATCH($B$1,Database!$A$1:$E$1,),))</f>
        <v/>
      </c>
      <c r="C2557">
        <f>IF(VLOOKUP(Table73[[#This Row],[Date]],Database!$A:$C,MATCH($C$1,Database!$A$1:$C$1,),)=0,#N/A,VLOOKUP(Table73[[#This Row],[Date]],Database!$A:$C,MATCH($C$1,Database!$A$1:$C$1,),))</f>
        <v/>
      </c>
      <c r="D2557">
        <f>IFERROR(Table73[[#This Row],[United States 10y]]-Table73[[#This Row],[United States 2y]],#N/A)</f>
        <v/>
      </c>
    </row>
    <row r="2558">
      <c r="A2558" s="6">
        <f>Database!A2557</f>
        <v/>
      </c>
      <c r="B2558">
        <f>IF(VLOOKUP(Table73[[#This Row],[Date]],Database!$A:$E,MATCH($B$1,Database!$A$1:$E$1,),)=0,#N/A,VLOOKUP(Table73[[#This Row],[Date]],Database!$A:$E,MATCH($B$1,Database!$A$1:$E$1,),))</f>
        <v/>
      </c>
      <c r="C2558">
        <f>IF(VLOOKUP(Table73[[#This Row],[Date]],Database!$A:$C,MATCH($C$1,Database!$A$1:$C$1,),)=0,#N/A,VLOOKUP(Table73[[#This Row],[Date]],Database!$A:$C,MATCH($C$1,Database!$A$1:$C$1,),))</f>
        <v/>
      </c>
      <c r="D2558">
        <f>IFERROR(Table73[[#This Row],[United States 10y]]-Table73[[#This Row],[United States 2y]],#N/A)</f>
        <v/>
      </c>
    </row>
    <row r="2559">
      <c r="A2559" s="6">
        <f>Database!A2558</f>
        <v/>
      </c>
      <c r="B2559">
        <f>IF(VLOOKUP(Table73[[#This Row],[Date]],Database!$A:$E,MATCH($B$1,Database!$A$1:$E$1,),)=0,#N/A,VLOOKUP(Table73[[#This Row],[Date]],Database!$A:$E,MATCH($B$1,Database!$A$1:$E$1,),))</f>
        <v/>
      </c>
      <c r="C2559">
        <f>IF(VLOOKUP(Table73[[#This Row],[Date]],Database!$A:$C,MATCH($C$1,Database!$A$1:$C$1,),)=0,#N/A,VLOOKUP(Table73[[#This Row],[Date]],Database!$A:$C,MATCH($C$1,Database!$A$1:$C$1,),))</f>
        <v/>
      </c>
      <c r="D2559">
        <f>IFERROR(Table73[[#This Row],[United States 10y]]-Table73[[#This Row],[United States 2y]],#N/A)</f>
        <v/>
      </c>
    </row>
    <row r="2560">
      <c r="A2560" s="6">
        <f>Database!A2559</f>
        <v/>
      </c>
      <c r="B2560">
        <f>IF(VLOOKUP(Table73[[#This Row],[Date]],Database!$A:$E,MATCH($B$1,Database!$A$1:$E$1,),)=0,#N/A,VLOOKUP(Table73[[#This Row],[Date]],Database!$A:$E,MATCH($B$1,Database!$A$1:$E$1,),))</f>
        <v/>
      </c>
      <c r="C2560">
        <f>IF(VLOOKUP(Table73[[#This Row],[Date]],Database!$A:$C,MATCH($C$1,Database!$A$1:$C$1,),)=0,#N/A,VLOOKUP(Table73[[#This Row],[Date]],Database!$A:$C,MATCH($C$1,Database!$A$1:$C$1,),))</f>
        <v/>
      </c>
      <c r="D2560">
        <f>IFERROR(Table73[[#This Row],[United States 10y]]-Table73[[#This Row],[United States 2y]],#N/A)</f>
        <v/>
      </c>
    </row>
    <row r="2561">
      <c r="A2561" s="6">
        <f>Database!A2560</f>
        <v/>
      </c>
      <c r="B2561">
        <f>IF(VLOOKUP(Table73[[#This Row],[Date]],Database!$A:$E,MATCH($B$1,Database!$A$1:$E$1,),)=0,#N/A,VLOOKUP(Table73[[#This Row],[Date]],Database!$A:$E,MATCH($B$1,Database!$A$1:$E$1,),))</f>
        <v/>
      </c>
      <c r="C2561">
        <f>IF(VLOOKUP(Table73[[#This Row],[Date]],Database!$A:$C,MATCH($C$1,Database!$A$1:$C$1,),)=0,#N/A,VLOOKUP(Table73[[#This Row],[Date]],Database!$A:$C,MATCH($C$1,Database!$A$1:$C$1,),))</f>
        <v/>
      </c>
      <c r="D2561">
        <f>IFERROR(Table73[[#This Row],[United States 10y]]-Table73[[#This Row],[United States 2y]],#N/A)</f>
        <v/>
      </c>
    </row>
    <row r="2562">
      <c r="A2562" s="6">
        <f>Database!A2561</f>
        <v/>
      </c>
      <c r="B2562">
        <f>IF(VLOOKUP(Table73[[#This Row],[Date]],Database!$A:$E,MATCH($B$1,Database!$A$1:$E$1,),)=0,#N/A,VLOOKUP(Table73[[#This Row],[Date]],Database!$A:$E,MATCH($B$1,Database!$A$1:$E$1,),))</f>
        <v/>
      </c>
      <c r="C2562">
        <f>IF(VLOOKUP(Table73[[#This Row],[Date]],Database!$A:$C,MATCH($C$1,Database!$A$1:$C$1,),)=0,#N/A,VLOOKUP(Table73[[#This Row],[Date]],Database!$A:$C,MATCH($C$1,Database!$A$1:$C$1,),))</f>
        <v/>
      </c>
      <c r="D2562">
        <f>IFERROR(Table73[[#This Row],[United States 10y]]-Table73[[#This Row],[United States 2y]],#N/A)</f>
        <v/>
      </c>
    </row>
    <row r="2563">
      <c r="A2563" s="6">
        <f>Database!A2562</f>
        <v/>
      </c>
      <c r="B2563">
        <f>IF(VLOOKUP(Table73[[#This Row],[Date]],Database!$A:$E,MATCH($B$1,Database!$A$1:$E$1,),)=0,#N/A,VLOOKUP(Table73[[#This Row],[Date]],Database!$A:$E,MATCH($B$1,Database!$A$1:$E$1,),))</f>
        <v/>
      </c>
      <c r="C2563">
        <f>IF(VLOOKUP(Table73[[#This Row],[Date]],Database!$A:$C,MATCH($C$1,Database!$A$1:$C$1,),)=0,#N/A,VLOOKUP(Table73[[#This Row],[Date]],Database!$A:$C,MATCH($C$1,Database!$A$1:$C$1,),))</f>
        <v/>
      </c>
      <c r="D2563">
        <f>IFERROR(Table73[[#This Row],[United States 10y]]-Table73[[#This Row],[United States 2y]],#N/A)</f>
        <v/>
      </c>
    </row>
    <row r="2564">
      <c r="A2564" s="6">
        <f>Database!A2563</f>
        <v/>
      </c>
      <c r="B2564">
        <f>IF(VLOOKUP(Table73[[#This Row],[Date]],Database!$A:$E,MATCH($B$1,Database!$A$1:$E$1,),)=0,#N/A,VLOOKUP(Table73[[#This Row],[Date]],Database!$A:$E,MATCH($B$1,Database!$A$1:$E$1,),))</f>
        <v/>
      </c>
      <c r="C2564">
        <f>IF(VLOOKUP(Table73[[#This Row],[Date]],Database!$A:$C,MATCH($C$1,Database!$A$1:$C$1,),)=0,#N/A,VLOOKUP(Table73[[#This Row],[Date]],Database!$A:$C,MATCH($C$1,Database!$A$1:$C$1,),))</f>
        <v/>
      </c>
      <c r="D2564">
        <f>IFERROR(Table73[[#This Row],[United States 10y]]-Table73[[#This Row],[United States 2y]],#N/A)</f>
        <v/>
      </c>
    </row>
    <row r="2565">
      <c r="A2565" s="6">
        <f>Database!A2564</f>
        <v/>
      </c>
      <c r="B2565">
        <f>IF(VLOOKUP(Table73[[#This Row],[Date]],Database!$A:$E,MATCH($B$1,Database!$A$1:$E$1,),)=0,#N/A,VLOOKUP(Table73[[#This Row],[Date]],Database!$A:$E,MATCH($B$1,Database!$A$1:$E$1,),))</f>
        <v/>
      </c>
      <c r="C2565">
        <f>IF(VLOOKUP(Table73[[#This Row],[Date]],Database!$A:$C,MATCH($C$1,Database!$A$1:$C$1,),)=0,#N/A,VLOOKUP(Table73[[#This Row],[Date]],Database!$A:$C,MATCH($C$1,Database!$A$1:$C$1,),))</f>
        <v/>
      </c>
      <c r="D2565">
        <f>IFERROR(Table73[[#This Row],[United States 10y]]-Table73[[#This Row],[United States 2y]],#N/A)</f>
        <v/>
      </c>
    </row>
    <row r="2566">
      <c r="A2566" s="6">
        <f>Database!A2565</f>
        <v/>
      </c>
      <c r="B2566">
        <f>IF(VLOOKUP(Table73[[#This Row],[Date]],Database!$A:$E,MATCH($B$1,Database!$A$1:$E$1,),)=0,#N/A,VLOOKUP(Table73[[#This Row],[Date]],Database!$A:$E,MATCH($B$1,Database!$A$1:$E$1,),))</f>
        <v/>
      </c>
      <c r="C2566">
        <f>IF(VLOOKUP(Table73[[#This Row],[Date]],Database!$A:$C,MATCH($C$1,Database!$A$1:$C$1,),)=0,#N/A,VLOOKUP(Table73[[#This Row],[Date]],Database!$A:$C,MATCH($C$1,Database!$A$1:$C$1,),))</f>
        <v/>
      </c>
      <c r="D2566">
        <f>IFERROR(Table73[[#This Row],[United States 10y]]-Table73[[#This Row],[United States 2y]],#N/A)</f>
        <v/>
      </c>
    </row>
    <row r="2567">
      <c r="A2567" s="6">
        <f>Database!A2566</f>
        <v/>
      </c>
      <c r="B2567">
        <f>IF(VLOOKUP(Table73[[#This Row],[Date]],Database!$A:$E,MATCH($B$1,Database!$A$1:$E$1,),)=0,#N/A,VLOOKUP(Table73[[#This Row],[Date]],Database!$A:$E,MATCH($B$1,Database!$A$1:$E$1,),))</f>
        <v/>
      </c>
      <c r="C2567">
        <f>IF(VLOOKUP(Table73[[#This Row],[Date]],Database!$A:$C,MATCH($C$1,Database!$A$1:$C$1,),)=0,#N/A,VLOOKUP(Table73[[#This Row],[Date]],Database!$A:$C,MATCH($C$1,Database!$A$1:$C$1,),))</f>
        <v/>
      </c>
      <c r="D2567">
        <f>IFERROR(Table73[[#This Row],[United States 10y]]-Table73[[#This Row],[United States 2y]],#N/A)</f>
        <v/>
      </c>
    </row>
    <row r="2568">
      <c r="A2568" s="6">
        <f>Database!A2567</f>
        <v/>
      </c>
      <c r="B2568">
        <f>IF(VLOOKUP(Table73[[#This Row],[Date]],Database!$A:$E,MATCH($B$1,Database!$A$1:$E$1,),)=0,#N/A,VLOOKUP(Table73[[#This Row],[Date]],Database!$A:$E,MATCH($B$1,Database!$A$1:$E$1,),))</f>
        <v/>
      </c>
      <c r="C2568">
        <f>IF(VLOOKUP(Table73[[#This Row],[Date]],Database!$A:$C,MATCH($C$1,Database!$A$1:$C$1,),)=0,#N/A,VLOOKUP(Table73[[#This Row],[Date]],Database!$A:$C,MATCH($C$1,Database!$A$1:$C$1,),))</f>
        <v/>
      </c>
      <c r="D2568">
        <f>IFERROR(Table73[[#This Row],[United States 10y]]-Table73[[#This Row],[United States 2y]],#N/A)</f>
        <v/>
      </c>
    </row>
    <row r="2569">
      <c r="A2569" s="6">
        <f>Database!A2568</f>
        <v/>
      </c>
      <c r="B2569">
        <f>IF(VLOOKUP(Table73[[#This Row],[Date]],Database!$A:$E,MATCH($B$1,Database!$A$1:$E$1,),)=0,#N/A,VLOOKUP(Table73[[#This Row],[Date]],Database!$A:$E,MATCH($B$1,Database!$A$1:$E$1,),))</f>
        <v/>
      </c>
      <c r="C2569">
        <f>IF(VLOOKUP(Table73[[#This Row],[Date]],Database!$A:$C,MATCH($C$1,Database!$A$1:$C$1,),)=0,#N/A,VLOOKUP(Table73[[#This Row],[Date]],Database!$A:$C,MATCH($C$1,Database!$A$1:$C$1,),))</f>
        <v/>
      </c>
      <c r="D2569">
        <f>IFERROR(Table73[[#This Row],[United States 10y]]-Table73[[#This Row],[United States 2y]],#N/A)</f>
        <v/>
      </c>
    </row>
    <row r="2570">
      <c r="A2570" s="6">
        <f>Database!A2569</f>
        <v/>
      </c>
      <c r="B2570">
        <f>IF(VLOOKUP(Table73[[#This Row],[Date]],Database!$A:$E,MATCH($B$1,Database!$A$1:$E$1,),)=0,#N/A,VLOOKUP(Table73[[#This Row],[Date]],Database!$A:$E,MATCH($B$1,Database!$A$1:$E$1,),))</f>
        <v/>
      </c>
      <c r="C2570">
        <f>IF(VLOOKUP(Table73[[#This Row],[Date]],Database!$A:$C,MATCH($C$1,Database!$A$1:$C$1,),)=0,#N/A,VLOOKUP(Table73[[#This Row],[Date]],Database!$A:$C,MATCH($C$1,Database!$A$1:$C$1,),))</f>
        <v/>
      </c>
      <c r="D2570">
        <f>IFERROR(Table73[[#This Row],[United States 10y]]-Table73[[#This Row],[United States 2y]],#N/A)</f>
        <v/>
      </c>
    </row>
    <row r="2571">
      <c r="A2571" s="6">
        <f>Database!A2570</f>
        <v/>
      </c>
      <c r="B2571">
        <f>IF(VLOOKUP(Table73[[#This Row],[Date]],Database!$A:$E,MATCH($B$1,Database!$A$1:$E$1,),)=0,#N/A,VLOOKUP(Table73[[#This Row],[Date]],Database!$A:$E,MATCH($B$1,Database!$A$1:$E$1,),))</f>
        <v/>
      </c>
      <c r="C2571">
        <f>IF(VLOOKUP(Table73[[#This Row],[Date]],Database!$A:$C,MATCH($C$1,Database!$A$1:$C$1,),)=0,#N/A,VLOOKUP(Table73[[#This Row],[Date]],Database!$A:$C,MATCH($C$1,Database!$A$1:$C$1,),))</f>
        <v/>
      </c>
      <c r="D2571">
        <f>IFERROR(Table73[[#This Row],[United States 10y]]-Table73[[#This Row],[United States 2y]],#N/A)</f>
        <v/>
      </c>
    </row>
    <row r="2572">
      <c r="A2572" s="6">
        <f>Database!A2571</f>
        <v/>
      </c>
      <c r="B2572">
        <f>IF(VLOOKUP(Table73[[#This Row],[Date]],Database!$A:$E,MATCH($B$1,Database!$A$1:$E$1,),)=0,#N/A,VLOOKUP(Table73[[#This Row],[Date]],Database!$A:$E,MATCH($B$1,Database!$A$1:$E$1,),))</f>
        <v/>
      </c>
      <c r="C2572">
        <f>IF(VLOOKUP(Table73[[#This Row],[Date]],Database!$A:$C,MATCH($C$1,Database!$A$1:$C$1,),)=0,#N/A,VLOOKUP(Table73[[#This Row],[Date]],Database!$A:$C,MATCH($C$1,Database!$A$1:$C$1,),))</f>
        <v/>
      </c>
      <c r="D2572">
        <f>IFERROR(Table73[[#This Row],[United States 10y]]-Table73[[#This Row],[United States 2y]],#N/A)</f>
        <v/>
      </c>
    </row>
    <row r="2573">
      <c r="A2573" s="6">
        <f>Database!A2572</f>
        <v/>
      </c>
      <c r="B2573">
        <f>IF(VLOOKUP(Table73[[#This Row],[Date]],Database!$A:$E,MATCH($B$1,Database!$A$1:$E$1,),)=0,#N/A,VLOOKUP(Table73[[#This Row],[Date]],Database!$A:$E,MATCH($B$1,Database!$A$1:$E$1,),))</f>
        <v/>
      </c>
      <c r="C2573">
        <f>IF(VLOOKUP(Table73[[#This Row],[Date]],Database!$A:$C,MATCH($C$1,Database!$A$1:$C$1,),)=0,#N/A,VLOOKUP(Table73[[#This Row],[Date]],Database!$A:$C,MATCH($C$1,Database!$A$1:$C$1,),))</f>
        <v/>
      </c>
      <c r="D2573">
        <f>IFERROR(Table73[[#This Row],[United States 10y]]-Table73[[#This Row],[United States 2y]],#N/A)</f>
        <v/>
      </c>
    </row>
    <row r="2574">
      <c r="A2574" s="6">
        <f>Database!A2573</f>
        <v/>
      </c>
      <c r="B2574">
        <f>IF(VLOOKUP(Table73[[#This Row],[Date]],Database!$A:$E,MATCH($B$1,Database!$A$1:$E$1,),)=0,#N/A,VLOOKUP(Table73[[#This Row],[Date]],Database!$A:$E,MATCH($B$1,Database!$A$1:$E$1,),))</f>
        <v/>
      </c>
      <c r="C2574">
        <f>IF(VLOOKUP(Table73[[#This Row],[Date]],Database!$A:$C,MATCH($C$1,Database!$A$1:$C$1,),)=0,#N/A,VLOOKUP(Table73[[#This Row],[Date]],Database!$A:$C,MATCH($C$1,Database!$A$1:$C$1,),))</f>
        <v/>
      </c>
      <c r="D2574">
        <f>IFERROR(Table73[[#This Row],[United States 10y]]-Table73[[#This Row],[United States 2y]],#N/A)</f>
        <v/>
      </c>
    </row>
    <row r="2575">
      <c r="A2575" s="6">
        <f>Database!A2574</f>
        <v/>
      </c>
      <c r="B2575">
        <f>IF(VLOOKUP(Table73[[#This Row],[Date]],Database!$A:$E,MATCH($B$1,Database!$A$1:$E$1,),)=0,#N/A,VLOOKUP(Table73[[#This Row],[Date]],Database!$A:$E,MATCH($B$1,Database!$A$1:$E$1,),))</f>
        <v/>
      </c>
      <c r="C2575">
        <f>IF(VLOOKUP(Table73[[#This Row],[Date]],Database!$A:$C,MATCH($C$1,Database!$A$1:$C$1,),)=0,#N/A,VLOOKUP(Table73[[#This Row],[Date]],Database!$A:$C,MATCH($C$1,Database!$A$1:$C$1,),))</f>
        <v/>
      </c>
      <c r="D2575">
        <f>IFERROR(Table73[[#This Row],[United States 10y]]-Table73[[#This Row],[United States 2y]],#N/A)</f>
        <v/>
      </c>
    </row>
    <row r="2576">
      <c r="A2576" s="6">
        <f>Database!A2575</f>
        <v/>
      </c>
      <c r="B2576">
        <f>IF(VLOOKUP(Table73[[#This Row],[Date]],Database!$A:$E,MATCH($B$1,Database!$A$1:$E$1,),)=0,#N/A,VLOOKUP(Table73[[#This Row],[Date]],Database!$A:$E,MATCH($B$1,Database!$A$1:$E$1,),))</f>
        <v/>
      </c>
      <c r="C2576">
        <f>IF(VLOOKUP(Table73[[#This Row],[Date]],Database!$A:$C,MATCH($C$1,Database!$A$1:$C$1,),)=0,#N/A,VLOOKUP(Table73[[#This Row],[Date]],Database!$A:$C,MATCH($C$1,Database!$A$1:$C$1,),))</f>
        <v/>
      </c>
      <c r="D2576">
        <f>IFERROR(Table73[[#This Row],[United States 10y]]-Table73[[#This Row],[United States 2y]],#N/A)</f>
        <v/>
      </c>
    </row>
    <row r="2577">
      <c r="A2577" s="6">
        <f>Database!A2576</f>
        <v/>
      </c>
      <c r="B2577">
        <f>IF(VLOOKUP(Table73[[#This Row],[Date]],Database!$A:$E,MATCH($B$1,Database!$A$1:$E$1,),)=0,#N/A,VLOOKUP(Table73[[#This Row],[Date]],Database!$A:$E,MATCH($B$1,Database!$A$1:$E$1,),))</f>
        <v/>
      </c>
      <c r="C2577">
        <f>IF(VLOOKUP(Table73[[#This Row],[Date]],Database!$A:$C,MATCH($C$1,Database!$A$1:$C$1,),)=0,#N/A,VLOOKUP(Table73[[#This Row],[Date]],Database!$A:$C,MATCH($C$1,Database!$A$1:$C$1,),))</f>
        <v/>
      </c>
      <c r="D2577">
        <f>IFERROR(Table73[[#This Row],[United States 10y]]-Table73[[#This Row],[United States 2y]],#N/A)</f>
        <v/>
      </c>
    </row>
    <row r="2578">
      <c r="A2578" s="6">
        <f>Database!A2577</f>
        <v/>
      </c>
      <c r="B2578">
        <f>IF(VLOOKUP(Table73[[#This Row],[Date]],Database!$A:$E,MATCH($B$1,Database!$A$1:$E$1,),)=0,#N/A,VLOOKUP(Table73[[#This Row],[Date]],Database!$A:$E,MATCH($B$1,Database!$A$1:$E$1,),))</f>
        <v/>
      </c>
      <c r="C2578">
        <f>IF(VLOOKUP(Table73[[#This Row],[Date]],Database!$A:$C,MATCH($C$1,Database!$A$1:$C$1,),)=0,#N/A,VLOOKUP(Table73[[#This Row],[Date]],Database!$A:$C,MATCH($C$1,Database!$A$1:$C$1,),))</f>
        <v/>
      </c>
      <c r="D2578">
        <f>IFERROR(Table73[[#This Row],[United States 10y]]-Table73[[#This Row],[United States 2y]],#N/A)</f>
        <v/>
      </c>
    </row>
    <row r="2579">
      <c r="A2579" s="6">
        <f>Database!A2578</f>
        <v/>
      </c>
      <c r="B2579">
        <f>IF(VLOOKUP(Table73[[#This Row],[Date]],Database!$A:$E,MATCH($B$1,Database!$A$1:$E$1,),)=0,#N/A,VLOOKUP(Table73[[#This Row],[Date]],Database!$A:$E,MATCH($B$1,Database!$A$1:$E$1,),))</f>
        <v/>
      </c>
      <c r="C2579">
        <f>IF(VLOOKUP(Table73[[#This Row],[Date]],Database!$A:$C,MATCH($C$1,Database!$A$1:$C$1,),)=0,#N/A,VLOOKUP(Table73[[#This Row],[Date]],Database!$A:$C,MATCH($C$1,Database!$A$1:$C$1,),))</f>
        <v/>
      </c>
      <c r="D2579">
        <f>IFERROR(Table73[[#This Row],[United States 10y]]-Table73[[#This Row],[United States 2y]],#N/A)</f>
        <v/>
      </c>
    </row>
    <row r="2580">
      <c r="A2580" s="6">
        <f>Database!A2579</f>
        <v/>
      </c>
      <c r="B2580">
        <f>IF(VLOOKUP(Table73[[#This Row],[Date]],Database!$A:$E,MATCH($B$1,Database!$A$1:$E$1,),)=0,#N/A,VLOOKUP(Table73[[#This Row],[Date]],Database!$A:$E,MATCH($B$1,Database!$A$1:$E$1,),))</f>
        <v/>
      </c>
      <c r="C2580">
        <f>IF(VLOOKUP(Table73[[#This Row],[Date]],Database!$A:$C,MATCH($C$1,Database!$A$1:$C$1,),)=0,#N/A,VLOOKUP(Table73[[#This Row],[Date]],Database!$A:$C,MATCH($C$1,Database!$A$1:$C$1,),))</f>
        <v/>
      </c>
      <c r="D2580">
        <f>IFERROR(Table73[[#This Row],[United States 10y]]-Table73[[#This Row],[United States 2y]],#N/A)</f>
        <v/>
      </c>
    </row>
    <row r="2581">
      <c r="A2581" s="6">
        <f>Database!A2580</f>
        <v/>
      </c>
      <c r="B2581">
        <f>IF(VLOOKUP(Table73[[#This Row],[Date]],Database!$A:$E,MATCH($B$1,Database!$A$1:$E$1,),)=0,#N/A,VLOOKUP(Table73[[#This Row],[Date]],Database!$A:$E,MATCH($B$1,Database!$A$1:$E$1,),))</f>
        <v/>
      </c>
      <c r="C2581">
        <f>IF(VLOOKUP(Table73[[#This Row],[Date]],Database!$A:$C,MATCH($C$1,Database!$A$1:$C$1,),)=0,#N/A,VLOOKUP(Table73[[#This Row],[Date]],Database!$A:$C,MATCH($C$1,Database!$A$1:$C$1,),))</f>
        <v/>
      </c>
      <c r="D2581">
        <f>IFERROR(Table73[[#This Row],[United States 10y]]-Table73[[#This Row],[United States 2y]],#N/A)</f>
        <v/>
      </c>
    </row>
    <row r="2582">
      <c r="A2582" s="6">
        <f>Database!A2581</f>
        <v/>
      </c>
      <c r="B2582">
        <f>IF(VLOOKUP(Table73[[#This Row],[Date]],Database!$A:$E,MATCH($B$1,Database!$A$1:$E$1,),)=0,#N/A,VLOOKUP(Table73[[#This Row],[Date]],Database!$A:$E,MATCH($B$1,Database!$A$1:$E$1,),))</f>
        <v/>
      </c>
      <c r="C2582">
        <f>IF(VLOOKUP(Table73[[#This Row],[Date]],Database!$A:$C,MATCH($C$1,Database!$A$1:$C$1,),)=0,#N/A,VLOOKUP(Table73[[#This Row],[Date]],Database!$A:$C,MATCH($C$1,Database!$A$1:$C$1,),))</f>
        <v/>
      </c>
      <c r="D2582">
        <f>IFERROR(Table73[[#This Row],[United States 10y]]-Table73[[#This Row],[United States 2y]],#N/A)</f>
        <v/>
      </c>
    </row>
    <row r="2583">
      <c r="A2583" s="6">
        <f>Database!A2582</f>
        <v/>
      </c>
      <c r="B2583">
        <f>IF(VLOOKUP(Table73[[#This Row],[Date]],Database!$A:$E,MATCH($B$1,Database!$A$1:$E$1,),)=0,#N/A,VLOOKUP(Table73[[#This Row],[Date]],Database!$A:$E,MATCH($B$1,Database!$A$1:$E$1,),))</f>
        <v/>
      </c>
      <c r="C2583">
        <f>IF(VLOOKUP(Table73[[#This Row],[Date]],Database!$A:$C,MATCH($C$1,Database!$A$1:$C$1,),)=0,#N/A,VLOOKUP(Table73[[#This Row],[Date]],Database!$A:$C,MATCH($C$1,Database!$A$1:$C$1,),))</f>
        <v/>
      </c>
      <c r="D2583">
        <f>IFERROR(Table73[[#This Row],[United States 10y]]-Table73[[#This Row],[United States 2y]],#N/A)</f>
        <v/>
      </c>
    </row>
    <row r="2584">
      <c r="A2584" s="6">
        <f>Database!A2583</f>
        <v/>
      </c>
      <c r="B2584">
        <f>IF(VLOOKUP(Table73[[#This Row],[Date]],Database!$A:$E,MATCH($B$1,Database!$A$1:$E$1,),)=0,#N/A,VLOOKUP(Table73[[#This Row],[Date]],Database!$A:$E,MATCH($B$1,Database!$A$1:$E$1,),))</f>
        <v/>
      </c>
      <c r="C2584">
        <f>IF(VLOOKUP(Table73[[#This Row],[Date]],Database!$A:$C,MATCH($C$1,Database!$A$1:$C$1,),)=0,#N/A,VLOOKUP(Table73[[#This Row],[Date]],Database!$A:$C,MATCH($C$1,Database!$A$1:$C$1,),))</f>
        <v/>
      </c>
      <c r="D2584">
        <f>IFERROR(Table73[[#This Row],[United States 10y]]-Table73[[#This Row],[United States 2y]],#N/A)</f>
        <v/>
      </c>
    </row>
    <row r="2585">
      <c r="A2585" s="6">
        <f>Database!A2584</f>
        <v/>
      </c>
      <c r="B2585">
        <f>IF(VLOOKUP(Table73[[#This Row],[Date]],Database!$A:$E,MATCH($B$1,Database!$A$1:$E$1,),)=0,#N/A,VLOOKUP(Table73[[#This Row],[Date]],Database!$A:$E,MATCH($B$1,Database!$A$1:$E$1,),))</f>
        <v/>
      </c>
      <c r="C2585">
        <f>IF(VLOOKUP(Table73[[#This Row],[Date]],Database!$A:$C,MATCH($C$1,Database!$A$1:$C$1,),)=0,#N/A,VLOOKUP(Table73[[#This Row],[Date]],Database!$A:$C,MATCH($C$1,Database!$A$1:$C$1,),))</f>
        <v/>
      </c>
      <c r="D2585">
        <f>IFERROR(Table73[[#This Row],[United States 10y]]-Table73[[#This Row],[United States 2y]],#N/A)</f>
        <v/>
      </c>
    </row>
    <row r="2586">
      <c r="A2586" s="6">
        <f>Database!A2585</f>
        <v/>
      </c>
      <c r="B2586">
        <f>IF(VLOOKUP(Table73[[#This Row],[Date]],Database!$A:$E,MATCH($B$1,Database!$A$1:$E$1,),)=0,#N/A,VLOOKUP(Table73[[#This Row],[Date]],Database!$A:$E,MATCH($B$1,Database!$A$1:$E$1,),))</f>
        <v/>
      </c>
      <c r="C2586">
        <f>IF(VLOOKUP(Table73[[#This Row],[Date]],Database!$A:$C,MATCH($C$1,Database!$A$1:$C$1,),)=0,#N/A,VLOOKUP(Table73[[#This Row],[Date]],Database!$A:$C,MATCH($C$1,Database!$A$1:$C$1,),))</f>
        <v/>
      </c>
      <c r="D2586">
        <f>IFERROR(Table73[[#This Row],[United States 10y]]-Table73[[#This Row],[United States 2y]],#N/A)</f>
        <v/>
      </c>
    </row>
    <row r="2587">
      <c r="A2587" s="6">
        <f>Database!A2586</f>
        <v/>
      </c>
      <c r="B2587">
        <f>IF(VLOOKUP(Table73[[#This Row],[Date]],Database!$A:$E,MATCH($B$1,Database!$A$1:$E$1,),)=0,#N/A,VLOOKUP(Table73[[#This Row],[Date]],Database!$A:$E,MATCH($B$1,Database!$A$1:$E$1,),))</f>
        <v/>
      </c>
      <c r="C2587">
        <f>IF(VLOOKUP(Table73[[#This Row],[Date]],Database!$A:$C,MATCH($C$1,Database!$A$1:$C$1,),)=0,#N/A,VLOOKUP(Table73[[#This Row],[Date]],Database!$A:$C,MATCH($C$1,Database!$A$1:$C$1,),))</f>
        <v/>
      </c>
      <c r="D2587">
        <f>IFERROR(Table73[[#This Row],[United States 10y]]-Table73[[#This Row],[United States 2y]],#N/A)</f>
        <v/>
      </c>
    </row>
    <row r="2588">
      <c r="A2588" s="6">
        <f>Database!A2587</f>
        <v/>
      </c>
      <c r="B2588">
        <f>IF(VLOOKUP(Table73[[#This Row],[Date]],Database!$A:$E,MATCH($B$1,Database!$A$1:$E$1,),)=0,#N/A,VLOOKUP(Table73[[#This Row],[Date]],Database!$A:$E,MATCH($B$1,Database!$A$1:$E$1,),))</f>
        <v/>
      </c>
      <c r="C2588">
        <f>IF(VLOOKUP(Table73[[#This Row],[Date]],Database!$A:$C,MATCH($C$1,Database!$A$1:$C$1,),)=0,#N/A,VLOOKUP(Table73[[#This Row],[Date]],Database!$A:$C,MATCH($C$1,Database!$A$1:$C$1,),))</f>
        <v/>
      </c>
      <c r="D2588">
        <f>IFERROR(Table73[[#This Row],[United States 10y]]-Table73[[#This Row],[United States 2y]],#N/A)</f>
        <v/>
      </c>
    </row>
    <row r="2589">
      <c r="A2589" s="6">
        <f>Database!A2588</f>
        <v/>
      </c>
      <c r="B2589">
        <f>IF(VLOOKUP(Table73[[#This Row],[Date]],Database!$A:$E,MATCH($B$1,Database!$A$1:$E$1,),)=0,#N/A,VLOOKUP(Table73[[#This Row],[Date]],Database!$A:$E,MATCH($B$1,Database!$A$1:$E$1,),))</f>
        <v/>
      </c>
      <c r="C2589">
        <f>IF(VLOOKUP(Table73[[#This Row],[Date]],Database!$A:$C,MATCH($C$1,Database!$A$1:$C$1,),)=0,#N/A,VLOOKUP(Table73[[#This Row],[Date]],Database!$A:$C,MATCH($C$1,Database!$A$1:$C$1,),))</f>
        <v/>
      </c>
      <c r="D2589">
        <f>IFERROR(Table73[[#This Row],[United States 10y]]-Table73[[#This Row],[United States 2y]],#N/A)</f>
        <v/>
      </c>
    </row>
    <row r="2590">
      <c r="A2590" s="6">
        <f>Database!A2589</f>
        <v/>
      </c>
      <c r="B2590">
        <f>IF(VLOOKUP(Table73[[#This Row],[Date]],Database!$A:$E,MATCH($B$1,Database!$A$1:$E$1,),)=0,#N/A,VLOOKUP(Table73[[#This Row],[Date]],Database!$A:$E,MATCH($B$1,Database!$A$1:$E$1,),))</f>
        <v/>
      </c>
      <c r="C2590">
        <f>IF(VLOOKUP(Table73[[#This Row],[Date]],Database!$A:$C,MATCH($C$1,Database!$A$1:$C$1,),)=0,#N/A,VLOOKUP(Table73[[#This Row],[Date]],Database!$A:$C,MATCH($C$1,Database!$A$1:$C$1,),))</f>
        <v/>
      </c>
      <c r="D2590">
        <f>IFERROR(Table73[[#This Row],[United States 10y]]-Table73[[#This Row],[United States 2y]],#N/A)</f>
        <v/>
      </c>
    </row>
    <row r="2591">
      <c r="A2591" s="6">
        <f>Database!A2590</f>
        <v/>
      </c>
      <c r="B2591">
        <f>IF(VLOOKUP(Table73[[#This Row],[Date]],Database!$A:$E,MATCH($B$1,Database!$A$1:$E$1,),)=0,#N/A,VLOOKUP(Table73[[#This Row],[Date]],Database!$A:$E,MATCH($B$1,Database!$A$1:$E$1,),))</f>
        <v/>
      </c>
      <c r="C2591">
        <f>IF(VLOOKUP(Table73[[#This Row],[Date]],Database!$A:$C,MATCH($C$1,Database!$A$1:$C$1,),)=0,#N/A,VLOOKUP(Table73[[#This Row],[Date]],Database!$A:$C,MATCH($C$1,Database!$A$1:$C$1,),))</f>
        <v/>
      </c>
      <c r="D2591">
        <f>IFERROR(Table73[[#This Row],[United States 10y]]-Table73[[#This Row],[United States 2y]],#N/A)</f>
        <v/>
      </c>
    </row>
    <row r="2592">
      <c r="A2592" s="6">
        <f>Database!A2591</f>
        <v/>
      </c>
      <c r="B2592">
        <f>IF(VLOOKUP(Table73[[#This Row],[Date]],Database!$A:$E,MATCH($B$1,Database!$A$1:$E$1,),)=0,#N/A,VLOOKUP(Table73[[#This Row],[Date]],Database!$A:$E,MATCH($B$1,Database!$A$1:$E$1,),))</f>
        <v/>
      </c>
      <c r="C2592">
        <f>IF(VLOOKUP(Table73[[#This Row],[Date]],Database!$A:$C,MATCH($C$1,Database!$A$1:$C$1,),)=0,#N/A,VLOOKUP(Table73[[#This Row],[Date]],Database!$A:$C,MATCH($C$1,Database!$A$1:$C$1,),))</f>
        <v/>
      </c>
      <c r="D2592">
        <f>IFERROR(Table73[[#This Row],[United States 10y]]-Table73[[#This Row],[United States 2y]],#N/A)</f>
        <v/>
      </c>
    </row>
    <row r="2593">
      <c r="A2593" s="6">
        <f>Database!A2592</f>
        <v/>
      </c>
      <c r="B2593">
        <f>IF(VLOOKUP(Table73[[#This Row],[Date]],Database!$A:$E,MATCH($B$1,Database!$A$1:$E$1,),)=0,#N/A,VLOOKUP(Table73[[#This Row],[Date]],Database!$A:$E,MATCH($B$1,Database!$A$1:$E$1,),))</f>
        <v/>
      </c>
      <c r="C2593">
        <f>IF(VLOOKUP(Table73[[#This Row],[Date]],Database!$A:$C,MATCH($C$1,Database!$A$1:$C$1,),)=0,#N/A,VLOOKUP(Table73[[#This Row],[Date]],Database!$A:$C,MATCH($C$1,Database!$A$1:$C$1,),))</f>
        <v/>
      </c>
      <c r="D2593">
        <f>IFERROR(Table73[[#This Row],[United States 10y]]-Table73[[#This Row],[United States 2y]],#N/A)</f>
        <v/>
      </c>
    </row>
    <row r="2594">
      <c r="A2594" s="6">
        <f>Database!A2593</f>
        <v/>
      </c>
      <c r="B2594">
        <f>IF(VLOOKUP(Table73[[#This Row],[Date]],Database!$A:$E,MATCH($B$1,Database!$A$1:$E$1,),)=0,#N/A,VLOOKUP(Table73[[#This Row],[Date]],Database!$A:$E,MATCH($B$1,Database!$A$1:$E$1,),))</f>
        <v/>
      </c>
      <c r="C2594">
        <f>IF(VLOOKUP(Table73[[#This Row],[Date]],Database!$A:$C,MATCH($C$1,Database!$A$1:$C$1,),)=0,#N/A,VLOOKUP(Table73[[#This Row],[Date]],Database!$A:$C,MATCH($C$1,Database!$A$1:$C$1,),))</f>
        <v/>
      </c>
      <c r="D2594">
        <f>IFERROR(Table73[[#This Row],[United States 10y]]-Table73[[#This Row],[United States 2y]],#N/A)</f>
        <v/>
      </c>
    </row>
    <row r="2595">
      <c r="A2595" s="6">
        <f>Database!A2594</f>
        <v/>
      </c>
      <c r="B2595">
        <f>IF(VLOOKUP(Table73[[#This Row],[Date]],Database!$A:$E,MATCH($B$1,Database!$A$1:$E$1,),)=0,#N/A,VLOOKUP(Table73[[#This Row],[Date]],Database!$A:$E,MATCH($B$1,Database!$A$1:$E$1,),))</f>
        <v/>
      </c>
      <c r="C2595">
        <f>IF(VLOOKUP(Table73[[#This Row],[Date]],Database!$A:$C,MATCH($C$1,Database!$A$1:$C$1,),)=0,#N/A,VLOOKUP(Table73[[#This Row],[Date]],Database!$A:$C,MATCH($C$1,Database!$A$1:$C$1,),))</f>
        <v/>
      </c>
      <c r="D2595">
        <f>IFERROR(Table73[[#This Row],[United States 10y]]-Table73[[#This Row],[United States 2y]],#N/A)</f>
        <v/>
      </c>
    </row>
    <row r="2596">
      <c r="A2596" s="6">
        <f>Database!A2595</f>
        <v/>
      </c>
      <c r="B2596">
        <f>IF(VLOOKUP(Table73[[#This Row],[Date]],Database!$A:$E,MATCH($B$1,Database!$A$1:$E$1,),)=0,#N/A,VLOOKUP(Table73[[#This Row],[Date]],Database!$A:$E,MATCH($B$1,Database!$A$1:$E$1,),))</f>
        <v/>
      </c>
      <c r="C2596">
        <f>IF(VLOOKUP(Table73[[#This Row],[Date]],Database!$A:$C,MATCH($C$1,Database!$A$1:$C$1,),)=0,#N/A,VLOOKUP(Table73[[#This Row],[Date]],Database!$A:$C,MATCH($C$1,Database!$A$1:$C$1,),))</f>
        <v/>
      </c>
      <c r="D2596">
        <f>IFERROR(Table73[[#This Row],[United States 10y]]-Table73[[#This Row],[United States 2y]],#N/A)</f>
        <v/>
      </c>
    </row>
    <row r="2597">
      <c r="A2597" s="6">
        <f>Database!A2596</f>
        <v/>
      </c>
      <c r="B2597">
        <f>IF(VLOOKUP(Table73[[#This Row],[Date]],Database!$A:$E,MATCH($B$1,Database!$A$1:$E$1,),)=0,#N/A,VLOOKUP(Table73[[#This Row],[Date]],Database!$A:$E,MATCH($B$1,Database!$A$1:$E$1,),))</f>
        <v/>
      </c>
      <c r="C2597">
        <f>IF(VLOOKUP(Table73[[#This Row],[Date]],Database!$A:$C,MATCH($C$1,Database!$A$1:$C$1,),)=0,#N/A,VLOOKUP(Table73[[#This Row],[Date]],Database!$A:$C,MATCH($C$1,Database!$A$1:$C$1,),))</f>
        <v/>
      </c>
      <c r="D2597">
        <f>IFERROR(Table73[[#This Row],[United States 10y]]-Table73[[#This Row],[United States 2y]],#N/A)</f>
        <v/>
      </c>
    </row>
    <row r="2598">
      <c r="A2598" s="6">
        <f>Database!A2597</f>
        <v/>
      </c>
      <c r="B2598">
        <f>IF(VLOOKUP(Table73[[#This Row],[Date]],Database!$A:$E,MATCH($B$1,Database!$A$1:$E$1,),)=0,#N/A,VLOOKUP(Table73[[#This Row],[Date]],Database!$A:$E,MATCH($B$1,Database!$A$1:$E$1,),))</f>
        <v/>
      </c>
      <c r="C2598">
        <f>IF(VLOOKUP(Table73[[#This Row],[Date]],Database!$A:$C,MATCH($C$1,Database!$A$1:$C$1,),)=0,#N/A,VLOOKUP(Table73[[#This Row],[Date]],Database!$A:$C,MATCH($C$1,Database!$A$1:$C$1,),))</f>
        <v/>
      </c>
      <c r="D2598">
        <f>IFERROR(Table73[[#This Row],[United States 10y]]-Table73[[#This Row],[United States 2y]],#N/A)</f>
        <v/>
      </c>
    </row>
    <row r="2599">
      <c r="A2599" s="6">
        <f>Database!A2598</f>
        <v/>
      </c>
      <c r="B2599">
        <f>IF(VLOOKUP(Table73[[#This Row],[Date]],Database!$A:$E,MATCH($B$1,Database!$A$1:$E$1,),)=0,#N/A,VLOOKUP(Table73[[#This Row],[Date]],Database!$A:$E,MATCH($B$1,Database!$A$1:$E$1,),))</f>
        <v/>
      </c>
      <c r="C2599">
        <f>IF(VLOOKUP(Table73[[#This Row],[Date]],Database!$A:$C,MATCH($C$1,Database!$A$1:$C$1,),)=0,#N/A,VLOOKUP(Table73[[#This Row],[Date]],Database!$A:$C,MATCH($C$1,Database!$A$1:$C$1,),))</f>
        <v/>
      </c>
      <c r="D2599">
        <f>IFERROR(Table73[[#This Row],[United States 10y]]-Table73[[#This Row],[United States 2y]],#N/A)</f>
        <v/>
      </c>
    </row>
    <row r="2600">
      <c r="A2600" s="6">
        <f>Database!A2599</f>
        <v/>
      </c>
      <c r="B2600">
        <f>IF(VLOOKUP(Table73[[#This Row],[Date]],Database!$A:$E,MATCH($B$1,Database!$A$1:$E$1,),)=0,#N/A,VLOOKUP(Table73[[#This Row],[Date]],Database!$A:$E,MATCH($B$1,Database!$A$1:$E$1,),))</f>
        <v/>
      </c>
      <c r="C2600">
        <f>IF(VLOOKUP(Table73[[#This Row],[Date]],Database!$A:$C,MATCH($C$1,Database!$A$1:$C$1,),)=0,#N/A,VLOOKUP(Table73[[#This Row],[Date]],Database!$A:$C,MATCH($C$1,Database!$A$1:$C$1,),))</f>
        <v/>
      </c>
      <c r="D2600">
        <f>IFERROR(Table73[[#This Row],[United States 10y]]-Table73[[#This Row],[United States 2y]],#N/A)</f>
        <v/>
      </c>
    </row>
    <row r="2601">
      <c r="A2601" s="6">
        <f>Database!A2600</f>
        <v/>
      </c>
      <c r="B2601">
        <f>IF(VLOOKUP(Table73[[#This Row],[Date]],Database!$A:$E,MATCH($B$1,Database!$A$1:$E$1,),)=0,#N/A,VLOOKUP(Table73[[#This Row],[Date]],Database!$A:$E,MATCH($B$1,Database!$A$1:$E$1,),))</f>
        <v/>
      </c>
      <c r="C2601">
        <f>IF(VLOOKUP(Table73[[#This Row],[Date]],Database!$A:$C,MATCH($C$1,Database!$A$1:$C$1,),)=0,#N/A,VLOOKUP(Table73[[#This Row],[Date]],Database!$A:$C,MATCH($C$1,Database!$A$1:$C$1,),))</f>
        <v/>
      </c>
      <c r="D2601">
        <f>IFERROR(Table73[[#This Row],[United States 10y]]-Table73[[#This Row],[United States 2y]],#N/A)</f>
        <v/>
      </c>
    </row>
    <row r="2602">
      <c r="A2602" s="6">
        <f>Database!A2601</f>
        <v/>
      </c>
      <c r="B2602">
        <f>IF(VLOOKUP(Table73[[#This Row],[Date]],Database!$A:$E,MATCH($B$1,Database!$A$1:$E$1,),)=0,#N/A,VLOOKUP(Table73[[#This Row],[Date]],Database!$A:$E,MATCH($B$1,Database!$A$1:$E$1,),))</f>
        <v/>
      </c>
      <c r="C2602">
        <f>IF(VLOOKUP(Table73[[#This Row],[Date]],Database!$A:$C,MATCH($C$1,Database!$A$1:$C$1,),)=0,#N/A,VLOOKUP(Table73[[#This Row],[Date]],Database!$A:$C,MATCH($C$1,Database!$A$1:$C$1,),))</f>
        <v/>
      </c>
      <c r="D2602">
        <f>IFERROR(Table73[[#This Row],[United States 10y]]-Table73[[#This Row],[United States 2y]],#N/A)</f>
        <v/>
      </c>
    </row>
    <row r="2603">
      <c r="A2603" s="6">
        <f>Database!A2602</f>
        <v/>
      </c>
      <c r="B2603">
        <f>IF(VLOOKUP(Table73[[#This Row],[Date]],Database!$A:$E,MATCH($B$1,Database!$A$1:$E$1,),)=0,#N/A,VLOOKUP(Table73[[#This Row],[Date]],Database!$A:$E,MATCH($B$1,Database!$A$1:$E$1,),))</f>
        <v/>
      </c>
      <c r="C2603">
        <f>IF(VLOOKUP(Table73[[#This Row],[Date]],Database!$A:$C,MATCH($C$1,Database!$A$1:$C$1,),)=0,#N/A,VLOOKUP(Table73[[#This Row],[Date]],Database!$A:$C,MATCH($C$1,Database!$A$1:$C$1,),))</f>
        <v/>
      </c>
      <c r="D2603">
        <f>IFERROR(Table73[[#This Row],[United States 10y]]-Table73[[#This Row],[United States 2y]],#N/A)</f>
        <v/>
      </c>
    </row>
    <row r="2604">
      <c r="A2604" s="6">
        <f>Database!A2603</f>
        <v/>
      </c>
      <c r="B2604">
        <f>IF(VLOOKUP(Table73[[#This Row],[Date]],Database!$A:$E,MATCH($B$1,Database!$A$1:$E$1,),)=0,#N/A,VLOOKUP(Table73[[#This Row],[Date]],Database!$A:$E,MATCH($B$1,Database!$A$1:$E$1,),))</f>
        <v/>
      </c>
      <c r="C2604">
        <f>IF(VLOOKUP(Table73[[#This Row],[Date]],Database!$A:$C,MATCH($C$1,Database!$A$1:$C$1,),)=0,#N/A,VLOOKUP(Table73[[#This Row],[Date]],Database!$A:$C,MATCH($C$1,Database!$A$1:$C$1,),))</f>
        <v/>
      </c>
      <c r="D2604">
        <f>IFERROR(Table73[[#This Row],[United States 10y]]-Table73[[#This Row],[United States 2y]],#N/A)</f>
        <v/>
      </c>
    </row>
    <row r="2605">
      <c r="A2605" s="6">
        <f>Database!A2604</f>
        <v/>
      </c>
      <c r="B2605">
        <f>IF(VLOOKUP(Table73[[#This Row],[Date]],Database!$A:$E,MATCH($B$1,Database!$A$1:$E$1,),)=0,#N/A,VLOOKUP(Table73[[#This Row],[Date]],Database!$A:$E,MATCH($B$1,Database!$A$1:$E$1,),))</f>
        <v/>
      </c>
      <c r="C2605">
        <f>IF(VLOOKUP(Table73[[#This Row],[Date]],Database!$A:$C,MATCH($C$1,Database!$A$1:$C$1,),)=0,#N/A,VLOOKUP(Table73[[#This Row],[Date]],Database!$A:$C,MATCH($C$1,Database!$A$1:$C$1,),))</f>
        <v/>
      </c>
      <c r="D2605">
        <f>IFERROR(Table73[[#This Row],[United States 10y]]-Table73[[#This Row],[United States 2y]],#N/A)</f>
        <v/>
      </c>
    </row>
    <row r="2606">
      <c r="A2606" s="6">
        <f>Database!A2605</f>
        <v/>
      </c>
      <c r="B2606">
        <f>IF(VLOOKUP(Table73[[#This Row],[Date]],Database!$A:$E,MATCH($B$1,Database!$A$1:$E$1,),)=0,#N/A,VLOOKUP(Table73[[#This Row],[Date]],Database!$A:$E,MATCH($B$1,Database!$A$1:$E$1,),))</f>
        <v/>
      </c>
      <c r="C2606">
        <f>IF(VLOOKUP(Table73[[#This Row],[Date]],Database!$A:$C,MATCH($C$1,Database!$A$1:$C$1,),)=0,#N/A,VLOOKUP(Table73[[#This Row],[Date]],Database!$A:$C,MATCH($C$1,Database!$A$1:$C$1,),))</f>
        <v/>
      </c>
      <c r="D2606">
        <f>IFERROR(Table73[[#This Row],[United States 10y]]-Table73[[#This Row],[United States 2y]],#N/A)</f>
        <v/>
      </c>
    </row>
    <row r="2607">
      <c r="A2607" s="6">
        <f>Database!A2606</f>
        <v/>
      </c>
      <c r="B2607">
        <f>IF(VLOOKUP(Table73[[#This Row],[Date]],Database!$A:$E,MATCH($B$1,Database!$A$1:$E$1,),)=0,#N/A,VLOOKUP(Table73[[#This Row],[Date]],Database!$A:$E,MATCH($B$1,Database!$A$1:$E$1,),))</f>
        <v/>
      </c>
      <c r="C2607">
        <f>IF(VLOOKUP(Table73[[#This Row],[Date]],Database!$A:$C,MATCH($C$1,Database!$A$1:$C$1,),)=0,#N/A,VLOOKUP(Table73[[#This Row],[Date]],Database!$A:$C,MATCH($C$1,Database!$A$1:$C$1,),))</f>
        <v/>
      </c>
      <c r="D2607">
        <f>IFERROR(Table73[[#This Row],[United States 10y]]-Table73[[#This Row],[United States 2y]],#N/A)</f>
        <v/>
      </c>
    </row>
    <row r="2608">
      <c r="A2608" s="6">
        <f>Database!A2607</f>
        <v/>
      </c>
      <c r="B2608">
        <f>IF(VLOOKUP(Table73[[#This Row],[Date]],Database!$A:$E,MATCH($B$1,Database!$A$1:$E$1,),)=0,#N/A,VLOOKUP(Table73[[#This Row],[Date]],Database!$A:$E,MATCH($B$1,Database!$A$1:$E$1,),))</f>
        <v/>
      </c>
      <c r="C2608">
        <f>IF(VLOOKUP(Table73[[#This Row],[Date]],Database!$A:$C,MATCH($C$1,Database!$A$1:$C$1,),)=0,#N/A,VLOOKUP(Table73[[#This Row],[Date]],Database!$A:$C,MATCH($C$1,Database!$A$1:$C$1,),))</f>
        <v/>
      </c>
      <c r="D2608">
        <f>IFERROR(Table73[[#This Row],[United States 10y]]-Table73[[#This Row],[United States 2y]],#N/A)</f>
        <v/>
      </c>
    </row>
    <row r="2609">
      <c r="A2609" s="6">
        <f>Database!A2608</f>
        <v/>
      </c>
      <c r="B2609">
        <f>IF(VLOOKUP(Table73[[#This Row],[Date]],Database!$A:$E,MATCH($B$1,Database!$A$1:$E$1,),)=0,#N/A,VLOOKUP(Table73[[#This Row],[Date]],Database!$A:$E,MATCH($B$1,Database!$A$1:$E$1,),))</f>
        <v/>
      </c>
      <c r="C2609">
        <f>IF(VLOOKUP(Table73[[#This Row],[Date]],Database!$A:$C,MATCH($C$1,Database!$A$1:$C$1,),)=0,#N/A,VLOOKUP(Table73[[#This Row],[Date]],Database!$A:$C,MATCH($C$1,Database!$A$1:$C$1,),))</f>
        <v/>
      </c>
      <c r="D2609">
        <f>IFERROR(Table73[[#This Row],[United States 10y]]-Table73[[#This Row],[United States 2y]],#N/A)</f>
        <v/>
      </c>
    </row>
    <row r="2610">
      <c r="A2610" s="6">
        <f>Database!A2609</f>
        <v/>
      </c>
      <c r="B2610">
        <f>IF(VLOOKUP(Table73[[#This Row],[Date]],Database!$A:$E,MATCH($B$1,Database!$A$1:$E$1,),)=0,#N/A,VLOOKUP(Table73[[#This Row],[Date]],Database!$A:$E,MATCH($B$1,Database!$A$1:$E$1,),))</f>
        <v/>
      </c>
      <c r="C2610">
        <f>IF(VLOOKUP(Table73[[#This Row],[Date]],Database!$A:$C,MATCH($C$1,Database!$A$1:$C$1,),)=0,#N/A,VLOOKUP(Table73[[#This Row],[Date]],Database!$A:$C,MATCH($C$1,Database!$A$1:$C$1,),))</f>
        <v/>
      </c>
      <c r="D2610">
        <f>IFERROR(Table73[[#This Row],[United States 10y]]-Table73[[#This Row],[United States 2y]],#N/A)</f>
        <v/>
      </c>
    </row>
    <row r="2611">
      <c r="A2611" s="6">
        <f>Database!A2610</f>
        <v/>
      </c>
      <c r="B2611">
        <f>IF(VLOOKUP(Table73[[#This Row],[Date]],Database!$A:$E,MATCH($B$1,Database!$A$1:$E$1,),)=0,#N/A,VLOOKUP(Table73[[#This Row],[Date]],Database!$A:$E,MATCH($B$1,Database!$A$1:$E$1,),))</f>
        <v/>
      </c>
      <c r="C2611">
        <f>IF(VLOOKUP(Table73[[#This Row],[Date]],Database!$A:$C,MATCH($C$1,Database!$A$1:$C$1,),)=0,#N/A,VLOOKUP(Table73[[#This Row],[Date]],Database!$A:$C,MATCH($C$1,Database!$A$1:$C$1,),))</f>
        <v/>
      </c>
      <c r="D2611">
        <f>IFERROR(Table73[[#This Row],[United States 10y]]-Table73[[#This Row],[United States 2y]],#N/A)</f>
        <v/>
      </c>
    </row>
    <row r="2612">
      <c r="A2612" s="6">
        <f>Database!A2611</f>
        <v/>
      </c>
      <c r="B2612">
        <f>IF(VLOOKUP(Table73[[#This Row],[Date]],Database!$A:$E,MATCH($B$1,Database!$A$1:$E$1,),)=0,#N/A,VLOOKUP(Table73[[#This Row],[Date]],Database!$A:$E,MATCH($B$1,Database!$A$1:$E$1,),))</f>
        <v/>
      </c>
      <c r="C2612">
        <f>IF(VLOOKUP(Table73[[#This Row],[Date]],Database!$A:$C,MATCH($C$1,Database!$A$1:$C$1,),)=0,#N/A,VLOOKUP(Table73[[#This Row],[Date]],Database!$A:$C,MATCH($C$1,Database!$A$1:$C$1,),))</f>
        <v/>
      </c>
      <c r="D2612">
        <f>IFERROR(Table73[[#This Row],[United States 10y]]-Table73[[#This Row],[United States 2y]],#N/A)</f>
        <v/>
      </c>
    </row>
    <row r="2613">
      <c r="A2613" s="6">
        <f>Database!A2612</f>
        <v/>
      </c>
      <c r="B2613">
        <f>IF(VLOOKUP(Table73[[#This Row],[Date]],Database!$A:$E,MATCH($B$1,Database!$A$1:$E$1,),)=0,#N/A,VLOOKUP(Table73[[#This Row],[Date]],Database!$A:$E,MATCH($B$1,Database!$A$1:$E$1,),))</f>
        <v/>
      </c>
      <c r="C2613">
        <f>IF(VLOOKUP(Table73[[#This Row],[Date]],Database!$A:$C,MATCH($C$1,Database!$A$1:$C$1,),)=0,#N/A,VLOOKUP(Table73[[#This Row],[Date]],Database!$A:$C,MATCH($C$1,Database!$A$1:$C$1,),))</f>
        <v/>
      </c>
      <c r="D2613">
        <f>IFERROR(Table73[[#This Row],[United States 10y]]-Table73[[#This Row],[United States 2y]],#N/A)</f>
        <v/>
      </c>
    </row>
    <row r="2614">
      <c r="A2614" s="6">
        <f>Database!A2613</f>
        <v/>
      </c>
      <c r="B2614">
        <f>IF(VLOOKUP(Table73[[#This Row],[Date]],Database!$A:$E,MATCH($B$1,Database!$A$1:$E$1,),)=0,#N/A,VLOOKUP(Table73[[#This Row],[Date]],Database!$A:$E,MATCH($B$1,Database!$A$1:$E$1,),))</f>
        <v/>
      </c>
      <c r="C2614">
        <f>IF(VLOOKUP(Table73[[#This Row],[Date]],Database!$A:$C,MATCH($C$1,Database!$A$1:$C$1,),)=0,#N/A,VLOOKUP(Table73[[#This Row],[Date]],Database!$A:$C,MATCH($C$1,Database!$A$1:$C$1,),))</f>
        <v/>
      </c>
      <c r="D2614">
        <f>IFERROR(Table73[[#This Row],[United States 10y]]-Table73[[#This Row],[United States 2y]],#N/A)</f>
        <v/>
      </c>
    </row>
    <row r="2615">
      <c r="A2615" s="6">
        <f>Database!A2614</f>
        <v/>
      </c>
      <c r="B2615">
        <f>IF(VLOOKUP(Table73[[#This Row],[Date]],Database!$A:$E,MATCH($B$1,Database!$A$1:$E$1,),)=0,#N/A,VLOOKUP(Table73[[#This Row],[Date]],Database!$A:$E,MATCH($B$1,Database!$A$1:$E$1,),))</f>
        <v/>
      </c>
      <c r="C2615">
        <f>IF(VLOOKUP(Table73[[#This Row],[Date]],Database!$A:$C,MATCH($C$1,Database!$A$1:$C$1,),)=0,#N/A,VLOOKUP(Table73[[#This Row],[Date]],Database!$A:$C,MATCH($C$1,Database!$A$1:$C$1,),))</f>
        <v/>
      </c>
      <c r="D2615">
        <f>IFERROR(Table73[[#This Row],[United States 10y]]-Table73[[#This Row],[United States 2y]],#N/A)</f>
        <v/>
      </c>
    </row>
    <row r="2616">
      <c r="A2616" s="6">
        <f>Database!A2615</f>
        <v/>
      </c>
      <c r="B2616">
        <f>IF(VLOOKUP(Table73[[#This Row],[Date]],Database!$A:$E,MATCH($B$1,Database!$A$1:$E$1,),)=0,#N/A,VLOOKUP(Table73[[#This Row],[Date]],Database!$A:$E,MATCH($B$1,Database!$A$1:$E$1,),))</f>
        <v/>
      </c>
      <c r="C2616">
        <f>IF(VLOOKUP(Table73[[#This Row],[Date]],Database!$A:$C,MATCH($C$1,Database!$A$1:$C$1,),)=0,#N/A,VLOOKUP(Table73[[#This Row],[Date]],Database!$A:$C,MATCH($C$1,Database!$A$1:$C$1,),))</f>
        <v/>
      </c>
      <c r="D2616">
        <f>IFERROR(Table73[[#This Row],[United States 10y]]-Table73[[#This Row],[United States 2y]],#N/A)</f>
        <v/>
      </c>
    </row>
    <row r="2617">
      <c r="A2617" s="6">
        <f>Database!A2616</f>
        <v/>
      </c>
      <c r="B2617">
        <f>IF(VLOOKUP(Table73[[#This Row],[Date]],Database!$A:$E,MATCH($B$1,Database!$A$1:$E$1,),)=0,#N/A,VLOOKUP(Table73[[#This Row],[Date]],Database!$A:$E,MATCH($B$1,Database!$A$1:$E$1,),))</f>
        <v/>
      </c>
      <c r="C2617">
        <f>IF(VLOOKUP(Table73[[#This Row],[Date]],Database!$A:$C,MATCH($C$1,Database!$A$1:$C$1,),)=0,#N/A,VLOOKUP(Table73[[#This Row],[Date]],Database!$A:$C,MATCH($C$1,Database!$A$1:$C$1,),))</f>
        <v/>
      </c>
      <c r="D2617">
        <f>IFERROR(Table73[[#This Row],[United States 10y]]-Table73[[#This Row],[United States 2y]],#N/A)</f>
        <v/>
      </c>
    </row>
    <row r="2618">
      <c r="A2618" s="6">
        <f>Database!A2617</f>
        <v/>
      </c>
      <c r="B2618">
        <f>IF(VLOOKUP(Table73[[#This Row],[Date]],Database!$A:$E,MATCH($B$1,Database!$A$1:$E$1,),)=0,#N/A,VLOOKUP(Table73[[#This Row],[Date]],Database!$A:$E,MATCH($B$1,Database!$A$1:$E$1,),))</f>
        <v/>
      </c>
      <c r="C2618">
        <f>IF(VLOOKUP(Table73[[#This Row],[Date]],Database!$A:$C,MATCH($C$1,Database!$A$1:$C$1,),)=0,#N/A,VLOOKUP(Table73[[#This Row],[Date]],Database!$A:$C,MATCH($C$1,Database!$A$1:$C$1,),))</f>
        <v/>
      </c>
      <c r="D2618">
        <f>IFERROR(Table73[[#This Row],[United States 10y]]-Table73[[#This Row],[United States 2y]],#N/A)</f>
        <v/>
      </c>
    </row>
    <row r="2619">
      <c r="A2619" s="6">
        <f>Database!A2618</f>
        <v/>
      </c>
      <c r="B2619">
        <f>IF(VLOOKUP(Table73[[#This Row],[Date]],Database!$A:$E,MATCH($B$1,Database!$A$1:$E$1,),)=0,#N/A,VLOOKUP(Table73[[#This Row],[Date]],Database!$A:$E,MATCH($B$1,Database!$A$1:$E$1,),))</f>
        <v/>
      </c>
      <c r="C2619">
        <f>IF(VLOOKUP(Table73[[#This Row],[Date]],Database!$A:$C,MATCH($C$1,Database!$A$1:$C$1,),)=0,#N/A,VLOOKUP(Table73[[#This Row],[Date]],Database!$A:$C,MATCH($C$1,Database!$A$1:$C$1,),))</f>
        <v/>
      </c>
      <c r="D2619">
        <f>IFERROR(Table73[[#This Row],[United States 10y]]-Table73[[#This Row],[United States 2y]],#N/A)</f>
        <v/>
      </c>
    </row>
    <row r="2620">
      <c r="A2620" s="6">
        <f>Database!A2619</f>
        <v/>
      </c>
      <c r="B2620">
        <f>IF(VLOOKUP(Table73[[#This Row],[Date]],Database!$A:$E,MATCH($B$1,Database!$A$1:$E$1,),)=0,#N/A,VLOOKUP(Table73[[#This Row],[Date]],Database!$A:$E,MATCH($B$1,Database!$A$1:$E$1,),))</f>
        <v/>
      </c>
      <c r="C2620">
        <f>IF(VLOOKUP(Table73[[#This Row],[Date]],Database!$A:$C,MATCH($C$1,Database!$A$1:$C$1,),)=0,#N/A,VLOOKUP(Table73[[#This Row],[Date]],Database!$A:$C,MATCH($C$1,Database!$A$1:$C$1,),))</f>
        <v/>
      </c>
      <c r="D2620">
        <f>IFERROR(Table73[[#This Row],[United States 10y]]-Table73[[#This Row],[United States 2y]],#N/A)</f>
        <v/>
      </c>
    </row>
    <row r="2621">
      <c r="A2621" s="6">
        <f>Database!A2620</f>
        <v/>
      </c>
      <c r="B2621">
        <f>IF(VLOOKUP(Table73[[#This Row],[Date]],Database!$A:$E,MATCH($B$1,Database!$A$1:$E$1,),)=0,#N/A,VLOOKUP(Table73[[#This Row],[Date]],Database!$A:$E,MATCH($B$1,Database!$A$1:$E$1,),))</f>
        <v/>
      </c>
      <c r="C2621">
        <f>IF(VLOOKUP(Table73[[#This Row],[Date]],Database!$A:$C,MATCH($C$1,Database!$A$1:$C$1,),)=0,#N/A,VLOOKUP(Table73[[#This Row],[Date]],Database!$A:$C,MATCH($C$1,Database!$A$1:$C$1,),))</f>
        <v/>
      </c>
      <c r="D2621">
        <f>IFERROR(Table73[[#This Row],[United States 10y]]-Table73[[#This Row],[United States 2y]],#N/A)</f>
        <v/>
      </c>
    </row>
    <row r="2622">
      <c r="A2622" s="6">
        <f>Database!A2621</f>
        <v/>
      </c>
      <c r="B2622">
        <f>IF(VLOOKUP(Table73[[#This Row],[Date]],Database!$A:$E,MATCH($B$1,Database!$A$1:$E$1,),)=0,#N/A,VLOOKUP(Table73[[#This Row],[Date]],Database!$A:$E,MATCH($B$1,Database!$A$1:$E$1,),))</f>
        <v/>
      </c>
      <c r="C2622">
        <f>IF(VLOOKUP(Table73[[#This Row],[Date]],Database!$A:$C,MATCH($C$1,Database!$A$1:$C$1,),)=0,#N/A,VLOOKUP(Table73[[#This Row],[Date]],Database!$A:$C,MATCH($C$1,Database!$A$1:$C$1,),))</f>
        <v/>
      </c>
      <c r="D2622">
        <f>IFERROR(Table73[[#This Row],[United States 10y]]-Table73[[#This Row],[United States 2y]],#N/A)</f>
        <v/>
      </c>
    </row>
    <row r="2623">
      <c r="A2623" s="6">
        <f>Database!A2622</f>
        <v/>
      </c>
      <c r="B2623">
        <f>IF(VLOOKUP(Table73[[#This Row],[Date]],Database!$A:$E,MATCH($B$1,Database!$A$1:$E$1,),)=0,#N/A,VLOOKUP(Table73[[#This Row],[Date]],Database!$A:$E,MATCH($B$1,Database!$A$1:$E$1,),))</f>
        <v/>
      </c>
      <c r="C2623">
        <f>IF(VLOOKUP(Table73[[#This Row],[Date]],Database!$A:$C,MATCH($C$1,Database!$A$1:$C$1,),)=0,#N/A,VLOOKUP(Table73[[#This Row],[Date]],Database!$A:$C,MATCH($C$1,Database!$A$1:$C$1,),))</f>
        <v/>
      </c>
      <c r="D2623">
        <f>IFERROR(Table73[[#This Row],[United States 10y]]-Table73[[#This Row],[United States 2y]],#N/A)</f>
        <v/>
      </c>
    </row>
    <row r="2624">
      <c r="A2624" s="6">
        <f>Database!A2623</f>
        <v/>
      </c>
      <c r="B2624">
        <f>IF(VLOOKUP(Table73[[#This Row],[Date]],Database!$A:$E,MATCH($B$1,Database!$A$1:$E$1,),)=0,#N/A,VLOOKUP(Table73[[#This Row],[Date]],Database!$A:$E,MATCH($B$1,Database!$A$1:$E$1,),))</f>
        <v/>
      </c>
      <c r="C2624">
        <f>IF(VLOOKUP(Table73[[#This Row],[Date]],Database!$A:$C,MATCH($C$1,Database!$A$1:$C$1,),)=0,#N/A,VLOOKUP(Table73[[#This Row],[Date]],Database!$A:$C,MATCH($C$1,Database!$A$1:$C$1,),))</f>
        <v/>
      </c>
      <c r="D2624">
        <f>IFERROR(Table73[[#This Row],[United States 10y]]-Table73[[#This Row],[United States 2y]],#N/A)</f>
        <v/>
      </c>
    </row>
    <row r="2625">
      <c r="A2625" s="6">
        <f>Database!A2624</f>
        <v/>
      </c>
      <c r="B2625">
        <f>IF(VLOOKUP(Table73[[#This Row],[Date]],Database!$A:$E,MATCH($B$1,Database!$A$1:$E$1,),)=0,#N/A,VLOOKUP(Table73[[#This Row],[Date]],Database!$A:$E,MATCH($B$1,Database!$A$1:$E$1,),))</f>
        <v/>
      </c>
      <c r="C2625">
        <f>IF(VLOOKUP(Table73[[#This Row],[Date]],Database!$A:$C,MATCH($C$1,Database!$A$1:$C$1,),)=0,#N/A,VLOOKUP(Table73[[#This Row],[Date]],Database!$A:$C,MATCH($C$1,Database!$A$1:$C$1,),))</f>
        <v/>
      </c>
      <c r="D2625">
        <f>IFERROR(Table73[[#This Row],[United States 10y]]-Table73[[#This Row],[United States 2y]],#N/A)</f>
        <v/>
      </c>
    </row>
    <row r="2626">
      <c r="A2626" s="6">
        <f>Database!A2625</f>
        <v/>
      </c>
      <c r="B2626">
        <f>IF(VLOOKUP(Table73[[#This Row],[Date]],Database!$A:$E,MATCH($B$1,Database!$A$1:$E$1,),)=0,#N/A,VLOOKUP(Table73[[#This Row],[Date]],Database!$A:$E,MATCH($B$1,Database!$A$1:$E$1,),))</f>
        <v/>
      </c>
      <c r="C2626">
        <f>IF(VLOOKUP(Table73[[#This Row],[Date]],Database!$A:$C,MATCH($C$1,Database!$A$1:$C$1,),)=0,#N/A,VLOOKUP(Table73[[#This Row],[Date]],Database!$A:$C,MATCH($C$1,Database!$A$1:$C$1,),))</f>
        <v/>
      </c>
      <c r="D2626">
        <f>IFERROR(Table73[[#This Row],[United States 10y]]-Table73[[#This Row],[United States 2y]],#N/A)</f>
        <v/>
      </c>
    </row>
    <row r="2627">
      <c r="A2627" s="6">
        <f>Database!A2626</f>
        <v/>
      </c>
      <c r="B2627">
        <f>IF(VLOOKUP(Table73[[#This Row],[Date]],Database!$A:$E,MATCH($B$1,Database!$A$1:$E$1,),)=0,#N/A,VLOOKUP(Table73[[#This Row],[Date]],Database!$A:$E,MATCH($B$1,Database!$A$1:$E$1,),))</f>
        <v/>
      </c>
      <c r="C2627">
        <f>IF(VLOOKUP(Table73[[#This Row],[Date]],Database!$A:$C,MATCH($C$1,Database!$A$1:$C$1,),)=0,#N/A,VLOOKUP(Table73[[#This Row],[Date]],Database!$A:$C,MATCH($C$1,Database!$A$1:$C$1,),))</f>
        <v/>
      </c>
      <c r="D2627">
        <f>IFERROR(Table73[[#This Row],[United States 10y]]-Table73[[#This Row],[United States 2y]],#N/A)</f>
        <v/>
      </c>
    </row>
    <row r="2628">
      <c r="A2628" s="6">
        <f>Database!A2627</f>
        <v/>
      </c>
      <c r="B2628">
        <f>IF(VLOOKUP(Table73[[#This Row],[Date]],Database!$A:$E,MATCH($B$1,Database!$A$1:$E$1,),)=0,#N/A,VLOOKUP(Table73[[#This Row],[Date]],Database!$A:$E,MATCH($B$1,Database!$A$1:$E$1,),))</f>
        <v/>
      </c>
      <c r="C2628">
        <f>IF(VLOOKUP(Table73[[#This Row],[Date]],Database!$A:$C,MATCH($C$1,Database!$A$1:$C$1,),)=0,#N/A,VLOOKUP(Table73[[#This Row],[Date]],Database!$A:$C,MATCH($C$1,Database!$A$1:$C$1,),))</f>
        <v/>
      </c>
      <c r="D2628">
        <f>IFERROR(Table73[[#This Row],[United States 10y]]-Table73[[#This Row],[United States 2y]],#N/A)</f>
        <v/>
      </c>
    </row>
    <row r="2629">
      <c r="A2629" s="6">
        <f>Database!A2628</f>
        <v/>
      </c>
      <c r="B2629">
        <f>IF(VLOOKUP(Table73[[#This Row],[Date]],Database!$A:$E,MATCH($B$1,Database!$A$1:$E$1,),)=0,#N/A,VLOOKUP(Table73[[#This Row],[Date]],Database!$A:$E,MATCH($B$1,Database!$A$1:$E$1,),))</f>
        <v/>
      </c>
      <c r="C2629">
        <f>IF(VLOOKUP(Table73[[#This Row],[Date]],Database!$A:$C,MATCH($C$1,Database!$A$1:$C$1,),)=0,#N/A,VLOOKUP(Table73[[#This Row],[Date]],Database!$A:$C,MATCH($C$1,Database!$A$1:$C$1,),))</f>
        <v/>
      </c>
      <c r="D2629">
        <f>IFERROR(Table73[[#This Row],[United States 10y]]-Table73[[#This Row],[United States 2y]],#N/A)</f>
        <v/>
      </c>
    </row>
    <row r="2630">
      <c r="A2630" s="6">
        <f>Database!A2629</f>
        <v/>
      </c>
      <c r="B2630">
        <f>IF(VLOOKUP(Table73[[#This Row],[Date]],Database!$A:$E,MATCH($B$1,Database!$A$1:$E$1,),)=0,#N/A,VLOOKUP(Table73[[#This Row],[Date]],Database!$A:$E,MATCH($B$1,Database!$A$1:$E$1,),))</f>
        <v/>
      </c>
      <c r="C2630">
        <f>IF(VLOOKUP(Table73[[#This Row],[Date]],Database!$A:$C,MATCH($C$1,Database!$A$1:$C$1,),)=0,#N/A,VLOOKUP(Table73[[#This Row],[Date]],Database!$A:$C,MATCH($C$1,Database!$A$1:$C$1,),))</f>
        <v/>
      </c>
      <c r="D2630">
        <f>IFERROR(Table73[[#This Row],[United States 10y]]-Table73[[#This Row],[United States 2y]],#N/A)</f>
        <v/>
      </c>
    </row>
    <row r="2631">
      <c r="A2631" s="6">
        <f>Database!A2630</f>
        <v/>
      </c>
      <c r="B2631">
        <f>IF(VLOOKUP(Table73[[#This Row],[Date]],Database!$A:$E,MATCH($B$1,Database!$A$1:$E$1,),)=0,#N/A,VLOOKUP(Table73[[#This Row],[Date]],Database!$A:$E,MATCH($B$1,Database!$A$1:$E$1,),))</f>
        <v/>
      </c>
      <c r="C2631">
        <f>IF(VLOOKUP(Table73[[#This Row],[Date]],Database!$A:$C,MATCH($C$1,Database!$A$1:$C$1,),)=0,#N/A,VLOOKUP(Table73[[#This Row],[Date]],Database!$A:$C,MATCH($C$1,Database!$A$1:$C$1,),))</f>
        <v/>
      </c>
      <c r="D2631">
        <f>IFERROR(Table73[[#This Row],[United States 10y]]-Table73[[#This Row],[United States 2y]],#N/A)</f>
        <v/>
      </c>
    </row>
    <row r="2632">
      <c r="A2632" s="6">
        <f>Database!A2631</f>
        <v/>
      </c>
      <c r="B2632">
        <f>IF(VLOOKUP(Table73[[#This Row],[Date]],Database!$A:$E,MATCH($B$1,Database!$A$1:$E$1,),)=0,#N/A,VLOOKUP(Table73[[#This Row],[Date]],Database!$A:$E,MATCH($B$1,Database!$A$1:$E$1,),))</f>
        <v/>
      </c>
      <c r="C2632">
        <f>IF(VLOOKUP(Table73[[#This Row],[Date]],Database!$A:$C,MATCH($C$1,Database!$A$1:$C$1,),)=0,#N/A,VLOOKUP(Table73[[#This Row],[Date]],Database!$A:$C,MATCH($C$1,Database!$A$1:$C$1,),))</f>
        <v/>
      </c>
      <c r="D2632">
        <f>IFERROR(Table73[[#This Row],[United States 10y]]-Table73[[#This Row],[United States 2y]],#N/A)</f>
        <v/>
      </c>
    </row>
    <row r="2633">
      <c r="A2633" s="6">
        <f>Database!A2632</f>
        <v/>
      </c>
      <c r="B2633">
        <f>IF(VLOOKUP(Table73[[#This Row],[Date]],Database!$A:$E,MATCH($B$1,Database!$A$1:$E$1,),)=0,#N/A,VLOOKUP(Table73[[#This Row],[Date]],Database!$A:$E,MATCH($B$1,Database!$A$1:$E$1,),))</f>
        <v/>
      </c>
      <c r="C2633">
        <f>IF(VLOOKUP(Table73[[#This Row],[Date]],Database!$A:$C,MATCH($C$1,Database!$A$1:$C$1,),)=0,#N/A,VLOOKUP(Table73[[#This Row],[Date]],Database!$A:$C,MATCH($C$1,Database!$A$1:$C$1,),))</f>
        <v/>
      </c>
      <c r="D2633">
        <f>IFERROR(Table73[[#This Row],[United States 10y]]-Table73[[#This Row],[United States 2y]],#N/A)</f>
        <v/>
      </c>
    </row>
    <row r="2634">
      <c r="A2634" s="6">
        <f>Database!A2633</f>
        <v/>
      </c>
      <c r="B2634">
        <f>IF(VLOOKUP(Table73[[#This Row],[Date]],Database!$A:$E,MATCH($B$1,Database!$A$1:$E$1,),)=0,#N/A,VLOOKUP(Table73[[#This Row],[Date]],Database!$A:$E,MATCH($B$1,Database!$A$1:$E$1,),))</f>
        <v/>
      </c>
      <c r="C2634">
        <f>IF(VLOOKUP(Table73[[#This Row],[Date]],Database!$A:$C,MATCH($C$1,Database!$A$1:$C$1,),)=0,#N/A,VLOOKUP(Table73[[#This Row],[Date]],Database!$A:$C,MATCH($C$1,Database!$A$1:$C$1,),))</f>
        <v/>
      </c>
      <c r="D2634">
        <f>IFERROR(Table73[[#This Row],[United States 10y]]-Table73[[#This Row],[United States 2y]],#N/A)</f>
        <v/>
      </c>
    </row>
    <row r="2635">
      <c r="A2635" s="6">
        <f>Database!A2634</f>
        <v/>
      </c>
      <c r="B2635">
        <f>IF(VLOOKUP(Table73[[#This Row],[Date]],Database!$A:$E,MATCH($B$1,Database!$A$1:$E$1,),)=0,#N/A,VLOOKUP(Table73[[#This Row],[Date]],Database!$A:$E,MATCH($B$1,Database!$A$1:$E$1,),))</f>
        <v/>
      </c>
      <c r="C2635">
        <f>IF(VLOOKUP(Table73[[#This Row],[Date]],Database!$A:$C,MATCH($C$1,Database!$A$1:$C$1,),)=0,#N/A,VLOOKUP(Table73[[#This Row],[Date]],Database!$A:$C,MATCH($C$1,Database!$A$1:$C$1,),))</f>
        <v/>
      </c>
      <c r="D2635">
        <f>IFERROR(Table73[[#This Row],[United States 10y]]-Table73[[#This Row],[United States 2y]],#N/A)</f>
        <v/>
      </c>
    </row>
    <row r="2636">
      <c r="A2636" s="6">
        <f>Database!A2635</f>
        <v/>
      </c>
      <c r="B2636">
        <f>IF(VLOOKUP(Table73[[#This Row],[Date]],Database!$A:$E,MATCH($B$1,Database!$A$1:$E$1,),)=0,#N/A,VLOOKUP(Table73[[#This Row],[Date]],Database!$A:$E,MATCH($B$1,Database!$A$1:$E$1,),))</f>
        <v/>
      </c>
      <c r="C2636">
        <f>IF(VLOOKUP(Table73[[#This Row],[Date]],Database!$A:$C,MATCH($C$1,Database!$A$1:$C$1,),)=0,#N/A,VLOOKUP(Table73[[#This Row],[Date]],Database!$A:$C,MATCH($C$1,Database!$A$1:$C$1,),))</f>
        <v/>
      </c>
      <c r="D2636">
        <f>IFERROR(Table73[[#This Row],[United States 10y]]-Table73[[#This Row],[United States 2y]],#N/A)</f>
        <v/>
      </c>
    </row>
    <row r="2637">
      <c r="A2637" s="6">
        <f>Database!A2636</f>
        <v/>
      </c>
      <c r="B2637">
        <f>IF(VLOOKUP(Table73[[#This Row],[Date]],Database!$A:$E,MATCH($B$1,Database!$A$1:$E$1,),)=0,#N/A,VLOOKUP(Table73[[#This Row],[Date]],Database!$A:$E,MATCH($B$1,Database!$A$1:$E$1,),))</f>
        <v/>
      </c>
      <c r="C2637">
        <f>IF(VLOOKUP(Table73[[#This Row],[Date]],Database!$A:$C,MATCH($C$1,Database!$A$1:$C$1,),)=0,#N/A,VLOOKUP(Table73[[#This Row],[Date]],Database!$A:$C,MATCH($C$1,Database!$A$1:$C$1,),))</f>
        <v/>
      </c>
      <c r="D2637">
        <f>IFERROR(Table73[[#This Row],[United States 10y]]-Table73[[#This Row],[United States 2y]],#N/A)</f>
        <v/>
      </c>
    </row>
    <row r="2638">
      <c r="A2638" s="6">
        <f>Database!A2637</f>
        <v/>
      </c>
      <c r="B2638">
        <f>IF(VLOOKUP(Table73[[#This Row],[Date]],Database!$A:$E,MATCH($B$1,Database!$A$1:$E$1,),)=0,#N/A,VLOOKUP(Table73[[#This Row],[Date]],Database!$A:$E,MATCH($B$1,Database!$A$1:$E$1,),))</f>
        <v/>
      </c>
      <c r="C2638">
        <f>IF(VLOOKUP(Table73[[#This Row],[Date]],Database!$A:$C,MATCH($C$1,Database!$A$1:$C$1,),)=0,#N/A,VLOOKUP(Table73[[#This Row],[Date]],Database!$A:$C,MATCH($C$1,Database!$A$1:$C$1,),))</f>
        <v/>
      </c>
      <c r="D2638">
        <f>IFERROR(Table73[[#This Row],[United States 10y]]-Table73[[#This Row],[United States 2y]],#N/A)</f>
        <v/>
      </c>
    </row>
    <row r="2639">
      <c r="A2639" s="6">
        <f>Database!A2638</f>
        <v/>
      </c>
      <c r="B2639">
        <f>IF(VLOOKUP(Table73[[#This Row],[Date]],Database!$A:$E,MATCH($B$1,Database!$A$1:$E$1,),)=0,#N/A,VLOOKUP(Table73[[#This Row],[Date]],Database!$A:$E,MATCH($B$1,Database!$A$1:$E$1,),))</f>
        <v/>
      </c>
      <c r="C2639">
        <f>IF(VLOOKUP(Table73[[#This Row],[Date]],Database!$A:$C,MATCH($C$1,Database!$A$1:$C$1,),)=0,#N/A,VLOOKUP(Table73[[#This Row],[Date]],Database!$A:$C,MATCH($C$1,Database!$A$1:$C$1,),))</f>
        <v/>
      </c>
      <c r="D2639">
        <f>IFERROR(Table73[[#This Row],[United States 10y]]-Table73[[#This Row],[United States 2y]],#N/A)</f>
        <v/>
      </c>
    </row>
    <row r="2640">
      <c r="A2640" s="6">
        <f>Database!A2639</f>
        <v/>
      </c>
      <c r="B2640">
        <f>IF(VLOOKUP(Table73[[#This Row],[Date]],Database!$A:$E,MATCH($B$1,Database!$A$1:$E$1,),)=0,#N/A,VLOOKUP(Table73[[#This Row],[Date]],Database!$A:$E,MATCH($B$1,Database!$A$1:$E$1,),))</f>
        <v/>
      </c>
      <c r="C2640">
        <f>IF(VLOOKUP(Table73[[#This Row],[Date]],Database!$A:$C,MATCH($C$1,Database!$A$1:$C$1,),)=0,#N/A,VLOOKUP(Table73[[#This Row],[Date]],Database!$A:$C,MATCH($C$1,Database!$A$1:$C$1,),))</f>
        <v/>
      </c>
      <c r="D2640">
        <f>IFERROR(Table73[[#This Row],[United States 10y]]-Table73[[#This Row],[United States 2y]],#N/A)</f>
        <v/>
      </c>
    </row>
    <row r="2641">
      <c r="A2641" s="6">
        <f>Database!A2640</f>
        <v/>
      </c>
      <c r="B2641">
        <f>IF(VLOOKUP(Table73[[#This Row],[Date]],Database!$A:$E,MATCH($B$1,Database!$A$1:$E$1,),)=0,#N/A,VLOOKUP(Table73[[#This Row],[Date]],Database!$A:$E,MATCH($B$1,Database!$A$1:$E$1,),))</f>
        <v/>
      </c>
      <c r="C2641">
        <f>IF(VLOOKUP(Table73[[#This Row],[Date]],Database!$A:$C,MATCH($C$1,Database!$A$1:$C$1,),)=0,#N/A,VLOOKUP(Table73[[#This Row],[Date]],Database!$A:$C,MATCH($C$1,Database!$A$1:$C$1,),))</f>
        <v/>
      </c>
      <c r="D2641">
        <f>IFERROR(Table73[[#This Row],[United States 10y]]-Table73[[#This Row],[United States 2y]],#N/A)</f>
        <v/>
      </c>
    </row>
    <row r="2642">
      <c r="A2642" s="6">
        <f>Database!A2641</f>
        <v/>
      </c>
      <c r="B2642">
        <f>IF(VLOOKUP(Table73[[#This Row],[Date]],Database!$A:$E,MATCH($B$1,Database!$A$1:$E$1,),)=0,#N/A,VLOOKUP(Table73[[#This Row],[Date]],Database!$A:$E,MATCH($B$1,Database!$A$1:$E$1,),))</f>
        <v/>
      </c>
      <c r="C2642">
        <f>IF(VLOOKUP(Table73[[#This Row],[Date]],Database!$A:$C,MATCH($C$1,Database!$A$1:$C$1,),)=0,#N/A,VLOOKUP(Table73[[#This Row],[Date]],Database!$A:$C,MATCH($C$1,Database!$A$1:$C$1,),))</f>
        <v/>
      </c>
      <c r="D2642">
        <f>IFERROR(Table73[[#This Row],[United States 10y]]-Table73[[#This Row],[United States 2y]],#N/A)</f>
        <v/>
      </c>
    </row>
    <row r="2643">
      <c r="A2643" s="6">
        <f>Database!A2642</f>
        <v/>
      </c>
      <c r="B2643">
        <f>IF(VLOOKUP(Table73[[#This Row],[Date]],Database!$A:$E,MATCH($B$1,Database!$A$1:$E$1,),)=0,#N/A,VLOOKUP(Table73[[#This Row],[Date]],Database!$A:$E,MATCH($B$1,Database!$A$1:$E$1,),))</f>
        <v/>
      </c>
      <c r="C2643">
        <f>IF(VLOOKUP(Table73[[#This Row],[Date]],Database!$A:$C,MATCH($C$1,Database!$A$1:$C$1,),)=0,#N/A,VLOOKUP(Table73[[#This Row],[Date]],Database!$A:$C,MATCH($C$1,Database!$A$1:$C$1,),))</f>
        <v/>
      </c>
      <c r="D2643">
        <f>IFERROR(Table73[[#This Row],[United States 10y]]-Table73[[#This Row],[United States 2y]],#N/A)</f>
        <v/>
      </c>
    </row>
    <row r="2644">
      <c r="A2644" s="6">
        <f>Database!A2643</f>
        <v/>
      </c>
      <c r="B2644">
        <f>IF(VLOOKUP(Table73[[#This Row],[Date]],Database!$A:$E,MATCH($B$1,Database!$A$1:$E$1,),)=0,#N/A,VLOOKUP(Table73[[#This Row],[Date]],Database!$A:$E,MATCH($B$1,Database!$A$1:$E$1,),))</f>
        <v/>
      </c>
      <c r="C2644">
        <f>IF(VLOOKUP(Table73[[#This Row],[Date]],Database!$A:$C,MATCH($C$1,Database!$A$1:$C$1,),)=0,#N/A,VLOOKUP(Table73[[#This Row],[Date]],Database!$A:$C,MATCH($C$1,Database!$A$1:$C$1,),))</f>
        <v/>
      </c>
      <c r="D2644">
        <f>IFERROR(Table73[[#This Row],[United States 10y]]-Table73[[#This Row],[United States 2y]],#N/A)</f>
        <v/>
      </c>
    </row>
    <row r="2645">
      <c r="A2645" s="6">
        <f>Database!A2644</f>
        <v/>
      </c>
      <c r="B2645">
        <f>IF(VLOOKUP(Table73[[#This Row],[Date]],Database!$A:$E,MATCH($B$1,Database!$A$1:$E$1,),)=0,#N/A,VLOOKUP(Table73[[#This Row],[Date]],Database!$A:$E,MATCH($B$1,Database!$A$1:$E$1,),))</f>
        <v/>
      </c>
      <c r="C2645">
        <f>IF(VLOOKUP(Table73[[#This Row],[Date]],Database!$A:$C,MATCH($C$1,Database!$A$1:$C$1,),)=0,#N/A,VLOOKUP(Table73[[#This Row],[Date]],Database!$A:$C,MATCH($C$1,Database!$A$1:$C$1,),))</f>
        <v/>
      </c>
      <c r="D2645">
        <f>IFERROR(Table73[[#This Row],[United States 10y]]-Table73[[#This Row],[United States 2y]],#N/A)</f>
        <v/>
      </c>
    </row>
    <row r="2646">
      <c r="A2646" s="6">
        <f>Database!A2645</f>
        <v/>
      </c>
      <c r="B2646">
        <f>IF(VLOOKUP(Table73[[#This Row],[Date]],Database!$A:$E,MATCH($B$1,Database!$A$1:$E$1,),)=0,#N/A,VLOOKUP(Table73[[#This Row],[Date]],Database!$A:$E,MATCH($B$1,Database!$A$1:$E$1,),))</f>
        <v/>
      </c>
      <c r="C2646">
        <f>IF(VLOOKUP(Table73[[#This Row],[Date]],Database!$A:$C,MATCH($C$1,Database!$A$1:$C$1,),)=0,#N/A,VLOOKUP(Table73[[#This Row],[Date]],Database!$A:$C,MATCH($C$1,Database!$A$1:$C$1,),))</f>
        <v/>
      </c>
      <c r="D2646">
        <f>IFERROR(Table73[[#This Row],[United States 10y]]-Table73[[#This Row],[United States 2y]],#N/A)</f>
        <v/>
      </c>
    </row>
    <row r="2647">
      <c r="A2647" s="6">
        <f>Database!A2646</f>
        <v/>
      </c>
      <c r="B2647">
        <f>IF(VLOOKUP(Table73[[#This Row],[Date]],Database!$A:$E,MATCH($B$1,Database!$A$1:$E$1,),)=0,#N/A,VLOOKUP(Table73[[#This Row],[Date]],Database!$A:$E,MATCH($B$1,Database!$A$1:$E$1,),))</f>
        <v/>
      </c>
      <c r="C2647">
        <f>IF(VLOOKUP(Table73[[#This Row],[Date]],Database!$A:$C,MATCH($C$1,Database!$A$1:$C$1,),)=0,#N/A,VLOOKUP(Table73[[#This Row],[Date]],Database!$A:$C,MATCH($C$1,Database!$A$1:$C$1,),))</f>
        <v/>
      </c>
      <c r="D2647">
        <f>IFERROR(Table73[[#This Row],[United States 10y]]-Table73[[#This Row],[United States 2y]],#N/A)</f>
        <v/>
      </c>
    </row>
    <row r="2648">
      <c r="A2648" s="6">
        <f>Database!A2647</f>
        <v/>
      </c>
      <c r="B2648">
        <f>IF(VLOOKUP(Table73[[#This Row],[Date]],Database!$A:$E,MATCH($B$1,Database!$A$1:$E$1,),)=0,#N/A,VLOOKUP(Table73[[#This Row],[Date]],Database!$A:$E,MATCH($B$1,Database!$A$1:$E$1,),))</f>
        <v/>
      </c>
      <c r="C2648">
        <f>IF(VLOOKUP(Table73[[#This Row],[Date]],Database!$A:$C,MATCH($C$1,Database!$A$1:$C$1,),)=0,#N/A,VLOOKUP(Table73[[#This Row],[Date]],Database!$A:$C,MATCH($C$1,Database!$A$1:$C$1,),))</f>
        <v/>
      </c>
      <c r="D2648">
        <f>IFERROR(Table73[[#This Row],[United States 10y]]-Table73[[#This Row],[United States 2y]],#N/A)</f>
        <v/>
      </c>
    </row>
    <row r="2649">
      <c r="A2649" s="6">
        <f>Database!A2648</f>
        <v/>
      </c>
      <c r="B2649">
        <f>IF(VLOOKUP(Table73[[#This Row],[Date]],Database!$A:$E,MATCH($B$1,Database!$A$1:$E$1,),)=0,#N/A,VLOOKUP(Table73[[#This Row],[Date]],Database!$A:$E,MATCH($B$1,Database!$A$1:$E$1,),))</f>
        <v/>
      </c>
      <c r="C2649">
        <f>IF(VLOOKUP(Table73[[#This Row],[Date]],Database!$A:$C,MATCH($C$1,Database!$A$1:$C$1,),)=0,#N/A,VLOOKUP(Table73[[#This Row],[Date]],Database!$A:$C,MATCH($C$1,Database!$A$1:$C$1,),))</f>
        <v/>
      </c>
      <c r="D2649">
        <f>IFERROR(Table73[[#This Row],[United States 10y]]-Table73[[#This Row],[United States 2y]],#N/A)</f>
        <v/>
      </c>
    </row>
    <row r="2650">
      <c r="A2650" s="6">
        <f>Database!A2649</f>
        <v/>
      </c>
      <c r="B2650">
        <f>IF(VLOOKUP(Table73[[#This Row],[Date]],Database!$A:$E,MATCH($B$1,Database!$A$1:$E$1,),)=0,#N/A,VLOOKUP(Table73[[#This Row],[Date]],Database!$A:$E,MATCH($B$1,Database!$A$1:$E$1,),))</f>
        <v/>
      </c>
      <c r="C2650">
        <f>IF(VLOOKUP(Table73[[#This Row],[Date]],Database!$A:$C,MATCH($C$1,Database!$A$1:$C$1,),)=0,#N/A,VLOOKUP(Table73[[#This Row],[Date]],Database!$A:$C,MATCH($C$1,Database!$A$1:$C$1,),))</f>
        <v/>
      </c>
      <c r="D2650">
        <f>IFERROR(Table73[[#This Row],[United States 10y]]-Table73[[#This Row],[United States 2y]],#N/A)</f>
        <v/>
      </c>
    </row>
    <row r="2651">
      <c r="A2651" s="6">
        <f>Database!A2650</f>
        <v/>
      </c>
      <c r="B2651">
        <f>IF(VLOOKUP(Table73[[#This Row],[Date]],Database!$A:$E,MATCH($B$1,Database!$A$1:$E$1,),)=0,#N/A,VLOOKUP(Table73[[#This Row],[Date]],Database!$A:$E,MATCH($B$1,Database!$A$1:$E$1,),))</f>
        <v/>
      </c>
      <c r="C2651">
        <f>IF(VLOOKUP(Table73[[#This Row],[Date]],Database!$A:$C,MATCH($C$1,Database!$A$1:$C$1,),)=0,#N/A,VLOOKUP(Table73[[#This Row],[Date]],Database!$A:$C,MATCH($C$1,Database!$A$1:$C$1,),))</f>
        <v/>
      </c>
      <c r="D2651">
        <f>IFERROR(Table73[[#This Row],[United States 10y]]-Table73[[#This Row],[United States 2y]],#N/A)</f>
        <v/>
      </c>
    </row>
    <row r="2652">
      <c r="A2652" s="6">
        <f>Database!A2651</f>
        <v/>
      </c>
      <c r="B2652">
        <f>IF(VLOOKUP(Table73[[#This Row],[Date]],Database!$A:$E,MATCH($B$1,Database!$A$1:$E$1,),)=0,#N/A,VLOOKUP(Table73[[#This Row],[Date]],Database!$A:$E,MATCH($B$1,Database!$A$1:$E$1,),))</f>
        <v/>
      </c>
      <c r="C2652">
        <f>IF(VLOOKUP(Table73[[#This Row],[Date]],Database!$A:$C,MATCH($C$1,Database!$A$1:$C$1,),)=0,#N/A,VLOOKUP(Table73[[#This Row],[Date]],Database!$A:$C,MATCH($C$1,Database!$A$1:$C$1,),))</f>
        <v/>
      </c>
      <c r="D2652">
        <f>IFERROR(Table73[[#This Row],[United States 10y]]-Table73[[#This Row],[United States 2y]],#N/A)</f>
        <v/>
      </c>
    </row>
    <row r="2653">
      <c r="A2653" s="6">
        <f>Database!A2652</f>
        <v/>
      </c>
      <c r="B2653">
        <f>IF(VLOOKUP(Table73[[#This Row],[Date]],Database!$A:$E,MATCH($B$1,Database!$A$1:$E$1,),)=0,#N/A,VLOOKUP(Table73[[#This Row],[Date]],Database!$A:$E,MATCH($B$1,Database!$A$1:$E$1,),))</f>
        <v/>
      </c>
      <c r="C2653">
        <f>IF(VLOOKUP(Table73[[#This Row],[Date]],Database!$A:$C,MATCH($C$1,Database!$A$1:$C$1,),)=0,#N/A,VLOOKUP(Table73[[#This Row],[Date]],Database!$A:$C,MATCH($C$1,Database!$A$1:$C$1,),))</f>
        <v/>
      </c>
      <c r="D2653">
        <f>IFERROR(Table73[[#This Row],[United States 10y]]-Table73[[#This Row],[United States 2y]],#N/A)</f>
        <v/>
      </c>
    </row>
    <row r="2654">
      <c r="A2654" s="6">
        <f>Database!A2653</f>
        <v/>
      </c>
      <c r="B2654">
        <f>IF(VLOOKUP(Table73[[#This Row],[Date]],Database!$A:$E,MATCH($B$1,Database!$A$1:$E$1,),)=0,#N/A,VLOOKUP(Table73[[#This Row],[Date]],Database!$A:$E,MATCH($B$1,Database!$A$1:$E$1,),))</f>
        <v/>
      </c>
      <c r="C2654">
        <f>IF(VLOOKUP(Table73[[#This Row],[Date]],Database!$A:$C,MATCH($C$1,Database!$A$1:$C$1,),)=0,#N/A,VLOOKUP(Table73[[#This Row],[Date]],Database!$A:$C,MATCH($C$1,Database!$A$1:$C$1,),))</f>
        <v/>
      </c>
      <c r="D2654">
        <f>IFERROR(Table73[[#This Row],[United States 10y]]-Table73[[#This Row],[United States 2y]],#N/A)</f>
        <v/>
      </c>
    </row>
    <row r="2655">
      <c r="A2655" s="6">
        <f>Database!A2654</f>
        <v/>
      </c>
      <c r="B2655">
        <f>IF(VLOOKUP(Table73[[#This Row],[Date]],Database!$A:$E,MATCH($B$1,Database!$A$1:$E$1,),)=0,#N/A,VLOOKUP(Table73[[#This Row],[Date]],Database!$A:$E,MATCH($B$1,Database!$A$1:$E$1,),))</f>
        <v/>
      </c>
      <c r="C2655">
        <f>IF(VLOOKUP(Table73[[#This Row],[Date]],Database!$A:$C,MATCH($C$1,Database!$A$1:$C$1,),)=0,#N/A,VLOOKUP(Table73[[#This Row],[Date]],Database!$A:$C,MATCH($C$1,Database!$A$1:$C$1,),))</f>
        <v/>
      </c>
      <c r="D2655">
        <f>IFERROR(Table73[[#This Row],[United States 10y]]-Table73[[#This Row],[United States 2y]],#N/A)</f>
        <v/>
      </c>
    </row>
    <row r="2656">
      <c r="A2656" s="6">
        <f>Database!A2655</f>
        <v/>
      </c>
      <c r="B2656">
        <f>IF(VLOOKUP(Table73[[#This Row],[Date]],Database!$A:$E,MATCH($B$1,Database!$A$1:$E$1,),)=0,#N/A,VLOOKUP(Table73[[#This Row],[Date]],Database!$A:$E,MATCH($B$1,Database!$A$1:$E$1,),))</f>
        <v/>
      </c>
      <c r="C2656">
        <f>IF(VLOOKUP(Table73[[#This Row],[Date]],Database!$A:$C,MATCH($C$1,Database!$A$1:$C$1,),)=0,#N/A,VLOOKUP(Table73[[#This Row],[Date]],Database!$A:$C,MATCH($C$1,Database!$A$1:$C$1,),))</f>
        <v/>
      </c>
      <c r="D2656">
        <f>IFERROR(Table73[[#This Row],[United States 10y]]-Table73[[#This Row],[United States 2y]],#N/A)</f>
        <v/>
      </c>
    </row>
    <row r="2657">
      <c r="A2657" s="6">
        <f>Database!A2656</f>
        <v/>
      </c>
      <c r="B2657">
        <f>IF(VLOOKUP(Table73[[#This Row],[Date]],Database!$A:$E,MATCH($B$1,Database!$A$1:$E$1,),)=0,#N/A,VLOOKUP(Table73[[#This Row],[Date]],Database!$A:$E,MATCH($B$1,Database!$A$1:$E$1,),))</f>
        <v/>
      </c>
      <c r="C2657">
        <f>IF(VLOOKUP(Table73[[#This Row],[Date]],Database!$A:$C,MATCH($C$1,Database!$A$1:$C$1,),)=0,#N/A,VLOOKUP(Table73[[#This Row],[Date]],Database!$A:$C,MATCH($C$1,Database!$A$1:$C$1,),))</f>
        <v/>
      </c>
      <c r="D2657">
        <f>IFERROR(Table73[[#This Row],[United States 10y]]-Table73[[#This Row],[United States 2y]],#N/A)</f>
        <v/>
      </c>
    </row>
    <row r="2658">
      <c r="A2658" s="6">
        <f>Database!A2657</f>
        <v/>
      </c>
      <c r="B2658">
        <f>IF(VLOOKUP(Table73[[#This Row],[Date]],Database!$A:$E,MATCH($B$1,Database!$A$1:$E$1,),)=0,#N/A,VLOOKUP(Table73[[#This Row],[Date]],Database!$A:$E,MATCH($B$1,Database!$A$1:$E$1,),))</f>
        <v/>
      </c>
      <c r="C2658">
        <f>IF(VLOOKUP(Table73[[#This Row],[Date]],Database!$A:$C,MATCH($C$1,Database!$A$1:$C$1,),)=0,#N/A,VLOOKUP(Table73[[#This Row],[Date]],Database!$A:$C,MATCH($C$1,Database!$A$1:$C$1,),))</f>
        <v/>
      </c>
      <c r="D2658">
        <f>IFERROR(Table73[[#This Row],[United States 10y]]-Table73[[#This Row],[United States 2y]],#N/A)</f>
        <v/>
      </c>
    </row>
    <row r="2659">
      <c r="A2659" s="6">
        <f>Database!A2658</f>
        <v/>
      </c>
      <c r="B2659">
        <f>IF(VLOOKUP(Table73[[#This Row],[Date]],Database!$A:$E,MATCH($B$1,Database!$A$1:$E$1,),)=0,#N/A,VLOOKUP(Table73[[#This Row],[Date]],Database!$A:$E,MATCH($B$1,Database!$A$1:$E$1,),))</f>
        <v/>
      </c>
      <c r="C2659">
        <f>IF(VLOOKUP(Table73[[#This Row],[Date]],Database!$A:$C,MATCH($C$1,Database!$A$1:$C$1,),)=0,#N/A,VLOOKUP(Table73[[#This Row],[Date]],Database!$A:$C,MATCH($C$1,Database!$A$1:$C$1,),))</f>
        <v/>
      </c>
      <c r="D2659">
        <f>IFERROR(Table73[[#This Row],[United States 10y]]-Table73[[#This Row],[United States 2y]],#N/A)</f>
        <v/>
      </c>
    </row>
    <row r="2660">
      <c r="A2660" s="6">
        <f>Database!A2659</f>
        <v/>
      </c>
      <c r="B2660">
        <f>IF(VLOOKUP(Table73[[#This Row],[Date]],Database!$A:$E,MATCH($B$1,Database!$A$1:$E$1,),)=0,#N/A,VLOOKUP(Table73[[#This Row],[Date]],Database!$A:$E,MATCH($B$1,Database!$A$1:$E$1,),))</f>
        <v/>
      </c>
      <c r="C2660">
        <f>IF(VLOOKUP(Table73[[#This Row],[Date]],Database!$A:$C,MATCH($C$1,Database!$A$1:$C$1,),)=0,#N/A,VLOOKUP(Table73[[#This Row],[Date]],Database!$A:$C,MATCH($C$1,Database!$A$1:$C$1,),))</f>
        <v/>
      </c>
      <c r="D2660">
        <f>IFERROR(Table73[[#This Row],[United States 10y]]-Table73[[#This Row],[United States 2y]],#N/A)</f>
        <v/>
      </c>
    </row>
    <row r="2661">
      <c r="A2661" s="6">
        <f>Database!A2660</f>
        <v/>
      </c>
      <c r="B2661">
        <f>IF(VLOOKUP(Table73[[#This Row],[Date]],Database!$A:$E,MATCH($B$1,Database!$A$1:$E$1,),)=0,#N/A,VLOOKUP(Table73[[#This Row],[Date]],Database!$A:$E,MATCH($B$1,Database!$A$1:$E$1,),))</f>
        <v/>
      </c>
      <c r="C2661">
        <f>IF(VLOOKUP(Table73[[#This Row],[Date]],Database!$A:$C,MATCH($C$1,Database!$A$1:$C$1,),)=0,#N/A,VLOOKUP(Table73[[#This Row],[Date]],Database!$A:$C,MATCH($C$1,Database!$A$1:$C$1,),))</f>
        <v/>
      </c>
      <c r="D2661">
        <f>IFERROR(Table73[[#This Row],[United States 10y]]-Table73[[#This Row],[United States 2y]],#N/A)</f>
        <v/>
      </c>
    </row>
    <row r="2662">
      <c r="A2662" s="6">
        <f>Database!A2661</f>
        <v/>
      </c>
      <c r="B2662">
        <f>IF(VLOOKUP(Table73[[#This Row],[Date]],Database!$A:$E,MATCH($B$1,Database!$A$1:$E$1,),)=0,#N/A,VLOOKUP(Table73[[#This Row],[Date]],Database!$A:$E,MATCH($B$1,Database!$A$1:$E$1,),))</f>
        <v/>
      </c>
      <c r="C2662">
        <f>IF(VLOOKUP(Table73[[#This Row],[Date]],Database!$A:$C,MATCH($C$1,Database!$A$1:$C$1,),)=0,#N/A,VLOOKUP(Table73[[#This Row],[Date]],Database!$A:$C,MATCH($C$1,Database!$A$1:$C$1,),))</f>
        <v/>
      </c>
      <c r="D2662">
        <f>IFERROR(Table73[[#This Row],[United States 10y]]-Table73[[#This Row],[United States 2y]],#N/A)</f>
        <v/>
      </c>
    </row>
    <row r="2663">
      <c r="A2663" s="6">
        <f>Database!A2662</f>
        <v/>
      </c>
      <c r="B2663">
        <f>IF(VLOOKUP(Table73[[#This Row],[Date]],Database!$A:$E,MATCH($B$1,Database!$A$1:$E$1,),)=0,#N/A,VLOOKUP(Table73[[#This Row],[Date]],Database!$A:$E,MATCH($B$1,Database!$A$1:$E$1,),))</f>
        <v/>
      </c>
      <c r="C2663">
        <f>IF(VLOOKUP(Table73[[#This Row],[Date]],Database!$A:$C,MATCH($C$1,Database!$A$1:$C$1,),)=0,#N/A,VLOOKUP(Table73[[#This Row],[Date]],Database!$A:$C,MATCH($C$1,Database!$A$1:$C$1,),))</f>
        <v/>
      </c>
      <c r="D2663">
        <f>IFERROR(Table73[[#This Row],[United States 10y]]-Table73[[#This Row],[United States 2y]],#N/A)</f>
        <v/>
      </c>
    </row>
    <row r="2664">
      <c r="A2664" s="6">
        <f>Database!A2663</f>
        <v/>
      </c>
      <c r="B2664">
        <f>IF(VLOOKUP(Table73[[#This Row],[Date]],Database!$A:$E,MATCH($B$1,Database!$A$1:$E$1,),)=0,#N/A,VLOOKUP(Table73[[#This Row],[Date]],Database!$A:$E,MATCH($B$1,Database!$A$1:$E$1,),))</f>
        <v/>
      </c>
      <c r="C2664">
        <f>IF(VLOOKUP(Table73[[#This Row],[Date]],Database!$A:$C,MATCH($C$1,Database!$A$1:$C$1,),)=0,#N/A,VLOOKUP(Table73[[#This Row],[Date]],Database!$A:$C,MATCH($C$1,Database!$A$1:$C$1,),))</f>
        <v/>
      </c>
      <c r="D2664">
        <f>IFERROR(Table73[[#This Row],[United States 10y]]-Table73[[#This Row],[United States 2y]],#N/A)</f>
        <v/>
      </c>
    </row>
    <row r="2665">
      <c r="A2665" s="6">
        <f>Database!A2664</f>
        <v/>
      </c>
      <c r="B2665">
        <f>IF(VLOOKUP(Table73[[#This Row],[Date]],Database!$A:$E,MATCH($B$1,Database!$A$1:$E$1,),)=0,#N/A,VLOOKUP(Table73[[#This Row],[Date]],Database!$A:$E,MATCH($B$1,Database!$A$1:$E$1,),))</f>
        <v/>
      </c>
      <c r="C2665">
        <f>IF(VLOOKUP(Table73[[#This Row],[Date]],Database!$A:$C,MATCH($C$1,Database!$A$1:$C$1,),)=0,#N/A,VLOOKUP(Table73[[#This Row],[Date]],Database!$A:$C,MATCH($C$1,Database!$A$1:$C$1,),))</f>
        <v/>
      </c>
      <c r="D2665">
        <f>IFERROR(Table73[[#This Row],[United States 10y]]-Table73[[#This Row],[United States 2y]],#N/A)</f>
        <v/>
      </c>
    </row>
    <row r="2666">
      <c r="A2666" s="6">
        <f>Database!A2665</f>
        <v/>
      </c>
      <c r="B2666">
        <f>IF(VLOOKUP(Table73[[#This Row],[Date]],Database!$A:$E,MATCH($B$1,Database!$A$1:$E$1,),)=0,#N/A,VLOOKUP(Table73[[#This Row],[Date]],Database!$A:$E,MATCH($B$1,Database!$A$1:$E$1,),))</f>
        <v/>
      </c>
      <c r="C2666">
        <f>IF(VLOOKUP(Table73[[#This Row],[Date]],Database!$A:$C,MATCH($C$1,Database!$A$1:$C$1,),)=0,#N/A,VLOOKUP(Table73[[#This Row],[Date]],Database!$A:$C,MATCH($C$1,Database!$A$1:$C$1,),))</f>
        <v/>
      </c>
      <c r="D2666">
        <f>IFERROR(Table73[[#This Row],[United States 10y]]-Table73[[#This Row],[United States 2y]],#N/A)</f>
        <v/>
      </c>
    </row>
    <row r="2667">
      <c r="A2667" s="6">
        <f>Database!A2666</f>
        <v/>
      </c>
      <c r="B2667">
        <f>IF(VLOOKUP(Table73[[#This Row],[Date]],Database!$A:$E,MATCH($B$1,Database!$A$1:$E$1,),)=0,#N/A,VLOOKUP(Table73[[#This Row],[Date]],Database!$A:$E,MATCH($B$1,Database!$A$1:$E$1,),))</f>
        <v/>
      </c>
      <c r="C2667">
        <f>IF(VLOOKUP(Table73[[#This Row],[Date]],Database!$A:$C,MATCH($C$1,Database!$A$1:$C$1,),)=0,#N/A,VLOOKUP(Table73[[#This Row],[Date]],Database!$A:$C,MATCH($C$1,Database!$A$1:$C$1,),))</f>
        <v/>
      </c>
      <c r="D2667">
        <f>IFERROR(Table73[[#This Row],[United States 10y]]-Table73[[#This Row],[United States 2y]],#N/A)</f>
        <v/>
      </c>
    </row>
    <row r="2668">
      <c r="A2668" s="6">
        <f>Database!A2667</f>
        <v/>
      </c>
      <c r="B2668">
        <f>IF(VLOOKUP(Table73[[#This Row],[Date]],Database!$A:$E,MATCH($B$1,Database!$A$1:$E$1,),)=0,#N/A,VLOOKUP(Table73[[#This Row],[Date]],Database!$A:$E,MATCH($B$1,Database!$A$1:$E$1,),))</f>
        <v/>
      </c>
      <c r="C2668">
        <f>IF(VLOOKUP(Table73[[#This Row],[Date]],Database!$A:$C,MATCH($C$1,Database!$A$1:$C$1,),)=0,#N/A,VLOOKUP(Table73[[#This Row],[Date]],Database!$A:$C,MATCH($C$1,Database!$A$1:$C$1,),))</f>
        <v/>
      </c>
      <c r="D2668">
        <f>IFERROR(Table73[[#This Row],[United States 10y]]-Table73[[#This Row],[United States 2y]],#N/A)</f>
        <v/>
      </c>
    </row>
    <row r="2669">
      <c r="A2669" s="6">
        <f>Database!A2668</f>
        <v/>
      </c>
      <c r="B2669">
        <f>IF(VLOOKUP(Table73[[#This Row],[Date]],Database!$A:$E,MATCH($B$1,Database!$A$1:$E$1,),)=0,#N/A,VLOOKUP(Table73[[#This Row],[Date]],Database!$A:$E,MATCH($B$1,Database!$A$1:$E$1,),))</f>
        <v/>
      </c>
      <c r="C2669">
        <f>IF(VLOOKUP(Table73[[#This Row],[Date]],Database!$A:$C,MATCH($C$1,Database!$A$1:$C$1,),)=0,#N/A,VLOOKUP(Table73[[#This Row],[Date]],Database!$A:$C,MATCH($C$1,Database!$A$1:$C$1,),))</f>
        <v/>
      </c>
      <c r="D2669">
        <f>IFERROR(Table73[[#This Row],[United States 10y]]-Table73[[#This Row],[United States 2y]],#N/A)</f>
        <v/>
      </c>
    </row>
    <row r="2670">
      <c r="A2670" s="6">
        <f>Database!A2669</f>
        <v/>
      </c>
      <c r="B2670">
        <f>IF(VLOOKUP(Table73[[#This Row],[Date]],Database!$A:$E,MATCH($B$1,Database!$A$1:$E$1,),)=0,#N/A,VLOOKUP(Table73[[#This Row],[Date]],Database!$A:$E,MATCH($B$1,Database!$A$1:$E$1,),))</f>
        <v/>
      </c>
      <c r="C2670">
        <f>IF(VLOOKUP(Table73[[#This Row],[Date]],Database!$A:$C,MATCH($C$1,Database!$A$1:$C$1,),)=0,#N/A,VLOOKUP(Table73[[#This Row],[Date]],Database!$A:$C,MATCH($C$1,Database!$A$1:$C$1,),))</f>
        <v/>
      </c>
      <c r="D2670">
        <f>IFERROR(Table73[[#This Row],[United States 10y]]-Table73[[#This Row],[United States 2y]],#N/A)</f>
        <v/>
      </c>
    </row>
    <row r="2671">
      <c r="A2671" s="6">
        <f>Database!A2670</f>
        <v/>
      </c>
      <c r="B2671">
        <f>IF(VLOOKUP(Table73[[#This Row],[Date]],Database!$A:$E,MATCH($B$1,Database!$A$1:$E$1,),)=0,#N/A,VLOOKUP(Table73[[#This Row],[Date]],Database!$A:$E,MATCH($B$1,Database!$A$1:$E$1,),))</f>
        <v/>
      </c>
      <c r="C2671">
        <f>IF(VLOOKUP(Table73[[#This Row],[Date]],Database!$A:$C,MATCH($C$1,Database!$A$1:$C$1,),)=0,#N/A,VLOOKUP(Table73[[#This Row],[Date]],Database!$A:$C,MATCH($C$1,Database!$A$1:$C$1,),))</f>
        <v/>
      </c>
      <c r="D2671">
        <f>IFERROR(Table73[[#This Row],[United States 10y]]-Table73[[#This Row],[United States 2y]],#N/A)</f>
        <v/>
      </c>
    </row>
    <row r="2672">
      <c r="A2672" s="6">
        <f>Database!A2671</f>
        <v/>
      </c>
      <c r="B2672">
        <f>IF(VLOOKUP(Table73[[#This Row],[Date]],Database!$A:$E,MATCH($B$1,Database!$A$1:$E$1,),)=0,#N/A,VLOOKUP(Table73[[#This Row],[Date]],Database!$A:$E,MATCH($B$1,Database!$A$1:$E$1,),))</f>
        <v/>
      </c>
      <c r="C2672">
        <f>IF(VLOOKUP(Table73[[#This Row],[Date]],Database!$A:$C,MATCH($C$1,Database!$A$1:$C$1,),)=0,#N/A,VLOOKUP(Table73[[#This Row],[Date]],Database!$A:$C,MATCH($C$1,Database!$A$1:$C$1,),))</f>
        <v/>
      </c>
      <c r="D2672">
        <f>IFERROR(Table73[[#This Row],[United States 10y]]-Table73[[#This Row],[United States 2y]],#N/A)</f>
        <v/>
      </c>
    </row>
    <row r="2673">
      <c r="A2673" s="6">
        <f>Database!A2672</f>
        <v/>
      </c>
      <c r="B2673">
        <f>IF(VLOOKUP(Table73[[#This Row],[Date]],Database!$A:$E,MATCH($B$1,Database!$A$1:$E$1,),)=0,#N/A,VLOOKUP(Table73[[#This Row],[Date]],Database!$A:$E,MATCH($B$1,Database!$A$1:$E$1,),))</f>
        <v/>
      </c>
      <c r="C2673">
        <f>IF(VLOOKUP(Table73[[#This Row],[Date]],Database!$A:$C,MATCH($C$1,Database!$A$1:$C$1,),)=0,#N/A,VLOOKUP(Table73[[#This Row],[Date]],Database!$A:$C,MATCH($C$1,Database!$A$1:$C$1,),))</f>
        <v/>
      </c>
      <c r="D2673">
        <f>IFERROR(Table73[[#This Row],[United States 10y]]-Table73[[#This Row],[United States 2y]],#N/A)</f>
        <v/>
      </c>
    </row>
    <row r="2674">
      <c r="A2674" s="6">
        <f>Database!A2673</f>
        <v/>
      </c>
      <c r="B2674">
        <f>IF(VLOOKUP(Table73[[#This Row],[Date]],Database!$A:$E,MATCH($B$1,Database!$A$1:$E$1,),)=0,#N/A,VLOOKUP(Table73[[#This Row],[Date]],Database!$A:$E,MATCH($B$1,Database!$A$1:$E$1,),))</f>
        <v/>
      </c>
      <c r="C2674">
        <f>IF(VLOOKUP(Table73[[#This Row],[Date]],Database!$A:$C,MATCH($C$1,Database!$A$1:$C$1,),)=0,#N/A,VLOOKUP(Table73[[#This Row],[Date]],Database!$A:$C,MATCH($C$1,Database!$A$1:$C$1,),))</f>
        <v/>
      </c>
      <c r="D2674">
        <f>IFERROR(Table73[[#This Row],[United States 10y]]-Table73[[#This Row],[United States 2y]],#N/A)</f>
        <v/>
      </c>
    </row>
    <row r="2675">
      <c r="A2675" s="6">
        <f>Database!A2674</f>
        <v/>
      </c>
      <c r="B2675">
        <f>IF(VLOOKUP(Table73[[#This Row],[Date]],Database!$A:$E,MATCH($B$1,Database!$A$1:$E$1,),)=0,#N/A,VLOOKUP(Table73[[#This Row],[Date]],Database!$A:$E,MATCH($B$1,Database!$A$1:$E$1,),))</f>
        <v/>
      </c>
      <c r="C2675">
        <f>IF(VLOOKUP(Table73[[#This Row],[Date]],Database!$A:$C,MATCH($C$1,Database!$A$1:$C$1,),)=0,#N/A,VLOOKUP(Table73[[#This Row],[Date]],Database!$A:$C,MATCH($C$1,Database!$A$1:$C$1,),))</f>
        <v/>
      </c>
      <c r="D2675">
        <f>IFERROR(Table73[[#This Row],[United States 10y]]-Table73[[#This Row],[United States 2y]],#N/A)</f>
        <v/>
      </c>
    </row>
    <row r="2676">
      <c r="A2676" s="6">
        <f>Database!A2675</f>
        <v/>
      </c>
      <c r="B2676">
        <f>IF(VLOOKUP(Table73[[#This Row],[Date]],Database!$A:$E,MATCH($B$1,Database!$A$1:$E$1,),)=0,#N/A,VLOOKUP(Table73[[#This Row],[Date]],Database!$A:$E,MATCH($B$1,Database!$A$1:$E$1,),))</f>
        <v/>
      </c>
      <c r="C2676">
        <f>IF(VLOOKUP(Table73[[#This Row],[Date]],Database!$A:$C,MATCH($C$1,Database!$A$1:$C$1,),)=0,#N/A,VLOOKUP(Table73[[#This Row],[Date]],Database!$A:$C,MATCH($C$1,Database!$A$1:$C$1,),))</f>
        <v/>
      </c>
      <c r="D2676">
        <f>IFERROR(Table73[[#This Row],[United States 10y]]-Table73[[#This Row],[United States 2y]],#N/A)</f>
        <v/>
      </c>
    </row>
    <row r="2677">
      <c r="A2677" s="6">
        <f>Database!A2676</f>
        <v/>
      </c>
      <c r="B2677">
        <f>IF(VLOOKUP(Table73[[#This Row],[Date]],Database!$A:$E,MATCH($B$1,Database!$A$1:$E$1,),)=0,#N/A,VLOOKUP(Table73[[#This Row],[Date]],Database!$A:$E,MATCH($B$1,Database!$A$1:$E$1,),))</f>
        <v/>
      </c>
      <c r="C2677">
        <f>IF(VLOOKUP(Table73[[#This Row],[Date]],Database!$A:$C,MATCH($C$1,Database!$A$1:$C$1,),)=0,#N/A,VLOOKUP(Table73[[#This Row],[Date]],Database!$A:$C,MATCH($C$1,Database!$A$1:$C$1,),))</f>
        <v/>
      </c>
      <c r="D2677">
        <f>IFERROR(Table73[[#This Row],[United States 10y]]-Table73[[#This Row],[United States 2y]],#N/A)</f>
        <v/>
      </c>
    </row>
    <row r="2678">
      <c r="A2678" s="6">
        <f>Database!A2677</f>
        <v/>
      </c>
      <c r="B2678">
        <f>IF(VLOOKUP(Table73[[#This Row],[Date]],Database!$A:$E,MATCH($B$1,Database!$A$1:$E$1,),)=0,#N/A,VLOOKUP(Table73[[#This Row],[Date]],Database!$A:$E,MATCH($B$1,Database!$A$1:$E$1,),))</f>
        <v/>
      </c>
      <c r="C2678">
        <f>IF(VLOOKUP(Table73[[#This Row],[Date]],Database!$A:$C,MATCH($C$1,Database!$A$1:$C$1,),)=0,#N/A,VLOOKUP(Table73[[#This Row],[Date]],Database!$A:$C,MATCH($C$1,Database!$A$1:$C$1,),))</f>
        <v/>
      </c>
      <c r="D2678">
        <f>IFERROR(Table73[[#This Row],[United States 10y]]-Table73[[#This Row],[United States 2y]],#N/A)</f>
        <v/>
      </c>
    </row>
    <row r="2679">
      <c r="A2679" s="6">
        <f>Database!A2678</f>
        <v/>
      </c>
      <c r="B2679">
        <f>IF(VLOOKUP(Table73[[#This Row],[Date]],Database!$A:$E,MATCH($B$1,Database!$A$1:$E$1,),)=0,#N/A,VLOOKUP(Table73[[#This Row],[Date]],Database!$A:$E,MATCH($B$1,Database!$A$1:$E$1,),))</f>
        <v/>
      </c>
      <c r="C2679">
        <f>IF(VLOOKUP(Table73[[#This Row],[Date]],Database!$A:$C,MATCH($C$1,Database!$A$1:$C$1,),)=0,#N/A,VLOOKUP(Table73[[#This Row],[Date]],Database!$A:$C,MATCH($C$1,Database!$A$1:$C$1,),))</f>
        <v/>
      </c>
      <c r="D2679">
        <f>IFERROR(Table73[[#This Row],[United States 10y]]-Table73[[#This Row],[United States 2y]],#N/A)</f>
        <v/>
      </c>
    </row>
    <row r="2680">
      <c r="A2680" s="6">
        <f>Database!A2679</f>
        <v/>
      </c>
      <c r="B2680">
        <f>IF(VLOOKUP(Table73[[#This Row],[Date]],Database!$A:$E,MATCH($B$1,Database!$A$1:$E$1,),)=0,#N/A,VLOOKUP(Table73[[#This Row],[Date]],Database!$A:$E,MATCH($B$1,Database!$A$1:$E$1,),))</f>
        <v/>
      </c>
      <c r="C2680">
        <f>IF(VLOOKUP(Table73[[#This Row],[Date]],Database!$A:$C,MATCH($C$1,Database!$A$1:$C$1,),)=0,#N/A,VLOOKUP(Table73[[#This Row],[Date]],Database!$A:$C,MATCH($C$1,Database!$A$1:$C$1,),))</f>
        <v/>
      </c>
      <c r="D2680">
        <f>IFERROR(Table73[[#This Row],[United States 10y]]-Table73[[#This Row],[United States 2y]],#N/A)</f>
        <v/>
      </c>
    </row>
    <row r="2681">
      <c r="A2681" s="6">
        <f>Database!A2680</f>
        <v/>
      </c>
      <c r="B2681">
        <f>IF(VLOOKUP(Table73[[#This Row],[Date]],Database!$A:$E,MATCH($B$1,Database!$A$1:$E$1,),)=0,#N/A,VLOOKUP(Table73[[#This Row],[Date]],Database!$A:$E,MATCH($B$1,Database!$A$1:$E$1,),))</f>
        <v/>
      </c>
      <c r="C2681">
        <f>IF(VLOOKUP(Table73[[#This Row],[Date]],Database!$A:$C,MATCH($C$1,Database!$A$1:$C$1,),)=0,#N/A,VLOOKUP(Table73[[#This Row],[Date]],Database!$A:$C,MATCH($C$1,Database!$A$1:$C$1,),))</f>
        <v/>
      </c>
      <c r="D2681">
        <f>IFERROR(Table73[[#This Row],[United States 10y]]-Table73[[#This Row],[United States 2y]],#N/A)</f>
        <v/>
      </c>
    </row>
    <row r="2682">
      <c r="A2682" s="6">
        <f>Database!A2681</f>
        <v/>
      </c>
      <c r="B2682">
        <f>IF(VLOOKUP(Table73[[#This Row],[Date]],Database!$A:$E,MATCH($B$1,Database!$A$1:$E$1,),)=0,#N/A,VLOOKUP(Table73[[#This Row],[Date]],Database!$A:$E,MATCH($B$1,Database!$A$1:$E$1,),))</f>
        <v/>
      </c>
      <c r="C2682">
        <f>IF(VLOOKUP(Table73[[#This Row],[Date]],Database!$A:$C,MATCH($C$1,Database!$A$1:$C$1,),)=0,#N/A,VLOOKUP(Table73[[#This Row],[Date]],Database!$A:$C,MATCH($C$1,Database!$A$1:$C$1,),))</f>
        <v/>
      </c>
      <c r="D2682">
        <f>IFERROR(Table73[[#This Row],[United States 10y]]-Table73[[#This Row],[United States 2y]],#N/A)</f>
        <v/>
      </c>
    </row>
    <row r="2683">
      <c r="A2683" s="6">
        <f>Database!A2682</f>
        <v/>
      </c>
      <c r="B2683">
        <f>IF(VLOOKUP(Table73[[#This Row],[Date]],Database!$A:$E,MATCH($B$1,Database!$A$1:$E$1,),)=0,#N/A,VLOOKUP(Table73[[#This Row],[Date]],Database!$A:$E,MATCH($B$1,Database!$A$1:$E$1,),))</f>
        <v/>
      </c>
      <c r="C2683">
        <f>IF(VLOOKUP(Table73[[#This Row],[Date]],Database!$A:$C,MATCH($C$1,Database!$A$1:$C$1,),)=0,#N/A,VLOOKUP(Table73[[#This Row],[Date]],Database!$A:$C,MATCH($C$1,Database!$A$1:$C$1,),))</f>
        <v/>
      </c>
      <c r="D2683">
        <f>IFERROR(Table73[[#This Row],[United States 10y]]-Table73[[#This Row],[United States 2y]],#N/A)</f>
        <v/>
      </c>
    </row>
    <row r="2684">
      <c r="A2684" s="6">
        <f>Database!A2683</f>
        <v/>
      </c>
      <c r="B2684">
        <f>IF(VLOOKUP(Table73[[#This Row],[Date]],Database!$A:$E,MATCH($B$1,Database!$A$1:$E$1,),)=0,#N/A,VLOOKUP(Table73[[#This Row],[Date]],Database!$A:$E,MATCH($B$1,Database!$A$1:$E$1,),))</f>
        <v/>
      </c>
      <c r="C2684">
        <f>IF(VLOOKUP(Table73[[#This Row],[Date]],Database!$A:$C,MATCH($C$1,Database!$A$1:$C$1,),)=0,#N/A,VLOOKUP(Table73[[#This Row],[Date]],Database!$A:$C,MATCH($C$1,Database!$A$1:$C$1,),))</f>
        <v/>
      </c>
      <c r="D2684">
        <f>IFERROR(Table73[[#This Row],[United States 10y]]-Table73[[#This Row],[United States 2y]],#N/A)</f>
        <v/>
      </c>
    </row>
    <row r="2685">
      <c r="A2685" s="6">
        <f>Database!A2684</f>
        <v/>
      </c>
      <c r="B2685">
        <f>IF(VLOOKUP(Table73[[#This Row],[Date]],Database!$A:$E,MATCH($B$1,Database!$A$1:$E$1,),)=0,#N/A,VLOOKUP(Table73[[#This Row],[Date]],Database!$A:$E,MATCH($B$1,Database!$A$1:$E$1,),))</f>
        <v/>
      </c>
      <c r="C2685">
        <f>IF(VLOOKUP(Table73[[#This Row],[Date]],Database!$A:$C,MATCH($C$1,Database!$A$1:$C$1,),)=0,#N/A,VLOOKUP(Table73[[#This Row],[Date]],Database!$A:$C,MATCH($C$1,Database!$A$1:$C$1,),))</f>
        <v/>
      </c>
      <c r="D2685">
        <f>IFERROR(Table73[[#This Row],[United States 10y]]-Table73[[#This Row],[United States 2y]],#N/A)</f>
        <v/>
      </c>
    </row>
    <row r="2686">
      <c r="A2686" s="6">
        <f>Database!A2685</f>
        <v/>
      </c>
      <c r="B2686">
        <f>IF(VLOOKUP(Table73[[#This Row],[Date]],Database!$A:$E,MATCH($B$1,Database!$A$1:$E$1,),)=0,#N/A,VLOOKUP(Table73[[#This Row],[Date]],Database!$A:$E,MATCH($B$1,Database!$A$1:$E$1,),))</f>
        <v/>
      </c>
      <c r="C2686">
        <f>IF(VLOOKUP(Table73[[#This Row],[Date]],Database!$A:$C,MATCH($C$1,Database!$A$1:$C$1,),)=0,#N/A,VLOOKUP(Table73[[#This Row],[Date]],Database!$A:$C,MATCH($C$1,Database!$A$1:$C$1,),))</f>
        <v/>
      </c>
      <c r="D2686">
        <f>IFERROR(Table73[[#This Row],[United States 10y]]-Table73[[#This Row],[United States 2y]],#N/A)</f>
        <v/>
      </c>
    </row>
    <row r="2687">
      <c r="A2687" s="6">
        <f>Database!A2686</f>
        <v/>
      </c>
      <c r="B2687">
        <f>IF(VLOOKUP(Table73[[#This Row],[Date]],Database!$A:$E,MATCH($B$1,Database!$A$1:$E$1,),)=0,#N/A,VLOOKUP(Table73[[#This Row],[Date]],Database!$A:$E,MATCH($B$1,Database!$A$1:$E$1,),))</f>
        <v/>
      </c>
      <c r="C2687">
        <f>IF(VLOOKUP(Table73[[#This Row],[Date]],Database!$A:$C,MATCH($C$1,Database!$A$1:$C$1,),)=0,#N/A,VLOOKUP(Table73[[#This Row],[Date]],Database!$A:$C,MATCH($C$1,Database!$A$1:$C$1,),))</f>
        <v/>
      </c>
      <c r="D2687">
        <f>IFERROR(Table73[[#This Row],[United States 10y]]-Table73[[#This Row],[United States 2y]],#N/A)</f>
        <v/>
      </c>
    </row>
    <row r="2688">
      <c r="A2688" s="6">
        <f>Database!A2687</f>
        <v/>
      </c>
      <c r="B2688">
        <f>IF(VLOOKUP(Table73[[#This Row],[Date]],Database!$A:$E,MATCH($B$1,Database!$A$1:$E$1,),)=0,#N/A,VLOOKUP(Table73[[#This Row],[Date]],Database!$A:$E,MATCH($B$1,Database!$A$1:$E$1,),))</f>
        <v/>
      </c>
      <c r="C2688">
        <f>IF(VLOOKUP(Table73[[#This Row],[Date]],Database!$A:$C,MATCH($C$1,Database!$A$1:$C$1,),)=0,#N/A,VLOOKUP(Table73[[#This Row],[Date]],Database!$A:$C,MATCH($C$1,Database!$A$1:$C$1,),))</f>
        <v/>
      </c>
      <c r="D2688">
        <f>IFERROR(Table73[[#This Row],[United States 10y]]-Table73[[#This Row],[United States 2y]],#N/A)</f>
        <v/>
      </c>
    </row>
    <row r="2689">
      <c r="A2689" s="6">
        <f>Database!A2688</f>
        <v/>
      </c>
      <c r="B2689">
        <f>IF(VLOOKUP(Table73[[#This Row],[Date]],Database!$A:$E,MATCH($B$1,Database!$A$1:$E$1,),)=0,#N/A,VLOOKUP(Table73[[#This Row],[Date]],Database!$A:$E,MATCH($B$1,Database!$A$1:$E$1,),))</f>
        <v/>
      </c>
      <c r="C2689">
        <f>IF(VLOOKUP(Table73[[#This Row],[Date]],Database!$A:$C,MATCH($C$1,Database!$A$1:$C$1,),)=0,#N/A,VLOOKUP(Table73[[#This Row],[Date]],Database!$A:$C,MATCH($C$1,Database!$A$1:$C$1,),))</f>
        <v/>
      </c>
      <c r="D2689">
        <f>IFERROR(Table73[[#This Row],[United States 10y]]-Table73[[#This Row],[United States 2y]],#N/A)</f>
        <v/>
      </c>
    </row>
    <row r="2690">
      <c r="A2690" s="6">
        <f>Database!A2689</f>
        <v/>
      </c>
      <c r="B2690">
        <f>IF(VLOOKUP(Table73[[#This Row],[Date]],Database!$A:$E,MATCH($B$1,Database!$A$1:$E$1,),)=0,#N/A,VLOOKUP(Table73[[#This Row],[Date]],Database!$A:$E,MATCH($B$1,Database!$A$1:$E$1,),))</f>
        <v/>
      </c>
      <c r="C2690">
        <f>IF(VLOOKUP(Table73[[#This Row],[Date]],Database!$A:$C,MATCH($C$1,Database!$A$1:$C$1,),)=0,#N/A,VLOOKUP(Table73[[#This Row],[Date]],Database!$A:$C,MATCH($C$1,Database!$A$1:$C$1,),))</f>
        <v/>
      </c>
      <c r="D2690">
        <f>IFERROR(Table73[[#This Row],[United States 10y]]-Table73[[#This Row],[United States 2y]],#N/A)</f>
        <v/>
      </c>
    </row>
    <row r="2691">
      <c r="A2691" s="6">
        <f>Database!A2690</f>
        <v/>
      </c>
      <c r="B2691">
        <f>IF(VLOOKUP(Table73[[#This Row],[Date]],Database!$A:$E,MATCH($B$1,Database!$A$1:$E$1,),)=0,#N/A,VLOOKUP(Table73[[#This Row],[Date]],Database!$A:$E,MATCH($B$1,Database!$A$1:$E$1,),))</f>
        <v/>
      </c>
      <c r="C2691">
        <f>IF(VLOOKUP(Table73[[#This Row],[Date]],Database!$A:$C,MATCH($C$1,Database!$A$1:$C$1,),)=0,#N/A,VLOOKUP(Table73[[#This Row],[Date]],Database!$A:$C,MATCH($C$1,Database!$A$1:$C$1,),))</f>
        <v/>
      </c>
      <c r="D2691">
        <f>IFERROR(Table73[[#This Row],[United States 10y]]-Table73[[#This Row],[United States 2y]],#N/A)</f>
        <v/>
      </c>
    </row>
    <row r="2692">
      <c r="A2692" s="6">
        <f>Database!A2691</f>
        <v/>
      </c>
      <c r="B2692">
        <f>IF(VLOOKUP(Table73[[#This Row],[Date]],Database!$A:$E,MATCH($B$1,Database!$A$1:$E$1,),)=0,#N/A,VLOOKUP(Table73[[#This Row],[Date]],Database!$A:$E,MATCH($B$1,Database!$A$1:$E$1,),))</f>
        <v/>
      </c>
      <c r="C2692">
        <f>IF(VLOOKUP(Table73[[#This Row],[Date]],Database!$A:$C,MATCH($C$1,Database!$A$1:$C$1,),)=0,#N/A,VLOOKUP(Table73[[#This Row],[Date]],Database!$A:$C,MATCH($C$1,Database!$A$1:$C$1,),))</f>
        <v/>
      </c>
      <c r="D2692">
        <f>IFERROR(Table73[[#This Row],[United States 10y]]-Table73[[#This Row],[United States 2y]],#N/A)</f>
        <v/>
      </c>
    </row>
    <row r="2693">
      <c r="A2693" s="6">
        <f>Database!A2692</f>
        <v/>
      </c>
      <c r="B2693">
        <f>IF(VLOOKUP(Table73[[#This Row],[Date]],Database!$A:$E,MATCH($B$1,Database!$A$1:$E$1,),)=0,#N/A,VLOOKUP(Table73[[#This Row],[Date]],Database!$A:$E,MATCH($B$1,Database!$A$1:$E$1,),))</f>
        <v/>
      </c>
      <c r="C2693">
        <f>IF(VLOOKUP(Table73[[#This Row],[Date]],Database!$A:$C,MATCH($C$1,Database!$A$1:$C$1,),)=0,#N/A,VLOOKUP(Table73[[#This Row],[Date]],Database!$A:$C,MATCH($C$1,Database!$A$1:$C$1,),))</f>
        <v/>
      </c>
      <c r="D2693">
        <f>IFERROR(Table73[[#This Row],[United States 10y]]-Table73[[#This Row],[United States 2y]],#N/A)</f>
        <v/>
      </c>
    </row>
    <row r="2694">
      <c r="A2694" s="6">
        <f>Database!A2693</f>
        <v/>
      </c>
      <c r="B2694">
        <f>IF(VLOOKUP(Table73[[#This Row],[Date]],Database!$A:$E,MATCH($B$1,Database!$A$1:$E$1,),)=0,#N/A,VLOOKUP(Table73[[#This Row],[Date]],Database!$A:$E,MATCH($B$1,Database!$A$1:$E$1,),))</f>
        <v/>
      </c>
      <c r="C2694">
        <f>IF(VLOOKUP(Table73[[#This Row],[Date]],Database!$A:$C,MATCH($C$1,Database!$A$1:$C$1,),)=0,#N/A,VLOOKUP(Table73[[#This Row],[Date]],Database!$A:$C,MATCH($C$1,Database!$A$1:$C$1,),))</f>
        <v/>
      </c>
      <c r="D2694">
        <f>IFERROR(Table73[[#This Row],[United States 10y]]-Table73[[#This Row],[United States 2y]],#N/A)</f>
        <v/>
      </c>
    </row>
    <row r="2695">
      <c r="A2695" s="6">
        <f>Database!A2694</f>
        <v/>
      </c>
      <c r="B2695">
        <f>IF(VLOOKUP(Table73[[#This Row],[Date]],Database!$A:$E,MATCH($B$1,Database!$A$1:$E$1,),)=0,#N/A,VLOOKUP(Table73[[#This Row],[Date]],Database!$A:$E,MATCH($B$1,Database!$A$1:$E$1,),))</f>
        <v/>
      </c>
      <c r="C2695">
        <f>IF(VLOOKUP(Table73[[#This Row],[Date]],Database!$A:$C,MATCH($C$1,Database!$A$1:$C$1,),)=0,#N/A,VLOOKUP(Table73[[#This Row],[Date]],Database!$A:$C,MATCH($C$1,Database!$A$1:$C$1,),))</f>
        <v/>
      </c>
      <c r="D2695">
        <f>IFERROR(Table73[[#This Row],[United States 10y]]-Table73[[#This Row],[United States 2y]],#N/A)</f>
        <v/>
      </c>
    </row>
    <row r="2696">
      <c r="A2696" s="6">
        <f>Database!A2695</f>
        <v/>
      </c>
      <c r="B2696">
        <f>IF(VLOOKUP(Table73[[#This Row],[Date]],Database!$A:$E,MATCH($B$1,Database!$A$1:$E$1,),)=0,#N/A,VLOOKUP(Table73[[#This Row],[Date]],Database!$A:$E,MATCH($B$1,Database!$A$1:$E$1,),))</f>
        <v/>
      </c>
      <c r="C2696">
        <f>IF(VLOOKUP(Table73[[#This Row],[Date]],Database!$A:$C,MATCH($C$1,Database!$A$1:$C$1,),)=0,#N/A,VLOOKUP(Table73[[#This Row],[Date]],Database!$A:$C,MATCH($C$1,Database!$A$1:$C$1,),))</f>
        <v/>
      </c>
      <c r="D2696">
        <f>IFERROR(Table73[[#This Row],[United States 10y]]-Table73[[#This Row],[United States 2y]],#N/A)</f>
        <v/>
      </c>
    </row>
    <row r="2697">
      <c r="A2697" s="6">
        <f>Database!A2696</f>
        <v/>
      </c>
      <c r="B2697">
        <f>IF(VLOOKUP(Table73[[#This Row],[Date]],Database!$A:$E,MATCH($B$1,Database!$A$1:$E$1,),)=0,#N/A,VLOOKUP(Table73[[#This Row],[Date]],Database!$A:$E,MATCH($B$1,Database!$A$1:$E$1,),))</f>
        <v/>
      </c>
      <c r="C2697">
        <f>IF(VLOOKUP(Table73[[#This Row],[Date]],Database!$A:$C,MATCH($C$1,Database!$A$1:$C$1,),)=0,#N/A,VLOOKUP(Table73[[#This Row],[Date]],Database!$A:$C,MATCH($C$1,Database!$A$1:$C$1,),))</f>
        <v/>
      </c>
      <c r="D2697">
        <f>IFERROR(Table73[[#This Row],[United States 10y]]-Table73[[#This Row],[United States 2y]],#N/A)</f>
        <v/>
      </c>
    </row>
    <row r="2698">
      <c r="A2698" s="6">
        <f>Database!A2697</f>
        <v/>
      </c>
      <c r="B2698">
        <f>IF(VLOOKUP(Table73[[#This Row],[Date]],Database!$A:$E,MATCH($B$1,Database!$A$1:$E$1,),)=0,#N/A,VLOOKUP(Table73[[#This Row],[Date]],Database!$A:$E,MATCH($B$1,Database!$A$1:$E$1,),))</f>
        <v/>
      </c>
      <c r="C2698">
        <f>IF(VLOOKUP(Table73[[#This Row],[Date]],Database!$A:$C,MATCH($C$1,Database!$A$1:$C$1,),)=0,#N/A,VLOOKUP(Table73[[#This Row],[Date]],Database!$A:$C,MATCH($C$1,Database!$A$1:$C$1,),))</f>
        <v/>
      </c>
      <c r="D2698">
        <f>IFERROR(Table73[[#This Row],[United States 10y]]-Table73[[#This Row],[United States 2y]],#N/A)</f>
        <v/>
      </c>
    </row>
    <row r="2699">
      <c r="A2699" s="6">
        <f>Database!A2698</f>
        <v/>
      </c>
      <c r="B2699">
        <f>IF(VLOOKUP(Table73[[#This Row],[Date]],Database!$A:$E,MATCH($B$1,Database!$A$1:$E$1,),)=0,#N/A,VLOOKUP(Table73[[#This Row],[Date]],Database!$A:$E,MATCH($B$1,Database!$A$1:$E$1,),))</f>
        <v/>
      </c>
      <c r="C2699">
        <f>IF(VLOOKUP(Table73[[#This Row],[Date]],Database!$A:$C,MATCH($C$1,Database!$A$1:$C$1,),)=0,#N/A,VLOOKUP(Table73[[#This Row],[Date]],Database!$A:$C,MATCH($C$1,Database!$A$1:$C$1,),))</f>
        <v/>
      </c>
      <c r="D2699">
        <f>IFERROR(Table73[[#This Row],[United States 10y]]-Table73[[#This Row],[United States 2y]],#N/A)</f>
        <v/>
      </c>
    </row>
    <row r="2700">
      <c r="A2700" s="6">
        <f>Database!A2699</f>
        <v/>
      </c>
      <c r="B2700">
        <f>IF(VLOOKUP(Table73[[#This Row],[Date]],Database!$A:$E,MATCH($B$1,Database!$A$1:$E$1,),)=0,#N/A,VLOOKUP(Table73[[#This Row],[Date]],Database!$A:$E,MATCH($B$1,Database!$A$1:$E$1,),))</f>
        <v/>
      </c>
      <c r="C2700">
        <f>IF(VLOOKUP(Table73[[#This Row],[Date]],Database!$A:$C,MATCH($C$1,Database!$A$1:$C$1,),)=0,#N/A,VLOOKUP(Table73[[#This Row],[Date]],Database!$A:$C,MATCH($C$1,Database!$A$1:$C$1,),))</f>
        <v/>
      </c>
      <c r="D2700">
        <f>IFERROR(Table73[[#This Row],[United States 10y]]-Table73[[#This Row],[United States 2y]],#N/A)</f>
        <v/>
      </c>
    </row>
    <row r="2701">
      <c r="A2701" s="6">
        <f>Database!A2700</f>
        <v/>
      </c>
      <c r="B2701">
        <f>IF(VLOOKUP(Table73[[#This Row],[Date]],Database!$A:$E,MATCH($B$1,Database!$A$1:$E$1,),)=0,#N/A,VLOOKUP(Table73[[#This Row],[Date]],Database!$A:$E,MATCH($B$1,Database!$A$1:$E$1,),))</f>
        <v/>
      </c>
      <c r="C2701">
        <f>IF(VLOOKUP(Table73[[#This Row],[Date]],Database!$A:$C,MATCH($C$1,Database!$A$1:$C$1,),)=0,#N/A,VLOOKUP(Table73[[#This Row],[Date]],Database!$A:$C,MATCH($C$1,Database!$A$1:$C$1,),))</f>
        <v/>
      </c>
      <c r="D2701">
        <f>IFERROR(Table73[[#This Row],[United States 10y]]-Table73[[#This Row],[United States 2y]],#N/A)</f>
        <v/>
      </c>
    </row>
    <row r="2702">
      <c r="A2702" s="6">
        <f>Database!A2701</f>
        <v/>
      </c>
      <c r="B2702">
        <f>IF(VLOOKUP(Table73[[#This Row],[Date]],Database!$A:$E,MATCH($B$1,Database!$A$1:$E$1,),)=0,#N/A,VLOOKUP(Table73[[#This Row],[Date]],Database!$A:$E,MATCH($B$1,Database!$A$1:$E$1,),))</f>
        <v/>
      </c>
      <c r="C2702">
        <f>IF(VLOOKUP(Table73[[#This Row],[Date]],Database!$A:$C,MATCH($C$1,Database!$A$1:$C$1,),)=0,#N/A,VLOOKUP(Table73[[#This Row],[Date]],Database!$A:$C,MATCH($C$1,Database!$A$1:$C$1,),))</f>
        <v/>
      </c>
      <c r="D2702">
        <f>IFERROR(Table73[[#This Row],[United States 10y]]-Table73[[#This Row],[United States 2y]],#N/A)</f>
        <v/>
      </c>
    </row>
    <row r="2703">
      <c r="A2703" s="6">
        <f>Database!A2702</f>
        <v/>
      </c>
      <c r="B2703">
        <f>IF(VLOOKUP(Table73[[#This Row],[Date]],Database!$A:$E,MATCH($B$1,Database!$A$1:$E$1,),)=0,#N/A,VLOOKUP(Table73[[#This Row],[Date]],Database!$A:$E,MATCH($B$1,Database!$A$1:$E$1,),))</f>
        <v/>
      </c>
      <c r="C2703">
        <f>IF(VLOOKUP(Table73[[#This Row],[Date]],Database!$A:$C,MATCH($C$1,Database!$A$1:$C$1,),)=0,#N/A,VLOOKUP(Table73[[#This Row],[Date]],Database!$A:$C,MATCH($C$1,Database!$A$1:$C$1,),))</f>
        <v/>
      </c>
      <c r="D2703">
        <f>IFERROR(Table73[[#This Row],[United States 10y]]-Table73[[#This Row],[United States 2y]],#N/A)</f>
        <v/>
      </c>
    </row>
    <row r="2704">
      <c r="A2704" s="6">
        <f>Database!A2703</f>
        <v/>
      </c>
      <c r="B2704">
        <f>IF(VLOOKUP(Table73[[#This Row],[Date]],Database!$A:$E,MATCH($B$1,Database!$A$1:$E$1,),)=0,#N/A,VLOOKUP(Table73[[#This Row],[Date]],Database!$A:$E,MATCH($B$1,Database!$A$1:$E$1,),))</f>
        <v/>
      </c>
      <c r="C2704">
        <f>IF(VLOOKUP(Table73[[#This Row],[Date]],Database!$A:$C,MATCH($C$1,Database!$A$1:$C$1,),)=0,#N/A,VLOOKUP(Table73[[#This Row],[Date]],Database!$A:$C,MATCH($C$1,Database!$A$1:$C$1,),))</f>
        <v/>
      </c>
      <c r="D2704">
        <f>IFERROR(Table73[[#This Row],[United States 10y]]-Table73[[#This Row],[United States 2y]],#N/A)</f>
        <v/>
      </c>
    </row>
    <row r="2705">
      <c r="A2705" s="6">
        <f>Database!A2704</f>
        <v/>
      </c>
      <c r="B2705">
        <f>IF(VLOOKUP(Table73[[#This Row],[Date]],Database!$A:$E,MATCH($B$1,Database!$A$1:$E$1,),)=0,#N/A,VLOOKUP(Table73[[#This Row],[Date]],Database!$A:$E,MATCH($B$1,Database!$A$1:$E$1,),))</f>
        <v/>
      </c>
      <c r="C2705">
        <f>IF(VLOOKUP(Table73[[#This Row],[Date]],Database!$A:$C,MATCH($C$1,Database!$A$1:$C$1,),)=0,#N/A,VLOOKUP(Table73[[#This Row],[Date]],Database!$A:$C,MATCH($C$1,Database!$A$1:$C$1,),))</f>
        <v/>
      </c>
      <c r="D2705">
        <f>IFERROR(Table73[[#This Row],[United States 10y]]-Table73[[#This Row],[United States 2y]],#N/A)</f>
        <v/>
      </c>
    </row>
    <row r="2706">
      <c r="A2706" s="6">
        <f>Database!A2705</f>
        <v/>
      </c>
      <c r="B2706">
        <f>IF(VLOOKUP(Table73[[#This Row],[Date]],Database!$A:$E,MATCH($B$1,Database!$A$1:$E$1,),)=0,#N/A,VLOOKUP(Table73[[#This Row],[Date]],Database!$A:$E,MATCH($B$1,Database!$A$1:$E$1,),))</f>
        <v/>
      </c>
      <c r="C2706">
        <f>IF(VLOOKUP(Table73[[#This Row],[Date]],Database!$A:$C,MATCH($C$1,Database!$A$1:$C$1,),)=0,#N/A,VLOOKUP(Table73[[#This Row],[Date]],Database!$A:$C,MATCH($C$1,Database!$A$1:$C$1,),))</f>
        <v/>
      </c>
      <c r="D2706">
        <f>IFERROR(Table73[[#This Row],[United States 10y]]-Table73[[#This Row],[United States 2y]],#N/A)</f>
        <v/>
      </c>
    </row>
    <row r="2707">
      <c r="A2707" s="6">
        <f>Database!A2706</f>
        <v/>
      </c>
      <c r="B2707">
        <f>IF(VLOOKUP(Table73[[#This Row],[Date]],Database!$A:$E,MATCH($B$1,Database!$A$1:$E$1,),)=0,#N/A,VLOOKUP(Table73[[#This Row],[Date]],Database!$A:$E,MATCH($B$1,Database!$A$1:$E$1,),))</f>
        <v/>
      </c>
      <c r="C2707">
        <f>IF(VLOOKUP(Table73[[#This Row],[Date]],Database!$A:$C,MATCH($C$1,Database!$A$1:$C$1,),)=0,#N/A,VLOOKUP(Table73[[#This Row],[Date]],Database!$A:$C,MATCH($C$1,Database!$A$1:$C$1,),))</f>
        <v/>
      </c>
      <c r="D2707">
        <f>IFERROR(Table73[[#This Row],[United States 10y]]-Table73[[#This Row],[United States 2y]],#N/A)</f>
        <v/>
      </c>
    </row>
    <row r="2708">
      <c r="A2708" s="6">
        <f>Database!A2707</f>
        <v/>
      </c>
      <c r="B2708">
        <f>IF(VLOOKUP(Table73[[#This Row],[Date]],Database!$A:$E,MATCH($B$1,Database!$A$1:$E$1,),)=0,#N/A,VLOOKUP(Table73[[#This Row],[Date]],Database!$A:$E,MATCH($B$1,Database!$A$1:$E$1,),))</f>
        <v/>
      </c>
      <c r="C2708">
        <f>IF(VLOOKUP(Table73[[#This Row],[Date]],Database!$A:$C,MATCH($C$1,Database!$A$1:$C$1,),)=0,#N/A,VLOOKUP(Table73[[#This Row],[Date]],Database!$A:$C,MATCH($C$1,Database!$A$1:$C$1,),))</f>
        <v/>
      </c>
      <c r="D2708">
        <f>IFERROR(Table73[[#This Row],[United States 10y]]-Table73[[#This Row],[United States 2y]],#N/A)</f>
        <v/>
      </c>
    </row>
    <row r="2709">
      <c r="A2709" s="6">
        <f>Database!A2708</f>
        <v/>
      </c>
      <c r="B2709">
        <f>IF(VLOOKUP(Table73[[#This Row],[Date]],Database!$A:$E,MATCH($B$1,Database!$A$1:$E$1,),)=0,#N/A,VLOOKUP(Table73[[#This Row],[Date]],Database!$A:$E,MATCH($B$1,Database!$A$1:$E$1,),))</f>
        <v/>
      </c>
      <c r="C2709">
        <f>IF(VLOOKUP(Table73[[#This Row],[Date]],Database!$A:$C,MATCH($C$1,Database!$A$1:$C$1,),)=0,#N/A,VLOOKUP(Table73[[#This Row],[Date]],Database!$A:$C,MATCH($C$1,Database!$A$1:$C$1,),))</f>
        <v/>
      </c>
      <c r="D2709">
        <f>IFERROR(Table73[[#This Row],[United States 10y]]-Table73[[#This Row],[United States 2y]],#N/A)</f>
        <v/>
      </c>
    </row>
    <row r="2710">
      <c r="A2710" s="6">
        <f>Database!A2709</f>
        <v/>
      </c>
      <c r="B2710">
        <f>IF(VLOOKUP(Table73[[#This Row],[Date]],Database!$A:$E,MATCH($B$1,Database!$A$1:$E$1,),)=0,#N/A,VLOOKUP(Table73[[#This Row],[Date]],Database!$A:$E,MATCH($B$1,Database!$A$1:$E$1,),))</f>
        <v/>
      </c>
      <c r="C2710">
        <f>IF(VLOOKUP(Table73[[#This Row],[Date]],Database!$A:$C,MATCH($C$1,Database!$A$1:$C$1,),)=0,#N/A,VLOOKUP(Table73[[#This Row],[Date]],Database!$A:$C,MATCH($C$1,Database!$A$1:$C$1,),))</f>
        <v/>
      </c>
      <c r="D2710">
        <f>IFERROR(Table73[[#This Row],[United States 10y]]-Table73[[#This Row],[United States 2y]],#N/A)</f>
        <v/>
      </c>
    </row>
    <row r="2711">
      <c r="A2711" s="6">
        <f>Database!A2710</f>
        <v/>
      </c>
      <c r="B2711">
        <f>IF(VLOOKUP(Table73[[#This Row],[Date]],Database!$A:$E,MATCH($B$1,Database!$A$1:$E$1,),)=0,#N/A,VLOOKUP(Table73[[#This Row],[Date]],Database!$A:$E,MATCH($B$1,Database!$A$1:$E$1,),))</f>
        <v/>
      </c>
      <c r="C2711">
        <f>IF(VLOOKUP(Table73[[#This Row],[Date]],Database!$A:$C,MATCH($C$1,Database!$A$1:$C$1,),)=0,#N/A,VLOOKUP(Table73[[#This Row],[Date]],Database!$A:$C,MATCH($C$1,Database!$A$1:$C$1,),))</f>
        <v/>
      </c>
      <c r="D2711">
        <f>IFERROR(Table73[[#This Row],[United States 10y]]-Table73[[#This Row],[United States 2y]],#N/A)</f>
        <v/>
      </c>
    </row>
    <row r="2712">
      <c r="A2712" s="6">
        <f>Database!A2711</f>
        <v/>
      </c>
      <c r="B2712">
        <f>IF(VLOOKUP(Table73[[#This Row],[Date]],Database!$A:$E,MATCH($B$1,Database!$A$1:$E$1,),)=0,#N/A,VLOOKUP(Table73[[#This Row],[Date]],Database!$A:$E,MATCH($B$1,Database!$A$1:$E$1,),))</f>
        <v/>
      </c>
      <c r="C2712">
        <f>IF(VLOOKUP(Table73[[#This Row],[Date]],Database!$A:$C,MATCH($C$1,Database!$A$1:$C$1,),)=0,#N/A,VLOOKUP(Table73[[#This Row],[Date]],Database!$A:$C,MATCH($C$1,Database!$A$1:$C$1,),))</f>
        <v/>
      </c>
      <c r="D2712">
        <f>IFERROR(Table73[[#This Row],[United States 10y]]-Table73[[#This Row],[United States 2y]],#N/A)</f>
        <v/>
      </c>
    </row>
    <row r="2713">
      <c r="A2713" s="6">
        <f>Database!A2712</f>
        <v/>
      </c>
      <c r="B2713">
        <f>IF(VLOOKUP(Table73[[#This Row],[Date]],Database!$A:$E,MATCH($B$1,Database!$A$1:$E$1,),)=0,#N/A,VLOOKUP(Table73[[#This Row],[Date]],Database!$A:$E,MATCH($B$1,Database!$A$1:$E$1,),))</f>
        <v/>
      </c>
      <c r="C2713">
        <f>IF(VLOOKUP(Table73[[#This Row],[Date]],Database!$A:$C,MATCH($C$1,Database!$A$1:$C$1,),)=0,#N/A,VLOOKUP(Table73[[#This Row],[Date]],Database!$A:$C,MATCH($C$1,Database!$A$1:$C$1,),))</f>
        <v/>
      </c>
      <c r="D2713">
        <f>IFERROR(Table73[[#This Row],[United States 10y]]-Table73[[#This Row],[United States 2y]],#N/A)</f>
        <v/>
      </c>
    </row>
    <row r="2714">
      <c r="A2714" s="6">
        <f>Database!A2713</f>
        <v/>
      </c>
      <c r="B2714">
        <f>IF(VLOOKUP(Table73[[#This Row],[Date]],Database!$A:$E,MATCH($B$1,Database!$A$1:$E$1,),)=0,#N/A,VLOOKUP(Table73[[#This Row],[Date]],Database!$A:$E,MATCH($B$1,Database!$A$1:$E$1,),))</f>
        <v/>
      </c>
      <c r="C2714">
        <f>IF(VLOOKUP(Table73[[#This Row],[Date]],Database!$A:$C,MATCH($C$1,Database!$A$1:$C$1,),)=0,#N/A,VLOOKUP(Table73[[#This Row],[Date]],Database!$A:$C,MATCH($C$1,Database!$A$1:$C$1,),))</f>
        <v/>
      </c>
      <c r="D2714">
        <f>IFERROR(Table73[[#This Row],[United States 10y]]-Table73[[#This Row],[United States 2y]],#N/A)</f>
        <v/>
      </c>
    </row>
    <row r="2715">
      <c r="A2715" s="6">
        <f>Database!A2714</f>
        <v/>
      </c>
      <c r="B2715">
        <f>IF(VLOOKUP(Table73[[#This Row],[Date]],Database!$A:$E,MATCH($B$1,Database!$A$1:$E$1,),)=0,#N/A,VLOOKUP(Table73[[#This Row],[Date]],Database!$A:$E,MATCH($B$1,Database!$A$1:$E$1,),))</f>
        <v/>
      </c>
      <c r="C2715">
        <f>IF(VLOOKUP(Table73[[#This Row],[Date]],Database!$A:$C,MATCH($C$1,Database!$A$1:$C$1,),)=0,#N/A,VLOOKUP(Table73[[#This Row],[Date]],Database!$A:$C,MATCH($C$1,Database!$A$1:$C$1,),))</f>
        <v/>
      </c>
      <c r="D2715">
        <f>IFERROR(Table73[[#This Row],[United States 10y]]-Table73[[#This Row],[United States 2y]],#N/A)</f>
        <v/>
      </c>
    </row>
    <row r="2716">
      <c r="A2716" s="6">
        <f>Database!A2715</f>
        <v/>
      </c>
      <c r="B2716">
        <f>IF(VLOOKUP(Table73[[#This Row],[Date]],Database!$A:$E,MATCH($B$1,Database!$A$1:$E$1,),)=0,#N/A,VLOOKUP(Table73[[#This Row],[Date]],Database!$A:$E,MATCH($B$1,Database!$A$1:$E$1,),))</f>
        <v/>
      </c>
      <c r="C2716">
        <f>IF(VLOOKUP(Table73[[#This Row],[Date]],Database!$A:$C,MATCH($C$1,Database!$A$1:$C$1,),)=0,#N/A,VLOOKUP(Table73[[#This Row],[Date]],Database!$A:$C,MATCH($C$1,Database!$A$1:$C$1,),))</f>
        <v/>
      </c>
      <c r="D2716">
        <f>IFERROR(Table73[[#This Row],[United States 10y]]-Table73[[#This Row],[United States 2y]],#N/A)</f>
        <v/>
      </c>
    </row>
    <row r="2717">
      <c r="A2717" s="6">
        <f>Database!A2716</f>
        <v/>
      </c>
      <c r="B2717">
        <f>IF(VLOOKUP(Table73[[#This Row],[Date]],Database!$A:$E,MATCH($B$1,Database!$A$1:$E$1,),)=0,#N/A,VLOOKUP(Table73[[#This Row],[Date]],Database!$A:$E,MATCH($B$1,Database!$A$1:$E$1,),))</f>
        <v/>
      </c>
      <c r="C2717">
        <f>IF(VLOOKUP(Table73[[#This Row],[Date]],Database!$A:$C,MATCH($C$1,Database!$A$1:$C$1,),)=0,#N/A,VLOOKUP(Table73[[#This Row],[Date]],Database!$A:$C,MATCH($C$1,Database!$A$1:$C$1,),))</f>
        <v/>
      </c>
      <c r="D2717">
        <f>IFERROR(Table73[[#This Row],[United States 10y]]-Table73[[#This Row],[United States 2y]],#N/A)</f>
        <v/>
      </c>
    </row>
    <row r="2718">
      <c r="A2718" s="6">
        <f>Database!A2717</f>
        <v/>
      </c>
      <c r="B2718">
        <f>IF(VLOOKUP(Table73[[#This Row],[Date]],Database!$A:$E,MATCH($B$1,Database!$A$1:$E$1,),)=0,#N/A,VLOOKUP(Table73[[#This Row],[Date]],Database!$A:$E,MATCH($B$1,Database!$A$1:$E$1,),))</f>
        <v/>
      </c>
      <c r="C2718">
        <f>IF(VLOOKUP(Table73[[#This Row],[Date]],Database!$A:$C,MATCH($C$1,Database!$A$1:$C$1,),)=0,#N/A,VLOOKUP(Table73[[#This Row],[Date]],Database!$A:$C,MATCH($C$1,Database!$A$1:$C$1,),))</f>
        <v/>
      </c>
      <c r="D2718">
        <f>IFERROR(Table73[[#This Row],[United States 10y]]-Table73[[#This Row],[United States 2y]],#N/A)</f>
        <v/>
      </c>
    </row>
    <row r="2719">
      <c r="A2719" s="6">
        <f>Database!A2718</f>
        <v/>
      </c>
      <c r="B2719">
        <f>IF(VLOOKUP(Table73[[#This Row],[Date]],Database!$A:$E,MATCH($B$1,Database!$A$1:$E$1,),)=0,#N/A,VLOOKUP(Table73[[#This Row],[Date]],Database!$A:$E,MATCH($B$1,Database!$A$1:$E$1,),))</f>
        <v/>
      </c>
      <c r="C2719">
        <f>IF(VLOOKUP(Table73[[#This Row],[Date]],Database!$A:$C,MATCH($C$1,Database!$A$1:$C$1,),)=0,#N/A,VLOOKUP(Table73[[#This Row],[Date]],Database!$A:$C,MATCH($C$1,Database!$A$1:$C$1,),))</f>
        <v/>
      </c>
      <c r="D2719">
        <f>IFERROR(Table73[[#This Row],[United States 10y]]-Table73[[#This Row],[United States 2y]],#N/A)</f>
        <v/>
      </c>
    </row>
    <row r="2720">
      <c r="A2720" s="6">
        <f>Database!A2719</f>
        <v/>
      </c>
      <c r="B2720">
        <f>IF(VLOOKUP(Table73[[#This Row],[Date]],Database!$A:$E,MATCH($B$1,Database!$A$1:$E$1,),)=0,#N/A,VLOOKUP(Table73[[#This Row],[Date]],Database!$A:$E,MATCH($B$1,Database!$A$1:$E$1,),))</f>
        <v/>
      </c>
      <c r="C2720">
        <f>IF(VLOOKUP(Table73[[#This Row],[Date]],Database!$A:$C,MATCH($C$1,Database!$A$1:$C$1,),)=0,#N/A,VLOOKUP(Table73[[#This Row],[Date]],Database!$A:$C,MATCH($C$1,Database!$A$1:$C$1,),))</f>
        <v/>
      </c>
      <c r="D2720">
        <f>IFERROR(Table73[[#This Row],[United States 10y]]-Table73[[#This Row],[United States 2y]],#N/A)</f>
        <v/>
      </c>
    </row>
    <row r="2721">
      <c r="A2721" s="6">
        <f>Database!A2720</f>
        <v/>
      </c>
      <c r="B2721">
        <f>IF(VLOOKUP(Table73[[#This Row],[Date]],Database!$A:$E,MATCH($B$1,Database!$A$1:$E$1,),)=0,#N/A,VLOOKUP(Table73[[#This Row],[Date]],Database!$A:$E,MATCH($B$1,Database!$A$1:$E$1,),))</f>
        <v/>
      </c>
      <c r="C2721">
        <f>IF(VLOOKUP(Table73[[#This Row],[Date]],Database!$A:$C,MATCH($C$1,Database!$A$1:$C$1,),)=0,#N/A,VLOOKUP(Table73[[#This Row],[Date]],Database!$A:$C,MATCH($C$1,Database!$A$1:$C$1,),))</f>
        <v/>
      </c>
      <c r="D2721">
        <f>IFERROR(Table73[[#This Row],[United States 10y]]-Table73[[#This Row],[United States 2y]],#N/A)</f>
        <v/>
      </c>
    </row>
    <row r="2722">
      <c r="A2722" s="6">
        <f>Database!A2721</f>
        <v/>
      </c>
      <c r="B2722">
        <f>IF(VLOOKUP(Table73[[#This Row],[Date]],Database!$A:$E,MATCH($B$1,Database!$A$1:$E$1,),)=0,#N/A,VLOOKUP(Table73[[#This Row],[Date]],Database!$A:$E,MATCH($B$1,Database!$A$1:$E$1,),))</f>
        <v/>
      </c>
      <c r="C2722">
        <f>IF(VLOOKUP(Table73[[#This Row],[Date]],Database!$A:$C,MATCH($C$1,Database!$A$1:$C$1,),)=0,#N/A,VLOOKUP(Table73[[#This Row],[Date]],Database!$A:$C,MATCH($C$1,Database!$A$1:$C$1,),))</f>
        <v/>
      </c>
      <c r="D2722">
        <f>IFERROR(Table73[[#This Row],[United States 10y]]-Table73[[#This Row],[United States 2y]],#N/A)</f>
        <v/>
      </c>
    </row>
    <row r="2723">
      <c r="A2723" s="6">
        <f>Database!A2722</f>
        <v/>
      </c>
      <c r="B2723">
        <f>IF(VLOOKUP(Table73[[#This Row],[Date]],Database!$A:$E,MATCH($B$1,Database!$A$1:$E$1,),)=0,#N/A,VLOOKUP(Table73[[#This Row],[Date]],Database!$A:$E,MATCH($B$1,Database!$A$1:$E$1,),))</f>
        <v/>
      </c>
      <c r="C2723">
        <f>IF(VLOOKUP(Table73[[#This Row],[Date]],Database!$A:$C,MATCH($C$1,Database!$A$1:$C$1,),)=0,#N/A,VLOOKUP(Table73[[#This Row],[Date]],Database!$A:$C,MATCH($C$1,Database!$A$1:$C$1,),))</f>
        <v/>
      </c>
      <c r="D2723">
        <f>IFERROR(Table73[[#This Row],[United States 10y]]-Table73[[#This Row],[United States 2y]],#N/A)</f>
        <v/>
      </c>
    </row>
    <row r="2724">
      <c r="A2724" s="6">
        <f>Database!A2723</f>
        <v/>
      </c>
      <c r="B2724">
        <f>IF(VLOOKUP(Table73[[#This Row],[Date]],Database!$A:$E,MATCH($B$1,Database!$A$1:$E$1,),)=0,#N/A,VLOOKUP(Table73[[#This Row],[Date]],Database!$A:$E,MATCH($B$1,Database!$A$1:$E$1,),))</f>
        <v/>
      </c>
      <c r="C2724">
        <f>IF(VLOOKUP(Table73[[#This Row],[Date]],Database!$A:$C,MATCH($C$1,Database!$A$1:$C$1,),)=0,#N/A,VLOOKUP(Table73[[#This Row],[Date]],Database!$A:$C,MATCH($C$1,Database!$A$1:$C$1,),))</f>
        <v/>
      </c>
      <c r="D2724">
        <f>IFERROR(Table73[[#This Row],[United States 10y]]-Table73[[#This Row],[United States 2y]],#N/A)</f>
        <v/>
      </c>
    </row>
    <row r="2725">
      <c r="A2725" s="6">
        <f>Database!A2724</f>
        <v/>
      </c>
      <c r="B2725">
        <f>IF(VLOOKUP(Table73[[#This Row],[Date]],Database!$A:$E,MATCH($B$1,Database!$A$1:$E$1,),)=0,#N/A,VLOOKUP(Table73[[#This Row],[Date]],Database!$A:$E,MATCH($B$1,Database!$A$1:$E$1,),))</f>
        <v/>
      </c>
      <c r="C2725">
        <f>IF(VLOOKUP(Table73[[#This Row],[Date]],Database!$A:$C,MATCH($C$1,Database!$A$1:$C$1,),)=0,#N/A,VLOOKUP(Table73[[#This Row],[Date]],Database!$A:$C,MATCH($C$1,Database!$A$1:$C$1,),))</f>
        <v/>
      </c>
      <c r="D2725">
        <f>IFERROR(Table73[[#This Row],[United States 10y]]-Table73[[#This Row],[United States 2y]],#N/A)</f>
        <v/>
      </c>
    </row>
    <row r="2726">
      <c r="A2726" s="6">
        <f>Database!A2725</f>
        <v/>
      </c>
      <c r="B2726">
        <f>IF(VLOOKUP(Table73[[#This Row],[Date]],Database!$A:$E,MATCH($B$1,Database!$A$1:$E$1,),)=0,#N/A,VLOOKUP(Table73[[#This Row],[Date]],Database!$A:$E,MATCH($B$1,Database!$A$1:$E$1,),))</f>
        <v/>
      </c>
      <c r="C2726">
        <f>IF(VLOOKUP(Table73[[#This Row],[Date]],Database!$A:$C,MATCH($C$1,Database!$A$1:$C$1,),)=0,#N/A,VLOOKUP(Table73[[#This Row],[Date]],Database!$A:$C,MATCH($C$1,Database!$A$1:$C$1,),))</f>
        <v/>
      </c>
      <c r="D2726">
        <f>IFERROR(Table73[[#This Row],[United States 10y]]-Table73[[#This Row],[United States 2y]],#N/A)</f>
        <v/>
      </c>
    </row>
    <row r="2727">
      <c r="A2727" s="6">
        <f>Database!A2726</f>
        <v/>
      </c>
      <c r="B2727">
        <f>IF(VLOOKUP(Table73[[#This Row],[Date]],Database!$A:$E,MATCH($B$1,Database!$A$1:$E$1,),)=0,#N/A,VLOOKUP(Table73[[#This Row],[Date]],Database!$A:$E,MATCH($B$1,Database!$A$1:$E$1,),))</f>
        <v/>
      </c>
      <c r="C2727">
        <f>IF(VLOOKUP(Table73[[#This Row],[Date]],Database!$A:$C,MATCH($C$1,Database!$A$1:$C$1,),)=0,#N/A,VLOOKUP(Table73[[#This Row],[Date]],Database!$A:$C,MATCH($C$1,Database!$A$1:$C$1,),))</f>
        <v/>
      </c>
      <c r="D2727">
        <f>IFERROR(Table73[[#This Row],[United States 10y]]-Table73[[#This Row],[United States 2y]],#N/A)</f>
        <v/>
      </c>
    </row>
    <row r="2728">
      <c r="A2728" s="6">
        <f>Database!A2727</f>
        <v/>
      </c>
      <c r="B2728">
        <f>IF(VLOOKUP(Table73[[#This Row],[Date]],Database!$A:$E,MATCH($B$1,Database!$A$1:$E$1,),)=0,#N/A,VLOOKUP(Table73[[#This Row],[Date]],Database!$A:$E,MATCH($B$1,Database!$A$1:$E$1,),))</f>
        <v/>
      </c>
      <c r="C2728">
        <f>IF(VLOOKUP(Table73[[#This Row],[Date]],Database!$A:$C,MATCH($C$1,Database!$A$1:$C$1,),)=0,#N/A,VLOOKUP(Table73[[#This Row],[Date]],Database!$A:$C,MATCH($C$1,Database!$A$1:$C$1,),))</f>
        <v/>
      </c>
      <c r="D2728">
        <f>IFERROR(Table73[[#This Row],[United States 10y]]-Table73[[#This Row],[United States 2y]],#N/A)</f>
        <v/>
      </c>
    </row>
    <row r="2729">
      <c r="A2729" s="6">
        <f>Database!A2728</f>
        <v/>
      </c>
      <c r="B2729">
        <f>IF(VLOOKUP(Table73[[#This Row],[Date]],Database!$A:$E,MATCH($B$1,Database!$A$1:$E$1,),)=0,#N/A,VLOOKUP(Table73[[#This Row],[Date]],Database!$A:$E,MATCH($B$1,Database!$A$1:$E$1,),))</f>
        <v/>
      </c>
      <c r="C2729">
        <f>IF(VLOOKUP(Table73[[#This Row],[Date]],Database!$A:$C,MATCH($C$1,Database!$A$1:$C$1,),)=0,#N/A,VLOOKUP(Table73[[#This Row],[Date]],Database!$A:$C,MATCH($C$1,Database!$A$1:$C$1,),))</f>
        <v/>
      </c>
      <c r="D2729">
        <f>IFERROR(Table73[[#This Row],[United States 10y]]-Table73[[#This Row],[United States 2y]],#N/A)</f>
        <v/>
      </c>
    </row>
    <row r="2730">
      <c r="A2730" s="6">
        <f>Database!A2729</f>
        <v/>
      </c>
      <c r="B2730">
        <f>IF(VLOOKUP(Table73[[#This Row],[Date]],Database!$A:$E,MATCH($B$1,Database!$A$1:$E$1,),)=0,#N/A,VLOOKUP(Table73[[#This Row],[Date]],Database!$A:$E,MATCH($B$1,Database!$A$1:$E$1,),))</f>
        <v/>
      </c>
      <c r="C2730">
        <f>IF(VLOOKUP(Table73[[#This Row],[Date]],Database!$A:$C,MATCH($C$1,Database!$A$1:$C$1,),)=0,#N/A,VLOOKUP(Table73[[#This Row],[Date]],Database!$A:$C,MATCH($C$1,Database!$A$1:$C$1,),))</f>
        <v/>
      </c>
      <c r="D2730">
        <f>IFERROR(Table73[[#This Row],[United States 10y]]-Table73[[#This Row],[United States 2y]],#N/A)</f>
        <v/>
      </c>
    </row>
    <row r="2731">
      <c r="A2731" s="6">
        <f>Database!A2730</f>
        <v/>
      </c>
      <c r="B2731">
        <f>IF(VLOOKUP(Table73[[#This Row],[Date]],Database!$A:$E,MATCH($B$1,Database!$A$1:$E$1,),)=0,#N/A,VLOOKUP(Table73[[#This Row],[Date]],Database!$A:$E,MATCH($B$1,Database!$A$1:$E$1,),))</f>
        <v/>
      </c>
      <c r="C2731">
        <f>IF(VLOOKUP(Table73[[#This Row],[Date]],Database!$A:$C,MATCH($C$1,Database!$A$1:$C$1,),)=0,#N/A,VLOOKUP(Table73[[#This Row],[Date]],Database!$A:$C,MATCH($C$1,Database!$A$1:$C$1,),))</f>
        <v/>
      </c>
      <c r="D2731">
        <f>IFERROR(Table73[[#This Row],[United States 10y]]-Table73[[#This Row],[United States 2y]],#N/A)</f>
        <v/>
      </c>
    </row>
    <row r="2732">
      <c r="A2732" s="6">
        <f>Database!A2731</f>
        <v/>
      </c>
      <c r="B2732">
        <f>IF(VLOOKUP(Table73[[#This Row],[Date]],Database!$A:$E,MATCH($B$1,Database!$A$1:$E$1,),)=0,#N/A,VLOOKUP(Table73[[#This Row],[Date]],Database!$A:$E,MATCH($B$1,Database!$A$1:$E$1,),))</f>
        <v/>
      </c>
      <c r="C2732">
        <f>IF(VLOOKUP(Table73[[#This Row],[Date]],Database!$A:$C,MATCH($C$1,Database!$A$1:$C$1,),)=0,#N/A,VLOOKUP(Table73[[#This Row],[Date]],Database!$A:$C,MATCH($C$1,Database!$A$1:$C$1,),))</f>
        <v/>
      </c>
      <c r="D2732">
        <f>IFERROR(Table73[[#This Row],[United States 10y]]-Table73[[#This Row],[United States 2y]],#N/A)</f>
        <v/>
      </c>
    </row>
    <row r="2733">
      <c r="A2733" s="6">
        <f>Database!A2732</f>
        <v/>
      </c>
      <c r="B2733">
        <f>IF(VLOOKUP(Table73[[#This Row],[Date]],Database!$A:$E,MATCH($B$1,Database!$A$1:$E$1,),)=0,#N/A,VLOOKUP(Table73[[#This Row],[Date]],Database!$A:$E,MATCH($B$1,Database!$A$1:$E$1,),))</f>
        <v/>
      </c>
      <c r="C2733">
        <f>IF(VLOOKUP(Table73[[#This Row],[Date]],Database!$A:$C,MATCH($C$1,Database!$A$1:$C$1,),)=0,#N/A,VLOOKUP(Table73[[#This Row],[Date]],Database!$A:$C,MATCH($C$1,Database!$A$1:$C$1,),))</f>
        <v/>
      </c>
      <c r="D2733">
        <f>IFERROR(Table73[[#This Row],[United States 10y]]-Table73[[#This Row],[United States 2y]],#N/A)</f>
        <v/>
      </c>
    </row>
    <row r="2734">
      <c r="A2734" s="6">
        <f>Database!A2733</f>
        <v/>
      </c>
      <c r="B2734">
        <f>IF(VLOOKUP(Table73[[#This Row],[Date]],Database!$A:$E,MATCH($B$1,Database!$A$1:$E$1,),)=0,#N/A,VLOOKUP(Table73[[#This Row],[Date]],Database!$A:$E,MATCH($B$1,Database!$A$1:$E$1,),))</f>
        <v/>
      </c>
      <c r="C2734">
        <f>IF(VLOOKUP(Table73[[#This Row],[Date]],Database!$A:$C,MATCH($C$1,Database!$A$1:$C$1,),)=0,#N/A,VLOOKUP(Table73[[#This Row],[Date]],Database!$A:$C,MATCH($C$1,Database!$A$1:$C$1,),))</f>
        <v/>
      </c>
      <c r="D2734">
        <f>IFERROR(Table73[[#This Row],[United States 10y]]-Table73[[#This Row],[United States 2y]],#N/A)</f>
        <v/>
      </c>
    </row>
    <row r="2735">
      <c r="A2735" s="6">
        <f>Database!A2734</f>
        <v/>
      </c>
      <c r="B2735">
        <f>IF(VLOOKUP(Table73[[#This Row],[Date]],Database!$A:$E,MATCH($B$1,Database!$A$1:$E$1,),)=0,#N/A,VLOOKUP(Table73[[#This Row],[Date]],Database!$A:$E,MATCH($B$1,Database!$A$1:$E$1,),))</f>
        <v/>
      </c>
      <c r="C2735">
        <f>IF(VLOOKUP(Table73[[#This Row],[Date]],Database!$A:$C,MATCH($C$1,Database!$A$1:$C$1,),)=0,#N/A,VLOOKUP(Table73[[#This Row],[Date]],Database!$A:$C,MATCH($C$1,Database!$A$1:$C$1,),))</f>
        <v/>
      </c>
      <c r="D2735">
        <f>IFERROR(Table73[[#This Row],[United States 10y]]-Table73[[#This Row],[United States 2y]],#N/A)</f>
        <v/>
      </c>
    </row>
    <row r="2736">
      <c r="A2736" s="6">
        <f>Database!A2735</f>
        <v/>
      </c>
      <c r="B2736">
        <f>IF(VLOOKUP(Table73[[#This Row],[Date]],Database!$A:$E,MATCH($B$1,Database!$A$1:$E$1,),)=0,#N/A,VLOOKUP(Table73[[#This Row],[Date]],Database!$A:$E,MATCH($B$1,Database!$A$1:$E$1,),))</f>
        <v/>
      </c>
      <c r="C2736">
        <f>IF(VLOOKUP(Table73[[#This Row],[Date]],Database!$A:$C,MATCH($C$1,Database!$A$1:$C$1,),)=0,#N/A,VLOOKUP(Table73[[#This Row],[Date]],Database!$A:$C,MATCH($C$1,Database!$A$1:$C$1,),))</f>
        <v/>
      </c>
      <c r="D2736">
        <f>IFERROR(Table73[[#This Row],[United States 10y]]-Table73[[#This Row],[United States 2y]],#N/A)</f>
        <v/>
      </c>
    </row>
    <row r="2737">
      <c r="A2737" s="6">
        <f>Database!A2736</f>
        <v/>
      </c>
      <c r="B2737">
        <f>IF(VLOOKUP(Table73[[#This Row],[Date]],Database!$A:$E,MATCH($B$1,Database!$A$1:$E$1,),)=0,#N/A,VLOOKUP(Table73[[#This Row],[Date]],Database!$A:$E,MATCH($B$1,Database!$A$1:$E$1,),))</f>
        <v/>
      </c>
      <c r="C2737">
        <f>IF(VLOOKUP(Table73[[#This Row],[Date]],Database!$A:$C,MATCH($C$1,Database!$A$1:$C$1,),)=0,#N/A,VLOOKUP(Table73[[#This Row],[Date]],Database!$A:$C,MATCH($C$1,Database!$A$1:$C$1,),))</f>
        <v/>
      </c>
      <c r="D2737">
        <f>IFERROR(Table73[[#This Row],[United States 10y]]-Table73[[#This Row],[United States 2y]],#N/A)</f>
        <v/>
      </c>
    </row>
    <row r="2738">
      <c r="A2738" s="6">
        <f>Database!A2737</f>
        <v/>
      </c>
      <c r="B2738">
        <f>IF(VLOOKUP(Table73[[#This Row],[Date]],Database!$A:$E,MATCH($B$1,Database!$A$1:$E$1,),)=0,#N/A,VLOOKUP(Table73[[#This Row],[Date]],Database!$A:$E,MATCH($B$1,Database!$A$1:$E$1,),))</f>
        <v/>
      </c>
      <c r="C2738">
        <f>IF(VLOOKUP(Table73[[#This Row],[Date]],Database!$A:$C,MATCH($C$1,Database!$A$1:$C$1,),)=0,#N/A,VLOOKUP(Table73[[#This Row],[Date]],Database!$A:$C,MATCH($C$1,Database!$A$1:$C$1,),))</f>
        <v/>
      </c>
      <c r="D2738">
        <f>IFERROR(Table73[[#This Row],[United States 10y]]-Table73[[#This Row],[United States 2y]],#N/A)</f>
        <v/>
      </c>
    </row>
    <row r="2739">
      <c r="A2739" s="6">
        <f>Database!A2738</f>
        <v/>
      </c>
      <c r="B2739">
        <f>IF(VLOOKUP(Table73[[#This Row],[Date]],Database!$A:$E,MATCH($B$1,Database!$A$1:$E$1,),)=0,#N/A,VLOOKUP(Table73[[#This Row],[Date]],Database!$A:$E,MATCH($B$1,Database!$A$1:$E$1,),))</f>
        <v/>
      </c>
      <c r="C2739">
        <f>IF(VLOOKUP(Table73[[#This Row],[Date]],Database!$A:$C,MATCH($C$1,Database!$A$1:$C$1,),)=0,#N/A,VLOOKUP(Table73[[#This Row],[Date]],Database!$A:$C,MATCH($C$1,Database!$A$1:$C$1,),))</f>
        <v/>
      </c>
      <c r="D2739">
        <f>IFERROR(Table73[[#This Row],[United States 10y]]-Table73[[#This Row],[United States 2y]],#N/A)</f>
        <v/>
      </c>
    </row>
    <row r="2740">
      <c r="A2740" s="6">
        <f>Database!A2739</f>
        <v/>
      </c>
      <c r="B2740">
        <f>IF(VLOOKUP(Table73[[#This Row],[Date]],Database!$A:$E,MATCH($B$1,Database!$A$1:$E$1,),)=0,#N/A,VLOOKUP(Table73[[#This Row],[Date]],Database!$A:$E,MATCH($B$1,Database!$A$1:$E$1,),))</f>
        <v/>
      </c>
      <c r="C2740">
        <f>IF(VLOOKUP(Table73[[#This Row],[Date]],Database!$A:$C,MATCH($C$1,Database!$A$1:$C$1,),)=0,#N/A,VLOOKUP(Table73[[#This Row],[Date]],Database!$A:$C,MATCH($C$1,Database!$A$1:$C$1,),))</f>
        <v/>
      </c>
      <c r="D2740">
        <f>IFERROR(Table73[[#This Row],[United States 10y]]-Table73[[#This Row],[United States 2y]],#N/A)</f>
        <v/>
      </c>
    </row>
    <row r="2741">
      <c r="A2741" s="6">
        <f>Database!A2740</f>
        <v/>
      </c>
      <c r="B2741">
        <f>IF(VLOOKUP(Table73[[#This Row],[Date]],Database!$A:$E,MATCH($B$1,Database!$A$1:$E$1,),)=0,#N/A,VLOOKUP(Table73[[#This Row],[Date]],Database!$A:$E,MATCH($B$1,Database!$A$1:$E$1,),))</f>
        <v/>
      </c>
      <c r="C2741">
        <f>IF(VLOOKUP(Table73[[#This Row],[Date]],Database!$A:$C,MATCH($C$1,Database!$A$1:$C$1,),)=0,#N/A,VLOOKUP(Table73[[#This Row],[Date]],Database!$A:$C,MATCH($C$1,Database!$A$1:$C$1,),))</f>
        <v/>
      </c>
      <c r="D2741">
        <f>IFERROR(Table73[[#This Row],[United States 10y]]-Table73[[#This Row],[United States 2y]],#N/A)</f>
        <v/>
      </c>
    </row>
    <row r="2742">
      <c r="A2742" s="6">
        <f>Database!A2741</f>
        <v/>
      </c>
      <c r="B2742">
        <f>IF(VLOOKUP(Table73[[#This Row],[Date]],Database!$A:$E,MATCH($B$1,Database!$A$1:$E$1,),)=0,#N/A,VLOOKUP(Table73[[#This Row],[Date]],Database!$A:$E,MATCH($B$1,Database!$A$1:$E$1,),))</f>
        <v/>
      </c>
      <c r="C2742">
        <f>IF(VLOOKUP(Table73[[#This Row],[Date]],Database!$A:$C,MATCH($C$1,Database!$A$1:$C$1,),)=0,#N/A,VLOOKUP(Table73[[#This Row],[Date]],Database!$A:$C,MATCH($C$1,Database!$A$1:$C$1,),))</f>
        <v/>
      </c>
      <c r="D2742">
        <f>IFERROR(Table73[[#This Row],[United States 10y]]-Table73[[#This Row],[United States 2y]],#N/A)</f>
        <v/>
      </c>
    </row>
    <row r="2743">
      <c r="A2743" s="6">
        <f>Database!A2742</f>
        <v/>
      </c>
      <c r="B2743">
        <f>IF(VLOOKUP(Table73[[#This Row],[Date]],Database!$A:$E,MATCH($B$1,Database!$A$1:$E$1,),)=0,#N/A,VLOOKUP(Table73[[#This Row],[Date]],Database!$A:$E,MATCH($B$1,Database!$A$1:$E$1,),))</f>
        <v/>
      </c>
      <c r="C2743">
        <f>IF(VLOOKUP(Table73[[#This Row],[Date]],Database!$A:$C,MATCH($C$1,Database!$A$1:$C$1,),)=0,#N/A,VLOOKUP(Table73[[#This Row],[Date]],Database!$A:$C,MATCH($C$1,Database!$A$1:$C$1,),))</f>
        <v/>
      </c>
      <c r="D2743">
        <f>IFERROR(Table73[[#This Row],[United States 10y]]-Table73[[#This Row],[United States 2y]],#N/A)</f>
        <v/>
      </c>
    </row>
    <row r="2744">
      <c r="A2744" s="6">
        <f>Database!A2743</f>
        <v/>
      </c>
      <c r="B2744">
        <f>IF(VLOOKUP(Table73[[#This Row],[Date]],Database!$A:$E,MATCH($B$1,Database!$A$1:$E$1,),)=0,#N/A,VLOOKUP(Table73[[#This Row],[Date]],Database!$A:$E,MATCH($B$1,Database!$A$1:$E$1,),))</f>
        <v/>
      </c>
      <c r="C2744">
        <f>IF(VLOOKUP(Table73[[#This Row],[Date]],Database!$A:$C,MATCH($C$1,Database!$A$1:$C$1,),)=0,#N/A,VLOOKUP(Table73[[#This Row],[Date]],Database!$A:$C,MATCH($C$1,Database!$A$1:$C$1,),))</f>
        <v/>
      </c>
      <c r="D2744">
        <f>IFERROR(Table73[[#This Row],[United States 10y]]-Table73[[#This Row],[United States 2y]],#N/A)</f>
        <v/>
      </c>
    </row>
    <row r="2745">
      <c r="A2745" s="6">
        <f>Database!A2744</f>
        <v/>
      </c>
      <c r="B2745">
        <f>IF(VLOOKUP(Table73[[#This Row],[Date]],Database!$A:$E,MATCH($B$1,Database!$A$1:$E$1,),)=0,#N/A,VLOOKUP(Table73[[#This Row],[Date]],Database!$A:$E,MATCH($B$1,Database!$A$1:$E$1,),))</f>
        <v/>
      </c>
      <c r="C2745">
        <f>IF(VLOOKUP(Table73[[#This Row],[Date]],Database!$A:$C,MATCH($C$1,Database!$A$1:$C$1,),)=0,#N/A,VLOOKUP(Table73[[#This Row],[Date]],Database!$A:$C,MATCH($C$1,Database!$A$1:$C$1,),))</f>
        <v/>
      </c>
      <c r="D2745">
        <f>IFERROR(Table73[[#This Row],[United States 10y]]-Table73[[#This Row],[United States 2y]],#N/A)</f>
        <v/>
      </c>
    </row>
    <row r="2746">
      <c r="A2746" s="6">
        <f>Database!A2745</f>
        <v/>
      </c>
      <c r="B2746">
        <f>IF(VLOOKUP(Table73[[#This Row],[Date]],Database!$A:$E,MATCH($B$1,Database!$A$1:$E$1,),)=0,#N/A,VLOOKUP(Table73[[#This Row],[Date]],Database!$A:$E,MATCH($B$1,Database!$A$1:$E$1,),))</f>
        <v/>
      </c>
      <c r="C2746">
        <f>IF(VLOOKUP(Table73[[#This Row],[Date]],Database!$A:$C,MATCH($C$1,Database!$A$1:$C$1,),)=0,#N/A,VLOOKUP(Table73[[#This Row],[Date]],Database!$A:$C,MATCH($C$1,Database!$A$1:$C$1,),))</f>
        <v/>
      </c>
      <c r="D2746">
        <f>IFERROR(Table73[[#This Row],[United States 10y]]-Table73[[#This Row],[United States 2y]],#N/A)</f>
        <v/>
      </c>
    </row>
    <row r="2747">
      <c r="A2747" s="6">
        <f>Database!A2746</f>
        <v/>
      </c>
      <c r="B2747">
        <f>IF(VLOOKUP(Table73[[#This Row],[Date]],Database!$A:$E,MATCH($B$1,Database!$A$1:$E$1,),)=0,#N/A,VLOOKUP(Table73[[#This Row],[Date]],Database!$A:$E,MATCH($B$1,Database!$A$1:$E$1,),))</f>
        <v/>
      </c>
      <c r="C2747">
        <f>IF(VLOOKUP(Table73[[#This Row],[Date]],Database!$A:$C,MATCH($C$1,Database!$A$1:$C$1,),)=0,#N/A,VLOOKUP(Table73[[#This Row],[Date]],Database!$A:$C,MATCH($C$1,Database!$A$1:$C$1,),))</f>
        <v/>
      </c>
      <c r="D2747">
        <f>IFERROR(Table73[[#This Row],[United States 10y]]-Table73[[#This Row],[United States 2y]],#N/A)</f>
        <v/>
      </c>
    </row>
    <row r="2748">
      <c r="A2748" s="6">
        <f>Database!A2747</f>
        <v/>
      </c>
      <c r="B2748">
        <f>IF(VLOOKUP(Table73[[#This Row],[Date]],Database!$A:$E,MATCH($B$1,Database!$A$1:$E$1,),)=0,#N/A,VLOOKUP(Table73[[#This Row],[Date]],Database!$A:$E,MATCH($B$1,Database!$A$1:$E$1,),))</f>
        <v/>
      </c>
      <c r="C2748">
        <f>IF(VLOOKUP(Table73[[#This Row],[Date]],Database!$A:$C,MATCH($C$1,Database!$A$1:$C$1,),)=0,#N/A,VLOOKUP(Table73[[#This Row],[Date]],Database!$A:$C,MATCH($C$1,Database!$A$1:$C$1,),))</f>
        <v/>
      </c>
      <c r="D2748">
        <f>IFERROR(Table73[[#This Row],[United States 10y]]-Table73[[#This Row],[United States 2y]],#N/A)</f>
        <v/>
      </c>
    </row>
    <row r="2749">
      <c r="A2749" s="6">
        <f>Database!A2748</f>
        <v/>
      </c>
      <c r="B2749">
        <f>IF(VLOOKUP(Table73[[#This Row],[Date]],Database!$A:$E,MATCH($B$1,Database!$A$1:$E$1,),)=0,#N/A,VLOOKUP(Table73[[#This Row],[Date]],Database!$A:$E,MATCH($B$1,Database!$A$1:$E$1,),))</f>
        <v/>
      </c>
      <c r="C2749">
        <f>IF(VLOOKUP(Table73[[#This Row],[Date]],Database!$A:$C,MATCH($C$1,Database!$A$1:$C$1,),)=0,#N/A,VLOOKUP(Table73[[#This Row],[Date]],Database!$A:$C,MATCH($C$1,Database!$A$1:$C$1,),))</f>
        <v/>
      </c>
      <c r="D2749">
        <f>IFERROR(Table73[[#This Row],[United States 10y]]-Table73[[#This Row],[United States 2y]],#N/A)</f>
        <v/>
      </c>
    </row>
    <row r="2750">
      <c r="A2750" s="6">
        <f>Database!A2749</f>
        <v/>
      </c>
      <c r="B2750">
        <f>IF(VLOOKUP(Table73[[#This Row],[Date]],Database!$A:$E,MATCH($B$1,Database!$A$1:$E$1,),)=0,#N/A,VLOOKUP(Table73[[#This Row],[Date]],Database!$A:$E,MATCH($B$1,Database!$A$1:$E$1,),))</f>
        <v/>
      </c>
      <c r="C2750">
        <f>IF(VLOOKUP(Table73[[#This Row],[Date]],Database!$A:$C,MATCH($C$1,Database!$A$1:$C$1,),)=0,#N/A,VLOOKUP(Table73[[#This Row],[Date]],Database!$A:$C,MATCH($C$1,Database!$A$1:$C$1,),))</f>
        <v/>
      </c>
      <c r="D2750">
        <f>IFERROR(Table73[[#This Row],[United States 10y]]-Table73[[#This Row],[United States 2y]],#N/A)</f>
        <v/>
      </c>
    </row>
    <row r="2751">
      <c r="A2751" s="6">
        <f>Database!A2750</f>
        <v/>
      </c>
      <c r="B2751">
        <f>IF(VLOOKUP(Table73[[#This Row],[Date]],Database!$A:$E,MATCH($B$1,Database!$A$1:$E$1,),)=0,#N/A,VLOOKUP(Table73[[#This Row],[Date]],Database!$A:$E,MATCH($B$1,Database!$A$1:$E$1,),))</f>
        <v/>
      </c>
      <c r="C2751">
        <f>IF(VLOOKUP(Table73[[#This Row],[Date]],Database!$A:$C,MATCH($C$1,Database!$A$1:$C$1,),)=0,#N/A,VLOOKUP(Table73[[#This Row],[Date]],Database!$A:$C,MATCH($C$1,Database!$A$1:$C$1,),))</f>
        <v/>
      </c>
      <c r="D2751">
        <f>IFERROR(Table73[[#This Row],[United States 10y]]-Table73[[#This Row],[United States 2y]],#N/A)</f>
        <v/>
      </c>
    </row>
    <row r="2752">
      <c r="A2752" s="6">
        <f>Database!A2751</f>
        <v/>
      </c>
      <c r="B2752">
        <f>IF(VLOOKUP(Table73[[#This Row],[Date]],Database!$A:$E,MATCH($B$1,Database!$A$1:$E$1,),)=0,#N/A,VLOOKUP(Table73[[#This Row],[Date]],Database!$A:$E,MATCH($B$1,Database!$A$1:$E$1,),))</f>
        <v/>
      </c>
      <c r="C2752">
        <f>IF(VLOOKUP(Table73[[#This Row],[Date]],Database!$A:$C,MATCH($C$1,Database!$A$1:$C$1,),)=0,#N/A,VLOOKUP(Table73[[#This Row],[Date]],Database!$A:$C,MATCH($C$1,Database!$A$1:$C$1,),))</f>
        <v/>
      </c>
      <c r="D2752">
        <f>IFERROR(Table73[[#This Row],[United States 10y]]-Table73[[#This Row],[United States 2y]],#N/A)</f>
        <v/>
      </c>
    </row>
    <row r="2753">
      <c r="A2753" s="6">
        <f>Database!A2752</f>
        <v/>
      </c>
      <c r="B2753">
        <f>IF(VLOOKUP(Table73[[#This Row],[Date]],Database!$A:$E,MATCH($B$1,Database!$A$1:$E$1,),)=0,#N/A,VLOOKUP(Table73[[#This Row],[Date]],Database!$A:$E,MATCH($B$1,Database!$A$1:$E$1,),))</f>
        <v/>
      </c>
      <c r="C2753">
        <f>IF(VLOOKUP(Table73[[#This Row],[Date]],Database!$A:$C,MATCH($C$1,Database!$A$1:$C$1,),)=0,#N/A,VLOOKUP(Table73[[#This Row],[Date]],Database!$A:$C,MATCH($C$1,Database!$A$1:$C$1,),))</f>
        <v/>
      </c>
      <c r="D2753">
        <f>IFERROR(Table73[[#This Row],[United States 10y]]-Table73[[#This Row],[United States 2y]],#N/A)</f>
        <v/>
      </c>
    </row>
    <row r="2754">
      <c r="A2754" s="6">
        <f>Database!A2753</f>
        <v/>
      </c>
      <c r="B2754">
        <f>IF(VLOOKUP(Table73[[#This Row],[Date]],Database!$A:$E,MATCH($B$1,Database!$A$1:$E$1,),)=0,#N/A,VLOOKUP(Table73[[#This Row],[Date]],Database!$A:$E,MATCH($B$1,Database!$A$1:$E$1,),))</f>
        <v/>
      </c>
      <c r="C2754">
        <f>IF(VLOOKUP(Table73[[#This Row],[Date]],Database!$A:$C,MATCH($C$1,Database!$A$1:$C$1,),)=0,#N/A,VLOOKUP(Table73[[#This Row],[Date]],Database!$A:$C,MATCH($C$1,Database!$A$1:$C$1,),))</f>
        <v/>
      </c>
      <c r="D2754">
        <f>IFERROR(Table73[[#This Row],[United States 10y]]-Table73[[#This Row],[United States 2y]],#N/A)</f>
        <v/>
      </c>
    </row>
    <row r="2755">
      <c r="A2755" s="6">
        <f>Database!A2754</f>
        <v/>
      </c>
      <c r="B2755">
        <f>IF(VLOOKUP(Table73[[#This Row],[Date]],Database!$A:$E,MATCH($B$1,Database!$A$1:$E$1,),)=0,#N/A,VLOOKUP(Table73[[#This Row],[Date]],Database!$A:$E,MATCH($B$1,Database!$A$1:$E$1,),))</f>
        <v/>
      </c>
      <c r="C2755">
        <f>IF(VLOOKUP(Table73[[#This Row],[Date]],Database!$A:$C,MATCH($C$1,Database!$A$1:$C$1,),)=0,#N/A,VLOOKUP(Table73[[#This Row],[Date]],Database!$A:$C,MATCH($C$1,Database!$A$1:$C$1,),))</f>
        <v/>
      </c>
      <c r="D2755">
        <f>IFERROR(Table73[[#This Row],[United States 10y]]-Table73[[#This Row],[United States 2y]],#N/A)</f>
        <v/>
      </c>
    </row>
    <row r="2756">
      <c r="A2756" s="6">
        <f>Database!A2755</f>
        <v/>
      </c>
      <c r="B2756">
        <f>IF(VLOOKUP(Table73[[#This Row],[Date]],Database!$A:$E,MATCH($B$1,Database!$A$1:$E$1,),)=0,#N/A,VLOOKUP(Table73[[#This Row],[Date]],Database!$A:$E,MATCH($B$1,Database!$A$1:$E$1,),))</f>
        <v/>
      </c>
      <c r="C2756">
        <f>IF(VLOOKUP(Table73[[#This Row],[Date]],Database!$A:$C,MATCH($C$1,Database!$A$1:$C$1,),)=0,#N/A,VLOOKUP(Table73[[#This Row],[Date]],Database!$A:$C,MATCH($C$1,Database!$A$1:$C$1,),))</f>
        <v/>
      </c>
      <c r="D2756">
        <f>IFERROR(Table73[[#This Row],[United States 10y]]-Table73[[#This Row],[United States 2y]],#N/A)</f>
        <v/>
      </c>
    </row>
    <row r="2757">
      <c r="A2757" s="6">
        <f>Database!A2756</f>
        <v/>
      </c>
      <c r="B2757">
        <f>IF(VLOOKUP(Table73[[#This Row],[Date]],Database!$A:$E,MATCH($B$1,Database!$A$1:$E$1,),)=0,#N/A,VLOOKUP(Table73[[#This Row],[Date]],Database!$A:$E,MATCH($B$1,Database!$A$1:$E$1,),))</f>
        <v/>
      </c>
      <c r="C2757">
        <f>IF(VLOOKUP(Table73[[#This Row],[Date]],Database!$A:$C,MATCH($C$1,Database!$A$1:$C$1,),)=0,#N/A,VLOOKUP(Table73[[#This Row],[Date]],Database!$A:$C,MATCH($C$1,Database!$A$1:$C$1,),))</f>
        <v/>
      </c>
      <c r="D2757">
        <f>IFERROR(Table73[[#This Row],[United States 10y]]-Table73[[#This Row],[United States 2y]],#N/A)</f>
        <v/>
      </c>
    </row>
    <row r="2758">
      <c r="A2758" s="6">
        <f>Database!A2757</f>
        <v/>
      </c>
      <c r="B2758">
        <f>IF(VLOOKUP(Table73[[#This Row],[Date]],Database!$A:$E,MATCH($B$1,Database!$A$1:$E$1,),)=0,#N/A,VLOOKUP(Table73[[#This Row],[Date]],Database!$A:$E,MATCH($B$1,Database!$A$1:$E$1,),))</f>
        <v/>
      </c>
      <c r="C2758">
        <f>IF(VLOOKUP(Table73[[#This Row],[Date]],Database!$A:$C,MATCH($C$1,Database!$A$1:$C$1,),)=0,#N/A,VLOOKUP(Table73[[#This Row],[Date]],Database!$A:$C,MATCH($C$1,Database!$A$1:$C$1,),))</f>
        <v/>
      </c>
      <c r="D2758">
        <f>IFERROR(Table73[[#This Row],[United States 10y]]-Table73[[#This Row],[United States 2y]],#N/A)</f>
        <v/>
      </c>
    </row>
    <row r="2759">
      <c r="A2759" s="6">
        <f>Database!A2758</f>
        <v/>
      </c>
      <c r="B2759">
        <f>IF(VLOOKUP(Table73[[#This Row],[Date]],Database!$A:$E,MATCH($B$1,Database!$A$1:$E$1,),)=0,#N/A,VLOOKUP(Table73[[#This Row],[Date]],Database!$A:$E,MATCH($B$1,Database!$A$1:$E$1,),))</f>
        <v/>
      </c>
      <c r="C2759">
        <f>IF(VLOOKUP(Table73[[#This Row],[Date]],Database!$A:$C,MATCH($C$1,Database!$A$1:$C$1,),)=0,#N/A,VLOOKUP(Table73[[#This Row],[Date]],Database!$A:$C,MATCH($C$1,Database!$A$1:$C$1,),))</f>
        <v/>
      </c>
      <c r="D2759">
        <f>IFERROR(Table73[[#This Row],[United States 10y]]-Table73[[#This Row],[United States 2y]],#N/A)</f>
        <v/>
      </c>
    </row>
    <row r="2760">
      <c r="A2760" s="6">
        <f>Database!A2759</f>
        <v/>
      </c>
      <c r="B2760">
        <f>IF(VLOOKUP(Table73[[#This Row],[Date]],Database!$A:$E,MATCH($B$1,Database!$A$1:$E$1,),)=0,#N/A,VLOOKUP(Table73[[#This Row],[Date]],Database!$A:$E,MATCH($B$1,Database!$A$1:$E$1,),))</f>
        <v/>
      </c>
      <c r="C2760">
        <f>IF(VLOOKUP(Table73[[#This Row],[Date]],Database!$A:$C,MATCH($C$1,Database!$A$1:$C$1,),)=0,#N/A,VLOOKUP(Table73[[#This Row],[Date]],Database!$A:$C,MATCH($C$1,Database!$A$1:$C$1,),))</f>
        <v/>
      </c>
      <c r="D2760">
        <f>IFERROR(Table73[[#This Row],[United States 10y]]-Table73[[#This Row],[United States 2y]],#N/A)</f>
        <v/>
      </c>
    </row>
    <row r="2761">
      <c r="A2761" s="6">
        <f>Database!A2760</f>
        <v/>
      </c>
      <c r="B2761">
        <f>IF(VLOOKUP(Table73[[#This Row],[Date]],Database!$A:$E,MATCH($B$1,Database!$A$1:$E$1,),)=0,#N/A,VLOOKUP(Table73[[#This Row],[Date]],Database!$A:$E,MATCH($B$1,Database!$A$1:$E$1,),))</f>
        <v/>
      </c>
      <c r="C2761">
        <f>IF(VLOOKUP(Table73[[#This Row],[Date]],Database!$A:$C,MATCH($C$1,Database!$A$1:$C$1,),)=0,#N/A,VLOOKUP(Table73[[#This Row],[Date]],Database!$A:$C,MATCH($C$1,Database!$A$1:$C$1,),))</f>
        <v/>
      </c>
      <c r="D2761">
        <f>IFERROR(Table73[[#This Row],[United States 10y]]-Table73[[#This Row],[United States 2y]],#N/A)</f>
        <v/>
      </c>
    </row>
    <row r="2762">
      <c r="A2762" s="6">
        <f>Database!A2761</f>
        <v/>
      </c>
      <c r="B2762">
        <f>IF(VLOOKUP(Table73[[#This Row],[Date]],Database!$A:$E,MATCH($B$1,Database!$A$1:$E$1,),)=0,#N/A,VLOOKUP(Table73[[#This Row],[Date]],Database!$A:$E,MATCH($B$1,Database!$A$1:$E$1,),))</f>
        <v/>
      </c>
      <c r="C2762">
        <f>IF(VLOOKUP(Table73[[#This Row],[Date]],Database!$A:$C,MATCH($C$1,Database!$A$1:$C$1,),)=0,#N/A,VLOOKUP(Table73[[#This Row],[Date]],Database!$A:$C,MATCH($C$1,Database!$A$1:$C$1,),))</f>
        <v/>
      </c>
      <c r="D2762">
        <f>IFERROR(Table73[[#This Row],[United States 10y]]-Table73[[#This Row],[United States 2y]],#N/A)</f>
        <v/>
      </c>
    </row>
    <row r="2763">
      <c r="A2763" s="6">
        <f>Database!A2762</f>
        <v/>
      </c>
      <c r="B2763">
        <f>IF(VLOOKUP(Table73[[#This Row],[Date]],Database!$A:$E,MATCH($B$1,Database!$A$1:$E$1,),)=0,#N/A,VLOOKUP(Table73[[#This Row],[Date]],Database!$A:$E,MATCH($B$1,Database!$A$1:$E$1,),))</f>
        <v/>
      </c>
      <c r="C2763">
        <f>IF(VLOOKUP(Table73[[#This Row],[Date]],Database!$A:$C,MATCH($C$1,Database!$A$1:$C$1,),)=0,#N/A,VLOOKUP(Table73[[#This Row],[Date]],Database!$A:$C,MATCH($C$1,Database!$A$1:$C$1,),))</f>
        <v/>
      </c>
      <c r="D2763">
        <f>IFERROR(Table73[[#This Row],[United States 10y]]-Table73[[#This Row],[United States 2y]],#N/A)</f>
        <v/>
      </c>
    </row>
    <row r="2764">
      <c r="A2764" s="6">
        <f>Database!A2763</f>
        <v/>
      </c>
      <c r="B2764">
        <f>IF(VLOOKUP(Table73[[#This Row],[Date]],Database!$A:$E,MATCH($B$1,Database!$A$1:$E$1,),)=0,#N/A,VLOOKUP(Table73[[#This Row],[Date]],Database!$A:$E,MATCH($B$1,Database!$A$1:$E$1,),))</f>
        <v/>
      </c>
      <c r="C2764">
        <f>IF(VLOOKUP(Table73[[#This Row],[Date]],Database!$A:$C,MATCH($C$1,Database!$A$1:$C$1,),)=0,#N/A,VLOOKUP(Table73[[#This Row],[Date]],Database!$A:$C,MATCH($C$1,Database!$A$1:$C$1,),))</f>
        <v/>
      </c>
      <c r="D2764">
        <f>IFERROR(Table73[[#This Row],[United States 10y]]-Table73[[#This Row],[United States 2y]],#N/A)</f>
        <v/>
      </c>
    </row>
    <row r="2765">
      <c r="A2765" s="6">
        <f>Database!A2764</f>
        <v/>
      </c>
      <c r="B2765">
        <f>IF(VLOOKUP(Table73[[#This Row],[Date]],Database!$A:$E,MATCH($B$1,Database!$A$1:$E$1,),)=0,#N/A,VLOOKUP(Table73[[#This Row],[Date]],Database!$A:$E,MATCH($B$1,Database!$A$1:$E$1,),))</f>
        <v/>
      </c>
      <c r="C2765">
        <f>IF(VLOOKUP(Table73[[#This Row],[Date]],Database!$A:$C,MATCH($C$1,Database!$A$1:$C$1,),)=0,#N/A,VLOOKUP(Table73[[#This Row],[Date]],Database!$A:$C,MATCH($C$1,Database!$A$1:$C$1,),))</f>
        <v/>
      </c>
      <c r="D2765">
        <f>IFERROR(Table73[[#This Row],[United States 10y]]-Table73[[#This Row],[United States 2y]],#N/A)</f>
        <v/>
      </c>
    </row>
    <row r="2766">
      <c r="A2766" s="6">
        <f>Database!A2765</f>
        <v/>
      </c>
      <c r="B2766">
        <f>IF(VLOOKUP(Table73[[#This Row],[Date]],Database!$A:$E,MATCH($B$1,Database!$A$1:$E$1,),)=0,#N/A,VLOOKUP(Table73[[#This Row],[Date]],Database!$A:$E,MATCH($B$1,Database!$A$1:$E$1,),))</f>
        <v/>
      </c>
      <c r="C2766">
        <f>IF(VLOOKUP(Table73[[#This Row],[Date]],Database!$A:$C,MATCH($C$1,Database!$A$1:$C$1,),)=0,#N/A,VLOOKUP(Table73[[#This Row],[Date]],Database!$A:$C,MATCH($C$1,Database!$A$1:$C$1,),))</f>
        <v/>
      </c>
      <c r="D2766">
        <f>IFERROR(Table73[[#This Row],[United States 10y]]-Table73[[#This Row],[United States 2y]],#N/A)</f>
        <v/>
      </c>
    </row>
    <row r="2767">
      <c r="A2767" s="6">
        <f>Database!A2766</f>
        <v/>
      </c>
      <c r="B2767">
        <f>IF(VLOOKUP(Table73[[#This Row],[Date]],Database!$A:$E,MATCH($B$1,Database!$A$1:$E$1,),)=0,#N/A,VLOOKUP(Table73[[#This Row],[Date]],Database!$A:$E,MATCH($B$1,Database!$A$1:$E$1,),))</f>
        <v/>
      </c>
      <c r="C2767">
        <f>IF(VLOOKUP(Table73[[#This Row],[Date]],Database!$A:$C,MATCH($C$1,Database!$A$1:$C$1,),)=0,#N/A,VLOOKUP(Table73[[#This Row],[Date]],Database!$A:$C,MATCH($C$1,Database!$A$1:$C$1,),))</f>
        <v/>
      </c>
      <c r="D2767">
        <f>IFERROR(Table73[[#This Row],[United States 10y]]-Table73[[#This Row],[United States 2y]],#N/A)</f>
        <v/>
      </c>
    </row>
    <row r="2768">
      <c r="A2768" s="6">
        <f>Database!A2767</f>
        <v/>
      </c>
      <c r="B2768">
        <f>IF(VLOOKUP(Table73[[#This Row],[Date]],Database!$A:$E,MATCH($B$1,Database!$A$1:$E$1,),)=0,#N/A,VLOOKUP(Table73[[#This Row],[Date]],Database!$A:$E,MATCH($B$1,Database!$A$1:$E$1,),))</f>
        <v/>
      </c>
      <c r="C2768">
        <f>IF(VLOOKUP(Table73[[#This Row],[Date]],Database!$A:$C,MATCH($C$1,Database!$A$1:$C$1,),)=0,#N/A,VLOOKUP(Table73[[#This Row],[Date]],Database!$A:$C,MATCH($C$1,Database!$A$1:$C$1,),))</f>
        <v/>
      </c>
      <c r="D2768">
        <f>IFERROR(Table73[[#This Row],[United States 10y]]-Table73[[#This Row],[United States 2y]],#N/A)</f>
        <v/>
      </c>
    </row>
    <row r="2769">
      <c r="A2769" s="6">
        <f>Database!A2768</f>
        <v/>
      </c>
      <c r="B2769">
        <f>IF(VLOOKUP(Table73[[#This Row],[Date]],Database!$A:$E,MATCH($B$1,Database!$A$1:$E$1,),)=0,#N/A,VLOOKUP(Table73[[#This Row],[Date]],Database!$A:$E,MATCH($B$1,Database!$A$1:$E$1,),))</f>
        <v/>
      </c>
      <c r="C2769">
        <f>IF(VLOOKUP(Table73[[#This Row],[Date]],Database!$A:$C,MATCH($C$1,Database!$A$1:$C$1,),)=0,#N/A,VLOOKUP(Table73[[#This Row],[Date]],Database!$A:$C,MATCH($C$1,Database!$A$1:$C$1,),))</f>
        <v/>
      </c>
      <c r="D2769">
        <f>IFERROR(Table73[[#This Row],[United States 10y]]-Table73[[#This Row],[United States 2y]],#N/A)</f>
        <v/>
      </c>
    </row>
    <row r="2770">
      <c r="A2770" s="6">
        <f>Database!A2769</f>
        <v/>
      </c>
      <c r="B2770">
        <f>IF(VLOOKUP(Table73[[#This Row],[Date]],Database!$A:$E,MATCH($B$1,Database!$A$1:$E$1,),)=0,#N/A,VLOOKUP(Table73[[#This Row],[Date]],Database!$A:$E,MATCH($B$1,Database!$A$1:$E$1,),))</f>
        <v/>
      </c>
      <c r="C2770">
        <f>IF(VLOOKUP(Table73[[#This Row],[Date]],Database!$A:$C,MATCH($C$1,Database!$A$1:$C$1,),)=0,#N/A,VLOOKUP(Table73[[#This Row],[Date]],Database!$A:$C,MATCH($C$1,Database!$A$1:$C$1,),))</f>
        <v/>
      </c>
      <c r="D2770">
        <f>IFERROR(Table73[[#This Row],[United States 10y]]-Table73[[#This Row],[United States 2y]],#N/A)</f>
        <v/>
      </c>
    </row>
    <row r="2771">
      <c r="A2771" s="6">
        <f>Database!A2770</f>
        <v/>
      </c>
      <c r="B2771">
        <f>IF(VLOOKUP(Table73[[#This Row],[Date]],Database!$A:$E,MATCH($B$1,Database!$A$1:$E$1,),)=0,#N/A,VLOOKUP(Table73[[#This Row],[Date]],Database!$A:$E,MATCH($B$1,Database!$A$1:$E$1,),))</f>
        <v/>
      </c>
      <c r="C2771">
        <f>IF(VLOOKUP(Table73[[#This Row],[Date]],Database!$A:$C,MATCH($C$1,Database!$A$1:$C$1,),)=0,#N/A,VLOOKUP(Table73[[#This Row],[Date]],Database!$A:$C,MATCH($C$1,Database!$A$1:$C$1,),))</f>
        <v/>
      </c>
      <c r="D2771">
        <f>IFERROR(Table73[[#This Row],[United States 10y]]-Table73[[#This Row],[United States 2y]],#N/A)</f>
        <v/>
      </c>
    </row>
    <row r="2772">
      <c r="A2772" s="6">
        <f>Database!A2771</f>
        <v/>
      </c>
      <c r="B2772">
        <f>IF(VLOOKUP(Table73[[#This Row],[Date]],Database!$A:$E,MATCH($B$1,Database!$A$1:$E$1,),)=0,#N/A,VLOOKUP(Table73[[#This Row],[Date]],Database!$A:$E,MATCH($B$1,Database!$A$1:$E$1,),))</f>
        <v/>
      </c>
      <c r="C2772">
        <f>IF(VLOOKUP(Table73[[#This Row],[Date]],Database!$A:$C,MATCH($C$1,Database!$A$1:$C$1,),)=0,#N/A,VLOOKUP(Table73[[#This Row],[Date]],Database!$A:$C,MATCH($C$1,Database!$A$1:$C$1,),))</f>
        <v/>
      </c>
      <c r="D2772">
        <f>IFERROR(Table73[[#This Row],[United States 10y]]-Table73[[#This Row],[United States 2y]],#N/A)</f>
        <v/>
      </c>
    </row>
    <row r="2773">
      <c r="A2773" s="6">
        <f>Database!A2772</f>
        <v/>
      </c>
      <c r="B2773">
        <f>IF(VLOOKUP(Table73[[#This Row],[Date]],Database!$A:$E,MATCH($B$1,Database!$A$1:$E$1,),)=0,#N/A,VLOOKUP(Table73[[#This Row],[Date]],Database!$A:$E,MATCH($B$1,Database!$A$1:$E$1,),))</f>
        <v/>
      </c>
      <c r="C2773">
        <f>IF(VLOOKUP(Table73[[#This Row],[Date]],Database!$A:$C,MATCH($C$1,Database!$A$1:$C$1,),)=0,#N/A,VLOOKUP(Table73[[#This Row],[Date]],Database!$A:$C,MATCH($C$1,Database!$A$1:$C$1,),))</f>
        <v/>
      </c>
      <c r="D2773">
        <f>IFERROR(Table73[[#This Row],[United States 10y]]-Table73[[#This Row],[United States 2y]],#N/A)</f>
        <v/>
      </c>
    </row>
    <row r="2774">
      <c r="A2774" s="6">
        <f>Database!A2773</f>
        <v/>
      </c>
      <c r="B2774">
        <f>IF(VLOOKUP(Table73[[#This Row],[Date]],Database!$A:$E,MATCH($B$1,Database!$A$1:$E$1,),)=0,#N/A,VLOOKUP(Table73[[#This Row],[Date]],Database!$A:$E,MATCH($B$1,Database!$A$1:$E$1,),))</f>
        <v/>
      </c>
      <c r="C2774">
        <f>IF(VLOOKUP(Table73[[#This Row],[Date]],Database!$A:$C,MATCH($C$1,Database!$A$1:$C$1,),)=0,#N/A,VLOOKUP(Table73[[#This Row],[Date]],Database!$A:$C,MATCH($C$1,Database!$A$1:$C$1,),))</f>
        <v/>
      </c>
      <c r="D2774">
        <f>IFERROR(Table73[[#This Row],[United States 10y]]-Table73[[#This Row],[United States 2y]],#N/A)</f>
        <v/>
      </c>
    </row>
    <row r="2775">
      <c r="A2775" s="6">
        <f>Database!A2774</f>
        <v/>
      </c>
      <c r="B2775">
        <f>IF(VLOOKUP(Table73[[#This Row],[Date]],Database!$A:$E,MATCH($B$1,Database!$A$1:$E$1,),)=0,#N/A,VLOOKUP(Table73[[#This Row],[Date]],Database!$A:$E,MATCH($B$1,Database!$A$1:$E$1,),))</f>
        <v/>
      </c>
      <c r="C2775">
        <f>IF(VLOOKUP(Table73[[#This Row],[Date]],Database!$A:$C,MATCH($C$1,Database!$A$1:$C$1,),)=0,#N/A,VLOOKUP(Table73[[#This Row],[Date]],Database!$A:$C,MATCH($C$1,Database!$A$1:$C$1,),))</f>
        <v/>
      </c>
      <c r="D2775">
        <f>IFERROR(Table73[[#This Row],[United States 10y]]-Table73[[#This Row],[United States 2y]],#N/A)</f>
        <v/>
      </c>
    </row>
    <row r="2776">
      <c r="A2776" s="6">
        <f>Database!A2775</f>
        <v/>
      </c>
      <c r="B2776">
        <f>IF(VLOOKUP(Table73[[#This Row],[Date]],Database!$A:$E,MATCH($B$1,Database!$A$1:$E$1,),)=0,#N/A,VLOOKUP(Table73[[#This Row],[Date]],Database!$A:$E,MATCH($B$1,Database!$A$1:$E$1,),))</f>
        <v/>
      </c>
      <c r="C2776">
        <f>IF(VLOOKUP(Table73[[#This Row],[Date]],Database!$A:$C,MATCH($C$1,Database!$A$1:$C$1,),)=0,#N/A,VLOOKUP(Table73[[#This Row],[Date]],Database!$A:$C,MATCH($C$1,Database!$A$1:$C$1,),))</f>
        <v/>
      </c>
      <c r="D2776">
        <f>IFERROR(Table73[[#This Row],[United States 10y]]-Table73[[#This Row],[United States 2y]],#N/A)</f>
        <v/>
      </c>
    </row>
    <row r="2777">
      <c r="A2777" s="6">
        <f>Database!A2776</f>
        <v/>
      </c>
      <c r="B2777">
        <f>IF(VLOOKUP(Table73[[#This Row],[Date]],Database!$A:$E,MATCH($B$1,Database!$A$1:$E$1,),)=0,#N/A,VLOOKUP(Table73[[#This Row],[Date]],Database!$A:$E,MATCH($B$1,Database!$A$1:$E$1,),))</f>
        <v/>
      </c>
      <c r="C2777">
        <f>IF(VLOOKUP(Table73[[#This Row],[Date]],Database!$A:$C,MATCH($C$1,Database!$A$1:$C$1,),)=0,#N/A,VLOOKUP(Table73[[#This Row],[Date]],Database!$A:$C,MATCH($C$1,Database!$A$1:$C$1,),))</f>
        <v/>
      </c>
      <c r="D2777">
        <f>IFERROR(Table73[[#This Row],[United States 10y]]-Table73[[#This Row],[United States 2y]],#N/A)</f>
        <v/>
      </c>
    </row>
    <row r="2778">
      <c r="A2778" s="6">
        <f>Database!A2777</f>
        <v/>
      </c>
      <c r="B2778">
        <f>IF(VLOOKUP(Table73[[#This Row],[Date]],Database!$A:$E,MATCH($B$1,Database!$A$1:$E$1,),)=0,#N/A,VLOOKUP(Table73[[#This Row],[Date]],Database!$A:$E,MATCH($B$1,Database!$A$1:$E$1,),))</f>
        <v/>
      </c>
      <c r="C2778">
        <f>IF(VLOOKUP(Table73[[#This Row],[Date]],Database!$A:$C,MATCH($C$1,Database!$A$1:$C$1,),)=0,#N/A,VLOOKUP(Table73[[#This Row],[Date]],Database!$A:$C,MATCH($C$1,Database!$A$1:$C$1,),))</f>
        <v/>
      </c>
      <c r="D2778">
        <f>IFERROR(Table73[[#This Row],[United States 10y]]-Table73[[#This Row],[United States 2y]],#N/A)</f>
        <v/>
      </c>
    </row>
    <row r="2779">
      <c r="A2779" s="6">
        <f>Database!A2778</f>
        <v/>
      </c>
      <c r="B2779">
        <f>IF(VLOOKUP(Table73[[#This Row],[Date]],Database!$A:$E,MATCH($B$1,Database!$A$1:$E$1,),)=0,#N/A,VLOOKUP(Table73[[#This Row],[Date]],Database!$A:$E,MATCH($B$1,Database!$A$1:$E$1,),))</f>
        <v/>
      </c>
      <c r="C2779">
        <f>IF(VLOOKUP(Table73[[#This Row],[Date]],Database!$A:$C,MATCH($C$1,Database!$A$1:$C$1,),)=0,#N/A,VLOOKUP(Table73[[#This Row],[Date]],Database!$A:$C,MATCH($C$1,Database!$A$1:$C$1,),))</f>
        <v/>
      </c>
      <c r="D2779">
        <f>IFERROR(Table73[[#This Row],[United States 10y]]-Table73[[#This Row],[United States 2y]],#N/A)</f>
        <v/>
      </c>
    </row>
    <row r="2780">
      <c r="A2780" s="6">
        <f>Database!A2779</f>
        <v/>
      </c>
      <c r="B2780">
        <f>IF(VLOOKUP(Table73[[#This Row],[Date]],Database!$A:$E,MATCH($B$1,Database!$A$1:$E$1,),)=0,#N/A,VLOOKUP(Table73[[#This Row],[Date]],Database!$A:$E,MATCH($B$1,Database!$A$1:$E$1,),))</f>
        <v/>
      </c>
      <c r="C2780">
        <f>IF(VLOOKUP(Table73[[#This Row],[Date]],Database!$A:$C,MATCH($C$1,Database!$A$1:$C$1,),)=0,#N/A,VLOOKUP(Table73[[#This Row],[Date]],Database!$A:$C,MATCH($C$1,Database!$A$1:$C$1,),))</f>
        <v/>
      </c>
      <c r="D2780">
        <f>IFERROR(Table73[[#This Row],[United States 10y]]-Table73[[#This Row],[United States 2y]],#N/A)</f>
        <v/>
      </c>
    </row>
    <row r="2781">
      <c r="A2781" s="6">
        <f>Database!A2780</f>
        <v/>
      </c>
      <c r="B2781">
        <f>IF(VLOOKUP(Table73[[#This Row],[Date]],Database!$A:$E,MATCH($B$1,Database!$A$1:$E$1,),)=0,#N/A,VLOOKUP(Table73[[#This Row],[Date]],Database!$A:$E,MATCH($B$1,Database!$A$1:$E$1,),))</f>
        <v/>
      </c>
      <c r="C2781">
        <f>IF(VLOOKUP(Table73[[#This Row],[Date]],Database!$A:$C,MATCH($C$1,Database!$A$1:$C$1,),)=0,#N/A,VLOOKUP(Table73[[#This Row],[Date]],Database!$A:$C,MATCH($C$1,Database!$A$1:$C$1,),))</f>
        <v/>
      </c>
      <c r="D2781">
        <f>IFERROR(Table73[[#This Row],[United States 10y]]-Table73[[#This Row],[United States 2y]],#N/A)</f>
        <v/>
      </c>
    </row>
    <row r="2782">
      <c r="A2782" s="6">
        <f>Database!A2781</f>
        <v/>
      </c>
      <c r="B2782">
        <f>IF(VLOOKUP(Table73[[#This Row],[Date]],Database!$A:$E,MATCH($B$1,Database!$A$1:$E$1,),)=0,#N/A,VLOOKUP(Table73[[#This Row],[Date]],Database!$A:$E,MATCH($B$1,Database!$A$1:$E$1,),))</f>
        <v/>
      </c>
      <c r="C2782">
        <f>IF(VLOOKUP(Table73[[#This Row],[Date]],Database!$A:$C,MATCH($C$1,Database!$A$1:$C$1,),)=0,#N/A,VLOOKUP(Table73[[#This Row],[Date]],Database!$A:$C,MATCH($C$1,Database!$A$1:$C$1,),))</f>
        <v/>
      </c>
      <c r="D2782">
        <f>IFERROR(Table73[[#This Row],[United States 10y]]-Table73[[#This Row],[United States 2y]],#N/A)</f>
        <v/>
      </c>
    </row>
    <row r="2783">
      <c r="A2783" s="6">
        <f>Database!A2782</f>
        <v/>
      </c>
      <c r="B2783">
        <f>IF(VLOOKUP(Table73[[#This Row],[Date]],Database!$A:$E,MATCH($B$1,Database!$A$1:$E$1,),)=0,#N/A,VLOOKUP(Table73[[#This Row],[Date]],Database!$A:$E,MATCH($B$1,Database!$A$1:$E$1,),))</f>
        <v/>
      </c>
      <c r="C2783">
        <f>IF(VLOOKUP(Table73[[#This Row],[Date]],Database!$A:$C,MATCH($C$1,Database!$A$1:$C$1,),)=0,#N/A,VLOOKUP(Table73[[#This Row],[Date]],Database!$A:$C,MATCH($C$1,Database!$A$1:$C$1,),))</f>
        <v/>
      </c>
      <c r="D2783">
        <f>IFERROR(Table73[[#This Row],[United States 10y]]-Table73[[#This Row],[United States 2y]],#N/A)</f>
        <v/>
      </c>
    </row>
    <row r="2784">
      <c r="A2784" s="6">
        <f>Database!A2783</f>
        <v/>
      </c>
      <c r="B2784">
        <f>IF(VLOOKUP(Table73[[#This Row],[Date]],Database!$A:$E,MATCH($B$1,Database!$A$1:$E$1,),)=0,#N/A,VLOOKUP(Table73[[#This Row],[Date]],Database!$A:$E,MATCH($B$1,Database!$A$1:$E$1,),))</f>
        <v/>
      </c>
      <c r="C2784">
        <f>IF(VLOOKUP(Table73[[#This Row],[Date]],Database!$A:$C,MATCH($C$1,Database!$A$1:$C$1,),)=0,#N/A,VLOOKUP(Table73[[#This Row],[Date]],Database!$A:$C,MATCH($C$1,Database!$A$1:$C$1,),))</f>
        <v/>
      </c>
      <c r="D2784">
        <f>IFERROR(Table73[[#This Row],[United States 10y]]-Table73[[#This Row],[United States 2y]],#N/A)</f>
        <v/>
      </c>
    </row>
    <row r="2785">
      <c r="A2785" s="6">
        <f>Database!A2784</f>
        <v/>
      </c>
      <c r="B2785">
        <f>IF(VLOOKUP(Table73[[#This Row],[Date]],Database!$A:$E,MATCH($B$1,Database!$A$1:$E$1,),)=0,#N/A,VLOOKUP(Table73[[#This Row],[Date]],Database!$A:$E,MATCH($B$1,Database!$A$1:$E$1,),))</f>
        <v/>
      </c>
      <c r="C2785">
        <f>IF(VLOOKUP(Table73[[#This Row],[Date]],Database!$A:$C,MATCH($C$1,Database!$A$1:$C$1,),)=0,#N/A,VLOOKUP(Table73[[#This Row],[Date]],Database!$A:$C,MATCH($C$1,Database!$A$1:$C$1,),))</f>
        <v/>
      </c>
      <c r="D2785">
        <f>IFERROR(Table73[[#This Row],[United States 10y]]-Table73[[#This Row],[United States 2y]],#N/A)</f>
        <v/>
      </c>
    </row>
    <row r="2786">
      <c r="A2786" s="6">
        <f>Database!A2785</f>
        <v/>
      </c>
      <c r="B2786">
        <f>IF(VLOOKUP(Table73[[#This Row],[Date]],Database!$A:$E,MATCH($B$1,Database!$A$1:$E$1,),)=0,#N/A,VLOOKUP(Table73[[#This Row],[Date]],Database!$A:$E,MATCH($B$1,Database!$A$1:$E$1,),))</f>
        <v/>
      </c>
      <c r="C2786">
        <f>IF(VLOOKUP(Table73[[#This Row],[Date]],Database!$A:$C,MATCH($C$1,Database!$A$1:$C$1,),)=0,#N/A,VLOOKUP(Table73[[#This Row],[Date]],Database!$A:$C,MATCH($C$1,Database!$A$1:$C$1,),))</f>
        <v/>
      </c>
      <c r="D2786">
        <f>IFERROR(Table73[[#This Row],[United States 10y]]-Table73[[#This Row],[United States 2y]],#N/A)</f>
        <v/>
      </c>
    </row>
    <row r="2787">
      <c r="A2787" s="6">
        <f>Database!A2786</f>
        <v/>
      </c>
      <c r="B2787">
        <f>IF(VLOOKUP(Table73[[#This Row],[Date]],Database!$A:$E,MATCH($B$1,Database!$A$1:$E$1,),)=0,#N/A,VLOOKUP(Table73[[#This Row],[Date]],Database!$A:$E,MATCH($B$1,Database!$A$1:$E$1,),))</f>
        <v/>
      </c>
      <c r="C2787">
        <f>IF(VLOOKUP(Table73[[#This Row],[Date]],Database!$A:$C,MATCH($C$1,Database!$A$1:$C$1,),)=0,#N/A,VLOOKUP(Table73[[#This Row],[Date]],Database!$A:$C,MATCH($C$1,Database!$A$1:$C$1,),))</f>
        <v/>
      </c>
      <c r="D2787">
        <f>IFERROR(Table73[[#This Row],[United States 10y]]-Table73[[#This Row],[United States 2y]],#N/A)</f>
        <v/>
      </c>
    </row>
    <row r="2788">
      <c r="A2788" s="6">
        <f>Database!A2787</f>
        <v/>
      </c>
      <c r="B2788">
        <f>IF(VLOOKUP(Table73[[#This Row],[Date]],Database!$A:$E,MATCH($B$1,Database!$A$1:$E$1,),)=0,#N/A,VLOOKUP(Table73[[#This Row],[Date]],Database!$A:$E,MATCH($B$1,Database!$A$1:$E$1,),))</f>
        <v/>
      </c>
      <c r="C2788">
        <f>IF(VLOOKUP(Table73[[#This Row],[Date]],Database!$A:$C,MATCH($C$1,Database!$A$1:$C$1,),)=0,#N/A,VLOOKUP(Table73[[#This Row],[Date]],Database!$A:$C,MATCH($C$1,Database!$A$1:$C$1,),))</f>
        <v/>
      </c>
      <c r="D2788">
        <f>IFERROR(Table73[[#This Row],[United States 10y]]-Table73[[#This Row],[United States 2y]],#N/A)</f>
        <v/>
      </c>
    </row>
    <row r="2789">
      <c r="A2789" s="6">
        <f>Database!A2788</f>
        <v/>
      </c>
      <c r="B2789">
        <f>IF(VLOOKUP(Table73[[#This Row],[Date]],Database!$A:$E,MATCH($B$1,Database!$A$1:$E$1,),)=0,#N/A,VLOOKUP(Table73[[#This Row],[Date]],Database!$A:$E,MATCH($B$1,Database!$A$1:$E$1,),))</f>
        <v/>
      </c>
      <c r="C2789">
        <f>IF(VLOOKUP(Table73[[#This Row],[Date]],Database!$A:$C,MATCH($C$1,Database!$A$1:$C$1,),)=0,#N/A,VLOOKUP(Table73[[#This Row],[Date]],Database!$A:$C,MATCH($C$1,Database!$A$1:$C$1,),))</f>
        <v/>
      </c>
      <c r="D2789">
        <f>IFERROR(Table73[[#This Row],[United States 10y]]-Table73[[#This Row],[United States 2y]],#N/A)</f>
        <v/>
      </c>
    </row>
    <row r="2790">
      <c r="A2790" s="6">
        <f>Database!A2789</f>
        <v/>
      </c>
      <c r="B2790">
        <f>IF(VLOOKUP(Table73[[#This Row],[Date]],Database!$A:$E,MATCH($B$1,Database!$A$1:$E$1,),)=0,#N/A,VLOOKUP(Table73[[#This Row],[Date]],Database!$A:$E,MATCH($B$1,Database!$A$1:$E$1,),))</f>
        <v/>
      </c>
      <c r="C2790">
        <f>IF(VLOOKUP(Table73[[#This Row],[Date]],Database!$A:$C,MATCH($C$1,Database!$A$1:$C$1,),)=0,#N/A,VLOOKUP(Table73[[#This Row],[Date]],Database!$A:$C,MATCH($C$1,Database!$A$1:$C$1,),))</f>
        <v/>
      </c>
      <c r="D2790">
        <f>IFERROR(Table73[[#This Row],[United States 10y]]-Table73[[#This Row],[United States 2y]],#N/A)</f>
        <v/>
      </c>
    </row>
    <row r="2791">
      <c r="A2791" s="6">
        <f>Database!A2790</f>
        <v/>
      </c>
      <c r="B2791">
        <f>IF(VLOOKUP(Table73[[#This Row],[Date]],Database!$A:$E,MATCH($B$1,Database!$A$1:$E$1,),)=0,#N/A,VLOOKUP(Table73[[#This Row],[Date]],Database!$A:$E,MATCH($B$1,Database!$A$1:$E$1,),))</f>
        <v/>
      </c>
      <c r="C2791">
        <f>IF(VLOOKUP(Table73[[#This Row],[Date]],Database!$A:$C,MATCH($C$1,Database!$A$1:$C$1,),)=0,#N/A,VLOOKUP(Table73[[#This Row],[Date]],Database!$A:$C,MATCH($C$1,Database!$A$1:$C$1,),))</f>
        <v/>
      </c>
      <c r="D2791">
        <f>IFERROR(Table73[[#This Row],[United States 10y]]-Table73[[#This Row],[United States 2y]],#N/A)</f>
        <v/>
      </c>
    </row>
    <row r="2792">
      <c r="A2792" s="6">
        <f>Database!A2791</f>
        <v/>
      </c>
      <c r="B2792">
        <f>IF(VLOOKUP(Table73[[#This Row],[Date]],Database!$A:$E,MATCH($B$1,Database!$A$1:$E$1,),)=0,#N/A,VLOOKUP(Table73[[#This Row],[Date]],Database!$A:$E,MATCH($B$1,Database!$A$1:$E$1,),))</f>
        <v/>
      </c>
      <c r="C2792">
        <f>IF(VLOOKUP(Table73[[#This Row],[Date]],Database!$A:$C,MATCH($C$1,Database!$A$1:$C$1,),)=0,#N/A,VLOOKUP(Table73[[#This Row],[Date]],Database!$A:$C,MATCH($C$1,Database!$A$1:$C$1,),))</f>
        <v/>
      </c>
      <c r="D2792">
        <f>IFERROR(Table73[[#This Row],[United States 10y]]-Table73[[#This Row],[United States 2y]],#N/A)</f>
        <v/>
      </c>
    </row>
    <row r="2793">
      <c r="A2793" s="6">
        <f>Database!A2792</f>
        <v/>
      </c>
      <c r="B2793">
        <f>IF(VLOOKUP(Table73[[#This Row],[Date]],Database!$A:$E,MATCH($B$1,Database!$A$1:$E$1,),)=0,#N/A,VLOOKUP(Table73[[#This Row],[Date]],Database!$A:$E,MATCH($B$1,Database!$A$1:$E$1,),))</f>
        <v/>
      </c>
      <c r="C2793">
        <f>IF(VLOOKUP(Table73[[#This Row],[Date]],Database!$A:$C,MATCH($C$1,Database!$A$1:$C$1,),)=0,#N/A,VLOOKUP(Table73[[#This Row],[Date]],Database!$A:$C,MATCH($C$1,Database!$A$1:$C$1,),))</f>
        <v/>
      </c>
      <c r="D2793">
        <f>IFERROR(Table73[[#This Row],[United States 10y]]-Table73[[#This Row],[United States 2y]],#N/A)</f>
        <v/>
      </c>
    </row>
    <row r="2794">
      <c r="A2794" s="6">
        <f>Database!A2793</f>
        <v/>
      </c>
      <c r="B2794">
        <f>IF(VLOOKUP(Table73[[#This Row],[Date]],Database!$A:$E,MATCH($B$1,Database!$A$1:$E$1,),)=0,#N/A,VLOOKUP(Table73[[#This Row],[Date]],Database!$A:$E,MATCH($B$1,Database!$A$1:$E$1,),))</f>
        <v/>
      </c>
      <c r="C2794">
        <f>IF(VLOOKUP(Table73[[#This Row],[Date]],Database!$A:$C,MATCH($C$1,Database!$A$1:$C$1,),)=0,#N/A,VLOOKUP(Table73[[#This Row],[Date]],Database!$A:$C,MATCH($C$1,Database!$A$1:$C$1,),))</f>
        <v/>
      </c>
      <c r="D2794">
        <f>IFERROR(Table73[[#This Row],[United States 10y]]-Table73[[#This Row],[United States 2y]],#N/A)</f>
        <v/>
      </c>
    </row>
    <row r="2795">
      <c r="A2795" s="6">
        <f>Database!A2794</f>
        <v/>
      </c>
      <c r="B2795">
        <f>IF(VLOOKUP(Table73[[#This Row],[Date]],Database!$A:$E,MATCH($B$1,Database!$A$1:$E$1,),)=0,#N/A,VLOOKUP(Table73[[#This Row],[Date]],Database!$A:$E,MATCH($B$1,Database!$A$1:$E$1,),))</f>
        <v/>
      </c>
      <c r="C2795">
        <f>IF(VLOOKUP(Table73[[#This Row],[Date]],Database!$A:$C,MATCH($C$1,Database!$A$1:$C$1,),)=0,#N/A,VLOOKUP(Table73[[#This Row],[Date]],Database!$A:$C,MATCH($C$1,Database!$A$1:$C$1,),))</f>
        <v/>
      </c>
      <c r="D2795">
        <f>IFERROR(Table73[[#This Row],[United States 10y]]-Table73[[#This Row],[United States 2y]],#N/A)</f>
        <v/>
      </c>
    </row>
    <row r="2796">
      <c r="A2796" s="6">
        <f>Database!A2795</f>
        <v/>
      </c>
      <c r="B2796">
        <f>IF(VLOOKUP(Table73[[#This Row],[Date]],Database!$A:$E,MATCH($B$1,Database!$A$1:$E$1,),)=0,#N/A,VLOOKUP(Table73[[#This Row],[Date]],Database!$A:$E,MATCH($B$1,Database!$A$1:$E$1,),))</f>
        <v/>
      </c>
      <c r="C2796">
        <f>IF(VLOOKUP(Table73[[#This Row],[Date]],Database!$A:$C,MATCH($C$1,Database!$A$1:$C$1,),)=0,#N/A,VLOOKUP(Table73[[#This Row],[Date]],Database!$A:$C,MATCH($C$1,Database!$A$1:$C$1,),))</f>
        <v/>
      </c>
      <c r="D2796">
        <f>IFERROR(Table73[[#This Row],[United States 10y]]-Table73[[#This Row],[United States 2y]],#N/A)</f>
        <v/>
      </c>
    </row>
    <row r="2797">
      <c r="A2797" s="6">
        <f>Database!A2796</f>
        <v/>
      </c>
      <c r="B2797">
        <f>IF(VLOOKUP(Table73[[#This Row],[Date]],Database!$A:$E,MATCH($B$1,Database!$A$1:$E$1,),)=0,#N/A,VLOOKUP(Table73[[#This Row],[Date]],Database!$A:$E,MATCH($B$1,Database!$A$1:$E$1,),))</f>
        <v/>
      </c>
      <c r="C2797">
        <f>IF(VLOOKUP(Table73[[#This Row],[Date]],Database!$A:$C,MATCH($C$1,Database!$A$1:$C$1,),)=0,#N/A,VLOOKUP(Table73[[#This Row],[Date]],Database!$A:$C,MATCH($C$1,Database!$A$1:$C$1,),))</f>
        <v/>
      </c>
      <c r="D2797">
        <f>IFERROR(Table73[[#This Row],[United States 10y]]-Table73[[#This Row],[United States 2y]],#N/A)</f>
        <v/>
      </c>
    </row>
    <row r="2798">
      <c r="A2798" s="6">
        <f>Database!A2797</f>
        <v/>
      </c>
      <c r="B2798">
        <f>IF(VLOOKUP(Table73[[#This Row],[Date]],Database!$A:$E,MATCH($B$1,Database!$A$1:$E$1,),)=0,#N/A,VLOOKUP(Table73[[#This Row],[Date]],Database!$A:$E,MATCH($B$1,Database!$A$1:$E$1,),))</f>
        <v/>
      </c>
      <c r="C2798">
        <f>IF(VLOOKUP(Table73[[#This Row],[Date]],Database!$A:$C,MATCH($C$1,Database!$A$1:$C$1,),)=0,#N/A,VLOOKUP(Table73[[#This Row],[Date]],Database!$A:$C,MATCH($C$1,Database!$A$1:$C$1,),))</f>
        <v/>
      </c>
      <c r="D2798">
        <f>IFERROR(Table73[[#This Row],[United States 10y]]-Table73[[#This Row],[United States 2y]],#N/A)</f>
        <v/>
      </c>
    </row>
    <row r="2799">
      <c r="A2799" s="6">
        <f>Database!A2798</f>
        <v/>
      </c>
      <c r="B2799">
        <f>IF(VLOOKUP(Table73[[#This Row],[Date]],Database!$A:$E,MATCH($B$1,Database!$A$1:$E$1,),)=0,#N/A,VLOOKUP(Table73[[#This Row],[Date]],Database!$A:$E,MATCH($B$1,Database!$A$1:$E$1,),))</f>
        <v/>
      </c>
      <c r="C2799">
        <f>IF(VLOOKUP(Table73[[#This Row],[Date]],Database!$A:$C,MATCH($C$1,Database!$A$1:$C$1,),)=0,#N/A,VLOOKUP(Table73[[#This Row],[Date]],Database!$A:$C,MATCH($C$1,Database!$A$1:$C$1,),))</f>
        <v/>
      </c>
      <c r="D2799">
        <f>IFERROR(Table73[[#This Row],[United States 10y]]-Table73[[#This Row],[United States 2y]],#N/A)</f>
        <v/>
      </c>
    </row>
    <row r="2800">
      <c r="A2800" s="6">
        <f>Database!A2799</f>
        <v/>
      </c>
      <c r="B2800">
        <f>IF(VLOOKUP(Table73[[#This Row],[Date]],Database!$A:$E,MATCH($B$1,Database!$A$1:$E$1,),)=0,#N/A,VLOOKUP(Table73[[#This Row],[Date]],Database!$A:$E,MATCH($B$1,Database!$A$1:$E$1,),))</f>
        <v/>
      </c>
      <c r="C2800">
        <f>IF(VLOOKUP(Table73[[#This Row],[Date]],Database!$A:$C,MATCH($C$1,Database!$A$1:$C$1,),)=0,#N/A,VLOOKUP(Table73[[#This Row],[Date]],Database!$A:$C,MATCH($C$1,Database!$A$1:$C$1,),))</f>
        <v/>
      </c>
      <c r="D2800">
        <f>IFERROR(Table73[[#This Row],[United States 10y]]-Table73[[#This Row],[United States 2y]],#N/A)</f>
        <v/>
      </c>
    </row>
    <row r="2801">
      <c r="A2801" s="6">
        <f>Database!A2800</f>
        <v/>
      </c>
      <c r="B2801">
        <f>IF(VLOOKUP(Table73[[#This Row],[Date]],Database!$A:$E,MATCH($B$1,Database!$A$1:$E$1,),)=0,#N/A,VLOOKUP(Table73[[#This Row],[Date]],Database!$A:$E,MATCH($B$1,Database!$A$1:$E$1,),))</f>
        <v/>
      </c>
      <c r="C2801">
        <f>IF(VLOOKUP(Table73[[#This Row],[Date]],Database!$A:$C,MATCH($C$1,Database!$A$1:$C$1,),)=0,#N/A,VLOOKUP(Table73[[#This Row],[Date]],Database!$A:$C,MATCH($C$1,Database!$A$1:$C$1,),))</f>
        <v/>
      </c>
      <c r="D2801">
        <f>IFERROR(Table73[[#This Row],[United States 10y]]-Table73[[#This Row],[United States 2y]],#N/A)</f>
        <v/>
      </c>
    </row>
    <row r="2802">
      <c r="A2802" s="6">
        <f>Database!A2801</f>
        <v/>
      </c>
      <c r="B2802">
        <f>IF(VLOOKUP(Table73[[#This Row],[Date]],Database!$A:$E,MATCH($B$1,Database!$A$1:$E$1,),)=0,#N/A,VLOOKUP(Table73[[#This Row],[Date]],Database!$A:$E,MATCH($B$1,Database!$A$1:$E$1,),))</f>
        <v/>
      </c>
      <c r="C2802">
        <f>IF(VLOOKUP(Table73[[#This Row],[Date]],Database!$A:$C,MATCH($C$1,Database!$A$1:$C$1,),)=0,#N/A,VLOOKUP(Table73[[#This Row],[Date]],Database!$A:$C,MATCH($C$1,Database!$A$1:$C$1,),))</f>
        <v/>
      </c>
      <c r="D2802">
        <f>IFERROR(Table73[[#This Row],[United States 10y]]-Table73[[#This Row],[United States 2y]],#N/A)</f>
        <v/>
      </c>
    </row>
    <row r="2803">
      <c r="A2803" s="6">
        <f>Database!A2802</f>
        <v/>
      </c>
      <c r="B2803">
        <f>IF(VLOOKUP(Table73[[#This Row],[Date]],Database!$A:$E,MATCH($B$1,Database!$A$1:$E$1,),)=0,#N/A,VLOOKUP(Table73[[#This Row],[Date]],Database!$A:$E,MATCH($B$1,Database!$A$1:$E$1,),))</f>
        <v/>
      </c>
      <c r="C2803">
        <f>IF(VLOOKUP(Table73[[#This Row],[Date]],Database!$A:$C,MATCH($C$1,Database!$A$1:$C$1,),)=0,#N/A,VLOOKUP(Table73[[#This Row],[Date]],Database!$A:$C,MATCH($C$1,Database!$A$1:$C$1,),))</f>
        <v/>
      </c>
      <c r="D2803">
        <f>IFERROR(Table73[[#This Row],[United States 10y]]-Table73[[#This Row],[United States 2y]],#N/A)</f>
        <v/>
      </c>
    </row>
    <row r="2804">
      <c r="A2804" s="6">
        <f>Database!A2803</f>
        <v/>
      </c>
      <c r="B2804">
        <f>IF(VLOOKUP(Table73[[#This Row],[Date]],Database!$A:$E,MATCH($B$1,Database!$A$1:$E$1,),)=0,#N/A,VLOOKUP(Table73[[#This Row],[Date]],Database!$A:$E,MATCH($B$1,Database!$A$1:$E$1,),))</f>
        <v/>
      </c>
      <c r="C2804">
        <f>IF(VLOOKUP(Table73[[#This Row],[Date]],Database!$A:$C,MATCH($C$1,Database!$A$1:$C$1,),)=0,#N/A,VLOOKUP(Table73[[#This Row],[Date]],Database!$A:$C,MATCH($C$1,Database!$A$1:$C$1,),))</f>
        <v/>
      </c>
      <c r="D2804">
        <f>IFERROR(Table73[[#This Row],[United States 10y]]-Table73[[#This Row],[United States 2y]],#N/A)</f>
        <v/>
      </c>
    </row>
    <row r="2805">
      <c r="A2805" s="6">
        <f>Database!A2804</f>
        <v/>
      </c>
      <c r="B2805">
        <f>IF(VLOOKUP(Table73[[#This Row],[Date]],Database!$A:$E,MATCH($B$1,Database!$A$1:$E$1,),)=0,#N/A,VLOOKUP(Table73[[#This Row],[Date]],Database!$A:$E,MATCH($B$1,Database!$A$1:$E$1,),))</f>
        <v/>
      </c>
      <c r="C2805">
        <f>IF(VLOOKUP(Table73[[#This Row],[Date]],Database!$A:$C,MATCH($C$1,Database!$A$1:$C$1,),)=0,#N/A,VLOOKUP(Table73[[#This Row],[Date]],Database!$A:$C,MATCH($C$1,Database!$A$1:$C$1,),))</f>
        <v/>
      </c>
      <c r="D2805">
        <f>IFERROR(Table73[[#This Row],[United States 10y]]-Table73[[#This Row],[United States 2y]],#N/A)</f>
        <v/>
      </c>
    </row>
    <row r="2806" ht="16" customHeight="1" s="7">
      <c r="A2806" s="12">
        <f>Database!A2805</f>
        <v/>
      </c>
      <c r="B2806" s="13">
        <f>IF(VLOOKUP(Table73[[#This Row],[Date]],Database!$A:$E,MATCH($B$1,Database!$A$1:$E$1,),)=0,#N/A,VLOOKUP(Table73[[#This Row],[Date]],Database!$A:$E,MATCH($B$1,Database!$A$1:$E$1,),))</f>
        <v/>
      </c>
      <c r="C2806" s="13">
        <f>IF(VLOOKUP(Table73[[#This Row],[Date]],Database!$A:$C,MATCH($C$1,Database!$A$1:$C$1,),)=0,#N/A,VLOOKUP(Table73[[#This Row],[Date]],Database!$A:$C,MATCH($C$1,Database!$A$1:$C$1,),))</f>
        <v/>
      </c>
      <c r="D2806" s="13">
        <f>IFERROR(Table73[[#This Row],[United States 10y]]-Table73[[#This Row],[United States 2y]],#N/A)</f>
        <v/>
      </c>
    </row>
    <row r="2807" ht="16" customHeight="1" s="7">
      <c r="A2807" s="10">
        <f>Database!A2806</f>
        <v/>
      </c>
      <c r="B2807" s="11">
        <f>IF(VLOOKUP(Table73[[#This Row],[Date]],Database!$A:$E,MATCH($B$1,Database!$A$1:$E$1,),)=0,#N/A,VLOOKUP(Table73[[#This Row],[Date]],Database!$A:$E,MATCH($B$1,Database!$A$1:$E$1,),))</f>
        <v/>
      </c>
      <c r="C2807" s="11">
        <f>IF(VLOOKUP(Table73[[#This Row],[Date]],Database!$A:$C,MATCH($C$1,Database!$A$1:$C$1,),)=0,#N/A,VLOOKUP(Table73[[#This Row],[Date]],Database!$A:$C,MATCH($C$1,Database!$A$1:$C$1,),))</f>
        <v/>
      </c>
      <c r="D2807" s="11">
        <f>IFERROR(Table73[[#This Row],[United States 10y]]-Table73[[#This Row],[United States 2y]],#N/A)</f>
        <v/>
      </c>
    </row>
    <row r="2808" ht="16" customHeight="1" s="7">
      <c r="A2808" s="10">
        <f>Database!A2807</f>
        <v/>
      </c>
      <c r="B2808" s="11">
        <f>IF(VLOOKUP(Table73[[#This Row],[Date]],Database!$A:$E,MATCH($B$1,Database!$A$1:$E$1,),)=0,#N/A,VLOOKUP(Table73[[#This Row],[Date]],Database!$A:$E,MATCH($B$1,Database!$A$1:$E$1,),))</f>
        <v/>
      </c>
      <c r="C2808" s="11">
        <f>IF(VLOOKUP(Table73[[#This Row],[Date]],Database!$A:$C,MATCH($C$1,Database!$A$1:$C$1,),)=0,#N/A,VLOOKUP(Table73[[#This Row],[Date]],Database!$A:$C,MATCH($C$1,Database!$A$1:$C$1,),))</f>
        <v/>
      </c>
      <c r="D2808" s="11">
        <f>IFERROR(Table73[[#This Row],[United States 10y]]-Table73[[#This Row],[United States 2y]],#N/A)</f>
        <v/>
      </c>
    </row>
    <row r="2809" ht="16" customHeight="1" s="7">
      <c r="A2809" s="10">
        <f>Database!A2808</f>
        <v/>
      </c>
      <c r="B2809" s="11">
        <f>IF(VLOOKUP(Table73[[#This Row],[Date]],Database!$A:$E,MATCH($B$1,Database!$A$1:$E$1,),)=0,#N/A,VLOOKUP(Table73[[#This Row],[Date]],Database!$A:$E,MATCH($B$1,Database!$A$1:$E$1,),))</f>
        <v/>
      </c>
      <c r="C2809" s="11">
        <f>IF(VLOOKUP(Table73[[#This Row],[Date]],Database!$A:$C,MATCH($C$1,Database!$A$1:$C$1,),)=0,#N/A,VLOOKUP(Table73[[#This Row],[Date]],Database!$A:$C,MATCH($C$1,Database!$A$1:$C$1,),))</f>
        <v/>
      </c>
      <c r="D2809" s="11">
        <f>IFERROR(Table73[[#This Row],[United States 10y]]-Table73[[#This Row],[United States 2y]],#N/A)</f>
        <v/>
      </c>
    </row>
    <row r="2810" ht="16" customHeight="1" s="7">
      <c r="A2810" s="10">
        <f>Database!A2809</f>
        <v/>
      </c>
      <c r="B2810" s="11">
        <f>IF(VLOOKUP(Table73[[#This Row],[Date]],Database!$A:$E,MATCH($B$1,Database!$A$1:$E$1,),)=0,#N/A,VLOOKUP(Table73[[#This Row],[Date]],Database!$A:$E,MATCH($B$1,Database!$A$1:$E$1,),))</f>
        <v/>
      </c>
      <c r="C2810" s="11">
        <f>IF(VLOOKUP(Table73[[#This Row],[Date]],Database!$A:$C,MATCH($C$1,Database!$A$1:$C$1,),)=0,#N/A,VLOOKUP(Table73[[#This Row],[Date]],Database!$A:$C,MATCH($C$1,Database!$A$1:$C$1,),))</f>
        <v/>
      </c>
      <c r="D2810" s="11">
        <f>IFERROR(Table73[[#This Row],[United States 10y]]-Table73[[#This Row],[United States 2y]],#N/A)</f>
        <v/>
      </c>
    </row>
    <row r="2811" ht="16" customHeight="1" s="7">
      <c r="A2811" s="10">
        <f>Database!A2810</f>
        <v/>
      </c>
      <c r="B2811" s="11">
        <f>IF(VLOOKUP(Table73[[#This Row],[Date]],Database!$A:$E,MATCH($B$1,Database!$A$1:$E$1,),)=0,#N/A,VLOOKUP(Table73[[#This Row],[Date]],Database!$A:$E,MATCH($B$1,Database!$A$1:$E$1,),))</f>
        <v/>
      </c>
      <c r="C2811" s="11">
        <f>IF(VLOOKUP(Table73[[#This Row],[Date]],Database!$A:$C,MATCH($C$1,Database!$A$1:$C$1,),)=0,#N/A,VLOOKUP(Table73[[#This Row],[Date]],Database!$A:$C,MATCH($C$1,Database!$A$1:$C$1,),))</f>
        <v/>
      </c>
      <c r="D2811" s="11">
        <f>IFERROR(Table73[[#This Row],[United States 10y]]-Table73[[#This Row],[United States 2y]],#N/A)</f>
        <v/>
      </c>
    </row>
    <row r="2812" ht="16" customHeight="1" s="7">
      <c r="A2812" s="10">
        <f>Database!A2811</f>
        <v/>
      </c>
      <c r="B2812" s="11">
        <f>IF(VLOOKUP(Table73[[#This Row],[Date]],Database!$A:$E,MATCH($B$1,Database!$A$1:$E$1,),)=0,#N/A,VLOOKUP(Table73[[#This Row],[Date]],Database!$A:$E,MATCH($B$1,Database!$A$1:$E$1,),))</f>
        <v/>
      </c>
      <c r="C2812" s="11">
        <f>IF(VLOOKUP(Table73[[#This Row],[Date]],Database!$A:$C,MATCH($C$1,Database!$A$1:$C$1,),)=0,#N/A,VLOOKUP(Table73[[#This Row],[Date]],Database!$A:$C,MATCH($C$1,Database!$A$1:$C$1,),))</f>
        <v/>
      </c>
      <c r="D2812" s="11">
        <f>IFERROR(Table73[[#This Row],[United States 10y]]-Table73[[#This Row],[United States 2y]],#N/A)</f>
        <v/>
      </c>
    </row>
    <row r="2813" ht="16" customHeight="1" s="7">
      <c r="A2813" s="12">
        <f>Database!A2812</f>
        <v/>
      </c>
      <c r="B2813" s="13">
        <f>IF(VLOOKUP(Table73[[#This Row],[Date]],Database!$A:$E,MATCH($B$1,Database!$A$1:$E$1,),)=0,#N/A,VLOOKUP(Table73[[#This Row],[Date]],Database!$A:$E,MATCH($B$1,Database!$A$1:$E$1,),))</f>
        <v/>
      </c>
      <c r="C2813" s="13">
        <f>IF(VLOOKUP(Table73[[#This Row],[Date]],Database!$A:$C,MATCH($C$1,Database!$A$1:$C$1,),)=0,#N/A,VLOOKUP(Table73[[#This Row],[Date]],Database!$A:$C,MATCH($C$1,Database!$A$1:$C$1,),))</f>
        <v/>
      </c>
      <c r="D2813" s="13">
        <f>IFERROR(Table73[[#This Row],[United States 10y]]-Table73[[#This Row],[United States 2y]],#N/A)</f>
        <v/>
      </c>
    </row>
    <row r="2814">
      <c r="A2814" s="6">
        <f>Database!A2813</f>
        <v/>
      </c>
      <c r="B2814">
        <f>IF(VLOOKUP(Table73[[#This Row],[Date]],Database!$A:$E,MATCH($B$1,Database!$A$1:$E$1,),)=0,#N/A,VLOOKUP(Table73[[#This Row],[Date]],Database!$A:$E,MATCH($B$1,Database!$A$1:$E$1,),))</f>
        <v/>
      </c>
      <c r="C2814">
        <f>IF(VLOOKUP(Table73[[#This Row],[Date]],Database!$A:$C,MATCH($C$1,Database!$A$1:$C$1,),)=0,#N/A,VLOOKUP(Table73[[#This Row],[Date]],Database!$A:$C,MATCH($C$1,Database!$A$1:$C$1,),))</f>
        <v/>
      </c>
      <c r="D2814">
        <f>IFERROR(Table73[[#This Row],[United States 10y]]-Table73[[#This Row],[United States 2y]],#N/A)</f>
        <v/>
      </c>
    </row>
    <row r="2815">
      <c r="A2815" s="6">
        <f>Database!A2814</f>
        <v/>
      </c>
      <c r="B2815">
        <f>IF(VLOOKUP(Table73[[#This Row],[Date]],Database!$A:$E,MATCH($B$1,Database!$A$1:$E$1,),)=0,#N/A,VLOOKUP(Table73[[#This Row],[Date]],Database!$A:$E,MATCH($B$1,Database!$A$1:$E$1,),))</f>
        <v/>
      </c>
      <c r="C2815">
        <f>IF(VLOOKUP(Table73[[#This Row],[Date]],Database!$A:$C,MATCH($C$1,Database!$A$1:$C$1,),)=0,#N/A,VLOOKUP(Table73[[#This Row],[Date]],Database!$A:$C,MATCH($C$1,Database!$A$1:$C$1,),))</f>
        <v/>
      </c>
      <c r="D2815">
        <f>IFERROR(Table73[[#This Row],[United States 10y]]-Table73[[#This Row],[United States 2y]],#N/A)</f>
        <v/>
      </c>
    </row>
    <row r="2816">
      <c r="A2816" s="6">
        <f>Database!A2815</f>
        <v/>
      </c>
      <c r="B2816">
        <f>IF(VLOOKUP(Table73[[#This Row],[Date]],Database!$A:$E,MATCH($B$1,Database!$A$1:$E$1,),)=0,#N/A,VLOOKUP(Table73[[#This Row],[Date]],Database!$A:$E,MATCH($B$1,Database!$A$1:$E$1,),))</f>
        <v/>
      </c>
      <c r="C2816">
        <f>IF(VLOOKUP(Table73[[#This Row],[Date]],Database!$A:$C,MATCH($C$1,Database!$A$1:$C$1,),)=0,#N/A,VLOOKUP(Table73[[#This Row],[Date]],Database!$A:$C,MATCH($C$1,Database!$A$1:$C$1,),))</f>
        <v/>
      </c>
      <c r="D2816">
        <f>IFERROR(Table73[[#This Row],[United States 10y]]-Table73[[#This Row],[United States 2y]],#N/A)</f>
        <v/>
      </c>
    </row>
    <row r="2817">
      <c r="A2817" s="6">
        <f>Database!A2816</f>
        <v/>
      </c>
      <c r="B2817">
        <f>IF(VLOOKUP(Table73[[#This Row],[Date]],Database!$A:$E,MATCH($B$1,Database!$A$1:$E$1,),)=0,#N/A,VLOOKUP(Table73[[#This Row],[Date]],Database!$A:$E,MATCH($B$1,Database!$A$1:$E$1,),))</f>
        <v/>
      </c>
      <c r="C2817">
        <f>IF(VLOOKUP(Table73[[#This Row],[Date]],Database!$A:$C,MATCH($C$1,Database!$A$1:$C$1,),)=0,#N/A,VLOOKUP(Table73[[#This Row],[Date]],Database!$A:$C,MATCH($C$1,Database!$A$1:$C$1,),))</f>
        <v/>
      </c>
      <c r="D2817">
        <f>IFERROR(Table73[[#This Row],[United States 10y]]-Table73[[#This Row],[United States 2y]],#N/A)</f>
        <v/>
      </c>
    </row>
    <row r="2818">
      <c r="A2818" s="6">
        <f>Database!A2817</f>
        <v/>
      </c>
      <c r="B2818">
        <f>IF(VLOOKUP(Table73[[#This Row],[Date]],Database!$A:$E,MATCH($B$1,Database!$A$1:$E$1,),)=0,#N/A,VLOOKUP(Table73[[#This Row],[Date]],Database!$A:$E,MATCH($B$1,Database!$A$1:$E$1,),))</f>
        <v/>
      </c>
      <c r="C2818">
        <f>IF(VLOOKUP(Table73[[#This Row],[Date]],Database!$A:$C,MATCH($C$1,Database!$A$1:$C$1,),)=0,#N/A,VLOOKUP(Table73[[#This Row],[Date]],Database!$A:$C,MATCH($C$1,Database!$A$1:$C$1,),))</f>
        <v/>
      </c>
      <c r="D2818">
        <f>IFERROR(Table73[[#This Row],[United States 10y]]-Table73[[#This Row],[United States 2y]],#N/A)</f>
        <v/>
      </c>
    </row>
    <row r="2819">
      <c r="A2819" s="6">
        <f>Database!A2818</f>
        <v/>
      </c>
      <c r="B2819">
        <f>IF(VLOOKUP(Table73[[#This Row],[Date]],Database!$A:$E,MATCH($B$1,Database!$A$1:$E$1,),)=0,#N/A,VLOOKUP(Table73[[#This Row],[Date]],Database!$A:$E,MATCH($B$1,Database!$A$1:$E$1,),))</f>
        <v/>
      </c>
      <c r="C2819">
        <f>IF(VLOOKUP(Table73[[#This Row],[Date]],Database!$A:$C,MATCH($C$1,Database!$A$1:$C$1,),)=0,#N/A,VLOOKUP(Table73[[#This Row],[Date]],Database!$A:$C,MATCH($C$1,Database!$A$1:$C$1,),))</f>
        <v/>
      </c>
      <c r="D2819">
        <f>IFERROR(Table73[[#This Row],[United States 10y]]-Table73[[#This Row],[United States 2y]],#N/A)</f>
        <v/>
      </c>
    </row>
    <row r="2820">
      <c r="A2820" s="6">
        <f>Database!A2819</f>
        <v/>
      </c>
      <c r="B2820">
        <f>IF(VLOOKUP(Table73[[#This Row],[Date]],Database!$A:$E,MATCH($B$1,Database!$A$1:$E$1,),)=0,#N/A,VLOOKUP(Table73[[#This Row],[Date]],Database!$A:$E,MATCH($B$1,Database!$A$1:$E$1,),))</f>
        <v/>
      </c>
      <c r="C2820">
        <f>IF(VLOOKUP(Table73[[#This Row],[Date]],Database!$A:$C,MATCH($C$1,Database!$A$1:$C$1,),)=0,#N/A,VLOOKUP(Table73[[#This Row],[Date]],Database!$A:$C,MATCH($C$1,Database!$A$1:$C$1,),))</f>
        <v/>
      </c>
      <c r="D2820">
        <f>IFERROR(Table73[[#This Row],[United States 10y]]-Table73[[#This Row],[United States 2y]],#N/A)</f>
        <v/>
      </c>
    </row>
    <row r="2821">
      <c r="A2821" s="6">
        <f>Database!A2820</f>
        <v/>
      </c>
      <c r="B2821">
        <f>IF(VLOOKUP(Table73[[#This Row],[Date]],Database!$A:$E,MATCH($B$1,Database!$A$1:$E$1,),)=0,#N/A,VLOOKUP(Table73[[#This Row],[Date]],Database!$A:$E,MATCH($B$1,Database!$A$1:$E$1,),))</f>
        <v/>
      </c>
      <c r="C2821">
        <f>IF(VLOOKUP(Table73[[#This Row],[Date]],Database!$A:$C,MATCH($C$1,Database!$A$1:$C$1,),)=0,#N/A,VLOOKUP(Table73[[#This Row],[Date]],Database!$A:$C,MATCH($C$1,Database!$A$1:$C$1,),))</f>
        <v/>
      </c>
      <c r="D2821">
        <f>IFERROR(Table73[[#This Row],[United States 10y]]-Table73[[#This Row],[United States 2y]],#N/A)</f>
        <v/>
      </c>
    </row>
    <row r="2822">
      <c r="A2822" s="6">
        <f>Database!A2821</f>
        <v/>
      </c>
      <c r="B2822">
        <f>IF(VLOOKUP(Table73[[#This Row],[Date]],Database!$A:$E,MATCH($B$1,Database!$A$1:$E$1,),)=0,#N/A,VLOOKUP(Table73[[#This Row],[Date]],Database!$A:$E,MATCH($B$1,Database!$A$1:$E$1,),))</f>
        <v/>
      </c>
      <c r="C2822">
        <f>IF(VLOOKUP(Table73[[#This Row],[Date]],Database!$A:$C,MATCH($C$1,Database!$A$1:$C$1,),)=0,#N/A,VLOOKUP(Table73[[#This Row],[Date]],Database!$A:$C,MATCH($C$1,Database!$A$1:$C$1,),))</f>
        <v/>
      </c>
      <c r="D2822">
        <f>IFERROR(Table73[[#This Row],[United States 10y]]-Table73[[#This Row],[United States 2y]],#N/A)</f>
        <v/>
      </c>
    </row>
    <row r="2823">
      <c r="A2823" s="6">
        <f>Database!A2822</f>
        <v/>
      </c>
      <c r="B2823">
        <f>IF(VLOOKUP(Table73[[#This Row],[Date]],Database!$A:$E,MATCH($B$1,Database!$A$1:$E$1,),)=0,#N/A,VLOOKUP(Table73[[#This Row],[Date]],Database!$A:$E,MATCH($B$1,Database!$A$1:$E$1,),))</f>
        <v/>
      </c>
      <c r="C2823">
        <f>IF(VLOOKUP(Table73[[#This Row],[Date]],Database!$A:$C,MATCH($C$1,Database!$A$1:$C$1,),)=0,#N/A,VLOOKUP(Table73[[#This Row],[Date]],Database!$A:$C,MATCH($C$1,Database!$A$1:$C$1,),))</f>
        <v/>
      </c>
      <c r="D2823">
        <f>IFERROR(Table73[[#This Row],[United States 10y]]-Table73[[#This Row],[United States 2y]],#N/A)</f>
        <v/>
      </c>
    </row>
    <row r="2824">
      <c r="A2824" s="6">
        <f>Database!A2823</f>
        <v/>
      </c>
      <c r="B2824">
        <f>IF(VLOOKUP(Table73[[#This Row],[Date]],Database!$A:$E,MATCH($B$1,Database!$A$1:$E$1,),)=0,#N/A,VLOOKUP(Table73[[#This Row],[Date]],Database!$A:$E,MATCH($B$1,Database!$A$1:$E$1,),))</f>
        <v/>
      </c>
      <c r="C2824">
        <f>IF(VLOOKUP(Table73[[#This Row],[Date]],Database!$A:$C,MATCH($C$1,Database!$A$1:$C$1,),)=0,#N/A,VLOOKUP(Table73[[#This Row],[Date]],Database!$A:$C,MATCH($C$1,Database!$A$1:$C$1,),))</f>
        <v/>
      </c>
      <c r="D2824">
        <f>IFERROR(Table73[[#This Row],[United States 10y]]-Table73[[#This Row],[United States 2y]],#N/A)</f>
        <v/>
      </c>
    </row>
    <row r="2825">
      <c r="A2825" s="6">
        <f>Database!A2824</f>
        <v/>
      </c>
      <c r="B2825">
        <f>IF(VLOOKUP(Table73[[#This Row],[Date]],Database!$A:$E,MATCH($B$1,Database!$A$1:$E$1,),)=0,#N/A,VLOOKUP(Table73[[#This Row],[Date]],Database!$A:$E,MATCH($B$1,Database!$A$1:$E$1,),))</f>
        <v/>
      </c>
      <c r="C2825">
        <f>IF(VLOOKUP(Table73[[#This Row],[Date]],Database!$A:$C,MATCH($C$1,Database!$A$1:$C$1,),)=0,#N/A,VLOOKUP(Table73[[#This Row],[Date]],Database!$A:$C,MATCH($C$1,Database!$A$1:$C$1,),))</f>
        <v/>
      </c>
      <c r="D2825">
        <f>IFERROR(Table73[[#This Row],[United States 10y]]-Table73[[#This Row],[United States 2y]],#N/A)</f>
        <v/>
      </c>
    </row>
    <row r="2826">
      <c r="A2826" s="6">
        <f>Database!A2825</f>
        <v/>
      </c>
      <c r="B2826">
        <f>IF(VLOOKUP(Table73[[#This Row],[Date]],Database!$A:$E,MATCH($B$1,Database!$A$1:$E$1,),)=0,#N/A,VLOOKUP(Table73[[#This Row],[Date]],Database!$A:$E,MATCH($B$1,Database!$A$1:$E$1,),))</f>
        <v/>
      </c>
      <c r="C2826">
        <f>IF(VLOOKUP(Table73[[#This Row],[Date]],Database!$A:$C,MATCH($C$1,Database!$A$1:$C$1,),)=0,#N/A,VLOOKUP(Table73[[#This Row],[Date]],Database!$A:$C,MATCH($C$1,Database!$A$1:$C$1,),))</f>
        <v/>
      </c>
      <c r="D2826">
        <f>IFERROR(Table73[[#This Row],[United States 10y]]-Table73[[#This Row],[United States 2y]],#N/A)</f>
        <v/>
      </c>
    </row>
    <row r="2827">
      <c r="A2827" s="6">
        <f>Database!A2826</f>
        <v/>
      </c>
      <c r="B2827">
        <f>IF(VLOOKUP(Table73[[#This Row],[Date]],Database!$A:$E,MATCH($B$1,Database!$A$1:$E$1,),)=0,#N/A,VLOOKUP(Table73[[#This Row],[Date]],Database!$A:$E,MATCH($B$1,Database!$A$1:$E$1,),))</f>
        <v/>
      </c>
      <c r="C2827">
        <f>IF(VLOOKUP(Table73[[#This Row],[Date]],Database!$A:$C,MATCH($C$1,Database!$A$1:$C$1,),)=0,#N/A,VLOOKUP(Table73[[#This Row],[Date]],Database!$A:$C,MATCH($C$1,Database!$A$1:$C$1,),))</f>
        <v/>
      </c>
      <c r="D2827">
        <f>IFERROR(Table73[[#This Row],[United States 10y]]-Table73[[#This Row],[United States 2y]],#N/A)</f>
        <v/>
      </c>
    </row>
    <row r="2828">
      <c r="A2828" s="6">
        <f>Database!A2827</f>
        <v/>
      </c>
      <c r="B2828">
        <f>IF(VLOOKUP(Table73[[#This Row],[Date]],Database!$A:$E,MATCH($B$1,Database!$A$1:$E$1,),)=0,#N/A,VLOOKUP(Table73[[#This Row],[Date]],Database!$A:$E,MATCH($B$1,Database!$A$1:$E$1,),))</f>
        <v/>
      </c>
      <c r="C2828">
        <f>IF(VLOOKUP(Table73[[#This Row],[Date]],Database!$A:$C,MATCH($C$1,Database!$A$1:$C$1,),)=0,#N/A,VLOOKUP(Table73[[#This Row],[Date]],Database!$A:$C,MATCH($C$1,Database!$A$1:$C$1,),))</f>
        <v/>
      </c>
      <c r="D2828">
        <f>IFERROR(Table73[[#This Row],[United States 10y]]-Table73[[#This Row],[United States 2y]],#N/A)</f>
        <v/>
      </c>
    </row>
    <row r="2829">
      <c r="A2829" s="6">
        <f>Database!A2828</f>
        <v/>
      </c>
      <c r="B2829">
        <f>IF(VLOOKUP(Table73[[#This Row],[Date]],Database!$A:$E,MATCH($B$1,Database!$A$1:$E$1,),)=0,#N/A,VLOOKUP(Table73[[#This Row],[Date]],Database!$A:$E,MATCH($B$1,Database!$A$1:$E$1,),))</f>
        <v/>
      </c>
      <c r="C2829">
        <f>IF(VLOOKUP(Table73[[#This Row],[Date]],Database!$A:$C,MATCH($C$1,Database!$A$1:$C$1,),)=0,#N/A,VLOOKUP(Table73[[#This Row],[Date]],Database!$A:$C,MATCH($C$1,Database!$A$1:$C$1,),))</f>
        <v/>
      </c>
      <c r="D2829">
        <f>IFERROR(Table73[[#This Row],[United States 10y]]-Table73[[#This Row],[United States 2y]],#N/A)</f>
        <v/>
      </c>
    </row>
    <row r="2830">
      <c r="A2830" s="6">
        <f>Database!A2829</f>
        <v/>
      </c>
      <c r="B2830">
        <f>IF(VLOOKUP(Table73[[#This Row],[Date]],Database!$A:$E,MATCH($B$1,Database!$A$1:$E$1,),)=0,#N/A,VLOOKUP(Table73[[#This Row],[Date]],Database!$A:$E,MATCH($B$1,Database!$A$1:$E$1,),))</f>
        <v/>
      </c>
      <c r="C2830">
        <f>IF(VLOOKUP(Table73[[#This Row],[Date]],Database!$A:$C,MATCH($C$1,Database!$A$1:$C$1,),)=0,#N/A,VLOOKUP(Table73[[#This Row],[Date]],Database!$A:$C,MATCH($C$1,Database!$A$1:$C$1,),))</f>
        <v/>
      </c>
      <c r="D2830">
        <f>IFERROR(Table73[[#This Row],[United States 10y]]-Table73[[#This Row],[United States 2y]],#N/A)</f>
        <v/>
      </c>
    </row>
    <row r="2831">
      <c r="A2831" s="6">
        <f>Database!A2830</f>
        <v/>
      </c>
      <c r="B2831">
        <f>IF(VLOOKUP(Table73[[#This Row],[Date]],Database!$A:$E,MATCH($B$1,Database!$A$1:$E$1,),)=0,#N/A,VLOOKUP(Table73[[#This Row],[Date]],Database!$A:$E,MATCH($B$1,Database!$A$1:$E$1,),))</f>
        <v/>
      </c>
      <c r="C2831">
        <f>IF(VLOOKUP(Table73[[#This Row],[Date]],Database!$A:$C,MATCH($C$1,Database!$A$1:$C$1,),)=0,#N/A,VLOOKUP(Table73[[#This Row],[Date]],Database!$A:$C,MATCH($C$1,Database!$A$1:$C$1,),))</f>
        <v/>
      </c>
      <c r="D2831">
        <f>IFERROR(Table73[[#This Row],[United States 10y]]-Table73[[#This Row],[United States 2y]],#N/A)</f>
        <v/>
      </c>
    </row>
    <row r="2832">
      <c r="A2832" s="6">
        <f>Database!A2831</f>
        <v/>
      </c>
      <c r="B2832">
        <f>IF(VLOOKUP(Table73[[#This Row],[Date]],Database!$A:$E,MATCH($B$1,Database!$A$1:$E$1,),)=0,#N/A,VLOOKUP(Table73[[#This Row],[Date]],Database!$A:$E,MATCH($B$1,Database!$A$1:$E$1,),))</f>
        <v/>
      </c>
      <c r="C2832">
        <f>IF(VLOOKUP(Table73[[#This Row],[Date]],Database!$A:$C,MATCH($C$1,Database!$A$1:$C$1,),)=0,#N/A,VLOOKUP(Table73[[#This Row],[Date]],Database!$A:$C,MATCH($C$1,Database!$A$1:$C$1,),))</f>
        <v/>
      </c>
      <c r="D2832">
        <f>IFERROR(Table73[[#This Row],[United States 10y]]-Table73[[#This Row],[United States 2y]],#N/A)</f>
        <v/>
      </c>
    </row>
    <row r="2833">
      <c r="A2833" s="6">
        <f>Database!A2832</f>
        <v/>
      </c>
      <c r="B2833">
        <f>IF(VLOOKUP(Table73[[#This Row],[Date]],Database!$A:$E,MATCH($B$1,Database!$A$1:$E$1,),)=0,#N/A,VLOOKUP(Table73[[#This Row],[Date]],Database!$A:$E,MATCH($B$1,Database!$A$1:$E$1,),))</f>
        <v/>
      </c>
      <c r="C2833">
        <f>IF(VLOOKUP(Table73[[#This Row],[Date]],Database!$A:$C,MATCH($C$1,Database!$A$1:$C$1,),)=0,#N/A,VLOOKUP(Table73[[#This Row],[Date]],Database!$A:$C,MATCH($C$1,Database!$A$1:$C$1,),))</f>
        <v/>
      </c>
      <c r="D2833">
        <f>IFERROR(Table73[[#This Row],[United States 10y]]-Table73[[#This Row],[United States 2y]],#N/A)</f>
        <v/>
      </c>
    </row>
    <row r="2834">
      <c r="A2834" s="6">
        <f>Database!A2833</f>
        <v/>
      </c>
      <c r="B2834">
        <f>IF(VLOOKUP(Table73[[#This Row],[Date]],Database!$A:$E,MATCH($B$1,Database!$A$1:$E$1,),)=0,#N/A,VLOOKUP(Table73[[#This Row],[Date]],Database!$A:$E,MATCH($B$1,Database!$A$1:$E$1,),))</f>
        <v/>
      </c>
      <c r="C2834">
        <f>IF(VLOOKUP(Table73[[#This Row],[Date]],Database!$A:$C,MATCH($C$1,Database!$A$1:$C$1,),)=0,#N/A,VLOOKUP(Table73[[#This Row],[Date]],Database!$A:$C,MATCH($C$1,Database!$A$1:$C$1,),))</f>
        <v/>
      </c>
      <c r="D2834">
        <f>IFERROR(Table73[[#This Row],[United States 10y]]-Table73[[#This Row],[United States 2y]],#N/A)</f>
        <v/>
      </c>
    </row>
    <row r="2835">
      <c r="A2835" s="6">
        <f>Database!A2834</f>
        <v/>
      </c>
      <c r="B2835">
        <f>IF(VLOOKUP(Table73[[#This Row],[Date]],Database!$A:$E,MATCH($B$1,Database!$A$1:$E$1,),)=0,#N/A,VLOOKUP(Table73[[#This Row],[Date]],Database!$A:$E,MATCH($B$1,Database!$A$1:$E$1,),))</f>
        <v/>
      </c>
      <c r="C2835">
        <f>IF(VLOOKUP(Table73[[#This Row],[Date]],Database!$A:$C,MATCH($C$1,Database!$A$1:$C$1,),)=0,#N/A,VLOOKUP(Table73[[#This Row],[Date]],Database!$A:$C,MATCH($C$1,Database!$A$1:$C$1,),))</f>
        <v/>
      </c>
      <c r="D2835">
        <f>IFERROR(Table73[[#This Row],[United States 10y]]-Table73[[#This Row],[United States 2y]],#N/A)</f>
        <v/>
      </c>
    </row>
    <row r="2836">
      <c r="A2836" s="6">
        <f>Database!A2835</f>
        <v/>
      </c>
      <c r="B2836">
        <f>IF(VLOOKUP(Table73[[#This Row],[Date]],Database!$A:$E,MATCH($B$1,Database!$A$1:$E$1,),)=0,#N/A,VLOOKUP(Table73[[#This Row],[Date]],Database!$A:$E,MATCH($B$1,Database!$A$1:$E$1,),))</f>
        <v/>
      </c>
      <c r="C2836">
        <f>IF(VLOOKUP(Table73[[#This Row],[Date]],Database!$A:$C,MATCH($C$1,Database!$A$1:$C$1,),)=0,#N/A,VLOOKUP(Table73[[#This Row],[Date]],Database!$A:$C,MATCH($C$1,Database!$A$1:$C$1,),))</f>
        <v/>
      </c>
      <c r="D2836">
        <f>IFERROR(Table73[[#This Row],[United States 10y]]-Table73[[#This Row],[United States 2y]],#N/A)</f>
        <v/>
      </c>
    </row>
    <row r="2837">
      <c r="A2837" s="6">
        <f>Database!A2836</f>
        <v/>
      </c>
      <c r="B2837">
        <f>IF(VLOOKUP(Table73[[#This Row],[Date]],Database!$A:$E,MATCH($B$1,Database!$A$1:$E$1,),)=0,#N/A,VLOOKUP(Table73[[#This Row],[Date]],Database!$A:$E,MATCH($B$1,Database!$A$1:$E$1,),))</f>
        <v/>
      </c>
      <c r="C2837">
        <f>IF(VLOOKUP(Table73[[#This Row],[Date]],Database!$A:$C,MATCH($C$1,Database!$A$1:$C$1,),)=0,#N/A,VLOOKUP(Table73[[#This Row],[Date]],Database!$A:$C,MATCH($C$1,Database!$A$1:$C$1,),))</f>
        <v/>
      </c>
      <c r="D2837">
        <f>IFERROR(Table73[[#This Row],[United States 10y]]-Table73[[#This Row],[United States 2y]],#N/A)</f>
        <v/>
      </c>
    </row>
    <row r="2838">
      <c r="A2838" s="6">
        <f>Database!A2837</f>
        <v/>
      </c>
      <c r="B2838">
        <f>IF(VLOOKUP(Table73[[#This Row],[Date]],Database!$A:$E,MATCH($B$1,Database!$A$1:$E$1,),)=0,#N/A,VLOOKUP(Table73[[#This Row],[Date]],Database!$A:$E,MATCH($B$1,Database!$A$1:$E$1,),))</f>
        <v/>
      </c>
      <c r="C2838">
        <f>IF(VLOOKUP(Table73[[#This Row],[Date]],Database!$A:$C,MATCH($C$1,Database!$A$1:$C$1,),)=0,#N/A,VLOOKUP(Table73[[#This Row],[Date]],Database!$A:$C,MATCH($C$1,Database!$A$1:$C$1,),))</f>
        <v/>
      </c>
      <c r="D2838">
        <f>IFERROR(Table73[[#This Row],[United States 10y]]-Table73[[#This Row],[United States 2y]],#N/A)</f>
        <v/>
      </c>
    </row>
    <row r="2839">
      <c r="A2839" s="6">
        <f>Database!A2838</f>
        <v/>
      </c>
      <c r="B2839">
        <f>IF(VLOOKUP(Table73[[#This Row],[Date]],Database!$A:$E,MATCH($B$1,Database!$A$1:$E$1,),)=0,#N/A,VLOOKUP(Table73[[#This Row],[Date]],Database!$A:$E,MATCH($B$1,Database!$A$1:$E$1,),))</f>
        <v/>
      </c>
      <c r="C2839">
        <f>IF(VLOOKUP(Table73[[#This Row],[Date]],Database!$A:$C,MATCH($C$1,Database!$A$1:$C$1,),)=0,#N/A,VLOOKUP(Table73[[#This Row],[Date]],Database!$A:$C,MATCH($C$1,Database!$A$1:$C$1,),))</f>
        <v/>
      </c>
      <c r="D2839">
        <f>IFERROR(Table73[[#This Row],[United States 10y]]-Table73[[#This Row],[United States 2y]],#N/A)</f>
        <v/>
      </c>
    </row>
    <row r="2840">
      <c r="A2840" s="6">
        <f>Database!A2839</f>
        <v/>
      </c>
      <c r="B2840">
        <f>IF(VLOOKUP(Table73[[#This Row],[Date]],Database!$A:$E,MATCH($B$1,Database!$A$1:$E$1,),)=0,#N/A,VLOOKUP(Table73[[#This Row],[Date]],Database!$A:$E,MATCH($B$1,Database!$A$1:$E$1,),))</f>
        <v/>
      </c>
      <c r="C2840">
        <f>IF(VLOOKUP(Table73[[#This Row],[Date]],Database!$A:$C,MATCH($C$1,Database!$A$1:$C$1,),)=0,#N/A,VLOOKUP(Table73[[#This Row],[Date]],Database!$A:$C,MATCH($C$1,Database!$A$1:$C$1,),))</f>
        <v/>
      </c>
      <c r="D2840">
        <f>IFERROR(Table73[[#This Row],[United States 10y]]-Table73[[#This Row],[United States 2y]],#N/A)</f>
        <v/>
      </c>
    </row>
    <row r="2841">
      <c r="A2841" s="6">
        <f>Database!A2840</f>
        <v/>
      </c>
      <c r="B2841">
        <f>IF(VLOOKUP(Table73[[#This Row],[Date]],Database!$A:$E,MATCH($B$1,Database!$A$1:$E$1,),)=0,#N/A,VLOOKUP(Table73[[#This Row],[Date]],Database!$A:$E,MATCH($B$1,Database!$A$1:$E$1,),))</f>
        <v/>
      </c>
      <c r="C2841">
        <f>IF(VLOOKUP(Table73[[#This Row],[Date]],Database!$A:$C,MATCH($C$1,Database!$A$1:$C$1,),)=0,#N/A,VLOOKUP(Table73[[#This Row],[Date]],Database!$A:$C,MATCH($C$1,Database!$A$1:$C$1,),))</f>
        <v/>
      </c>
      <c r="D2841">
        <f>IFERROR(Table73[[#This Row],[United States 10y]]-Table73[[#This Row],[United States 2y]],#N/A)</f>
        <v/>
      </c>
    </row>
    <row r="2842">
      <c r="A2842" s="6">
        <f>Database!A2841</f>
        <v/>
      </c>
      <c r="B2842">
        <f>IF(VLOOKUP(Table73[[#This Row],[Date]],Database!$A:$E,MATCH($B$1,Database!$A$1:$E$1,),)=0,#N/A,VLOOKUP(Table73[[#This Row],[Date]],Database!$A:$E,MATCH($B$1,Database!$A$1:$E$1,),))</f>
        <v/>
      </c>
      <c r="C2842">
        <f>IF(VLOOKUP(Table73[[#This Row],[Date]],Database!$A:$C,MATCH($C$1,Database!$A$1:$C$1,),)=0,#N/A,VLOOKUP(Table73[[#This Row],[Date]],Database!$A:$C,MATCH($C$1,Database!$A$1:$C$1,),))</f>
        <v/>
      </c>
      <c r="D2842">
        <f>IFERROR(Table73[[#This Row],[United States 10y]]-Table73[[#This Row],[United States 2y]],#N/A)</f>
        <v/>
      </c>
    </row>
    <row r="2843">
      <c r="A2843" s="6">
        <f>Database!A2842</f>
        <v/>
      </c>
      <c r="B2843">
        <f>IF(VLOOKUP(Table73[[#This Row],[Date]],Database!$A:$E,MATCH($B$1,Database!$A$1:$E$1,),)=0,#N/A,VLOOKUP(Table73[[#This Row],[Date]],Database!$A:$E,MATCH($B$1,Database!$A$1:$E$1,),))</f>
        <v/>
      </c>
      <c r="C2843">
        <f>IF(VLOOKUP(Table73[[#This Row],[Date]],Database!$A:$C,MATCH($C$1,Database!$A$1:$C$1,),)=0,#N/A,VLOOKUP(Table73[[#This Row],[Date]],Database!$A:$C,MATCH($C$1,Database!$A$1:$C$1,),))</f>
        <v/>
      </c>
      <c r="D2843">
        <f>IFERROR(Table73[[#This Row],[United States 10y]]-Table73[[#This Row],[United States 2y]],#N/A)</f>
        <v/>
      </c>
    </row>
    <row r="2844">
      <c r="A2844" s="6">
        <f>Database!A2843</f>
        <v/>
      </c>
      <c r="B2844">
        <f>IF(VLOOKUP(Table73[[#This Row],[Date]],Database!$A:$E,MATCH($B$1,Database!$A$1:$E$1,),)=0,#N/A,VLOOKUP(Table73[[#This Row],[Date]],Database!$A:$E,MATCH($B$1,Database!$A$1:$E$1,),))</f>
        <v/>
      </c>
      <c r="C2844">
        <f>IF(VLOOKUP(Table73[[#This Row],[Date]],Database!$A:$C,MATCH($C$1,Database!$A$1:$C$1,),)=0,#N/A,VLOOKUP(Table73[[#This Row],[Date]],Database!$A:$C,MATCH($C$1,Database!$A$1:$C$1,),))</f>
        <v/>
      </c>
      <c r="D2844">
        <f>IFERROR(Table73[[#This Row],[United States 10y]]-Table73[[#This Row],[United States 2y]],#N/A)</f>
        <v/>
      </c>
    </row>
    <row r="2845">
      <c r="A2845" s="6">
        <f>Database!A2844</f>
        <v/>
      </c>
      <c r="B2845">
        <f>IF(VLOOKUP(Table73[[#This Row],[Date]],Database!$A:$E,MATCH($B$1,Database!$A$1:$E$1,),)=0,#N/A,VLOOKUP(Table73[[#This Row],[Date]],Database!$A:$E,MATCH($B$1,Database!$A$1:$E$1,),))</f>
        <v/>
      </c>
      <c r="C2845">
        <f>IF(VLOOKUP(Table73[[#This Row],[Date]],Database!$A:$C,MATCH($C$1,Database!$A$1:$C$1,),)=0,#N/A,VLOOKUP(Table73[[#This Row],[Date]],Database!$A:$C,MATCH($C$1,Database!$A$1:$C$1,),))</f>
        <v/>
      </c>
      <c r="D2845">
        <f>IFERROR(Table73[[#This Row],[United States 10y]]-Table73[[#This Row],[United States 2y]],#N/A)</f>
        <v/>
      </c>
    </row>
    <row r="2846">
      <c r="A2846" s="6">
        <f>Database!A2845</f>
        <v/>
      </c>
      <c r="B2846">
        <f>IF(VLOOKUP(Table73[[#This Row],[Date]],Database!$A:$E,MATCH($B$1,Database!$A$1:$E$1,),)=0,#N/A,VLOOKUP(Table73[[#This Row],[Date]],Database!$A:$E,MATCH($B$1,Database!$A$1:$E$1,),))</f>
        <v/>
      </c>
      <c r="C2846">
        <f>IF(VLOOKUP(Table73[[#This Row],[Date]],Database!$A:$C,MATCH($C$1,Database!$A$1:$C$1,),)=0,#N/A,VLOOKUP(Table73[[#This Row],[Date]],Database!$A:$C,MATCH($C$1,Database!$A$1:$C$1,),))</f>
        <v/>
      </c>
      <c r="D2846">
        <f>IFERROR(Table73[[#This Row],[United States 10y]]-Table73[[#This Row],[United States 2y]],#N/A)</f>
        <v/>
      </c>
    </row>
    <row r="2847">
      <c r="A2847" s="6">
        <f>Database!A2846</f>
        <v/>
      </c>
      <c r="B2847">
        <f>IF(VLOOKUP(Table73[[#This Row],[Date]],Database!$A:$E,MATCH($B$1,Database!$A$1:$E$1,),)=0,#N/A,VLOOKUP(Table73[[#This Row],[Date]],Database!$A:$E,MATCH($B$1,Database!$A$1:$E$1,),))</f>
        <v/>
      </c>
      <c r="C2847">
        <f>IF(VLOOKUP(Table73[[#This Row],[Date]],Database!$A:$C,MATCH($C$1,Database!$A$1:$C$1,),)=0,#N/A,VLOOKUP(Table73[[#This Row],[Date]],Database!$A:$C,MATCH($C$1,Database!$A$1:$C$1,),))</f>
        <v/>
      </c>
      <c r="D2847">
        <f>IFERROR(Table73[[#This Row],[United States 10y]]-Table73[[#This Row],[United States 2y]],#N/A)</f>
        <v/>
      </c>
    </row>
    <row r="2848">
      <c r="A2848" s="6">
        <f>Database!A2847</f>
        <v/>
      </c>
      <c r="B2848">
        <f>IF(VLOOKUP(Table73[[#This Row],[Date]],Database!$A:$E,MATCH($B$1,Database!$A$1:$E$1,),)=0,#N/A,VLOOKUP(Table73[[#This Row],[Date]],Database!$A:$E,MATCH($B$1,Database!$A$1:$E$1,),))</f>
        <v/>
      </c>
      <c r="C2848">
        <f>IF(VLOOKUP(Table73[[#This Row],[Date]],Database!$A:$C,MATCH($C$1,Database!$A$1:$C$1,),)=0,#N/A,VLOOKUP(Table73[[#This Row],[Date]],Database!$A:$C,MATCH($C$1,Database!$A$1:$C$1,),))</f>
        <v/>
      </c>
      <c r="D2848">
        <f>IFERROR(Table73[[#This Row],[United States 10y]]-Table73[[#This Row],[United States 2y]],#N/A)</f>
        <v/>
      </c>
    </row>
    <row r="2849">
      <c r="A2849" s="6">
        <f>Database!A2848</f>
        <v/>
      </c>
      <c r="B2849">
        <f>IF(VLOOKUP(Table73[[#This Row],[Date]],Database!$A:$E,MATCH($B$1,Database!$A$1:$E$1,),)=0,#N/A,VLOOKUP(Table73[[#This Row],[Date]],Database!$A:$E,MATCH($B$1,Database!$A$1:$E$1,),))</f>
        <v/>
      </c>
      <c r="C2849">
        <f>IF(VLOOKUP(Table73[[#This Row],[Date]],Database!$A:$C,MATCH($C$1,Database!$A$1:$C$1,),)=0,#N/A,VLOOKUP(Table73[[#This Row],[Date]],Database!$A:$C,MATCH($C$1,Database!$A$1:$C$1,),))</f>
        <v/>
      </c>
      <c r="D2849">
        <f>IFERROR(Table73[[#This Row],[United States 10y]]-Table73[[#This Row],[United States 2y]],#N/A)</f>
        <v/>
      </c>
    </row>
    <row r="2850">
      <c r="A2850" s="6">
        <f>Database!A2849</f>
        <v/>
      </c>
      <c r="B2850">
        <f>IF(VLOOKUP(Table73[[#This Row],[Date]],Database!$A:$E,MATCH($B$1,Database!$A$1:$E$1,),)=0,#N/A,VLOOKUP(Table73[[#This Row],[Date]],Database!$A:$E,MATCH($B$1,Database!$A$1:$E$1,),))</f>
        <v/>
      </c>
      <c r="C2850">
        <f>IF(VLOOKUP(Table73[[#This Row],[Date]],Database!$A:$C,MATCH($C$1,Database!$A$1:$C$1,),)=0,#N/A,VLOOKUP(Table73[[#This Row],[Date]],Database!$A:$C,MATCH($C$1,Database!$A$1:$C$1,),))</f>
        <v/>
      </c>
      <c r="D2850">
        <f>IFERROR(Table73[[#This Row],[United States 10y]]-Table73[[#This Row],[United States 2y]],#N/A)</f>
        <v/>
      </c>
    </row>
    <row r="2851">
      <c r="A2851" s="6">
        <f>Database!A2850</f>
        <v/>
      </c>
      <c r="B2851">
        <f>IF(VLOOKUP(Table73[[#This Row],[Date]],Database!$A:$E,MATCH($B$1,Database!$A$1:$E$1,),)=0,#N/A,VLOOKUP(Table73[[#This Row],[Date]],Database!$A:$E,MATCH($B$1,Database!$A$1:$E$1,),))</f>
        <v/>
      </c>
      <c r="C2851">
        <f>IF(VLOOKUP(Table73[[#This Row],[Date]],Database!$A:$C,MATCH($C$1,Database!$A$1:$C$1,),)=0,#N/A,VLOOKUP(Table73[[#This Row],[Date]],Database!$A:$C,MATCH($C$1,Database!$A$1:$C$1,),))</f>
        <v/>
      </c>
      <c r="D2851">
        <f>IFERROR(Table73[[#This Row],[United States 10y]]-Table73[[#This Row],[United States 2y]],#N/A)</f>
        <v/>
      </c>
    </row>
    <row r="2852">
      <c r="A2852" s="6">
        <f>Database!A2851</f>
        <v/>
      </c>
      <c r="B2852">
        <f>IF(VLOOKUP(Table73[[#This Row],[Date]],Database!$A:$E,MATCH($B$1,Database!$A$1:$E$1,),)=0,#N/A,VLOOKUP(Table73[[#This Row],[Date]],Database!$A:$E,MATCH($B$1,Database!$A$1:$E$1,),))</f>
        <v/>
      </c>
      <c r="C2852">
        <f>IF(VLOOKUP(Table73[[#This Row],[Date]],Database!$A:$C,MATCH($C$1,Database!$A$1:$C$1,),)=0,#N/A,VLOOKUP(Table73[[#This Row],[Date]],Database!$A:$C,MATCH($C$1,Database!$A$1:$C$1,),))</f>
        <v/>
      </c>
      <c r="D2852">
        <f>IFERROR(Table73[[#This Row],[United States 10y]]-Table73[[#This Row],[United States 2y]],#N/A)</f>
        <v/>
      </c>
    </row>
    <row r="2853">
      <c r="A2853" s="6">
        <f>Database!A2852</f>
        <v/>
      </c>
      <c r="B2853">
        <f>IF(VLOOKUP(Table73[[#This Row],[Date]],Database!$A:$E,MATCH($B$1,Database!$A$1:$E$1,),)=0,#N/A,VLOOKUP(Table73[[#This Row],[Date]],Database!$A:$E,MATCH($B$1,Database!$A$1:$E$1,),))</f>
        <v/>
      </c>
      <c r="C2853">
        <f>IF(VLOOKUP(Table73[[#This Row],[Date]],Database!$A:$C,MATCH($C$1,Database!$A$1:$C$1,),)=0,#N/A,VLOOKUP(Table73[[#This Row],[Date]],Database!$A:$C,MATCH($C$1,Database!$A$1:$C$1,),))</f>
        <v/>
      </c>
      <c r="D2853">
        <f>IFERROR(Table73[[#This Row],[United States 10y]]-Table73[[#This Row],[United States 2y]],#N/A)</f>
        <v/>
      </c>
    </row>
    <row r="2854">
      <c r="A2854" s="6">
        <f>Database!A2853</f>
        <v/>
      </c>
      <c r="B2854">
        <f>IF(VLOOKUP(Table73[[#This Row],[Date]],Database!$A:$E,MATCH($B$1,Database!$A$1:$E$1,),)=0,#N/A,VLOOKUP(Table73[[#This Row],[Date]],Database!$A:$E,MATCH($B$1,Database!$A$1:$E$1,),))</f>
        <v/>
      </c>
      <c r="C2854">
        <f>IF(VLOOKUP(Table73[[#This Row],[Date]],Database!$A:$C,MATCH($C$1,Database!$A$1:$C$1,),)=0,#N/A,VLOOKUP(Table73[[#This Row],[Date]],Database!$A:$C,MATCH($C$1,Database!$A$1:$C$1,),))</f>
        <v/>
      </c>
      <c r="D2854">
        <f>IFERROR(Table73[[#This Row],[United States 10y]]-Table73[[#This Row],[United States 2y]],#N/A)</f>
        <v/>
      </c>
    </row>
    <row r="2855">
      <c r="A2855" s="6">
        <f>Database!A2854</f>
        <v/>
      </c>
      <c r="B2855">
        <f>IF(VLOOKUP(Table73[[#This Row],[Date]],Database!$A:$E,MATCH($B$1,Database!$A$1:$E$1,),)=0,#N/A,VLOOKUP(Table73[[#This Row],[Date]],Database!$A:$E,MATCH($B$1,Database!$A$1:$E$1,),))</f>
        <v/>
      </c>
      <c r="C2855">
        <f>IF(VLOOKUP(Table73[[#This Row],[Date]],Database!$A:$C,MATCH($C$1,Database!$A$1:$C$1,),)=0,#N/A,VLOOKUP(Table73[[#This Row],[Date]],Database!$A:$C,MATCH($C$1,Database!$A$1:$C$1,),))</f>
        <v/>
      </c>
      <c r="D2855">
        <f>IFERROR(Table73[[#This Row],[United States 10y]]-Table73[[#This Row],[United States 2y]],#N/A)</f>
        <v/>
      </c>
    </row>
    <row r="2856">
      <c r="A2856" s="6">
        <f>Database!A2855</f>
        <v/>
      </c>
      <c r="B2856">
        <f>IF(VLOOKUP(Table73[[#This Row],[Date]],Database!$A:$E,MATCH($B$1,Database!$A$1:$E$1,),)=0,#N/A,VLOOKUP(Table73[[#This Row],[Date]],Database!$A:$E,MATCH($B$1,Database!$A$1:$E$1,),))</f>
        <v/>
      </c>
      <c r="C2856">
        <f>IF(VLOOKUP(Table73[[#This Row],[Date]],Database!$A:$C,MATCH($C$1,Database!$A$1:$C$1,),)=0,#N/A,VLOOKUP(Table73[[#This Row],[Date]],Database!$A:$C,MATCH($C$1,Database!$A$1:$C$1,),))</f>
        <v/>
      </c>
      <c r="D2856">
        <f>IFERROR(Table73[[#This Row],[United States 10y]]-Table73[[#This Row],[United States 2y]],#N/A)</f>
        <v/>
      </c>
    </row>
    <row r="2857">
      <c r="A2857" s="6">
        <f>Database!A2856</f>
        <v/>
      </c>
      <c r="B2857">
        <f>IF(VLOOKUP(Table73[[#This Row],[Date]],Database!$A:$E,MATCH($B$1,Database!$A$1:$E$1,),)=0,#N/A,VLOOKUP(Table73[[#This Row],[Date]],Database!$A:$E,MATCH($B$1,Database!$A$1:$E$1,),))</f>
        <v/>
      </c>
      <c r="C2857">
        <f>IF(VLOOKUP(Table73[[#This Row],[Date]],Database!$A:$C,MATCH($C$1,Database!$A$1:$C$1,),)=0,#N/A,VLOOKUP(Table73[[#This Row],[Date]],Database!$A:$C,MATCH($C$1,Database!$A$1:$C$1,),))</f>
        <v/>
      </c>
      <c r="D2857">
        <f>IFERROR(Table73[[#This Row],[United States 10y]]-Table73[[#This Row],[United States 2y]],#N/A)</f>
        <v/>
      </c>
    </row>
    <row r="2858">
      <c r="A2858" s="6">
        <f>Database!A2857</f>
        <v/>
      </c>
      <c r="B2858">
        <f>IF(VLOOKUP(Table73[[#This Row],[Date]],Database!$A:$E,MATCH($B$1,Database!$A$1:$E$1,),)=0,#N/A,VLOOKUP(Table73[[#This Row],[Date]],Database!$A:$E,MATCH($B$1,Database!$A$1:$E$1,),))</f>
        <v/>
      </c>
      <c r="C2858">
        <f>IF(VLOOKUP(Table73[[#This Row],[Date]],Database!$A:$C,MATCH($C$1,Database!$A$1:$C$1,),)=0,#N/A,VLOOKUP(Table73[[#This Row],[Date]],Database!$A:$C,MATCH($C$1,Database!$A$1:$C$1,),))</f>
        <v/>
      </c>
      <c r="D2858">
        <f>IFERROR(Table73[[#This Row],[United States 10y]]-Table73[[#This Row],[United States 2y]],#N/A)</f>
        <v/>
      </c>
    </row>
    <row r="2859">
      <c r="A2859" s="6">
        <f>Database!A2858</f>
        <v/>
      </c>
      <c r="B2859">
        <f>IF(VLOOKUP(Table73[[#This Row],[Date]],Database!$A:$E,MATCH($B$1,Database!$A$1:$E$1,),)=0,#N/A,VLOOKUP(Table73[[#This Row],[Date]],Database!$A:$E,MATCH($B$1,Database!$A$1:$E$1,),))</f>
        <v/>
      </c>
      <c r="C2859">
        <f>IF(VLOOKUP(Table73[[#This Row],[Date]],Database!$A:$C,MATCH($C$1,Database!$A$1:$C$1,),)=0,#N/A,VLOOKUP(Table73[[#This Row],[Date]],Database!$A:$C,MATCH($C$1,Database!$A$1:$C$1,),))</f>
        <v/>
      </c>
      <c r="D2859">
        <f>IFERROR(Table73[[#This Row],[United States 10y]]-Table73[[#This Row],[United States 2y]],#N/A)</f>
        <v/>
      </c>
    </row>
    <row r="2860">
      <c r="A2860" s="6">
        <f>Database!A2859</f>
        <v/>
      </c>
      <c r="B2860">
        <f>IF(VLOOKUP(Table73[[#This Row],[Date]],Database!$A:$E,MATCH($B$1,Database!$A$1:$E$1,),)=0,#N/A,VLOOKUP(Table73[[#This Row],[Date]],Database!$A:$E,MATCH($B$1,Database!$A$1:$E$1,),))</f>
        <v/>
      </c>
      <c r="C2860">
        <f>IF(VLOOKUP(Table73[[#This Row],[Date]],Database!$A:$C,MATCH($C$1,Database!$A$1:$C$1,),)=0,#N/A,VLOOKUP(Table73[[#This Row],[Date]],Database!$A:$C,MATCH($C$1,Database!$A$1:$C$1,),))</f>
        <v/>
      </c>
      <c r="D2860">
        <f>IFERROR(Table73[[#This Row],[United States 10y]]-Table73[[#This Row],[United States 2y]],#N/A)</f>
        <v/>
      </c>
    </row>
    <row r="2861">
      <c r="A2861" s="6">
        <f>Database!A2860</f>
        <v/>
      </c>
      <c r="B2861">
        <f>IF(VLOOKUP(Table73[[#This Row],[Date]],Database!$A:$E,MATCH($B$1,Database!$A$1:$E$1,),)=0,#N/A,VLOOKUP(Table73[[#This Row],[Date]],Database!$A:$E,MATCH($B$1,Database!$A$1:$E$1,),))</f>
        <v/>
      </c>
      <c r="C2861">
        <f>IF(VLOOKUP(Table73[[#This Row],[Date]],Database!$A:$C,MATCH($C$1,Database!$A$1:$C$1,),)=0,#N/A,VLOOKUP(Table73[[#This Row],[Date]],Database!$A:$C,MATCH($C$1,Database!$A$1:$C$1,),))</f>
        <v/>
      </c>
      <c r="D2861">
        <f>IFERROR(Table73[[#This Row],[United States 10y]]-Table73[[#This Row],[United States 2y]],#N/A)</f>
        <v/>
      </c>
    </row>
    <row r="2862">
      <c r="A2862" s="6">
        <f>Database!A2861</f>
        <v/>
      </c>
      <c r="B2862">
        <f>IF(VLOOKUP(Table73[[#This Row],[Date]],Database!$A:$E,MATCH($B$1,Database!$A$1:$E$1,),)=0,#N/A,VLOOKUP(Table73[[#This Row],[Date]],Database!$A:$E,MATCH($B$1,Database!$A$1:$E$1,),))</f>
        <v/>
      </c>
      <c r="C2862">
        <f>IF(VLOOKUP(Table73[[#This Row],[Date]],Database!$A:$C,MATCH($C$1,Database!$A$1:$C$1,),)=0,#N/A,VLOOKUP(Table73[[#This Row],[Date]],Database!$A:$C,MATCH($C$1,Database!$A$1:$C$1,),))</f>
        <v/>
      </c>
      <c r="D2862">
        <f>IFERROR(Table73[[#This Row],[United States 10y]]-Table73[[#This Row],[United States 2y]],#N/A)</f>
        <v/>
      </c>
    </row>
    <row r="2863">
      <c r="A2863" s="6">
        <f>Database!A2862</f>
        <v/>
      </c>
      <c r="B2863">
        <f>IF(VLOOKUP(Table73[[#This Row],[Date]],Database!$A:$E,MATCH($B$1,Database!$A$1:$E$1,),)=0,#N/A,VLOOKUP(Table73[[#This Row],[Date]],Database!$A:$E,MATCH($B$1,Database!$A$1:$E$1,),))</f>
        <v/>
      </c>
      <c r="C2863">
        <f>IF(VLOOKUP(Table73[[#This Row],[Date]],Database!$A:$C,MATCH($C$1,Database!$A$1:$C$1,),)=0,#N/A,VLOOKUP(Table73[[#This Row],[Date]],Database!$A:$C,MATCH($C$1,Database!$A$1:$C$1,),))</f>
        <v/>
      </c>
      <c r="D2863">
        <f>IFERROR(Table73[[#This Row],[United States 10y]]-Table73[[#This Row],[United States 2y]],#N/A)</f>
        <v/>
      </c>
    </row>
    <row r="2864">
      <c r="A2864" s="6">
        <f>Database!A2863</f>
        <v/>
      </c>
      <c r="B2864">
        <f>IF(VLOOKUP(Table73[[#This Row],[Date]],Database!$A:$E,MATCH($B$1,Database!$A$1:$E$1,),)=0,#N/A,VLOOKUP(Table73[[#This Row],[Date]],Database!$A:$E,MATCH($B$1,Database!$A$1:$E$1,),))</f>
        <v/>
      </c>
      <c r="C2864">
        <f>IF(VLOOKUP(Table73[[#This Row],[Date]],Database!$A:$C,MATCH($C$1,Database!$A$1:$C$1,),)=0,#N/A,VLOOKUP(Table73[[#This Row],[Date]],Database!$A:$C,MATCH($C$1,Database!$A$1:$C$1,),))</f>
        <v/>
      </c>
      <c r="D2864">
        <f>IFERROR(Table73[[#This Row],[United States 10y]]-Table73[[#This Row],[United States 2y]],#N/A)</f>
        <v/>
      </c>
    </row>
    <row r="2865">
      <c r="A2865" s="6">
        <f>Database!A2864</f>
        <v/>
      </c>
      <c r="B2865">
        <f>IF(VLOOKUP(Table73[[#This Row],[Date]],Database!$A:$E,MATCH($B$1,Database!$A$1:$E$1,),)=0,#N/A,VLOOKUP(Table73[[#This Row],[Date]],Database!$A:$E,MATCH($B$1,Database!$A$1:$E$1,),))</f>
        <v/>
      </c>
      <c r="C2865">
        <f>IF(VLOOKUP(Table73[[#This Row],[Date]],Database!$A:$C,MATCH($C$1,Database!$A$1:$C$1,),)=0,#N/A,VLOOKUP(Table73[[#This Row],[Date]],Database!$A:$C,MATCH($C$1,Database!$A$1:$C$1,),))</f>
        <v/>
      </c>
      <c r="D2865">
        <f>IFERROR(Table73[[#This Row],[United States 10y]]-Table73[[#This Row],[United States 2y]],#N/A)</f>
        <v/>
      </c>
    </row>
    <row r="2866">
      <c r="A2866" s="6">
        <f>Database!A2865</f>
        <v/>
      </c>
      <c r="B2866">
        <f>IF(VLOOKUP(Table73[[#This Row],[Date]],Database!$A:$E,MATCH($B$1,Database!$A$1:$E$1,),)=0,#N/A,VLOOKUP(Table73[[#This Row],[Date]],Database!$A:$E,MATCH($B$1,Database!$A$1:$E$1,),))</f>
        <v/>
      </c>
      <c r="C2866">
        <f>IF(VLOOKUP(Table73[[#This Row],[Date]],Database!$A:$C,MATCH($C$1,Database!$A$1:$C$1,),)=0,#N/A,VLOOKUP(Table73[[#This Row],[Date]],Database!$A:$C,MATCH($C$1,Database!$A$1:$C$1,),))</f>
        <v/>
      </c>
      <c r="D2866">
        <f>IFERROR(Table73[[#This Row],[United States 10y]]-Table73[[#This Row],[United States 2y]],#N/A)</f>
        <v/>
      </c>
    </row>
    <row r="2867">
      <c r="A2867" s="6">
        <f>Database!A2866</f>
        <v/>
      </c>
      <c r="B2867">
        <f>IF(VLOOKUP(Table73[[#This Row],[Date]],Database!$A:$E,MATCH($B$1,Database!$A$1:$E$1,),)=0,#N/A,VLOOKUP(Table73[[#This Row],[Date]],Database!$A:$E,MATCH($B$1,Database!$A$1:$E$1,),))</f>
        <v/>
      </c>
      <c r="C2867">
        <f>IF(VLOOKUP(Table73[[#This Row],[Date]],Database!$A:$C,MATCH($C$1,Database!$A$1:$C$1,),)=0,#N/A,VLOOKUP(Table73[[#This Row],[Date]],Database!$A:$C,MATCH($C$1,Database!$A$1:$C$1,),))</f>
        <v/>
      </c>
      <c r="D2867">
        <f>IFERROR(Table73[[#This Row],[United States 10y]]-Table73[[#This Row],[United States 2y]],#N/A)</f>
        <v/>
      </c>
    </row>
    <row r="2868">
      <c r="A2868" s="6">
        <f>Database!A2867</f>
        <v/>
      </c>
      <c r="B2868">
        <f>IF(VLOOKUP(Table73[[#This Row],[Date]],Database!$A:$E,MATCH($B$1,Database!$A$1:$E$1,),)=0,#N/A,VLOOKUP(Table73[[#This Row],[Date]],Database!$A:$E,MATCH($B$1,Database!$A$1:$E$1,),))</f>
        <v/>
      </c>
      <c r="C2868">
        <f>IF(VLOOKUP(Table73[[#This Row],[Date]],Database!$A:$C,MATCH($C$1,Database!$A$1:$C$1,),)=0,#N/A,VLOOKUP(Table73[[#This Row],[Date]],Database!$A:$C,MATCH($C$1,Database!$A$1:$C$1,),))</f>
        <v/>
      </c>
      <c r="D2868">
        <f>IFERROR(Table73[[#This Row],[United States 10y]]-Table73[[#This Row],[United States 2y]],#N/A)</f>
        <v/>
      </c>
    </row>
    <row r="2869">
      <c r="A2869" s="6">
        <f>Database!A2868</f>
        <v/>
      </c>
      <c r="B2869">
        <f>IF(VLOOKUP(Table73[[#This Row],[Date]],Database!$A:$E,MATCH($B$1,Database!$A$1:$E$1,),)=0,#N/A,VLOOKUP(Table73[[#This Row],[Date]],Database!$A:$E,MATCH($B$1,Database!$A$1:$E$1,),))</f>
        <v/>
      </c>
      <c r="C2869">
        <f>IF(VLOOKUP(Table73[[#This Row],[Date]],Database!$A:$C,MATCH($C$1,Database!$A$1:$C$1,),)=0,#N/A,VLOOKUP(Table73[[#This Row],[Date]],Database!$A:$C,MATCH($C$1,Database!$A$1:$C$1,),))</f>
        <v/>
      </c>
      <c r="D2869">
        <f>IFERROR(Table73[[#This Row],[United States 10y]]-Table73[[#This Row],[United States 2y]],#N/A)</f>
        <v/>
      </c>
    </row>
    <row r="2870">
      <c r="A2870" s="6">
        <f>Database!A2869</f>
        <v/>
      </c>
      <c r="B2870">
        <f>IF(VLOOKUP(Table73[[#This Row],[Date]],Database!$A:$E,MATCH($B$1,Database!$A$1:$E$1,),)=0,#N/A,VLOOKUP(Table73[[#This Row],[Date]],Database!$A:$E,MATCH($B$1,Database!$A$1:$E$1,),))</f>
        <v/>
      </c>
      <c r="C2870">
        <f>IF(VLOOKUP(Table73[[#This Row],[Date]],Database!$A:$C,MATCH($C$1,Database!$A$1:$C$1,),)=0,#N/A,VLOOKUP(Table73[[#This Row],[Date]],Database!$A:$C,MATCH($C$1,Database!$A$1:$C$1,),))</f>
        <v/>
      </c>
      <c r="D2870">
        <f>IFERROR(Table73[[#This Row],[United States 10y]]-Table73[[#This Row],[United States 2y]],#N/A)</f>
        <v/>
      </c>
    </row>
    <row r="2871">
      <c r="A2871" s="6">
        <f>Database!A2870</f>
        <v/>
      </c>
      <c r="B2871">
        <f>IF(VLOOKUP(Table73[[#This Row],[Date]],Database!$A:$E,MATCH($B$1,Database!$A$1:$E$1,),)=0,#N/A,VLOOKUP(Table73[[#This Row],[Date]],Database!$A:$E,MATCH($B$1,Database!$A$1:$E$1,),))</f>
        <v/>
      </c>
      <c r="C2871">
        <f>IF(VLOOKUP(Table73[[#This Row],[Date]],Database!$A:$C,MATCH($C$1,Database!$A$1:$C$1,),)=0,#N/A,VLOOKUP(Table73[[#This Row],[Date]],Database!$A:$C,MATCH($C$1,Database!$A$1:$C$1,),))</f>
        <v/>
      </c>
      <c r="D2871">
        <f>IFERROR(Table73[[#This Row],[United States 10y]]-Table73[[#This Row],[United States 2y]],#N/A)</f>
        <v/>
      </c>
    </row>
    <row r="2872">
      <c r="A2872" s="6">
        <f>Database!A2871</f>
        <v/>
      </c>
      <c r="B2872">
        <f>IF(VLOOKUP(Table73[[#This Row],[Date]],Database!$A:$E,MATCH($B$1,Database!$A$1:$E$1,),)=0,#N/A,VLOOKUP(Table73[[#This Row],[Date]],Database!$A:$E,MATCH($B$1,Database!$A$1:$E$1,),))</f>
        <v/>
      </c>
      <c r="C2872">
        <f>IF(VLOOKUP(Table73[[#This Row],[Date]],Database!$A:$C,MATCH($C$1,Database!$A$1:$C$1,),)=0,#N/A,VLOOKUP(Table73[[#This Row],[Date]],Database!$A:$C,MATCH($C$1,Database!$A$1:$C$1,),))</f>
        <v/>
      </c>
      <c r="D2872">
        <f>IFERROR(Table73[[#This Row],[United States 10y]]-Table73[[#This Row],[United States 2y]],#N/A)</f>
        <v/>
      </c>
    </row>
    <row r="2873">
      <c r="A2873" s="6">
        <f>Database!A2872</f>
        <v/>
      </c>
      <c r="B2873">
        <f>IF(VLOOKUP(Table73[[#This Row],[Date]],Database!$A:$E,MATCH($B$1,Database!$A$1:$E$1,),)=0,#N/A,VLOOKUP(Table73[[#This Row],[Date]],Database!$A:$E,MATCH($B$1,Database!$A$1:$E$1,),))</f>
        <v/>
      </c>
      <c r="C2873">
        <f>IF(VLOOKUP(Table73[[#This Row],[Date]],Database!$A:$C,MATCH($C$1,Database!$A$1:$C$1,),)=0,#N/A,VLOOKUP(Table73[[#This Row],[Date]],Database!$A:$C,MATCH($C$1,Database!$A$1:$C$1,),))</f>
        <v/>
      </c>
      <c r="D2873">
        <f>IFERROR(Table73[[#This Row],[United States 10y]]-Table73[[#This Row],[United States 2y]],#N/A)</f>
        <v/>
      </c>
    </row>
    <row r="2874">
      <c r="A2874" s="6">
        <f>Database!A2873</f>
        <v/>
      </c>
      <c r="B2874">
        <f>IF(VLOOKUP(Table73[[#This Row],[Date]],Database!$A:$E,MATCH($B$1,Database!$A$1:$E$1,),)=0,#N/A,VLOOKUP(Table73[[#This Row],[Date]],Database!$A:$E,MATCH($B$1,Database!$A$1:$E$1,),))</f>
        <v/>
      </c>
      <c r="C2874">
        <f>IF(VLOOKUP(Table73[[#This Row],[Date]],Database!$A:$C,MATCH($C$1,Database!$A$1:$C$1,),)=0,#N/A,VLOOKUP(Table73[[#This Row],[Date]],Database!$A:$C,MATCH($C$1,Database!$A$1:$C$1,),))</f>
        <v/>
      </c>
      <c r="D2874">
        <f>IFERROR(Table73[[#This Row],[United States 10y]]-Table73[[#This Row],[United States 2y]],#N/A)</f>
        <v/>
      </c>
    </row>
    <row r="2875">
      <c r="A2875" s="6">
        <f>Database!A2874</f>
        <v/>
      </c>
      <c r="B2875">
        <f>IF(VLOOKUP(Table73[[#This Row],[Date]],Database!$A:$E,MATCH($B$1,Database!$A$1:$E$1,),)=0,#N/A,VLOOKUP(Table73[[#This Row],[Date]],Database!$A:$E,MATCH($B$1,Database!$A$1:$E$1,),))</f>
        <v/>
      </c>
      <c r="C2875">
        <f>IF(VLOOKUP(Table73[[#This Row],[Date]],Database!$A:$C,MATCH($C$1,Database!$A$1:$C$1,),)=0,#N/A,VLOOKUP(Table73[[#This Row],[Date]],Database!$A:$C,MATCH($C$1,Database!$A$1:$C$1,),))</f>
        <v/>
      </c>
      <c r="D2875">
        <f>IFERROR(Table73[[#This Row],[United States 10y]]-Table73[[#This Row],[United States 2y]],#N/A)</f>
        <v/>
      </c>
    </row>
    <row r="2876">
      <c r="A2876" s="6">
        <f>Database!A2875</f>
        <v/>
      </c>
      <c r="B2876">
        <f>IF(VLOOKUP(Table73[[#This Row],[Date]],Database!$A:$E,MATCH($B$1,Database!$A$1:$E$1,),)=0,#N/A,VLOOKUP(Table73[[#This Row],[Date]],Database!$A:$E,MATCH($B$1,Database!$A$1:$E$1,),))</f>
        <v/>
      </c>
      <c r="C2876">
        <f>IF(VLOOKUP(Table73[[#This Row],[Date]],Database!$A:$C,MATCH($C$1,Database!$A$1:$C$1,),)=0,#N/A,VLOOKUP(Table73[[#This Row],[Date]],Database!$A:$C,MATCH($C$1,Database!$A$1:$C$1,),))</f>
        <v/>
      </c>
      <c r="D2876">
        <f>IFERROR(Table73[[#This Row],[United States 10y]]-Table73[[#This Row],[United States 2y]],#N/A)</f>
        <v/>
      </c>
    </row>
    <row r="2877">
      <c r="A2877" s="6">
        <f>Database!A2876</f>
        <v/>
      </c>
      <c r="B2877">
        <f>IF(VLOOKUP(Table73[[#This Row],[Date]],Database!$A:$E,MATCH($B$1,Database!$A$1:$E$1,),)=0,#N/A,VLOOKUP(Table73[[#This Row],[Date]],Database!$A:$E,MATCH($B$1,Database!$A$1:$E$1,),))</f>
        <v/>
      </c>
      <c r="C2877">
        <f>IF(VLOOKUP(Table73[[#This Row],[Date]],Database!$A:$C,MATCH($C$1,Database!$A$1:$C$1,),)=0,#N/A,VLOOKUP(Table73[[#This Row],[Date]],Database!$A:$C,MATCH($C$1,Database!$A$1:$C$1,),))</f>
        <v/>
      </c>
      <c r="D2877">
        <f>IFERROR(Table73[[#This Row],[United States 10y]]-Table73[[#This Row],[United States 2y]],#N/A)</f>
        <v/>
      </c>
    </row>
    <row r="2878">
      <c r="A2878" s="6">
        <f>Database!A2877</f>
        <v/>
      </c>
      <c r="B2878">
        <f>IF(VLOOKUP(Table73[[#This Row],[Date]],Database!$A:$E,MATCH($B$1,Database!$A$1:$E$1,),)=0,#N/A,VLOOKUP(Table73[[#This Row],[Date]],Database!$A:$E,MATCH($B$1,Database!$A$1:$E$1,),))</f>
        <v/>
      </c>
      <c r="C2878">
        <f>IF(VLOOKUP(Table73[[#This Row],[Date]],Database!$A:$C,MATCH($C$1,Database!$A$1:$C$1,),)=0,#N/A,VLOOKUP(Table73[[#This Row],[Date]],Database!$A:$C,MATCH($C$1,Database!$A$1:$C$1,),))</f>
        <v/>
      </c>
      <c r="D2878">
        <f>IFERROR(Table73[[#This Row],[United States 10y]]-Table73[[#This Row],[United States 2y]],#N/A)</f>
        <v/>
      </c>
    </row>
    <row r="2879">
      <c r="A2879" s="6">
        <f>Database!A2878</f>
        <v/>
      </c>
      <c r="B2879">
        <f>IF(VLOOKUP(Table73[[#This Row],[Date]],Database!$A:$E,MATCH($B$1,Database!$A$1:$E$1,),)=0,#N/A,VLOOKUP(Table73[[#This Row],[Date]],Database!$A:$E,MATCH($B$1,Database!$A$1:$E$1,),))</f>
        <v/>
      </c>
      <c r="C2879">
        <f>IF(VLOOKUP(Table73[[#This Row],[Date]],Database!$A:$C,MATCH($C$1,Database!$A$1:$C$1,),)=0,#N/A,VLOOKUP(Table73[[#This Row],[Date]],Database!$A:$C,MATCH($C$1,Database!$A$1:$C$1,),))</f>
        <v/>
      </c>
      <c r="D2879">
        <f>IFERROR(Table73[[#This Row],[United States 10y]]-Table73[[#This Row],[United States 2y]],#N/A)</f>
        <v/>
      </c>
    </row>
    <row r="2880">
      <c r="A2880" s="6">
        <f>Database!A2879</f>
        <v/>
      </c>
      <c r="B2880">
        <f>IF(VLOOKUP(Table73[[#This Row],[Date]],Database!$A:$E,MATCH($B$1,Database!$A$1:$E$1,),)=0,#N/A,VLOOKUP(Table73[[#This Row],[Date]],Database!$A:$E,MATCH($B$1,Database!$A$1:$E$1,),))</f>
        <v/>
      </c>
      <c r="C2880">
        <f>IF(VLOOKUP(Table73[[#This Row],[Date]],Database!$A:$C,MATCH($C$1,Database!$A$1:$C$1,),)=0,#N/A,VLOOKUP(Table73[[#This Row],[Date]],Database!$A:$C,MATCH($C$1,Database!$A$1:$C$1,),))</f>
        <v/>
      </c>
      <c r="D2880">
        <f>IFERROR(Table73[[#This Row],[United States 10y]]-Table73[[#This Row],[United States 2y]],#N/A)</f>
        <v/>
      </c>
    </row>
    <row r="2881">
      <c r="A2881" s="6">
        <f>Database!A2880</f>
        <v/>
      </c>
      <c r="B2881">
        <f>IF(VLOOKUP(Table73[[#This Row],[Date]],Database!$A:$E,MATCH($B$1,Database!$A$1:$E$1,),)=0,#N/A,VLOOKUP(Table73[[#This Row],[Date]],Database!$A:$E,MATCH($B$1,Database!$A$1:$E$1,),))</f>
        <v/>
      </c>
      <c r="C2881">
        <f>IF(VLOOKUP(Table73[[#This Row],[Date]],Database!$A:$C,MATCH($C$1,Database!$A$1:$C$1,),)=0,#N/A,VLOOKUP(Table73[[#This Row],[Date]],Database!$A:$C,MATCH($C$1,Database!$A$1:$C$1,),))</f>
        <v/>
      </c>
      <c r="D2881">
        <f>IFERROR(Table73[[#This Row],[United States 10y]]-Table73[[#This Row],[United States 2y]],#N/A)</f>
        <v/>
      </c>
    </row>
    <row r="2882">
      <c r="A2882" s="6">
        <f>Database!A2881</f>
        <v/>
      </c>
      <c r="B2882">
        <f>IF(VLOOKUP(Table73[[#This Row],[Date]],Database!$A:$E,MATCH($B$1,Database!$A$1:$E$1,),)=0,#N/A,VLOOKUP(Table73[[#This Row],[Date]],Database!$A:$E,MATCH($B$1,Database!$A$1:$E$1,),))</f>
        <v/>
      </c>
      <c r="C2882">
        <f>IF(VLOOKUP(Table73[[#This Row],[Date]],Database!$A:$C,MATCH($C$1,Database!$A$1:$C$1,),)=0,#N/A,VLOOKUP(Table73[[#This Row],[Date]],Database!$A:$C,MATCH($C$1,Database!$A$1:$C$1,),))</f>
        <v/>
      </c>
      <c r="D2882">
        <f>IFERROR(Table73[[#This Row],[United States 10y]]-Table73[[#This Row],[United States 2y]],#N/A)</f>
        <v/>
      </c>
    </row>
    <row r="2883">
      <c r="A2883" s="6">
        <f>Database!A2882</f>
        <v/>
      </c>
      <c r="B2883">
        <f>IF(VLOOKUP(Table73[[#This Row],[Date]],Database!$A:$E,MATCH($B$1,Database!$A$1:$E$1,),)=0,#N/A,VLOOKUP(Table73[[#This Row],[Date]],Database!$A:$E,MATCH($B$1,Database!$A$1:$E$1,),))</f>
        <v/>
      </c>
      <c r="C2883">
        <f>IF(VLOOKUP(Table73[[#This Row],[Date]],Database!$A:$C,MATCH($C$1,Database!$A$1:$C$1,),)=0,#N/A,VLOOKUP(Table73[[#This Row],[Date]],Database!$A:$C,MATCH($C$1,Database!$A$1:$C$1,),))</f>
        <v/>
      </c>
      <c r="D2883">
        <f>IFERROR(Table73[[#This Row],[United States 10y]]-Table73[[#This Row],[United States 2y]],#N/A)</f>
        <v/>
      </c>
    </row>
    <row r="2884">
      <c r="A2884" s="6">
        <f>Database!A2883</f>
        <v/>
      </c>
      <c r="B2884">
        <f>IF(VLOOKUP(Table73[[#This Row],[Date]],Database!$A:$E,MATCH($B$1,Database!$A$1:$E$1,),)=0,#N/A,VLOOKUP(Table73[[#This Row],[Date]],Database!$A:$E,MATCH($B$1,Database!$A$1:$E$1,),))</f>
        <v/>
      </c>
      <c r="C2884">
        <f>IF(VLOOKUP(Table73[[#This Row],[Date]],Database!$A:$C,MATCH($C$1,Database!$A$1:$C$1,),)=0,#N/A,VLOOKUP(Table73[[#This Row],[Date]],Database!$A:$C,MATCH($C$1,Database!$A$1:$C$1,),))</f>
        <v/>
      </c>
      <c r="D2884">
        <f>IFERROR(Table73[[#This Row],[United States 10y]]-Table73[[#This Row],[United States 2y]],#N/A)</f>
        <v/>
      </c>
    </row>
    <row r="2885">
      <c r="A2885" s="6">
        <f>Database!A2884</f>
        <v/>
      </c>
      <c r="B2885">
        <f>IF(VLOOKUP(Table73[[#This Row],[Date]],Database!$A:$E,MATCH($B$1,Database!$A$1:$E$1,),)=0,#N/A,VLOOKUP(Table73[[#This Row],[Date]],Database!$A:$E,MATCH($B$1,Database!$A$1:$E$1,),))</f>
        <v/>
      </c>
      <c r="C2885">
        <f>IF(VLOOKUP(Table73[[#This Row],[Date]],Database!$A:$C,MATCH($C$1,Database!$A$1:$C$1,),)=0,#N/A,VLOOKUP(Table73[[#This Row],[Date]],Database!$A:$C,MATCH($C$1,Database!$A$1:$C$1,),))</f>
        <v/>
      </c>
      <c r="D2885">
        <f>IFERROR(Table73[[#This Row],[United States 10y]]-Table73[[#This Row],[United States 2y]],#N/A)</f>
        <v/>
      </c>
    </row>
    <row r="2886">
      <c r="A2886" s="6">
        <f>Database!A2885</f>
        <v/>
      </c>
      <c r="B2886">
        <f>IF(VLOOKUP(Table73[[#This Row],[Date]],Database!$A:$E,MATCH($B$1,Database!$A$1:$E$1,),)=0,#N/A,VLOOKUP(Table73[[#This Row],[Date]],Database!$A:$E,MATCH($B$1,Database!$A$1:$E$1,),))</f>
        <v/>
      </c>
      <c r="C2886">
        <f>IF(VLOOKUP(Table73[[#This Row],[Date]],Database!$A:$C,MATCH($C$1,Database!$A$1:$C$1,),)=0,#N/A,VLOOKUP(Table73[[#This Row],[Date]],Database!$A:$C,MATCH($C$1,Database!$A$1:$C$1,),))</f>
        <v/>
      </c>
      <c r="D2886">
        <f>IFERROR(Table73[[#This Row],[United States 10y]]-Table73[[#This Row],[United States 2y]],#N/A)</f>
        <v/>
      </c>
    </row>
    <row r="2887">
      <c r="A2887" s="6">
        <f>Database!A2886</f>
        <v/>
      </c>
      <c r="B2887">
        <f>IF(VLOOKUP(Table73[[#This Row],[Date]],Database!$A:$E,MATCH($B$1,Database!$A$1:$E$1,),)=0,#N/A,VLOOKUP(Table73[[#This Row],[Date]],Database!$A:$E,MATCH($B$1,Database!$A$1:$E$1,),))</f>
        <v/>
      </c>
      <c r="C2887">
        <f>IF(VLOOKUP(Table73[[#This Row],[Date]],Database!$A:$C,MATCH($C$1,Database!$A$1:$C$1,),)=0,#N/A,VLOOKUP(Table73[[#This Row],[Date]],Database!$A:$C,MATCH($C$1,Database!$A$1:$C$1,),))</f>
        <v/>
      </c>
      <c r="D2887">
        <f>IFERROR(Table73[[#This Row],[United States 10y]]-Table73[[#This Row],[United States 2y]],#N/A)</f>
        <v/>
      </c>
    </row>
    <row r="2888">
      <c r="A2888" s="6">
        <f>Database!A2887</f>
        <v/>
      </c>
      <c r="B2888">
        <f>IF(VLOOKUP(Table73[[#This Row],[Date]],Database!$A:$E,MATCH($B$1,Database!$A$1:$E$1,),)=0,#N/A,VLOOKUP(Table73[[#This Row],[Date]],Database!$A:$E,MATCH($B$1,Database!$A$1:$E$1,),))</f>
        <v/>
      </c>
      <c r="C2888">
        <f>IF(VLOOKUP(Table73[[#This Row],[Date]],Database!$A:$C,MATCH($C$1,Database!$A$1:$C$1,),)=0,#N/A,VLOOKUP(Table73[[#This Row],[Date]],Database!$A:$C,MATCH($C$1,Database!$A$1:$C$1,),))</f>
        <v/>
      </c>
      <c r="D2888">
        <f>IFERROR(Table73[[#This Row],[United States 10y]]-Table73[[#This Row],[United States 2y]],#N/A)</f>
        <v/>
      </c>
    </row>
    <row r="2889">
      <c r="A2889" s="6">
        <f>Database!A2888</f>
        <v/>
      </c>
      <c r="B2889">
        <f>IF(VLOOKUP(Table73[[#This Row],[Date]],Database!$A:$E,MATCH($B$1,Database!$A$1:$E$1,),)=0,#N/A,VLOOKUP(Table73[[#This Row],[Date]],Database!$A:$E,MATCH($B$1,Database!$A$1:$E$1,),))</f>
        <v/>
      </c>
      <c r="C2889">
        <f>IF(VLOOKUP(Table73[[#This Row],[Date]],Database!$A:$C,MATCH($C$1,Database!$A$1:$C$1,),)=0,#N/A,VLOOKUP(Table73[[#This Row],[Date]],Database!$A:$C,MATCH($C$1,Database!$A$1:$C$1,),))</f>
        <v/>
      </c>
      <c r="D2889">
        <f>IFERROR(Table73[[#This Row],[United States 10y]]-Table73[[#This Row],[United States 2y]],#N/A)</f>
        <v/>
      </c>
    </row>
    <row r="2890">
      <c r="A2890" s="6">
        <f>Database!A2889</f>
        <v/>
      </c>
      <c r="B2890">
        <f>IF(VLOOKUP(Table73[[#This Row],[Date]],Database!$A:$E,MATCH($B$1,Database!$A$1:$E$1,),)=0,#N/A,VLOOKUP(Table73[[#This Row],[Date]],Database!$A:$E,MATCH($B$1,Database!$A$1:$E$1,),))</f>
        <v/>
      </c>
      <c r="C2890">
        <f>IF(VLOOKUP(Table73[[#This Row],[Date]],Database!$A:$C,MATCH($C$1,Database!$A$1:$C$1,),)=0,#N/A,VLOOKUP(Table73[[#This Row],[Date]],Database!$A:$C,MATCH($C$1,Database!$A$1:$C$1,),))</f>
        <v/>
      </c>
      <c r="D2890">
        <f>IFERROR(Table73[[#This Row],[United States 10y]]-Table73[[#This Row],[United States 2y]],#N/A)</f>
        <v/>
      </c>
    </row>
    <row r="2891">
      <c r="A2891" s="6">
        <f>Database!A2890</f>
        <v/>
      </c>
      <c r="B2891">
        <f>IF(VLOOKUP(Table73[[#This Row],[Date]],Database!$A:$E,MATCH($B$1,Database!$A$1:$E$1,),)=0,#N/A,VLOOKUP(Table73[[#This Row],[Date]],Database!$A:$E,MATCH($B$1,Database!$A$1:$E$1,),))</f>
        <v/>
      </c>
      <c r="C2891">
        <f>IF(VLOOKUP(Table73[[#This Row],[Date]],Database!$A:$C,MATCH($C$1,Database!$A$1:$C$1,),)=0,#N/A,VLOOKUP(Table73[[#This Row],[Date]],Database!$A:$C,MATCH($C$1,Database!$A$1:$C$1,),))</f>
        <v/>
      </c>
      <c r="D2891">
        <f>IFERROR(Table73[[#This Row],[United States 10y]]-Table73[[#This Row],[United States 2y]],#N/A)</f>
        <v/>
      </c>
    </row>
    <row r="2892">
      <c r="A2892" s="6">
        <f>Database!A2891</f>
        <v/>
      </c>
      <c r="B2892">
        <f>IF(VLOOKUP(Table73[[#This Row],[Date]],Database!$A:$E,MATCH($B$1,Database!$A$1:$E$1,),)=0,#N/A,VLOOKUP(Table73[[#This Row],[Date]],Database!$A:$E,MATCH($B$1,Database!$A$1:$E$1,),))</f>
        <v/>
      </c>
      <c r="C2892">
        <f>IF(VLOOKUP(Table73[[#This Row],[Date]],Database!$A:$C,MATCH($C$1,Database!$A$1:$C$1,),)=0,#N/A,VLOOKUP(Table73[[#This Row],[Date]],Database!$A:$C,MATCH($C$1,Database!$A$1:$C$1,),))</f>
        <v/>
      </c>
      <c r="D2892">
        <f>IFERROR(Table73[[#This Row],[United States 10y]]-Table73[[#This Row],[United States 2y]],#N/A)</f>
        <v/>
      </c>
    </row>
    <row r="2893">
      <c r="A2893" s="6">
        <f>Database!A2892</f>
        <v/>
      </c>
      <c r="B2893">
        <f>IF(VLOOKUP(Table73[[#This Row],[Date]],Database!$A:$E,MATCH($B$1,Database!$A$1:$E$1,),)=0,#N/A,VLOOKUP(Table73[[#This Row],[Date]],Database!$A:$E,MATCH($B$1,Database!$A$1:$E$1,),))</f>
        <v/>
      </c>
      <c r="C2893">
        <f>IF(VLOOKUP(Table73[[#This Row],[Date]],Database!$A:$C,MATCH($C$1,Database!$A$1:$C$1,),)=0,#N/A,VLOOKUP(Table73[[#This Row],[Date]],Database!$A:$C,MATCH($C$1,Database!$A$1:$C$1,),))</f>
        <v/>
      </c>
      <c r="D2893">
        <f>IFERROR(Table73[[#This Row],[United States 10y]]-Table73[[#This Row],[United States 2y]],#N/A)</f>
        <v/>
      </c>
    </row>
    <row r="2894">
      <c r="A2894" s="6">
        <f>Database!A2893</f>
        <v/>
      </c>
      <c r="B2894">
        <f>IF(VLOOKUP(Table73[[#This Row],[Date]],Database!$A:$E,MATCH($B$1,Database!$A$1:$E$1,),)=0,#N/A,VLOOKUP(Table73[[#This Row],[Date]],Database!$A:$E,MATCH($B$1,Database!$A$1:$E$1,),))</f>
        <v/>
      </c>
      <c r="C2894">
        <f>IF(VLOOKUP(Table73[[#This Row],[Date]],Database!$A:$C,MATCH($C$1,Database!$A$1:$C$1,),)=0,#N/A,VLOOKUP(Table73[[#This Row],[Date]],Database!$A:$C,MATCH($C$1,Database!$A$1:$C$1,),))</f>
        <v/>
      </c>
      <c r="D2894">
        <f>IFERROR(Table73[[#This Row],[United States 10y]]-Table73[[#This Row],[United States 2y]],#N/A)</f>
        <v/>
      </c>
    </row>
    <row r="2895">
      <c r="A2895" s="6">
        <f>Database!A2894</f>
        <v/>
      </c>
      <c r="B2895">
        <f>IF(VLOOKUP(Table73[[#This Row],[Date]],Database!$A:$E,MATCH($B$1,Database!$A$1:$E$1,),)=0,#N/A,VLOOKUP(Table73[[#This Row],[Date]],Database!$A:$E,MATCH($B$1,Database!$A$1:$E$1,),))</f>
        <v/>
      </c>
      <c r="C2895">
        <f>IF(VLOOKUP(Table73[[#This Row],[Date]],Database!$A:$C,MATCH($C$1,Database!$A$1:$C$1,),)=0,#N/A,VLOOKUP(Table73[[#This Row],[Date]],Database!$A:$C,MATCH($C$1,Database!$A$1:$C$1,),))</f>
        <v/>
      </c>
      <c r="D2895">
        <f>IFERROR(Table73[[#This Row],[United States 10y]]-Table73[[#This Row],[United States 2y]],#N/A)</f>
        <v/>
      </c>
    </row>
    <row r="2896">
      <c r="A2896" s="6">
        <f>Database!A2895</f>
        <v/>
      </c>
      <c r="B2896">
        <f>IF(VLOOKUP(Table73[[#This Row],[Date]],Database!$A:$E,MATCH($B$1,Database!$A$1:$E$1,),)=0,#N/A,VLOOKUP(Table73[[#This Row],[Date]],Database!$A:$E,MATCH($B$1,Database!$A$1:$E$1,),))</f>
        <v/>
      </c>
      <c r="C2896">
        <f>IF(VLOOKUP(Table73[[#This Row],[Date]],Database!$A:$C,MATCH($C$1,Database!$A$1:$C$1,),)=0,#N/A,VLOOKUP(Table73[[#This Row],[Date]],Database!$A:$C,MATCH($C$1,Database!$A$1:$C$1,),))</f>
        <v/>
      </c>
      <c r="D2896">
        <f>IFERROR(Table73[[#This Row],[United States 10y]]-Table73[[#This Row],[United States 2y]],#N/A)</f>
        <v/>
      </c>
    </row>
    <row r="2897">
      <c r="A2897" s="6">
        <f>Database!A2896</f>
        <v/>
      </c>
      <c r="B2897">
        <f>IF(VLOOKUP(Table73[[#This Row],[Date]],Database!$A:$E,MATCH($B$1,Database!$A$1:$E$1,),)=0,#N/A,VLOOKUP(Table73[[#This Row],[Date]],Database!$A:$E,MATCH($B$1,Database!$A$1:$E$1,),))</f>
        <v/>
      </c>
      <c r="C2897">
        <f>IF(VLOOKUP(Table73[[#This Row],[Date]],Database!$A:$C,MATCH($C$1,Database!$A$1:$C$1,),)=0,#N/A,VLOOKUP(Table73[[#This Row],[Date]],Database!$A:$C,MATCH($C$1,Database!$A$1:$C$1,),))</f>
        <v/>
      </c>
      <c r="D2897">
        <f>IFERROR(Table73[[#This Row],[United States 10y]]-Table73[[#This Row],[United States 2y]],#N/A)</f>
        <v/>
      </c>
    </row>
    <row r="2898">
      <c r="A2898" s="6">
        <f>Database!A2897</f>
        <v/>
      </c>
      <c r="B2898">
        <f>IF(VLOOKUP(Table73[[#This Row],[Date]],Database!$A:$E,MATCH($B$1,Database!$A$1:$E$1,),)=0,#N/A,VLOOKUP(Table73[[#This Row],[Date]],Database!$A:$E,MATCH($B$1,Database!$A$1:$E$1,),))</f>
        <v/>
      </c>
      <c r="C2898">
        <f>IF(VLOOKUP(Table73[[#This Row],[Date]],Database!$A:$C,MATCH($C$1,Database!$A$1:$C$1,),)=0,#N/A,VLOOKUP(Table73[[#This Row],[Date]],Database!$A:$C,MATCH($C$1,Database!$A$1:$C$1,),))</f>
        <v/>
      </c>
      <c r="D2898">
        <f>IFERROR(Table73[[#This Row],[United States 10y]]-Table73[[#This Row],[United States 2y]],#N/A)</f>
        <v/>
      </c>
    </row>
    <row r="2899">
      <c r="A2899" s="6">
        <f>Database!A2898</f>
        <v/>
      </c>
      <c r="B2899">
        <f>IF(VLOOKUP(Table73[[#This Row],[Date]],Database!$A:$E,MATCH($B$1,Database!$A$1:$E$1,),)=0,#N/A,VLOOKUP(Table73[[#This Row],[Date]],Database!$A:$E,MATCH($B$1,Database!$A$1:$E$1,),))</f>
        <v/>
      </c>
      <c r="C2899">
        <f>IF(VLOOKUP(Table73[[#This Row],[Date]],Database!$A:$C,MATCH($C$1,Database!$A$1:$C$1,),)=0,#N/A,VLOOKUP(Table73[[#This Row],[Date]],Database!$A:$C,MATCH($C$1,Database!$A$1:$C$1,),))</f>
        <v/>
      </c>
      <c r="D2899">
        <f>IFERROR(Table73[[#This Row],[United States 10y]]-Table73[[#This Row],[United States 2y]],#N/A)</f>
        <v/>
      </c>
    </row>
    <row r="2900">
      <c r="A2900" s="6">
        <f>Database!A2899</f>
        <v/>
      </c>
      <c r="B2900">
        <f>IF(VLOOKUP(Table73[[#This Row],[Date]],Database!$A:$E,MATCH($B$1,Database!$A$1:$E$1,),)=0,#N/A,VLOOKUP(Table73[[#This Row],[Date]],Database!$A:$E,MATCH($B$1,Database!$A$1:$E$1,),))</f>
        <v/>
      </c>
      <c r="C2900">
        <f>IF(VLOOKUP(Table73[[#This Row],[Date]],Database!$A:$C,MATCH($C$1,Database!$A$1:$C$1,),)=0,#N/A,VLOOKUP(Table73[[#This Row],[Date]],Database!$A:$C,MATCH($C$1,Database!$A$1:$C$1,),))</f>
        <v/>
      </c>
      <c r="D2900">
        <f>IFERROR(Table73[[#This Row],[United States 10y]]-Table73[[#This Row],[United States 2y]],#N/A)</f>
        <v/>
      </c>
    </row>
    <row r="2901">
      <c r="A2901" s="6">
        <f>Database!A2900</f>
        <v/>
      </c>
      <c r="B2901">
        <f>IF(VLOOKUP(Table73[[#This Row],[Date]],Database!$A:$E,MATCH($B$1,Database!$A$1:$E$1,),)=0,#N/A,VLOOKUP(Table73[[#This Row],[Date]],Database!$A:$E,MATCH($B$1,Database!$A$1:$E$1,),))</f>
        <v/>
      </c>
      <c r="C2901">
        <f>IF(VLOOKUP(Table73[[#This Row],[Date]],Database!$A:$C,MATCH($C$1,Database!$A$1:$C$1,),)=0,#N/A,VLOOKUP(Table73[[#This Row],[Date]],Database!$A:$C,MATCH($C$1,Database!$A$1:$C$1,),))</f>
        <v/>
      </c>
      <c r="D2901">
        <f>IFERROR(Table73[[#This Row],[United States 10y]]-Table73[[#This Row],[United States 2y]],#N/A)</f>
        <v/>
      </c>
    </row>
    <row r="2902">
      <c r="A2902" s="6">
        <f>Database!A2901</f>
        <v/>
      </c>
      <c r="B2902">
        <f>IF(VLOOKUP(Table73[[#This Row],[Date]],Database!$A:$E,MATCH($B$1,Database!$A$1:$E$1,),)=0,#N/A,VLOOKUP(Table73[[#This Row],[Date]],Database!$A:$E,MATCH($B$1,Database!$A$1:$E$1,),))</f>
        <v/>
      </c>
      <c r="C2902">
        <f>IF(VLOOKUP(Table73[[#This Row],[Date]],Database!$A:$C,MATCH($C$1,Database!$A$1:$C$1,),)=0,#N/A,VLOOKUP(Table73[[#This Row],[Date]],Database!$A:$C,MATCH($C$1,Database!$A$1:$C$1,),))</f>
        <v/>
      </c>
      <c r="D2902">
        <f>IFERROR(Table73[[#This Row],[United States 10y]]-Table73[[#This Row],[United States 2y]],#N/A)</f>
        <v/>
      </c>
    </row>
    <row r="2903">
      <c r="A2903" s="6">
        <f>Database!A2902</f>
        <v/>
      </c>
      <c r="B2903">
        <f>IF(VLOOKUP(Table73[[#This Row],[Date]],Database!$A:$E,MATCH($B$1,Database!$A$1:$E$1,),)=0,#N/A,VLOOKUP(Table73[[#This Row],[Date]],Database!$A:$E,MATCH($B$1,Database!$A$1:$E$1,),))</f>
        <v/>
      </c>
      <c r="C2903">
        <f>IF(VLOOKUP(Table73[[#This Row],[Date]],Database!$A:$C,MATCH($C$1,Database!$A$1:$C$1,),)=0,#N/A,VLOOKUP(Table73[[#This Row],[Date]],Database!$A:$C,MATCH($C$1,Database!$A$1:$C$1,),))</f>
        <v/>
      </c>
      <c r="D2903">
        <f>IFERROR(Table73[[#This Row],[United States 10y]]-Table73[[#This Row],[United States 2y]],#N/A)</f>
        <v/>
      </c>
    </row>
    <row r="2904">
      <c r="A2904" s="6">
        <f>Database!A2903</f>
        <v/>
      </c>
      <c r="B2904">
        <f>IF(VLOOKUP(Table73[[#This Row],[Date]],Database!$A:$E,MATCH($B$1,Database!$A$1:$E$1,),)=0,#N/A,VLOOKUP(Table73[[#This Row],[Date]],Database!$A:$E,MATCH($B$1,Database!$A$1:$E$1,),))</f>
        <v/>
      </c>
      <c r="C2904">
        <f>IF(VLOOKUP(Table73[[#This Row],[Date]],Database!$A:$C,MATCH($C$1,Database!$A$1:$C$1,),)=0,#N/A,VLOOKUP(Table73[[#This Row],[Date]],Database!$A:$C,MATCH($C$1,Database!$A$1:$C$1,),))</f>
        <v/>
      </c>
      <c r="D2904">
        <f>IFERROR(Table73[[#This Row],[United States 10y]]-Table73[[#This Row],[United States 2y]],#N/A)</f>
        <v/>
      </c>
    </row>
    <row r="2905">
      <c r="A2905" s="6">
        <f>Database!A2904</f>
        <v/>
      </c>
      <c r="B2905">
        <f>IF(VLOOKUP(Table73[[#This Row],[Date]],Database!$A:$E,MATCH($B$1,Database!$A$1:$E$1,),)=0,#N/A,VLOOKUP(Table73[[#This Row],[Date]],Database!$A:$E,MATCH($B$1,Database!$A$1:$E$1,),))</f>
        <v/>
      </c>
      <c r="C2905">
        <f>IF(VLOOKUP(Table73[[#This Row],[Date]],Database!$A:$C,MATCH($C$1,Database!$A$1:$C$1,),)=0,#N/A,VLOOKUP(Table73[[#This Row],[Date]],Database!$A:$C,MATCH($C$1,Database!$A$1:$C$1,),))</f>
        <v/>
      </c>
      <c r="D2905">
        <f>IFERROR(Table73[[#This Row],[United States 10y]]-Table73[[#This Row],[United States 2y]],#N/A)</f>
        <v/>
      </c>
    </row>
    <row r="2906">
      <c r="A2906" s="6">
        <f>Database!A2905</f>
        <v/>
      </c>
      <c r="B2906">
        <f>IF(VLOOKUP(Table73[[#This Row],[Date]],Database!$A:$E,MATCH($B$1,Database!$A$1:$E$1,),)=0,#N/A,VLOOKUP(Table73[[#This Row],[Date]],Database!$A:$E,MATCH($B$1,Database!$A$1:$E$1,),))</f>
        <v/>
      </c>
      <c r="C2906">
        <f>IF(VLOOKUP(Table73[[#This Row],[Date]],Database!$A:$C,MATCH($C$1,Database!$A$1:$C$1,),)=0,#N/A,VLOOKUP(Table73[[#This Row],[Date]],Database!$A:$C,MATCH($C$1,Database!$A$1:$C$1,),))</f>
        <v/>
      </c>
      <c r="D2906">
        <f>IFERROR(Table73[[#This Row],[United States 10y]]-Table73[[#This Row],[United States 2y]],#N/A)</f>
        <v/>
      </c>
    </row>
    <row r="2907">
      <c r="A2907" s="6">
        <f>Database!A2906</f>
        <v/>
      </c>
      <c r="B2907">
        <f>IF(VLOOKUP(Table73[[#This Row],[Date]],Database!$A:$E,MATCH($B$1,Database!$A$1:$E$1,),)=0,#N/A,VLOOKUP(Table73[[#This Row],[Date]],Database!$A:$E,MATCH($B$1,Database!$A$1:$E$1,),))</f>
        <v/>
      </c>
      <c r="C2907">
        <f>IF(VLOOKUP(Table73[[#This Row],[Date]],Database!$A:$C,MATCH($C$1,Database!$A$1:$C$1,),)=0,#N/A,VLOOKUP(Table73[[#This Row],[Date]],Database!$A:$C,MATCH($C$1,Database!$A$1:$C$1,),))</f>
        <v/>
      </c>
      <c r="D2907">
        <f>IFERROR(Table73[[#This Row],[United States 10y]]-Table73[[#This Row],[United States 2y]],#N/A)</f>
        <v/>
      </c>
    </row>
    <row r="2908">
      <c r="A2908" s="6">
        <f>Database!A2907</f>
        <v/>
      </c>
      <c r="B2908">
        <f>IF(VLOOKUP(Table73[[#This Row],[Date]],Database!$A:$E,MATCH($B$1,Database!$A$1:$E$1,),)=0,#N/A,VLOOKUP(Table73[[#This Row],[Date]],Database!$A:$E,MATCH($B$1,Database!$A$1:$E$1,),))</f>
        <v/>
      </c>
      <c r="C2908">
        <f>IF(VLOOKUP(Table73[[#This Row],[Date]],Database!$A:$C,MATCH($C$1,Database!$A$1:$C$1,),)=0,#N/A,VLOOKUP(Table73[[#This Row],[Date]],Database!$A:$C,MATCH($C$1,Database!$A$1:$C$1,),))</f>
        <v/>
      </c>
      <c r="D2908">
        <f>IFERROR(Table73[[#This Row],[United States 10y]]-Table73[[#This Row],[United States 2y]],#N/A)</f>
        <v/>
      </c>
    </row>
    <row r="2909">
      <c r="A2909" s="6">
        <f>Database!A2908</f>
        <v/>
      </c>
      <c r="B2909">
        <f>IF(VLOOKUP(Table73[[#This Row],[Date]],Database!$A:$E,MATCH($B$1,Database!$A$1:$E$1,),)=0,#N/A,VLOOKUP(Table73[[#This Row],[Date]],Database!$A:$E,MATCH($B$1,Database!$A$1:$E$1,),))</f>
        <v/>
      </c>
      <c r="C2909">
        <f>IF(VLOOKUP(Table73[[#This Row],[Date]],Database!$A:$C,MATCH($C$1,Database!$A$1:$C$1,),)=0,#N/A,VLOOKUP(Table73[[#This Row],[Date]],Database!$A:$C,MATCH($C$1,Database!$A$1:$C$1,),))</f>
        <v/>
      </c>
      <c r="D2909">
        <f>IFERROR(Table73[[#This Row],[United States 10y]]-Table73[[#This Row],[United States 2y]],#N/A)</f>
        <v/>
      </c>
    </row>
    <row r="2910">
      <c r="A2910" s="6">
        <f>Database!A2909</f>
        <v/>
      </c>
      <c r="B2910">
        <f>IF(VLOOKUP(Table73[[#This Row],[Date]],Database!$A:$E,MATCH($B$1,Database!$A$1:$E$1,),)=0,#N/A,VLOOKUP(Table73[[#This Row],[Date]],Database!$A:$E,MATCH($B$1,Database!$A$1:$E$1,),))</f>
        <v/>
      </c>
      <c r="C2910">
        <f>IF(VLOOKUP(Table73[[#This Row],[Date]],Database!$A:$C,MATCH($C$1,Database!$A$1:$C$1,),)=0,#N/A,VLOOKUP(Table73[[#This Row],[Date]],Database!$A:$C,MATCH($C$1,Database!$A$1:$C$1,),))</f>
        <v/>
      </c>
      <c r="D2910">
        <f>IFERROR(Table73[[#This Row],[United States 10y]]-Table73[[#This Row],[United States 2y]],#N/A)</f>
        <v/>
      </c>
    </row>
    <row r="2911">
      <c r="A2911" s="6">
        <f>Database!A2910</f>
        <v/>
      </c>
      <c r="B2911">
        <f>IF(VLOOKUP(Table73[[#This Row],[Date]],Database!$A:$E,MATCH($B$1,Database!$A$1:$E$1,),)=0,#N/A,VLOOKUP(Table73[[#This Row],[Date]],Database!$A:$E,MATCH($B$1,Database!$A$1:$E$1,),))</f>
        <v/>
      </c>
      <c r="C2911">
        <f>IF(VLOOKUP(Table73[[#This Row],[Date]],Database!$A:$C,MATCH($C$1,Database!$A$1:$C$1,),)=0,#N/A,VLOOKUP(Table73[[#This Row],[Date]],Database!$A:$C,MATCH($C$1,Database!$A$1:$C$1,),))</f>
        <v/>
      </c>
      <c r="D2911">
        <f>IFERROR(Table73[[#This Row],[United States 10y]]-Table73[[#This Row],[United States 2y]],#N/A)</f>
        <v/>
      </c>
    </row>
    <row r="2912">
      <c r="A2912" s="6">
        <f>Database!A2911</f>
        <v/>
      </c>
      <c r="B2912">
        <f>IF(VLOOKUP(Table73[[#This Row],[Date]],Database!$A:$E,MATCH($B$1,Database!$A$1:$E$1,),)=0,#N/A,VLOOKUP(Table73[[#This Row],[Date]],Database!$A:$E,MATCH($B$1,Database!$A$1:$E$1,),))</f>
        <v/>
      </c>
      <c r="C2912">
        <f>IF(VLOOKUP(Table73[[#This Row],[Date]],Database!$A:$C,MATCH($C$1,Database!$A$1:$C$1,),)=0,#N/A,VLOOKUP(Table73[[#This Row],[Date]],Database!$A:$C,MATCH($C$1,Database!$A$1:$C$1,),))</f>
        <v/>
      </c>
      <c r="D2912">
        <f>IFERROR(Table73[[#This Row],[United States 10y]]-Table73[[#This Row],[United States 2y]],#N/A)</f>
        <v/>
      </c>
    </row>
    <row r="2913">
      <c r="A2913" s="6">
        <f>Database!A2912</f>
        <v/>
      </c>
      <c r="B2913">
        <f>IF(VLOOKUP(Table73[[#This Row],[Date]],Database!$A:$E,MATCH($B$1,Database!$A$1:$E$1,),)=0,#N/A,VLOOKUP(Table73[[#This Row],[Date]],Database!$A:$E,MATCH($B$1,Database!$A$1:$E$1,),))</f>
        <v/>
      </c>
      <c r="C2913">
        <f>IF(VLOOKUP(Table73[[#This Row],[Date]],Database!$A:$C,MATCH($C$1,Database!$A$1:$C$1,),)=0,#N/A,VLOOKUP(Table73[[#This Row],[Date]],Database!$A:$C,MATCH($C$1,Database!$A$1:$C$1,),))</f>
        <v/>
      </c>
      <c r="D2913">
        <f>IFERROR(Table73[[#This Row],[United States 10y]]-Table73[[#This Row],[United States 2y]],#N/A)</f>
        <v/>
      </c>
    </row>
    <row r="2914">
      <c r="A2914" s="6">
        <f>Database!A2913</f>
        <v/>
      </c>
      <c r="B2914">
        <f>IF(VLOOKUP(Table73[[#This Row],[Date]],Database!$A:$E,MATCH($B$1,Database!$A$1:$E$1,),)=0,#N/A,VLOOKUP(Table73[[#This Row],[Date]],Database!$A:$E,MATCH($B$1,Database!$A$1:$E$1,),))</f>
        <v/>
      </c>
      <c r="C2914">
        <f>IF(VLOOKUP(Table73[[#This Row],[Date]],Database!$A:$C,MATCH($C$1,Database!$A$1:$C$1,),)=0,#N/A,VLOOKUP(Table73[[#This Row],[Date]],Database!$A:$C,MATCH($C$1,Database!$A$1:$C$1,),))</f>
        <v/>
      </c>
      <c r="D2914">
        <f>IFERROR(Table73[[#This Row],[United States 10y]]-Table73[[#This Row],[United States 2y]],#N/A)</f>
        <v/>
      </c>
    </row>
    <row r="2915">
      <c r="A2915" s="6">
        <f>Database!A2914</f>
        <v/>
      </c>
      <c r="B2915">
        <f>IF(VLOOKUP(Table73[[#This Row],[Date]],Database!$A:$E,MATCH($B$1,Database!$A$1:$E$1,),)=0,#N/A,VLOOKUP(Table73[[#This Row],[Date]],Database!$A:$E,MATCH($B$1,Database!$A$1:$E$1,),))</f>
        <v/>
      </c>
      <c r="C2915">
        <f>IF(VLOOKUP(Table73[[#This Row],[Date]],Database!$A:$C,MATCH($C$1,Database!$A$1:$C$1,),)=0,#N/A,VLOOKUP(Table73[[#This Row],[Date]],Database!$A:$C,MATCH($C$1,Database!$A$1:$C$1,),))</f>
        <v/>
      </c>
      <c r="D2915">
        <f>IFERROR(Table73[[#This Row],[United States 10y]]-Table73[[#This Row],[United States 2y]],#N/A)</f>
        <v/>
      </c>
    </row>
    <row r="2916">
      <c r="A2916" s="6">
        <f>Database!A2915</f>
        <v/>
      </c>
      <c r="B2916">
        <f>IF(VLOOKUP(Table73[[#This Row],[Date]],Database!$A:$E,MATCH($B$1,Database!$A$1:$E$1,),)=0,#N/A,VLOOKUP(Table73[[#This Row],[Date]],Database!$A:$E,MATCH($B$1,Database!$A$1:$E$1,),))</f>
        <v/>
      </c>
      <c r="C2916">
        <f>IF(VLOOKUP(Table73[[#This Row],[Date]],Database!$A:$C,MATCH($C$1,Database!$A$1:$C$1,),)=0,#N/A,VLOOKUP(Table73[[#This Row],[Date]],Database!$A:$C,MATCH($C$1,Database!$A$1:$C$1,),))</f>
        <v/>
      </c>
      <c r="D2916">
        <f>IFERROR(Table73[[#This Row],[United States 10y]]-Table73[[#This Row],[United States 2y]],#N/A)</f>
        <v/>
      </c>
    </row>
    <row r="2917">
      <c r="A2917" s="6">
        <f>Database!A2916</f>
        <v/>
      </c>
      <c r="B2917">
        <f>IF(VLOOKUP(Table73[[#This Row],[Date]],Database!$A:$E,MATCH($B$1,Database!$A$1:$E$1,),)=0,#N/A,VLOOKUP(Table73[[#This Row],[Date]],Database!$A:$E,MATCH($B$1,Database!$A$1:$E$1,),))</f>
        <v/>
      </c>
      <c r="C2917">
        <f>IF(VLOOKUP(Table73[[#This Row],[Date]],Database!$A:$C,MATCH($C$1,Database!$A$1:$C$1,),)=0,#N/A,VLOOKUP(Table73[[#This Row],[Date]],Database!$A:$C,MATCH($C$1,Database!$A$1:$C$1,),))</f>
        <v/>
      </c>
      <c r="D2917">
        <f>IFERROR(Table73[[#This Row],[United States 10y]]-Table73[[#This Row],[United States 2y]],#N/A)</f>
        <v/>
      </c>
    </row>
    <row r="2918">
      <c r="A2918" s="6">
        <f>Database!A2917</f>
        <v/>
      </c>
      <c r="B2918">
        <f>IF(VLOOKUP(Table73[[#This Row],[Date]],Database!$A:$E,MATCH($B$1,Database!$A$1:$E$1,),)=0,#N/A,VLOOKUP(Table73[[#This Row],[Date]],Database!$A:$E,MATCH($B$1,Database!$A$1:$E$1,),))</f>
        <v/>
      </c>
      <c r="C2918">
        <f>IF(VLOOKUP(Table73[[#This Row],[Date]],Database!$A:$C,MATCH($C$1,Database!$A$1:$C$1,),)=0,#N/A,VLOOKUP(Table73[[#This Row],[Date]],Database!$A:$C,MATCH($C$1,Database!$A$1:$C$1,),))</f>
        <v/>
      </c>
      <c r="D2918">
        <f>IFERROR(Table73[[#This Row],[United States 10y]]-Table73[[#This Row],[United States 2y]],#N/A)</f>
        <v/>
      </c>
    </row>
    <row r="2919">
      <c r="A2919" s="6">
        <f>Database!A2918</f>
        <v/>
      </c>
      <c r="B2919">
        <f>IF(VLOOKUP(Table73[[#This Row],[Date]],Database!$A:$E,MATCH($B$1,Database!$A$1:$E$1,),)=0,#N/A,VLOOKUP(Table73[[#This Row],[Date]],Database!$A:$E,MATCH($B$1,Database!$A$1:$E$1,),))</f>
        <v/>
      </c>
      <c r="C2919">
        <f>IF(VLOOKUP(Table73[[#This Row],[Date]],Database!$A:$C,MATCH($C$1,Database!$A$1:$C$1,),)=0,#N/A,VLOOKUP(Table73[[#This Row],[Date]],Database!$A:$C,MATCH($C$1,Database!$A$1:$C$1,),))</f>
        <v/>
      </c>
      <c r="D2919">
        <f>IFERROR(Table73[[#This Row],[United States 10y]]-Table73[[#This Row],[United States 2y]],#N/A)</f>
        <v/>
      </c>
    </row>
    <row r="2920">
      <c r="A2920" s="6">
        <f>Database!A2919</f>
        <v/>
      </c>
      <c r="B2920">
        <f>IF(VLOOKUP(Table73[[#This Row],[Date]],Database!$A:$E,MATCH($B$1,Database!$A$1:$E$1,),)=0,#N/A,VLOOKUP(Table73[[#This Row],[Date]],Database!$A:$E,MATCH($B$1,Database!$A$1:$E$1,),))</f>
        <v/>
      </c>
      <c r="C2920">
        <f>IF(VLOOKUP(Table73[[#This Row],[Date]],Database!$A:$C,MATCH($C$1,Database!$A$1:$C$1,),)=0,#N/A,VLOOKUP(Table73[[#This Row],[Date]],Database!$A:$C,MATCH($C$1,Database!$A$1:$C$1,),))</f>
        <v/>
      </c>
      <c r="D2920">
        <f>IFERROR(Table73[[#This Row],[United States 10y]]-Table73[[#This Row],[United States 2y]],#N/A)</f>
        <v/>
      </c>
    </row>
    <row r="2921">
      <c r="A2921" s="6">
        <f>Database!A2920</f>
        <v/>
      </c>
      <c r="B2921">
        <f>IF(VLOOKUP(Table73[[#This Row],[Date]],Database!$A:$E,MATCH($B$1,Database!$A$1:$E$1,),)=0,#N/A,VLOOKUP(Table73[[#This Row],[Date]],Database!$A:$E,MATCH($B$1,Database!$A$1:$E$1,),))</f>
        <v/>
      </c>
      <c r="C2921">
        <f>IF(VLOOKUP(Table73[[#This Row],[Date]],Database!$A:$C,MATCH($C$1,Database!$A$1:$C$1,),)=0,#N/A,VLOOKUP(Table73[[#This Row],[Date]],Database!$A:$C,MATCH($C$1,Database!$A$1:$C$1,),))</f>
        <v/>
      </c>
      <c r="D2921">
        <f>IFERROR(Table73[[#This Row],[United States 10y]]-Table73[[#This Row],[United States 2y]],#N/A)</f>
        <v/>
      </c>
    </row>
    <row r="2922">
      <c r="A2922" s="6">
        <f>Database!A2921</f>
        <v/>
      </c>
      <c r="B2922">
        <f>IF(VLOOKUP(Table73[[#This Row],[Date]],Database!$A:$E,MATCH($B$1,Database!$A$1:$E$1,),)=0,#N/A,VLOOKUP(Table73[[#This Row],[Date]],Database!$A:$E,MATCH($B$1,Database!$A$1:$E$1,),))</f>
        <v/>
      </c>
      <c r="C2922">
        <f>IF(VLOOKUP(Table73[[#This Row],[Date]],Database!$A:$C,MATCH($C$1,Database!$A$1:$C$1,),)=0,#N/A,VLOOKUP(Table73[[#This Row],[Date]],Database!$A:$C,MATCH($C$1,Database!$A$1:$C$1,),))</f>
        <v/>
      </c>
      <c r="D2922">
        <f>IFERROR(Table73[[#This Row],[United States 10y]]-Table73[[#This Row],[United States 2y]],#N/A)</f>
        <v/>
      </c>
    </row>
    <row r="2923">
      <c r="A2923" s="6">
        <f>Database!A2922</f>
        <v/>
      </c>
      <c r="B2923">
        <f>IF(VLOOKUP(Table73[[#This Row],[Date]],Database!$A:$E,MATCH($B$1,Database!$A$1:$E$1,),)=0,#N/A,VLOOKUP(Table73[[#This Row],[Date]],Database!$A:$E,MATCH($B$1,Database!$A$1:$E$1,),))</f>
        <v/>
      </c>
      <c r="C2923">
        <f>IF(VLOOKUP(Table73[[#This Row],[Date]],Database!$A:$C,MATCH($C$1,Database!$A$1:$C$1,),)=0,#N/A,VLOOKUP(Table73[[#This Row],[Date]],Database!$A:$C,MATCH($C$1,Database!$A$1:$C$1,),))</f>
        <v/>
      </c>
      <c r="D2923">
        <f>IFERROR(Table73[[#This Row],[United States 10y]]-Table73[[#This Row],[United States 2y]],#N/A)</f>
        <v/>
      </c>
    </row>
    <row r="2924">
      <c r="A2924" s="6">
        <f>Database!A2923</f>
        <v/>
      </c>
      <c r="B2924">
        <f>IF(VLOOKUP(Table73[[#This Row],[Date]],Database!$A:$E,MATCH($B$1,Database!$A$1:$E$1,),)=0,#N/A,VLOOKUP(Table73[[#This Row],[Date]],Database!$A:$E,MATCH($B$1,Database!$A$1:$E$1,),))</f>
        <v/>
      </c>
      <c r="C2924">
        <f>IF(VLOOKUP(Table73[[#This Row],[Date]],Database!$A:$C,MATCH($C$1,Database!$A$1:$C$1,),)=0,#N/A,VLOOKUP(Table73[[#This Row],[Date]],Database!$A:$C,MATCH($C$1,Database!$A$1:$C$1,),))</f>
        <v/>
      </c>
      <c r="D2924">
        <f>IFERROR(Table73[[#This Row],[United States 10y]]-Table73[[#This Row],[United States 2y]],#N/A)</f>
        <v/>
      </c>
    </row>
    <row r="2925">
      <c r="A2925" s="6">
        <f>Database!A2924</f>
        <v/>
      </c>
      <c r="B2925">
        <f>IF(VLOOKUP(Table73[[#This Row],[Date]],Database!$A:$E,MATCH($B$1,Database!$A$1:$E$1,),)=0,#N/A,VLOOKUP(Table73[[#This Row],[Date]],Database!$A:$E,MATCH($B$1,Database!$A$1:$E$1,),))</f>
        <v/>
      </c>
      <c r="C2925">
        <f>IF(VLOOKUP(Table73[[#This Row],[Date]],Database!$A:$C,MATCH($C$1,Database!$A$1:$C$1,),)=0,#N/A,VLOOKUP(Table73[[#This Row],[Date]],Database!$A:$C,MATCH($C$1,Database!$A$1:$C$1,),))</f>
        <v/>
      </c>
      <c r="D2925">
        <f>IFERROR(Table73[[#This Row],[United States 10y]]-Table73[[#This Row],[United States 2y]],#N/A)</f>
        <v/>
      </c>
    </row>
    <row r="2926">
      <c r="A2926" s="6">
        <f>Database!A2925</f>
        <v/>
      </c>
      <c r="B2926">
        <f>IF(VLOOKUP(Table73[[#This Row],[Date]],Database!$A:$E,MATCH($B$1,Database!$A$1:$E$1,),)=0,#N/A,VLOOKUP(Table73[[#This Row],[Date]],Database!$A:$E,MATCH($B$1,Database!$A$1:$E$1,),))</f>
        <v/>
      </c>
      <c r="C2926">
        <f>IF(VLOOKUP(Table73[[#This Row],[Date]],Database!$A:$C,MATCH($C$1,Database!$A$1:$C$1,),)=0,#N/A,VLOOKUP(Table73[[#This Row],[Date]],Database!$A:$C,MATCH($C$1,Database!$A$1:$C$1,),))</f>
        <v/>
      </c>
      <c r="D2926">
        <f>IFERROR(Table73[[#This Row],[United States 10y]]-Table73[[#This Row],[United States 2y]],#N/A)</f>
        <v/>
      </c>
    </row>
    <row r="2927">
      <c r="A2927" s="6">
        <f>Database!A2926</f>
        <v/>
      </c>
      <c r="B2927">
        <f>IF(VLOOKUP(Table73[[#This Row],[Date]],Database!$A:$E,MATCH($B$1,Database!$A$1:$E$1,),)=0,#N/A,VLOOKUP(Table73[[#This Row],[Date]],Database!$A:$E,MATCH($B$1,Database!$A$1:$E$1,),))</f>
        <v/>
      </c>
      <c r="C2927">
        <f>IF(VLOOKUP(Table73[[#This Row],[Date]],Database!$A:$C,MATCH($C$1,Database!$A$1:$C$1,),)=0,#N/A,VLOOKUP(Table73[[#This Row],[Date]],Database!$A:$C,MATCH($C$1,Database!$A$1:$C$1,),))</f>
        <v/>
      </c>
      <c r="D2927">
        <f>IFERROR(Table73[[#This Row],[United States 10y]]-Table73[[#This Row],[United States 2y]],#N/A)</f>
        <v/>
      </c>
    </row>
    <row r="2928">
      <c r="A2928" s="6">
        <f>Database!A2927</f>
        <v/>
      </c>
      <c r="B2928">
        <f>IF(VLOOKUP(Table73[[#This Row],[Date]],Database!$A:$E,MATCH($B$1,Database!$A$1:$E$1,),)=0,#N/A,VLOOKUP(Table73[[#This Row],[Date]],Database!$A:$E,MATCH($B$1,Database!$A$1:$E$1,),))</f>
        <v/>
      </c>
      <c r="C2928">
        <f>IF(VLOOKUP(Table73[[#This Row],[Date]],Database!$A:$C,MATCH($C$1,Database!$A$1:$C$1,),)=0,#N/A,VLOOKUP(Table73[[#This Row],[Date]],Database!$A:$C,MATCH($C$1,Database!$A$1:$C$1,),))</f>
        <v/>
      </c>
      <c r="D2928">
        <f>IFERROR(Table73[[#This Row],[United States 10y]]-Table73[[#This Row],[United States 2y]],#N/A)</f>
        <v/>
      </c>
    </row>
    <row r="2929">
      <c r="A2929" s="6">
        <f>Database!A2928</f>
        <v/>
      </c>
      <c r="B2929">
        <f>IF(VLOOKUP(Table73[[#This Row],[Date]],Database!$A:$E,MATCH($B$1,Database!$A$1:$E$1,),)=0,#N/A,VLOOKUP(Table73[[#This Row],[Date]],Database!$A:$E,MATCH($B$1,Database!$A$1:$E$1,),))</f>
        <v/>
      </c>
      <c r="C2929">
        <f>IF(VLOOKUP(Table73[[#This Row],[Date]],Database!$A:$C,MATCH($C$1,Database!$A$1:$C$1,),)=0,#N/A,VLOOKUP(Table73[[#This Row],[Date]],Database!$A:$C,MATCH($C$1,Database!$A$1:$C$1,),))</f>
        <v/>
      </c>
      <c r="D2929">
        <f>IFERROR(Table73[[#This Row],[United States 10y]]-Table73[[#This Row],[United States 2y]],#N/A)</f>
        <v/>
      </c>
    </row>
    <row r="2930">
      <c r="A2930" s="6">
        <f>Database!A2929</f>
        <v/>
      </c>
      <c r="B2930">
        <f>IF(VLOOKUP(Table73[[#This Row],[Date]],Database!$A:$E,MATCH($B$1,Database!$A$1:$E$1,),)=0,#N/A,VLOOKUP(Table73[[#This Row],[Date]],Database!$A:$E,MATCH($B$1,Database!$A$1:$E$1,),))</f>
        <v/>
      </c>
      <c r="C2930">
        <f>IF(VLOOKUP(Table73[[#This Row],[Date]],Database!$A:$C,MATCH($C$1,Database!$A$1:$C$1,),)=0,#N/A,VLOOKUP(Table73[[#This Row],[Date]],Database!$A:$C,MATCH($C$1,Database!$A$1:$C$1,),))</f>
        <v/>
      </c>
      <c r="D2930">
        <f>IFERROR(Table73[[#This Row],[United States 10y]]-Table73[[#This Row],[United States 2y]],#N/A)</f>
        <v/>
      </c>
    </row>
    <row r="2931">
      <c r="A2931" s="6">
        <f>Database!A2930</f>
        <v/>
      </c>
      <c r="B2931">
        <f>IF(VLOOKUP(Table73[[#This Row],[Date]],Database!$A:$E,MATCH($B$1,Database!$A$1:$E$1,),)=0,#N/A,VLOOKUP(Table73[[#This Row],[Date]],Database!$A:$E,MATCH($B$1,Database!$A$1:$E$1,),))</f>
        <v/>
      </c>
      <c r="C2931">
        <f>IF(VLOOKUP(Table73[[#This Row],[Date]],Database!$A:$C,MATCH($C$1,Database!$A$1:$C$1,),)=0,#N/A,VLOOKUP(Table73[[#This Row],[Date]],Database!$A:$C,MATCH($C$1,Database!$A$1:$C$1,),))</f>
        <v/>
      </c>
      <c r="D2931">
        <f>IFERROR(Table73[[#This Row],[United States 10y]]-Table73[[#This Row],[United States 2y]],#N/A)</f>
        <v/>
      </c>
    </row>
    <row r="2932">
      <c r="A2932" s="6">
        <f>Database!A2931</f>
        <v/>
      </c>
      <c r="B2932">
        <f>IF(VLOOKUP(Table73[[#This Row],[Date]],Database!$A:$E,MATCH($B$1,Database!$A$1:$E$1,),)=0,#N/A,VLOOKUP(Table73[[#This Row],[Date]],Database!$A:$E,MATCH($B$1,Database!$A$1:$E$1,),))</f>
        <v/>
      </c>
      <c r="C2932">
        <f>IF(VLOOKUP(Table73[[#This Row],[Date]],Database!$A:$C,MATCH($C$1,Database!$A$1:$C$1,),)=0,#N/A,VLOOKUP(Table73[[#This Row],[Date]],Database!$A:$C,MATCH($C$1,Database!$A$1:$C$1,),))</f>
        <v/>
      </c>
      <c r="D2932">
        <f>IFERROR(Table73[[#This Row],[United States 10y]]-Table73[[#This Row],[United States 2y]],#N/A)</f>
        <v/>
      </c>
    </row>
    <row r="2933">
      <c r="A2933" s="6">
        <f>Database!A2932</f>
        <v/>
      </c>
      <c r="B2933">
        <f>IF(VLOOKUP(Table73[[#This Row],[Date]],Database!$A:$E,MATCH($B$1,Database!$A$1:$E$1,),)=0,#N/A,VLOOKUP(Table73[[#This Row],[Date]],Database!$A:$E,MATCH($B$1,Database!$A$1:$E$1,),))</f>
        <v/>
      </c>
      <c r="C2933">
        <f>IF(VLOOKUP(Table73[[#This Row],[Date]],Database!$A:$C,MATCH($C$1,Database!$A$1:$C$1,),)=0,#N/A,VLOOKUP(Table73[[#This Row],[Date]],Database!$A:$C,MATCH($C$1,Database!$A$1:$C$1,),))</f>
        <v/>
      </c>
      <c r="D2933">
        <f>IFERROR(Table73[[#This Row],[United States 10y]]-Table73[[#This Row],[United States 2y]],#N/A)</f>
        <v/>
      </c>
    </row>
    <row r="2934">
      <c r="A2934" s="6">
        <f>Database!A2933</f>
        <v/>
      </c>
      <c r="B2934">
        <f>IF(VLOOKUP(Table73[[#This Row],[Date]],Database!$A:$E,MATCH($B$1,Database!$A$1:$E$1,),)=0,#N/A,VLOOKUP(Table73[[#This Row],[Date]],Database!$A:$E,MATCH($B$1,Database!$A$1:$E$1,),))</f>
        <v/>
      </c>
      <c r="C2934">
        <f>IF(VLOOKUP(Table73[[#This Row],[Date]],Database!$A:$C,MATCH($C$1,Database!$A$1:$C$1,),)=0,#N/A,VLOOKUP(Table73[[#This Row],[Date]],Database!$A:$C,MATCH($C$1,Database!$A$1:$C$1,),))</f>
        <v/>
      </c>
      <c r="D2934">
        <f>IFERROR(Table73[[#This Row],[United States 10y]]-Table73[[#This Row],[United States 2y]],#N/A)</f>
        <v/>
      </c>
    </row>
    <row r="2935">
      <c r="A2935" s="6">
        <f>Database!A2934</f>
        <v/>
      </c>
      <c r="B2935">
        <f>IF(VLOOKUP(Table73[[#This Row],[Date]],Database!$A:$E,MATCH($B$1,Database!$A$1:$E$1,),)=0,#N/A,VLOOKUP(Table73[[#This Row],[Date]],Database!$A:$E,MATCH($B$1,Database!$A$1:$E$1,),))</f>
        <v/>
      </c>
      <c r="C2935">
        <f>IF(VLOOKUP(Table73[[#This Row],[Date]],Database!$A:$C,MATCH($C$1,Database!$A$1:$C$1,),)=0,#N/A,VLOOKUP(Table73[[#This Row],[Date]],Database!$A:$C,MATCH($C$1,Database!$A$1:$C$1,),))</f>
        <v/>
      </c>
      <c r="D2935">
        <f>IFERROR(Table73[[#This Row],[United States 10y]]-Table73[[#This Row],[United States 2y]],#N/A)</f>
        <v/>
      </c>
    </row>
    <row r="2936">
      <c r="A2936" s="6">
        <f>Database!A2935</f>
        <v/>
      </c>
      <c r="B2936">
        <f>IF(VLOOKUP(Table73[[#This Row],[Date]],Database!$A:$E,MATCH($B$1,Database!$A$1:$E$1,),)=0,#N/A,VLOOKUP(Table73[[#This Row],[Date]],Database!$A:$E,MATCH($B$1,Database!$A$1:$E$1,),))</f>
        <v/>
      </c>
      <c r="C2936">
        <f>IF(VLOOKUP(Table73[[#This Row],[Date]],Database!$A:$C,MATCH($C$1,Database!$A$1:$C$1,),)=0,#N/A,VLOOKUP(Table73[[#This Row],[Date]],Database!$A:$C,MATCH($C$1,Database!$A$1:$C$1,),))</f>
        <v/>
      </c>
      <c r="D2936">
        <f>IFERROR(Table73[[#This Row],[United States 10y]]-Table73[[#This Row],[United States 2y]],#N/A)</f>
        <v/>
      </c>
    </row>
    <row r="2937">
      <c r="A2937" s="6">
        <f>Database!A2936</f>
        <v/>
      </c>
      <c r="B2937">
        <f>IF(VLOOKUP(Table73[[#This Row],[Date]],Database!$A:$E,MATCH($B$1,Database!$A$1:$E$1,),)=0,#N/A,VLOOKUP(Table73[[#This Row],[Date]],Database!$A:$E,MATCH($B$1,Database!$A$1:$E$1,),))</f>
        <v/>
      </c>
      <c r="C2937">
        <f>IF(VLOOKUP(Table73[[#This Row],[Date]],Database!$A:$C,MATCH($C$1,Database!$A$1:$C$1,),)=0,#N/A,VLOOKUP(Table73[[#This Row],[Date]],Database!$A:$C,MATCH($C$1,Database!$A$1:$C$1,),))</f>
        <v/>
      </c>
      <c r="D2937">
        <f>IFERROR(Table73[[#This Row],[United States 10y]]-Table73[[#This Row],[United States 2y]],#N/A)</f>
        <v/>
      </c>
    </row>
    <row r="2938">
      <c r="A2938" s="6">
        <f>Database!A2937</f>
        <v/>
      </c>
      <c r="B2938">
        <f>IF(VLOOKUP(Table73[[#This Row],[Date]],Database!$A:$E,MATCH($B$1,Database!$A$1:$E$1,),)=0,#N/A,VLOOKUP(Table73[[#This Row],[Date]],Database!$A:$E,MATCH($B$1,Database!$A$1:$E$1,),))</f>
        <v/>
      </c>
      <c r="C2938">
        <f>IF(VLOOKUP(Table73[[#This Row],[Date]],Database!$A:$C,MATCH($C$1,Database!$A$1:$C$1,),)=0,#N/A,VLOOKUP(Table73[[#This Row],[Date]],Database!$A:$C,MATCH($C$1,Database!$A$1:$C$1,),))</f>
        <v/>
      </c>
      <c r="D2938">
        <f>IFERROR(Table73[[#This Row],[United States 10y]]-Table73[[#This Row],[United States 2y]],#N/A)</f>
        <v/>
      </c>
    </row>
    <row r="2939">
      <c r="A2939" s="6">
        <f>Database!A2938</f>
        <v/>
      </c>
      <c r="B2939">
        <f>IF(VLOOKUP(Table73[[#This Row],[Date]],Database!$A:$E,MATCH($B$1,Database!$A$1:$E$1,),)=0,#N/A,VLOOKUP(Table73[[#This Row],[Date]],Database!$A:$E,MATCH($B$1,Database!$A$1:$E$1,),))</f>
        <v/>
      </c>
      <c r="C2939">
        <f>IF(VLOOKUP(Table73[[#This Row],[Date]],Database!$A:$C,MATCH($C$1,Database!$A$1:$C$1,),)=0,#N/A,VLOOKUP(Table73[[#This Row],[Date]],Database!$A:$C,MATCH($C$1,Database!$A$1:$C$1,),))</f>
        <v/>
      </c>
      <c r="D2939">
        <f>IFERROR(Table73[[#This Row],[United States 10y]]-Table73[[#This Row],[United States 2y]],#N/A)</f>
        <v/>
      </c>
    </row>
    <row r="2940">
      <c r="A2940" s="6">
        <f>Database!A2939</f>
        <v/>
      </c>
      <c r="B2940">
        <f>IF(VLOOKUP(Table73[[#This Row],[Date]],Database!$A:$E,MATCH($B$1,Database!$A$1:$E$1,),)=0,#N/A,VLOOKUP(Table73[[#This Row],[Date]],Database!$A:$E,MATCH($B$1,Database!$A$1:$E$1,),))</f>
        <v/>
      </c>
      <c r="C2940">
        <f>IF(VLOOKUP(Table73[[#This Row],[Date]],Database!$A:$C,MATCH($C$1,Database!$A$1:$C$1,),)=0,#N/A,VLOOKUP(Table73[[#This Row],[Date]],Database!$A:$C,MATCH($C$1,Database!$A$1:$C$1,),))</f>
        <v/>
      </c>
      <c r="D2940">
        <f>IFERROR(Table73[[#This Row],[United States 10y]]-Table73[[#This Row],[United States 2y]],#N/A)</f>
        <v/>
      </c>
    </row>
    <row r="2941">
      <c r="A2941" s="6">
        <f>Database!A2940</f>
        <v/>
      </c>
      <c r="B2941">
        <f>IF(VLOOKUP(Table73[[#This Row],[Date]],Database!$A:$E,MATCH($B$1,Database!$A$1:$E$1,),)=0,#N/A,VLOOKUP(Table73[[#This Row],[Date]],Database!$A:$E,MATCH($B$1,Database!$A$1:$E$1,),))</f>
        <v/>
      </c>
      <c r="C2941">
        <f>IF(VLOOKUP(Table73[[#This Row],[Date]],Database!$A:$C,MATCH($C$1,Database!$A$1:$C$1,),)=0,#N/A,VLOOKUP(Table73[[#This Row],[Date]],Database!$A:$C,MATCH($C$1,Database!$A$1:$C$1,),))</f>
        <v/>
      </c>
      <c r="D2941">
        <f>IFERROR(Table73[[#This Row],[United States 10y]]-Table73[[#This Row],[United States 2y]],#N/A)</f>
        <v/>
      </c>
    </row>
    <row r="2942">
      <c r="A2942" s="6">
        <f>Database!A2941</f>
        <v/>
      </c>
      <c r="B2942">
        <f>IF(VLOOKUP(Table73[[#This Row],[Date]],Database!$A:$E,MATCH($B$1,Database!$A$1:$E$1,),)=0,#N/A,VLOOKUP(Table73[[#This Row],[Date]],Database!$A:$E,MATCH($B$1,Database!$A$1:$E$1,),))</f>
        <v/>
      </c>
      <c r="C2942">
        <f>IF(VLOOKUP(Table73[[#This Row],[Date]],Database!$A:$C,MATCH($C$1,Database!$A$1:$C$1,),)=0,#N/A,VLOOKUP(Table73[[#This Row],[Date]],Database!$A:$C,MATCH($C$1,Database!$A$1:$C$1,),))</f>
        <v/>
      </c>
      <c r="D2942">
        <f>IFERROR(Table73[[#This Row],[United States 10y]]-Table73[[#This Row],[United States 2y]],#N/A)</f>
        <v/>
      </c>
    </row>
    <row r="2943">
      <c r="A2943" s="6">
        <f>Database!A2942</f>
        <v/>
      </c>
      <c r="B2943">
        <f>IF(VLOOKUP(Table73[[#This Row],[Date]],Database!$A:$E,MATCH($B$1,Database!$A$1:$E$1,),)=0,#N/A,VLOOKUP(Table73[[#This Row],[Date]],Database!$A:$E,MATCH($B$1,Database!$A$1:$E$1,),))</f>
        <v/>
      </c>
      <c r="C2943">
        <f>IF(VLOOKUP(Table73[[#This Row],[Date]],Database!$A:$C,MATCH($C$1,Database!$A$1:$C$1,),)=0,#N/A,VLOOKUP(Table73[[#This Row],[Date]],Database!$A:$C,MATCH($C$1,Database!$A$1:$C$1,),))</f>
        <v/>
      </c>
      <c r="D2943">
        <f>IFERROR(Table73[[#This Row],[United States 10y]]-Table73[[#This Row],[United States 2y]],#N/A)</f>
        <v/>
      </c>
    </row>
    <row r="2944">
      <c r="A2944" s="6">
        <f>Database!A2943</f>
        <v/>
      </c>
      <c r="B2944">
        <f>IF(VLOOKUP(Table73[[#This Row],[Date]],Database!$A:$E,MATCH($B$1,Database!$A$1:$E$1,),)=0,#N/A,VLOOKUP(Table73[[#This Row],[Date]],Database!$A:$E,MATCH($B$1,Database!$A$1:$E$1,),))</f>
        <v/>
      </c>
      <c r="C2944">
        <f>IF(VLOOKUP(Table73[[#This Row],[Date]],Database!$A:$C,MATCH($C$1,Database!$A$1:$C$1,),)=0,#N/A,VLOOKUP(Table73[[#This Row],[Date]],Database!$A:$C,MATCH($C$1,Database!$A$1:$C$1,),))</f>
        <v/>
      </c>
      <c r="D2944">
        <f>IFERROR(Table73[[#This Row],[United States 10y]]-Table73[[#This Row],[United States 2y]],#N/A)</f>
        <v/>
      </c>
    </row>
    <row r="2945">
      <c r="A2945" s="6">
        <f>Database!A2944</f>
        <v/>
      </c>
      <c r="B2945">
        <f>IF(VLOOKUP(Table73[[#This Row],[Date]],Database!$A:$E,MATCH($B$1,Database!$A$1:$E$1,),)=0,#N/A,VLOOKUP(Table73[[#This Row],[Date]],Database!$A:$E,MATCH($B$1,Database!$A$1:$E$1,),))</f>
        <v/>
      </c>
      <c r="C2945">
        <f>IF(VLOOKUP(Table73[[#This Row],[Date]],Database!$A:$C,MATCH($C$1,Database!$A$1:$C$1,),)=0,#N/A,VLOOKUP(Table73[[#This Row],[Date]],Database!$A:$C,MATCH($C$1,Database!$A$1:$C$1,),))</f>
        <v/>
      </c>
      <c r="D2945">
        <f>IFERROR(Table73[[#This Row],[United States 10y]]-Table73[[#This Row],[United States 2y]],#N/A)</f>
        <v/>
      </c>
    </row>
    <row r="2946">
      <c r="A2946" s="6">
        <f>Database!A2945</f>
        <v/>
      </c>
      <c r="B2946">
        <f>IF(VLOOKUP(Table73[[#This Row],[Date]],Database!$A:$E,MATCH($B$1,Database!$A$1:$E$1,),)=0,#N/A,VLOOKUP(Table73[[#This Row],[Date]],Database!$A:$E,MATCH($B$1,Database!$A$1:$E$1,),))</f>
        <v/>
      </c>
      <c r="C2946">
        <f>IF(VLOOKUP(Table73[[#This Row],[Date]],Database!$A:$C,MATCH($C$1,Database!$A$1:$C$1,),)=0,#N/A,VLOOKUP(Table73[[#This Row],[Date]],Database!$A:$C,MATCH($C$1,Database!$A$1:$C$1,),))</f>
        <v/>
      </c>
      <c r="D2946">
        <f>IFERROR(Table73[[#This Row],[United States 10y]]-Table73[[#This Row],[United States 2y]],#N/A)</f>
        <v/>
      </c>
    </row>
    <row r="2947">
      <c r="A2947" s="6">
        <f>Database!A2946</f>
        <v/>
      </c>
      <c r="B2947">
        <f>IF(VLOOKUP(Table73[[#This Row],[Date]],Database!$A:$E,MATCH($B$1,Database!$A$1:$E$1,),)=0,#N/A,VLOOKUP(Table73[[#This Row],[Date]],Database!$A:$E,MATCH($B$1,Database!$A$1:$E$1,),))</f>
        <v/>
      </c>
      <c r="C2947">
        <f>IF(VLOOKUP(Table73[[#This Row],[Date]],Database!$A:$C,MATCH($C$1,Database!$A$1:$C$1,),)=0,#N/A,VLOOKUP(Table73[[#This Row],[Date]],Database!$A:$C,MATCH($C$1,Database!$A$1:$C$1,),))</f>
        <v/>
      </c>
      <c r="D2947">
        <f>IFERROR(Table73[[#This Row],[United States 10y]]-Table73[[#This Row],[United States 2y]],#N/A)</f>
        <v/>
      </c>
    </row>
    <row r="2948">
      <c r="A2948" s="6">
        <f>Database!A2947</f>
        <v/>
      </c>
      <c r="B2948">
        <f>IF(VLOOKUP(Table73[[#This Row],[Date]],Database!$A:$E,MATCH($B$1,Database!$A$1:$E$1,),)=0,#N/A,VLOOKUP(Table73[[#This Row],[Date]],Database!$A:$E,MATCH($B$1,Database!$A$1:$E$1,),))</f>
        <v/>
      </c>
      <c r="C2948">
        <f>IF(VLOOKUP(Table73[[#This Row],[Date]],Database!$A:$C,MATCH($C$1,Database!$A$1:$C$1,),)=0,#N/A,VLOOKUP(Table73[[#This Row],[Date]],Database!$A:$C,MATCH($C$1,Database!$A$1:$C$1,),))</f>
        <v/>
      </c>
      <c r="D2948">
        <f>IFERROR(Table73[[#This Row],[United States 10y]]-Table73[[#This Row],[United States 2y]],#N/A)</f>
        <v/>
      </c>
    </row>
    <row r="2949">
      <c r="A2949" s="6">
        <f>Database!A2948</f>
        <v/>
      </c>
      <c r="B2949">
        <f>IF(VLOOKUP(Table73[[#This Row],[Date]],Database!$A:$E,MATCH($B$1,Database!$A$1:$E$1,),)=0,#N/A,VLOOKUP(Table73[[#This Row],[Date]],Database!$A:$E,MATCH($B$1,Database!$A$1:$E$1,),))</f>
        <v/>
      </c>
      <c r="C2949">
        <f>IF(VLOOKUP(Table73[[#This Row],[Date]],Database!$A:$C,MATCH($C$1,Database!$A$1:$C$1,),)=0,#N/A,VLOOKUP(Table73[[#This Row],[Date]],Database!$A:$C,MATCH($C$1,Database!$A$1:$C$1,),))</f>
        <v/>
      </c>
      <c r="D2949">
        <f>IFERROR(Table73[[#This Row],[United States 10y]]-Table73[[#This Row],[United States 2y]],#N/A)</f>
        <v/>
      </c>
    </row>
    <row r="2950">
      <c r="A2950" s="6">
        <f>Database!A2949</f>
        <v/>
      </c>
      <c r="B2950">
        <f>IF(VLOOKUP(Table73[[#This Row],[Date]],Database!$A:$E,MATCH($B$1,Database!$A$1:$E$1,),)=0,#N/A,VLOOKUP(Table73[[#This Row],[Date]],Database!$A:$E,MATCH($B$1,Database!$A$1:$E$1,),))</f>
        <v/>
      </c>
      <c r="C2950">
        <f>IF(VLOOKUP(Table73[[#This Row],[Date]],Database!$A:$C,MATCH($C$1,Database!$A$1:$C$1,),)=0,#N/A,VLOOKUP(Table73[[#This Row],[Date]],Database!$A:$C,MATCH($C$1,Database!$A$1:$C$1,),))</f>
        <v/>
      </c>
      <c r="D2950">
        <f>IFERROR(Table73[[#This Row],[United States 10y]]-Table73[[#This Row],[United States 2y]],#N/A)</f>
        <v/>
      </c>
    </row>
    <row r="2951">
      <c r="A2951" s="6">
        <f>Database!A2950</f>
        <v/>
      </c>
      <c r="B2951">
        <f>IF(VLOOKUP(Table73[[#This Row],[Date]],Database!$A:$E,MATCH($B$1,Database!$A$1:$E$1,),)=0,#N/A,VLOOKUP(Table73[[#This Row],[Date]],Database!$A:$E,MATCH($B$1,Database!$A$1:$E$1,),))</f>
        <v/>
      </c>
      <c r="C2951">
        <f>IF(VLOOKUP(Table73[[#This Row],[Date]],Database!$A:$C,MATCH($C$1,Database!$A$1:$C$1,),)=0,#N/A,VLOOKUP(Table73[[#This Row],[Date]],Database!$A:$C,MATCH($C$1,Database!$A$1:$C$1,),))</f>
        <v/>
      </c>
      <c r="D2951">
        <f>IFERROR(Table73[[#This Row],[United States 10y]]-Table73[[#This Row],[United States 2y]],#N/A)</f>
        <v/>
      </c>
    </row>
    <row r="2952">
      <c r="A2952" s="6">
        <f>Database!A2951</f>
        <v/>
      </c>
      <c r="B2952">
        <f>IF(VLOOKUP(Table73[[#This Row],[Date]],Database!$A:$E,MATCH($B$1,Database!$A$1:$E$1,),)=0,#N/A,VLOOKUP(Table73[[#This Row],[Date]],Database!$A:$E,MATCH($B$1,Database!$A$1:$E$1,),))</f>
        <v/>
      </c>
      <c r="C2952">
        <f>IF(VLOOKUP(Table73[[#This Row],[Date]],Database!$A:$C,MATCH($C$1,Database!$A$1:$C$1,),)=0,#N/A,VLOOKUP(Table73[[#This Row],[Date]],Database!$A:$C,MATCH($C$1,Database!$A$1:$C$1,),))</f>
        <v/>
      </c>
      <c r="D2952">
        <f>IFERROR(Table73[[#This Row],[United States 10y]]-Table73[[#This Row],[United States 2y]],#N/A)</f>
        <v/>
      </c>
    </row>
    <row r="2953">
      <c r="A2953" s="6">
        <f>Database!A2952</f>
        <v/>
      </c>
      <c r="B2953">
        <f>IF(VLOOKUP(Table73[[#This Row],[Date]],Database!$A:$E,MATCH($B$1,Database!$A$1:$E$1,),)=0,#N/A,VLOOKUP(Table73[[#This Row],[Date]],Database!$A:$E,MATCH($B$1,Database!$A$1:$E$1,),))</f>
        <v/>
      </c>
      <c r="C2953">
        <f>IF(VLOOKUP(Table73[[#This Row],[Date]],Database!$A:$C,MATCH($C$1,Database!$A$1:$C$1,),)=0,#N/A,VLOOKUP(Table73[[#This Row],[Date]],Database!$A:$C,MATCH($C$1,Database!$A$1:$C$1,),))</f>
        <v/>
      </c>
      <c r="D2953">
        <f>IFERROR(Table73[[#This Row],[United States 10y]]-Table73[[#This Row],[United States 2y]],#N/A)</f>
        <v/>
      </c>
    </row>
    <row r="2954">
      <c r="A2954" s="6">
        <f>Database!A2953</f>
        <v/>
      </c>
      <c r="B2954">
        <f>IF(VLOOKUP(Table73[[#This Row],[Date]],Database!$A:$E,MATCH($B$1,Database!$A$1:$E$1,),)=0,#N/A,VLOOKUP(Table73[[#This Row],[Date]],Database!$A:$E,MATCH($B$1,Database!$A$1:$E$1,),))</f>
        <v/>
      </c>
      <c r="C2954">
        <f>IF(VLOOKUP(Table73[[#This Row],[Date]],Database!$A:$C,MATCH($C$1,Database!$A$1:$C$1,),)=0,#N/A,VLOOKUP(Table73[[#This Row],[Date]],Database!$A:$C,MATCH($C$1,Database!$A$1:$C$1,),))</f>
        <v/>
      </c>
      <c r="D2954">
        <f>IFERROR(Table73[[#This Row],[United States 10y]]-Table73[[#This Row],[United States 2y]],#N/A)</f>
        <v/>
      </c>
    </row>
    <row r="2955">
      <c r="A2955" s="6">
        <f>Database!A2954</f>
        <v/>
      </c>
      <c r="B2955">
        <f>IF(VLOOKUP(Table73[[#This Row],[Date]],Database!$A:$E,MATCH($B$1,Database!$A$1:$E$1,),)=0,#N/A,VLOOKUP(Table73[[#This Row],[Date]],Database!$A:$E,MATCH($B$1,Database!$A$1:$E$1,),))</f>
        <v/>
      </c>
      <c r="C2955">
        <f>IF(VLOOKUP(Table73[[#This Row],[Date]],Database!$A:$C,MATCH($C$1,Database!$A$1:$C$1,),)=0,#N/A,VLOOKUP(Table73[[#This Row],[Date]],Database!$A:$C,MATCH($C$1,Database!$A$1:$C$1,),))</f>
        <v/>
      </c>
      <c r="D2955">
        <f>IFERROR(Table73[[#This Row],[United States 10y]]-Table73[[#This Row],[United States 2y]],#N/A)</f>
        <v/>
      </c>
    </row>
    <row r="2956">
      <c r="A2956" s="6">
        <f>Database!A2955</f>
        <v/>
      </c>
      <c r="B2956">
        <f>IF(VLOOKUP(Table73[[#This Row],[Date]],Database!$A:$E,MATCH($B$1,Database!$A$1:$E$1,),)=0,#N/A,VLOOKUP(Table73[[#This Row],[Date]],Database!$A:$E,MATCH($B$1,Database!$A$1:$E$1,),))</f>
        <v/>
      </c>
      <c r="C2956">
        <f>IF(VLOOKUP(Table73[[#This Row],[Date]],Database!$A:$C,MATCH($C$1,Database!$A$1:$C$1,),)=0,#N/A,VLOOKUP(Table73[[#This Row],[Date]],Database!$A:$C,MATCH($C$1,Database!$A$1:$C$1,),))</f>
        <v/>
      </c>
      <c r="D2956">
        <f>IFERROR(Table73[[#This Row],[United States 10y]]-Table73[[#This Row],[United States 2y]],#N/A)</f>
        <v/>
      </c>
    </row>
    <row r="2957">
      <c r="A2957" s="6">
        <f>Database!A2956</f>
        <v/>
      </c>
      <c r="B2957">
        <f>IF(VLOOKUP(Table73[[#This Row],[Date]],Database!$A:$E,MATCH($B$1,Database!$A$1:$E$1,),)=0,#N/A,VLOOKUP(Table73[[#This Row],[Date]],Database!$A:$E,MATCH($B$1,Database!$A$1:$E$1,),))</f>
        <v/>
      </c>
      <c r="C2957">
        <f>IF(VLOOKUP(Table73[[#This Row],[Date]],Database!$A:$C,MATCH($C$1,Database!$A$1:$C$1,),)=0,#N/A,VLOOKUP(Table73[[#This Row],[Date]],Database!$A:$C,MATCH($C$1,Database!$A$1:$C$1,),))</f>
        <v/>
      </c>
      <c r="D2957">
        <f>IFERROR(Table73[[#This Row],[United States 10y]]-Table73[[#This Row],[United States 2y]],#N/A)</f>
        <v/>
      </c>
    </row>
    <row r="2958">
      <c r="A2958" s="6">
        <f>Database!A2957</f>
        <v/>
      </c>
      <c r="B2958">
        <f>IF(VLOOKUP(Table73[[#This Row],[Date]],Database!$A:$E,MATCH($B$1,Database!$A$1:$E$1,),)=0,#N/A,VLOOKUP(Table73[[#This Row],[Date]],Database!$A:$E,MATCH($B$1,Database!$A$1:$E$1,),))</f>
        <v/>
      </c>
      <c r="C2958">
        <f>IF(VLOOKUP(Table73[[#This Row],[Date]],Database!$A:$C,MATCH($C$1,Database!$A$1:$C$1,),)=0,#N/A,VLOOKUP(Table73[[#This Row],[Date]],Database!$A:$C,MATCH($C$1,Database!$A$1:$C$1,),))</f>
        <v/>
      </c>
      <c r="D2958">
        <f>IFERROR(Table73[[#This Row],[United States 10y]]-Table73[[#This Row],[United States 2y]],#N/A)</f>
        <v/>
      </c>
    </row>
    <row r="2959">
      <c r="A2959" s="6">
        <f>Database!A2958</f>
        <v/>
      </c>
      <c r="B2959">
        <f>IF(VLOOKUP(Table73[[#This Row],[Date]],Database!$A:$E,MATCH($B$1,Database!$A$1:$E$1,),)=0,#N/A,VLOOKUP(Table73[[#This Row],[Date]],Database!$A:$E,MATCH($B$1,Database!$A$1:$E$1,),))</f>
        <v/>
      </c>
      <c r="C2959">
        <f>IF(VLOOKUP(Table73[[#This Row],[Date]],Database!$A:$C,MATCH($C$1,Database!$A$1:$C$1,),)=0,#N/A,VLOOKUP(Table73[[#This Row],[Date]],Database!$A:$C,MATCH($C$1,Database!$A$1:$C$1,),))</f>
        <v/>
      </c>
      <c r="D2959">
        <f>IFERROR(Table73[[#This Row],[United States 10y]]-Table73[[#This Row],[United States 2y]],#N/A)</f>
        <v/>
      </c>
    </row>
    <row r="2960">
      <c r="A2960" s="6">
        <f>Database!A2959</f>
        <v/>
      </c>
      <c r="B2960">
        <f>IF(VLOOKUP(Table73[[#This Row],[Date]],Database!$A:$E,MATCH($B$1,Database!$A$1:$E$1,),)=0,#N/A,VLOOKUP(Table73[[#This Row],[Date]],Database!$A:$E,MATCH($B$1,Database!$A$1:$E$1,),))</f>
        <v/>
      </c>
      <c r="C2960">
        <f>IF(VLOOKUP(Table73[[#This Row],[Date]],Database!$A:$C,MATCH($C$1,Database!$A$1:$C$1,),)=0,#N/A,VLOOKUP(Table73[[#This Row],[Date]],Database!$A:$C,MATCH($C$1,Database!$A$1:$C$1,),))</f>
        <v/>
      </c>
      <c r="D2960">
        <f>IFERROR(Table73[[#This Row],[United States 10y]]-Table73[[#This Row],[United States 2y]],#N/A)</f>
        <v/>
      </c>
    </row>
    <row r="2961">
      <c r="A2961" s="6">
        <f>Database!A2960</f>
        <v/>
      </c>
      <c r="B2961">
        <f>IF(VLOOKUP(Table73[[#This Row],[Date]],Database!$A:$E,MATCH($B$1,Database!$A$1:$E$1,),)=0,#N/A,VLOOKUP(Table73[[#This Row],[Date]],Database!$A:$E,MATCH($B$1,Database!$A$1:$E$1,),))</f>
        <v/>
      </c>
      <c r="C2961">
        <f>IF(VLOOKUP(Table73[[#This Row],[Date]],Database!$A:$C,MATCH($C$1,Database!$A$1:$C$1,),)=0,#N/A,VLOOKUP(Table73[[#This Row],[Date]],Database!$A:$C,MATCH($C$1,Database!$A$1:$C$1,),))</f>
        <v/>
      </c>
      <c r="D2961">
        <f>IFERROR(Table73[[#This Row],[United States 10y]]-Table73[[#This Row],[United States 2y]],#N/A)</f>
        <v/>
      </c>
    </row>
    <row r="2962">
      <c r="A2962" s="6">
        <f>Database!A2961</f>
        <v/>
      </c>
      <c r="B2962">
        <f>IF(VLOOKUP(Table73[[#This Row],[Date]],Database!$A:$E,MATCH($B$1,Database!$A$1:$E$1,),)=0,#N/A,VLOOKUP(Table73[[#This Row],[Date]],Database!$A:$E,MATCH($B$1,Database!$A$1:$E$1,),))</f>
        <v/>
      </c>
      <c r="C2962">
        <f>IF(VLOOKUP(Table73[[#This Row],[Date]],Database!$A:$C,MATCH($C$1,Database!$A$1:$C$1,),)=0,#N/A,VLOOKUP(Table73[[#This Row],[Date]],Database!$A:$C,MATCH($C$1,Database!$A$1:$C$1,),))</f>
        <v/>
      </c>
      <c r="D2962">
        <f>IFERROR(Table73[[#This Row],[United States 10y]]-Table73[[#This Row],[United States 2y]],#N/A)</f>
        <v/>
      </c>
    </row>
    <row r="2963">
      <c r="A2963" s="6">
        <f>Database!A2962</f>
        <v/>
      </c>
      <c r="B2963">
        <f>IF(VLOOKUP(Table73[[#This Row],[Date]],Database!$A:$E,MATCH($B$1,Database!$A$1:$E$1,),)=0,#N/A,VLOOKUP(Table73[[#This Row],[Date]],Database!$A:$E,MATCH($B$1,Database!$A$1:$E$1,),))</f>
        <v/>
      </c>
      <c r="C2963">
        <f>IF(VLOOKUP(Table73[[#This Row],[Date]],Database!$A:$C,MATCH($C$1,Database!$A$1:$C$1,),)=0,#N/A,VLOOKUP(Table73[[#This Row],[Date]],Database!$A:$C,MATCH($C$1,Database!$A$1:$C$1,),))</f>
        <v/>
      </c>
      <c r="D2963">
        <f>IFERROR(Table73[[#This Row],[United States 10y]]-Table73[[#This Row],[United States 2y]],#N/A)</f>
        <v/>
      </c>
    </row>
    <row r="2964">
      <c r="A2964" s="6">
        <f>Database!A2963</f>
        <v/>
      </c>
      <c r="B2964">
        <f>IF(VLOOKUP(Table73[[#This Row],[Date]],Database!$A:$E,MATCH($B$1,Database!$A$1:$E$1,),)=0,#N/A,VLOOKUP(Table73[[#This Row],[Date]],Database!$A:$E,MATCH($B$1,Database!$A$1:$E$1,),))</f>
        <v/>
      </c>
      <c r="C2964">
        <f>IF(VLOOKUP(Table73[[#This Row],[Date]],Database!$A:$C,MATCH($C$1,Database!$A$1:$C$1,),)=0,#N/A,VLOOKUP(Table73[[#This Row],[Date]],Database!$A:$C,MATCH($C$1,Database!$A$1:$C$1,),))</f>
        <v/>
      </c>
      <c r="D2964">
        <f>IFERROR(Table73[[#This Row],[United States 10y]]-Table73[[#This Row],[United States 2y]],#N/A)</f>
        <v/>
      </c>
    </row>
    <row r="2965">
      <c r="A2965" s="6">
        <f>Database!A2964</f>
        <v/>
      </c>
      <c r="B2965">
        <f>IF(VLOOKUP(Table73[[#This Row],[Date]],Database!$A:$E,MATCH($B$1,Database!$A$1:$E$1,),)=0,#N/A,VLOOKUP(Table73[[#This Row],[Date]],Database!$A:$E,MATCH($B$1,Database!$A$1:$E$1,),))</f>
        <v/>
      </c>
      <c r="C2965">
        <f>IF(VLOOKUP(Table73[[#This Row],[Date]],Database!$A:$C,MATCH($C$1,Database!$A$1:$C$1,),)=0,#N/A,VLOOKUP(Table73[[#This Row],[Date]],Database!$A:$C,MATCH($C$1,Database!$A$1:$C$1,),))</f>
        <v/>
      </c>
      <c r="D2965">
        <f>IFERROR(Table73[[#This Row],[United States 10y]]-Table73[[#This Row],[United States 2y]],#N/A)</f>
        <v/>
      </c>
    </row>
    <row r="2966">
      <c r="A2966" s="6">
        <f>Database!A2965</f>
        <v/>
      </c>
      <c r="B2966">
        <f>IF(VLOOKUP(Table73[[#This Row],[Date]],Database!$A:$E,MATCH($B$1,Database!$A$1:$E$1,),)=0,#N/A,VLOOKUP(Table73[[#This Row],[Date]],Database!$A:$E,MATCH($B$1,Database!$A$1:$E$1,),))</f>
        <v/>
      </c>
      <c r="C2966">
        <f>IF(VLOOKUP(Table73[[#This Row],[Date]],Database!$A:$C,MATCH($C$1,Database!$A$1:$C$1,),)=0,#N/A,VLOOKUP(Table73[[#This Row],[Date]],Database!$A:$C,MATCH($C$1,Database!$A$1:$C$1,),))</f>
        <v/>
      </c>
      <c r="D2966">
        <f>IFERROR(Table73[[#This Row],[United States 10y]]-Table73[[#This Row],[United States 2y]],#N/A)</f>
        <v/>
      </c>
    </row>
    <row r="2967">
      <c r="A2967" s="6">
        <f>Database!A2966</f>
        <v/>
      </c>
      <c r="B2967">
        <f>IF(VLOOKUP(Table73[[#This Row],[Date]],Database!$A:$E,MATCH($B$1,Database!$A$1:$E$1,),)=0,#N/A,VLOOKUP(Table73[[#This Row],[Date]],Database!$A:$E,MATCH($B$1,Database!$A$1:$E$1,),))</f>
        <v/>
      </c>
      <c r="C2967">
        <f>IF(VLOOKUP(Table73[[#This Row],[Date]],Database!$A:$C,MATCH($C$1,Database!$A$1:$C$1,),)=0,#N/A,VLOOKUP(Table73[[#This Row],[Date]],Database!$A:$C,MATCH($C$1,Database!$A$1:$C$1,),))</f>
        <v/>
      </c>
      <c r="D2967">
        <f>IFERROR(Table73[[#This Row],[United States 10y]]-Table73[[#This Row],[United States 2y]],#N/A)</f>
        <v/>
      </c>
    </row>
    <row r="2968">
      <c r="A2968" s="6">
        <f>Database!A2967</f>
        <v/>
      </c>
      <c r="B2968">
        <f>IF(VLOOKUP(Table73[[#This Row],[Date]],Database!$A:$E,MATCH($B$1,Database!$A$1:$E$1,),)=0,#N/A,VLOOKUP(Table73[[#This Row],[Date]],Database!$A:$E,MATCH($B$1,Database!$A$1:$E$1,),))</f>
        <v/>
      </c>
      <c r="C2968">
        <f>IF(VLOOKUP(Table73[[#This Row],[Date]],Database!$A:$C,MATCH($C$1,Database!$A$1:$C$1,),)=0,#N/A,VLOOKUP(Table73[[#This Row],[Date]],Database!$A:$C,MATCH($C$1,Database!$A$1:$C$1,),))</f>
        <v/>
      </c>
      <c r="D2968">
        <f>IFERROR(Table73[[#This Row],[United States 10y]]-Table73[[#This Row],[United States 2y]],#N/A)</f>
        <v/>
      </c>
    </row>
    <row r="2969">
      <c r="A2969" s="6">
        <f>Database!A2968</f>
        <v/>
      </c>
      <c r="B2969">
        <f>IF(VLOOKUP(Table73[[#This Row],[Date]],Database!$A:$E,MATCH($B$1,Database!$A$1:$E$1,),)=0,#N/A,VLOOKUP(Table73[[#This Row],[Date]],Database!$A:$E,MATCH($B$1,Database!$A$1:$E$1,),))</f>
        <v/>
      </c>
      <c r="C2969">
        <f>IF(VLOOKUP(Table73[[#This Row],[Date]],Database!$A:$C,MATCH($C$1,Database!$A$1:$C$1,),)=0,#N/A,VLOOKUP(Table73[[#This Row],[Date]],Database!$A:$C,MATCH($C$1,Database!$A$1:$C$1,),))</f>
        <v/>
      </c>
      <c r="D2969">
        <f>IFERROR(Table73[[#This Row],[United States 10y]]-Table73[[#This Row],[United States 2y]],#N/A)</f>
        <v/>
      </c>
    </row>
    <row r="2970">
      <c r="A2970" s="6">
        <f>Database!A2969</f>
        <v/>
      </c>
      <c r="B2970">
        <f>IF(VLOOKUP(Table73[[#This Row],[Date]],Database!$A:$E,MATCH($B$1,Database!$A$1:$E$1,),)=0,#N/A,VLOOKUP(Table73[[#This Row],[Date]],Database!$A:$E,MATCH($B$1,Database!$A$1:$E$1,),))</f>
        <v/>
      </c>
      <c r="C2970">
        <f>IF(VLOOKUP(Table73[[#This Row],[Date]],Database!$A:$C,MATCH($C$1,Database!$A$1:$C$1,),)=0,#N/A,VLOOKUP(Table73[[#This Row],[Date]],Database!$A:$C,MATCH($C$1,Database!$A$1:$C$1,),))</f>
        <v/>
      </c>
      <c r="D2970">
        <f>IFERROR(Table73[[#This Row],[United States 10y]]-Table73[[#This Row],[United States 2y]],#N/A)</f>
        <v/>
      </c>
    </row>
    <row r="2971">
      <c r="A2971" s="6">
        <f>Database!A2970</f>
        <v/>
      </c>
      <c r="B2971">
        <f>IF(VLOOKUP(Table73[[#This Row],[Date]],Database!$A:$E,MATCH($B$1,Database!$A$1:$E$1,),)=0,#N/A,VLOOKUP(Table73[[#This Row],[Date]],Database!$A:$E,MATCH($B$1,Database!$A$1:$E$1,),))</f>
        <v/>
      </c>
      <c r="C2971">
        <f>IF(VLOOKUP(Table73[[#This Row],[Date]],Database!$A:$C,MATCH($C$1,Database!$A$1:$C$1,),)=0,#N/A,VLOOKUP(Table73[[#This Row],[Date]],Database!$A:$C,MATCH($C$1,Database!$A$1:$C$1,),))</f>
        <v/>
      </c>
      <c r="D2971">
        <f>IFERROR(Table73[[#This Row],[United States 10y]]-Table73[[#This Row],[United States 2y]],#N/A)</f>
        <v/>
      </c>
    </row>
    <row r="2972">
      <c r="A2972" s="6">
        <f>Database!A2971</f>
        <v/>
      </c>
      <c r="B2972">
        <f>IF(VLOOKUP(Table73[[#This Row],[Date]],Database!$A:$E,MATCH($B$1,Database!$A$1:$E$1,),)=0,#N/A,VLOOKUP(Table73[[#This Row],[Date]],Database!$A:$E,MATCH($B$1,Database!$A$1:$E$1,),))</f>
        <v/>
      </c>
      <c r="C2972">
        <f>IF(VLOOKUP(Table73[[#This Row],[Date]],Database!$A:$C,MATCH($C$1,Database!$A$1:$C$1,),)=0,#N/A,VLOOKUP(Table73[[#This Row],[Date]],Database!$A:$C,MATCH($C$1,Database!$A$1:$C$1,),))</f>
        <v/>
      </c>
      <c r="D2972">
        <f>IFERROR(Table73[[#This Row],[United States 10y]]-Table73[[#This Row],[United States 2y]],#N/A)</f>
        <v/>
      </c>
    </row>
    <row r="2973">
      <c r="A2973" s="6">
        <f>Database!A2972</f>
        <v/>
      </c>
      <c r="B2973">
        <f>IF(VLOOKUP(Table73[[#This Row],[Date]],Database!$A:$E,MATCH($B$1,Database!$A$1:$E$1,),)=0,#N/A,VLOOKUP(Table73[[#This Row],[Date]],Database!$A:$E,MATCH($B$1,Database!$A$1:$E$1,),))</f>
        <v/>
      </c>
      <c r="C2973">
        <f>IF(VLOOKUP(Table73[[#This Row],[Date]],Database!$A:$C,MATCH($C$1,Database!$A$1:$C$1,),)=0,#N/A,VLOOKUP(Table73[[#This Row],[Date]],Database!$A:$C,MATCH($C$1,Database!$A$1:$C$1,),))</f>
        <v/>
      </c>
      <c r="D2973">
        <f>IFERROR(Table73[[#This Row],[United States 10y]]-Table73[[#This Row],[United States 2y]],#N/A)</f>
        <v/>
      </c>
    </row>
    <row r="2974">
      <c r="A2974" s="6">
        <f>Database!A2973</f>
        <v/>
      </c>
      <c r="B2974">
        <f>IF(VLOOKUP(Table73[[#This Row],[Date]],Database!$A:$E,MATCH($B$1,Database!$A$1:$E$1,),)=0,#N/A,VLOOKUP(Table73[[#This Row],[Date]],Database!$A:$E,MATCH($B$1,Database!$A$1:$E$1,),))</f>
        <v/>
      </c>
      <c r="C2974">
        <f>IF(VLOOKUP(Table73[[#This Row],[Date]],Database!$A:$C,MATCH($C$1,Database!$A$1:$C$1,),)=0,#N/A,VLOOKUP(Table73[[#This Row],[Date]],Database!$A:$C,MATCH($C$1,Database!$A$1:$C$1,),))</f>
        <v/>
      </c>
      <c r="D2974">
        <f>IFERROR(Table73[[#This Row],[United States 10y]]-Table73[[#This Row],[United States 2y]],#N/A)</f>
        <v/>
      </c>
    </row>
    <row r="2975">
      <c r="A2975" s="6">
        <f>Database!A2974</f>
        <v/>
      </c>
      <c r="B2975">
        <f>IF(VLOOKUP(Table73[[#This Row],[Date]],Database!$A:$E,MATCH($B$1,Database!$A$1:$E$1,),)=0,#N/A,VLOOKUP(Table73[[#This Row],[Date]],Database!$A:$E,MATCH($B$1,Database!$A$1:$E$1,),))</f>
        <v/>
      </c>
      <c r="C2975">
        <f>IF(VLOOKUP(Table73[[#This Row],[Date]],Database!$A:$C,MATCH($C$1,Database!$A$1:$C$1,),)=0,#N/A,VLOOKUP(Table73[[#This Row],[Date]],Database!$A:$C,MATCH($C$1,Database!$A$1:$C$1,),))</f>
        <v/>
      </c>
      <c r="D2975">
        <f>IFERROR(Table73[[#This Row],[United States 10y]]-Table73[[#This Row],[United States 2y]],#N/A)</f>
        <v/>
      </c>
    </row>
    <row r="2976">
      <c r="A2976" s="6">
        <f>Database!A2975</f>
        <v/>
      </c>
      <c r="B2976">
        <f>IF(VLOOKUP(Table73[[#This Row],[Date]],Database!$A:$E,MATCH($B$1,Database!$A$1:$E$1,),)=0,#N/A,VLOOKUP(Table73[[#This Row],[Date]],Database!$A:$E,MATCH($B$1,Database!$A$1:$E$1,),))</f>
        <v/>
      </c>
      <c r="C2976">
        <f>IF(VLOOKUP(Table73[[#This Row],[Date]],Database!$A:$C,MATCH($C$1,Database!$A$1:$C$1,),)=0,#N/A,VLOOKUP(Table73[[#This Row],[Date]],Database!$A:$C,MATCH($C$1,Database!$A$1:$C$1,),))</f>
        <v/>
      </c>
      <c r="D2976">
        <f>IFERROR(Table73[[#This Row],[United States 10y]]-Table73[[#This Row],[United States 2y]],#N/A)</f>
        <v/>
      </c>
    </row>
    <row r="2977">
      <c r="A2977" s="6">
        <f>Database!A2976</f>
        <v/>
      </c>
      <c r="B2977">
        <f>IF(VLOOKUP(Table73[[#This Row],[Date]],Database!$A:$E,MATCH($B$1,Database!$A$1:$E$1,),)=0,#N/A,VLOOKUP(Table73[[#This Row],[Date]],Database!$A:$E,MATCH($B$1,Database!$A$1:$E$1,),))</f>
        <v/>
      </c>
      <c r="C2977">
        <f>IF(VLOOKUP(Table73[[#This Row],[Date]],Database!$A:$C,MATCH($C$1,Database!$A$1:$C$1,),)=0,#N/A,VLOOKUP(Table73[[#This Row],[Date]],Database!$A:$C,MATCH($C$1,Database!$A$1:$C$1,),))</f>
        <v/>
      </c>
      <c r="D2977">
        <f>IFERROR(Table73[[#This Row],[United States 10y]]-Table73[[#This Row],[United States 2y]],#N/A)</f>
        <v/>
      </c>
    </row>
    <row r="2978">
      <c r="A2978" s="6">
        <f>Database!A2977</f>
        <v/>
      </c>
      <c r="B2978">
        <f>IF(VLOOKUP(Table73[[#This Row],[Date]],Database!$A:$E,MATCH($B$1,Database!$A$1:$E$1,),)=0,#N/A,VLOOKUP(Table73[[#This Row],[Date]],Database!$A:$E,MATCH($B$1,Database!$A$1:$E$1,),))</f>
        <v/>
      </c>
      <c r="C2978">
        <f>IF(VLOOKUP(Table73[[#This Row],[Date]],Database!$A:$C,MATCH($C$1,Database!$A$1:$C$1,),)=0,#N/A,VLOOKUP(Table73[[#This Row],[Date]],Database!$A:$C,MATCH($C$1,Database!$A$1:$C$1,),))</f>
        <v/>
      </c>
      <c r="D2978">
        <f>IFERROR(Table73[[#This Row],[United States 10y]]-Table73[[#This Row],[United States 2y]],#N/A)</f>
        <v/>
      </c>
    </row>
    <row r="2979">
      <c r="A2979" s="6">
        <f>Database!A2978</f>
        <v/>
      </c>
      <c r="B2979">
        <f>IF(VLOOKUP(Table73[[#This Row],[Date]],Database!$A:$E,MATCH($B$1,Database!$A$1:$E$1,),)=0,#N/A,VLOOKUP(Table73[[#This Row],[Date]],Database!$A:$E,MATCH($B$1,Database!$A$1:$E$1,),))</f>
        <v/>
      </c>
      <c r="C2979">
        <f>IF(VLOOKUP(Table73[[#This Row],[Date]],Database!$A:$C,MATCH($C$1,Database!$A$1:$C$1,),)=0,#N/A,VLOOKUP(Table73[[#This Row],[Date]],Database!$A:$C,MATCH($C$1,Database!$A$1:$C$1,),))</f>
        <v/>
      </c>
      <c r="D2979">
        <f>IFERROR(Table73[[#This Row],[United States 10y]]-Table73[[#This Row],[United States 2y]],#N/A)</f>
        <v/>
      </c>
    </row>
    <row r="2980">
      <c r="A2980" s="6">
        <f>Database!A2979</f>
        <v/>
      </c>
      <c r="B2980">
        <f>IF(VLOOKUP(Table73[[#This Row],[Date]],Database!$A:$E,MATCH($B$1,Database!$A$1:$E$1,),)=0,#N/A,VLOOKUP(Table73[[#This Row],[Date]],Database!$A:$E,MATCH($B$1,Database!$A$1:$E$1,),))</f>
        <v/>
      </c>
      <c r="C2980">
        <f>IF(VLOOKUP(Table73[[#This Row],[Date]],Database!$A:$C,MATCH($C$1,Database!$A$1:$C$1,),)=0,#N/A,VLOOKUP(Table73[[#This Row],[Date]],Database!$A:$C,MATCH($C$1,Database!$A$1:$C$1,),))</f>
        <v/>
      </c>
      <c r="D2980">
        <f>IFERROR(Table73[[#This Row],[United States 10y]]-Table73[[#This Row],[United States 2y]],#N/A)</f>
        <v/>
      </c>
    </row>
    <row r="2981">
      <c r="A2981" s="6">
        <f>Database!A2980</f>
        <v/>
      </c>
      <c r="B2981">
        <f>IF(VLOOKUP(Table73[[#This Row],[Date]],Database!$A:$E,MATCH($B$1,Database!$A$1:$E$1,),)=0,#N/A,VLOOKUP(Table73[[#This Row],[Date]],Database!$A:$E,MATCH($B$1,Database!$A$1:$E$1,),))</f>
        <v/>
      </c>
      <c r="C2981">
        <f>IF(VLOOKUP(Table73[[#This Row],[Date]],Database!$A:$C,MATCH($C$1,Database!$A$1:$C$1,),)=0,#N/A,VLOOKUP(Table73[[#This Row],[Date]],Database!$A:$C,MATCH($C$1,Database!$A$1:$C$1,),))</f>
        <v/>
      </c>
      <c r="D2981">
        <f>IFERROR(Table73[[#This Row],[United States 10y]]-Table73[[#This Row],[United States 2y]],#N/A)</f>
        <v/>
      </c>
    </row>
    <row r="2982">
      <c r="A2982" s="6">
        <f>Database!A2981</f>
        <v/>
      </c>
      <c r="B2982">
        <f>IF(VLOOKUP(Table73[[#This Row],[Date]],Database!$A:$E,MATCH($B$1,Database!$A$1:$E$1,),)=0,#N/A,VLOOKUP(Table73[[#This Row],[Date]],Database!$A:$E,MATCH($B$1,Database!$A$1:$E$1,),))</f>
        <v/>
      </c>
      <c r="C2982">
        <f>IF(VLOOKUP(Table73[[#This Row],[Date]],Database!$A:$C,MATCH($C$1,Database!$A$1:$C$1,),)=0,#N/A,VLOOKUP(Table73[[#This Row],[Date]],Database!$A:$C,MATCH($C$1,Database!$A$1:$C$1,),))</f>
        <v/>
      </c>
      <c r="D2982">
        <f>IFERROR(Table73[[#This Row],[United States 10y]]-Table73[[#This Row],[United States 2y]],#N/A)</f>
        <v/>
      </c>
    </row>
    <row r="2983">
      <c r="A2983" s="6">
        <f>Database!A2982</f>
        <v/>
      </c>
      <c r="B2983">
        <f>IF(VLOOKUP(Table73[[#This Row],[Date]],Database!$A:$E,MATCH($B$1,Database!$A$1:$E$1,),)=0,#N/A,VLOOKUP(Table73[[#This Row],[Date]],Database!$A:$E,MATCH($B$1,Database!$A$1:$E$1,),))</f>
        <v/>
      </c>
      <c r="C2983">
        <f>IF(VLOOKUP(Table73[[#This Row],[Date]],Database!$A:$C,MATCH($C$1,Database!$A$1:$C$1,),)=0,#N/A,VLOOKUP(Table73[[#This Row],[Date]],Database!$A:$C,MATCH($C$1,Database!$A$1:$C$1,),))</f>
        <v/>
      </c>
      <c r="D2983">
        <f>IFERROR(Table73[[#This Row],[United States 10y]]-Table73[[#This Row],[United States 2y]],#N/A)</f>
        <v/>
      </c>
    </row>
    <row r="2984">
      <c r="A2984" s="6">
        <f>Database!A2983</f>
        <v/>
      </c>
      <c r="B2984">
        <f>IF(VLOOKUP(Table73[[#This Row],[Date]],Database!$A:$E,MATCH($B$1,Database!$A$1:$E$1,),)=0,#N/A,VLOOKUP(Table73[[#This Row],[Date]],Database!$A:$E,MATCH($B$1,Database!$A$1:$E$1,),))</f>
        <v/>
      </c>
      <c r="C2984">
        <f>IF(VLOOKUP(Table73[[#This Row],[Date]],Database!$A:$C,MATCH($C$1,Database!$A$1:$C$1,),)=0,#N/A,VLOOKUP(Table73[[#This Row],[Date]],Database!$A:$C,MATCH($C$1,Database!$A$1:$C$1,),))</f>
        <v/>
      </c>
      <c r="D2984">
        <f>IFERROR(Table73[[#This Row],[United States 10y]]-Table73[[#This Row],[United States 2y]],#N/A)</f>
        <v/>
      </c>
    </row>
    <row r="2985">
      <c r="A2985" s="6">
        <f>Database!A2984</f>
        <v/>
      </c>
      <c r="B2985">
        <f>IF(VLOOKUP(Table73[[#This Row],[Date]],Database!$A:$E,MATCH($B$1,Database!$A$1:$E$1,),)=0,#N/A,VLOOKUP(Table73[[#This Row],[Date]],Database!$A:$E,MATCH($B$1,Database!$A$1:$E$1,),))</f>
        <v/>
      </c>
      <c r="C2985">
        <f>IF(VLOOKUP(Table73[[#This Row],[Date]],Database!$A:$C,MATCH($C$1,Database!$A$1:$C$1,),)=0,#N/A,VLOOKUP(Table73[[#This Row],[Date]],Database!$A:$C,MATCH($C$1,Database!$A$1:$C$1,),))</f>
        <v/>
      </c>
      <c r="D2985">
        <f>IFERROR(Table73[[#This Row],[United States 10y]]-Table73[[#This Row],[United States 2y]],#N/A)</f>
        <v/>
      </c>
    </row>
    <row r="2986">
      <c r="A2986" s="6">
        <f>Database!A2985</f>
        <v/>
      </c>
      <c r="B2986">
        <f>IF(VLOOKUP(Table73[[#This Row],[Date]],Database!$A:$E,MATCH($B$1,Database!$A$1:$E$1,),)=0,#N/A,VLOOKUP(Table73[[#This Row],[Date]],Database!$A:$E,MATCH($B$1,Database!$A$1:$E$1,),))</f>
        <v/>
      </c>
      <c r="C2986">
        <f>IF(VLOOKUP(Table73[[#This Row],[Date]],Database!$A:$C,MATCH($C$1,Database!$A$1:$C$1,),)=0,#N/A,VLOOKUP(Table73[[#This Row],[Date]],Database!$A:$C,MATCH($C$1,Database!$A$1:$C$1,),))</f>
        <v/>
      </c>
      <c r="D2986">
        <f>IFERROR(Table73[[#This Row],[United States 10y]]-Table73[[#This Row],[United States 2y]],#N/A)</f>
        <v/>
      </c>
    </row>
    <row r="2987">
      <c r="A2987" s="6">
        <f>Database!A2986</f>
        <v/>
      </c>
      <c r="B2987">
        <f>IF(VLOOKUP(Table73[[#This Row],[Date]],Database!$A:$E,MATCH($B$1,Database!$A$1:$E$1,),)=0,#N/A,VLOOKUP(Table73[[#This Row],[Date]],Database!$A:$E,MATCH($B$1,Database!$A$1:$E$1,),))</f>
        <v/>
      </c>
      <c r="C2987">
        <f>IF(VLOOKUP(Table73[[#This Row],[Date]],Database!$A:$C,MATCH($C$1,Database!$A$1:$C$1,),)=0,#N/A,VLOOKUP(Table73[[#This Row],[Date]],Database!$A:$C,MATCH($C$1,Database!$A$1:$C$1,),))</f>
        <v/>
      </c>
      <c r="D2987">
        <f>IFERROR(Table73[[#This Row],[United States 10y]]-Table73[[#This Row],[United States 2y]],#N/A)</f>
        <v/>
      </c>
    </row>
    <row r="2988">
      <c r="A2988" s="6">
        <f>Database!A2987</f>
        <v/>
      </c>
      <c r="B2988">
        <f>IF(VLOOKUP(Table73[[#This Row],[Date]],Database!$A:$E,MATCH($B$1,Database!$A$1:$E$1,),)=0,#N/A,VLOOKUP(Table73[[#This Row],[Date]],Database!$A:$E,MATCH($B$1,Database!$A$1:$E$1,),))</f>
        <v/>
      </c>
      <c r="C2988">
        <f>IF(VLOOKUP(Table73[[#This Row],[Date]],Database!$A:$C,MATCH($C$1,Database!$A$1:$C$1,),)=0,#N/A,VLOOKUP(Table73[[#This Row],[Date]],Database!$A:$C,MATCH($C$1,Database!$A$1:$C$1,),))</f>
        <v/>
      </c>
      <c r="D2988">
        <f>IFERROR(Table73[[#This Row],[United States 10y]]-Table73[[#This Row],[United States 2y]],#N/A)</f>
        <v/>
      </c>
    </row>
    <row r="2989">
      <c r="A2989" s="6">
        <f>Database!A2988</f>
        <v/>
      </c>
      <c r="B2989">
        <f>IF(VLOOKUP(Table73[[#This Row],[Date]],Database!$A:$E,MATCH($B$1,Database!$A$1:$E$1,),)=0,#N/A,VLOOKUP(Table73[[#This Row],[Date]],Database!$A:$E,MATCH($B$1,Database!$A$1:$E$1,),))</f>
        <v/>
      </c>
      <c r="C2989">
        <f>IF(VLOOKUP(Table73[[#This Row],[Date]],Database!$A:$C,MATCH($C$1,Database!$A$1:$C$1,),)=0,#N/A,VLOOKUP(Table73[[#This Row],[Date]],Database!$A:$C,MATCH($C$1,Database!$A$1:$C$1,),))</f>
        <v/>
      </c>
      <c r="D2989">
        <f>IFERROR(Table73[[#This Row],[United States 10y]]-Table73[[#This Row],[United States 2y]],#N/A)</f>
        <v/>
      </c>
    </row>
    <row r="2990">
      <c r="A2990" s="6">
        <f>Database!A2989</f>
        <v/>
      </c>
      <c r="B2990">
        <f>IF(VLOOKUP(Table73[[#This Row],[Date]],Database!$A:$E,MATCH($B$1,Database!$A$1:$E$1,),)=0,#N/A,VLOOKUP(Table73[[#This Row],[Date]],Database!$A:$E,MATCH($B$1,Database!$A$1:$E$1,),))</f>
        <v/>
      </c>
      <c r="C2990">
        <f>IF(VLOOKUP(Table73[[#This Row],[Date]],Database!$A:$C,MATCH($C$1,Database!$A$1:$C$1,),)=0,#N/A,VLOOKUP(Table73[[#This Row],[Date]],Database!$A:$C,MATCH($C$1,Database!$A$1:$C$1,),))</f>
        <v/>
      </c>
      <c r="D2990">
        <f>IFERROR(Table73[[#This Row],[United States 10y]]-Table73[[#This Row],[United States 2y]],#N/A)</f>
        <v/>
      </c>
    </row>
    <row r="2991">
      <c r="A2991" s="6">
        <f>Database!A2990</f>
        <v/>
      </c>
      <c r="B2991">
        <f>IF(VLOOKUP(Table73[[#This Row],[Date]],Database!$A:$E,MATCH($B$1,Database!$A$1:$E$1,),)=0,#N/A,VLOOKUP(Table73[[#This Row],[Date]],Database!$A:$E,MATCH($B$1,Database!$A$1:$E$1,),))</f>
        <v/>
      </c>
      <c r="C2991">
        <f>IF(VLOOKUP(Table73[[#This Row],[Date]],Database!$A:$C,MATCH($C$1,Database!$A$1:$C$1,),)=0,#N/A,VLOOKUP(Table73[[#This Row],[Date]],Database!$A:$C,MATCH($C$1,Database!$A$1:$C$1,),))</f>
        <v/>
      </c>
      <c r="D2991">
        <f>IFERROR(Table73[[#This Row],[United States 10y]]-Table73[[#This Row],[United States 2y]],#N/A)</f>
        <v/>
      </c>
    </row>
    <row r="2992">
      <c r="A2992" s="6">
        <f>Database!A2991</f>
        <v/>
      </c>
      <c r="B2992">
        <f>IF(VLOOKUP(Table73[[#This Row],[Date]],Database!$A:$E,MATCH($B$1,Database!$A$1:$E$1,),)=0,#N/A,VLOOKUP(Table73[[#This Row],[Date]],Database!$A:$E,MATCH($B$1,Database!$A$1:$E$1,),))</f>
        <v/>
      </c>
      <c r="C2992">
        <f>IF(VLOOKUP(Table73[[#This Row],[Date]],Database!$A:$C,MATCH($C$1,Database!$A$1:$C$1,),)=0,#N/A,VLOOKUP(Table73[[#This Row],[Date]],Database!$A:$C,MATCH($C$1,Database!$A$1:$C$1,),))</f>
        <v/>
      </c>
      <c r="D2992">
        <f>IFERROR(Table73[[#This Row],[United States 10y]]-Table73[[#This Row],[United States 2y]],#N/A)</f>
        <v/>
      </c>
    </row>
    <row r="2993">
      <c r="A2993" s="6">
        <f>Database!A2992</f>
        <v/>
      </c>
      <c r="B2993">
        <f>IF(VLOOKUP(Table73[[#This Row],[Date]],Database!$A:$E,MATCH($B$1,Database!$A$1:$E$1,),)=0,#N/A,VLOOKUP(Table73[[#This Row],[Date]],Database!$A:$E,MATCH($B$1,Database!$A$1:$E$1,),))</f>
        <v/>
      </c>
      <c r="C2993">
        <f>IF(VLOOKUP(Table73[[#This Row],[Date]],Database!$A:$C,MATCH($C$1,Database!$A$1:$C$1,),)=0,#N/A,VLOOKUP(Table73[[#This Row],[Date]],Database!$A:$C,MATCH($C$1,Database!$A$1:$C$1,),))</f>
        <v/>
      </c>
      <c r="D2993">
        <f>IFERROR(Table73[[#This Row],[United States 10y]]-Table73[[#This Row],[United States 2y]],#N/A)</f>
        <v/>
      </c>
    </row>
    <row r="2994">
      <c r="A2994" s="6">
        <f>Database!A2993</f>
        <v/>
      </c>
      <c r="B2994">
        <f>IF(VLOOKUP(Table73[[#This Row],[Date]],Database!$A:$E,MATCH($B$1,Database!$A$1:$E$1,),)=0,#N/A,VLOOKUP(Table73[[#This Row],[Date]],Database!$A:$E,MATCH($B$1,Database!$A$1:$E$1,),))</f>
        <v/>
      </c>
      <c r="C2994">
        <f>IF(VLOOKUP(Table73[[#This Row],[Date]],Database!$A:$C,MATCH($C$1,Database!$A$1:$C$1,),)=0,#N/A,VLOOKUP(Table73[[#This Row],[Date]],Database!$A:$C,MATCH($C$1,Database!$A$1:$C$1,),))</f>
        <v/>
      </c>
      <c r="D2994">
        <f>IFERROR(Table73[[#This Row],[United States 10y]]-Table73[[#This Row],[United States 2y]],#N/A)</f>
        <v/>
      </c>
    </row>
    <row r="2995">
      <c r="A2995" s="6">
        <f>Database!A2994</f>
        <v/>
      </c>
      <c r="B2995">
        <f>IF(VLOOKUP(Table73[[#This Row],[Date]],Database!$A:$E,MATCH($B$1,Database!$A$1:$E$1,),)=0,#N/A,VLOOKUP(Table73[[#This Row],[Date]],Database!$A:$E,MATCH($B$1,Database!$A$1:$E$1,),))</f>
        <v/>
      </c>
      <c r="C2995">
        <f>IF(VLOOKUP(Table73[[#This Row],[Date]],Database!$A:$C,MATCH($C$1,Database!$A$1:$C$1,),)=0,#N/A,VLOOKUP(Table73[[#This Row],[Date]],Database!$A:$C,MATCH($C$1,Database!$A$1:$C$1,),))</f>
        <v/>
      </c>
      <c r="D2995">
        <f>IFERROR(Table73[[#This Row],[United States 10y]]-Table73[[#This Row],[United States 2y]],#N/A)</f>
        <v/>
      </c>
    </row>
    <row r="2996">
      <c r="A2996" s="6">
        <f>Database!A2995</f>
        <v/>
      </c>
      <c r="B2996">
        <f>IF(VLOOKUP(Table73[[#This Row],[Date]],Database!$A:$E,MATCH($B$1,Database!$A$1:$E$1,),)=0,#N/A,VLOOKUP(Table73[[#This Row],[Date]],Database!$A:$E,MATCH($B$1,Database!$A$1:$E$1,),))</f>
        <v/>
      </c>
      <c r="C2996">
        <f>IF(VLOOKUP(Table73[[#This Row],[Date]],Database!$A:$C,MATCH($C$1,Database!$A$1:$C$1,),)=0,#N/A,VLOOKUP(Table73[[#This Row],[Date]],Database!$A:$C,MATCH($C$1,Database!$A$1:$C$1,),))</f>
        <v/>
      </c>
      <c r="D2996">
        <f>IFERROR(Table73[[#This Row],[United States 10y]]-Table73[[#This Row],[United States 2y]],#N/A)</f>
        <v/>
      </c>
    </row>
    <row r="2997">
      <c r="A2997" s="6">
        <f>Database!A2996</f>
        <v/>
      </c>
      <c r="B2997">
        <f>IF(VLOOKUP(Table73[[#This Row],[Date]],Database!$A:$E,MATCH($B$1,Database!$A$1:$E$1,),)=0,#N/A,VLOOKUP(Table73[[#This Row],[Date]],Database!$A:$E,MATCH($B$1,Database!$A$1:$E$1,),))</f>
        <v/>
      </c>
      <c r="C2997">
        <f>IF(VLOOKUP(Table73[[#This Row],[Date]],Database!$A:$C,MATCH($C$1,Database!$A$1:$C$1,),)=0,#N/A,VLOOKUP(Table73[[#This Row],[Date]],Database!$A:$C,MATCH($C$1,Database!$A$1:$C$1,),))</f>
        <v/>
      </c>
      <c r="D2997">
        <f>IFERROR(Table73[[#This Row],[United States 10y]]-Table73[[#This Row],[United States 2y]],#N/A)</f>
        <v/>
      </c>
    </row>
    <row r="2998">
      <c r="A2998" s="6">
        <f>Database!A2997</f>
        <v/>
      </c>
      <c r="B2998">
        <f>IF(VLOOKUP(Table73[[#This Row],[Date]],Database!$A:$E,MATCH($B$1,Database!$A$1:$E$1,),)=0,#N/A,VLOOKUP(Table73[[#This Row],[Date]],Database!$A:$E,MATCH($B$1,Database!$A$1:$E$1,),))</f>
        <v/>
      </c>
      <c r="C2998">
        <f>IF(VLOOKUP(Table73[[#This Row],[Date]],Database!$A:$C,MATCH($C$1,Database!$A$1:$C$1,),)=0,#N/A,VLOOKUP(Table73[[#This Row],[Date]],Database!$A:$C,MATCH($C$1,Database!$A$1:$C$1,),))</f>
        <v/>
      </c>
      <c r="D2998">
        <f>IFERROR(Table73[[#This Row],[United States 10y]]-Table73[[#This Row],[United States 2y]],#N/A)</f>
        <v/>
      </c>
    </row>
    <row r="2999">
      <c r="A2999" s="6">
        <f>Database!A2998</f>
        <v/>
      </c>
      <c r="B2999">
        <f>IF(VLOOKUP(Table73[[#This Row],[Date]],Database!$A:$E,MATCH($B$1,Database!$A$1:$E$1,),)=0,#N/A,VLOOKUP(Table73[[#This Row],[Date]],Database!$A:$E,MATCH($B$1,Database!$A$1:$E$1,),))</f>
        <v/>
      </c>
      <c r="C2999">
        <f>IF(VLOOKUP(Table73[[#This Row],[Date]],Database!$A:$C,MATCH($C$1,Database!$A$1:$C$1,),)=0,#N/A,VLOOKUP(Table73[[#This Row],[Date]],Database!$A:$C,MATCH($C$1,Database!$A$1:$C$1,),))</f>
        <v/>
      </c>
      <c r="D2999">
        <f>IFERROR(Table73[[#This Row],[United States 10y]]-Table73[[#This Row],[United States 2y]],#N/A)</f>
        <v/>
      </c>
    </row>
    <row r="3000">
      <c r="A3000" s="6">
        <f>Database!A2999</f>
        <v/>
      </c>
      <c r="B3000">
        <f>IF(VLOOKUP(Table73[[#This Row],[Date]],Database!$A:$E,MATCH($B$1,Database!$A$1:$E$1,),)=0,#N/A,VLOOKUP(Table73[[#This Row],[Date]],Database!$A:$E,MATCH($B$1,Database!$A$1:$E$1,),))</f>
        <v/>
      </c>
      <c r="C3000">
        <f>IF(VLOOKUP(Table73[[#This Row],[Date]],Database!$A:$C,MATCH($C$1,Database!$A$1:$C$1,),)=0,#N/A,VLOOKUP(Table73[[#This Row],[Date]],Database!$A:$C,MATCH($C$1,Database!$A$1:$C$1,),))</f>
        <v/>
      </c>
      <c r="D3000">
        <f>IFERROR(Table73[[#This Row],[United States 10y]]-Table73[[#This Row],[United States 2y]],#N/A)</f>
        <v/>
      </c>
    </row>
    <row r="3001">
      <c r="A3001" s="6">
        <f>Database!A3000</f>
        <v/>
      </c>
      <c r="B3001">
        <f>IF(VLOOKUP(Table73[[#This Row],[Date]],Database!$A:$E,MATCH($B$1,Database!$A$1:$E$1,),)=0,#N/A,VLOOKUP(Table73[[#This Row],[Date]],Database!$A:$E,MATCH($B$1,Database!$A$1:$E$1,),))</f>
        <v/>
      </c>
      <c r="C3001">
        <f>IF(VLOOKUP(Table73[[#This Row],[Date]],Database!$A:$C,MATCH($C$1,Database!$A$1:$C$1,),)=0,#N/A,VLOOKUP(Table73[[#This Row],[Date]],Database!$A:$C,MATCH($C$1,Database!$A$1:$C$1,),))</f>
        <v/>
      </c>
      <c r="D3001">
        <f>IFERROR(Table73[[#This Row],[United States 10y]]-Table73[[#This Row],[United States 2y]],#N/A)</f>
        <v/>
      </c>
    </row>
    <row r="3002">
      <c r="A3002" s="6">
        <f>Database!A3001</f>
        <v/>
      </c>
      <c r="B3002">
        <f>IF(VLOOKUP(Table73[[#This Row],[Date]],Database!$A:$E,MATCH($B$1,Database!$A$1:$E$1,),)=0,#N/A,VLOOKUP(Table73[[#This Row],[Date]],Database!$A:$E,MATCH($B$1,Database!$A$1:$E$1,),))</f>
        <v/>
      </c>
      <c r="C3002">
        <f>IF(VLOOKUP(Table73[[#This Row],[Date]],Database!$A:$C,MATCH($C$1,Database!$A$1:$C$1,),)=0,#N/A,VLOOKUP(Table73[[#This Row],[Date]],Database!$A:$C,MATCH($C$1,Database!$A$1:$C$1,),))</f>
        <v/>
      </c>
      <c r="D3002">
        <f>IFERROR(Table73[[#This Row],[United States 10y]]-Table73[[#This Row],[United States 2y]],#N/A)</f>
        <v/>
      </c>
    </row>
    <row r="3003">
      <c r="A3003" s="6">
        <f>Database!A3002</f>
        <v/>
      </c>
      <c r="B3003">
        <f>IF(VLOOKUP(Table73[[#This Row],[Date]],Database!$A:$E,MATCH($B$1,Database!$A$1:$E$1,),)=0,#N/A,VLOOKUP(Table73[[#This Row],[Date]],Database!$A:$E,MATCH($B$1,Database!$A$1:$E$1,),))</f>
        <v/>
      </c>
      <c r="C3003">
        <f>IF(VLOOKUP(Table73[[#This Row],[Date]],Database!$A:$C,MATCH($C$1,Database!$A$1:$C$1,),)=0,#N/A,VLOOKUP(Table73[[#This Row],[Date]],Database!$A:$C,MATCH($C$1,Database!$A$1:$C$1,),))</f>
        <v/>
      </c>
      <c r="D3003">
        <f>IFERROR(Table73[[#This Row],[United States 10y]]-Table73[[#This Row],[United States 2y]],#N/A)</f>
        <v/>
      </c>
    </row>
    <row r="3004">
      <c r="A3004" s="6">
        <f>Database!A3003</f>
        <v/>
      </c>
      <c r="B3004">
        <f>IF(VLOOKUP(Table73[[#This Row],[Date]],Database!$A:$E,MATCH($B$1,Database!$A$1:$E$1,),)=0,#N/A,VLOOKUP(Table73[[#This Row],[Date]],Database!$A:$E,MATCH($B$1,Database!$A$1:$E$1,),))</f>
        <v/>
      </c>
      <c r="C3004">
        <f>IF(VLOOKUP(Table73[[#This Row],[Date]],Database!$A:$C,MATCH($C$1,Database!$A$1:$C$1,),)=0,#N/A,VLOOKUP(Table73[[#This Row],[Date]],Database!$A:$C,MATCH($C$1,Database!$A$1:$C$1,),))</f>
        <v/>
      </c>
      <c r="D3004">
        <f>IFERROR(Table73[[#This Row],[United States 10y]]-Table73[[#This Row],[United States 2y]],#N/A)</f>
        <v/>
      </c>
    </row>
    <row r="3005">
      <c r="A3005" s="6">
        <f>Database!A3004</f>
        <v/>
      </c>
      <c r="B3005">
        <f>IF(VLOOKUP(Table73[[#This Row],[Date]],Database!$A:$E,MATCH($B$1,Database!$A$1:$E$1,),)=0,#N/A,VLOOKUP(Table73[[#This Row],[Date]],Database!$A:$E,MATCH($B$1,Database!$A$1:$E$1,),))</f>
        <v/>
      </c>
      <c r="C3005">
        <f>IF(VLOOKUP(Table73[[#This Row],[Date]],Database!$A:$C,MATCH($C$1,Database!$A$1:$C$1,),)=0,#N/A,VLOOKUP(Table73[[#This Row],[Date]],Database!$A:$C,MATCH($C$1,Database!$A$1:$C$1,),))</f>
        <v/>
      </c>
      <c r="D3005">
        <f>IFERROR(Table73[[#This Row],[United States 10y]]-Table73[[#This Row],[United States 2y]],#N/A)</f>
        <v/>
      </c>
    </row>
    <row r="3006">
      <c r="A3006" s="6">
        <f>Database!A3005</f>
        <v/>
      </c>
      <c r="B3006">
        <f>IF(VLOOKUP(Table73[[#This Row],[Date]],Database!$A:$E,MATCH($B$1,Database!$A$1:$E$1,),)=0,#N/A,VLOOKUP(Table73[[#This Row],[Date]],Database!$A:$E,MATCH($B$1,Database!$A$1:$E$1,),))</f>
        <v/>
      </c>
      <c r="C3006">
        <f>IF(VLOOKUP(Table73[[#This Row],[Date]],Database!$A:$C,MATCH($C$1,Database!$A$1:$C$1,),)=0,#N/A,VLOOKUP(Table73[[#This Row],[Date]],Database!$A:$C,MATCH($C$1,Database!$A$1:$C$1,),))</f>
        <v/>
      </c>
      <c r="D3006">
        <f>IFERROR(Table73[[#This Row],[United States 10y]]-Table73[[#This Row],[United States 2y]],#N/A)</f>
        <v/>
      </c>
    </row>
    <row r="3007">
      <c r="A3007" s="6">
        <f>Database!A3006</f>
        <v/>
      </c>
      <c r="B3007">
        <f>IF(VLOOKUP(Table73[[#This Row],[Date]],Database!$A:$E,MATCH($B$1,Database!$A$1:$E$1,),)=0,#N/A,VLOOKUP(Table73[[#This Row],[Date]],Database!$A:$E,MATCH($B$1,Database!$A$1:$E$1,),))</f>
        <v/>
      </c>
      <c r="C3007">
        <f>IF(VLOOKUP(Table73[[#This Row],[Date]],Database!$A:$C,MATCH($C$1,Database!$A$1:$C$1,),)=0,#N/A,VLOOKUP(Table73[[#This Row],[Date]],Database!$A:$C,MATCH($C$1,Database!$A$1:$C$1,),))</f>
        <v/>
      </c>
      <c r="D3007">
        <f>IFERROR(Table73[[#This Row],[United States 10y]]-Table73[[#This Row],[United States 2y]],#N/A)</f>
        <v/>
      </c>
    </row>
    <row r="3008">
      <c r="A3008" s="6">
        <f>Database!A3007</f>
        <v/>
      </c>
      <c r="B3008">
        <f>IF(VLOOKUP(Table73[[#This Row],[Date]],Database!$A:$E,MATCH($B$1,Database!$A$1:$E$1,),)=0,#N/A,VLOOKUP(Table73[[#This Row],[Date]],Database!$A:$E,MATCH($B$1,Database!$A$1:$E$1,),))</f>
        <v/>
      </c>
      <c r="C3008">
        <f>IF(VLOOKUP(Table73[[#This Row],[Date]],Database!$A:$C,MATCH($C$1,Database!$A$1:$C$1,),)=0,#N/A,VLOOKUP(Table73[[#This Row],[Date]],Database!$A:$C,MATCH($C$1,Database!$A$1:$C$1,),))</f>
        <v/>
      </c>
      <c r="D3008">
        <f>IFERROR(Table73[[#This Row],[United States 10y]]-Table73[[#This Row],[United States 2y]],#N/A)</f>
        <v/>
      </c>
    </row>
    <row r="3009">
      <c r="A3009" s="6">
        <f>Database!A3008</f>
        <v/>
      </c>
      <c r="B3009">
        <f>IF(VLOOKUP(Table73[[#This Row],[Date]],Database!$A:$E,MATCH($B$1,Database!$A$1:$E$1,),)=0,#N/A,VLOOKUP(Table73[[#This Row],[Date]],Database!$A:$E,MATCH($B$1,Database!$A$1:$E$1,),))</f>
        <v/>
      </c>
      <c r="C3009">
        <f>IF(VLOOKUP(Table73[[#This Row],[Date]],Database!$A:$C,MATCH($C$1,Database!$A$1:$C$1,),)=0,#N/A,VLOOKUP(Table73[[#This Row],[Date]],Database!$A:$C,MATCH($C$1,Database!$A$1:$C$1,),))</f>
        <v/>
      </c>
      <c r="D3009">
        <f>IFERROR(Table73[[#This Row],[United States 10y]]-Table73[[#This Row],[United States 2y]],#N/A)</f>
        <v/>
      </c>
    </row>
    <row r="3010">
      <c r="A3010" s="6">
        <f>Database!A3009</f>
        <v/>
      </c>
      <c r="B3010">
        <f>IF(VLOOKUP(Table73[[#This Row],[Date]],Database!$A:$E,MATCH($B$1,Database!$A$1:$E$1,),)=0,#N/A,VLOOKUP(Table73[[#This Row],[Date]],Database!$A:$E,MATCH($B$1,Database!$A$1:$E$1,),))</f>
        <v/>
      </c>
      <c r="C3010">
        <f>IF(VLOOKUP(Table73[[#This Row],[Date]],Database!$A:$C,MATCH($C$1,Database!$A$1:$C$1,),)=0,#N/A,VLOOKUP(Table73[[#This Row],[Date]],Database!$A:$C,MATCH($C$1,Database!$A$1:$C$1,),))</f>
        <v/>
      </c>
      <c r="D3010">
        <f>IFERROR(Table73[[#This Row],[United States 10y]]-Table73[[#This Row],[United States 2y]],#N/A)</f>
        <v/>
      </c>
    </row>
    <row r="3011">
      <c r="A3011" s="6">
        <f>Database!A3010</f>
        <v/>
      </c>
      <c r="B3011">
        <f>IF(VLOOKUP(Table73[[#This Row],[Date]],Database!$A:$E,MATCH($B$1,Database!$A$1:$E$1,),)=0,#N/A,VLOOKUP(Table73[[#This Row],[Date]],Database!$A:$E,MATCH($B$1,Database!$A$1:$E$1,),))</f>
        <v/>
      </c>
      <c r="C3011">
        <f>IF(VLOOKUP(Table73[[#This Row],[Date]],Database!$A:$C,MATCH($C$1,Database!$A$1:$C$1,),)=0,#N/A,VLOOKUP(Table73[[#This Row],[Date]],Database!$A:$C,MATCH($C$1,Database!$A$1:$C$1,),))</f>
        <v/>
      </c>
      <c r="D3011">
        <f>IFERROR(Table73[[#This Row],[United States 10y]]-Table73[[#This Row],[United States 2y]],#N/A)</f>
        <v/>
      </c>
    </row>
    <row r="3012">
      <c r="A3012" s="6">
        <f>Database!A3011</f>
        <v/>
      </c>
      <c r="B3012">
        <f>IF(VLOOKUP(Table73[[#This Row],[Date]],Database!$A:$E,MATCH($B$1,Database!$A$1:$E$1,),)=0,#N/A,VLOOKUP(Table73[[#This Row],[Date]],Database!$A:$E,MATCH($B$1,Database!$A$1:$E$1,),))</f>
        <v/>
      </c>
      <c r="C3012">
        <f>IF(VLOOKUP(Table73[[#This Row],[Date]],Database!$A:$C,MATCH($C$1,Database!$A$1:$C$1,),)=0,#N/A,VLOOKUP(Table73[[#This Row],[Date]],Database!$A:$C,MATCH($C$1,Database!$A$1:$C$1,),))</f>
        <v/>
      </c>
      <c r="D3012">
        <f>IFERROR(Table73[[#This Row],[United States 10y]]-Table73[[#This Row],[United States 2y]],#N/A)</f>
        <v/>
      </c>
    </row>
    <row r="3013">
      <c r="A3013" s="6">
        <f>Database!A3012</f>
        <v/>
      </c>
      <c r="B3013">
        <f>IF(VLOOKUP(Table73[[#This Row],[Date]],Database!$A:$E,MATCH($B$1,Database!$A$1:$E$1,),)=0,#N/A,VLOOKUP(Table73[[#This Row],[Date]],Database!$A:$E,MATCH($B$1,Database!$A$1:$E$1,),))</f>
        <v/>
      </c>
      <c r="C3013">
        <f>IF(VLOOKUP(Table73[[#This Row],[Date]],Database!$A:$C,MATCH($C$1,Database!$A$1:$C$1,),)=0,#N/A,VLOOKUP(Table73[[#This Row],[Date]],Database!$A:$C,MATCH($C$1,Database!$A$1:$C$1,),))</f>
        <v/>
      </c>
      <c r="D3013">
        <f>IFERROR(Table73[[#This Row],[United States 10y]]-Table73[[#This Row],[United States 2y]],#N/A)</f>
        <v/>
      </c>
    </row>
    <row r="3014">
      <c r="A3014" s="6">
        <f>Database!A3013</f>
        <v/>
      </c>
      <c r="B3014">
        <f>IF(VLOOKUP(Table73[[#This Row],[Date]],Database!$A:$E,MATCH($B$1,Database!$A$1:$E$1,),)=0,#N/A,VLOOKUP(Table73[[#This Row],[Date]],Database!$A:$E,MATCH($B$1,Database!$A$1:$E$1,),))</f>
        <v/>
      </c>
      <c r="C3014">
        <f>IF(VLOOKUP(Table73[[#This Row],[Date]],Database!$A:$C,MATCH($C$1,Database!$A$1:$C$1,),)=0,#N/A,VLOOKUP(Table73[[#This Row],[Date]],Database!$A:$C,MATCH($C$1,Database!$A$1:$C$1,),))</f>
        <v/>
      </c>
      <c r="D3014">
        <f>IFERROR(Table73[[#This Row],[United States 10y]]-Table73[[#This Row],[United States 2y]],#N/A)</f>
        <v/>
      </c>
    </row>
    <row r="3015">
      <c r="A3015" s="6">
        <f>Database!A3014</f>
        <v/>
      </c>
      <c r="B3015">
        <f>IF(VLOOKUP(Table73[[#This Row],[Date]],Database!$A:$E,MATCH($B$1,Database!$A$1:$E$1,),)=0,#N/A,VLOOKUP(Table73[[#This Row],[Date]],Database!$A:$E,MATCH($B$1,Database!$A$1:$E$1,),))</f>
        <v/>
      </c>
      <c r="C3015">
        <f>IF(VLOOKUP(Table73[[#This Row],[Date]],Database!$A:$C,MATCH($C$1,Database!$A$1:$C$1,),)=0,#N/A,VLOOKUP(Table73[[#This Row],[Date]],Database!$A:$C,MATCH($C$1,Database!$A$1:$C$1,),))</f>
        <v/>
      </c>
      <c r="D3015">
        <f>IFERROR(Table73[[#This Row],[United States 10y]]-Table73[[#This Row],[United States 2y]],#N/A)</f>
        <v/>
      </c>
    </row>
    <row r="3016">
      <c r="A3016" s="6">
        <f>Database!A3015</f>
        <v/>
      </c>
      <c r="B3016">
        <f>IF(VLOOKUP(Table73[[#This Row],[Date]],Database!$A:$E,MATCH($B$1,Database!$A$1:$E$1,),)=0,#N/A,VLOOKUP(Table73[[#This Row],[Date]],Database!$A:$E,MATCH($B$1,Database!$A$1:$E$1,),))</f>
        <v/>
      </c>
      <c r="C3016">
        <f>IF(VLOOKUP(Table73[[#This Row],[Date]],Database!$A:$C,MATCH($C$1,Database!$A$1:$C$1,),)=0,#N/A,VLOOKUP(Table73[[#This Row],[Date]],Database!$A:$C,MATCH($C$1,Database!$A$1:$C$1,),))</f>
        <v/>
      </c>
      <c r="D3016">
        <f>IFERROR(Table73[[#This Row],[United States 10y]]-Table73[[#This Row],[United States 2y]],#N/A)</f>
        <v/>
      </c>
    </row>
    <row r="3017">
      <c r="A3017" s="6">
        <f>Database!A3016</f>
        <v/>
      </c>
      <c r="B3017">
        <f>IF(VLOOKUP(Table73[[#This Row],[Date]],Database!$A:$E,MATCH($B$1,Database!$A$1:$E$1,),)=0,#N/A,VLOOKUP(Table73[[#This Row],[Date]],Database!$A:$E,MATCH($B$1,Database!$A$1:$E$1,),))</f>
        <v/>
      </c>
      <c r="C3017">
        <f>IF(VLOOKUP(Table73[[#This Row],[Date]],Database!$A:$C,MATCH($C$1,Database!$A$1:$C$1,),)=0,#N/A,VLOOKUP(Table73[[#This Row],[Date]],Database!$A:$C,MATCH($C$1,Database!$A$1:$C$1,),))</f>
        <v/>
      </c>
      <c r="D3017">
        <f>IFERROR(Table73[[#This Row],[United States 10y]]-Table73[[#This Row],[United States 2y]],#N/A)</f>
        <v/>
      </c>
    </row>
    <row r="3018">
      <c r="A3018" s="6">
        <f>Database!A3017</f>
        <v/>
      </c>
      <c r="B3018">
        <f>IF(VLOOKUP(Table73[[#This Row],[Date]],Database!$A:$E,MATCH($B$1,Database!$A$1:$E$1,),)=0,#N/A,VLOOKUP(Table73[[#This Row],[Date]],Database!$A:$E,MATCH($B$1,Database!$A$1:$E$1,),))</f>
        <v/>
      </c>
      <c r="C3018">
        <f>IF(VLOOKUP(Table73[[#This Row],[Date]],Database!$A:$C,MATCH($C$1,Database!$A$1:$C$1,),)=0,#N/A,VLOOKUP(Table73[[#This Row],[Date]],Database!$A:$C,MATCH($C$1,Database!$A$1:$C$1,),))</f>
        <v/>
      </c>
      <c r="D3018">
        <f>IFERROR(Table73[[#This Row],[United States 10y]]-Table73[[#This Row],[United States 2y]],#N/A)</f>
        <v/>
      </c>
    </row>
    <row r="3019">
      <c r="A3019" s="6">
        <f>Database!A3018</f>
        <v/>
      </c>
      <c r="B3019">
        <f>IF(VLOOKUP(Table73[[#This Row],[Date]],Database!$A:$E,MATCH($B$1,Database!$A$1:$E$1,),)=0,#N/A,VLOOKUP(Table73[[#This Row],[Date]],Database!$A:$E,MATCH($B$1,Database!$A$1:$E$1,),))</f>
        <v/>
      </c>
      <c r="C3019">
        <f>IF(VLOOKUP(Table73[[#This Row],[Date]],Database!$A:$C,MATCH($C$1,Database!$A$1:$C$1,),)=0,#N/A,VLOOKUP(Table73[[#This Row],[Date]],Database!$A:$C,MATCH($C$1,Database!$A$1:$C$1,),))</f>
        <v/>
      </c>
      <c r="D3019">
        <f>IFERROR(Table73[[#This Row],[United States 10y]]-Table73[[#This Row],[United States 2y]],#N/A)</f>
        <v/>
      </c>
    </row>
    <row r="3020">
      <c r="A3020" s="6">
        <f>Database!A3019</f>
        <v/>
      </c>
      <c r="B3020">
        <f>IF(VLOOKUP(Table73[[#This Row],[Date]],Database!$A:$E,MATCH($B$1,Database!$A$1:$E$1,),)=0,#N/A,VLOOKUP(Table73[[#This Row],[Date]],Database!$A:$E,MATCH($B$1,Database!$A$1:$E$1,),))</f>
        <v/>
      </c>
      <c r="C3020">
        <f>IF(VLOOKUP(Table73[[#This Row],[Date]],Database!$A:$C,MATCH($C$1,Database!$A$1:$C$1,),)=0,#N/A,VLOOKUP(Table73[[#This Row],[Date]],Database!$A:$C,MATCH($C$1,Database!$A$1:$C$1,),))</f>
        <v/>
      </c>
      <c r="D3020">
        <f>IFERROR(Table73[[#This Row],[United States 10y]]-Table73[[#This Row],[United States 2y]],#N/A)</f>
        <v/>
      </c>
    </row>
    <row r="3021">
      <c r="A3021" s="6">
        <f>Database!A3020</f>
        <v/>
      </c>
      <c r="B3021">
        <f>IF(VLOOKUP(Table73[[#This Row],[Date]],Database!$A:$E,MATCH($B$1,Database!$A$1:$E$1,),)=0,#N/A,VLOOKUP(Table73[[#This Row],[Date]],Database!$A:$E,MATCH($B$1,Database!$A$1:$E$1,),))</f>
        <v/>
      </c>
      <c r="C3021">
        <f>IF(VLOOKUP(Table73[[#This Row],[Date]],Database!$A:$C,MATCH($C$1,Database!$A$1:$C$1,),)=0,#N/A,VLOOKUP(Table73[[#This Row],[Date]],Database!$A:$C,MATCH($C$1,Database!$A$1:$C$1,),))</f>
        <v/>
      </c>
      <c r="D3021">
        <f>IFERROR(Table73[[#This Row],[United States 10y]]-Table73[[#This Row],[United States 2y]],#N/A)</f>
        <v/>
      </c>
    </row>
    <row r="3022">
      <c r="A3022" s="6">
        <f>Database!A3021</f>
        <v/>
      </c>
      <c r="B3022">
        <f>IF(VLOOKUP(Table73[[#This Row],[Date]],Database!$A:$E,MATCH($B$1,Database!$A$1:$E$1,),)=0,#N/A,VLOOKUP(Table73[[#This Row],[Date]],Database!$A:$E,MATCH($B$1,Database!$A$1:$E$1,),))</f>
        <v/>
      </c>
      <c r="C3022">
        <f>IF(VLOOKUP(Table73[[#This Row],[Date]],Database!$A:$C,MATCH($C$1,Database!$A$1:$C$1,),)=0,#N/A,VLOOKUP(Table73[[#This Row],[Date]],Database!$A:$C,MATCH($C$1,Database!$A$1:$C$1,),))</f>
        <v/>
      </c>
      <c r="D3022">
        <f>IFERROR(Table73[[#This Row],[United States 10y]]-Table73[[#This Row],[United States 2y]],#N/A)</f>
        <v/>
      </c>
    </row>
    <row r="3023">
      <c r="A3023" s="6">
        <f>Database!A3022</f>
        <v/>
      </c>
      <c r="B3023">
        <f>IF(VLOOKUP(Table73[[#This Row],[Date]],Database!$A:$E,MATCH($B$1,Database!$A$1:$E$1,),)=0,#N/A,VLOOKUP(Table73[[#This Row],[Date]],Database!$A:$E,MATCH($B$1,Database!$A$1:$E$1,),))</f>
        <v/>
      </c>
      <c r="C3023">
        <f>IF(VLOOKUP(Table73[[#This Row],[Date]],Database!$A:$C,MATCH($C$1,Database!$A$1:$C$1,),)=0,#N/A,VLOOKUP(Table73[[#This Row],[Date]],Database!$A:$C,MATCH($C$1,Database!$A$1:$C$1,),))</f>
        <v/>
      </c>
      <c r="D3023">
        <f>IFERROR(Table73[[#This Row],[United States 10y]]-Table73[[#This Row],[United States 2y]],#N/A)</f>
        <v/>
      </c>
    </row>
    <row r="3024">
      <c r="A3024" s="6">
        <f>Database!A3023</f>
        <v/>
      </c>
      <c r="B3024">
        <f>IF(VLOOKUP(Table73[[#This Row],[Date]],Database!$A:$E,MATCH($B$1,Database!$A$1:$E$1,),)=0,#N/A,VLOOKUP(Table73[[#This Row],[Date]],Database!$A:$E,MATCH($B$1,Database!$A$1:$E$1,),))</f>
        <v/>
      </c>
      <c r="C3024">
        <f>IF(VLOOKUP(Table73[[#This Row],[Date]],Database!$A:$C,MATCH($C$1,Database!$A$1:$C$1,),)=0,#N/A,VLOOKUP(Table73[[#This Row],[Date]],Database!$A:$C,MATCH($C$1,Database!$A$1:$C$1,),))</f>
        <v/>
      </c>
      <c r="D3024">
        <f>IFERROR(Table73[[#This Row],[United States 10y]]-Table73[[#This Row],[United States 2y]],#N/A)</f>
        <v/>
      </c>
    </row>
    <row r="3025">
      <c r="A3025" s="6">
        <f>Database!A3024</f>
        <v/>
      </c>
      <c r="B3025">
        <f>IF(VLOOKUP(Table73[[#This Row],[Date]],Database!$A:$E,MATCH($B$1,Database!$A$1:$E$1,),)=0,#N/A,VLOOKUP(Table73[[#This Row],[Date]],Database!$A:$E,MATCH($B$1,Database!$A$1:$E$1,),))</f>
        <v/>
      </c>
      <c r="C3025">
        <f>IF(VLOOKUP(Table73[[#This Row],[Date]],Database!$A:$C,MATCH($C$1,Database!$A$1:$C$1,),)=0,#N/A,VLOOKUP(Table73[[#This Row],[Date]],Database!$A:$C,MATCH($C$1,Database!$A$1:$C$1,),))</f>
        <v/>
      </c>
      <c r="D3025">
        <f>IFERROR(Table73[[#This Row],[United States 10y]]-Table73[[#This Row],[United States 2y]],#N/A)</f>
        <v/>
      </c>
    </row>
    <row r="3026">
      <c r="A3026" s="6">
        <f>Database!A3025</f>
        <v/>
      </c>
      <c r="B3026">
        <f>IF(VLOOKUP(Table73[[#This Row],[Date]],Database!$A:$E,MATCH($B$1,Database!$A$1:$E$1,),)=0,#N/A,VLOOKUP(Table73[[#This Row],[Date]],Database!$A:$E,MATCH($B$1,Database!$A$1:$E$1,),))</f>
        <v/>
      </c>
      <c r="C3026">
        <f>IF(VLOOKUP(Table73[[#This Row],[Date]],Database!$A:$C,MATCH($C$1,Database!$A$1:$C$1,),)=0,#N/A,VLOOKUP(Table73[[#This Row],[Date]],Database!$A:$C,MATCH($C$1,Database!$A$1:$C$1,),))</f>
        <v/>
      </c>
      <c r="D3026">
        <f>IFERROR(Table73[[#This Row],[United States 10y]]-Table73[[#This Row],[United States 2y]],#N/A)</f>
        <v/>
      </c>
    </row>
    <row r="3027">
      <c r="A3027" s="6">
        <f>Database!A3026</f>
        <v/>
      </c>
      <c r="B3027">
        <f>IF(VLOOKUP(Table73[[#This Row],[Date]],Database!$A:$E,MATCH($B$1,Database!$A$1:$E$1,),)=0,#N/A,VLOOKUP(Table73[[#This Row],[Date]],Database!$A:$E,MATCH($B$1,Database!$A$1:$E$1,),))</f>
        <v/>
      </c>
      <c r="C3027">
        <f>IF(VLOOKUP(Table73[[#This Row],[Date]],Database!$A:$C,MATCH($C$1,Database!$A$1:$C$1,),)=0,#N/A,VLOOKUP(Table73[[#This Row],[Date]],Database!$A:$C,MATCH($C$1,Database!$A$1:$C$1,),))</f>
        <v/>
      </c>
      <c r="D3027">
        <f>IFERROR(Table73[[#This Row],[United States 10y]]-Table73[[#This Row],[United States 2y]],#N/A)</f>
        <v/>
      </c>
    </row>
    <row r="3028">
      <c r="A3028" s="6">
        <f>Database!A3027</f>
        <v/>
      </c>
      <c r="B3028">
        <f>IF(VLOOKUP(Table73[[#This Row],[Date]],Database!$A:$E,MATCH($B$1,Database!$A$1:$E$1,),)=0,#N/A,VLOOKUP(Table73[[#This Row],[Date]],Database!$A:$E,MATCH($B$1,Database!$A$1:$E$1,),))</f>
        <v/>
      </c>
      <c r="C3028">
        <f>IF(VLOOKUP(Table73[[#This Row],[Date]],Database!$A:$C,MATCH($C$1,Database!$A$1:$C$1,),)=0,#N/A,VLOOKUP(Table73[[#This Row],[Date]],Database!$A:$C,MATCH($C$1,Database!$A$1:$C$1,),))</f>
        <v/>
      </c>
      <c r="D3028">
        <f>IFERROR(Table73[[#This Row],[United States 10y]]-Table73[[#This Row],[United States 2y]],#N/A)</f>
        <v/>
      </c>
    </row>
    <row r="3029">
      <c r="A3029" s="6">
        <f>Database!A3028</f>
        <v/>
      </c>
      <c r="B3029">
        <f>IF(VLOOKUP(Table73[[#This Row],[Date]],Database!$A:$E,MATCH($B$1,Database!$A$1:$E$1,),)=0,#N/A,VLOOKUP(Table73[[#This Row],[Date]],Database!$A:$E,MATCH($B$1,Database!$A$1:$E$1,),))</f>
        <v/>
      </c>
      <c r="C3029">
        <f>IF(VLOOKUP(Table73[[#This Row],[Date]],Database!$A:$C,MATCH($C$1,Database!$A$1:$C$1,),)=0,#N/A,VLOOKUP(Table73[[#This Row],[Date]],Database!$A:$C,MATCH($C$1,Database!$A$1:$C$1,),))</f>
        <v/>
      </c>
      <c r="D3029">
        <f>IFERROR(Table73[[#This Row],[United States 10y]]-Table73[[#This Row],[United States 2y]],#N/A)</f>
        <v/>
      </c>
    </row>
    <row r="3030">
      <c r="A3030" s="6">
        <f>Database!A3029</f>
        <v/>
      </c>
      <c r="B3030">
        <f>IF(VLOOKUP(Table73[[#This Row],[Date]],Database!$A:$E,MATCH($B$1,Database!$A$1:$E$1,),)=0,#N/A,VLOOKUP(Table73[[#This Row],[Date]],Database!$A:$E,MATCH($B$1,Database!$A$1:$E$1,),))</f>
        <v/>
      </c>
      <c r="C3030">
        <f>IF(VLOOKUP(Table73[[#This Row],[Date]],Database!$A:$C,MATCH($C$1,Database!$A$1:$C$1,),)=0,#N/A,VLOOKUP(Table73[[#This Row],[Date]],Database!$A:$C,MATCH($C$1,Database!$A$1:$C$1,),))</f>
        <v/>
      </c>
      <c r="D3030">
        <f>IFERROR(Table73[[#This Row],[United States 10y]]-Table73[[#This Row],[United States 2y]],#N/A)</f>
        <v/>
      </c>
    </row>
    <row r="3031">
      <c r="A3031" s="6">
        <f>Database!A3030</f>
        <v/>
      </c>
      <c r="B3031">
        <f>IF(VLOOKUP(Table73[[#This Row],[Date]],Database!$A:$E,MATCH($B$1,Database!$A$1:$E$1,),)=0,#N/A,VLOOKUP(Table73[[#This Row],[Date]],Database!$A:$E,MATCH($B$1,Database!$A$1:$E$1,),))</f>
        <v/>
      </c>
      <c r="C3031">
        <f>IF(VLOOKUP(Table73[[#This Row],[Date]],Database!$A:$C,MATCH($C$1,Database!$A$1:$C$1,),)=0,#N/A,VLOOKUP(Table73[[#This Row],[Date]],Database!$A:$C,MATCH($C$1,Database!$A$1:$C$1,),))</f>
        <v/>
      </c>
      <c r="D3031">
        <f>IFERROR(Table73[[#This Row],[United States 10y]]-Table73[[#This Row],[United States 2y]],#N/A)</f>
        <v/>
      </c>
    </row>
    <row r="3032">
      <c r="A3032" s="6">
        <f>Database!A3031</f>
        <v/>
      </c>
      <c r="B3032">
        <f>IF(VLOOKUP(Table73[[#This Row],[Date]],Database!$A:$E,MATCH($B$1,Database!$A$1:$E$1,),)=0,#N/A,VLOOKUP(Table73[[#This Row],[Date]],Database!$A:$E,MATCH($B$1,Database!$A$1:$E$1,),))</f>
        <v/>
      </c>
      <c r="C3032">
        <f>IF(VLOOKUP(Table73[[#This Row],[Date]],Database!$A:$C,MATCH($C$1,Database!$A$1:$C$1,),)=0,#N/A,VLOOKUP(Table73[[#This Row],[Date]],Database!$A:$C,MATCH($C$1,Database!$A$1:$C$1,),))</f>
        <v/>
      </c>
      <c r="D3032">
        <f>IFERROR(Table73[[#This Row],[United States 10y]]-Table73[[#This Row],[United States 2y]],#N/A)</f>
        <v/>
      </c>
    </row>
    <row r="3033">
      <c r="A3033" s="6">
        <f>Database!A3032</f>
        <v/>
      </c>
      <c r="B3033">
        <f>IF(VLOOKUP(Table73[[#This Row],[Date]],Database!$A:$E,MATCH($B$1,Database!$A$1:$E$1,),)=0,#N/A,VLOOKUP(Table73[[#This Row],[Date]],Database!$A:$E,MATCH($B$1,Database!$A$1:$E$1,),))</f>
        <v/>
      </c>
      <c r="C3033">
        <f>IF(VLOOKUP(Table73[[#This Row],[Date]],Database!$A:$C,MATCH($C$1,Database!$A$1:$C$1,),)=0,#N/A,VLOOKUP(Table73[[#This Row],[Date]],Database!$A:$C,MATCH($C$1,Database!$A$1:$C$1,),))</f>
        <v/>
      </c>
      <c r="D3033">
        <f>IFERROR(Table73[[#This Row],[United States 10y]]-Table73[[#This Row],[United States 2y]],#N/A)</f>
        <v/>
      </c>
    </row>
    <row r="3034">
      <c r="A3034" s="6">
        <f>Database!A3033</f>
        <v/>
      </c>
      <c r="B3034">
        <f>IF(VLOOKUP(Table73[[#This Row],[Date]],Database!$A:$E,MATCH($B$1,Database!$A$1:$E$1,),)=0,#N/A,VLOOKUP(Table73[[#This Row],[Date]],Database!$A:$E,MATCH($B$1,Database!$A$1:$E$1,),))</f>
        <v/>
      </c>
      <c r="C3034">
        <f>IF(VLOOKUP(Table73[[#This Row],[Date]],Database!$A:$C,MATCH($C$1,Database!$A$1:$C$1,),)=0,#N/A,VLOOKUP(Table73[[#This Row],[Date]],Database!$A:$C,MATCH($C$1,Database!$A$1:$C$1,),))</f>
        <v/>
      </c>
      <c r="D3034">
        <f>IFERROR(Table73[[#This Row],[United States 10y]]-Table73[[#This Row],[United States 2y]],#N/A)</f>
        <v/>
      </c>
    </row>
    <row r="3035">
      <c r="A3035" s="6">
        <f>Database!A3034</f>
        <v/>
      </c>
      <c r="B3035">
        <f>IF(VLOOKUP(Table73[[#This Row],[Date]],Database!$A:$E,MATCH($B$1,Database!$A$1:$E$1,),)=0,#N/A,VLOOKUP(Table73[[#This Row],[Date]],Database!$A:$E,MATCH($B$1,Database!$A$1:$E$1,),))</f>
        <v/>
      </c>
      <c r="C3035">
        <f>IF(VLOOKUP(Table73[[#This Row],[Date]],Database!$A:$C,MATCH($C$1,Database!$A$1:$C$1,),)=0,#N/A,VLOOKUP(Table73[[#This Row],[Date]],Database!$A:$C,MATCH($C$1,Database!$A$1:$C$1,),))</f>
        <v/>
      </c>
      <c r="D3035">
        <f>IFERROR(Table73[[#This Row],[United States 10y]]-Table73[[#This Row],[United States 2y]],#N/A)</f>
        <v/>
      </c>
    </row>
    <row r="3036">
      <c r="A3036" s="6">
        <f>Database!A3035</f>
        <v/>
      </c>
      <c r="B3036">
        <f>IF(VLOOKUP(Table73[[#This Row],[Date]],Database!$A:$E,MATCH($B$1,Database!$A$1:$E$1,),)=0,#N/A,VLOOKUP(Table73[[#This Row],[Date]],Database!$A:$E,MATCH($B$1,Database!$A$1:$E$1,),))</f>
        <v/>
      </c>
      <c r="C3036">
        <f>IF(VLOOKUP(Table73[[#This Row],[Date]],Database!$A:$C,MATCH($C$1,Database!$A$1:$C$1,),)=0,#N/A,VLOOKUP(Table73[[#This Row],[Date]],Database!$A:$C,MATCH($C$1,Database!$A$1:$C$1,),))</f>
        <v/>
      </c>
      <c r="D3036">
        <f>IFERROR(Table73[[#This Row],[United States 10y]]-Table73[[#This Row],[United States 2y]],#N/A)</f>
        <v/>
      </c>
    </row>
    <row r="3037">
      <c r="A3037" s="6">
        <f>Database!A3036</f>
        <v/>
      </c>
      <c r="B3037">
        <f>IF(VLOOKUP(Table73[[#This Row],[Date]],Database!$A:$E,MATCH($B$1,Database!$A$1:$E$1,),)=0,#N/A,VLOOKUP(Table73[[#This Row],[Date]],Database!$A:$E,MATCH($B$1,Database!$A$1:$E$1,),))</f>
        <v/>
      </c>
      <c r="C3037">
        <f>IF(VLOOKUP(Table73[[#This Row],[Date]],Database!$A:$C,MATCH($C$1,Database!$A$1:$C$1,),)=0,#N/A,VLOOKUP(Table73[[#This Row],[Date]],Database!$A:$C,MATCH($C$1,Database!$A$1:$C$1,),))</f>
        <v/>
      </c>
      <c r="D3037">
        <f>IFERROR(Table73[[#This Row],[United States 10y]]-Table73[[#This Row],[United States 2y]],#N/A)</f>
        <v/>
      </c>
    </row>
    <row r="3038">
      <c r="A3038" s="6">
        <f>Database!A3037</f>
        <v/>
      </c>
      <c r="B3038">
        <f>IF(VLOOKUP(Table73[[#This Row],[Date]],Database!$A:$E,MATCH($B$1,Database!$A$1:$E$1,),)=0,#N/A,VLOOKUP(Table73[[#This Row],[Date]],Database!$A:$E,MATCH($B$1,Database!$A$1:$E$1,),))</f>
        <v/>
      </c>
      <c r="C3038">
        <f>IF(VLOOKUP(Table73[[#This Row],[Date]],Database!$A:$C,MATCH($C$1,Database!$A$1:$C$1,),)=0,#N/A,VLOOKUP(Table73[[#This Row],[Date]],Database!$A:$C,MATCH($C$1,Database!$A$1:$C$1,),))</f>
        <v/>
      </c>
      <c r="D3038">
        <f>IFERROR(Table73[[#This Row],[United States 10y]]-Table73[[#This Row],[United States 2y]],#N/A)</f>
        <v/>
      </c>
    </row>
    <row r="3039">
      <c r="A3039" s="6">
        <f>Database!A3038</f>
        <v/>
      </c>
      <c r="B3039">
        <f>IF(VLOOKUP(Table73[[#This Row],[Date]],Database!$A:$E,MATCH($B$1,Database!$A$1:$E$1,),)=0,#N/A,VLOOKUP(Table73[[#This Row],[Date]],Database!$A:$E,MATCH($B$1,Database!$A$1:$E$1,),))</f>
        <v/>
      </c>
      <c r="C3039">
        <f>IF(VLOOKUP(Table73[[#This Row],[Date]],Database!$A:$C,MATCH($C$1,Database!$A$1:$C$1,),)=0,#N/A,VLOOKUP(Table73[[#This Row],[Date]],Database!$A:$C,MATCH($C$1,Database!$A$1:$C$1,),))</f>
        <v/>
      </c>
      <c r="D3039">
        <f>IFERROR(Table73[[#This Row],[United States 10y]]-Table73[[#This Row],[United States 2y]],#N/A)</f>
        <v/>
      </c>
    </row>
    <row r="3040">
      <c r="A3040" s="6">
        <f>Database!A3039</f>
        <v/>
      </c>
      <c r="B3040">
        <f>IF(VLOOKUP(Table73[[#This Row],[Date]],Database!$A:$E,MATCH($B$1,Database!$A$1:$E$1,),)=0,#N/A,VLOOKUP(Table73[[#This Row],[Date]],Database!$A:$E,MATCH($B$1,Database!$A$1:$E$1,),))</f>
        <v/>
      </c>
      <c r="C3040">
        <f>IF(VLOOKUP(Table73[[#This Row],[Date]],Database!$A:$C,MATCH($C$1,Database!$A$1:$C$1,),)=0,#N/A,VLOOKUP(Table73[[#This Row],[Date]],Database!$A:$C,MATCH($C$1,Database!$A$1:$C$1,),))</f>
        <v/>
      </c>
      <c r="D3040">
        <f>IFERROR(Table73[[#This Row],[United States 10y]]-Table73[[#This Row],[United States 2y]],#N/A)</f>
        <v/>
      </c>
    </row>
    <row r="3041">
      <c r="A3041" s="6">
        <f>Database!A3040</f>
        <v/>
      </c>
      <c r="B3041">
        <f>IF(VLOOKUP(Table73[[#This Row],[Date]],Database!$A:$E,MATCH($B$1,Database!$A$1:$E$1,),)=0,#N/A,VLOOKUP(Table73[[#This Row],[Date]],Database!$A:$E,MATCH($B$1,Database!$A$1:$E$1,),))</f>
        <v/>
      </c>
      <c r="C3041">
        <f>IF(VLOOKUP(Table73[[#This Row],[Date]],Database!$A:$C,MATCH($C$1,Database!$A$1:$C$1,),)=0,#N/A,VLOOKUP(Table73[[#This Row],[Date]],Database!$A:$C,MATCH($C$1,Database!$A$1:$C$1,),))</f>
        <v/>
      </c>
      <c r="D3041">
        <f>IFERROR(Table73[[#This Row],[United States 10y]]-Table73[[#This Row],[United States 2y]],#N/A)</f>
        <v/>
      </c>
    </row>
    <row r="3042">
      <c r="A3042" s="6">
        <f>Database!A3041</f>
        <v/>
      </c>
      <c r="B3042">
        <f>IF(VLOOKUP(Table73[[#This Row],[Date]],Database!$A:$E,MATCH($B$1,Database!$A$1:$E$1,),)=0,#N/A,VLOOKUP(Table73[[#This Row],[Date]],Database!$A:$E,MATCH($B$1,Database!$A$1:$E$1,),))</f>
        <v/>
      </c>
      <c r="C3042">
        <f>IF(VLOOKUP(Table73[[#This Row],[Date]],Database!$A:$C,MATCH($C$1,Database!$A$1:$C$1,),)=0,#N/A,VLOOKUP(Table73[[#This Row],[Date]],Database!$A:$C,MATCH($C$1,Database!$A$1:$C$1,),))</f>
        <v/>
      </c>
      <c r="D3042">
        <f>IFERROR(Table73[[#This Row],[United States 10y]]-Table73[[#This Row],[United States 2y]],#N/A)</f>
        <v/>
      </c>
    </row>
    <row r="3043">
      <c r="A3043" s="6">
        <f>Database!A3042</f>
        <v/>
      </c>
      <c r="B3043">
        <f>IF(VLOOKUP(Table73[[#This Row],[Date]],Database!$A:$E,MATCH($B$1,Database!$A$1:$E$1,),)=0,#N/A,VLOOKUP(Table73[[#This Row],[Date]],Database!$A:$E,MATCH($B$1,Database!$A$1:$E$1,),))</f>
        <v/>
      </c>
      <c r="C3043">
        <f>IF(VLOOKUP(Table73[[#This Row],[Date]],Database!$A:$C,MATCH($C$1,Database!$A$1:$C$1,),)=0,#N/A,VLOOKUP(Table73[[#This Row],[Date]],Database!$A:$C,MATCH($C$1,Database!$A$1:$C$1,),))</f>
        <v/>
      </c>
      <c r="D3043">
        <f>IFERROR(Table73[[#This Row],[United States 10y]]-Table73[[#This Row],[United States 2y]],#N/A)</f>
        <v/>
      </c>
    </row>
    <row r="3044">
      <c r="A3044" s="6">
        <f>Database!A3043</f>
        <v/>
      </c>
      <c r="B3044">
        <f>IF(VLOOKUP(Table73[[#This Row],[Date]],Database!$A:$E,MATCH($B$1,Database!$A$1:$E$1,),)=0,#N/A,VLOOKUP(Table73[[#This Row],[Date]],Database!$A:$E,MATCH($B$1,Database!$A$1:$E$1,),))</f>
        <v/>
      </c>
      <c r="C3044">
        <f>IF(VLOOKUP(Table73[[#This Row],[Date]],Database!$A:$C,MATCH($C$1,Database!$A$1:$C$1,),)=0,#N/A,VLOOKUP(Table73[[#This Row],[Date]],Database!$A:$C,MATCH($C$1,Database!$A$1:$C$1,),))</f>
        <v/>
      </c>
      <c r="D3044">
        <f>IFERROR(Table73[[#This Row],[United States 10y]]-Table73[[#This Row],[United States 2y]],#N/A)</f>
        <v/>
      </c>
    </row>
    <row r="3045">
      <c r="A3045" s="6">
        <f>Database!A3044</f>
        <v/>
      </c>
      <c r="B3045">
        <f>IF(VLOOKUP(Table73[[#This Row],[Date]],Database!$A:$E,MATCH($B$1,Database!$A$1:$E$1,),)=0,#N/A,VLOOKUP(Table73[[#This Row],[Date]],Database!$A:$E,MATCH($B$1,Database!$A$1:$E$1,),))</f>
        <v/>
      </c>
      <c r="C3045">
        <f>IF(VLOOKUP(Table73[[#This Row],[Date]],Database!$A:$C,MATCH($C$1,Database!$A$1:$C$1,),)=0,#N/A,VLOOKUP(Table73[[#This Row],[Date]],Database!$A:$C,MATCH($C$1,Database!$A$1:$C$1,),))</f>
        <v/>
      </c>
      <c r="D3045">
        <f>IFERROR(Table73[[#This Row],[United States 10y]]-Table73[[#This Row],[United States 2y]],#N/A)</f>
        <v/>
      </c>
    </row>
    <row r="3046">
      <c r="A3046" s="6">
        <f>Database!A3045</f>
        <v/>
      </c>
      <c r="B3046">
        <f>IF(VLOOKUP(Table73[[#This Row],[Date]],Database!$A:$E,MATCH($B$1,Database!$A$1:$E$1,),)=0,#N/A,VLOOKUP(Table73[[#This Row],[Date]],Database!$A:$E,MATCH($B$1,Database!$A$1:$E$1,),))</f>
        <v/>
      </c>
      <c r="C3046">
        <f>IF(VLOOKUP(Table73[[#This Row],[Date]],Database!$A:$C,MATCH($C$1,Database!$A$1:$C$1,),)=0,#N/A,VLOOKUP(Table73[[#This Row],[Date]],Database!$A:$C,MATCH($C$1,Database!$A$1:$C$1,),))</f>
        <v/>
      </c>
      <c r="D3046">
        <f>IFERROR(Table73[[#This Row],[United States 10y]]-Table73[[#This Row],[United States 2y]],#N/A)</f>
        <v/>
      </c>
    </row>
    <row r="3047">
      <c r="A3047" s="6">
        <f>Database!A3046</f>
        <v/>
      </c>
      <c r="B3047">
        <f>IF(VLOOKUP(Table73[[#This Row],[Date]],Database!$A:$E,MATCH($B$1,Database!$A$1:$E$1,),)=0,#N/A,VLOOKUP(Table73[[#This Row],[Date]],Database!$A:$E,MATCH($B$1,Database!$A$1:$E$1,),))</f>
        <v/>
      </c>
      <c r="C3047">
        <f>IF(VLOOKUP(Table73[[#This Row],[Date]],Database!$A:$C,MATCH($C$1,Database!$A$1:$C$1,),)=0,#N/A,VLOOKUP(Table73[[#This Row],[Date]],Database!$A:$C,MATCH($C$1,Database!$A$1:$C$1,),))</f>
        <v/>
      </c>
      <c r="D3047">
        <f>IFERROR(Table73[[#This Row],[United States 10y]]-Table73[[#This Row],[United States 2y]],#N/A)</f>
        <v/>
      </c>
    </row>
    <row r="3048">
      <c r="A3048" s="6">
        <f>Database!A3047</f>
        <v/>
      </c>
      <c r="B3048">
        <f>IF(VLOOKUP(Table73[[#This Row],[Date]],Database!$A:$E,MATCH($B$1,Database!$A$1:$E$1,),)=0,#N/A,VLOOKUP(Table73[[#This Row],[Date]],Database!$A:$E,MATCH($B$1,Database!$A$1:$E$1,),))</f>
        <v/>
      </c>
      <c r="C3048">
        <f>IF(VLOOKUP(Table73[[#This Row],[Date]],Database!$A:$C,MATCH($C$1,Database!$A$1:$C$1,),)=0,#N/A,VLOOKUP(Table73[[#This Row],[Date]],Database!$A:$C,MATCH($C$1,Database!$A$1:$C$1,),))</f>
        <v/>
      </c>
      <c r="D3048">
        <f>IFERROR(Table73[[#This Row],[United States 10y]]-Table73[[#This Row],[United States 2y]],#N/A)</f>
        <v/>
      </c>
    </row>
    <row r="3049">
      <c r="A3049" s="6">
        <f>Database!A3048</f>
        <v/>
      </c>
      <c r="B3049">
        <f>IF(VLOOKUP(Table73[[#This Row],[Date]],Database!$A:$E,MATCH($B$1,Database!$A$1:$E$1,),)=0,#N/A,VLOOKUP(Table73[[#This Row],[Date]],Database!$A:$E,MATCH($B$1,Database!$A$1:$E$1,),))</f>
        <v/>
      </c>
      <c r="C3049">
        <f>IF(VLOOKUP(Table73[[#This Row],[Date]],Database!$A:$C,MATCH($C$1,Database!$A$1:$C$1,),)=0,#N/A,VLOOKUP(Table73[[#This Row],[Date]],Database!$A:$C,MATCH($C$1,Database!$A$1:$C$1,),))</f>
        <v/>
      </c>
      <c r="D3049">
        <f>IFERROR(Table73[[#This Row],[United States 10y]]-Table73[[#This Row],[United States 2y]],#N/A)</f>
        <v/>
      </c>
    </row>
    <row r="3050">
      <c r="A3050" s="6">
        <f>Database!A3049</f>
        <v/>
      </c>
      <c r="B3050">
        <f>IF(VLOOKUP(Table73[[#This Row],[Date]],Database!$A:$E,MATCH($B$1,Database!$A$1:$E$1,),)=0,#N/A,VLOOKUP(Table73[[#This Row],[Date]],Database!$A:$E,MATCH($B$1,Database!$A$1:$E$1,),))</f>
        <v/>
      </c>
      <c r="C3050">
        <f>IF(VLOOKUP(Table73[[#This Row],[Date]],Database!$A:$C,MATCH($C$1,Database!$A$1:$C$1,),)=0,#N/A,VLOOKUP(Table73[[#This Row],[Date]],Database!$A:$C,MATCH($C$1,Database!$A$1:$C$1,),))</f>
        <v/>
      </c>
      <c r="D3050">
        <f>IFERROR(Table73[[#This Row],[United States 10y]]-Table73[[#This Row],[United States 2y]],#N/A)</f>
        <v/>
      </c>
    </row>
    <row r="3051">
      <c r="A3051" s="6">
        <f>Database!A3050</f>
        <v/>
      </c>
      <c r="B3051">
        <f>IF(VLOOKUP(Table73[[#This Row],[Date]],Database!$A:$E,MATCH($B$1,Database!$A$1:$E$1,),)=0,#N/A,VLOOKUP(Table73[[#This Row],[Date]],Database!$A:$E,MATCH($B$1,Database!$A$1:$E$1,),))</f>
        <v/>
      </c>
      <c r="C3051">
        <f>IF(VLOOKUP(Table73[[#This Row],[Date]],Database!$A:$C,MATCH($C$1,Database!$A$1:$C$1,),)=0,#N/A,VLOOKUP(Table73[[#This Row],[Date]],Database!$A:$C,MATCH($C$1,Database!$A$1:$C$1,),))</f>
        <v/>
      </c>
      <c r="D3051">
        <f>IFERROR(Table73[[#This Row],[United States 10y]]-Table73[[#This Row],[United States 2y]],#N/A)</f>
        <v/>
      </c>
    </row>
    <row r="3052">
      <c r="A3052" s="6">
        <f>Database!A3051</f>
        <v/>
      </c>
      <c r="B3052">
        <f>IF(VLOOKUP(Table73[[#This Row],[Date]],Database!$A:$E,MATCH($B$1,Database!$A$1:$E$1,),)=0,#N/A,VLOOKUP(Table73[[#This Row],[Date]],Database!$A:$E,MATCH($B$1,Database!$A$1:$E$1,),))</f>
        <v/>
      </c>
      <c r="C3052">
        <f>IF(VLOOKUP(Table73[[#This Row],[Date]],Database!$A:$C,MATCH($C$1,Database!$A$1:$C$1,),)=0,#N/A,VLOOKUP(Table73[[#This Row],[Date]],Database!$A:$C,MATCH($C$1,Database!$A$1:$C$1,),))</f>
        <v/>
      </c>
      <c r="D3052">
        <f>IFERROR(Table73[[#This Row],[United States 10y]]-Table73[[#This Row],[United States 2y]],#N/A)</f>
        <v/>
      </c>
    </row>
    <row r="3053">
      <c r="A3053" s="6">
        <f>Database!A3052</f>
        <v/>
      </c>
      <c r="B3053">
        <f>IF(VLOOKUP(Table73[[#This Row],[Date]],Database!$A:$E,MATCH($B$1,Database!$A$1:$E$1,),)=0,#N/A,VLOOKUP(Table73[[#This Row],[Date]],Database!$A:$E,MATCH($B$1,Database!$A$1:$E$1,),))</f>
        <v/>
      </c>
      <c r="C3053">
        <f>IF(VLOOKUP(Table73[[#This Row],[Date]],Database!$A:$C,MATCH($C$1,Database!$A$1:$C$1,),)=0,#N/A,VLOOKUP(Table73[[#This Row],[Date]],Database!$A:$C,MATCH($C$1,Database!$A$1:$C$1,),))</f>
        <v/>
      </c>
      <c r="D3053">
        <f>IFERROR(Table73[[#This Row],[United States 10y]]-Table73[[#This Row],[United States 2y]],#N/A)</f>
        <v/>
      </c>
    </row>
    <row r="3054">
      <c r="A3054" s="6">
        <f>Database!A3053</f>
        <v/>
      </c>
      <c r="B3054">
        <f>IF(VLOOKUP(Table73[[#This Row],[Date]],Database!$A:$E,MATCH($B$1,Database!$A$1:$E$1,),)=0,#N/A,VLOOKUP(Table73[[#This Row],[Date]],Database!$A:$E,MATCH($B$1,Database!$A$1:$E$1,),))</f>
        <v/>
      </c>
      <c r="C3054">
        <f>IF(VLOOKUP(Table73[[#This Row],[Date]],Database!$A:$C,MATCH($C$1,Database!$A$1:$C$1,),)=0,#N/A,VLOOKUP(Table73[[#This Row],[Date]],Database!$A:$C,MATCH($C$1,Database!$A$1:$C$1,),))</f>
        <v/>
      </c>
      <c r="D3054">
        <f>IFERROR(Table73[[#This Row],[United States 10y]]-Table73[[#This Row],[United States 2y]],#N/A)</f>
        <v/>
      </c>
    </row>
    <row r="3055">
      <c r="A3055" s="6">
        <f>Database!A3054</f>
        <v/>
      </c>
      <c r="B3055">
        <f>IF(VLOOKUP(Table73[[#This Row],[Date]],Database!$A:$E,MATCH($B$1,Database!$A$1:$E$1,),)=0,#N/A,VLOOKUP(Table73[[#This Row],[Date]],Database!$A:$E,MATCH($B$1,Database!$A$1:$E$1,),))</f>
        <v/>
      </c>
      <c r="C3055">
        <f>IF(VLOOKUP(Table73[[#This Row],[Date]],Database!$A:$C,MATCH($C$1,Database!$A$1:$C$1,),)=0,#N/A,VLOOKUP(Table73[[#This Row],[Date]],Database!$A:$C,MATCH($C$1,Database!$A$1:$C$1,),))</f>
        <v/>
      </c>
      <c r="D3055">
        <f>IFERROR(Table73[[#This Row],[United States 10y]]-Table73[[#This Row],[United States 2y]],#N/A)</f>
        <v/>
      </c>
    </row>
    <row r="3056">
      <c r="A3056" s="6">
        <f>Database!A3055</f>
        <v/>
      </c>
      <c r="B3056">
        <f>IF(VLOOKUP(Table73[[#This Row],[Date]],Database!$A:$E,MATCH($B$1,Database!$A$1:$E$1,),)=0,#N/A,VLOOKUP(Table73[[#This Row],[Date]],Database!$A:$E,MATCH($B$1,Database!$A$1:$E$1,),))</f>
        <v/>
      </c>
      <c r="C3056">
        <f>IF(VLOOKUP(Table73[[#This Row],[Date]],Database!$A:$C,MATCH($C$1,Database!$A$1:$C$1,),)=0,#N/A,VLOOKUP(Table73[[#This Row],[Date]],Database!$A:$C,MATCH($C$1,Database!$A$1:$C$1,),))</f>
        <v/>
      </c>
      <c r="D3056">
        <f>IFERROR(Table73[[#This Row],[United States 10y]]-Table73[[#This Row],[United States 2y]],#N/A)</f>
        <v/>
      </c>
    </row>
    <row r="3057">
      <c r="A3057" s="6">
        <f>Database!A3056</f>
        <v/>
      </c>
      <c r="B3057">
        <f>IF(VLOOKUP(Table73[[#This Row],[Date]],Database!$A:$E,MATCH($B$1,Database!$A$1:$E$1,),)=0,#N/A,VLOOKUP(Table73[[#This Row],[Date]],Database!$A:$E,MATCH($B$1,Database!$A$1:$E$1,),))</f>
        <v/>
      </c>
      <c r="C3057">
        <f>IF(VLOOKUP(Table73[[#This Row],[Date]],Database!$A:$C,MATCH($C$1,Database!$A$1:$C$1,),)=0,#N/A,VLOOKUP(Table73[[#This Row],[Date]],Database!$A:$C,MATCH($C$1,Database!$A$1:$C$1,),))</f>
        <v/>
      </c>
      <c r="D3057">
        <f>IFERROR(Table73[[#This Row],[United States 10y]]-Table73[[#This Row],[United States 2y]],#N/A)</f>
        <v/>
      </c>
    </row>
    <row r="3058">
      <c r="A3058" s="6">
        <f>Database!A3057</f>
        <v/>
      </c>
      <c r="B3058">
        <f>IF(VLOOKUP(Table73[[#This Row],[Date]],Database!$A:$E,MATCH($B$1,Database!$A$1:$E$1,),)=0,#N/A,VLOOKUP(Table73[[#This Row],[Date]],Database!$A:$E,MATCH($B$1,Database!$A$1:$E$1,),))</f>
        <v/>
      </c>
      <c r="C3058">
        <f>IF(VLOOKUP(Table73[[#This Row],[Date]],Database!$A:$C,MATCH($C$1,Database!$A$1:$C$1,),)=0,#N/A,VLOOKUP(Table73[[#This Row],[Date]],Database!$A:$C,MATCH($C$1,Database!$A$1:$C$1,),))</f>
        <v/>
      </c>
      <c r="D3058">
        <f>IFERROR(Table73[[#This Row],[United States 10y]]-Table73[[#This Row],[United States 2y]],#N/A)</f>
        <v/>
      </c>
    </row>
    <row r="3059">
      <c r="A3059" s="6">
        <f>Database!A3058</f>
        <v/>
      </c>
      <c r="B3059">
        <f>IF(VLOOKUP(Table73[[#This Row],[Date]],Database!$A:$E,MATCH($B$1,Database!$A$1:$E$1,),)=0,#N/A,VLOOKUP(Table73[[#This Row],[Date]],Database!$A:$E,MATCH($B$1,Database!$A$1:$E$1,),))</f>
        <v/>
      </c>
      <c r="C3059">
        <f>IF(VLOOKUP(Table73[[#This Row],[Date]],Database!$A:$C,MATCH($C$1,Database!$A$1:$C$1,),)=0,#N/A,VLOOKUP(Table73[[#This Row],[Date]],Database!$A:$C,MATCH($C$1,Database!$A$1:$C$1,),))</f>
        <v/>
      </c>
      <c r="D3059">
        <f>IFERROR(Table73[[#This Row],[United States 10y]]-Table73[[#This Row],[United States 2y]],#N/A)</f>
        <v/>
      </c>
    </row>
    <row r="3060">
      <c r="A3060" s="6">
        <f>Database!A3059</f>
        <v/>
      </c>
      <c r="B3060">
        <f>IF(VLOOKUP(Table73[[#This Row],[Date]],Database!$A:$E,MATCH($B$1,Database!$A$1:$E$1,),)=0,#N/A,VLOOKUP(Table73[[#This Row],[Date]],Database!$A:$E,MATCH($B$1,Database!$A$1:$E$1,),))</f>
        <v/>
      </c>
      <c r="C3060">
        <f>IF(VLOOKUP(Table73[[#This Row],[Date]],Database!$A:$C,MATCH($C$1,Database!$A$1:$C$1,),)=0,#N/A,VLOOKUP(Table73[[#This Row],[Date]],Database!$A:$C,MATCH($C$1,Database!$A$1:$C$1,),))</f>
        <v/>
      </c>
      <c r="D3060">
        <f>IFERROR(Table73[[#This Row],[United States 10y]]-Table73[[#This Row],[United States 2y]],#N/A)</f>
        <v/>
      </c>
    </row>
    <row r="3061">
      <c r="A3061" s="6">
        <f>Database!A3060</f>
        <v/>
      </c>
      <c r="B3061">
        <f>IF(VLOOKUP(Table73[[#This Row],[Date]],Database!$A:$E,MATCH($B$1,Database!$A$1:$E$1,),)=0,#N/A,VLOOKUP(Table73[[#This Row],[Date]],Database!$A:$E,MATCH($B$1,Database!$A$1:$E$1,),))</f>
        <v/>
      </c>
      <c r="C3061">
        <f>IF(VLOOKUP(Table73[[#This Row],[Date]],Database!$A:$C,MATCH($C$1,Database!$A$1:$C$1,),)=0,#N/A,VLOOKUP(Table73[[#This Row],[Date]],Database!$A:$C,MATCH($C$1,Database!$A$1:$C$1,),))</f>
        <v/>
      </c>
      <c r="D3061">
        <f>IFERROR(Table73[[#This Row],[United States 10y]]-Table73[[#This Row],[United States 2y]],#N/A)</f>
        <v/>
      </c>
    </row>
    <row r="3062">
      <c r="A3062" s="6">
        <f>Database!A3061</f>
        <v/>
      </c>
      <c r="B3062">
        <f>IF(VLOOKUP(Table73[[#This Row],[Date]],Database!$A:$E,MATCH($B$1,Database!$A$1:$E$1,),)=0,#N/A,VLOOKUP(Table73[[#This Row],[Date]],Database!$A:$E,MATCH($B$1,Database!$A$1:$E$1,),))</f>
        <v/>
      </c>
      <c r="C3062">
        <f>IF(VLOOKUP(Table73[[#This Row],[Date]],Database!$A:$C,MATCH($C$1,Database!$A$1:$C$1,),)=0,#N/A,VLOOKUP(Table73[[#This Row],[Date]],Database!$A:$C,MATCH($C$1,Database!$A$1:$C$1,),))</f>
        <v/>
      </c>
      <c r="D3062">
        <f>IFERROR(Table73[[#This Row],[United States 10y]]-Table73[[#This Row],[United States 2y]],#N/A)</f>
        <v/>
      </c>
    </row>
    <row r="3063">
      <c r="A3063" s="6">
        <f>Database!A3062</f>
        <v/>
      </c>
      <c r="B3063">
        <f>IF(VLOOKUP(Table73[[#This Row],[Date]],Database!$A:$E,MATCH($B$1,Database!$A$1:$E$1,),)=0,#N/A,VLOOKUP(Table73[[#This Row],[Date]],Database!$A:$E,MATCH($B$1,Database!$A$1:$E$1,),))</f>
        <v/>
      </c>
      <c r="C3063">
        <f>IF(VLOOKUP(Table73[[#This Row],[Date]],Database!$A:$C,MATCH($C$1,Database!$A$1:$C$1,),)=0,#N/A,VLOOKUP(Table73[[#This Row],[Date]],Database!$A:$C,MATCH($C$1,Database!$A$1:$C$1,),))</f>
        <v/>
      </c>
      <c r="D3063">
        <f>IFERROR(Table73[[#This Row],[United States 10y]]-Table73[[#This Row],[United States 2y]],#N/A)</f>
        <v/>
      </c>
    </row>
    <row r="3064">
      <c r="A3064" s="6">
        <f>Database!A3063</f>
        <v/>
      </c>
      <c r="B3064">
        <f>IF(VLOOKUP(Table73[[#This Row],[Date]],Database!$A:$E,MATCH($B$1,Database!$A$1:$E$1,),)=0,#N/A,VLOOKUP(Table73[[#This Row],[Date]],Database!$A:$E,MATCH($B$1,Database!$A$1:$E$1,),))</f>
        <v/>
      </c>
      <c r="C3064">
        <f>IF(VLOOKUP(Table73[[#This Row],[Date]],Database!$A:$C,MATCH($C$1,Database!$A$1:$C$1,),)=0,#N/A,VLOOKUP(Table73[[#This Row],[Date]],Database!$A:$C,MATCH($C$1,Database!$A$1:$C$1,),))</f>
        <v/>
      </c>
      <c r="D3064">
        <f>IFERROR(Table73[[#This Row],[United States 10y]]-Table73[[#This Row],[United States 2y]],#N/A)</f>
        <v/>
      </c>
    </row>
    <row r="3065">
      <c r="A3065" s="6">
        <f>Database!A3064</f>
        <v/>
      </c>
      <c r="B3065">
        <f>IF(VLOOKUP(Table73[[#This Row],[Date]],Database!$A:$E,MATCH($B$1,Database!$A$1:$E$1,),)=0,#N/A,VLOOKUP(Table73[[#This Row],[Date]],Database!$A:$E,MATCH($B$1,Database!$A$1:$E$1,),))</f>
        <v/>
      </c>
      <c r="C3065">
        <f>IF(VLOOKUP(Table73[[#This Row],[Date]],Database!$A:$C,MATCH($C$1,Database!$A$1:$C$1,),)=0,#N/A,VLOOKUP(Table73[[#This Row],[Date]],Database!$A:$C,MATCH($C$1,Database!$A$1:$C$1,),))</f>
        <v/>
      </c>
      <c r="D3065">
        <f>IFERROR(Table73[[#This Row],[United States 10y]]-Table73[[#This Row],[United States 2y]],#N/A)</f>
        <v/>
      </c>
    </row>
    <row r="3066">
      <c r="A3066" s="6">
        <f>Database!A3065</f>
        <v/>
      </c>
      <c r="B3066">
        <f>IF(VLOOKUP(Table73[[#This Row],[Date]],Database!$A:$E,MATCH($B$1,Database!$A$1:$E$1,),)=0,#N/A,VLOOKUP(Table73[[#This Row],[Date]],Database!$A:$E,MATCH($B$1,Database!$A$1:$E$1,),))</f>
        <v/>
      </c>
      <c r="C3066">
        <f>IF(VLOOKUP(Table73[[#This Row],[Date]],Database!$A:$C,MATCH($C$1,Database!$A$1:$C$1,),)=0,#N/A,VLOOKUP(Table73[[#This Row],[Date]],Database!$A:$C,MATCH($C$1,Database!$A$1:$C$1,),))</f>
        <v/>
      </c>
      <c r="D3066">
        <f>IFERROR(Table73[[#This Row],[United States 10y]]-Table73[[#This Row],[United States 2y]],#N/A)</f>
        <v/>
      </c>
    </row>
    <row r="3067">
      <c r="A3067" s="6">
        <f>Database!A3066</f>
        <v/>
      </c>
      <c r="B3067">
        <f>IF(VLOOKUP(Table73[[#This Row],[Date]],Database!$A:$E,MATCH($B$1,Database!$A$1:$E$1,),)=0,#N/A,VLOOKUP(Table73[[#This Row],[Date]],Database!$A:$E,MATCH($B$1,Database!$A$1:$E$1,),))</f>
        <v/>
      </c>
      <c r="C3067">
        <f>IF(VLOOKUP(Table73[[#This Row],[Date]],Database!$A:$C,MATCH($C$1,Database!$A$1:$C$1,),)=0,#N/A,VLOOKUP(Table73[[#This Row],[Date]],Database!$A:$C,MATCH($C$1,Database!$A$1:$C$1,),))</f>
        <v/>
      </c>
      <c r="D3067">
        <f>IFERROR(Table73[[#This Row],[United States 10y]]-Table73[[#This Row],[United States 2y]],#N/A)</f>
        <v/>
      </c>
    </row>
    <row r="3068">
      <c r="A3068" s="6">
        <f>Database!A3067</f>
        <v/>
      </c>
      <c r="B3068">
        <f>IF(VLOOKUP(Table73[[#This Row],[Date]],Database!$A:$E,MATCH($B$1,Database!$A$1:$E$1,),)=0,#N/A,VLOOKUP(Table73[[#This Row],[Date]],Database!$A:$E,MATCH($B$1,Database!$A$1:$E$1,),))</f>
        <v/>
      </c>
      <c r="C3068">
        <f>IF(VLOOKUP(Table73[[#This Row],[Date]],Database!$A:$C,MATCH($C$1,Database!$A$1:$C$1,),)=0,#N/A,VLOOKUP(Table73[[#This Row],[Date]],Database!$A:$C,MATCH($C$1,Database!$A$1:$C$1,),))</f>
        <v/>
      </c>
      <c r="D3068">
        <f>IFERROR(Table73[[#This Row],[United States 10y]]-Table73[[#This Row],[United States 2y]],#N/A)</f>
        <v/>
      </c>
    </row>
    <row r="3069">
      <c r="A3069" s="6">
        <f>Database!A3068</f>
        <v/>
      </c>
      <c r="B3069">
        <f>IF(VLOOKUP(Table73[[#This Row],[Date]],Database!$A:$E,MATCH($B$1,Database!$A$1:$E$1,),)=0,#N/A,VLOOKUP(Table73[[#This Row],[Date]],Database!$A:$E,MATCH($B$1,Database!$A$1:$E$1,),))</f>
        <v/>
      </c>
      <c r="C3069">
        <f>IF(VLOOKUP(Table73[[#This Row],[Date]],Database!$A:$C,MATCH($C$1,Database!$A$1:$C$1,),)=0,#N/A,VLOOKUP(Table73[[#This Row],[Date]],Database!$A:$C,MATCH($C$1,Database!$A$1:$C$1,),))</f>
        <v/>
      </c>
      <c r="D3069">
        <f>IFERROR(Table73[[#This Row],[United States 10y]]-Table73[[#This Row],[United States 2y]],#N/A)</f>
        <v/>
      </c>
    </row>
    <row r="3070">
      <c r="A3070" s="6">
        <f>Database!A3069</f>
        <v/>
      </c>
      <c r="B3070">
        <f>IF(VLOOKUP(Table73[[#This Row],[Date]],Database!$A:$E,MATCH($B$1,Database!$A$1:$E$1,),)=0,#N/A,VLOOKUP(Table73[[#This Row],[Date]],Database!$A:$E,MATCH($B$1,Database!$A$1:$E$1,),))</f>
        <v/>
      </c>
      <c r="C3070">
        <f>IF(VLOOKUP(Table73[[#This Row],[Date]],Database!$A:$C,MATCH($C$1,Database!$A$1:$C$1,),)=0,#N/A,VLOOKUP(Table73[[#This Row],[Date]],Database!$A:$C,MATCH($C$1,Database!$A$1:$C$1,),))</f>
        <v/>
      </c>
      <c r="D3070">
        <f>IFERROR(Table73[[#This Row],[United States 10y]]-Table73[[#This Row],[United States 2y]],#N/A)</f>
        <v/>
      </c>
    </row>
    <row r="3071">
      <c r="A3071" s="6">
        <f>Database!A3070</f>
        <v/>
      </c>
      <c r="B3071">
        <f>IF(VLOOKUP(Table73[[#This Row],[Date]],Database!$A:$E,MATCH($B$1,Database!$A$1:$E$1,),)=0,#N/A,VLOOKUP(Table73[[#This Row],[Date]],Database!$A:$E,MATCH($B$1,Database!$A$1:$E$1,),))</f>
        <v/>
      </c>
      <c r="C3071">
        <f>IF(VLOOKUP(Table73[[#This Row],[Date]],Database!$A:$C,MATCH($C$1,Database!$A$1:$C$1,),)=0,#N/A,VLOOKUP(Table73[[#This Row],[Date]],Database!$A:$C,MATCH($C$1,Database!$A$1:$C$1,),))</f>
        <v/>
      </c>
      <c r="D3071">
        <f>IFERROR(Table73[[#This Row],[United States 10y]]-Table73[[#This Row],[United States 2y]],#N/A)</f>
        <v/>
      </c>
    </row>
    <row r="3072">
      <c r="A3072" s="6">
        <f>Database!A3071</f>
        <v/>
      </c>
      <c r="B3072">
        <f>IF(VLOOKUP(Table73[[#This Row],[Date]],Database!$A:$E,MATCH($B$1,Database!$A$1:$E$1,),)=0,#N/A,VLOOKUP(Table73[[#This Row],[Date]],Database!$A:$E,MATCH($B$1,Database!$A$1:$E$1,),))</f>
        <v/>
      </c>
      <c r="C3072">
        <f>IF(VLOOKUP(Table73[[#This Row],[Date]],Database!$A:$C,MATCH($C$1,Database!$A$1:$C$1,),)=0,#N/A,VLOOKUP(Table73[[#This Row],[Date]],Database!$A:$C,MATCH($C$1,Database!$A$1:$C$1,),))</f>
        <v/>
      </c>
      <c r="D3072">
        <f>IFERROR(Table73[[#This Row],[United States 10y]]-Table73[[#This Row],[United States 2y]],#N/A)</f>
        <v/>
      </c>
    </row>
    <row r="3073">
      <c r="A3073" s="6">
        <f>Database!A3072</f>
        <v/>
      </c>
      <c r="B3073">
        <f>IF(VLOOKUP(Table73[[#This Row],[Date]],Database!$A:$E,MATCH($B$1,Database!$A$1:$E$1,),)=0,#N/A,VLOOKUP(Table73[[#This Row],[Date]],Database!$A:$E,MATCH($B$1,Database!$A$1:$E$1,),))</f>
        <v/>
      </c>
      <c r="C3073">
        <f>IF(VLOOKUP(Table73[[#This Row],[Date]],Database!$A:$C,MATCH($C$1,Database!$A$1:$C$1,),)=0,#N/A,VLOOKUP(Table73[[#This Row],[Date]],Database!$A:$C,MATCH($C$1,Database!$A$1:$C$1,),))</f>
        <v/>
      </c>
      <c r="D3073">
        <f>IFERROR(Table73[[#This Row],[United States 10y]]-Table73[[#This Row],[United States 2y]],#N/A)</f>
        <v/>
      </c>
    </row>
    <row r="3074">
      <c r="A3074" s="6">
        <f>Database!A3073</f>
        <v/>
      </c>
      <c r="B3074">
        <f>IF(VLOOKUP(Table73[[#This Row],[Date]],Database!$A:$E,MATCH($B$1,Database!$A$1:$E$1,),)=0,#N/A,VLOOKUP(Table73[[#This Row],[Date]],Database!$A:$E,MATCH($B$1,Database!$A$1:$E$1,),))</f>
        <v/>
      </c>
      <c r="C3074">
        <f>IF(VLOOKUP(Table73[[#This Row],[Date]],Database!$A:$C,MATCH($C$1,Database!$A$1:$C$1,),)=0,#N/A,VLOOKUP(Table73[[#This Row],[Date]],Database!$A:$C,MATCH($C$1,Database!$A$1:$C$1,),))</f>
        <v/>
      </c>
      <c r="D3074">
        <f>IFERROR(Table73[[#This Row],[United States 10y]]-Table73[[#This Row],[United States 2y]],#N/A)</f>
        <v/>
      </c>
    </row>
    <row r="3075">
      <c r="A3075" s="6">
        <f>Database!A3074</f>
        <v/>
      </c>
      <c r="B3075">
        <f>IF(VLOOKUP(Table73[[#This Row],[Date]],Database!$A:$E,MATCH($B$1,Database!$A$1:$E$1,),)=0,#N/A,VLOOKUP(Table73[[#This Row],[Date]],Database!$A:$E,MATCH($B$1,Database!$A$1:$E$1,),))</f>
        <v/>
      </c>
      <c r="C3075">
        <f>IF(VLOOKUP(Table73[[#This Row],[Date]],Database!$A:$C,MATCH($C$1,Database!$A$1:$C$1,),)=0,#N/A,VLOOKUP(Table73[[#This Row],[Date]],Database!$A:$C,MATCH($C$1,Database!$A$1:$C$1,),))</f>
        <v/>
      </c>
      <c r="D3075">
        <f>IFERROR(Table73[[#This Row],[United States 10y]]-Table73[[#This Row],[United States 2y]],#N/A)</f>
        <v/>
      </c>
    </row>
    <row r="3076">
      <c r="A3076" s="6">
        <f>Database!A3075</f>
        <v/>
      </c>
      <c r="B3076">
        <f>IF(VLOOKUP(Table73[[#This Row],[Date]],Database!$A:$E,MATCH($B$1,Database!$A$1:$E$1,),)=0,#N/A,VLOOKUP(Table73[[#This Row],[Date]],Database!$A:$E,MATCH($B$1,Database!$A$1:$E$1,),))</f>
        <v/>
      </c>
      <c r="C3076">
        <f>IF(VLOOKUP(Table73[[#This Row],[Date]],Database!$A:$C,MATCH($C$1,Database!$A$1:$C$1,),)=0,#N/A,VLOOKUP(Table73[[#This Row],[Date]],Database!$A:$C,MATCH($C$1,Database!$A$1:$C$1,),))</f>
        <v/>
      </c>
      <c r="D3076">
        <f>IFERROR(Table73[[#This Row],[United States 10y]]-Table73[[#This Row],[United States 2y]],#N/A)</f>
        <v/>
      </c>
    </row>
    <row r="3077">
      <c r="A3077" s="6">
        <f>Database!A3076</f>
        <v/>
      </c>
      <c r="B3077">
        <f>IF(VLOOKUP(Table73[[#This Row],[Date]],Database!$A:$E,MATCH($B$1,Database!$A$1:$E$1,),)=0,#N/A,VLOOKUP(Table73[[#This Row],[Date]],Database!$A:$E,MATCH($B$1,Database!$A$1:$E$1,),))</f>
        <v/>
      </c>
      <c r="C3077">
        <f>IF(VLOOKUP(Table73[[#This Row],[Date]],Database!$A:$C,MATCH($C$1,Database!$A$1:$C$1,),)=0,#N/A,VLOOKUP(Table73[[#This Row],[Date]],Database!$A:$C,MATCH($C$1,Database!$A$1:$C$1,),))</f>
        <v/>
      </c>
      <c r="D3077">
        <f>IFERROR(Table73[[#This Row],[United States 10y]]-Table73[[#This Row],[United States 2y]],#N/A)</f>
        <v/>
      </c>
    </row>
    <row r="3078">
      <c r="A3078" s="6">
        <f>Database!A3077</f>
        <v/>
      </c>
      <c r="B3078">
        <f>IF(VLOOKUP(Table73[[#This Row],[Date]],Database!$A:$E,MATCH($B$1,Database!$A$1:$E$1,),)=0,#N/A,VLOOKUP(Table73[[#This Row],[Date]],Database!$A:$E,MATCH($B$1,Database!$A$1:$E$1,),))</f>
        <v/>
      </c>
      <c r="C3078">
        <f>IF(VLOOKUP(Table73[[#This Row],[Date]],Database!$A:$C,MATCH($C$1,Database!$A$1:$C$1,),)=0,#N/A,VLOOKUP(Table73[[#This Row],[Date]],Database!$A:$C,MATCH($C$1,Database!$A$1:$C$1,),))</f>
        <v/>
      </c>
      <c r="D3078">
        <f>IFERROR(Table73[[#This Row],[United States 10y]]-Table73[[#This Row],[United States 2y]],#N/A)</f>
        <v/>
      </c>
    </row>
    <row r="3079">
      <c r="A3079" s="6">
        <f>Database!A3078</f>
        <v/>
      </c>
      <c r="B3079">
        <f>IF(VLOOKUP(Table73[[#This Row],[Date]],Database!$A:$E,MATCH($B$1,Database!$A$1:$E$1,),)=0,#N/A,VLOOKUP(Table73[[#This Row],[Date]],Database!$A:$E,MATCH($B$1,Database!$A$1:$E$1,),))</f>
        <v/>
      </c>
      <c r="C3079">
        <f>IF(VLOOKUP(Table73[[#This Row],[Date]],Database!$A:$C,MATCH($C$1,Database!$A$1:$C$1,),)=0,#N/A,VLOOKUP(Table73[[#This Row],[Date]],Database!$A:$C,MATCH($C$1,Database!$A$1:$C$1,),))</f>
        <v/>
      </c>
      <c r="D3079">
        <f>IFERROR(Table73[[#This Row],[United States 10y]]-Table73[[#This Row],[United States 2y]],#N/A)</f>
        <v/>
      </c>
    </row>
    <row r="3080">
      <c r="A3080" s="6">
        <f>Database!A3079</f>
        <v/>
      </c>
      <c r="B3080">
        <f>IF(VLOOKUP(Table73[[#This Row],[Date]],Database!$A:$E,MATCH($B$1,Database!$A$1:$E$1,),)=0,#N/A,VLOOKUP(Table73[[#This Row],[Date]],Database!$A:$E,MATCH($B$1,Database!$A$1:$E$1,),))</f>
        <v/>
      </c>
      <c r="C3080">
        <f>IF(VLOOKUP(Table73[[#This Row],[Date]],Database!$A:$C,MATCH($C$1,Database!$A$1:$C$1,),)=0,#N/A,VLOOKUP(Table73[[#This Row],[Date]],Database!$A:$C,MATCH($C$1,Database!$A$1:$C$1,),))</f>
        <v/>
      </c>
      <c r="D3080">
        <f>IFERROR(Table73[[#This Row],[United States 10y]]-Table73[[#This Row],[United States 2y]],#N/A)</f>
        <v/>
      </c>
    </row>
    <row r="3081">
      <c r="A3081" s="6">
        <f>Database!A3080</f>
        <v/>
      </c>
      <c r="B3081">
        <f>IF(VLOOKUP(Table73[[#This Row],[Date]],Database!$A:$E,MATCH($B$1,Database!$A$1:$E$1,),)=0,#N/A,VLOOKUP(Table73[[#This Row],[Date]],Database!$A:$E,MATCH($B$1,Database!$A$1:$E$1,),))</f>
        <v/>
      </c>
      <c r="C3081">
        <f>IF(VLOOKUP(Table73[[#This Row],[Date]],Database!$A:$C,MATCH($C$1,Database!$A$1:$C$1,),)=0,#N/A,VLOOKUP(Table73[[#This Row],[Date]],Database!$A:$C,MATCH($C$1,Database!$A$1:$C$1,),))</f>
        <v/>
      </c>
      <c r="D3081">
        <f>IFERROR(Table73[[#This Row],[United States 10y]]-Table73[[#This Row],[United States 2y]],#N/A)</f>
        <v/>
      </c>
    </row>
    <row r="3082">
      <c r="A3082" s="6">
        <f>Database!A3081</f>
        <v/>
      </c>
      <c r="B3082">
        <f>IF(VLOOKUP(Table73[[#This Row],[Date]],Database!$A:$E,MATCH($B$1,Database!$A$1:$E$1,),)=0,#N/A,VLOOKUP(Table73[[#This Row],[Date]],Database!$A:$E,MATCH($B$1,Database!$A$1:$E$1,),))</f>
        <v/>
      </c>
      <c r="C3082">
        <f>IF(VLOOKUP(Table73[[#This Row],[Date]],Database!$A:$C,MATCH($C$1,Database!$A$1:$C$1,),)=0,#N/A,VLOOKUP(Table73[[#This Row],[Date]],Database!$A:$C,MATCH($C$1,Database!$A$1:$C$1,),))</f>
        <v/>
      </c>
      <c r="D3082">
        <f>IFERROR(Table73[[#This Row],[United States 10y]]-Table73[[#This Row],[United States 2y]],#N/A)</f>
        <v/>
      </c>
    </row>
    <row r="3083">
      <c r="A3083" s="6">
        <f>Database!A3082</f>
        <v/>
      </c>
      <c r="B3083">
        <f>IF(VLOOKUP(Table73[[#This Row],[Date]],Database!$A:$E,MATCH($B$1,Database!$A$1:$E$1,),)=0,#N/A,VLOOKUP(Table73[[#This Row],[Date]],Database!$A:$E,MATCH($B$1,Database!$A$1:$E$1,),))</f>
        <v/>
      </c>
      <c r="C3083">
        <f>IF(VLOOKUP(Table73[[#This Row],[Date]],Database!$A:$C,MATCH($C$1,Database!$A$1:$C$1,),)=0,#N/A,VLOOKUP(Table73[[#This Row],[Date]],Database!$A:$C,MATCH($C$1,Database!$A$1:$C$1,),))</f>
        <v/>
      </c>
      <c r="D3083">
        <f>IFERROR(Table73[[#This Row],[United States 10y]]-Table73[[#This Row],[United States 2y]],#N/A)</f>
        <v/>
      </c>
    </row>
    <row r="3084">
      <c r="A3084" s="6">
        <f>Database!A3083</f>
        <v/>
      </c>
      <c r="B3084">
        <f>IF(VLOOKUP(Table73[[#This Row],[Date]],Database!$A:$E,MATCH($B$1,Database!$A$1:$E$1,),)=0,#N/A,VLOOKUP(Table73[[#This Row],[Date]],Database!$A:$E,MATCH($B$1,Database!$A$1:$E$1,),))</f>
        <v/>
      </c>
      <c r="C3084">
        <f>IF(VLOOKUP(Table73[[#This Row],[Date]],Database!$A:$C,MATCH($C$1,Database!$A$1:$C$1,),)=0,#N/A,VLOOKUP(Table73[[#This Row],[Date]],Database!$A:$C,MATCH($C$1,Database!$A$1:$C$1,),))</f>
        <v/>
      </c>
      <c r="D3084">
        <f>IFERROR(Table73[[#This Row],[United States 10y]]-Table73[[#This Row],[United States 2y]],#N/A)</f>
        <v/>
      </c>
    </row>
    <row r="3085">
      <c r="A3085" s="6">
        <f>Database!A3084</f>
        <v/>
      </c>
      <c r="B3085">
        <f>IF(VLOOKUP(Table73[[#This Row],[Date]],Database!$A:$E,MATCH($B$1,Database!$A$1:$E$1,),)=0,#N/A,VLOOKUP(Table73[[#This Row],[Date]],Database!$A:$E,MATCH($B$1,Database!$A$1:$E$1,),))</f>
        <v/>
      </c>
      <c r="C3085">
        <f>IF(VLOOKUP(Table73[[#This Row],[Date]],Database!$A:$C,MATCH($C$1,Database!$A$1:$C$1,),)=0,#N/A,VLOOKUP(Table73[[#This Row],[Date]],Database!$A:$C,MATCH($C$1,Database!$A$1:$C$1,),))</f>
        <v/>
      </c>
      <c r="D3085">
        <f>IFERROR(Table73[[#This Row],[United States 10y]]-Table73[[#This Row],[United States 2y]],#N/A)</f>
        <v/>
      </c>
    </row>
    <row r="3086">
      <c r="A3086" s="6">
        <f>Database!A3085</f>
        <v/>
      </c>
      <c r="B3086">
        <f>IF(VLOOKUP(Table73[[#This Row],[Date]],Database!$A:$E,MATCH($B$1,Database!$A$1:$E$1,),)=0,#N/A,VLOOKUP(Table73[[#This Row],[Date]],Database!$A:$E,MATCH($B$1,Database!$A$1:$E$1,),))</f>
        <v/>
      </c>
      <c r="C3086">
        <f>IF(VLOOKUP(Table73[[#This Row],[Date]],Database!$A:$C,MATCH($C$1,Database!$A$1:$C$1,),)=0,#N/A,VLOOKUP(Table73[[#This Row],[Date]],Database!$A:$C,MATCH($C$1,Database!$A$1:$C$1,),))</f>
        <v/>
      </c>
      <c r="D3086">
        <f>IFERROR(Table73[[#This Row],[United States 10y]]-Table73[[#This Row],[United States 2y]],#N/A)</f>
        <v/>
      </c>
    </row>
    <row r="3087">
      <c r="A3087" s="6">
        <f>Database!A3086</f>
        <v/>
      </c>
      <c r="B3087">
        <f>IF(VLOOKUP(Table73[[#This Row],[Date]],Database!$A:$E,MATCH($B$1,Database!$A$1:$E$1,),)=0,#N/A,VLOOKUP(Table73[[#This Row],[Date]],Database!$A:$E,MATCH($B$1,Database!$A$1:$E$1,),))</f>
        <v/>
      </c>
      <c r="C3087">
        <f>IF(VLOOKUP(Table73[[#This Row],[Date]],Database!$A:$C,MATCH($C$1,Database!$A$1:$C$1,),)=0,#N/A,VLOOKUP(Table73[[#This Row],[Date]],Database!$A:$C,MATCH($C$1,Database!$A$1:$C$1,),))</f>
        <v/>
      </c>
      <c r="D3087">
        <f>IFERROR(Table73[[#This Row],[United States 10y]]-Table73[[#This Row],[United States 2y]],#N/A)</f>
        <v/>
      </c>
    </row>
    <row r="3088">
      <c r="A3088" s="6">
        <f>Database!A3087</f>
        <v/>
      </c>
      <c r="B3088">
        <f>IF(VLOOKUP(Table73[[#This Row],[Date]],Database!$A:$E,MATCH($B$1,Database!$A$1:$E$1,),)=0,#N/A,VLOOKUP(Table73[[#This Row],[Date]],Database!$A:$E,MATCH($B$1,Database!$A$1:$E$1,),))</f>
        <v/>
      </c>
      <c r="C3088">
        <f>IF(VLOOKUP(Table73[[#This Row],[Date]],Database!$A:$C,MATCH($C$1,Database!$A$1:$C$1,),)=0,#N/A,VLOOKUP(Table73[[#This Row],[Date]],Database!$A:$C,MATCH($C$1,Database!$A$1:$C$1,),))</f>
        <v/>
      </c>
      <c r="D3088">
        <f>IFERROR(Table73[[#This Row],[United States 10y]]-Table73[[#This Row],[United States 2y]],#N/A)</f>
        <v/>
      </c>
    </row>
    <row r="3089">
      <c r="A3089" s="6">
        <f>Database!A3088</f>
        <v/>
      </c>
      <c r="B3089">
        <f>IF(VLOOKUP(Table73[[#This Row],[Date]],Database!$A:$E,MATCH($B$1,Database!$A$1:$E$1,),)=0,#N/A,VLOOKUP(Table73[[#This Row],[Date]],Database!$A:$E,MATCH($B$1,Database!$A$1:$E$1,),))</f>
        <v/>
      </c>
      <c r="C3089">
        <f>IF(VLOOKUP(Table73[[#This Row],[Date]],Database!$A:$C,MATCH($C$1,Database!$A$1:$C$1,),)=0,#N/A,VLOOKUP(Table73[[#This Row],[Date]],Database!$A:$C,MATCH($C$1,Database!$A$1:$C$1,),))</f>
        <v/>
      </c>
      <c r="D3089">
        <f>IFERROR(Table73[[#This Row],[United States 10y]]-Table73[[#This Row],[United States 2y]],#N/A)</f>
        <v/>
      </c>
    </row>
    <row r="3090">
      <c r="A3090" s="6">
        <f>Database!A3089</f>
        <v/>
      </c>
      <c r="B3090">
        <f>IF(VLOOKUP(Table73[[#This Row],[Date]],Database!$A:$E,MATCH($B$1,Database!$A$1:$E$1,),)=0,#N/A,VLOOKUP(Table73[[#This Row],[Date]],Database!$A:$E,MATCH($B$1,Database!$A$1:$E$1,),))</f>
        <v/>
      </c>
      <c r="C3090">
        <f>IF(VLOOKUP(Table73[[#This Row],[Date]],Database!$A:$C,MATCH($C$1,Database!$A$1:$C$1,),)=0,#N/A,VLOOKUP(Table73[[#This Row],[Date]],Database!$A:$C,MATCH($C$1,Database!$A$1:$C$1,),))</f>
        <v/>
      </c>
      <c r="D3090">
        <f>IFERROR(Table73[[#This Row],[United States 10y]]-Table73[[#This Row],[United States 2y]],#N/A)</f>
        <v/>
      </c>
    </row>
    <row r="3091">
      <c r="A3091" s="6">
        <f>Database!A3090</f>
        <v/>
      </c>
      <c r="B3091">
        <f>IF(VLOOKUP(Table73[[#This Row],[Date]],Database!$A:$E,MATCH($B$1,Database!$A$1:$E$1,),)=0,#N/A,VLOOKUP(Table73[[#This Row],[Date]],Database!$A:$E,MATCH($B$1,Database!$A$1:$E$1,),))</f>
        <v/>
      </c>
      <c r="C3091">
        <f>IF(VLOOKUP(Table73[[#This Row],[Date]],Database!$A:$C,MATCH($C$1,Database!$A$1:$C$1,),)=0,#N/A,VLOOKUP(Table73[[#This Row],[Date]],Database!$A:$C,MATCH($C$1,Database!$A$1:$C$1,),))</f>
        <v/>
      </c>
      <c r="D3091">
        <f>IFERROR(Table73[[#This Row],[United States 10y]]-Table73[[#This Row],[United States 2y]],#N/A)</f>
        <v/>
      </c>
    </row>
    <row r="3092">
      <c r="A3092" s="6">
        <f>Database!A3091</f>
        <v/>
      </c>
      <c r="B3092">
        <f>IF(VLOOKUP(Table73[[#This Row],[Date]],Database!$A:$E,MATCH($B$1,Database!$A$1:$E$1,),)=0,#N/A,VLOOKUP(Table73[[#This Row],[Date]],Database!$A:$E,MATCH($B$1,Database!$A$1:$E$1,),))</f>
        <v/>
      </c>
      <c r="C3092">
        <f>IF(VLOOKUP(Table73[[#This Row],[Date]],Database!$A:$C,MATCH($C$1,Database!$A$1:$C$1,),)=0,#N/A,VLOOKUP(Table73[[#This Row],[Date]],Database!$A:$C,MATCH($C$1,Database!$A$1:$C$1,),))</f>
        <v/>
      </c>
      <c r="D3092">
        <f>IFERROR(Table73[[#This Row],[United States 10y]]-Table73[[#This Row],[United States 2y]],#N/A)</f>
        <v/>
      </c>
    </row>
    <row r="3093">
      <c r="A3093" s="6">
        <f>Database!A3092</f>
        <v/>
      </c>
      <c r="B3093">
        <f>IF(VLOOKUP(Table73[[#This Row],[Date]],Database!$A:$E,MATCH($B$1,Database!$A$1:$E$1,),)=0,#N/A,VLOOKUP(Table73[[#This Row],[Date]],Database!$A:$E,MATCH($B$1,Database!$A$1:$E$1,),))</f>
        <v/>
      </c>
      <c r="C3093">
        <f>IF(VLOOKUP(Table73[[#This Row],[Date]],Database!$A:$C,MATCH($C$1,Database!$A$1:$C$1,),)=0,#N/A,VLOOKUP(Table73[[#This Row],[Date]],Database!$A:$C,MATCH($C$1,Database!$A$1:$C$1,),))</f>
        <v/>
      </c>
      <c r="D3093">
        <f>IFERROR(Table73[[#This Row],[United States 10y]]-Table73[[#This Row],[United States 2y]],#N/A)</f>
        <v/>
      </c>
    </row>
    <row r="3094">
      <c r="A3094" s="6">
        <f>Database!A3093</f>
        <v/>
      </c>
      <c r="B3094">
        <f>IF(VLOOKUP(Table73[[#This Row],[Date]],Database!$A:$E,MATCH($B$1,Database!$A$1:$E$1,),)=0,#N/A,VLOOKUP(Table73[[#This Row],[Date]],Database!$A:$E,MATCH($B$1,Database!$A$1:$E$1,),))</f>
        <v/>
      </c>
      <c r="C3094">
        <f>IF(VLOOKUP(Table73[[#This Row],[Date]],Database!$A:$C,MATCH($C$1,Database!$A$1:$C$1,),)=0,#N/A,VLOOKUP(Table73[[#This Row],[Date]],Database!$A:$C,MATCH($C$1,Database!$A$1:$C$1,),))</f>
        <v/>
      </c>
      <c r="D3094">
        <f>IFERROR(Table73[[#This Row],[United States 10y]]-Table73[[#This Row],[United States 2y]],#N/A)</f>
        <v/>
      </c>
    </row>
    <row r="3095">
      <c r="A3095" s="6">
        <f>Database!A3094</f>
        <v/>
      </c>
      <c r="B3095">
        <f>IF(VLOOKUP(Table73[[#This Row],[Date]],Database!$A:$E,MATCH($B$1,Database!$A$1:$E$1,),)=0,#N/A,VLOOKUP(Table73[[#This Row],[Date]],Database!$A:$E,MATCH($B$1,Database!$A$1:$E$1,),))</f>
        <v/>
      </c>
      <c r="C3095">
        <f>IF(VLOOKUP(Table73[[#This Row],[Date]],Database!$A:$C,MATCH($C$1,Database!$A$1:$C$1,),)=0,#N/A,VLOOKUP(Table73[[#This Row],[Date]],Database!$A:$C,MATCH($C$1,Database!$A$1:$C$1,),))</f>
        <v/>
      </c>
      <c r="D3095">
        <f>IFERROR(Table73[[#This Row],[United States 10y]]-Table73[[#This Row],[United States 2y]],#N/A)</f>
        <v/>
      </c>
    </row>
    <row r="3096">
      <c r="A3096" s="6">
        <f>Database!A3095</f>
        <v/>
      </c>
      <c r="B3096">
        <f>IF(VLOOKUP(Table73[[#This Row],[Date]],Database!$A:$E,MATCH($B$1,Database!$A$1:$E$1,),)=0,#N/A,VLOOKUP(Table73[[#This Row],[Date]],Database!$A:$E,MATCH($B$1,Database!$A$1:$E$1,),))</f>
        <v/>
      </c>
      <c r="C3096">
        <f>IF(VLOOKUP(Table73[[#This Row],[Date]],Database!$A:$C,MATCH($C$1,Database!$A$1:$C$1,),)=0,#N/A,VLOOKUP(Table73[[#This Row],[Date]],Database!$A:$C,MATCH($C$1,Database!$A$1:$C$1,),))</f>
        <v/>
      </c>
      <c r="D3096">
        <f>IFERROR(Table73[[#This Row],[United States 10y]]-Table73[[#This Row],[United States 2y]],#N/A)</f>
        <v/>
      </c>
    </row>
    <row r="3097">
      <c r="A3097" s="6">
        <f>Database!A3096</f>
        <v/>
      </c>
      <c r="B3097">
        <f>IF(VLOOKUP(Table73[[#This Row],[Date]],Database!$A:$E,MATCH($B$1,Database!$A$1:$E$1,),)=0,#N/A,VLOOKUP(Table73[[#This Row],[Date]],Database!$A:$E,MATCH($B$1,Database!$A$1:$E$1,),))</f>
        <v/>
      </c>
      <c r="C3097">
        <f>IF(VLOOKUP(Table73[[#This Row],[Date]],Database!$A:$C,MATCH($C$1,Database!$A$1:$C$1,),)=0,#N/A,VLOOKUP(Table73[[#This Row],[Date]],Database!$A:$C,MATCH($C$1,Database!$A$1:$C$1,),))</f>
        <v/>
      </c>
      <c r="D3097">
        <f>IFERROR(Table73[[#This Row],[United States 10y]]-Table73[[#This Row],[United States 2y]],#N/A)</f>
        <v/>
      </c>
    </row>
    <row r="3098">
      <c r="A3098" s="6">
        <f>Database!A3097</f>
        <v/>
      </c>
      <c r="B3098">
        <f>IF(VLOOKUP(Table73[[#This Row],[Date]],Database!$A:$E,MATCH($B$1,Database!$A$1:$E$1,),)=0,#N/A,VLOOKUP(Table73[[#This Row],[Date]],Database!$A:$E,MATCH($B$1,Database!$A$1:$E$1,),))</f>
        <v/>
      </c>
      <c r="C3098">
        <f>IF(VLOOKUP(Table73[[#This Row],[Date]],Database!$A:$C,MATCH($C$1,Database!$A$1:$C$1,),)=0,#N/A,VLOOKUP(Table73[[#This Row],[Date]],Database!$A:$C,MATCH($C$1,Database!$A$1:$C$1,),))</f>
        <v/>
      </c>
      <c r="D3098">
        <f>IFERROR(Table73[[#This Row],[United States 10y]]-Table73[[#This Row],[United States 2y]],#N/A)</f>
        <v/>
      </c>
    </row>
    <row r="3099">
      <c r="A3099" s="6">
        <f>Database!A3098</f>
        <v/>
      </c>
      <c r="B3099">
        <f>IF(VLOOKUP(Table73[[#This Row],[Date]],Database!$A:$E,MATCH($B$1,Database!$A$1:$E$1,),)=0,#N/A,VLOOKUP(Table73[[#This Row],[Date]],Database!$A:$E,MATCH($B$1,Database!$A$1:$E$1,),))</f>
        <v/>
      </c>
      <c r="C3099">
        <f>IF(VLOOKUP(Table73[[#This Row],[Date]],Database!$A:$C,MATCH($C$1,Database!$A$1:$C$1,),)=0,#N/A,VLOOKUP(Table73[[#This Row],[Date]],Database!$A:$C,MATCH($C$1,Database!$A$1:$C$1,),))</f>
        <v/>
      </c>
      <c r="D3099">
        <f>IFERROR(Table73[[#This Row],[United States 10y]]-Table73[[#This Row],[United States 2y]],#N/A)</f>
        <v/>
      </c>
    </row>
    <row r="3100">
      <c r="A3100" s="6">
        <f>Database!A3099</f>
        <v/>
      </c>
      <c r="B3100">
        <f>IF(VLOOKUP(Table73[[#This Row],[Date]],Database!$A:$E,MATCH($B$1,Database!$A$1:$E$1,),)=0,#N/A,VLOOKUP(Table73[[#This Row],[Date]],Database!$A:$E,MATCH($B$1,Database!$A$1:$E$1,),))</f>
        <v/>
      </c>
      <c r="C3100">
        <f>IF(VLOOKUP(Table73[[#This Row],[Date]],Database!$A:$C,MATCH($C$1,Database!$A$1:$C$1,),)=0,#N/A,VLOOKUP(Table73[[#This Row],[Date]],Database!$A:$C,MATCH($C$1,Database!$A$1:$C$1,),))</f>
        <v/>
      </c>
      <c r="D3100">
        <f>IFERROR(Table73[[#This Row],[United States 10y]]-Table73[[#This Row],[United States 2y]],#N/A)</f>
        <v/>
      </c>
    </row>
    <row r="3101">
      <c r="A3101" s="6">
        <f>Database!A3100</f>
        <v/>
      </c>
      <c r="B3101">
        <f>IF(VLOOKUP(Table73[[#This Row],[Date]],Database!$A:$E,MATCH($B$1,Database!$A$1:$E$1,),)=0,#N/A,VLOOKUP(Table73[[#This Row],[Date]],Database!$A:$E,MATCH($B$1,Database!$A$1:$E$1,),))</f>
        <v/>
      </c>
      <c r="C3101">
        <f>IF(VLOOKUP(Table73[[#This Row],[Date]],Database!$A:$C,MATCH($C$1,Database!$A$1:$C$1,),)=0,#N/A,VLOOKUP(Table73[[#This Row],[Date]],Database!$A:$C,MATCH($C$1,Database!$A$1:$C$1,),))</f>
        <v/>
      </c>
      <c r="D3101">
        <f>IFERROR(Table73[[#This Row],[United States 10y]]-Table73[[#This Row],[United States 2y]],#N/A)</f>
        <v/>
      </c>
    </row>
    <row r="3102">
      <c r="A3102" s="6">
        <f>Database!A3101</f>
        <v/>
      </c>
      <c r="B3102">
        <f>IF(VLOOKUP(Table73[[#This Row],[Date]],Database!$A:$E,MATCH($B$1,Database!$A$1:$E$1,),)=0,#N/A,VLOOKUP(Table73[[#This Row],[Date]],Database!$A:$E,MATCH($B$1,Database!$A$1:$E$1,),))</f>
        <v/>
      </c>
      <c r="C3102">
        <f>IF(VLOOKUP(Table73[[#This Row],[Date]],Database!$A:$C,MATCH($C$1,Database!$A$1:$C$1,),)=0,#N/A,VLOOKUP(Table73[[#This Row],[Date]],Database!$A:$C,MATCH($C$1,Database!$A$1:$C$1,),))</f>
        <v/>
      </c>
      <c r="D3102">
        <f>IFERROR(Table73[[#This Row],[United States 10y]]-Table73[[#This Row],[United States 2y]],#N/A)</f>
        <v/>
      </c>
    </row>
    <row r="3103">
      <c r="A3103" s="6">
        <f>Database!A3102</f>
        <v/>
      </c>
      <c r="B3103">
        <f>IF(VLOOKUP(Table73[[#This Row],[Date]],Database!$A:$E,MATCH($B$1,Database!$A$1:$E$1,),)=0,#N/A,VLOOKUP(Table73[[#This Row],[Date]],Database!$A:$E,MATCH($B$1,Database!$A$1:$E$1,),))</f>
        <v/>
      </c>
      <c r="C3103">
        <f>IF(VLOOKUP(Table73[[#This Row],[Date]],Database!$A:$C,MATCH($C$1,Database!$A$1:$C$1,),)=0,#N/A,VLOOKUP(Table73[[#This Row],[Date]],Database!$A:$C,MATCH($C$1,Database!$A$1:$C$1,),))</f>
        <v/>
      </c>
      <c r="D3103">
        <f>IFERROR(Table73[[#This Row],[United States 10y]]-Table73[[#This Row],[United States 2y]],#N/A)</f>
        <v/>
      </c>
    </row>
    <row r="3104">
      <c r="A3104" s="6">
        <f>Database!A3103</f>
        <v/>
      </c>
      <c r="B3104">
        <f>IF(VLOOKUP(Table73[[#This Row],[Date]],Database!$A:$E,MATCH($B$1,Database!$A$1:$E$1,),)=0,#N/A,VLOOKUP(Table73[[#This Row],[Date]],Database!$A:$E,MATCH($B$1,Database!$A$1:$E$1,),))</f>
        <v/>
      </c>
      <c r="C3104">
        <f>IF(VLOOKUP(Table73[[#This Row],[Date]],Database!$A:$C,MATCH($C$1,Database!$A$1:$C$1,),)=0,#N/A,VLOOKUP(Table73[[#This Row],[Date]],Database!$A:$C,MATCH($C$1,Database!$A$1:$C$1,),))</f>
        <v/>
      </c>
      <c r="D3104">
        <f>IFERROR(Table73[[#This Row],[United States 10y]]-Table73[[#This Row],[United States 2y]],#N/A)</f>
        <v/>
      </c>
    </row>
    <row r="3105">
      <c r="A3105" s="6">
        <f>Database!A3104</f>
        <v/>
      </c>
      <c r="B3105">
        <f>IF(VLOOKUP(Table73[[#This Row],[Date]],Database!$A:$E,MATCH($B$1,Database!$A$1:$E$1,),)=0,#N/A,VLOOKUP(Table73[[#This Row],[Date]],Database!$A:$E,MATCH($B$1,Database!$A$1:$E$1,),))</f>
        <v/>
      </c>
      <c r="C3105">
        <f>IF(VLOOKUP(Table73[[#This Row],[Date]],Database!$A:$C,MATCH($C$1,Database!$A$1:$C$1,),)=0,#N/A,VLOOKUP(Table73[[#This Row],[Date]],Database!$A:$C,MATCH($C$1,Database!$A$1:$C$1,),))</f>
        <v/>
      </c>
      <c r="D3105">
        <f>IFERROR(Table73[[#This Row],[United States 10y]]-Table73[[#This Row],[United States 2y]],#N/A)</f>
        <v/>
      </c>
    </row>
    <row r="3106">
      <c r="A3106" s="6">
        <f>Database!A3105</f>
        <v/>
      </c>
      <c r="B3106">
        <f>IF(VLOOKUP(Table73[[#This Row],[Date]],Database!$A:$E,MATCH($B$1,Database!$A$1:$E$1,),)=0,#N/A,VLOOKUP(Table73[[#This Row],[Date]],Database!$A:$E,MATCH($B$1,Database!$A$1:$E$1,),))</f>
        <v/>
      </c>
      <c r="C3106">
        <f>IF(VLOOKUP(Table73[[#This Row],[Date]],Database!$A:$C,MATCH($C$1,Database!$A$1:$C$1,),)=0,#N/A,VLOOKUP(Table73[[#This Row],[Date]],Database!$A:$C,MATCH($C$1,Database!$A$1:$C$1,),))</f>
        <v/>
      </c>
      <c r="D3106">
        <f>IFERROR(Table73[[#This Row],[United States 10y]]-Table73[[#This Row],[United States 2y]],#N/A)</f>
        <v/>
      </c>
    </row>
    <row r="3107">
      <c r="A3107" s="6">
        <f>Database!A3106</f>
        <v/>
      </c>
      <c r="B3107">
        <f>IF(VLOOKUP(Table73[[#This Row],[Date]],Database!$A:$E,MATCH($B$1,Database!$A$1:$E$1,),)=0,#N/A,VLOOKUP(Table73[[#This Row],[Date]],Database!$A:$E,MATCH($B$1,Database!$A$1:$E$1,),))</f>
        <v/>
      </c>
      <c r="C3107">
        <f>IF(VLOOKUP(Table73[[#This Row],[Date]],Database!$A:$C,MATCH($C$1,Database!$A$1:$C$1,),)=0,#N/A,VLOOKUP(Table73[[#This Row],[Date]],Database!$A:$C,MATCH($C$1,Database!$A$1:$C$1,),))</f>
        <v/>
      </c>
      <c r="D3107">
        <f>IFERROR(Table73[[#This Row],[United States 10y]]-Table73[[#This Row],[United States 2y]],#N/A)</f>
        <v/>
      </c>
    </row>
    <row r="3108">
      <c r="A3108" s="6">
        <f>Database!A3107</f>
        <v/>
      </c>
      <c r="B3108">
        <f>IF(VLOOKUP(Table73[[#This Row],[Date]],Database!$A:$E,MATCH($B$1,Database!$A$1:$E$1,),)=0,#N/A,VLOOKUP(Table73[[#This Row],[Date]],Database!$A:$E,MATCH($B$1,Database!$A$1:$E$1,),))</f>
        <v/>
      </c>
      <c r="C3108">
        <f>IF(VLOOKUP(Table73[[#This Row],[Date]],Database!$A:$C,MATCH($C$1,Database!$A$1:$C$1,),)=0,#N/A,VLOOKUP(Table73[[#This Row],[Date]],Database!$A:$C,MATCH($C$1,Database!$A$1:$C$1,),))</f>
        <v/>
      </c>
      <c r="D3108">
        <f>IFERROR(Table73[[#This Row],[United States 10y]]-Table73[[#This Row],[United States 2y]],#N/A)</f>
        <v/>
      </c>
    </row>
    <row r="3109">
      <c r="A3109" s="6">
        <f>Database!A3108</f>
        <v/>
      </c>
      <c r="B3109">
        <f>IF(VLOOKUP(Table73[[#This Row],[Date]],Database!$A:$E,MATCH($B$1,Database!$A$1:$E$1,),)=0,#N/A,VLOOKUP(Table73[[#This Row],[Date]],Database!$A:$E,MATCH($B$1,Database!$A$1:$E$1,),))</f>
        <v/>
      </c>
      <c r="C3109">
        <f>IF(VLOOKUP(Table73[[#This Row],[Date]],Database!$A:$C,MATCH($C$1,Database!$A$1:$C$1,),)=0,#N/A,VLOOKUP(Table73[[#This Row],[Date]],Database!$A:$C,MATCH($C$1,Database!$A$1:$C$1,),))</f>
        <v/>
      </c>
      <c r="D3109">
        <f>IFERROR(Table73[[#This Row],[United States 10y]]-Table73[[#This Row],[United States 2y]],#N/A)</f>
        <v/>
      </c>
    </row>
    <row r="3110">
      <c r="A3110" s="6">
        <f>Database!A3109</f>
        <v/>
      </c>
      <c r="B3110">
        <f>IF(VLOOKUP(Table73[[#This Row],[Date]],Database!$A:$E,MATCH($B$1,Database!$A$1:$E$1,),)=0,#N/A,VLOOKUP(Table73[[#This Row],[Date]],Database!$A:$E,MATCH($B$1,Database!$A$1:$E$1,),))</f>
        <v/>
      </c>
      <c r="C3110">
        <f>IF(VLOOKUP(Table73[[#This Row],[Date]],Database!$A:$C,MATCH($C$1,Database!$A$1:$C$1,),)=0,#N/A,VLOOKUP(Table73[[#This Row],[Date]],Database!$A:$C,MATCH($C$1,Database!$A$1:$C$1,),))</f>
        <v/>
      </c>
      <c r="D3110">
        <f>IFERROR(Table73[[#This Row],[United States 10y]]-Table73[[#This Row],[United States 2y]],#N/A)</f>
        <v/>
      </c>
    </row>
    <row r="3111">
      <c r="A3111" s="6">
        <f>Database!A3110</f>
        <v/>
      </c>
      <c r="B3111">
        <f>IF(VLOOKUP(Table73[[#This Row],[Date]],Database!$A:$E,MATCH($B$1,Database!$A$1:$E$1,),)=0,#N/A,VLOOKUP(Table73[[#This Row],[Date]],Database!$A:$E,MATCH($B$1,Database!$A$1:$E$1,),))</f>
        <v/>
      </c>
      <c r="C3111">
        <f>IF(VLOOKUP(Table73[[#This Row],[Date]],Database!$A:$C,MATCH($C$1,Database!$A$1:$C$1,),)=0,#N/A,VLOOKUP(Table73[[#This Row],[Date]],Database!$A:$C,MATCH($C$1,Database!$A$1:$C$1,),))</f>
        <v/>
      </c>
      <c r="D3111">
        <f>IFERROR(Table73[[#This Row],[United States 10y]]-Table73[[#This Row],[United States 2y]],#N/A)</f>
        <v/>
      </c>
    </row>
    <row r="3112">
      <c r="A3112" s="6">
        <f>Database!A3111</f>
        <v/>
      </c>
      <c r="B3112">
        <f>IF(VLOOKUP(Table73[[#This Row],[Date]],Database!$A:$E,MATCH($B$1,Database!$A$1:$E$1,),)=0,#N/A,VLOOKUP(Table73[[#This Row],[Date]],Database!$A:$E,MATCH($B$1,Database!$A$1:$E$1,),))</f>
        <v/>
      </c>
      <c r="C3112">
        <f>IF(VLOOKUP(Table73[[#This Row],[Date]],Database!$A:$C,MATCH($C$1,Database!$A$1:$C$1,),)=0,#N/A,VLOOKUP(Table73[[#This Row],[Date]],Database!$A:$C,MATCH($C$1,Database!$A$1:$C$1,),))</f>
        <v/>
      </c>
      <c r="D3112">
        <f>IFERROR(Table73[[#This Row],[United States 10y]]-Table73[[#This Row],[United States 2y]],#N/A)</f>
        <v/>
      </c>
    </row>
    <row r="3113">
      <c r="A3113" s="6">
        <f>Database!A3112</f>
        <v/>
      </c>
      <c r="B3113">
        <f>IF(VLOOKUP(Table73[[#This Row],[Date]],Database!$A:$E,MATCH($B$1,Database!$A$1:$E$1,),)=0,#N/A,VLOOKUP(Table73[[#This Row],[Date]],Database!$A:$E,MATCH($B$1,Database!$A$1:$E$1,),))</f>
        <v/>
      </c>
      <c r="C3113">
        <f>IF(VLOOKUP(Table73[[#This Row],[Date]],Database!$A:$C,MATCH($C$1,Database!$A$1:$C$1,),)=0,#N/A,VLOOKUP(Table73[[#This Row],[Date]],Database!$A:$C,MATCH($C$1,Database!$A$1:$C$1,),))</f>
        <v/>
      </c>
      <c r="D3113">
        <f>IFERROR(Table73[[#This Row],[United States 10y]]-Table73[[#This Row],[United States 2y]],#N/A)</f>
        <v/>
      </c>
    </row>
    <row r="3114">
      <c r="A3114" s="6">
        <f>Database!A3113</f>
        <v/>
      </c>
      <c r="B3114">
        <f>IF(VLOOKUP(Table73[[#This Row],[Date]],Database!$A:$E,MATCH($B$1,Database!$A$1:$E$1,),)=0,#N/A,VLOOKUP(Table73[[#This Row],[Date]],Database!$A:$E,MATCH($B$1,Database!$A$1:$E$1,),))</f>
        <v/>
      </c>
      <c r="C3114">
        <f>IF(VLOOKUP(Table73[[#This Row],[Date]],Database!$A:$C,MATCH($C$1,Database!$A$1:$C$1,),)=0,#N/A,VLOOKUP(Table73[[#This Row],[Date]],Database!$A:$C,MATCH($C$1,Database!$A$1:$C$1,),))</f>
        <v/>
      </c>
      <c r="D3114">
        <f>IFERROR(Table73[[#This Row],[United States 10y]]-Table73[[#This Row],[United States 2y]],#N/A)</f>
        <v/>
      </c>
    </row>
    <row r="3115">
      <c r="A3115" s="6">
        <f>Database!A3114</f>
        <v/>
      </c>
      <c r="B3115">
        <f>IF(VLOOKUP(Table73[[#This Row],[Date]],Database!$A:$E,MATCH($B$1,Database!$A$1:$E$1,),)=0,#N/A,VLOOKUP(Table73[[#This Row],[Date]],Database!$A:$E,MATCH($B$1,Database!$A$1:$E$1,),))</f>
        <v/>
      </c>
      <c r="C3115">
        <f>IF(VLOOKUP(Table73[[#This Row],[Date]],Database!$A:$C,MATCH($C$1,Database!$A$1:$C$1,),)=0,#N/A,VLOOKUP(Table73[[#This Row],[Date]],Database!$A:$C,MATCH($C$1,Database!$A$1:$C$1,),))</f>
        <v/>
      </c>
      <c r="D3115">
        <f>IFERROR(Table73[[#This Row],[United States 10y]]-Table73[[#This Row],[United States 2y]],#N/A)</f>
        <v/>
      </c>
    </row>
    <row r="3116">
      <c r="A3116" s="6">
        <f>Database!A3115</f>
        <v/>
      </c>
      <c r="B3116">
        <f>IF(VLOOKUP(Table73[[#This Row],[Date]],Database!$A:$E,MATCH($B$1,Database!$A$1:$E$1,),)=0,#N/A,VLOOKUP(Table73[[#This Row],[Date]],Database!$A:$E,MATCH($B$1,Database!$A$1:$E$1,),))</f>
        <v/>
      </c>
      <c r="C3116">
        <f>IF(VLOOKUP(Table73[[#This Row],[Date]],Database!$A:$C,MATCH($C$1,Database!$A$1:$C$1,),)=0,#N/A,VLOOKUP(Table73[[#This Row],[Date]],Database!$A:$C,MATCH($C$1,Database!$A$1:$C$1,),))</f>
        <v/>
      </c>
      <c r="D3116">
        <f>IFERROR(Table73[[#This Row],[United States 10y]]-Table73[[#This Row],[United States 2y]],#N/A)</f>
        <v/>
      </c>
    </row>
    <row r="3117">
      <c r="A3117" s="6">
        <f>Database!A3116</f>
        <v/>
      </c>
      <c r="B3117">
        <f>IF(VLOOKUP(Table73[[#This Row],[Date]],Database!$A:$E,MATCH($B$1,Database!$A$1:$E$1,),)=0,#N/A,VLOOKUP(Table73[[#This Row],[Date]],Database!$A:$E,MATCH($B$1,Database!$A$1:$E$1,),))</f>
        <v/>
      </c>
      <c r="C3117">
        <f>IF(VLOOKUP(Table73[[#This Row],[Date]],Database!$A:$C,MATCH($C$1,Database!$A$1:$C$1,),)=0,#N/A,VLOOKUP(Table73[[#This Row],[Date]],Database!$A:$C,MATCH($C$1,Database!$A$1:$C$1,),))</f>
        <v/>
      </c>
      <c r="D3117">
        <f>IFERROR(Table73[[#This Row],[United States 10y]]-Table73[[#This Row],[United States 2y]],#N/A)</f>
        <v/>
      </c>
    </row>
    <row r="3118">
      <c r="A3118" s="6">
        <f>Database!A3117</f>
        <v/>
      </c>
      <c r="B3118">
        <f>IF(VLOOKUP(Table73[[#This Row],[Date]],Database!$A:$E,MATCH($B$1,Database!$A$1:$E$1,),)=0,#N/A,VLOOKUP(Table73[[#This Row],[Date]],Database!$A:$E,MATCH($B$1,Database!$A$1:$E$1,),))</f>
        <v/>
      </c>
      <c r="C3118">
        <f>IF(VLOOKUP(Table73[[#This Row],[Date]],Database!$A:$C,MATCH($C$1,Database!$A$1:$C$1,),)=0,#N/A,VLOOKUP(Table73[[#This Row],[Date]],Database!$A:$C,MATCH($C$1,Database!$A$1:$C$1,),))</f>
        <v/>
      </c>
      <c r="D3118">
        <f>IFERROR(Table73[[#This Row],[United States 10y]]-Table73[[#This Row],[United States 2y]],#N/A)</f>
        <v/>
      </c>
    </row>
    <row r="3119">
      <c r="A3119" s="6">
        <f>Database!A3118</f>
        <v/>
      </c>
      <c r="B3119">
        <f>IF(VLOOKUP(Table73[[#This Row],[Date]],Database!$A:$E,MATCH($B$1,Database!$A$1:$E$1,),)=0,#N/A,VLOOKUP(Table73[[#This Row],[Date]],Database!$A:$E,MATCH($B$1,Database!$A$1:$E$1,),))</f>
        <v/>
      </c>
      <c r="C3119">
        <f>IF(VLOOKUP(Table73[[#This Row],[Date]],Database!$A:$C,MATCH($C$1,Database!$A$1:$C$1,),)=0,#N/A,VLOOKUP(Table73[[#This Row],[Date]],Database!$A:$C,MATCH($C$1,Database!$A$1:$C$1,),))</f>
        <v/>
      </c>
      <c r="D3119">
        <f>IFERROR(Table73[[#This Row],[United States 10y]]-Table73[[#This Row],[United States 2y]],#N/A)</f>
        <v/>
      </c>
    </row>
    <row r="3120">
      <c r="A3120" s="6">
        <f>Database!A3119</f>
        <v/>
      </c>
      <c r="B3120">
        <f>IF(VLOOKUP(Table73[[#This Row],[Date]],Database!$A:$E,MATCH($B$1,Database!$A$1:$E$1,),)=0,#N/A,VLOOKUP(Table73[[#This Row],[Date]],Database!$A:$E,MATCH($B$1,Database!$A$1:$E$1,),))</f>
        <v/>
      </c>
      <c r="C3120">
        <f>IF(VLOOKUP(Table73[[#This Row],[Date]],Database!$A:$C,MATCH($C$1,Database!$A$1:$C$1,),)=0,#N/A,VLOOKUP(Table73[[#This Row],[Date]],Database!$A:$C,MATCH($C$1,Database!$A$1:$C$1,),))</f>
        <v/>
      </c>
      <c r="D3120">
        <f>IFERROR(Table73[[#This Row],[United States 10y]]-Table73[[#This Row],[United States 2y]],#N/A)</f>
        <v/>
      </c>
    </row>
    <row r="3121">
      <c r="A3121" s="6">
        <f>Database!A3120</f>
        <v/>
      </c>
      <c r="B3121">
        <f>IF(VLOOKUP(Table73[[#This Row],[Date]],Database!$A:$E,MATCH($B$1,Database!$A$1:$E$1,),)=0,#N/A,VLOOKUP(Table73[[#This Row],[Date]],Database!$A:$E,MATCH($B$1,Database!$A$1:$E$1,),))</f>
        <v/>
      </c>
      <c r="C3121">
        <f>IF(VLOOKUP(Table73[[#This Row],[Date]],Database!$A:$C,MATCH($C$1,Database!$A$1:$C$1,),)=0,#N/A,VLOOKUP(Table73[[#This Row],[Date]],Database!$A:$C,MATCH($C$1,Database!$A$1:$C$1,),))</f>
        <v/>
      </c>
      <c r="D3121">
        <f>IFERROR(Table73[[#This Row],[United States 10y]]-Table73[[#This Row],[United States 2y]],#N/A)</f>
        <v/>
      </c>
    </row>
    <row r="3122">
      <c r="A3122" s="6">
        <f>Database!A3121</f>
        <v/>
      </c>
      <c r="B3122">
        <f>IF(VLOOKUP(Table73[[#This Row],[Date]],Database!$A:$E,MATCH($B$1,Database!$A$1:$E$1,),)=0,#N/A,VLOOKUP(Table73[[#This Row],[Date]],Database!$A:$E,MATCH($B$1,Database!$A$1:$E$1,),))</f>
        <v/>
      </c>
      <c r="C3122">
        <f>IF(VLOOKUP(Table73[[#This Row],[Date]],Database!$A:$C,MATCH($C$1,Database!$A$1:$C$1,),)=0,#N/A,VLOOKUP(Table73[[#This Row],[Date]],Database!$A:$C,MATCH($C$1,Database!$A$1:$C$1,),))</f>
        <v/>
      </c>
      <c r="D3122">
        <f>IFERROR(Table73[[#This Row],[United States 10y]]-Table73[[#This Row],[United States 2y]],#N/A)</f>
        <v/>
      </c>
    </row>
    <row r="3123">
      <c r="A3123" s="6">
        <f>Database!A3122</f>
        <v/>
      </c>
      <c r="B3123">
        <f>IF(VLOOKUP(Table73[[#This Row],[Date]],Database!$A:$E,MATCH($B$1,Database!$A$1:$E$1,),)=0,#N/A,VLOOKUP(Table73[[#This Row],[Date]],Database!$A:$E,MATCH($B$1,Database!$A$1:$E$1,),))</f>
        <v/>
      </c>
      <c r="C3123">
        <f>IF(VLOOKUP(Table73[[#This Row],[Date]],Database!$A:$C,MATCH($C$1,Database!$A$1:$C$1,),)=0,#N/A,VLOOKUP(Table73[[#This Row],[Date]],Database!$A:$C,MATCH($C$1,Database!$A$1:$C$1,),))</f>
        <v/>
      </c>
      <c r="D3123">
        <f>IFERROR(Table73[[#This Row],[United States 10y]]-Table73[[#This Row],[United States 2y]],#N/A)</f>
        <v/>
      </c>
    </row>
    <row r="3124">
      <c r="A3124" s="6">
        <f>Database!A3123</f>
        <v/>
      </c>
      <c r="B3124">
        <f>IF(VLOOKUP(Table73[[#This Row],[Date]],Database!$A:$E,MATCH($B$1,Database!$A$1:$E$1,),)=0,#N/A,VLOOKUP(Table73[[#This Row],[Date]],Database!$A:$E,MATCH($B$1,Database!$A$1:$E$1,),))</f>
        <v/>
      </c>
      <c r="C3124">
        <f>IF(VLOOKUP(Table73[[#This Row],[Date]],Database!$A:$C,MATCH($C$1,Database!$A$1:$C$1,),)=0,#N/A,VLOOKUP(Table73[[#This Row],[Date]],Database!$A:$C,MATCH($C$1,Database!$A$1:$C$1,),))</f>
        <v/>
      </c>
      <c r="D3124">
        <f>IFERROR(Table73[[#This Row],[United States 10y]]-Table73[[#This Row],[United States 2y]],#N/A)</f>
        <v/>
      </c>
    </row>
    <row r="3125">
      <c r="A3125" s="6">
        <f>Database!A3124</f>
        <v/>
      </c>
      <c r="B3125">
        <f>IF(VLOOKUP(Table73[[#This Row],[Date]],Database!$A:$E,MATCH($B$1,Database!$A$1:$E$1,),)=0,#N/A,VLOOKUP(Table73[[#This Row],[Date]],Database!$A:$E,MATCH($B$1,Database!$A$1:$E$1,),))</f>
        <v/>
      </c>
      <c r="C3125">
        <f>IF(VLOOKUP(Table73[[#This Row],[Date]],Database!$A:$C,MATCH($C$1,Database!$A$1:$C$1,),)=0,#N/A,VLOOKUP(Table73[[#This Row],[Date]],Database!$A:$C,MATCH($C$1,Database!$A$1:$C$1,),))</f>
        <v/>
      </c>
      <c r="D3125">
        <f>IFERROR(Table73[[#This Row],[United States 10y]]-Table73[[#This Row],[United States 2y]],#N/A)</f>
        <v/>
      </c>
    </row>
    <row r="3126">
      <c r="A3126" s="6">
        <f>Database!A3125</f>
        <v/>
      </c>
      <c r="B3126">
        <f>IF(VLOOKUP(Table73[[#This Row],[Date]],Database!$A:$E,MATCH($B$1,Database!$A$1:$E$1,),)=0,#N/A,VLOOKUP(Table73[[#This Row],[Date]],Database!$A:$E,MATCH($B$1,Database!$A$1:$E$1,),))</f>
        <v/>
      </c>
      <c r="C3126">
        <f>IF(VLOOKUP(Table73[[#This Row],[Date]],Database!$A:$C,MATCH($C$1,Database!$A$1:$C$1,),)=0,#N/A,VLOOKUP(Table73[[#This Row],[Date]],Database!$A:$C,MATCH($C$1,Database!$A$1:$C$1,),))</f>
        <v/>
      </c>
      <c r="D3126">
        <f>IFERROR(Table73[[#This Row],[United States 10y]]-Table73[[#This Row],[United States 2y]],#N/A)</f>
        <v/>
      </c>
    </row>
    <row r="3127">
      <c r="A3127" s="6">
        <f>Database!A3126</f>
        <v/>
      </c>
      <c r="B3127">
        <f>IF(VLOOKUP(Table73[[#This Row],[Date]],Database!$A:$E,MATCH($B$1,Database!$A$1:$E$1,),)=0,#N/A,VLOOKUP(Table73[[#This Row],[Date]],Database!$A:$E,MATCH($B$1,Database!$A$1:$E$1,),))</f>
        <v/>
      </c>
      <c r="C3127">
        <f>IF(VLOOKUP(Table73[[#This Row],[Date]],Database!$A:$C,MATCH($C$1,Database!$A$1:$C$1,),)=0,#N/A,VLOOKUP(Table73[[#This Row],[Date]],Database!$A:$C,MATCH($C$1,Database!$A$1:$C$1,),))</f>
        <v/>
      </c>
      <c r="D3127">
        <f>IFERROR(Table73[[#This Row],[United States 10y]]-Table73[[#This Row],[United States 2y]],#N/A)</f>
        <v/>
      </c>
    </row>
    <row r="3128">
      <c r="A3128" s="6">
        <f>Database!A3127</f>
        <v/>
      </c>
      <c r="B3128">
        <f>IF(VLOOKUP(Table73[[#This Row],[Date]],Database!$A:$E,MATCH($B$1,Database!$A$1:$E$1,),)=0,#N/A,VLOOKUP(Table73[[#This Row],[Date]],Database!$A:$E,MATCH($B$1,Database!$A$1:$E$1,),))</f>
        <v/>
      </c>
      <c r="C3128">
        <f>IF(VLOOKUP(Table73[[#This Row],[Date]],Database!$A:$C,MATCH($C$1,Database!$A$1:$C$1,),)=0,#N/A,VLOOKUP(Table73[[#This Row],[Date]],Database!$A:$C,MATCH($C$1,Database!$A$1:$C$1,),))</f>
        <v/>
      </c>
      <c r="D3128">
        <f>IFERROR(Table73[[#This Row],[United States 10y]]-Table73[[#This Row],[United States 2y]],#N/A)</f>
        <v/>
      </c>
    </row>
    <row r="3129">
      <c r="A3129" s="6">
        <f>Database!A3128</f>
        <v/>
      </c>
      <c r="B3129">
        <f>IF(VLOOKUP(Table73[[#This Row],[Date]],Database!$A:$E,MATCH($B$1,Database!$A$1:$E$1,),)=0,#N/A,VLOOKUP(Table73[[#This Row],[Date]],Database!$A:$E,MATCH($B$1,Database!$A$1:$E$1,),))</f>
        <v/>
      </c>
      <c r="C3129">
        <f>IF(VLOOKUP(Table73[[#This Row],[Date]],Database!$A:$C,MATCH($C$1,Database!$A$1:$C$1,),)=0,#N/A,VLOOKUP(Table73[[#This Row],[Date]],Database!$A:$C,MATCH($C$1,Database!$A$1:$C$1,),))</f>
        <v/>
      </c>
      <c r="D3129">
        <f>IFERROR(Table73[[#This Row],[United States 10y]]-Table73[[#This Row],[United States 2y]],#N/A)</f>
        <v/>
      </c>
    </row>
    <row r="3130">
      <c r="A3130" s="6">
        <f>Database!A3129</f>
        <v/>
      </c>
      <c r="B3130">
        <f>IF(VLOOKUP(Table73[[#This Row],[Date]],Database!$A:$E,MATCH($B$1,Database!$A$1:$E$1,),)=0,#N/A,VLOOKUP(Table73[[#This Row],[Date]],Database!$A:$E,MATCH($B$1,Database!$A$1:$E$1,),))</f>
        <v/>
      </c>
      <c r="C3130">
        <f>IF(VLOOKUP(Table73[[#This Row],[Date]],Database!$A:$C,MATCH($C$1,Database!$A$1:$C$1,),)=0,#N/A,VLOOKUP(Table73[[#This Row],[Date]],Database!$A:$C,MATCH($C$1,Database!$A$1:$C$1,),))</f>
        <v/>
      </c>
      <c r="D3130">
        <f>IFERROR(Table73[[#This Row],[United States 10y]]-Table73[[#This Row],[United States 2y]],#N/A)</f>
        <v/>
      </c>
    </row>
    <row r="3131">
      <c r="A3131" s="6">
        <f>Database!A3130</f>
        <v/>
      </c>
      <c r="B3131">
        <f>IF(VLOOKUP(Table73[[#This Row],[Date]],Database!$A:$E,MATCH($B$1,Database!$A$1:$E$1,),)=0,#N/A,VLOOKUP(Table73[[#This Row],[Date]],Database!$A:$E,MATCH($B$1,Database!$A$1:$E$1,),))</f>
        <v/>
      </c>
      <c r="C3131">
        <f>IF(VLOOKUP(Table73[[#This Row],[Date]],Database!$A:$C,MATCH($C$1,Database!$A$1:$C$1,),)=0,#N/A,VLOOKUP(Table73[[#This Row],[Date]],Database!$A:$C,MATCH($C$1,Database!$A$1:$C$1,),))</f>
        <v/>
      </c>
      <c r="D3131">
        <f>IFERROR(Table73[[#This Row],[United States 10y]]-Table73[[#This Row],[United States 2y]],#N/A)</f>
        <v/>
      </c>
    </row>
    <row r="3132">
      <c r="A3132" s="6">
        <f>Database!A3131</f>
        <v/>
      </c>
      <c r="B3132">
        <f>IF(VLOOKUP(Table73[[#This Row],[Date]],Database!$A:$E,MATCH($B$1,Database!$A$1:$E$1,),)=0,#N/A,VLOOKUP(Table73[[#This Row],[Date]],Database!$A:$E,MATCH($B$1,Database!$A$1:$E$1,),))</f>
        <v/>
      </c>
      <c r="C3132">
        <f>IF(VLOOKUP(Table73[[#This Row],[Date]],Database!$A:$C,MATCH($C$1,Database!$A$1:$C$1,),)=0,#N/A,VLOOKUP(Table73[[#This Row],[Date]],Database!$A:$C,MATCH($C$1,Database!$A$1:$C$1,),))</f>
        <v/>
      </c>
      <c r="D3132">
        <f>IFERROR(Table73[[#This Row],[United States 10y]]-Table73[[#This Row],[United States 2y]],#N/A)</f>
        <v/>
      </c>
    </row>
    <row r="3133">
      <c r="A3133" s="6">
        <f>Database!A3132</f>
        <v/>
      </c>
      <c r="B3133">
        <f>IF(VLOOKUP(Table73[[#This Row],[Date]],Database!$A:$E,MATCH($B$1,Database!$A$1:$E$1,),)=0,#N/A,VLOOKUP(Table73[[#This Row],[Date]],Database!$A:$E,MATCH($B$1,Database!$A$1:$E$1,),))</f>
        <v/>
      </c>
      <c r="C3133">
        <f>IF(VLOOKUP(Table73[[#This Row],[Date]],Database!$A:$C,MATCH($C$1,Database!$A$1:$C$1,),)=0,#N/A,VLOOKUP(Table73[[#This Row],[Date]],Database!$A:$C,MATCH($C$1,Database!$A$1:$C$1,),))</f>
        <v/>
      </c>
      <c r="D3133">
        <f>IFERROR(Table73[[#This Row],[United States 10y]]-Table73[[#This Row],[United States 2y]],#N/A)</f>
        <v/>
      </c>
    </row>
    <row r="3134">
      <c r="A3134" s="6">
        <f>Database!A3133</f>
        <v/>
      </c>
      <c r="B3134">
        <f>IF(VLOOKUP(Table73[[#This Row],[Date]],Database!$A:$E,MATCH($B$1,Database!$A$1:$E$1,),)=0,#N/A,VLOOKUP(Table73[[#This Row],[Date]],Database!$A:$E,MATCH($B$1,Database!$A$1:$E$1,),))</f>
        <v/>
      </c>
      <c r="C3134">
        <f>IF(VLOOKUP(Table73[[#This Row],[Date]],Database!$A:$C,MATCH($C$1,Database!$A$1:$C$1,),)=0,#N/A,VLOOKUP(Table73[[#This Row],[Date]],Database!$A:$C,MATCH($C$1,Database!$A$1:$C$1,),))</f>
        <v/>
      </c>
      <c r="D3134">
        <f>IFERROR(Table73[[#This Row],[United States 10y]]-Table73[[#This Row],[United States 2y]],#N/A)</f>
        <v/>
      </c>
    </row>
    <row r="3135">
      <c r="A3135" s="6">
        <f>Database!A3134</f>
        <v/>
      </c>
      <c r="B3135">
        <f>IF(VLOOKUP(Table73[[#This Row],[Date]],Database!$A:$E,MATCH($B$1,Database!$A$1:$E$1,),)=0,#N/A,VLOOKUP(Table73[[#This Row],[Date]],Database!$A:$E,MATCH($B$1,Database!$A$1:$E$1,),))</f>
        <v/>
      </c>
      <c r="C3135">
        <f>IF(VLOOKUP(Table73[[#This Row],[Date]],Database!$A:$C,MATCH($C$1,Database!$A$1:$C$1,),)=0,#N/A,VLOOKUP(Table73[[#This Row],[Date]],Database!$A:$C,MATCH($C$1,Database!$A$1:$C$1,),))</f>
        <v/>
      </c>
      <c r="D3135">
        <f>IFERROR(Table73[[#This Row],[United States 10y]]-Table73[[#This Row],[United States 2y]],#N/A)</f>
        <v/>
      </c>
    </row>
    <row r="3136">
      <c r="A3136" s="6">
        <f>Database!A3135</f>
        <v/>
      </c>
      <c r="B3136">
        <f>IF(VLOOKUP(Table73[[#This Row],[Date]],Database!$A:$E,MATCH($B$1,Database!$A$1:$E$1,),)=0,#N/A,VLOOKUP(Table73[[#This Row],[Date]],Database!$A:$E,MATCH($B$1,Database!$A$1:$E$1,),))</f>
        <v/>
      </c>
      <c r="C3136">
        <f>IF(VLOOKUP(Table73[[#This Row],[Date]],Database!$A:$C,MATCH($C$1,Database!$A$1:$C$1,),)=0,#N/A,VLOOKUP(Table73[[#This Row],[Date]],Database!$A:$C,MATCH($C$1,Database!$A$1:$C$1,),))</f>
        <v/>
      </c>
      <c r="D3136">
        <f>IFERROR(Table73[[#This Row],[United States 10y]]-Table73[[#This Row],[United States 2y]],#N/A)</f>
        <v/>
      </c>
    </row>
    <row r="3137">
      <c r="A3137" s="6">
        <f>Database!A3136</f>
        <v/>
      </c>
      <c r="B3137">
        <f>IF(VLOOKUP(Table73[[#This Row],[Date]],Database!$A:$E,MATCH($B$1,Database!$A$1:$E$1,),)=0,#N/A,VLOOKUP(Table73[[#This Row],[Date]],Database!$A:$E,MATCH($B$1,Database!$A$1:$E$1,),))</f>
        <v/>
      </c>
      <c r="C3137">
        <f>IF(VLOOKUP(Table73[[#This Row],[Date]],Database!$A:$C,MATCH($C$1,Database!$A$1:$C$1,),)=0,#N/A,VLOOKUP(Table73[[#This Row],[Date]],Database!$A:$C,MATCH($C$1,Database!$A$1:$C$1,),))</f>
        <v/>
      </c>
      <c r="D3137">
        <f>IFERROR(Table73[[#This Row],[United States 10y]]-Table73[[#This Row],[United States 2y]],#N/A)</f>
        <v/>
      </c>
    </row>
    <row r="3138">
      <c r="A3138" s="6">
        <f>Database!A3137</f>
        <v/>
      </c>
      <c r="B3138">
        <f>IF(VLOOKUP(Table73[[#This Row],[Date]],Database!$A:$E,MATCH($B$1,Database!$A$1:$E$1,),)=0,#N/A,VLOOKUP(Table73[[#This Row],[Date]],Database!$A:$E,MATCH($B$1,Database!$A$1:$E$1,),))</f>
        <v/>
      </c>
      <c r="C3138">
        <f>IF(VLOOKUP(Table73[[#This Row],[Date]],Database!$A:$C,MATCH($C$1,Database!$A$1:$C$1,),)=0,#N/A,VLOOKUP(Table73[[#This Row],[Date]],Database!$A:$C,MATCH($C$1,Database!$A$1:$C$1,),))</f>
        <v/>
      </c>
      <c r="D3138">
        <f>IFERROR(Table73[[#This Row],[United States 10y]]-Table73[[#This Row],[United States 2y]],#N/A)</f>
        <v/>
      </c>
    </row>
    <row r="3139">
      <c r="A3139" s="6">
        <f>Database!A3138</f>
        <v/>
      </c>
      <c r="B3139">
        <f>IF(VLOOKUP(Table73[[#This Row],[Date]],Database!$A:$E,MATCH($B$1,Database!$A$1:$E$1,),)=0,#N/A,VLOOKUP(Table73[[#This Row],[Date]],Database!$A:$E,MATCH($B$1,Database!$A$1:$E$1,),))</f>
        <v/>
      </c>
      <c r="C3139">
        <f>IF(VLOOKUP(Table73[[#This Row],[Date]],Database!$A:$C,MATCH($C$1,Database!$A$1:$C$1,),)=0,#N/A,VLOOKUP(Table73[[#This Row],[Date]],Database!$A:$C,MATCH($C$1,Database!$A$1:$C$1,),))</f>
        <v/>
      </c>
      <c r="D3139">
        <f>IFERROR(Table73[[#This Row],[United States 10y]]-Table73[[#This Row],[United States 2y]],#N/A)</f>
        <v/>
      </c>
    </row>
    <row r="3140">
      <c r="A3140" s="6">
        <f>Database!A3139</f>
        <v/>
      </c>
      <c r="B3140">
        <f>IF(VLOOKUP(Table73[[#This Row],[Date]],Database!$A:$E,MATCH($B$1,Database!$A$1:$E$1,),)=0,#N/A,VLOOKUP(Table73[[#This Row],[Date]],Database!$A:$E,MATCH($B$1,Database!$A$1:$E$1,),))</f>
        <v/>
      </c>
      <c r="C3140">
        <f>IF(VLOOKUP(Table73[[#This Row],[Date]],Database!$A:$C,MATCH($C$1,Database!$A$1:$C$1,),)=0,#N/A,VLOOKUP(Table73[[#This Row],[Date]],Database!$A:$C,MATCH($C$1,Database!$A$1:$C$1,),))</f>
        <v/>
      </c>
      <c r="D3140">
        <f>IFERROR(Table73[[#This Row],[United States 10y]]-Table73[[#This Row],[United States 2y]],#N/A)</f>
        <v/>
      </c>
    </row>
    <row r="3141">
      <c r="A3141" s="6">
        <f>Database!A3140</f>
        <v/>
      </c>
      <c r="B3141">
        <f>IF(VLOOKUP(Table73[[#This Row],[Date]],Database!$A:$E,MATCH($B$1,Database!$A$1:$E$1,),)=0,#N/A,VLOOKUP(Table73[[#This Row],[Date]],Database!$A:$E,MATCH($B$1,Database!$A$1:$E$1,),))</f>
        <v/>
      </c>
      <c r="C3141">
        <f>IF(VLOOKUP(Table73[[#This Row],[Date]],Database!$A:$C,MATCH($C$1,Database!$A$1:$C$1,),)=0,#N/A,VLOOKUP(Table73[[#This Row],[Date]],Database!$A:$C,MATCH($C$1,Database!$A$1:$C$1,),))</f>
        <v/>
      </c>
      <c r="D3141">
        <f>IFERROR(Table73[[#This Row],[United States 10y]]-Table73[[#This Row],[United States 2y]],#N/A)</f>
        <v/>
      </c>
    </row>
    <row r="3142">
      <c r="A3142" s="6">
        <f>Database!A3141</f>
        <v/>
      </c>
      <c r="B3142">
        <f>IF(VLOOKUP(Table73[[#This Row],[Date]],Database!$A:$E,MATCH($B$1,Database!$A$1:$E$1,),)=0,#N/A,VLOOKUP(Table73[[#This Row],[Date]],Database!$A:$E,MATCH($B$1,Database!$A$1:$E$1,),))</f>
        <v/>
      </c>
      <c r="C3142">
        <f>IF(VLOOKUP(Table73[[#This Row],[Date]],Database!$A:$C,MATCH($C$1,Database!$A$1:$C$1,),)=0,#N/A,VLOOKUP(Table73[[#This Row],[Date]],Database!$A:$C,MATCH($C$1,Database!$A$1:$C$1,),))</f>
        <v/>
      </c>
      <c r="D3142">
        <f>IFERROR(Table73[[#This Row],[United States 10y]]-Table73[[#This Row],[United States 2y]],#N/A)</f>
        <v/>
      </c>
    </row>
    <row r="3143">
      <c r="A3143" s="6">
        <f>Database!A3142</f>
        <v/>
      </c>
      <c r="B3143">
        <f>IF(VLOOKUP(Table73[[#This Row],[Date]],Database!$A:$E,MATCH($B$1,Database!$A$1:$E$1,),)=0,#N/A,VLOOKUP(Table73[[#This Row],[Date]],Database!$A:$E,MATCH($B$1,Database!$A$1:$E$1,),))</f>
        <v/>
      </c>
      <c r="C3143">
        <f>IF(VLOOKUP(Table73[[#This Row],[Date]],Database!$A:$C,MATCH($C$1,Database!$A$1:$C$1,),)=0,#N/A,VLOOKUP(Table73[[#This Row],[Date]],Database!$A:$C,MATCH($C$1,Database!$A$1:$C$1,),))</f>
        <v/>
      </c>
      <c r="D3143">
        <f>IFERROR(Table73[[#This Row],[United States 10y]]-Table73[[#This Row],[United States 2y]],#N/A)</f>
        <v/>
      </c>
    </row>
    <row r="3144">
      <c r="A3144" s="6">
        <f>Database!A3143</f>
        <v/>
      </c>
      <c r="B3144">
        <f>IF(VLOOKUP(Table73[[#This Row],[Date]],Database!$A:$E,MATCH($B$1,Database!$A$1:$E$1,),)=0,#N/A,VLOOKUP(Table73[[#This Row],[Date]],Database!$A:$E,MATCH($B$1,Database!$A$1:$E$1,),))</f>
        <v/>
      </c>
      <c r="C3144">
        <f>IF(VLOOKUP(Table73[[#This Row],[Date]],Database!$A:$C,MATCH($C$1,Database!$A$1:$C$1,),)=0,#N/A,VLOOKUP(Table73[[#This Row],[Date]],Database!$A:$C,MATCH($C$1,Database!$A$1:$C$1,),))</f>
        <v/>
      </c>
      <c r="D3144">
        <f>IFERROR(Table73[[#This Row],[United States 10y]]-Table73[[#This Row],[United States 2y]],#N/A)</f>
        <v/>
      </c>
    </row>
    <row r="3145">
      <c r="A3145" s="6">
        <f>Database!A3144</f>
        <v/>
      </c>
      <c r="B3145">
        <f>IF(VLOOKUP(Table73[[#This Row],[Date]],Database!$A:$E,MATCH($B$1,Database!$A$1:$E$1,),)=0,#N/A,VLOOKUP(Table73[[#This Row],[Date]],Database!$A:$E,MATCH($B$1,Database!$A$1:$E$1,),))</f>
        <v/>
      </c>
      <c r="C3145">
        <f>IF(VLOOKUP(Table73[[#This Row],[Date]],Database!$A:$C,MATCH($C$1,Database!$A$1:$C$1,),)=0,#N/A,VLOOKUP(Table73[[#This Row],[Date]],Database!$A:$C,MATCH($C$1,Database!$A$1:$C$1,),))</f>
        <v/>
      </c>
      <c r="D3145">
        <f>IFERROR(Table73[[#This Row],[United States 10y]]-Table73[[#This Row],[United States 2y]],#N/A)</f>
        <v/>
      </c>
    </row>
    <row r="3146">
      <c r="A3146" s="6">
        <f>Database!A3145</f>
        <v/>
      </c>
      <c r="B3146">
        <f>IF(VLOOKUP(Table73[[#This Row],[Date]],Database!$A:$E,MATCH($B$1,Database!$A$1:$E$1,),)=0,#N/A,VLOOKUP(Table73[[#This Row],[Date]],Database!$A:$E,MATCH($B$1,Database!$A$1:$E$1,),))</f>
        <v/>
      </c>
      <c r="C3146">
        <f>IF(VLOOKUP(Table73[[#This Row],[Date]],Database!$A:$C,MATCH($C$1,Database!$A$1:$C$1,),)=0,#N/A,VLOOKUP(Table73[[#This Row],[Date]],Database!$A:$C,MATCH($C$1,Database!$A$1:$C$1,),))</f>
        <v/>
      </c>
      <c r="D3146">
        <f>IFERROR(Table73[[#This Row],[United States 10y]]-Table73[[#This Row],[United States 2y]],#N/A)</f>
        <v/>
      </c>
    </row>
    <row r="3147">
      <c r="A3147" s="6">
        <f>Database!A3146</f>
        <v/>
      </c>
      <c r="B3147">
        <f>IF(VLOOKUP(Table73[[#This Row],[Date]],Database!$A:$E,MATCH($B$1,Database!$A$1:$E$1,),)=0,#N/A,VLOOKUP(Table73[[#This Row],[Date]],Database!$A:$E,MATCH($B$1,Database!$A$1:$E$1,),))</f>
        <v/>
      </c>
      <c r="C3147">
        <f>IF(VLOOKUP(Table73[[#This Row],[Date]],Database!$A:$C,MATCH($C$1,Database!$A$1:$C$1,),)=0,#N/A,VLOOKUP(Table73[[#This Row],[Date]],Database!$A:$C,MATCH($C$1,Database!$A$1:$C$1,),))</f>
        <v/>
      </c>
      <c r="D3147">
        <f>IFERROR(Table73[[#This Row],[United States 10y]]-Table73[[#This Row],[United States 2y]],#N/A)</f>
        <v/>
      </c>
    </row>
    <row r="3148">
      <c r="A3148" s="6">
        <f>Database!A3147</f>
        <v/>
      </c>
      <c r="B3148">
        <f>IF(VLOOKUP(Table73[[#This Row],[Date]],Database!$A:$E,MATCH($B$1,Database!$A$1:$E$1,),)=0,#N/A,VLOOKUP(Table73[[#This Row],[Date]],Database!$A:$E,MATCH($B$1,Database!$A$1:$E$1,),))</f>
        <v/>
      </c>
      <c r="C3148">
        <f>IF(VLOOKUP(Table73[[#This Row],[Date]],Database!$A:$C,MATCH($C$1,Database!$A$1:$C$1,),)=0,#N/A,VLOOKUP(Table73[[#This Row],[Date]],Database!$A:$C,MATCH($C$1,Database!$A$1:$C$1,),))</f>
        <v/>
      </c>
      <c r="D3148">
        <f>IFERROR(Table73[[#This Row],[United States 10y]]-Table73[[#This Row],[United States 2y]],#N/A)</f>
        <v/>
      </c>
    </row>
    <row r="3149">
      <c r="A3149" s="6">
        <f>Database!A3148</f>
        <v/>
      </c>
      <c r="B3149">
        <f>IF(VLOOKUP(Table73[[#This Row],[Date]],Database!$A:$E,MATCH($B$1,Database!$A$1:$E$1,),)=0,#N/A,VLOOKUP(Table73[[#This Row],[Date]],Database!$A:$E,MATCH($B$1,Database!$A$1:$E$1,),))</f>
        <v/>
      </c>
      <c r="C3149">
        <f>IF(VLOOKUP(Table73[[#This Row],[Date]],Database!$A:$C,MATCH($C$1,Database!$A$1:$C$1,),)=0,#N/A,VLOOKUP(Table73[[#This Row],[Date]],Database!$A:$C,MATCH($C$1,Database!$A$1:$C$1,),))</f>
        <v/>
      </c>
      <c r="D3149">
        <f>IFERROR(Table73[[#This Row],[United States 10y]]-Table73[[#This Row],[United States 2y]],#N/A)</f>
        <v/>
      </c>
    </row>
    <row r="3150">
      <c r="A3150" s="6">
        <f>Database!A3149</f>
        <v/>
      </c>
      <c r="B3150">
        <f>IF(VLOOKUP(Table73[[#This Row],[Date]],Database!$A:$E,MATCH($B$1,Database!$A$1:$E$1,),)=0,#N/A,VLOOKUP(Table73[[#This Row],[Date]],Database!$A:$E,MATCH($B$1,Database!$A$1:$E$1,),))</f>
        <v/>
      </c>
      <c r="C3150">
        <f>IF(VLOOKUP(Table73[[#This Row],[Date]],Database!$A:$C,MATCH($C$1,Database!$A$1:$C$1,),)=0,#N/A,VLOOKUP(Table73[[#This Row],[Date]],Database!$A:$C,MATCH($C$1,Database!$A$1:$C$1,),))</f>
        <v/>
      </c>
      <c r="D3150">
        <f>IFERROR(Table73[[#This Row],[United States 10y]]-Table73[[#This Row],[United States 2y]],#N/A)</f>
        <v/>
      </c>
    </row>
    <row r="3151">
      <c r="A3151" s="6">
        <f>Database!A3150</f>
        <v/>
      </c>
      <c r="B3151">
        <f>IF(VLOOKUP(Table73[[#This Row],[Date]],Database!$A:$E,MATCH($B$1,Database!$A$1:$E$1,),)=0,#N/A,VLOOKUP(Table73[[#This Row],[Date]],Database!$A:$E,MATCH($B$1,Database!$A$1:$E$1,),))</f>
        <v/>
      </c>
      <c r="C3151">
        <f>IF(VLOOKUP(Table73[[#This Row],[Date]],Database!$A:$C,MATCH($C$1,Database!$A$1:$C$1,),)=0,#N/A,VLOOKUP(Table73[[#This Row],[Date]],Database!$A:$C,MATCH($C$1,Database!$A$1:$C$1,),))</f>
        <v/>
      </c>
      <c r="D3151">
        <f>IFERROR(Table73[[#This Row],[United States 10y]]-Table73[[#This Row],[United States 2y]],#N/A)</f>
        <v/>
      </c>
    </row>
    <row r="3152">
      <c r="A3152" s="6">
        <f>Database!A3151</f>
        <v/>
      </c>
      <c r="B3152">
        <f>IF(VLOOKUP(Table73[[#This Row],[Date]],Database!$A:$E,MATCH($B$1,Database!$A$1:$E$1,),)=0,#N/A,VLOOKUP(Table73[[#This Row],[Date]],Database!$A:$E,MATCH($B$1,Database!$A$1:$E$1,),))</f>
        <v/>
      </c>
      <c r="C3152">
        <f>IF(VLOOKUP(Table73[[#This Row],[Date]],Database!$A:$C,MATCH($C$1,Database!$A$1:$C$1,),)=0,#N/A,VLOOKUP(Table73[[#This Row],[Date]],Database!$A:$C,MATCH($C$1,Database!$A$1:$C$1,),))</f>
        <v/>
      </c>
      <c r="D3152">
        <f>IFERROR(Table73[[#This Row],[United States 10y]]-Table73[[#This Row],[United States 2y]],#N/A)</f>
        <v/>
      </c>
    </row>
    <row r="3153">
      <c r="A3153" s="6">
        <f>Database!A3152</f>
        <v/>
      </c>
      <c r="B3153">
        <f>IF(VLOOKUP(Table73[[#This Row],[Date]],Database!$A:$E,MATCH($B$1,Database!$A$1:$E$1,),)=0,#N/A,VLOOKUP(Table73[[#This Row],[Date]],Database!$A:$E,MATCH($B$1,Database!$A$1:$E$1,),))</f>
        <v/>
      </c>
      <c r="C3153">
        <f>IF(VLOOKUP(Table73[[#This Row],[Date]],Database!$A:$C,MATCH($C$1,Database!$A$1:$C$1,),)=0,#N/A,VLOOKUP(Table73[[#This Row],[Date]],Database!$A:$C,MATCH($C$1,Database!$A$1:$C$1,),))</f>
        <v/>
      </c>
      <c r="D3153">
        <f>IFERROR(Table73[[#This Row],[United States 10y]]-Table73[[#This Row],[United States 2y]],#N/A)</f>
        <v/>
      </c>
    </row>
    <row r="3154">
      <c r="A3154" s="6">
        <f>Database!A3153</f>
        <v/>
      </c>
      <c r="B3154">
        <f>IF(VLOOKUP(Table73[[#This Row],[Date]],Database!$A:$E,MATCH($B$1,Database!$A$1:$E$1,),)=0,#N/A,VLOOKUP(Table73[[#This Row],[Date]],Database!$A:$E,MATCH($B$1,Database!$A$1:$E$1,),))</f>
        <v/>
      </c>
      <c r="C3154">
        <f>IF(VLOOKUP(Table73[[#This Row],[Date]],Database!$A:$C,MATCH($C$1,Database!$A$1:$C$1,),)=0,#N/A,VLOOKUP(Table73[[#This Row],[Date]],Database!$A:$C,MATCH($C$1,Database!$A$1:$C$1,),))</f>
        <v/>
      </c>
      <c r="D3154">
        <f>IFERROR(Table73[[#This Row],[United States 10y]]-Table73[[#This Row],[United States 2y]],#N/A)</f>
        <v/>
      </c>
    </row>
    <row r="3155">
      <c r="A3155" s="6">
        <f>Database!A3154</f>
        <v/>
      </c>
      <c r="B3155">
        <f>IF(VLOOKUP(Table73[[#This Row],[Date]],Database!$A:$E,MATCH($B$1,Database!$A$1:$E$1,),)=0,#N/A,VLOOKUP(Table73[[#This Row],[Date]],Database!$A:$E,MATCH($B$1,Database!$A$1:$E$1,),))</f>
        <v/>
      </c>
      <c r="C3155">
        <f>IF(VLOOKUP(Table73[[#This Row],[Date]],Database!$A:$C,MATCH($C$1,Database!$A$1:$C$1,),)=0,#N/A,VLOOKUP(Table73[[#This Row],[Date]],Database!$A:$C,MATCH($C$1,Database!$A$1:$C$1,),))</f>
        <v/>
      </c>
      <c r="D3155">
        <f>IFERROR(Table73[[#This Row],[United States 10y]]-Table73[[#This Row],[United States 2y]],#N/A)</f>
        <v/>
      </c>
    </row>
    <row r="3156">
      <c r="A3156" s="6">
        <f>Database!A3155</f>
        <v/>
      </c>
      <c r="B3156">
        <f>IF(VLOOKUP(Table73[[#This Row],[Date]],Database!$A:$E,MATCH($B$1,Database!$A$1:$E$1,),)=0,#N/A,VLOOKUP(Table73[[#This Row],[Date]],Database!$A:$E,MATCH($B$1,Database!$A$1:$E$1,),))</f>
        <v/>
      </c>
      <c r="C3156">
        <f>IF(VLOOKUP(Table73[[#This Row],[Date]],Database!$A:$C,MATCH($C$1,Database!$A$1:$C$1,),)=0,#N/A,VLOOKUP(Table73[[#This Row],[Date]],Database!$A:$C,MATCH($C$1,Database!$A$1:$C$1,),))</f>
        <v/>
      </c>
      <c r="D3156">
        <f>IFERROR(Table73[[#This Row],[United States 10y]]-Table73[[#This Row],[United States 2y]],#N/A)</f>
        <v/>
      </c>
    </row>
    <row r="3157">
      <c r="A3157" s="6">
        <f>Database!A3156</f>
        <v/>
      </c>
      <c r="B3157">
        <f>IF(VLOOKUP(Table73[[#This Row],[Date]],Database!$A:$E,MATCH($B$1,Database!$A$1:$E$1,),)=0,#N/A,VLOOKUP(Table73[[#This Row],[Date]],Database!$A:$E,MATCH($B$1,Database!$A$1:$E$1,),))</f>
        <v/>
      </c>
      <c r="C3157">
        <f>IF(VLOOKUP(Table73[[#This Row],[Date]],Database!$A:$C,MATCH($C$1,Database!$A$1:$C$1,),)=0,#N/A,VLOOKUP(Table73[[#This Row],[Date]],Database!$A:$C,MATCH($C$1,Database!$A$1:$C$1,),))</f>
        <v/>
      </c>
      <c r="D3157">
        <f>IFERROR(Table73[[#This Row],[United States 10y]]-Table73[[#This Row],[United States 2y]],#N/A)</f>
        <v/>
      </c>
    </row>
    <row r="3158">
      <c r="A3158" s="6">
        <f>Database!A3157</f>
        <v/>
      </c>
      <c r="B3158">
        <f>IF(VLOOKUP(Table73[[#This Row],[Date]],Database!$A:$E,MATCH($B$1,Database!$A$1:$E$1,),)=0,#N/A,VLOOKUP(Table73[[#This Row],[Date]],Database!$A:$E,MATCH($B$1,Database!$A$1:$E$1,),))</f>
        <v/>
      </c>
      <c r="C3158">
        <f>IF(VLOOKUP(Table73[[#This Row],[Date]],Database!$A:$C,MATCH($C$1,Database!$A$1:$C$1,),)=0,#N/A,VLOOKUP(Table73[[#This Row],[Date]],Database!$A:$C,MATCH($C$1,Database!$A$1:$C$1,),))</f>
        <v/>
      </c>
      <c r="D3158">
        <f>IFERROR(Table73[[#This Row],[United States 10y]]-Table73[[#This Row],[United States 2y]],#N/A)</f>
        <v/>
      </c>
    </row>
    <row r="3159">
      <c r="A3159" s="6">
        <f>Database!A3158</f>
        <v/>
      </c>
      <c r="B3159">
        <f>IF(VLOOKUP(Table73[[#This Row],[Date]],Database!$A:$E,MATCH($B$1,Database!$A$1:$E$1,),)=0,#N/A,VLOOKUP(Table73[[#This Row],[Date]],Database!$A:$E,MATCH($B$1,Database!$A$1:$E$1,),))</f>
        <v/>
      </c>
      <c r="C3159">
        <f>IF(VLOOKUP(Table73[[#This Row],[Date]],Database!$A:$C,MATCH($C$1,Database!$A$1:$C$1,),)=0,#N/A,VLOOKUP(Table73[[#This Row],[Date]],Database!$A:$C,MATCH($C$1,Database!$A$1:$C$1,),))</f>
        <v/>
      </c>
      <c r="D3159">
        <f>IFERROR(Table73[[#This Row],[United States 10y]]-Table73[[#This Row],[United States 2y]],#N/A)</f>
        <v/>
      </c>
    </row>
    <row r="3160">
      <c r="A3160" s="6">
        <f>Database!A3159</f>
        <v/>
      </c>
      <c r="B3160">
        <f>IF(VLOOKUP(Table73[[#This Row],[Date]],Database!$A:$E,MATCH($B$1,Database!$A$1:$E$1,),)=0,#N/A,VLOOKUP(Table73[[#This Row],[Date]],Database!$A:$E,MATCH($B$1,Database!$A$1:$E$1,),))</f>
        <v/>
      </c>
      <c r="C3160">
        <f>IF(VLOOKUP(Table73[[#This Row],[Date]],Database!$A:$C,MATCH($C$1,Database!$A$1:$C$1,),)=0,#N/A,VLOOKUP(Table73[[#This Row],[Date]],Database!$A:$C,MATCH($C$1,Database!$A$1:$C$1,),))</f>
        <v/>
      </c>
      <c r="D3160">
        <f>IFERROR(Table73[[#This Row],[United States 10y]]-Table73[[#This Row],[United States 2y]],#N/A)</f>
        <v/>
      </c>
    </row>
    <row r="3161">
      <c r="A3161" s="6">
        <f>Database!A3160</f>
        <v/>
      </c>
      <c r="B3161">
        <f>IF(VLOOKUP(Table73[[#This Row],[Date]],Database!$A:$E,MATCH($B$1,Database!$A$1:$E$1,),)=0,#N/A,VLOOKUP(Table73[[#This Row],[Date]],Database!$A:$E,MATCH($B$1,Database!$A$1:$E$1,),))</f>
        <v/>
      </c>
      <c r="C3161">
        <f>IF(VLOOKUP(Table73[[#This Row],[Date]],Database!$A:$C,MATCH($C$1,Database!$A$1:$C$1,),)=0,#N/A,VLOOKUP(Table73[[#This Row],[Date]],Database!$A:$C,MATCH($C$1,Database!$A$1:$C$1,),))</f>
        <v/>
      </c>
      <c r="D3161">
        <f>IFERROR(Table73[[#This Row],[United States 10y]]-Table73[[#This Row],[United States 2y]],#N/A)</f>
        <v/>
      </c>
    </row>
    <row r="3162">
      <c r="A3162" s="6">
        <f>Database!A3161</f>
        <v/>
      </c>
      <c r="B3162">
        <f>IF(VLOOKUP(Table73[[#This Row],[Date]],Database!$A:$E,MATCH($B$1,Database!$A$1:$E$1,),)=0,#N/A,VLOOKUP(Table73[[#This Row],[Date]],Database!$A:$E,MATCH($B$1,Database!$A$1:$E$1,),))</f>
        <v/>
      </c>
      <c r="C3162">
        <f>IF(VLOOKUP(Table73[[#This Row],[Date]],Database!$A:$C,MATCH($C$1,Database!$A$1:$C$1,),)=0,#N/A,VLOOKUP(Table73[[#This Row],[Date]],Database!$A:$C,MATCH($C$1,Database!$A$1:$C$1,),))</f>
        <v/>
      </c>
      <c r="D3162">
        <f>IFERROR(Table73[[#This Row],[United States 10y]]-Table73[[#This Row],[United States 2y]],#N/A)</f>
        <v/>
      </c>
    </row>
    <row r="3163">
      <c r="A3163" s="6">
        <f>Database!A3162</f>
        <v/>
      </c>
      <c r="B3163">
        <f>IF(VLOOKUP(Table73[[#This Row],[Date]],Database!$A:$E,MATCH($B$1,Database!$A$1:$E$1,),)=0,#N/A,VLOOKUP(Table73[[#This Row],[Date]],Database!$A:$E,MATCH($B$1,Database!$A$1:$E$1,),))</f>
        <v/>
      </c>
      <c r="C3163">
        <f>IF(VLOOKUP(Table73[[#This Row],[Date]],Database!$A:$C,MATCH($C$1,Database!$A$1:$C$1,),)=0,#N/A,VLOOKUP(Table73[[#This Row],[Date]],Database!$A:$C,MATCH($C$1,Database!$A$1:$C$1,),))</f>
        <v/>
      </c>
      <c r="D3163">
        <f>IFERROR(Table73[[#This Row],[United States 10y]]-Table73[[#This Row],[United States 2y]],#N/A)</f>
        <v/>
      </c>
    </row>
    <row r="3164">
      <c r="A3164" s="6">
        <f>Database!A3163</f>
        <v/>
      </c>
      <c r="B3164">
        <f>IF(VLOOKUP(Table73[[#This Row],[Date]],Database!$A:$E,MATCH($B$1,Database!$A$1:$E$1,),)=0,#N/A,VLOOKUP(Table73[[#This Row],[Date]],Database!$A:$E,MATCH($B$1,Database!$A$1:$E$1,),))</f>
        <v/>
      </c>
      <c r="C3164">
        <f>IF(VLOOKUP(Table73[[#This Row],[Date]],Database!$A:$C,MATCH($C$1,Database!$A$1:$C$1,),)=0,#N/A,VLOOKUP(Table73[[#This Row],[Date]],Database!$A:$C,MATCH($C$1,Database!$A$1:$C$1,),))</f>
        <v/>
      </c>
      <c r="D3164">
        <f>IFERROR(Table73[[#This Row],[United States 10y]]-Table73[[#This Row],[United States 2y]],#N/A)</f>
        <v/>
      </c>
    </row>
    <row r="3165">
      <c r="A3165" s="6">
        <f>Database!A3164</f>
        <v/>
      </c>
      <c r="B3165">
        <f>IF(VLOOKUP(Table73[[#This Row],[Date]],Database!$A:$E,MATCH($B$1,Database!$A$1:$E$1,),)=0,#N/A,VLOOKUP(Table73[[#This Row],[Date]],Database!$A:$E,MATCH($B$1,Database!$A$1:$E$1,),))</f>
        <v/>
      </c>
      <c r="C3165">
        <f>IF(VLOOKUP(Table73[[#This Row],[Date]],Database!$A:$C,MATCH($C$1,Database!$A$1:$C$1,),)=0,#N/A,VLOOKUP(Table73[[#This Row],[Date]],Database!$A:$C,MATCH($C$1,Database!$A$1:$C$1,),))</f>
        <v/>
      </c>
      <c r="D3165">
        <f>IFERROR(Table73[[#This Row],[United States 10y]]-Table73[[#This Row],[United States 2y]],#N/A)</f>
        <v/>
      </c>
    </row>
    <row r="3166">
      <c r="A3166" s="6">
        <f>Database!A3165</f>
        <v/>
      </c>
      <c r="B3166">
        <f>IF(VLOOKUP(Table73[[#This Row],[Date]],Database!$A:$E,MATCH($B$1,Database!$A$1:$E$1,),)=0,#N/A,VLOOKUP(Table73[[#This Row],[Date]],Database!$A:$E,MATCH($B$1,Database!$A$1:$E$1,),))</f>
        <v/>
      </c>
      <c r="C3166">
        <f>IF(VLOOKUP(Table73[[#This Row],[Date]],Database!$A:$C,MATCH($C$1,Database!$A$1:$C$1,),)=0,#N/A,VLOOKUP(Table73[[#This Row],[Date]],Database!$A:$C,MATCH($C$1,Database!$A$1:$C$1,),))</f>
        <v/>
      </c>
      <c r="D3166">
        <f>IFERROR(Table73[[#This Row],[United States 10y]]-Table73[[#This Row],[United States 2y]],#N/A)</f>
        <v/>
      </c>
    </row>
    <row r="3167">
      <c r="A3167" s="6">
        <f>Database!A3166</f>
        <v/>
      </c>
      <c r="B3167">
        <f>IF(VLOOKUP(Table73[[#This Row],[Date]],Database!$A:$E,MATCH($B$1,Database!$A$1:$E$1,),)=0,#N/A,VLOOKUP(Table73[[#This Row],[Date]],Database!$A:$E,MATCH($B$1,Database!$A$1:$E$1,),))</f>
        <v/>
      </c>
      <c r="C3167">
        <f>IF(VLOOKUP(Table73[[#This Row],[Date]],Database!$A:$C,MATCH($C$1,Database!$A$1:$C$1,),)=0,#N/A,VLOOKUP(Table73[[#This Row],[Date]],Database!$A:$C,MATCH($C$1,Database!$A$1:$C$1,),))</f>
        <v/>
      </c>
      <c r="D3167">
        <f>IFERROR(Table73[[#This Row],[United States 10y]]-Table73[[#This Row],[United States 2y]],#N/A)</f>
        <v/>
      </c>
    </row>
    <row r="3168">
      <c r="A3168" s="6">
        <f>Database!A3167</f>
        <v/>
      </c>
      <c r="B3168">
        <f>IF(VLOOKUP(Table73[[#This Row],[Date]],Database!$A:$E,MATCH($B$1,Database!$A$1:$E$1,),)=0,#N/A,VLOOKUP(Table73[[#This Row],[Date]],Database!$A:$E,MATCH($B$1,Database!$A$1:$E$1,),))</f>
        <v/>
      </c>
      <c r="C3168">
        <f>IF(VLOOKUP(Table73[[#This Row],[Date]],Database!$A:$C,MATCH($C$1,Database!$A$1:$C$1,),)=0,#N/A,VLOOKUP(Table73[[#This Row],[Date]],Database!$A:$C,MATCH($C$1,Database!$A$1:$C$1,),))</f>
        <v/>
      </c>
      <c r="D3168">
        <f>IFERROR(Table73[[#This Row],[United States 10y]]-Table73[[#This Row],[United States 2y]],#N/A)</f>
        <v/>
      </c>
    </row>
    <row r="3169">
      <c r="A3169" s="6">
        <f>Database!A3168</f>
        <v/>
      </c>
      <c r="B3169">
        <f>IF(VLOOKUP(Table73[[#This Row],[Date]],Database!$A:$E,MATCH($B$1,Database!$A$1:$E$1,),)=0,#N/A,VLOOKUP(Table73[[#This Row],[Date]],Database!$A:$E,MATCH($B$1,Database!$A$1:$E$1,),))</f>
        <v/>
      </c>
      <c r="C3169">
        <f>IF(VLOOKUP(Table73[[#This Row],[Date]],Database!$A:$C,MATCH($C$1,Database!$A$1:$C$1,),)=0,#N/A,VLOOKUP(Table73[[#This Row],[Date]],Database!$A:$C,MATCH($C$1,Database!$A$1:$C$1,),))</f>
        <v/>
      </c>
      <c r="D3169">
        <f>IFERROR(Table73[[#This Row],[United States 10y]]-Table73[[#This Row],[United States 2y]],#N/A)</f>
        <v/>
      </c>
    </row>
    <row r="3170">
      <c r="A3170" s="6">
        <f>Database!A3169</f>
        <v/>
      </c>
      <c r="B3170">
        <f>IF(VLOOKUP(Table73[[#This Row],[Date]],Database!$A:$E,MATCH($B$1,Database!$A$1:$E$1,),)=0,#N/A,VLOOKUP(Table73[[#This Row],[Date]],Database!$A:$E,MATCH($B$1,Database!$A$1:$E$1,),))</f>
        <v/>
      </c>
      <c r="C3170">
        <f>IF(VLOOKUP(Table73[[#This Row],[Date]],Database!$A:$C,MATCH($C$1,Database!$A$1:$C$1,),)=0,#N/A,VLOOKUP(Table73[[#This Row],[Date]],Database!$A:$C,MATCH($C$1,Database!$A$1:$C$1,),))</f>
        <v/>
      </c>
      <c r="D3170">
        <f>IFERROR(Table73[[#This Row],[United States 10y]]-Table73[[#This Row],[United States 2y]],#N/A)</f>
        <v/>
      </c>
    </row>
    <row r="3171">
      <c r="A3171" s="6">
        <f>Database!A3170</f>
        <v/>
      </c>
      <c r="B3171">
        <f>IF(VLOOKUP(Table73[[#This Row],[Date]],Database!$A:$E,MATCH($B$1,Database!$A$1:$E$1,),)=0,#N/A,VLOOKUP(Table73[[#This Row],[Date]],Database!$A:$E,MATCH($B$1,Database!$A$1:$E$1,),))</f>
        <v/>
      </c>
      <c r="C3171">
        <f>IF(VLOOKUP(Table73[[#This Row],[Date]],Database!$A:$C,MATCH($C$1,Database!$A$1:$C$1,),)=0,#N/A,VLOOKUP(Table73[[#This Row],[Date]],Database!$A:$C,MATCH($C$1,Database!$A$1:$C$1,),))</f>
        <v/>
      </c>
      <c r="D3171">
        <f>IFERROR(Table73[[#This Row],[United States 10y]]-Table73[[#This Row],[United States 2y]],#N/A)</f>
        <v/>
      </c>
    </row>
    <row r="3172">
      <c r="A3172" s="6">
        <f>Database!A3171</f>
        <v/>
      </c>
      <c r="B3172">
        <f>IF(VLOOKUP(Table73[[#This Row],[Date]],Database!$A:$E,MATCH($B$1,Database!$A$1:$E$1,),)=0,#N/A,VLOOKUP(Table73[[#This Row],[Date]],Database!$A:$E,MATCH($B$1,Database!$A$1:$E$1,),))</f>
        <v/>
      </c>
      <c r="C3172">
        <f>IF(VLOOKUP(Table73[[#This Row],[Date]],Database!$A:$C,MATCH($C$1,Database!$A$1:$C$1,),)=0,#N/A,VLOOKUP(Table73[[#This Row],[Date]],Database!$A:$C,MATCH($C$1,Database!$A$1:$C$1,),))</f>
        <v/>
      </c>
      <c r="D3172">
        <f>IFERROR(Table73[[#This Row],[United States 10y]]-Table73[[#This Row],[United States 2y]],#N/A)</f>
        <v/>
      </c>
    </row>
    <row r="3173">
      <c r="A3173" s="6">
        <f>Database!A3172</f>
        <v/>
      </c>
      <c r="B3173">
        <f>IF(VLOOKUP(Table73[[#This Row],[Date]],Database!$A:$E,MATCH($B$1,Database!$A$1:$E$1,),)=0,#N/A,VLOOKUP(Table73[[#This Row],[Date]],Database!$A:$E,MATCH($B$1,Database!$A$1:$E$1,),))</f>
        <v/>
      </c>
      <c r="C3173">
        <f>IF(VLOOKUP(Table73[[#This Row],[Date]],Database!$A:$C,MATCH($C$1,Database!$A$1:$C$1,),)=0,#N/A,VLOOKUP(Table73[[#This Row],[Date]],Database!$A:$C,MATCH($C$1,Database!$A$1:$C$1,),))</f>
        <v/>
      </c>
      <c r="D3173">
        <f>IFERROR(Table73[[#This Row],[United States 10y]]-Table73[[#This Row],[United States 2y]],#N/A)</f>
        <v/>
      </c>
    </row>
    <row r="3174">
      <c r="A3174" s="6">
        <f>Database!A3173</f>
        <v/>
      </c>
      <c r="B3174">
        <f>IF(VLOOKUP(Table73[[#This Row],[Date]],Database!$A:$E,MATCH($B$1,Database!$A$1:$E$1,),)=0,#N/A,VLOOKUP(Table73[[#This Row],[Date]],Database!$A:$E,MATCH($B$1,Database!$A$1:$E$1,),))</f>
        <v/>
      </c>
      <c r="C3174">
        <f>IF(VLOOKUP(Table73[[#This Row],[Date]],Database!$A:$C,MATCH($C$1,Database!$A$1:$C$1,),)=0,#N/A,VLOOKUP(Table73[[#This Row],[Date]],Database!$A:$C,MATCH($C$1,Database!$A$1:$C$1,),))</f>
        <v/>
      </c>
      <c r="D3174">
        <f>IFERROR(Table73[[#This Row],[United States 10y]]-Table73[[#This Row],[United States 2y]],#N/A)</f>
        <v/>
      </c>
    </row>
    <row r="3175">
      <c r="A3175" s="6">
        <f>Database!A3174</f>
        <v/>
      </c>
      <c r="B3175">
        <f>IF(VLOOKUP(Table73[[#This Row],[Date]],Database!$A:$E,MATCH($B$1,Database!$A$1:$E$1,),)=0,#N/A,VLOOKUP(Table73[[#This Row],[Date]],Database!$A:$E,MATCH($B$1,Database!$A$1:$E$1,),))</f>
        <v/>
      </c>
      <c r="C3175">
        <f>IF(VLOOKUP(Table73[[#This Row],[Date]],Database!$A:$C,MATCH($C$1,Database!$A$1:$C$1,),)=0,#N/A,VLOOKUP(Table73[[#This Row],[Date]],Database!$A:$C,MATCH($C$1,Database!$A$1:$C$1,),))</f>
        <v/>
      </c>
      <c r="D3175">
        <f>IFERROR(Table73[[#This Row],[United States 10y]]-Table73[[#This Row],[United States 2y]],#N/A)</f>
        <v/>
      </c>
    </row>
    <row r="3176">
      <c r="A3176" s="6">
        <f>Database!A3175</f>
        <v/>
      </c>
      <c r="B3176">
        <f>IF(VLOOKUP(Table73[[#This Row],[Date]],Database!$A:$E,MATCH($B$1,Database!$A$1:$E$1,),)=0,#N/A,VLOOKUP(Table73[[#This Row],[Date]],Database!$A:$E,MATCH($B$1,Database!$A$1:$E$1,),))</f>
        <v/>
      </c>
      <c r="C3176">
        <f>IF(VLOOKUP(Table73[[#This Row],[Date]],Database!$A:$C,MATCH($C$1,Database!$A$1:$C$1,),)=0,#N/A,VLOOKUP(Table73[[#This Row],[Date]],Database!$A:$C,MATCH($C$1,Database!$A$1:$C$1,),))</f>
        <v/>
      </c>
      <c r="D3176">
        <f>IFERROR(Table73[[#This Row],[United States 10y]]-Table73[[#This Row],[United States 2y]],#N/A)</f>
        <v/>
      </c>
    </row>
    <row r="3177">
      <c r="A3177" s="6">
        <f>Database!A3176</f>
        <v/>
      </c>
      <c r="B3177">
        <f>IF(VLOOKUP(Table73[[#This Row],[Date]],Database!$A:$E,MATCH($B$1,Database!$A$1:$E$1,),)=0,#N/A,VLOOKUP(Table73[[#This Row],[Date]],Database!$A:$E,MATCH($B$1,Database!$A$1:$E$1,),))</f>
        <v/>
      </c>
      <c r="C3177">
        <f>IF(VLOOKUP(Table73[[#This Row],[Date]],Database!$A:$C,MATCH($C$1,Database!$A$1:$C$1,),)=0,#N/A,VLOOKUP(Table73[[#This Row],[Date]],Database!$A:$C,MATCH($C$1,Database!$A$1:$C$1,),))</f>
        <v/>
      </c>
      <c r="D3177">
        <f>IFERROR(Table73[[#This Row],[United States 10y]]-Table73[[#This Row],[United States 2y]],#N/A)</f>
        <v/>
      </c>
    </row>
    <row r="3178">
      <c r="A3178" s="6">
        <f>Database!A3177</f>
        <v/>
      </c>
      <c r="B3178">
        <f>IF(VLOOKUP(Table73[[#This Row],[Date]],Database!$A:$E,MATCH($B$1,Database!$A$1:$E$1,),)=0,#N/A,VLOOKUP(Table73[[#This Row],[Date]],Database!$A:$E,MATCH($B$1,Database!$A$1:$E$1,),))</f>
        <v/>
      </c>
      <c r="C3178">
        <f>IF(VLOOKUP(Table73[[#This Row],[Date]],Database!$A:$C,MATCH($C$1,Database!$A$1:$C$1,),)=0,#N/A,VLOOKUP(Table73[[#This Row],[Date]],Database!$A:$C,MATCH($C$1,Database!$A$1:$C$1,),))</f>
        <v/>
      </c>
      <c r="D3178">
        <f>IFERROR(Table73[[#This Row],[United States 10y]]-Table73[[#This Row],[United States 2y]],#N/A)</f>
        <v/>
      </c>
    </row>
    <row r="3179">
      <c r="A3179" s="6">
        <f>Database!A3178</f>
        <v/>
      </c>
      <c r="B3179">
        <f>IF(VLOOKUP(Table73[[#This Row],[Date]],Database!$A:$E,MATCH($B$1,Database!$A$1:$E$1,),)=0,#N/A,VLOOKUP(Table73[[#This Row],[Date]],Database!$A:$E,MATCH($B$1,Database!$A$1:$E$1,),))</f>
        <v/>
      </c>
      <c r="C3179">
        <f>IF(VLOOKUP(Table73[[#This Row],[Date]],Database!$A:$C,MATCH($C$1,Database!$A$1:$C$1,),)=0,#N/A,VLOOKUP(Table73[[#This Row],[Date]],Database!$A:$C,MATCH($C$1,Database!$A$1:$C$1,),))</f>
        <v/>
      </c>
      <c r="D3179">
        <f>IFERROR(Table73[[#This Row],[United States 10y]]-Table73[[#This Row],[United States 2y]],#N/A)</f>
        <v/>
      </c>
    </row>
    <row r="3180">
      <c r="A3180" s="6">
        <f>Database!A3179</f>
        <v/>
      </c>
      <c r="B3180">
        <f>IF(VLOOKUP(Table73[[#This Row],[Date]],Database!$A:$E,MATCH($B$1,Database!$A$1:$E$1,),)=0,#N/A,VLOOKUP(Table73[[#This Row],[Date]],Database!$A:$E,MATCH($B$1,Database!$A$1:$E$1,),))</f>
        <v/>
      </c>
      <c r="C3180">
        <f>IF(VLOOKUP(Table73[[#This Row],[Date]],Database!$A:$C,MATCH($C$1,Database!$A$1:$C$1,),)=0,#N/A,VLOOKUP(Table73[[#This Row],[Date]],Database!$A:$C,MATCH($C$1,Database!$A$1:$C$1,),))</f>
        <v/>
      </c>
      <c r="D3180">
        <f>IFERROR(Table73[[#This Row],[United States 10y]]-Table73[[#This Row],[United States 2y]],#N/A)</f>
        <v/>
      </c>
    </row>
    <row r="3181">
      <c r="A3181" s="6">
        <f>Database!A3180</f>
        <v/>
      </c>
      <c r="B3181">
        <f>IF(VLOOKUP(Table73[[#This Row],[Date]],Database!$A:$E,MATCH($B$1,Database!$A$1:$E$1,),)=0,#N/A,VLOOKUP(Table73[[#This Row],[Date]],Database!$A:$E,MATCH($B$1,Database!$A$1:$E$1,),))</f>
        <v/>
      </c>
      <c r="C3181">
        <f>IF(VLOOKUP(Table73[[#This Row],[Date]],Database!$A:$C,MATCH($C$1,Database!$A$1:$C$1,),)=0,#N/A,VLOOKUP(Table73[[#This Row],[Date]],Database!$A:$C,MATCH($C$1,Database!$A$1:$C$1,),))</f>
        <v/>
      </c>
      <c r="D3181">
        <f>IFERROR(Table73[[#This Row],[United States 10y]]-Table73[[#This Row],[United States 2y]],#N/A)</f>
        <v/>
      </c>
    </row>
    <row r="3182">
      <c r="A3182" s="6">
        <f>Database!A3181</f>
        <v/>
      </c>
      <c r="B3182">
        <f>IF(VLOOKUP(Table73[[#This Row],[Date]],Database!$A:$E,MATCH($B$1,Database!$A$1:$E$1,),)=0,#N/A,VLOOKUP(Table73[[#This Row],[Date]],Database!$A:$E,MATCH($B$1,Database!$A$1:$E$1,),))</f>
        <v/>
      </c>
      <c r="C3182">
        <f>IF(VLOOKUP(Table73[[#This Row],[Date]],Database!$A:$C,MATCH($C$1,Database!$A$1:$C$1,),)=0,#N/A,VLOOKUP(Table73[[#This Row],[Date]],Database!$A:$C,MATCH($C$1,Database!$A$1:$C$1,),))</f>
        <v/>
      </c>
      <c r="D3182">
        <f>IFERROR(Table73[[#This Row],[United States 10y]]-Table73[[#This Row],[United States 2y]],#N/A)</f>
        <v/>
      </c>
    </row>
    <row r="3183">
      <c r="A3183" s="6">
        <f>Database!A3182</f>
        <v/>
      </c>
      <c r="B3183">
        <f>IF(VLOOKUP(Table73[[#This Row],[Date]],Database!$A:$E,MATCH($B$1,Database!$A$1:$E$1,),)=0,#N/A,VLOOKUP(Table73[[#This Row],[Date]],Database!$A:$E,MATCH($B$1,Database!$A$1:$E$1,),))</f>
        <v/>
      </c>
      <c r="C3183">
        <f>IF(VLOOKUP(Table73[[#This Row],[Date]],Database!$A:$C,MATCH($C$1,Database!$A$1:$C$1,),)=0,#N/A,VLOOKUP(Table73[[#This Row],[Date]],Database!$A:$C,MATCH($C$1,Database!$A$1:$C$1,),))</f>
        <v/>
      </c>
      <c r="D3183">
        <f>IFERROR(Table73[[#This Row],[United States 10y]]-Table73[[#This Row],[United States 2y]],#N/A)</f>
        <v/>
      </c>
    </row>
    <row r="3184">
      <c r="A3184" s="6">
        <f>Database!A3183</f>
        <v/>
      </c>
      <c r="B3184">
        <f>IF(VLOOKUP(Table73[[#This Row],[Date]],Database!$A:$E,MATCH($B$1,Database!$A$1:$E$1,),)=0,#N/A,VLOOKUP(Table73[[#This Row],[Date]],Database!$A:$E,MATCH($B$1,Database!$A$1:$E$1,),))</f>
        <v/>
      </c>
      <c r="C3184">
        <f>IF(VLOOKUP(Table73[[#This Row],[Date]],Database!$A:$C,MATCH($C$1,Database!$A$1:$C$1,),)=0,#N/A,VLOOKUP(Table73[[#This Row],[Date]],Database!$A:$C,MATCH($C$1,Database!$A$1:$C$1,),))</f>
        <v/>
      </c>
      <c r="D3184">
        <f>IFERROR(Table73[[#This Row],[United States 10y]]-Table73[[#This Row],[United States 2y]],#N/A)</f>
        <v/>
      </c>
    </row>
    <row r="3185">
      <c r="A3185" s="6">
        <f>Database!A3184</f>
        <v/>
      </c>
      <c r="B3185">
        <f>IF(VLOOKUP(Table73[[#This Row],[Date]],Database!$A:$E,MATCH($B$1,Database!$A$1:$E$1,),)=0,#N/A,VLOOKUP(Table73[[#This Row],[Date]],Database!$A:$E,MATCH($B$1,Database!$A$1:$E$1,),))</f>
        <v/>
      </c>
      <c r="C3185">
        <f>IF(VLOOKUP(Table73[[#This Row],[Date]],Database!$A:$C,MATCH($C$1,Database!$A$1:$C$1,),)=0,#N/A,VLOOKUP(Table73[[#This Row],[Date]],Database!$A:$C,MATCH($C$1,Database!$A$1:$C$1,),))</f>
        <v/>
      </c>
      <c r="D3185">
        <f>IFERROR(Table73[[#This Row],[United States 10y]]-Table73[[#This Row],[United States 2y]],#N/A)</f>
        <v/>
      </c>
    </row>
    <row r="3186">
      <c r="A3186" s="6">
        <f>Database!A3185</f>
        <v/>
      </c>
      <c r="B3186">
        <f>IF(VLOOKUP(Table73[[#This Row],[Date]],Database!$A:$E,MATCH($B$1,Database!$A$1:$E$1,),)=0,#N/A,VLOOKUP(Table73[[#This Row],[Date]],Database!$A:$E,MATCH($B$1,Database!$A$1:$E$1,),))</f>
        <v/>
      </c>
      <c r="C3186">
        <f>IF(VLOOKUP(Table73[[#This Row],[Date]],Database!$A:$C,MATCH($C$1,Database!$A$1:$C$1,),)=0,#N/A,VLOOKUP(Table73[[#This Row],[Date]],Database!$A:$C,MATCH($C$1,Database!$A$1:$C$1,),))</f>
        <v/>
      </c>
      <c r="D3186">
        <f>IFERROR(Table73[[#This Row],[United States 10y]]-Table73[[#This Row],[United States 2y]],#N/A)</f>
        <v/>
      </c>
    </row>
    <row r="3187">
      <c r="A3187" s="6">
        <f>Database!A3186</f>
        <v/>
      </c>
      <c r="B3187">
        <f>IF(VLOOKUP(Table73[[#This Row],[Date]],Database!$A:$E,MATCH($B$1,Database!$A$1:$E$1,),)=0,#N/A,VLOOKUP(Table73[[#This Row],[Date]],Database!$A:$E,MATCH($B$1,Database!$A$1:$E$1,),))</f>
        <v/>
      </c>
      <c r="C3187">
        <f>IF(VLOOKUP(Table73[[#This Row],[Date]],Database!$A:$C,MATCH($C$1,Database!$A$1:$C$1,),)=0,#N/A,VLOOKUP(Table73[[#This Row],[Date]],Database!$A:$C,MATCH($C$1,Database!$A$1:$C$1,),))</f>
        <v/>
      </c>
      <c r="D3187">
        <f>IFERROR(Table73[[#This Row],[United States 10y]]-Table73[[#This Row],[United States 2y]],#N/A)</f>
        <v/>
      </c>
    </row>
    <row r="3188">
      <c r="A3188" s="6">
        <f>Database!A3187</f>
        <v/>
      </c>
      <c r="B3188">
        <f>IF(VLOOKUP(Table73[[#This Row],[Date]],Database!$A:$E,MATCH($B$1,Database!$A$1:$E$1,),)=0,#N/A,VLOOKUP(Table73[[#This Row],[Date]],Database!$A:$E,MATCH($B$1,Database!$A$1:$E$1,),))</f>
        <v/>
      </c>
      <c r="C3188">
        <f>IF(VLOOKUP(Table73[[#This Row],[Date]],Database!$A:$C,MATCH($C$1,Database!$A$1:$C$1,),)=0,#N/A,VLOOKUP(Table73[[#This Row],[Date]],Database!$A:$C,MATCH($C$1,Database!$A$1:$C$1,),))</f>
        <v/>
      </c>
      <c r="D3188">
        <f>IFERROR(Table73[[#This Row],[United States 10y]]-Table73[[#This Row],[United States 2y]],#N/A)</f>
        <v/>
      </c>
    </row>
    <row r="3189">
      <c r="A3189" s="6">
        <f>Database!A3188</f>
        <v/>
      </c>
      <c r="B3189">
        <f>IF(VLOOKUP(Table73[[#This Row],[Date]],Database!$A:$E,MATCH($B$1,Database!$A$1:$E$1,),)=0,#N/A,VLOOKUP(Table73[[#This Row],[Date]],Database!$A:$E,MATCH($B$1,Database!$A$1:$E$1,),))</f>
        <v/>
      </c>
      <c r="C3189">
        <f>IF(VLOOKUP(Table73[[#This Row],[Date]],Database!$A:$C,MATCH($C$1,Database!$A$1:$C$1,),)=0,#N/A,VLOOKUP(Table73[[#This Row],[Date]],Database!$A:$C,MATCH($C$1,Database!$A$1:$C$1,),))</f>
        <v/>
      </c>
      <c r="D3189">
        <f>IFERROR(Table73[[#This Row],[United States 10y]]-Table73[[#This Row],[United States 2y]],#N/A)</f>
        <v/>
      </c>
    </row>
    <row r="3190">
      <c r="A3190" s="6">
        <f>Database!A3189</f>
        <v/>
      </c>
      <c r="B3190">
        <f>IF(VLOOKUP(Table73[[#This Row],[Date]],Database!$A:$E,MATCH($B$1,Database!$A$1:$E$1,),)=0,#N/A,VLOOKUP(Table73[[#This Row],[Date]],Database!$A:$E,MATCH($B$1,Database!$A$1:$E$1,),))</f>
        <v/>
      </c>
      <c r="C3190">
        <f>IF(VLOOKUP(Table73[[#This Row],[Date]],Database!$A:$C,MATCH($C$1,Database!$A$1:$C$1,),)=0,#N/A,VLOOKUP(Table73[[#This Row],[Date]],Database!$A:$C,MATCH($C$1,Database!$A$1:$C$1,),))</f>
        <v/>
      </c>
      <c r="D3190">
        <f>IFERROR(Table73[[#This Row],[United States 10y]]-Table73[[#This Row],[United States 2y]],#N/A)</f>
        <v/>
      </c>
    </row>
    <row r="3191">
      <c r="A3191" s="6">
        <f>Database!A3190</f>
        <v/>
      </c>
      <c r="B3191">
        <f>IF(VLOOKUP(Table73[[#This Row],[Date]],Database!$A:$E,MATCH($B$1,Database!$A$1:$E$1,),)=0,#N/A,VLOOKUP(Table73[[#This Row],[Date]],Database!$A:$E,MATCH($B$1,Database!$A$1:$E$1,),))</f>
        <v/>
      </c>
      <c r="C3191">
        <f>IF(VLOOKUP(Table73[[#This Row],[Date]],Database!$A:$C,MATCH($C$1,Database!$A$1:$C$1,),)=0,#N/A,VLOOKUP(Table73[[#This Row],[Date]],Database!$A:$C,MATCH($C$1,Database!$A$1:$C$1,),))</f>
        <v/>
      </c>
      <c r="D3191">
        <f>IFERROR(Table73[[#This Row],[United States 10y]]-Table73[[#This Row],[United States 2y]],#N/A)</f>
        <v/>
      </c>
    </row>
    <row r="3192">
      <c r="A3192" s="6">
        <f>Database!A3191</f>
        <v/>
      </c>
      <c r="B3192">
        <f>IF(VLOOKUP(Table73[[#This Row],[Date]],Database!$A:$E,MATCH($B$1,Database!$A$1:$E$1,),)=0,#N/A,VLOOKUP(Table73[[#This Row],[Date]],Database!$A:$E,MATCH($B$1,Database!$A$1:$E$1,),))</f>
        <v/>
      </c>
      <c r="C3192">
        <f>IF(VLOOKUP(Table73[[#This Row],[Date]],Database!$A:$C,MATCH($C$1,Database!$A$1:$C$1,),)=0,#N/A,VLOOKUP(Table73[[#This Row],[Date]],Database!$A:$C,MATCH($C$1,Database!$A$1:$C$1,),))</f>
        <v/>
      </c>
      <c r="D3192">
        <f>IFERROR(Table73[[#This Row],[United States 10y]]-Table73[[#This Row],[United States 2y]],#N/A)</f>
        <v/>
      </c>
    </row>
    <row r="3193">
      <c r="A3193" s="6">
        <f>Database!A3192</f>
        <v/>
      </c>
      <c r="B3193">
        <f>IF(VLOOKUP(Table73[[#This Row],[Date]],Database!$A:$E,MATCH($B$1,Database!$A$1:$E$1,),)=0,#N/A,VLOOKUP(Table73[[#This Row],[Date]],Database!$A:$E,MATCH($B$1,Database!$A$1:$E$1,),))</f>
        <v/>
      </c>
      <c r="C3193">
        <f>IF(VLOOKUP(Table73[[#This Row],[Date]],Database!$A:$C,MATCH($C$1,Database!$A$1:$C$1,),)=0,#N/A,VLOOKUP(Table73[[#This Row],[Date]],Database!$A:$C,MATCH($C$1,Database!$A$1:$C$1,),))</f>
        <v/>
      </c>
      <c r="D3193">
        <f>IFERROR(Table73[[#This Row],[United States 10y]]-Table73[[#This Row],[United States 2y]],#N/A)</f>
        <v/>
      </c>
    </row>
    <row r="3194">
      <c r="A3194" s="6">
        <f>Database!A3193</f>
        <v/>
      </c>
      <c r="B3194">
        <f>IF(VLOOKUP(Table73[[#This Row],[Date]],Database!$A:$E,MATCH($B$1,Database!$A$1:$E$1,),)=0,#N/A,VLOOKUP(Table73[[#This Row],[Date]],Database!$A:$E,MATCH($B$1,Database!$A$1:$E$1,),))</f>
        <v/>
      </c>
      <c r="C3194">
        <f>IF(VLOOKUP(Table73[[#This Row],[Date]],Database!$A:$C,MATCH($C$1,Database!$A$1:$C$1,),)=0,#N/A,VLOOKUP(Table73[[#This Row],[Date]],Database!$A:$C,MATCH($C$1,Database!$A$1:$C$1,),))</f>
        <v/>
      </c>
      <c r="D3194">
        <f>IFERROR(Table73[[#This Row],[United States 10y]]-Table73[[#This Row],[United States 2y]],#N/A)</f>
        <v/>
      </c>
    </row>
    <row r="3195">
      <c r="A3195" s="6">
        <f>Database!A3194</f>
        <v/>
      </c>
      <c r="B3195">
        <f>IF(VLOOKUP(Table73[[#This Row],[Date]],Database!$A:$E,MATCH($B$1,Database!$A$1:$E$1,),)=0,#N/A,VLOOKUP(Table73[[#This Row],[Date]],Database!$A:$E,MATCH($B$1,Database!$A$1:$E$1,),))</f>
        <v/>
      </c>
      <c r="C3195">
        <f>IF(VLOOKUP(Table73[[#This Row],[Date]],Database!$A:$C,MATCH($C$1,Database!$A$1:$C$1,),)=0,#N/A,VLOOKUP(Table73[[#This Row],[Date]],Database!$A:$C,MATCH($C$1,Database!$A$1:$C$1,),))</f>
        <v/>
      </c>
      <c r="D3195">
        <f>IFERROR(Table73[[#This Row],[United States 10y]]-Table73[[#This Row],[United States 2y]],#N/A)</f>
        <v/>
      </c>
    </row>
    <row r="3196">
      <c r="A3196" s="6">
        <f>Database!A3195</f>
        <v/>
      </c>
      <c r="B3196">
        <f>IF(VLOOKUP(Table73[[#This Row],[Date]],Database!$A:$E,MATCH($B$1,Database!$A$1:$E$1,),)=0,#N/A,VLOOKUP(Table73[[#This Row],[Date]],Database!$A:$E,MATCH($B$1,Database!$A$1:$E$1,),))</f>
        <v/>
      </c>
      <c r="C3196">
        <f>IF(VLOOKUP(Table73[[#This Row],[Date]],Database!$A:$C,MATCH($C$1,Database!$A$1:$C$1,),)=0,#N/A,VLOOKUP(Table73[[#This Row],[Date]],Database!$A:$C,MATCH($C$1,Database!$A$1:$C$1,),))</f>
        <v/>
      </c>
      <c r="D3196">
        <f>IFERROR(Table73[[#This Row],[United States 10y]]-Table73[[#This Row],[United States 2y]],#N/A)</f>
        <v/>
      </c>
    </row>
    <row r="3197">
      <c r="A3197" s="6">
        <f>Database!A3196</f>
        <v/>
      </c>
      <c r="B3197">
        <f>IF(VLOOKUP(Table73[[#This Row],[Date]],Database!$A:$E,MATCH($B$1,Database!$A$1:$E$1,),)=0,#N/A,VLOOKUP(Table73[[#This Row],[Date]],Database!$A:$E,MATCH($B$1,Database!$A$1:$E$1,),))</f>
        <v/>
      </c>
      <c r="C3197">
        <f>IF(VLOOKUP(Table73[[#This Row],[Date]],Database!$A:$C,MATCH($C$1,Database!$A$1:$C$1,),)=0,#N/A,VLOOKUP(Table73[[#This Row],[Date]],Database!$A:$C,MATCH($C$1,Database!$A$1:$C$1,),))</f>
        <v/>
      </c>
      <c r="D3197">
        <f>IFERROR(Table73[[#This Row],[United States 10y]]-Table73[[#This Row],[United States 2y]],#N/A)</f>
        <v/>
      </c>
    </row>
    <row r="3198">
      <c r="A3198" s="6">
        <f>Database!A3197</f>
        <v/>
      </c>
      <c r="B3198">
        <f>IF(VLOOKUP(Table73[[#This Row],[Date]],Database!$A:$E,MATCH($B$1,Database!$A$1:$E$1,),)=0,#N/A,VLOOKUP(Table73[[#This Row],[Date]],Database!$A:$E,MATCH($B$1,Database!$A$1:$E$1,),))</f>
        <v/>
      </c>
      <c r="C3198">
        <f>IF(VLOOKUP(Table73[[#This Row],[Date]],Database!$A:$C,MATCH($C$1,Database!$A$1:$C$1,),)=0,#N/A,VLOOKUP(Table73[[#This Row],[Date]],Database!$A:$C,MATCH($C$1,Database!$A$1:$C$1,),))</f>
        <v/>
      </c>
      <c r="D3198">
        <f>IFERROR(Table73[[#This Row],[United States 10y]]-Table73[[#This Row],[United States 2y]],#N/A)</f>
        <v/>
      </c>
    </row>
    <row r="3199">
      <c r="A3199" s="6">
        <f>Database!A3198</f>
        <v/>
      </c>
      <c r="B3199">
        <f>IF(VLOOKUP(Table73[[#This Row],[Date]],Database!$A:$E,MATCH($B$1,Database!$A$1:$E$1,),)=0,#N/A,VLOOKUP(Table73[[#This Row],[Date]],Database!$A:$E,MATCH($B$1,Database!$A$1:$E$1,),))</f>
        <v/>
      </c>
      <c r="C3199">
        <f>IF(VLOOKUP(Table73[[#This Row],[Date]],Database!$A:$C,MATCH($C$1,Database!$A$1:$C$1,),)=0,#N/A,VLOOKUP(Table73[[#This Row],[Date]],Database!$A:$C,MATCH($C$1,Database!$A$1:$C$1,),))</f>
        <v/>
      </c>
      <c r="D3199">
        <f>IFERROR(Table73[[#This Row],[United States 10y]]-Table73[[#This Row],[United States 2y]],#N/A)</f>
        <v/>
      </c>
    </row>
    <row r="3200">
      <c r="A3200" s="6">
        <f>Database!A3199</f>
        <v/>
      </c>
      <c r="B3200">
        <f>IF(VLOOKUP(Table73[[#This Row],[Date]],Database!$A:$E,MATCH($B$1,Database!$A$1:$E$1,),)=0,#N/A,VLOOKUP(Table73[[#This Row],[Date]],Database!$A:$E,MATCH($B$1,Database!$A$1:$E$1,),))</f>
        <v/>
      </c>
      <c r="C3200">
        <f>IF(VLOOKUP(Table73[[#This Row],[Date]],Database!$A:$C,MATCH($C$1,Database!$A$1:$C$1,),)=0,#N/A,VLOOKUP(Table73[[#This Row],[Date]],Database!$A:$C,MATCH($C$1,Database!$A$1:$C$1,),))</f>
        <v/>
      </c>
      <c r="D3200">
        <f>IFERROR(Table73[[#This Row],[United States 10y]]-Table73[[#This Row],[United States 2y]],#N/A)</f>
        <v/>
      </c>
    </row>
    <row r="3201">
      <c r="A3201" s="6">
        <f>Database!A3200</f>
        <v/>
      </c>
      <c r="B3201">
        <f>IF(VLOOKUP(Table73[[#This Row],[Date]],Database!$A:$E,MATCH($B$1,Database!$A$1:$E$1,),)=0,#N/A,VLOOKUP(Table73[[#This Row],[Date]],Database!$A:$E,MATCH($B$1,Database!$A$1:$E$1,),))</f>
        <v/>
      </c>
      <c r="C3201">
        <f>IF(VLOOKUP(Table73[[#This Row],[Date]],Database!$A:$C,MATCH($C$1,Database!$A$1:$C$1,),)=0,#N/A,VLOOKUP(Table73[[#This Row],[Date]],Database!$A:$C,MATCH($C$1,Database!$A$1:$C$1,),))</f>
        <v/>
      </c>
      <c r="D3201">
        <f>IFERROR(Table73[[#This Row],[United States 10y]]-Table73[[#This Row],[United States 2y]],#N/A)</f>
        <v/>
      </c>
    </row>
    <row r="3202">
      <c r="A3202" s="6">
        <f>Database!A3201</f>
        <v/>
      </c>
      <c r="B3202">
        <f>IF(VLOOKUP(Table73[[#This Row],[Date]],Database!$A:$E,MATCH($B$1,Database!$A$1:$E$1,),)=0,#N/A,VLOOKUP(Table73[[#This Row],[Date]],Database!$A:$E,MATCH($B$1,Database!$A$1:$E$1,),))</f>
        <v/>
      </c>
      <c r="C3202">
        <f>IF(VLOOKUP(Table73[[#This Row],[Date]],Database!$A:$C,MATCH($C$1,Database!$A$1:$C$1,),)=0,#N/A,VLOOKUP(Table73[[#This Row],[Date]],Database!$A:$C,MATCH($C$1,Database!$A$1:$C$1,),))</f>
        <v/>
      </c>
      <c r="D3202">
        <f>IFERROR(Table73[[#This Row],[United States 10y]]-Table73[[#This Row],[United States 2y]],#N/A)</f>
        <v/>
      </c>
    </row>
    <row r="3203">
      <c r="A3203" s="6">
        <f>Database!A3202</f>
        <v/>
      </c>
      <c r="B3203">
        <f>IF(VLOOKUP(Table73[[#This Row],[Date]],Database!$A:$E,MATCH($B$1,Database!$A$1:$E$1,),)=0,#N/A,VLOOKUP(Table73[[#This Row],[Date]],Database!$A:$E,MATCH($B$1,Database!$A$1:$E$1,),))</f>
        <v/>
      </c>
      <c r="C3203">
        <f>IF(VLOOKUP(Table73[[#This Row],[Date]],Database!$A:$C,MATCH($C$1,Database!$A$1:$C$1,),)=0,#N/A,VLOOKUP(Table73[[#This Row],[Date]],Database!$A:$C,MATCH($C$1,Database!$A$1:$C$1,),))</f>
        <v/>
      </c>
      <c r="D3203">
        <f>IFERROR(Table73[[#This Row],[United States 10y]]-Table73[[#This Row],[United States 2y]],#N/A)</f>
        <v/>
      </c>
    </row>
    <row r="3204">
      <c r="A3204" s="6">
        <f>Database!A3203</f>
        <v/>
      </c>
      <c r="B3204">
        <f>IF(VLOOKUP(Table73[[#This Row],[Date]],Database!$A:$E,MATCH($B$1,Database!$A$1:$E$1,),)=0,#N/A,VLOOKUP(Table73[[#This Row],[Date]],Database!$A:$E,MATCH($B$1,Database!$A$1:$E$1,),))</f>
        <v/>
      </c>
      <c r="C3204">
        <f>IF(VLOOKUP(Table73[[#This Row],[Date]],Database!$A:$C,MATCH($C$1,Database!$A$1:$C$1,),)=0,#N/A,VLOOKUP(Table73[[#This Row],[Date]],Database!$A:$C,MATCH($C$1,Database!$A$1:$C$1,),))</f>
        <v/>
      </c>
      <c r="D3204">
        <f>IFERROR(Table73[[#This Row],[United States 10y]]-Table73[[#This Row],[United States 2y]],#N/A)</f>
        <v/>
      </c>
    </row>
    <row r="3205">
      <c r="A3205" s="6">
        <f>Database!A3204</f>
        <v/>
      </c>
      <c r="B3205">
        <f>IF(VLOOKUP(Table73[[#This Row],[Date]],Database!$A:$E,MATCH($B$1,Database!$A$1:$E$1,),)=0,#N/A,VLOOKUP(Table73[[#This Row],[Date]],Database!$A:$E,MATCH($B$1,Database!$A$1:$E$1,),))</f>
        <v/>
      </c>
      <c r="C3205">
        <f>IF(VLOOKUP(Table73[[#This Row],[Date]],Database!$A:$C,MATCH($C$1,Database!$A$1:$C$1,),)=0,#N/A,VLOOKUP(Table73[[#This Row],[Date]],Database!$A:$C,MATCH($C$1,Database!$A$1:$C$1,),))</f>
        <v/>
      </c>
      <c r="D3205">
        <f>IFERROR(Table73[[#This Row],[United States 10y]]-Table73[[#This Row],[United States 2y]],#N/A)</f>
        <v/>
      </c>
    </row>
    <row r="3206">
      <c r="A3206" s="6">
        <f>Database!A3205</f>
        <v/>
      </c>
      <c r="B3206">
        <f>IF(VLOOKUP(Table73[[#This Row],[Date]],Database!$A:$E,MATCH($B$1,Database!$A$1:$E$1,),)=0,#N/A,VLOOKUP(Table73[[#This Row],[Date]],Database!$A:$E,MATCH($B$1,Database!$A$1:$E$1,),))</f>
        <v/>
      </c>
      <c r="C3206">
        <f>IF(VLOOKUP(Table73[[#This Row],[Date]],Database!$A:$C,MATCH($C$1,Database!$A$1:$C$1,),)=0,#N/A,VLOOKUP(Table73[[#This Row],[Date]],Database!$A:$C,MATCH($C$1,Database!$A$1:$C$1,),))</f>
        <v/>
      </c>
      <c r="D3206">
        <f>IFERROR(Table73[[#This Row],[United States 10y]]-Table73[[#This Row],[United States 2y]],#N/A)</f>
        <v/>
      </c>
    </row>
    <row r="3207">
      <c r="A3207" s="6">
        <f>Database!A3206</f>
        <v/>
      </c>
      <c r="B3207">
        <f>IF(VLOOKUP(Table73[[#This Row],[Date]],Database!$A:$E,MATCH($B$1,Database!$A$1:$E$1,),)=0,#N/A,VLOOKUP(Table73[[#This Row],[Date]],Database!$A:$E,MATCH($B$1,Database!$A$1:$E$1,),))</f>
        <v/>
      </c>
      <c r="C3207">
        <f>IF(VLOOKUP(Table73[[#This Row],[Date]],Database!$A:$C,MATCH($C$1,Database!$A$1:$C$1,),)=0,#N/A,VLOOKUP(Table73[[#This Row],[Date]],Database!$A:$C,MATCH($C$1,Database!$A$1:$C$1,),))</f>
        <v/>
      </c>
      <c r="D3207">
        <f>IFERROR(Table73[[#This Row],[United States 10y]]-Table73[[#This Row],[United States 2y]],#N/A)</f>
        <v/>
      </c>
    </row>
    <row r="3208">
      <c r="A3208" s="6">
        <f>Database!A3207</f>
        <v/>
      </c>
      <c r="B3208">
        <f>IF(VLOOKUP(Table73[[#This Row],[Date]],Database!$A:$E,MATCH($B$1,Database!$A$1:$E$1,),)=0,#N/A,VLOOKUP(Table73[[#This Row],[Date]],Database!$A:$E,MATCH($B$1,Database!$A$1:$E$1,),))</f>
        <v/>
      </c>
      <c r="C3208">
        <f>IF(VLOOKUP(Table73[[#This Row],[Date]],Database!$A:$C,MATCH($C$1,Database!$A$1:$C$1,),)=0,#N/A,VLOOKUP(Table73[[#This Row],[Date]],Database!$A:$C,MATCH($C$1,Database!$A$1:$C$1,),))</f>
        <v/>
      </c>
      <c r="D3208">
        <f>IFERROR(Table73[[#This Row],[United States 10y]]-Table73[[#This Row],[United States 2y]],#N/A)</f>
        <v/>
      </c>
    </row>
    <row r="3209">
      <c r="A3209" s="6">
        <f>Database!A3208</f>
        <v/>
      </c>
      <c r="B3209">
        <f>IF(VLOOKUP(Table73[[#This Row],[Date]],Database!$A:$E,MATCH($B$1,Database!$A$1:$E$1,),)=0,#N/A,VLOOKUP(Table73[[#This Row],[Date]],Database!$A:$E,MATCH($B$1,Database!$A$1:$E$1,),))</f>
        <v/>
      </c>
      <c r="C3209">
        <f>IF(VLOOKUP(Table73[[#This Row],[Date]],Database!$A:$C,MATCH($C$1,Database!$A$1:$C$1,),)=0,#N/A,VLOOKUP(Table73[[#This Row],[Date]],Database!$A:$C,MATCH($C$1,Database!$A$1:$C$1,),))</f>
        <v/>
      </c>
      <c r="D3209">
        <f>IFERROR(Table73[[#This Row],[United States 10y]]-Table73[[#This Row],[United States 2y]],#N/A)</f>
        <v/>
      </c>
    </row>
    <row r="3210">
      <c r="A3210" s="6">
        <f>Database!A3209</f>
        <v/>
      </c>
      <c r="B3210">
        <f>IF(VLOOKUP(Table73[[#This Row],[Date]],Database!$A:$E,MATCH($B$1,Database!$A$1:$E$1,),)=0,#N/A,VLOOKUP(Table73[[#This Row],[Date]],Database!$A:$E,MATCH($B$1,Database!$A$1:$E$1,),))</f>
        <v/>
      </c>
      <c r="C3210">
        <f>IF(VLOOKUP(Table73[[#This Row],[Date]],Database!$A:$C,MATCH($C$1,Database!$A$1:$C$1,),)=0,#N/A,VLOOKUP(Table73[[#This Row],[Date]],Database!$A:$C,MATCH($C$1,Database!$A$1:$C$1,),))</f>
        <v/>
      </c>
      <c r="D3210">
        <f>IFERROR(Table73[[#This Row],[United States 10y]]-Table73[[#This Row],[United States 2y]],#N/A)</f>
        <v/>
      </c>
    </row>
    <row r="3211">
      <c r="A3211" s="6">
        <f>Database!A3210</f>
        <v/>
      </c>
      <c r="B3211">
        <f>IF(VLOOKUP(Table73[[#This Row],[Date]],Database!$A:$E,MATCH($B$1,Database!$A$1:$E$1,),)=0,#N/A,VLOOKUP(Table73[[#This Row],[Date]],Database!$A:$E,MATCH($B$1,Database!$A$1:$E$1,),))</f>
        <v/>
      </c>
      <c r="C3211">
        <f>IF(VLOOKUP(Table73[[#This Row],[Date]],Database!$A:$C,MATCH($C$1,Database!$A$1:$C$1,),)=0,#N/A,VLOOKUP(Table73[[#This Row],[Date]],Database!$A:$C,MATCH($C$1,Database!$A$1:$C$1,),))</f>
        <v/>
      </c>
      <c r="D3211">
        <f>IFERROR(Table73[[#This Row],[United States 10y]]-Table73[[#This Row],[United States 2y]],#N/A)</f>
        <v/>
      </c>
    </row>
    <row r="3212">
      <c r="A3212" s="6">
        <f>Database!A3211</f>
        <v/>
      </c>
      <c r="B3212">
        <f>IF(VLOOKUP(Table73[[#This Row],[Date]],Database!$A:$E,MATCH($B$1,Database!$A$1:$E$1,),)=0,#N/A,VLOOKUP(Table73[[#This Row],[Date]],Database!$A:$E,MATCH($B$1,Database!$A$1:$E$1,),))</f>
        <v/>
      </c>
      <c r="C3212">
        <f>IF(VLOOKUP(Table73[[#This Row],[Date]],Database!$A:$C,MATCH($C$1,Database!$A$1:$C$1,),)=0,#N/A,VLOOKUP(Table73[[#This Row],[Date]],Database!$A:$C,MATCH($C$1,Database!$A$1:$C$1,),))</f>
        <v/>
      </c>
      <c r="D3212">
        <f>IFERROR(Table73[[#This Row],[United States 10y]]-Table73[[#This Row],[United States 2y]],#N/A)</f>
        <v/>
      </c>
    </row>
    <row r="3213">
      <c r="A3213" s="6">
        <f>Database!A3212</f>
        <v/>
      </c>
      <c r="B3213">
        <f>IF(VLOOKUP(Table73[[#This Row],[Date]],Database!$A:$E,MATCH($B$1,Database!$A$1:$E$1,),)=0,#N/A,VLOOKUP(Table73[[#This Row],[Date]],Database!$A:$E,MATCH($B$1,Database!$A$1:$E$1,),))</f>
        <v/>
      </c>
      <c r="C3213">
        <f>IF(VLOOKUP(Table73[[#This Row],[Date]],Database!$A:$C,MATCH($C$1,Database!$A$1:$C$1,),)=0,#N/A,VLOOKUP(Table73[[#This Row],[Date]],Database!$A:$C,MATCH($C$1,Database!$A$1:$C$1,),))</f>
        <v/>
      </c>
      <c r="D3213">
        <f>IFERROR(Table73[[#This Row],[United States 10y]]-Table73[[#This Row],[United States 2y]],#N/A)</f>
        <v/>
      </c>
    </row>
    <row r="3214">
      <c r="A3214" s="6">
        <f>Database!A3213</f>
        <v/>
      </c>
      <c r="B3214">
        <f>IF(VLOOKUP(Table73[[#This Row],[Date]],Database!$A:$E,MATCH($B$1,Database!$A$1:$E$1,),)=0,#N/A,VLOOKUP(Table73[[#This Row],[Date]],Database!$A:$E,MATCH($B$1,Database!$A$1:$E$1,),))</f>
        <v/>
      </c>
      <c r="C3214">
        <f>IF(VLOOKUP(Table73[[#This Row],[Date]],Database!$A:$C,MATCH($C$1,Database!$A$1:$C$1,),)=0,#N/A,VLOOKUP(Table73[[#This Row],[Date]],Database!$A:$C,MATCH($C$1,Database!$A$1:$C$1,),))</f>
        <v/>
      </c>
      <c r="D3214">
        <f>IFERROR(Table73[[#This Row],[United States 10y]]-Table73[[#This Row],[United States 2y]],#N/A)</f>
        <v/>
      </c>
    </row>
    <row r="3215">
      <c r="A3215" s="6">
        <f>Database!A3214</f>
        <v/>
      </c>
      <c r="B3215">
        <f>IF(VLOOKUP(Table73[[#This Row],[Date]],Database!$A:$E,MATCH($B$1,Database!$A$1:$E$1,),)=0,#N/A,VLOOKUP(Table73[[#This Row],[Date]],Database!$A:$E,MATCH($B$1,Database!$A$1:$E$1,),))</f>
        <v/>
      </c>
      <c r="C3215">
        <f>IF(VLOOKUP(Table73[[#This Row],[Date]],Database!$A:$C,MATCH($C$1,Database!$A$1:$C$1,),)=0,#N/A,VLOOKUP(Table73[[#This Row],[Date]],Database!$A:$C,MATCH($C$1,Database!$A$1:$C$1,),))</f>
        <v/>
      </c>
      <c r="D3215">
        <f>IFERROR(Table73[[#This Row],[United States 10y]]-Table73[[#This Row],[United States 2y]],#N/A)</f>
        <v/>
      </c>
    </row>
    <row r="3216">
      <c r="A3216" s="6">
        <f>Database!A3215</f>
        <v/>
      </c>
      <c r="B3216">
        <f>IF(VLOOKUP(Table73[[#This Row],[Date]],Database!$A:$E,MATCH($B$1,Database!$A$1:$E$1,),)=0,#N/A,VLOOKUP(Table73[[#This Row],[Date]],Database!$A:$E,MATCH($B$1,Database!$A$1:$E$1,),))</f>
        <v/>
      </c>
      <c r="C3216">
        <f>IF(VLOOKUP(Table73[[#This Row],[Date]],Database!$A:$C,MATCH($C$1,Database!$A$1:$C$1,),)=0,#N/A,VLOOKUP(Table73[[#This Row],[Date]],Database!$A:$C,MATCH($C$1,Database!$A$1:$C$1,),))</f>
        <v/>
      </c>
      <c r="D3216">
        <f>IFERROR(Table73[[#This Row],[United States 10y]]-Table73[[#This Row],[United States 2y]],#N/A)</f>
        <v/>
      </c>
    </row>
    <row r="3217">
      <c r="A3217" s="6">
        <f>Database!A3216</f>
        <v/>
      </c>
      <c r="B3217">
        <f>IF(VLOOKUP(Table73[[#This Row],[Date]],Database!$A:$E,MATCH($B$1,Database!$A$1:$E$1,),)=0,#N/A,VLOOKUP(Table73[[#This Row],[Date]],Database!$A:$E,MATCH($B$1,Database!$A$1:$E$1,),))</f>
        <v/>
      </c>
      <c r="C3217">
        <f>IF(VLOOKUP(Table73[[#This Row],[Date]],Database!$A:$C,MATCH($C$1,Database!$A$1:$C$1,),)=0,#N/A,VLOOKUP(Table73[[#This Row],[Date]],Database!$A:$C,MATCH($C$1,Database!$A$1:$C$1,),))</f>
        <v/>
      </c>
      <c r="D3217">
        <f>IFERROR(Table73[[#This Row],[United States 10y]]-Table73[[#This Row],[United States 2y]],#N/A)</f>
        <v/>
      </c>
    </row>
    <row r="3218">
      <c r="A3218" s="6">
        <f>Database!A3217</f>
        <v/>
      </c>
      <c r="B3218">
        <f>IF(VLOOKUP(Table73[[#This Row],[Date]],Database!$A:$E,MATCH($B$1,Database!$A$1:$E$1,),)=0,#N/A,VLOOKUP(Table73[[#This Row],[Date]],Database!$A:$E,MATCH($B$1,Database!$A$1:$E$1,),))</f>
        <v/>
      </c>
      <c r="C3218">
        <f>IF(VLOOKUP(Table73[[#This Row],[Date]],Database!$A:$C,MATCH($C$1,Database!$A$1:$C$1,),)=0,#N/A,VLOOKUP(Table73[[#This Row],[Date]],Database!$A:$C,MATCH($C$1,Database!$A$1:$C$1,),))</f>
        <v/>
      </c>
      <c r="D3218">
        <f>IFERROR(Table73[[#This Row],[United States 10y]]-Table73[[#This Row],[United States 2y]],#N/A)</f>
        <v/>
      </c>
    </row>
    <row r="3219">
      <c r="A3219" s="6">
        <f>Database!A3218</f>
        <v/>
      </c>
      <c r="B3219">
        <f>IF(VLOOKUP(Table73[[#This Row],[Date]],Database!$A:$E,MATCH($B$1,Database!$A$1:$E$1,),)=0,#N/A,VLOOKUP(Table73[[#This Row],[Date]],Database!$A:$E,MATCH($B$1,Database!$A$1:$E$1,),))</f>
        <v/>
      </c>
      <c r="C3219">
        <f>IF(VLOOKUP(Table73[[#This Row],[Date]],Database!$A:$C,MATCH($C$1,Database!$A$1:$C$1,),)=0,#N/A,VLOOKUP(Table73[[#This Row],[Date]],Database!$A:$C,MATCH($C$1,Database!$A$1:$C$1,),))</f>
        <v/>
      </c>
      <c r="D3219">
        <f>IFERROR(Table73[[#This Row],[United States 10y]]-Table73[[#This Row],[United States 2y]],#N/A)</f>
        <v/>
      </c>
    </row>
    <row r="3220">
      <c r="A3220" s="6">
        <f>Database!A3219</f>
        <v/>
      </c>
      <c r="B3220">
        <f>IF(VLOOKUP(Table73[[#This Row],[Date]],Database!$A:$E,MATCH($B$1,Database!$A$1:$E$1,),)=0,#N/A,VLOOKUP(Table73[[#This Row],[Date]],Database!$A:$E,MATCH($B$1,Database!$A$1:$E$1,),))</f>
        <v/>
      </c>
      <c r="C3220">
        <f>IF(VLOOKUP(Table73[[#This Row],[Date]],Database!$A:$C,MATCH($C$1,Database!$A$1:$C$1,),)=0,#N/A,VLOOKUP(Table73[[#This Row],[Date]],Database!$A:$C,MATCH($C$1,Database!$A$1:$C$1,),))</f>
        <v/>
      </c>
      <c r="D3220">
        <f>IFERROR(Table73[[#This Row],[United States 10y]]-Table73[[#This Row],[United States 2y]],#N/A)</f>
        <v/>
      </c>
    </row>
    <row r="3221">
      <c r="A3221" s="6">
        <f>Database!A3220</f>
        <v/>
      </c>
      <c r="B3221">
        <f>IF(VLOOKUP(Table73[[#This Row],[Date]],Database!$A:$E,MATCH($B$1,Database!$A$1:$E$1,),)=0,#N/A,VLOOKUP(Table73[[#This Row],[Date]],Database!$A:$E,MATCH($B$1,Database!$A$1:$E$1,),))</f>
        <v/>
      </c>
      <c r="C3221">
        <f>IF(VLOOKUP(Table73[[#This Row],[Date]],Database!$A:$C,MATCH($C$1,Database!$A$1:$C$1,),)=0,#N/A,VLOOKUP(Table73[[#This Row],[Date]],Database!$A:$C,MATCH($C$1,Database!$A$1:$C$1,),))</f>
        <v/>
      </c>
      <c r="D3221">
        <f>IFERROR(Table73[[#This Row],[United States 10y]]-Table73[[#This Row],[United States 2y]],#N/A)</f>
        <v/>
      </c>
    </row>
    <row r="3222">
      <c r="A3222" s="6">
        <f>Database!A3221</f>
        <v/>
      </c>
      <c r="B3222">
        <f>IF(VLOOKUP(Table73[[#This Row],[Date]],Database!$A:$E,MATCH($B$1,Database!$A$1:$E$1,),)=0,#N/A,VLOOKUP(Table73[[#This Row],[Date]],Database!$A:$E,MATCH($B$1,Database!$A$1:$E$1,),))</f>
        <v/>
      </c>
      <c r="C3222">
        <f>IF(VLOOKUP(Table73[[#This Row],[Date]],Database!$A:$C,MATCH($C$1,Database!$A$1:$C$1,),)=0,#N/A,VLOOKUP(Table73[[#This Row],[Date]],Database!$A:$C,MATCH($C$1,Database!$A$1:$C$1,),))</f>
        <v/>
      </c>
      <c r="D3222">
        <f>IFERROR(Table73[[#This Row],[United States 10y]]-Table73[[#This Row],[United States 2y]],#N/A)</f>
        <v/>
      </c>
    </row>
    <row r="3223">
      <c r="A3223" s="6">
        <f>Database!A3222</f>
        <v/>
      </c>
      <c r="B3223">
        <f>IF(VLOOKUP(Table73[[#This Row],[Date]],Database!$A:$E,MATCH($B$1,Database!$A$1:$E$1,),)=0,#N/A,VLOOKUP(Table73[[#This Row],[Date]],Database!$A:$E,MATCH($B$1,Database!$A$1:$E$1,),))</f>
        <v/>
      </c>
      <c r="C3223">
        <f>IF(VLOOKUP(Table73[[#This Row],[Date]],Database!$A:$C,MATCH($C$1,Database!$A$1:$C$1,),)=0,#N/A,VLOOKUP(Table73[[#This Row],[Date]],Database!$A:$C,MATCH($C$1,Database!$A$1:$C$1,),))</f>
        <v/>
      </c>
      <c r="D3223">
        <f>IFERROR(Table73[[#This Row],[United States 10y]]-Table73[[#This Row],[United States 2y]],#N/A)</f>
        <v/>
      </c>
    </row>
    <row r="3224">
      <c r="A3224" s="6">
        <f>Database!A3223</f>
        <v/>
      </c>
      <c r="B3224">
        <f>IF(VLOOKUP(Table73[[#This Row],[Date]],Database!$A:$E,MATCH($B$1,Database!$A$1:$E$1,),)=0,#N/A,VLOOKUP(Table73[[#This Row],[Date]],Database!$A:$E,MATCH($B$1,Database!$A$1:$E$1,),))</f>
        <v/>
      </c>
      <c r="C3224">
        <f>IF(VLOOKUP(Table73[[#This Row],[Date]],Database!$A:$C,MATCH($C$1,Database!$A$1:$C$1,),)=0,#N/A,VLOOKUP(Table73[[#This Row],[Date]],Database!$A:$C,MATCH($C$1,Database!$A$1:$C$1,),))</f>
        <v/>
      </c>
      <c r="D3224">
        <f>IFERROR(Table73[[#This Row],[United States 10y]]-Table73[[#This Row],[United States 2y]],#N/A)</f>
        <v/>
      </c>
    </row>
    <row r="3225">
      <c r="A3225" s="6">
        <f>Database!A3224</f>
        <v/>
      </c>
      <c r="B3225">
        <f>IF(VLOOKUP(Table73[[#This Row],[Date]],Database!$A:$E,MATCH($B$1,Database!$A$1:$E$1,),)=0,#N/A,VLOOKUP(Table73[[#This Row],[Date]],Database!$A:$E,MATCH($B$1,Database!$A$1:$E$1,),))</f>
        <v/>
      </c>
      <c r="C3225">
        <f>IF(VLOOKUP(Table73[[#This Row],[Date]],Database!$A:$C,MATCH($C$1,Database!$A$1:$C$1,),)=0,#N/A,VLOOKUP(Table73[[#This Row],[Date]],Database!$A:$C,MATCH($C$1,Database!$A$1:$C$1,),))</f>
        <v/>
      </c>
      <c r="D3225">
        <f>IFERROR(Table73[[#This Row],[United States 10y]]-Table73[[#This Row],[United States 2y]],#N/A)</f>
        <v/>
      </c>
    </row>
    <row r="3226">
      <c r="A3226" s="6">
        <f>Database!A3225</f>
        <v/>
      </c>
      <c r="B3226">
        <f>IF(VLOOKUP(Table73[[#This Row],[Date]],Database!$A:$E,MATCH($B$1,Database!$A$1:$E$1,),)=0,#N/A,VLOOKUP(Table73[[#This Row],[Date]],Database!$A:$E,MATCH($B$1,Database!$A$1:$E$1,),))</f>
        <v/>
      </c>
      <c r="C3226">
        <f>IF(VLOOKUP(Table73[[#This Row],[Date]],Database!$A:$C,MATCH($C$1,Database!$A$1:$C$1,),)=0,#N/A,VLOOKUP(Table73[[#This Row],[Date]],Database!$A:$C,MATCH($C$1,Database!$A$1:$C$1,),))</f>
        <v/>
      </c>
      <c r="D3226">
        <f>IFERROR(Table73[[#This Row],[United States 10y]]-Table73[[#This Row],[United States 2y]],#N/A)</f>
        <v/>
      </c>
    </row>
    <row r="3227">
      <c r="A3227" s="6">
        <f>Database!A3226</f>
        <v/>
      </c>
      <c r="B3227">
        <f>IF(VLOOKUP(Table73[[#This Row],[Date]],Database!$A:$E,MATCH($B$1,Database!$A$1:$E$1,),)=0,#N/A,VLOOKUP(Table73[[#This Row],[Date]],Database!$A:$E,MATCH($B$1,Database!$A$1:$E$1,),))</f>
        <v/>
      </c>
      <c r="C3227">
        <f>IF(VLOOKUP(Table73[[#This Row],[Date]],Database!$A:$C,MATCH($C$1,Database!$A$1:$C$1,),)=0,#N/A,VLOOKUP(Table73[[#This Row],[Date]],Database!$A:$C,MATCH($C$1,Database!$A$1:$C$1,),))</f>
        <v/>
      </c>
      <c r="D3227">
        <f>IFERROR(Table73[[#This Row],[United States 10y]]-Table73[[#This Row],[United States 2y]],#N/A)</f>
        <v/>
      </c>
    </row>
    <row r="3228">
      <c r="A3228" s="6">
        <f>Database!A3227</f>
        <v/>
      </c>
      <c r="B3228">
        <f>IF(VLOOKUP(Table73[[#This Row],[Date]],Database!$A:$E,MATCH($B$1,Database!$A$1:$E$1,),)=0,#N/A,VLOOKUP(Table73[[#This Row],[Date]],Database!$A:$E,MATCH($B$1,Database!$A$1:$E$1,),))</f>
        <v/>
      </c>
      <c r="C3228">
        <f>IF(VLOOKUP(Table73[[#This Row],[Date]],Database!$A:$C,MATCH($C$1,Database!$A$1:$C$1,),)=0,#N/A,VLOOKUP(Table73[[#This Row],[Date]],Database!$A:$C,MATCH($C$1,Database!$A$1:$C$1,),))</f>
        <v/>
      </c>
      <c r="D3228">
        <f>IFERROR(Table73[[#This Row],[United States 10y]]-Table73[[#This Row],[United States 2y]],#N/A)</f>
        <v/>
      </c>
    </row>
    <row r="3229">
      <c r="A3229" s="6">
        <f>Database!A3228</f>
        <v/>
      </c>
      <c r="B3229">
        <f>IF(VLOOKUP(Table73[[#This Row],[Date]],Database!$A:$E,MATCH($B$1,Database!$A$1:$E$1,),)=0,#N/A,VLOOKUP(Table73[[#This Row],[Date]],Database!$A:$E,MATCH($B$1,Database!$A$1:$E$1,),))</f>
        <v/>
      </c>
      <c r="C3229">
        <f>IF(VLOOKUP(Table73[[#This Row],[Date]],Database!$A:$C,MATCH($C$1,Database!$A$1:$C$1,),)=0,#N/A,VLOOKUP(Table73[[#This Row],[Date]],Database!$A:$C,MATCH($C$1,Database!$A$1:$C$1,),))</f>
        <v/>
      </c>
      <c r="D3229">
        <f>IFERROR(Table73[[#This Row],[United States 10y]]-Table73[[#This Row],[United States 2y]],#N/A)</f>
        <v/>
      </c>
    </row>
    <row r="3230">
      <c r="A3230" s="6">
        <f>Database!A3229</f>
        <v/>
      </c>
      <c r="B3230">
        <f>IF(VLOOKUP(Table73[[#This Row],[Date]],Database!$A:$E,MATCH($B$1,Database!$A$1:$E$1,),)=0,#N/A,VLOOKUP(Table73[[#This Row],[Date]],Database!$A:$E,MATCH($B$1,Database!$A$1:$E$1,),))</f>
        <v/>
      </c>
      <c r="C3230">
        <f>IF(VLOOKUP(Table73[[#This Row],[Date]],Database!$A:$C,MATCH($C$1,Database!$A$1:$C$1,),)=0,#N/A,VLOOKUP(Table73[[#This Row],[Date]],Database!$A:$C,MATCH($C$1,Database!$A$1:$C$1,),))</f>
        <v/>
      </c>
      <c r="D3230">
        <f>IFERROR(Table73[[#This Row],[United States 10y]]-Table73[[#This Row],[United States 2y]],#N/A)</f>
        <v/>
      </c>
    </row>
    <row r="3231">
      <c r="A3231" s="6">
        <f>Database!A3230</f>
        <v/>
      </c>
      <c r="B3231">
        <f>IF(VLOOKUP(Table73[[#This Row],[Date]],Database!$A:$E,MATCH($B$1,Database!$A$1:$E$1,),)=0,#N/A,VLOOKUP(Table73[[#This Row],[Date]],Database!$A:$E,MATCH($B$1,Database!$A$1:$E$1,),))</f>
        <v/>
      </c>
      <c r="C3231">
        <f>IF(VLOOKUP(Table73[[#This Row],[Date]],Database!$A:$C,MATCH($C$1,Database!$A$1:$C$1,),)=0,#N/A,VLOOKUP(Table73[[#This Row],[Date]],Database!$A:$C,MATCH($C$1,Database!$A$1:$C$1,),))</f>
        <v/>
      </c>
      <c r="D3231">
        <f>IFERROR(Table73[[#This Row],[United States 10y]]-Table73[[#This Row],[United States 2y]],#N/A)</f>
        <v/>
      </c>
    </row>
    <row r="3232">
      <c r="A3232" s="6">
        <f>Database!A3231</f>
        <v/>
      </c>
      <c r="B3232">
        <f>IF(VLOOKUP(Table73[[#This Row],[Date]],Database!$A:$E,MATCH($B$1,Database!$A$1:$E$1,),)=0,#N/A,VLOOKUP(Table73[[#This Row],[Date]],Database!$A:$E,MATCH($B$1,Database!$A$1:$E$1,),))</f>
        <v/>
      </c>
      <c r="C3232">
        <f>IF(VLOOKUP(Table73[[#This Row],[Date]],Database!$A:$C,MATCH($C$1,Database!$A$1:$C$1,),)=0,#N/A,VLOOKUP(Table73[[#This Row],[Date]],Database!$A:$C,MATCH($C$1,Database!$A$1:$C$1,),))</f>
        <v/>
      </c>
      <c r="D3232">
        <f>IFERROR(Table73[[#This Row],[United States 10y]]-Table73[[#This Row],[United States 2y]],#N/A)</f>
        <v/>
      </c>
    </row>
    <row r="3233">
      <c r="A3233" s="6">
        <f>Database!A3232</f>
        <v/>
      </c>
      <c r="B3233">
        <f>IF(VLOOKUP(Table73[[#This Row],[Date]],Database!$A:$E,MATCH($B$1,Database!$A$1:$E$1,),)=0,#N/A,VLOOKUP(Table73[[#This Row],[Date]],Database!$A:$E,MATCH($B$1,Database!$A$1:$E$1,),))</f>
        <v/>
      </c>
      <c r="C3233">
        <f>IF(VLOOKUP(Table73[[#This Row],[Date]],Database!$A:$C,MATCH($C$1,Database!$A$1:$C$1,),)=0,#N/A,VLOOKUP(Table73[[#This Row],[Date]],Database!$A:$C,MATCH($C$1,Database!$A$1:$C$1,),))</f>
        <v/>
      </c>
      <c r="D3233">
        <f>IFERROR(Table73[[#This Row],[United States 10y]]-Table73[[#This Row],[United States 2y]],#N/A)</f>
        <v/>
      </c>
    </row>
    <row r="3234">
      <c r="A3234" s="6">
        <f>Database!A3233</f>
        <v/>
      </c>
      <c r="B3234">
        <f>IF(VLOOKUP(Table73[[#This Row],[Date]],Database!$A:$E,MATCH($B$1,Database!$A$1:$E$1,),)=0,#N/A,VLOOKUP(Table73[[#This Row],[Date]],Database!$A:$E,MATCH($B$1,Database!$A$1:$E$1,),))</f>
        <v/>
      </c>
      <c r="C3234">
        <f>IF(VLOOKUP(Table73[[#This Row],[Date]],Database!$A:$C,MATCH($C$1,Database!$A$1:$C$1,),)=0,#N/A,VLOOKUP(Table73[[#This Row],[Date]],Database!$A:$C,MATCH($C$1,Database!$A$1:$C$1,),))</f>
        <v/>
      </c>
      <c r="D3234">
        <f>IFERROR(Table73[[#This Row],[United States 10y]]-Table73[[#This Row],[United States 2y]],#N/A)</f>
        <v/>
      </c>
    </row>
    <row r="3235">
      <c r="A3235" s="6">
        <f>Database!A3234</f>
        <v/>
      </c>
      <c r="B3235">
        <f>IF(VLOOKUP(Table73[[#This Row],[Date]],Database!$A:$E,MATCH($B$1,Database!$A$1:$E$1,),)=0,#N/A,VLOOKUP(Table73[[#This Row],[Date]],Database!$A:$E,MATCH($B$1,Database!$A$1:$E$1,),))</f>
        <v/>
      </c>
      <c r="C3235">
        <f>IF(VLOOKUP(Table73[[#This Row],[Date]],Database!$A:$C,MATCH($C$1,Database!$A$1:$C$1,),)=0,#N/A,VLOOKUP(Table73[[#This Row],[Date]],Database!$A:$C,MATCH($C$1,Database!$A$1:$C$1,),))</f>
        <v/>
      </c>
      <c r="D3235">
        <f>IFERROR(Table73[[#This Row],[United States 10y]]-Table73[[#This Row],[United States 2y]],#N/A)</f>
        <v/>
      </c>
    </row>
    <row r="3236">
      <c r="A3236" s="6">
        <f>Database!A3235</f>
        <v/>
      </c>
      <c r="B3236">
        <f>IF(VLOOKUP(Table73[[#This Row],[Date]],Database!$A:$E,MATCH($B$1,Database!$A$1:$E$1,),)=0,#N/A,VLOOKUP(Table73[[#This Row],[Date]],Database!$A:$E,MATCH($B$1,Database!$A$1:$E$1,),))</f>
        <v/>
      </c>
      <c r="C3236">
        <f>IF(VLOOKUP(Table73[[#This Row],[Date]],Database!$A:$C,MATCH($C$1,Database!$A$1:$C$1,),)=0,#N/A,VLOOKUP(Table73[[#This Row],[Date]],Database!$A:$C,MATCH($C$1,Database!$A$1:$C$1,),))</f>
        <v/>
      </c>
      <c r="D3236">
        <f>IFERROR(Table73[[#This Row],[United States 10y]]-Table73[[#This Row],[United States 2y]],#N/A)</f>
        <v/>
      </c>
    </row>
    <row r="3237">
      <c r="A3237" s="6">
        <f>Database!A3236</f>
        <v/>
      </c>
      <c r="B3237">
        <f>IF(VLOOKUP(Table73[[#This Row],[Date]],Database!$A:$E,MATCH($B$1,Database!$A$1:$E$1,),)=0,#N/A,VLOOKUP(Table73[[#This Row],[Date]],Database!$A:$E,MATCH($B$1,Database!$A$1:$E$1,),))</f>
        <v/>
      </c>
      <c r="C3237">
        <f>IF(VLOOKUP(Table73[[#This Row],[Date]],Database!$A:$C,MATCH($C$1,Database!$A$1:$C$1,),)=0,#N/A,VLOOKUP(Table73[[#This Row],[Date]],Database!$A:$C,MATCH($C$1,Database!$A$1:$C$1,),))</f>
        <v/>
      </c>
      <c r="D3237">
        <f>IFERROR(Table73[[#This Row],[United States 10y]]-Table73[[#This Row],[United States 2y]],#N/A)</f>
        <v/>
      </c>
    </row>
    <row r="3238">
      <c r="A3238" s="6">
        <f>Database!A3237</f>
        <v/>
      </c>
      <c r="B3238">
        <f>IF(VLOOKUP(Table73[[#This Row],[Date]],Database!$A:$E,MATCH($B$1,Database!$A$1:$E$1,),)=0,#N/A,VLOOKUP(Table73[[#This Row],[Date]],Database!$A:$E,MATCH($B$1,Database!$A$1:$E$1,),))</f>
        <v/>
      </c>
      <c r="C3238">
        <f>IF(VLOOKUP(Table73[[#This Row],[Date]],Database!$A:$C,MATCH($C$1,Database!$A$1:$C$1,),)=0,#N/A,VLOOKUP(Table73[[#This Row],[Date]],Database!$A:$C,MATCH($C$1,Database!$A$1:$C$1,),))</f>
        <v/>
      </c>
      <c r="D3238">
        <f>IFERROR(Table73[[#This Row],[United States 10y]]-Table73[[#This Row],[United States 2y]],#N/A)</f>
        <v/>
      </c>
    </row>
    <row r="3239">
      <c r="A3239" s="6">
        <f>Database!A3238</f>
        <v/>
      </c>
      <c r="B3239">
        <f>IF(VLOOKUP(Table73[[#This Row],[Date]],Database!$A:$E,MATCH($B$1,Database!$A$1:$E$1,),)=0,#N/A,VLOOKUP(Table73[[#This Row],[Date]],Database!$A:$E,MATCH($B$1,Database!$A$1:$E$1,),))</f>
        <v/>
      </c>
      <c r="C3239">
        <f>IF(VLOOKUP(Table73[[#This Row],[Date]],Database!$A:$C,MATCH($C$1,Database!$A$1:$C$1,),)=0,#N/A,VLOOKUP(Table73[[#This Row],[Date]],Database!$A:$C,MATCH($C$1,Database!$A$1:$C$1,),))</f>
        <v/>
      </c>
      <c r="D3239">
        <f>IFERROR(Table73[[#This Row],[United States 10y]]-Table73[[#This Row],[United States 2y]],#N/A)</f>
        <v/>
      </c>
    </row>
    <row r="3240">
      <c r="A3240" s="6">
        <f>Database!A3239</f>
        <v/>
      </c>
      <c r="B3240">
        <f>IF(VLOOKUP(Table73[[#This Row],[Date]],Database!$A:$E,MATCH($B$1,Database!$A$1:$E$1,),)=0,#N/A,VLOOKUP(Table73[[#This Row],[Date]],Database!$A:$E,MATCH($B$1,Database!$A$1:$E$1,),))</f>
        <v/>
      </c>
      <c r="C3240">
        <f>IF(VLOOKUP(Table73[[#This Row],[Date]],Database!$A:$C,MATCH($C$1,Database!$A$1:$C$1,),)=0,#N/A,VLOOKUP(Table73[[#This Row],[Date]],Database!$A:$C,MATCH($C$1,Database!$A$1:$C$1,),))</f>
        <v/>
      </c>
      <c r="D3240">
        <f>IFERROR(Table73[[#This Row],[United States 10y]]-Table73[[#This Row],[United States 2y]],#N/A)</f>
        <v/>
      </c>
    </row>
    <row r="3241">
      <c r="A3241" s="6">
        <f>Database!A3240</f>
        <v/>
      </c>
      <c r="B3241">
        <f>IF(VLOOKUP(Table73[[#This Row],[Date]],Database!$A:$E,MATCH($B$1,Database!$A$1:$E$1,),)=0,#N/A,VLOOKUP(Table73[[#This Row],[Date]],Database!$A:$E,MATCH($B$1,Database!$A$1:$E$1,),))</f>
        <v/>
      </c>
      <c r="C3241">
        <f>IF(VLOOKUP(Table73[[#This Row],[Date]],Database!$A:$C,MATCH($C$1,Database!$A$1:$C$1,),)=0,#N/A,VLOOKUP(Table73[[#This Row],[Date]],Database!$A:$C,MATCH($C$1,Database!$A$1:$C$1,),))</f>
        <v/>
      </c>
      <c r="D3241">
        <f>IFERROR(Table73[[#This Row],[United States 10y]]-Table73[[#This Row],[United States 2y]],#N/A)</f>
        <v/>
      </c>
    </row>
    <row r="3242">
      <c r="A3242" s="6">
        <f>Database!A3241</f>
        <v/>
      </c>
      <c r="B3242">
        <f>IF(VLOOKUP(Table73[[#This Row],[Date]],Database!$A:$E,MATCH($B$1,Database!$A$1:$E$1,),)=0,#N/A,VLOOKUP(Table73[[#This Row],[Date]],Database!$A:$E,MATCH($B$1,Database!$A$1:$E$1,),))</f>
        <v/>
      </c>
      <c r="C3242">
        <f>IF(VLOOKUP(Table73[[#This Row],[Date]],Database!$A:$C,MATCH($C$1,Database!$A$1:$C$1,),)=0,#N/A,VLOOKUP(Table73[[#This Row],[Date]],Database!$A:$C,MATCH($C$1,Database!$A$1:$C$1,),))</f>
        <v/>
      </c>
      <c r="D3242">
        <f>IFERROR(Table73[[#This Row],[United States 10y]]-Table73[[#This Row],[United States 2y]],#N/A)</f>
        <v/>
      </c>
    </row>
    <row r="3243">
      <c r="A3243" s="6">
        <f>Database!A3242</f>
        <v/>
      </c>
      <c r="B3243">
        <f>IF(VLOOKUP(Table73[[#This Row],[Date]],Database!$A:$E,MATCH($B$1,Database!$A$1:$E$1,),)=0,#N/A,VLOOKUP(Table73[[#This Row],[Date]],Database!$A:$E,MATCH($B$1,Database!$A$1:$E$1,),))</f>
        <v/>
      </c>
      <c r="C3243">
        <f>IF(VLOOKUP(Table73[[#This Row],[Date]],Database!$A:$C,MATCH($C$1,Database!$A$1:$C$1,),)=0,#N/A,VLOOKUP(Table73[[#This Row],[Date]],Database!$A:$C,MATCH($C$1,Database!$A$1:$C$1,),))</f>
        <v/>
      </c>
      <c r="D3243">
        <f>IFERROR(Table73[[#This Row],[United States 10y]]-Table73[[#This Row],[United States 2y]],#N/A)</f>
        <v/>
      </c>
    </row>
    <row r="3244">
      <c r="A3244" s="6">
        <f>Database!A3243</f>
        <v/>
      </c>
      <c r="B3244">
        <f>IF(VLOOKUP(Table73[[#This Row],[Date]],Database!$A:$E,MATCH($B$1,Database!$A$1:$E$1,),)=0,#N/A,VLOOKUP(Table73[[#This Row],[Date]],Database!$A:$E,MATCH($B$1,Database!$A$1:$E$1,),))</f>
        <v/>
      </c>
      <c r="C3244">
        <f>IF(VLOOKUP(Table73[[#This Row],[Date]],Database!$A:$C,MATCH($C$1,Database!$A$1:$C$1,),)=0,#N/A,VLOOKUP(Table73[[#This Row],[Date]],Database!$A:$C,MATCH($C$1,Database!$A$1:$C$1,),))</f>
        <v/>
      </c>
      <c r="D3244">
        <f>IFERROR(Table73[[#This Row],[United States 10y]]-Table73[[#This Row],[United States 2y]],#N/A)</f>
        <v/>
      </c>
    </row>
    <row r="3245">
      <c r="A3245" s="6">
        <f>Database!A3244</f>
        <v/>
      </c>
      <c r="B3245">
        <f>IF(VLOOKUP(Table73[[#This Row],[Date]],Database!$A:$E,MATCH($B$1,Database!$A$1:$E$1,),)=0,#N/A,VLOOKUP(Table73[[#This Row],[Date]],Database!$A:$E,MATCH($B$1,Database!$A$1:$E$1,),))</f>
        <v/>
      </c>
      <c r="C3245">
        <f>IF(VLOOKUP(Table73[[#This Row],[Date]],Database!$A:$C,MATCH($C$1,Database!$A$1:$C$1,),)=0,#N/A,VLOOKUP(Table73[[#This Row],[Date]],Database!$A:$C,MATCH($C$1,Database!$A$1:$C$1,),))</f>
        <v/>
      </c>
      <c r="D3245">
        <f>IFERROR(Table73[[#This Row],[United States 10y]]-Table73[[#This Row],[United States 2y]],#N/A)</f>
        <v/>
      </c>
    </row>
    <row r="3246">
      <c r="A3246" s="6">
        <f>Database!A3245</f>
        <v/>
      </c>
      <c r="B3246">
        <f>IF(VLOOKUP(Table73[[#This Row],[Date]],Database!$A:$E,MATCH($B$1,Database!$A$1:$E$1,),)=0,#N/A,VLOOKUP(Table73[[#This Row],[Date]],Database!$A:$E,MATCH($B$1,Database!$A$1:$E$1,),))</f>
        <v/>
      </c>
      <c r="C3246">
        <f>IF(VLOOKUP(Table73[[#This Row],[Date]],Database!$A:$C,MATCH($C$1,Database!$A$1:$C$1,),)=0,#N/A,VLOOKUP(Table73[[#This Row],[Date]],Database!$A:$C,MATCH($C$1,Database!$A$1:$C$1,),))</f>
        <v/>
      </c>
      <c r="D3246">
        <f>IFERROR(Table73[[#This Row],[United States 10y]]-Table73[[#This Row],[United States 2y]],#N/A)</f>
        <v/>
      </c>
    </row>
    <row r="3247">
      <c r="A3247" s="6">
        <f>Database!A3246</f>
        <v/>
      </c>
      <c r="B3247">
        <f>IF(VLOOKUP(Table73[[#This Row],[Date]],Database!$A:$E,MATCH($B$1,Database!$A$1:$E$1,),)=0,#N/A,VLOOKUP(Table73[[#This Row],[Date]],Database!$A:$E,MATCH($B$1,Database!$A$1:$E$1,),))</f>
        <v/>
      </c>
      <c r="C3247">
        <f>IF(VLOOKUP(Table73[[#This Row],[Date]],Database!$A:$C,MATCH($C$1,Database!$A$1:$C$1,),)=0,#N/A,VLOOKUP(Table73[[#This Row],[Date]],Database!$A:$C,MATCH($C$1,Database!$A$1:$C$1,),))</f>
        <v/>
      </c>
      <c r="D3247">
        <f>IFERROR(Table73[[#This Row],[United States 10y]]-Table73[[#This Row],[United States 2y]],#N/A)</f>
        <v/>
      </c>
    </row>
    <row r="3248">
      <c r="A3248" s="6">
        <f>Database!A3247</f>
        <v/>
      </c>
      <c r="B3248">
        <f>IF(VLOOKUP(Table73[[#This Row],[Date]],Database!$A:$E,MATCH($B$1,Database!$A$1:$E$1,),)=0,#N/A,VLOOKUP(Table73[[#This Row],[Date]],Database!$A:$E,MATCH($B$1,Database!$A$1:$E$1,),))</f>
        <v/>
      </c>
      <c r="C3248">
        <f>IF(VLOOKUP(Table73[[#This Row],[Date]],Database!$A:$C,MATCH($C$1,Database!$A$1:$C$1,),)=0,#N/A,VLOOKUP(Table73[[#This Row],[Date]],Database!$A:$C,MATCH($C$1,Database!$A$1:$C$1,),))</f>
        <v/>
      </c>
      <c r="D3248">
        <f>IFERROR(Table73[[#This Row],[United States 10y]]-Table73[[#This Row],[United States 2y]],#N/A)</f>
        <v/>
      </c>
    </row>
    <row r="3249">
      <c r="A3249" s="6">
        <f>Database!A3248</f>
        <v/>
      </c>
      <c r="B3249">
        <f>IF(VLOOKUP(Table73[[#This Row],[Date]],Database!$A:$E,MATCH($B$1,Database!$A$1:$E$1,),)=0,#N/A,VLOOKUP(Table73[[#This Row],[Date]],Database!$A:$E,MATCH($B$1,Database!$A$1:$E$1,),))</f>
        <v/>
      </c>
      <c r="C3249">
        <f>IF(VLOOKUP(Table73[[#This Row],[Date]],Database!$A:$C,MATCH($C$1,Database!$A$1:$C$1,),)=0,#N/A,VLOOKUP(Table73[[#This Row],[Date]],Database!$A:$C,MATCH($C$1,Database!$A$1:$C$1,),))</f>
        <v/>
      </c>
      <c r="D3249">
        <f>IFERROR(Table73[[#This Row],[United States 10y]]-Table73[[#This Row],[United States 2y]],#N/A)</f>
        <v/>
      </c>
    </row>
    <row r="3250">
      <c r="A3250" s="6">
        <f>Database!A3249</f>
        <v/>
      </c>
      <c r="B3250">
        <f>IF(VLOOKUP(Table73[[#This Row],[Date]],Database!$A:$E,MATCH($B$1,Database!$A$1:$E$1,),)=0,#N/A,VLOOKUP(Table73[[#This Row],[Date]],Database!$A:$E,MATCH($B$1,Database!$A$1:$E$1,),))</f>
        <v/>
      </c>
      <c r="C3250">
        <f>IF(VLOOKUP(Table73[[#This Row],[Date]],Database!$A:$C,MATCH($C$1,Database!$A$1:$C$1,),)=0,#N/A,VLOOKUP(Table73[[#This Row],[Date]],Database!$A:$C,MATCH($C$1,Database!$A$1:$C$1,),))</f>
        <v/>
      </c>
      <c r="D3250">
        <f>IFERROR(Table73[[#This Row],[United States 10y]]-Table73[[#This Row],[United States 2y]],#N/A)</f>
        <v/>
      </c>
    </row>
    <row r="3251">
      <c r="A3251" s="6">
        <f>Database!A3250</f>
        <v/>
      </c>
      <c r="B3251">
        <f>IF(VLOOKUP(Table73[[#This Row],[Date]],Database!$A:$E,MATCH($B$1,Database!$A$1:$E$1,),)=0,#N/A,VLOOKUP(Table73[[#This Row],[Date]],Database!$A:$E,MATCH($B$1,Database!$A$1:$E$1,),))</f>
        <v/>
      </c>
      <c r="C3251">
        <f>IF(VLOOKUP(Table73[[#This Row],[Date]],Database!$A:$C,MATCH($C$1,Database!$A$1:$C$1,),)=0,#N/A,VLOOKUP(Table73[[#This Row],[Date]],Database!$A:$C,MATCH($C$1,Database!$A$1:$C$1,),))</f>
        <v/>
      </c>
      <c r="D3251">
        <f>IFERROR(Table73[[#This Row],[United States 10y]]-Table73[[#This Row],[United States 2y]],#N/A)</f>
        <v/>
      </c>
    </row>
    <row r="3252">
      <c r="A3252" s="6">
        <f>Database!A3251</f>
        <v/>
      </c>
      <c r="B3252">
        <f>IF(VLOOKUP(Table73[[#This Row],[Date]],Database!$A:$E,MATCH($B$1,Database!$A$1:$E$1,),)=0,#N/A,VLOOKUP(Table73[[#This Row],[Date]],Database!$A:$E,MATCH($B$1,Database!$A$1:$E$1,),))</f>
        <v/>
      </c>
      <c r="C3252">
        <f>IF(VLOOKUP(Table73[[#This Row],[Date]],Database!$A:$C,MATCH($C$1,Database!$A$1:$C$1,),)=0,#N/A,VLOOKUP(Table73[[#This Row],[Date]],Database!$A:$C,MATCH($C$1,Database!$A$1:$C$1,),))</f>
        <v/>
      </c>
      <c r="D3252">
        <f>IFERROR(Table73[[#This Row],[United States 10y]]-Table73[[#This Row],[United States 2y]],#N/A)</f>
        <v/>
      </c>
    </row>
    <row r="3253">
      <c r="A3253" s="6">
        <f>Database!A3252</f>
        <v/>
      </c>
      <c r="B3253">
        <f>IF(VLOOKUP(Table73[[#This Row],[Date]],Database!$A:$E,MATCH($B$1,Database!$A$1:$E$1,),)=0,#N/A,VLOOKUP(Table73[[#This Row],[Date]],Database!$A:$E,MATCH($B$1,Database!$A$1:$E$1,),))</f>
        <v/>
      </c>
      <c r="C3253">
        <f>IF(VLOOKUP(Table73[[#This Row],[Date]],Database!$A:$C,MATCH($C$1,Database!$A$1:$C$1,),)=0,#N/A,VLOOKUP(Table73[[#This Row],[Date]],Database!$A:$C,MATCH($C$1,Database!$A$1:$C$1,),))</f>
        <v/>
      </c>
      <c r="D3253">
        <f>IFERROR(Table73[[#This Row],[United States 10y]]-Table73[[#This Row],[United States 2y]],#N/A)</f>
        <v/>
      </c>
    </row>
    <row r="3254">
      <c r="A3254" s="6">
        <f>Database!A3253</f>
        <v/>
      </c>
      <c r="B3254">
        <f>IF(VLOOKUP(Table73[[#This Row],[Date]],Database!$A:$E,MATCH($B$1,Database!$A$1:$E$1,),)=0,#N/A,VLOOKUP(Table73[[#This Row],[Date]],Database!$A:$E,MATCH($B$1,Database!$A$1:$E$1,),))</f>
        <v/>
      </c>
      <c r="C3254">
        <f>IF(VLOOKUP(Table73[[#This Row],[Date]],Database!$A:$C,MATCH($C$1,Database!$A$1:$C$1,),)=0,#N/A,VLOOKUP(Table73[[#This Row],[Date]],Database!$A:$C,MATCH($C$1,Database!$A$1:$C$1,),))</f>
        <v/>
      </c>
      <c r="D3254">
        <f>IFERROR(Table73[[#This Row],[United States 10y]]-Table73[[#This Row],[United States 2y]],#N/A)</f>
        <v/>
      </c>
    </row>
    <row r="3255">
      <c r="A3255" s="6">
        <f>Database!A3254</f>
        <v/>
      </c>
      <c r="B3255">
        <f>IF(VLOOKUP(Table73[[#This Row],[Date]],Database!$A:$E,MATCH($B$1,Database!$A$1:$E$1,),)=0,#N/A,VLOOKUP(Table73[[#This Row],[Date]],Database!$A:$E,MATCH($B$1,Database!$A$1:$E$1,),))</f>
        <v/>
      </c>
      <c r="C3255">
        <f>IF(VLOOKUP(Table73[[#This Row],[Date]],Database!$A:$C,MATCH($C$1,Database!$A$1:$C$1,),)=0,#N/A,VLOOKUP(Table73[[#This Row],[Date]],Database!$A:$C,MATCH($C$1,Database!$A$1:$C$1,),))</f>
        <v/>
      </c>
      <c r="D3255">
        <f>IFERROR(Table73[[#This Row],[United States 10y]]-Table73[[#This Row],[United States 2y]],#N/A)</f>
        <v/>
      </c>
    </row>
    <row r="3256">
      <c r="A3256" s="6">
        <f>Database!A3255</f>
        <v/>
      </c>
      <c r="B3256">
        <f>IF(VLOOKUP(Table73[[#This Row],[Date]],Database!$A:$E,MATCH($B$1,Database!$A$1:$E$1,),)=0,#N/A,VLOOKUP(Table73[[#This Row],[Date]],Database!$A:$E,MATCH($B$1,Database!$A$1:$E$1,),))</f>
        <v/>
      </c>
      <c r="C3256">
        <f>IF(VLOOKUP(Table73[[#This Row],[Date]],Database!$A:$C,MATCH($C$1,Database!$A$1:$C$1,),)=0,#N/A,VLOOKUP(Table73[[#This Row],[Date]],Database!$A:$C,MATCH($C$1,Database!$A$1:$C$1,),))</f>
        <v/>
      </c>
      <c r="D3256">
        <f>IFERROR(Table73[[#This Row],[United States 10y]]-Table73[[#This Row],[United States 2y]],#N/A)</f>
        <v/>
      </c>
    </row>
    <row r="3257">
      <c r="A3257" s="6">
        <f>Database!A3256</f>
        <v/>
      </c>
      <c r="B3257">
        <f>IF(VLOOKUP(Table73[[#This Row],[Date]],Database!$A:$E,MATCH($B$1,Database!$A$1:$E$1,),)=0,#N/A,VLOOKUP(Table73[[#This Row],[Date]],Database!$A:$E,MATCH($B$1,Database!$A$1:$E$1,),))</f>
        <v/>
      </c>
      <c r="C3257">
        <f>IF(VLOOKUP(Table73[[#This Row],[Date]],Database!$A:$C,MATCH($C$1,Database!$A$1:$C$1,),)=0,#N/A,VLOOKUP(Table73[[#This Row],[Date]],Database!$A:$C,MATCH($C$1,Database!$A$1:$C$1,),))</f>
        <v/>
      </c>
      <c r="D3257">
        <f>IFERROR(Table73[[#This Row],[United States 10y]]-Table73[[#This Row],[United States 2y]],#N/A)</f>
        <v/>
      </c>
    </row>
    <row r="3258">
      <c r="A3258" s="6">
        <f>Database!A3257</f>
        <v/>
      </c>
      <c r="B3258">
        <f>IF(VLOOKUP(Table73[[#This Row],[Date]],Database!$A:$E,MATCH($B$1,Database!$A$1:$E$1,),)=0,#N/A,VLOOKUP(Table73[[#This Row],[Date]],Database!$A:$E,MATCH($B$1,Database!$A$1:$E$1,),))</f>
        <v/>
      </c>
      <c r="C3258">
        <f>IF(VLOOKUP(Table73[[#This Row],[Date]],Database!$A:$C,MATCH($C$1,Database!$A$1:$C$1,),)=0,#N/A,VLOOKUP(Table73[[#This Row],[Date]],Database!$A:$C,MATCH($C$1,Database!$A$1:$C$1,),))</f>
        <v/>
      </c>
      <c r="D3258">
        <f>IFERROR(Table73[[#This Row],[United States 10y]]-Table73[[#This Row],[United States 2y]],#N/A)</f>
        <v/>
      </c>
    </row>
    <row r="3259">
      <c r="A3259" s="6">
        <f>Database!A3258</f>
        <v/>
      </c>
      <c r="B3259">
        <f>IF(VLOOKUP(Table73[[#This Row],[Date]],Database!$A:$E,MATCH($B$1,Database!$A$1:$E$1,),)=0,#N/A,VLOOKUP(Table73[[#This Row],[Date]],Database!$A:$E,MATCH($B$1,Database!$A$1:$E$1,),))</f>
        <v/>
      </c>
      <c r="C3259">
        <f>IF(VLOOKUP(Table73[[#This Row],[Date]],Database!$A:$C,MATCH($C$1,Database!$A$1:$C$1,),)=0,#N/A,VLOOKUP(Table73[[#This Row],[Date]],Database!$A:$C,MATCH($C$1,Database!$A$1:$C$1,),))</f>
        <v/>
      </c>
      <c r="D3259">
        <f>IFERROR(Table73[[#This Row],[United States 10y]]-Table73[[#This Row],[United States 2y]],#N/A)</f>
        <v/>
      </c>
    </row>
    <row r="3260">
      <c r="A3260" s="6">
        <f>Database!A3259</f>
        <v/>
      </c>
      <c r="B3260">
        <f>IF(VLOOKUP(Table73[[#This Row],[Date]],Database!$A:$E,MATCH($B$1,Database!$A$1:$E$1,),)=0,#N/A,VLOOKUP(Table73[[#This Row],[Date]],Database!$A:$E,MATCH($B$1,Database!$A$1:$E$1,),))</f>
        <v/>
      </c>
      <c r="C3260">
        <f>IF(VLOOKUP(Table73[[#This Row],[Date]],Database!$A:$C,MATCH($C$1,Database!$A$1:$C$1,),)=0,#N/A,VLOOKUP(Table73[[#This Row],[Date]],Database!$A:$C,MATCH($C$1,Database!$A$1:$C$1,),))</f>
        <v/>
      </c>
      <c r="D3260">
        <f>IFERROR(Table73[[#This Row],[United States 10y]]-Table73[[#This Row],[United States 2y]],#N/A)</f>
        <v/>
      </c>
    </row>
    <row r="3261">
      <c r="A3261" s="6">
        <f>Database!A3260</f>
        <v/>
      </c>
      <c r="B3261">
        <f>IF(VLOOKUP(Table73[[#This Row],[Date]],Database!$A:$E,MATCH($B$1,Database!$A$1:$E$1,),)=0,#N/A,VLOOKUP(Table73[[#This Row],[Date]],Database!$A:$E,MATCH($B$1,Database!$A$1:$E$1,),))</f>
        <v/>
      </c>
      <c r="C3261">
        <f>IF(VLOOKUP(Table73[[#This Row],[Date]],Database!$A:$C,MATCH($C$1,Database!$A$1:$C$1,),)=0,#N/A,VLOOKUP(Table73[[#This Row],[Date]],Database!$A:$C,MATCH($C$1,Database!$A$1:$C$1,),))</f>
        <v/>
      </c>
      <c r="D3261">
        <f>IFERROR(Table73[[#This Row],[United States 10y]]-Table73[[#This Row],[United States 2y]],#N/A)</f>
        <v/>
      </c>
    </row>
    <row r="3262">
      <c r="A3262" s="6">
        <f>Database!A3261</f>
        <v/>
      </c>
      <c r="B3262">
        <f>IF(VLOOKUP(Table73[[#This Row],[Date]],Database!$A:$E,MATCH($B$1,Database!$A$1:$E$1,),)=0,#N/A,VLOOKUP(Table73[[#This Row],[Date]],Database!$A:$E,MATCH($B$1,Database!$A$1:$E$1,),))</f>
        <v/>
      </c>
      <c r="C3262">
        <f>IF(VLOOKUP(Table73[[#This Row],[Date]],Database!$A:$C,MATCH($C$1,Database!$A$1:$C$1,),)=0,#N/A,VLOOKUP(Table73[[#This Row],[Date]],Database!$A:$C,MATCH($C$1,Database!$A$1:$C$1,),))</f>
        <v/>
      </c>
      <c r="D3262">
        <f>IFERROR(Table73[[#This Row],[United States 10y]]-Table73[[#This Row],[United States 2y]],#N/A)</f>
        <v/>
      </c>
    </row>
    <row r="3263">
      <c r="A3263" s="6">
        <f>Database!A3262</f>
        <v/>
      </c>
      <c r="B3263">
        <f>IF(VLOOKUP(Table73[[#This Row],[Date]],Database!$A:$E,MATCH($B$1,Database!$A$1:$E$1,),)=0,#N/A,VLOOKUP(Table73[[#This Row],[Date]],Database!$A:$E,MATCH($B$1,Database!$A$1:$E$1,),))</f>
        <v/>
      </c>
      <c r="C3263">
        <f>IF(VLOOKUP(Table73[[#This Row],[Date]],Database!$A:$C,MATCH($C$1,Database!$A$1:$C$1,),)=0,#N/A,VLOOKUP(Table73[[#This Row],[Date]],Database!$A:$C,MATCH($C$1,Database!$A$1:$C$1,),))</f>
        <v/>
      </c>
      <c r="D3263">
        <f>IFERROR(Table73[[#This Row],[United States 10y]]-Table73[[#This Row],[United States 2y]],#N/A)</f>
        <v/>
      </c>
    </row>
    <row r="3264">
      <c r="A3264" s="6">
        <f>Database!A3263</f>
        <v/>
      </c>
      <c r="B3264">
        <f>IF(VLOOKUP(Table73[[#This Row],[Date]],Database!$A:$E,MATCH($B$1,Database!$A$1:$E$1,),)=0,#N/A,VLOOKUP(Table73[[#This Row],[Date]],Database!$A:$E,MATCH($B$1,Database!$A$1:$E$1,),))</f>
        <v/>
      </c>
      <c r="C3264">
        <f>IF(VLOOKUP(Table73[[#This Row],[Date]],Database!$A:$C,MATCH($C$1,Database!$A$1:$C$1,),)=0,#N/A,VLOOKUP(Table73[[#This Row],[Date]],Database!$A:$C,MATCH($C$1,Database!$A$1:$C$1,),))</f>
        <v/>
      </c>
      <c r="D3264">
        <f>IFERROR(Table73[[#This Row],[United States 10y]]-Table73[[#This Row],[United States 2y]],#N/A)</f>
        <v/>
      </c>
    </row>
    <row r="3265">
      <c r="A3265" s="6">
        <f>Database!A3264</f>
        <v/>
      </c>
      <c r="B3265">
        <f>IF(VLOOKUP(Table73[[#This Row],[Date]],Database!$A:$E,MATCH($B$1,Database!$A$1:$E$1,),)=0,#N/A,VLOOKUP(Table73[[#This Row],[Date]],Database!$A:$E,MATCH($B$1,Database!$A$1:$E$1,),))</f>
        <v/>
      </c>
      <c r="C3265">
        <f>IF(VLOOKUP(Table73[[#This Row],[Date]],Database!$A:$C,MATCH($C$1,Database!$A$1:$C$1,),)=0,#N/A,VLOOKUP(Table73[[#This Row],[Date]],Database!$A:$C,MATCH($C$1,Database!$A$1:$C$1,),))</f>
        <v/>
      </c>
      <c r="D3265">
        <f>IFERROR(Table73[[#This Row],[United States 10y]]-Table73[[#This Row],[United States 2y]],#N/A)</f>
        <v/>
      </c>
    </row>
    <row r="3266">
      <c r="A3266" s="6">
        <f>Database!A3265</f>
        <v/>
      </c>
      <c r="B3266">
        <f>IF(VLOOKUP(Table73[[#This Row],[Date]],Database!$A:$E,MATCH($B$1,Database!$A$1:$E$1,),)=0,#N/A,VLOOKUP(Table73[[#This Row],[Date]],Database!$A:$E,MATCH($B$1,Database!$A$1:$E$1,),))</f>
        <v/>
      </c>
      <c r="C3266">
        <f>IF(VLOOKUP(Table73[[#This Row],[Date]],Database!$A:$C,MATCH($C$1,Database!$A$1:$C$1,),)=0,#N/A,VLOOKUP(Table73[[#This Row],[Date]],Database!$A:$C,MATCH($C$1,Database!$A$1:$C$1,),))</f>
        <v/>
      </c>
      <c r="D3266">
        <f>IFERROR(Table73[[#This Row],[United States 10y]]-Table73[[#This Row],[United States 2y]],#N/A)</f>
        <v/>
      </c>
    </row>
    <row r="3267">
      <c r="A3267" s="6">
        <f>Database!A3266</f>
        <v/>
      </c>
      <c r="B3267">
        <f>IF(VLOOKUP(Table73[[#This Row],[Date]],Database!$A:$E,MATCH($B$1,Database!$A$1:$E$1,),)=0,#N/A,VLOOKUP(Table73[[#This Row],[Date]],Database!$A:$E,MATCH($B$1,Database!$A$1:$E$1,),))</f>
        <v/>
      </c>
      <c r="C3267">
        <f>IF(VLOOKUP(Table73[[#This Row],[Date]],Database!$A:$C,MATCH($C$1,Database!$A$1:$C$1,),)=0,#N/A,VLOOKUP(Table73[[#This Row],[Date]],Database!$A:$C,MATCH($C$1,Database!$A$1:$C$1,),))</f>
        <v/>
      </c>
      <c r="D3267">
        <f>IFERROR(Table73[[#This Row],[United States 10y]]-Table73[[#This Row],[United States 2y]],#N/A)</f>
        <v/>
      </c>
    </row>
    <row r="3268">
      <c r="A3268" s="6">
        <f>Database!A3267</f>
        <v/>
      </c>
      <c r="B3268">
        <f>IF(VLOOKUP(Table73[[#This Row],[Date]],Database!$A:$E,MATCH($B$1,Database!$A$1:$E$1,),)=0,#N/A,VLOOKUP(Table73[[#This Row],[Date]],Database!$A:$E,MATCH($B$1,Database!$A$1:$E$1,),))</f>
        <v/>
      </c>
      <c r="C3268">
        <f>IF(VLOOKUP(Table73[[#This Row],[Date]],Database!$A:$C,MATCH($C$1,Database!$A$1:$C$1,),)=0,#N/A,VLOOKUP(Table73[[#This Row],[Date]],Database!$A:$C,MATCH($C$1,Database!$A$1:$C$1,),))</f>
        <v/>
      </c>
      <c r="D3268">
        <f>IFERROR(Table73[[#This Row],[United States 10y]]-Table73[[#This Row],[United States 2y]],#N/A)</f>
        <v/>
      </c>
    </row>
    <row r="3269">
      <c r="A3269" s="6">
        <f>Database!A3268</f>
        <v/>
      </c>
      <c r="B3269">
        <f>IF(VLOOKUP(Table73[[#This Row],[Date]],Database!$A:$E,MATCH($B$1,Database!$A$1:$E$1,),)=0,#N/A,VLOOKUP(Table73[[#This Row],[Date]],Database!$A:$E,MATCH($B$1,Database!$A$1:$E$1,),))</f>
        <v/>
      </c>
      <c r="C3269">
        <f>IF(VLOOKUP(Table73[[#This Row],[Date]],Database!$A:$C,MATCH($C$1,Database!$A$1:$C$1,),)=0,#N/A,VLOOKUP(Table73[[#This Row],[Date]],Database!$A:$C,MATCH($C$1,Database!$A$1:$C$1,),))</f>
        <v/>
      </c>
      <c r="D3269">
        <f>IFERROR(Table73[[#This Row],[United States 10y]]-Table73[[#This Row],[United States 2y]],#N/A)</f>
        <v/>
      </c>
    </row>
    <row r="3270">
      <c r="A3270" s="6">
        <f>Database!A3269</f>
        <v/>
      </c>
      <c r="B3270">
        <f>IF(VLOOKUP(Table73[[#This Row],[Date]],Database!$A:$E,MATCH($B$1,Database!$A$1:$E$1,),)=0,#N/A,VLOOKUP(Table73[[#This Row],[Date]],Database!$A:$E,MATCH($B$1,Database!$A$1:$E$1,),))</f>
        <v/>
      </c>
      <c r="C3270">
        <f>IF(VLOOKUP(Table73[[#This Row],[Date]],Database!$A:$C,MATCH($C$1,Database!$A$1:$C$1,),)=0,#N/A,VLOOKUP(Table73[[#This Row],[Date]],Database!$A:$C,MATCH($C$1,Database!$A$1:$C$1,),))</f>
        <v/>
      </c>
      <c r="D3270">
        <f>IFERROR(Table73[[#This Row],[United States 10y]]-Table73[[#This Row],[United States 2y]],#N/A)</f>
        <v/>
      </c>
    </row>
    <row r="3271">
      <c r="A3271" s="6">
        <f>Database!A3270</f>
        <v/>
      </c>
      <c r="B3271">
        <f>IF(VLOOKUP(Table73[[#This Row],[Date]],Database!$A:$E,MATCH($B$1,Database!$A$1:$E$1,),)=0,#N/A,VLOOKUP(Table73[[#This Row],[Date]],Database!$A:$E,MATCH($B$1,Database!$A$1:$E$1,),))</f>
        <v/>
      </c>
      <c r="C3271">
        <f>IF(VLOOKUP(Table73[[#This Row],[Date]],Database!$A:$C,MATCH($C$1,Database!$A$1:$C$1,),)=0,#N/A,VLOOKUP(Table73[[#This Row],[Date]],Database!$A:$C,MATCH($C$1,Database!$A$1:$C$1,),))</f>
        <v/>
      </c>
      <c r="D3271">
        <f>IFERROR(Table73[[#This Row],[United States 10y]]-Table73[[#This Row],[United States 2y]],#N/A)</f>
        <v/>
      </c>
    </row>
    <row r="3272">
      <c r="A3272" s="6">
        <f>Database!A3271</f>
        <v/>
      </c>
      <c r="B3272">
        <f>IF(VLOOKUP(Table73[[#This Row],[Date]],Database!$A:$E,MATCH($B$1,Database!$A$1:$E$1,),)=0,#N/A,VLOOKUP(Table73[[#This Row],[Date]],Database!$A:$E,MATCH($B$1,Database!$A$1:$E$1,),))</f>
        <v/>
      </c>
      <c r="C3272">
        <f>IF(VLOOKUP(Table73[[#This Row],[Date]],Database!$A:$C,MATCH($C$1,Database!$A$1:$C$1,),)=0,#N/A,VLOOKUP(Table73[[#This Row],[Date]],Database!$A:$C,MATCH($C$1,Database!$A$1:$C$1,),))</f>
        <v/>
      </c>
      <c r="D3272">
        <f>IFERROR(Table73[[#This Row],[United States 10y]]-Table73[[#This Row],[United States 2y]],#N/A)</f>
        <v/>
      </c>
    </row>
    <row r="3273">
      <c r="A3273" s="6">
        <f>Database!A3272</f>
        <v/>
      </c>
      <c r="B3273">
        <f>IF(VLOOKUP(Table73[[#This Row],[Date]],Database!$A:$E,MATCH($B$1,Database!$A$1:$E$1,),)=0,#N/A,VLOOKUP(Table73[[#This Row],[Date]],Database!$A:$E,MATCH($B$1,Database!$A$1:$E$1,),))</f>
        <v/>
      </c>
      <c r="C3273">
        <f>IF(VLOOKUP(Table73[[#This Row],[Date]],Database!$A:$C,MATCH($C$1,Database!$A$1:$C$1,),)=0,#N/A,VLOOKUP(Table73[[#This Row],[Date]],Database!$A:$C,MATCH($C$1,Database!$A$1:$C$1,),))</f>
        <v/>
      </c>
      <c r="D3273">
        <f>IFERROR(Table73[[#This Row],[United States 10y]]-Table73[[#This Row],[United States 2y]],#N/A)</f>
        <v/>
      </c>
    </row>
    <row r="3274">
      <c r="A3274" s="6">
        <f>Database!A3273</f>
        <v/>
      </c>
      <c r="B3274">
        <f>IF(VLOOKUP(Table73[[#This Row],[Date]],Database!$A:$E,MATCH($B$1,Database!$A$1:$E$1,),)=0,#N/A,VLOOKUP(Table73[[#This Row],[Date]],Database!$A:$E,MATCH($B$1,Database!$A$1:$E$1,),))</f>
        <v/>
      </c>
      <c r="C3274">
        <f>IF(VLOOKUP(Table73[[#This Row],[Date]],Database!$A:$C,MATCH($C$1,Database!$A$1:$C$1,),)=0,#N/A,VLOOKUP(Table73[[#This Row],[Date]],Database!$A:$C,MATCH($C$1,Database!$A$1:$C$1,),))</f>
        <v/>
      </c>
      <c r="D3274">
        <f>IFERROR(Table73[[#This Row],[United States 10y]]-Table73[[#This Row],[United States 2y]],#N/A)</f>
        <v/>
      </c>
    </row>
    <row r="3275">
      <c r="A3275" s="6">
        <f>Database!A3274</f>
        <v/>
      </c>
      <c r="B3275">
        <f>IF(VLOOKUP(Table73[[#This Row],[Date]],Database!$A:$E,MATCH($B$1,Database!$A$1:$E$1,),)=0,#N/A,VLOOKUP(Table73[[#This Row],[Date]],Database!$A:$E,MATCH($B$1,Database!$A$1:$E$1,),))</f>
        <v/>
      </c>
      <c r="C3275">
        <f>IF(VLOOKUP(Table73[[#This Row],[Date]],Database!$A:$C,MATCH($C$1,Database!$A$1:$C$1,),)=0,#N/A,VLOOKUP(Table73[[#This Row],[Date]],Database!$A:$C,MATCH($C$1,Database!$A$1:$C$1,),))</f>
        <v/>
      </c>
      <c r="D3275">
        <f>IFERROR(Table73[[#This Row],[United States 10y]]-Table73[[#This Row],[United States 2y]],#N/A)</f>
        <v/>
      </c>
    </row>
    <row r="3276">
      <c r="A3276" s="6">
        <f>Database!A3275</f>
        <v/>
      </c>
      <c r="B3276">
        <f>IF(VLOOKUP(Table73[[#This Row],[Date]],Database!$A:$E,MATCH($B$1,Database!$A$1:$E$1,),)=0,#N/A,VLOOKUP(Table73[[#This Row],[Date]],Database!$A:$E,MATCH($B$1,Database!$A$1:$E$1,),))</f>
        <v/>
      </c>
      <c r="C3276">
        <f>IF(VLOOKUP(Table73[[#This Row],[Date]],Database!$A:$C,MATCH($C$1,Database!$A$1:$C$1,),)=0,#N/A,VLOOKUP(Table73[[#This Row],[Date]],Database!$A:$C,MATCH($C$1,Database!$A$1:$C$1,),))</f>
        <v/>
      </c>
      <c r="D3276">
        <f>IFERROR(Table73[[#This Row],[United States 10y]]-Table73[[#This Row],[United States 2y]],#N/A)</f>
        <v/>
      </c>
    </row>
    <row r="3277">
      <c r="A3277" s="6">
        <f>Database!A3276</f>
        <v/>
      </c>
      <c r="B3277">
        <f>IF(VLOOKUP(Table73[[#This Row],[Date]],Database!$A:$E,MATCH($B$1,Database!$A$1:$E$1,),)=0,#N/A,VLOOKUP(Table73[[#This Row],[Date]],Database!$A:$E,MATCH($B$1,Database!$A$1:$E$1,),))</f>
        <v/>
      </c>
      <c r="C3277">
        <f>IF(VLOOKUP(Table73[[#This Row],[Date]],Database!$A:$C,MATCH($C$1,Database!$A$1:$C$1,),)=0,#N/A,VLOOKUP(Table73[[#This Row],[Date]],Database!$A:$C,MATCH($C$1,Database!$A$1:$C$1,),))</f>
        <v/>
      </c>
      <c r="D3277">
        <f>IFERROR(Table73[[#This Row],[United States 10y]]-Table73[[#This Row],[United States 2y]],#N/A)</f>
        <v/>
      </c>
    </row>
    <row r="3278">
      <c r="A3278" s="6">
        <f>Database!A3277</f>
        <v/>
      </c>
      <c r="B3278">
        <f>IF(VLOOKUP(Table73[[#This Row],[Date]],Database!$A:$E,MATCH($B$1,Database!$A$1:$E$1,),)=0,#N/A,VLOOKUP(Table73[[#This Row],[Date]],Database!$A:$E,MATCH($B$1,Database!$A$1:$E$1,),))</f>
        <v/>
      </c>
      <c r="C3278">
        <f>IF(VLOOKUP(Table73[[#This Row],[Date]],Database!$A:$C,MATCH($C$1,Database!$A$1:$C$1,),)=0,#N/A,VLOOKUP(Table73[[#This Row],[Date]],Database!$A:$C,MATCH($C$1,Database!$A$1:$C$1,),))</f>
        <v/>
      </c>
      <c r="D3278">
        <f>IFERROR(Table73[[#This Row],[United States 10y]]-Table73[[#This Row],[United States 2y]],#N/A)</f>
        <v/>
      </c>
    </row>
    <row r="3279">
      <c r="A3279" s="6">
        <f>Database!A3278</f>
        <v/>
      </c>
      <c r="B3279">
        <f>IF(VLOOKUP(Table73[[#This Row],[Date]],Database!$A:$E,MATCH($B$1,Database!$A$1:$E$1,),)=0,#N/A,VLOOKUP(Table73[[#This Row],[Date]],Database!$A:$E,MATCH($B$1,Database!$A$1:$E$1,),))</f>
        <v/>
      </c>
      <c r="C3279">
        <f>IF(VLOOKUP(Table73[[#This Row],[Date]],Database!$A:$C,MATCH($C$1,Database!$A$1:$C$1,),)=0,#N/A,VLOOKUP(Table73[[#This Row],[Date]],Database!$A:$C,MATCH($C$1,Database!$A$1:$C$1,),))</f>
        <v/>
      </c>
      <c r="D3279">
        <f>IFERROR(Table73[[#This Row],[United States 10y]]-Table73[[#This Row],[United States 2y]],#N/A)</f>
        <v/>
      </c>
    </row>
    <row r="3280">
      <c r="A3280" s="6">
        <f>Database!A3279</f>
        <v/>
      </c>
      <c r="B3280">
        <f>IF(VLOOKUP(Table73[[#This Row],[Date]],Database!$A:$E,MATCH($B$1,Database!$A$1:$E$1,),)=0,#N/A,VLOOKUP(Table73[[#This Row],[Date]],Database!$A:$E,MATCH($B$1,Database!$A$1:$E$1,),))</f>
        <v/>
      </c>
      <c r="C3280">
        <f>IF(VLOOKUP(Table73[[#This Row],[Date]],Database!$A:$C,MATCH($C$1,Database!$A$1:$C$1,),)=0,#N/A,VLOOKUP(Table73[[#This Row],[Date]],Database!$A:$C,MATCH($C$1,Database!$A$1:$C$1,),))</f>
        <v/>
      </c>
      <c r="D3280">
        <f>IFERROR(Table73[[#This Row],[United States 10y]]-Table73[[#This Row],[United States 2y]],#N/A)</f>
        <v/>
      </c>
    </row>
    <row r="3281">
      <c r="A3281" s="6">
        <f>Database!A3280</f>
        <v/>
      </c>
      <c r="B3281">
        <f>IF(VLOOKUP(Table73[[#This Row],[Date]],Database!$A:$E,MATCH($B$1,Database!$A$1:$E$1,),)=0,#N/A,VLOOKUP(Table73[[#This Row],[Date]],Database!$A:$E,MATCH($B$1,Database!$A$1:$E$1,),))</f>
        <v/>
      </c>
      <c r="C3281">
        <f>IF(VLOOKUP(Table73[[#This Row],[Date]],Database!$A:$C,MATCH($C$1,Database!$A$1:$C$1,),)=0,#N/A,VLOOKUP(Table73[[#This Row],[Date]],Database!$A:$C,MATCH($C$1,Database!$A$1:$C$1,),))</f>
        <v/>
      </c>
      <c r="D3281">
        <f>IFERROR(Table73[[#This Row],[United States 10y]]-Table73[[#This Row],[United States 2y]],#N/A)</f>
        <v/>
      </c>
    </row>
    <row r="3282">
      <c r="A3282" s="6">
        <f>Database!A3281</f>
        <v/>
      </c>
      <c r="B3282">
        <f>IF(VLOOKUP(Table73[[#This Row],[Date]],Database!$A:$E,MATCH($B$1,Database!$A$1:$E$1,),)=0,#N/A,VLOOKUP(Table73[[#This Row],[Date]],Database!$A:$E,MATCH($B$1,Database!$A$1:$E$1,),))</f>
        <v/>
      </c>
      <c r="C3282">
        <f>IF(VLOOKUP(Table73[[#This Row],[Date]],Database!$A:$C,MATCH($C$1,Database!$A$1:$C$1,),)=0,#N/A,VLOOKUP(Table73[[#This Row],[Date]],Database!$A:$C,MATCH($C$1,Database!$A$1:$C$1,),))</f>
        <v/>
      </c>
      <c r="D3282">
        <f>IFERROR(Table73[[#This Row],[United States 10y]]-Table73[[#This Row],[United States 2y]],#N/A)</f>
        <v/>
      </c>
    </row>
    <row r="3283">
      <c r="A3283" s="6">
        <f>Database!A3282</f>
        <v/>
      </c>
      <c r="B3283">
        <f>IF(VLOOKUP(Table73[[#This Row],[Date]],Database!$A:$E,MATCH($B$1,Database!$A$1:$E$1,),)=0,#N/A,VLOOKUP(Table73[[#This Row],[Date]],Database!$A:$E,MATCH($B$1,Database!$A$1:$E$1,),))</f>
        <v/>
      </c>
      <c r="C3283">
        <f>IF(VLOOKUP(Table73[[#This Row],[Date]],Database!$A:$C,MATCH($C$1,Database!$A$1:$C$1,),)=0,#N/A,VLOOKUP(Table73[[#This Row],[Date]],Database!$A:$C,MATCH($C$1,Database!$A$1:$C$1,),))</f>
        <v/>
      </c>
      <c r="D3283">
        <f>IFERROR(Table73[[#This Row],[United States 10y]]-Table73[[#This Row],[United States 2y]],#N/A)</f>
        <v/>
      </c>
    </row>
    <row r="3284">
      <c r="A3284" s="6">
        <f>Database!A3283</f>
        <v/>
      </c>
      <c r="B3284">
        <f>IF(VLOOKUP(Table73[[#This Row],[Date]],Database!$A:$E,MATCH($B$1,Database!$A$1:$E$1,),)=0,#N/A,VLOOKUP(Table73[[#This Row],[Date]],Database!$A:$E,MATCH($B$1,Database!$A$1:$E$1,),))</f>
        <v/>
      </c>
      <c r="C3284">
        <f>IF(VLOOKUP(Table73[[#This Row],[Date]],Database!$A:$C,MATCH($C$1,Database!$A$1:$C$1,),)=0,#N/A,VLOOKUP(Table73[[#This Row],[Date]],Database!$A:$C,MATCH($C$1,Database!$A$1:$C$1,),))</f>
        <v/>
      </c>
      <c r="D3284">
        <f>IFERROR(Table73[[#This Row],[United States 10y]]-Table73[[#This Row],[United States 2y]],#N/A)</f>
        <v/>
      </c>
    </row>
    <row r="3285">
      <c r="A3285" s="6">
        <f>Database!A3284</f>
        <v/>
      </c>
      <c r="B3285">
        <f>IF(VLOOKUP(Table73[[#This Row],[Date]],Database!$A:$E,MATCH($B$1,Database!$A$1:$E$1,),)=0,#N/A,VLOOKUP(Table73[[#This Row],[Date]],Database!$A:$E,MATCH($B$1,Database!$A$1:$E$1,),))</f>
        <v/>
      </c>
      <c r="C3285">
        <f>IF(VLOOKUP(Table73[[#This Row],[Date]],Database!$A:$C,MATCH($C$1,Database!$A$1:$C$1,),)=0,#N/A,VLOOKUP(Table73[[#This Row],[Date]],Database!$A:$C,MATCH($C$1,Database!$A$1:$C$1,),))</f>
        <v/>
      </c>
      <c r="D3285">
        <f>IFERROR(Table73[[#This Row],[United States 10y]]-Table73[[#This Row],[United States 2y]],#N/A)</f>
        <v/>
      </c>
    </row>
    <row r="3286">
      <c r="A3286" s="6">
        <f>Database!A3285</f>
        <v/>
      </c>
      <c r="B3286">
        <f>IF(VLOOKUP(Table73[[#This Row],[Date]],Database!$A:$E,MATCH($B$1,Database!$A$1:$E$1,),)=0,#N/A,VLOOKUP(Table73[[#This Row],[Date]],Database!$A:$E,MATCH($B$1,Database!$A$1:$E$1,),))</f>
        <v/>
      </c>
      <c r="C3286">
        <f>IF(VLOOKUP(Table73[[#This Row],[Date]],Database!$A:$C,MATCH($C$1,Database!$A$1:$C$1,),)=0,#N/A,VLOOKUP(Table73[[#This Row],[Date]],Database!$A:$C,MATCH($C$1,Database!$A$1:$C$1,),))</f>
        <v/>
      </c>
      <c r="D3286">
        <f>IFERROR(Table73[[#This Row],[United States 10y]]-Table73[[#This Row],[United States 2y]],#N/A)</f>
        <v/>
      </c>
    </row>
    <row r="3287">
      <c r="A3287" s="6">
        <f>Database!A3286</f>
        <v/>
      </c>
      <c r="B3287">
        <f>IF(VLOOKUP(Table73[[#This Row],[Date]],Database!$A:$E,MATCH($B$1,Database!$A$1:$E$1,),)=0,#N/A,VLOOKUP(Table73[[#This Row],[Date]],Database!$A:$E,MATCH($B$1,Database!$A$1:$E$1,),))</f>
        <v/>
      </c>
      <c r="C3287">
        <f>IF(VLOOKUP(Table73[[#This Row],[Date]],Database!$A:$C,MATCH($C$1,Database!$A$1:$C$1,),)=0,#N/A,VLOOKUP(Table73[[#This Row],[Date]],Database!$A:$C,MATCH($C$1,Database!$A$1:$C$1,),))</f>
        <v/>
      </c>
      <c r="D3287">
        <f>IFERROR(Table73[[#This Row],[United States 10y]]-Table73[[#This Row],[United States 2y]],#N/A)</f>
        <v/>
      </c>
    </row>
    <row r="3288">
      <c r="A3288" s="6">
        <f>Database!A3287</f>
        <v/>
      </c>
      <c r="B3288">
        <f>IF(VLOOKUP(Table73[[#This Row],[Date]],Database!$A:$E,MATCH($B$1,Database!$A$1:$E$1,),)=0,#N/A,VLOOKUP(Table73[[#This Row],[Date]],Database!$A:$E,MATCH($B$1,Database!$A$1:$E$1,),))</f>
        <v/>
      </c>
      <c r="C3288">
        <f>IF(VLOOKUP(Table73[[#This Row],[Date]],Database!$A:$C,MATCH($C$1,Database!$A$1:$C$1,),)=0,#N/A,VLOOKUP(Table73[[#This Row],[Date]],Database!$A:$C,MATCH($C$1,Database!$A$1:$C$1,),))</f>
        <v/>
      </c>
      <c r="D3288">
        <f>IFERROR(Table73[[#This Row],[United States 10y]]-Table73[[#This Row],[United States 2y]],#N/A)</f>
        <v/>
      </c>
    </row>
    <row r="3289">
      <c r="A3289" s="6">
        <f>Database!A3288</f>
        <v/>
      </c>
      <c r="B3289">
        <f>IF(VLOOKUP(Table73[[#This Row],[Date]],Database!$A:$E,MATCH($B$1,Database!$A$1:$E$1,),)=0,#N/A,VLOOKUP(Table73[[#This Row],[Date]],Database!$A:$E,MATCH($B$1,Database!$A$1:$E$1,),))</f>
        <v/>
      </c>
      <c r="C3289">
        <f>IF(VLOOKUP(Table73[[#This Row],[Date]],Database!$A:$C,MATCH($C$1,Database!$A$1:$C$1,),)=0,#N/A,VLOOKUP(Table73[[#This Row],[Date]],Database!$A:$C,MATCH($C$1,Database!$A$1:$C$1,),))</f>
        <v/>
      </c>
      <c r="D3289">
        <f>IFERROR(Table73[[#This Row],[United States 10y]]-Table73[[#This Row],[United States 2y]],#N/A)</f>
        <v/>
      </c>
    </row>
    <row r="3290">
      <c r="A3290" s="6">
        <f>Database!A3289</f>
        <v/>
      </c>
      <c r="B3290">
        <f>IF(VLOOKUP(Table73[[#This Row],[Date]],Database!$A:$E,MATCH($B$1,Database!$A$1:$E$1,),)=0,#N/A,VLOOKUP(Table73[[#This Row],[Date]],Database!$A:$E,MATCH($B$1,Database!$A$1:$E$1,),))</f>
        <v/>
      </c>
      <c r="C3290">
        <f>IF(VLOOKUP(Table73[[#This Row],[Date]],Database!$A:$C,MATCH($C$1,Database!$A$1:$C$1,),)=0,#N/A,VLOOKUP(Table73[[#This Row],[Date]],Database!$A:$C,MATCH($C$1,Database!$A$1:$C$1,),))</f>
        <v/>
      </c>
      <c r="D3290">
        <f>IFERROR(Table73[[#This Row],[United States 10y]]-Table73[[#This Row],[United States 2y]],#N/A)</f>
        <v/>
      </c>
    </row>
    <row r="3291">
      <c r="A3291" s="6">
        <f>Database!A3290</f>
        <v/>
      </c>
      <c r="B3291">
        <f>IF(VLOOKUP(Table73[[#This Row],[Date]],Database!$A:$E,MATCH($B$1,Database!$A$1:$E$1,),)=0,#N/A,VLOOKUP(Table73[[#This Row],[Date]],Database!$A:$E,MATCH($B$1,Database!$A$1:$E$1,),))</f>
        <v/>
      </c>
      <c r="C3291">
        <f>IF(VLOOKUP(Table73[[#This Row],[Date]],Database!$A:$C,MATCH($C$1,Database!$A$1:$C$1,),)=0,#N/A,VLOOKUP(Table73[[#This Row],[Date]],Database!$A:$C,MATCH($C$1,Database!$A$1:$C$1,),))</f>
        <v/>
      </c>
      <c r="D3291">
        <f>IFERROR(Table73[[#This Row],[United States 10y]]-Table73[[#This Row],[United States 2y]],#N/A)</f>
        <v/>
      </c>
    </row>
    <row r="3292">
      <c r="A3292" s="6">
        <f>Database!A3291</f>
        <v/>
      </c>
      <c r="B3292">
        <f>IF(VLOOKUP(Table73[[#This Row],[Date]],Database!$A:$E,MATCH($B$1,Database!$A$1:$E$1,),)=0,#N/A,VLOOKUP(Table73[[#This Row],[Date]],Database!$A:$E,MATCH($B$1,Database!$A$1:$E$1,),))</f>
        <v/>
      </c>
      <c r="C3292">
        <f>IF(VLOOKUP(Table73[[#This Row],[Date]],Database!$A:$C,MATCH($C$1,Database!$A$1:$C$1,),)=0,#N/A,VLOOKUP(Table73[[#This Row],[Date]],Database!$A:$C,MATCH($C$1,Database!$A$1:$C$1,),))</f>
        <v/>
      </c>
      <c r="D3292">
        <f>IFERROR(Table73[[#This Row],[United States 10y]]-Table73[[#This Row],[United States 2y]],#N/A)</f>
        <v/>
      </c>
    </row>
    <row r="3293">
      <c r="A3293" s="6">
        <f>Database!A3292</f>
        <v/>
      </c>
      <c r="B3293">
        <f>IF(VLOOKUP(Table73[[#This Row],[Date]],Database!$A:$E,MATCH($B$1,Database!$A$1:$E$1,),)=0,#N/A,VLOOKUP(Table73[[#This Row],[Date]],Database!$A:$E,MATCH($B$1,Database!$A$1:$E$1,),))</f>
        <v/>
      </c>
      <c r="C3293">
        <f>IF(VLOOKUP(Table73[[#This Row],[Date]],Database!$A:$C,MATCH($C$1,Database!$A$1:$C$1,),)=0,#N/A,VLOOKUP(Table73[[#This Row],[Date]],Database!$A:$C,MATCH($C$1,Database!$A$1:$C$1,),))</f>
        <v/>
      </c>
      <c r="D3293">
        <f>IFERROR(Table73[[#This Row],[United States 10y]]-Table73[[#This Row],[United States 2y]],#N/A)</f>
        <v/>
      </c>
    </row>
    <row r="3294">
      <c r="A3294" s="6">
        <f>Database!A3293</f>
        <v/>
      </c>
      <c r="B3294">
        <f>IF(VLOOKUP(Table73[[#This Row],[Date]],Database!$A:$E,MATCH($B$1,Database!$A$1:$E$1,),)=0,#N/A,VLOOKUP(Table73[[#This Row],[Date]],Database!$A:$E,MATCH($B$1,Database!$A$1:$E$1,),))</f>
        <v/>
      </c>
      <c r="C3294">
        <f>IF(VLOOKUP(Table73[[#This Row],[Date]],Database!$A:$C,MATCH($C$1,Database!$A$1:$C$1,),)=0,#N/A,VLOOKUP(Table73[[#This Row],[Date]],Database!$A:$C,MATCH($C$1,Database!$A$1:$C$1,),))</f>
        <v/>
      </c>
      <c r="D3294">
        <f>IFERROR(Table73[[#This Row],[United States 10y]]-Table73[[#This Row],[United States 2y]],#N/A)</f>
        <v/>
      </c>
    </row>
    <row r="3295">
      <c r="A3295" s="6">
        <f>Database!A3294</f>
        <v/>
      </c>
      <c r="B3295">
        <f>IF(VLOOKUP(Table73[[#This Row],[Date]],Database!$A:$E,MATCH($B$1,Database!$A$1:$E$1,),)=0,#N/A,VLOOKUP(Table73[[#This Row],[Date]],Database!$A:$E,MATCH($B$1,Database!$A$1:$E$1,),))</f>
        <v/>
      </c>
      <c r="C3295">
        <f>IF(VLOOKUP(Table73[[#This Row],[Date]],Database!$A:$C,MATCH($C$1,Database!$A$1:$C$1,),)=0,#N/A,VLOOKUP(Table73[[#This Row],[Date]],Database!$A:$C,MATCH($C$1,Database!$A$1:$C$1,),))</f>
        <v/>
      </c>
      <c r="D3295">
        <f>IFERROR(Table73[[#This Row],[United States 10y]]-Table73[[#This Row],[United States 2y]],#N/A)</f>
        <v/>
      </c>
    </row>
    <row r="3296">
      <c r="A3296" s="6">
        <f>Database!A3295</f>
        <v/>
      </c>
      <c r="B3296">
        <f>IF(VLOOKUP(Table73[[#This Row],[Date]],Database!$A:$E,MATCH($B$1,Database!$A$1:$E$1,),)=0,#N/A,VLOOKUP(Table73[[#This Row],[Date]],Database!$A:$E,MATCH($B$1,Database!$A$1:$E$1,),))</f>
        <v/>
      </c>
      <c r="C3296">
        <f>IF(VLOOKUP(Table73[[#This Row],[Date]],Database!$A:$C,MATCH($C$1,Database!$A$1:$C$1,),)=0,#N/A,VLOOKUP(Table73[[#This Row],[Date]],Database!$A:$C,MATCH($C$1,Database!$A$1:$C$1,),))</f>
        <v/>
      </c>
      <c r="D3296">
        <f>IFERROR(Table73[[#This Row],[United States 10y]]-Table73[[#This Row],[United States 2y]],#N/A)</f>
        <v/>
      </c>
    </row>
    <row r="3297">
      <c r="A3297" s="6">
        <f>Database!A3296</f>
        <v/>
      </c>
      <c r="B3297">
        <f>IF(VLOOKUP(Table73[[#This Row],[Date]],Database!$A:$E,MATCH($B$1,Database!$A$1:$E$1,),)=0,#N/A,VLOOKUP(Table73[[#This Row],[Date]],Database!$A:$E,MATCH($B$1,Database!$A$1:$E$1,),))</f>
        <v/>
      </c>
      <c r="C3297">
        <f>IF(VLOOKUP(Table73[[#This Row],[Date]],Database!$A:$C,MATCH($C$1,Database!$A$1:$C$1,),)=0,#N/A,VLOOKUP(Table73[[#This Row],[Date]],Database!$A:$C,MATCH($C$1,Database!$A$1:$C$1,),))</f>
        <v/>
      </c>
      <c r="D3297">
        <f>IFERROR(Table73[[#This Row],[United States 10y]]-Table73[[#This Row],[United States 2y]],#N/A)</f>
        <v/>
      </c>
    </row>
    <row r="3298">
      <c r="A3298" s="6">
        <f>Database!A3297</f>
        <v/>
      </c>
      <c r="B3298">
        <f>IF(VLOOKUP(Table73[[#This Row],[Date]],Database!$A:$E,MATCH($B$1,Database!$A$1:$E$1,),)=0,#N/A,VLOOKUP(Table73[[#This Row],[Date]],Database!$A:$E,MATCH($B$1,Database!$A$1:$E$1,),))</f>
        <v/>
      </c>
      <c r="C3298">
        <f>IF(VLOOKUP(Table73[[#This Row],[Date]],Database!$A:$C,MATCH($C$1,Database!$A$1:$C$1,),)=0,#N/A,VLOOKUP(Table73[[#This Row],[Date]],Database!$A:$C,MATCH($C$1,Database!$A$1:$C$1,),))</f>
        <v/>
      </c>
      <c r="D3298">
        <f>IFERROR(Table73[[#This Row],[United States 10y]]-Table73[[#This Row],[United States 2y]],#N/A)</f>
        <v/>
      </c>
    </row>
    <row r="3299">
      <c r="A3299" s="6">
        <f>Database!A3298</f>
        <v/>
      </c>
      <c r="B3299">
        <f>IF(VLOOKUP(Table73[[#This Row],[Date]],Database!$A:$E,MATCH($B$1,Database!$A$1:$E$1,),)=0,#N/A,VLOOKUP(Table73[[#This Row],[Date]],Database!$A:$E,MATCH($B$1,Database!$A$1:$E$1,),))</f>
        <v/>
      </c>
      <c r="C3299">
        <f>IF(VLOOKUP(Table73[[#This Row],[Date]],Database!$A:$C,MATCH($C$1,Database!$A$1:$C$1,),)=0,#N/A,VLOOKUP(Table73[[#This Row],[Date]],Database!$A:$C,MATCH($C$1,Database!$A$1:$C$1,),))</f>
        <v/>
      </c>
      <c r="D3299">
        <f>IFERROR(Table73[[#This Row],[United States 10y]]-Table73[[#This Row],[United States 2y]],#N/A)</f>
        <v/>
      </c>
    </row>
    <row r="3300">
      <c r="A3300" s="6">
        <f>Database!A3299</f>
        <v/>
      </c>
      <c r="B3300">
        <f>IF(VLOOKUP(Table73[[#This Row],[Date]],Database!$A:$E,MATCH($B$1,Database!$A$1:$E$1,),)=0,#N/A,VLOOKUP(Table73[[#This Row],[Date]],Database!$A:$E,MATCH($B$1,Database!$A$1:$E$1,),))</f>
        <v/>
      </c>
      <c r="C3300">
        <f>IF(VLOOKUP(Table73[[#This Row],[Date]],Database!$A:$C,MATCH($C$1,Database!$A$1:$C$1,),)=0,#N/A,VLOOKUP(Table73[[#This Row],[Date]],Database!$A:$C,MATCH($C$1,Database!$A$1:$C$1,),))</f>
        <v/>
      </c>
      <c r="D3300">
        <f>IFERROR(Table73[[#This Row],[United States 10y]]-Table73[[#This Row],[United States 2y]],#N/A)</f>
        <v/>
      </c>
    </row>
    <row r="3301">
      <c r="A3301" s="6">
        <f>Database!A3300</f>
        <v/>
      </c>
      <c r="B3301">
        <f>IF(VLOOKUP(Table73[[#This Row],[Date]],Database!$A:$E,MATCH($B$1,Database!$A$1:$E$1,),)=0,#N/A,VLOOKUP(Table73[[#This Row],[Date]],Database!$A:$E,MATCH($B$1,Database!$A$1:$E$1,),))</f>
        <v/>
      </c>
      <c r="C3301">
        <f>IF(VLOOKUP(Table73[[#This Row],[Date]],Database!$A:$C,MATCH($C$1,Database!$A$1:$C$1,),)=0,#N/A,VLOOKUP(Table73[[#This Row],[Date]],Database!$A:$C,MATCH($C$1,Database!$A$1:$C$1,),))</f>
        <v/>
      </c>
      <c r="D3301">
        <f>IFERROR(Table73[[#This Row],[United States 10y]]-Table73[[#This Row],[United States 2y]],#N/A)</f>
        <v/>
      </c>
    </row>
    <row r="3302">
      <c r="A3302" s="6">
        <f>Database!A3301</f>
        <v/>
      </c>
      <c r="B3302">
        <f>IF(VLOOKUP(Table73[[#This Row],[Date]],Database!$A:$E,MATCH($B$1,Database!$A$1:$E$1,),)=0,#N/A,VLOOKUP(Table73[[#This Row],[Date]],Database!$A:$E,MATCH($B$1,Database!$A$1:$E$1,),))</f>
        <v/>
      </c>
      <c r="C3302">
        <f>IF(VLOOKUP(Table73[[#This Row],[Date]],Database!$A:$C,MATCH($C$1,Database!$A$1:$C$1,),)=0,#N/A,VLOOKUP(Table73[[#This Row],[Date]],Database!$A:$C,MATCH($C$1,Database!$A$1:$C$1,),))</f>
        <v/>
      </c>
      <c r="D3302">
        <f>IFERROR(Table73[[#This Row],[United States 10y]]-Table73[[#This Row],[United States 2y]],#N/A)</f>
        <v/>
      </c>
    </row>
    <row r="3303">
      <c r="A3303" s="6">
        <f>Database!A3302</f>
        <v/>
      </c>
      <c r="B3303">
        <f>IF(VLOOKUP(Table73[[#This Row],[Date]],Database!$A:$E,MATCH($B$1,Database!$A$1:$E$1,),)=0,#N/A,VLOOKUP(Table73[[#This Row],[Date]],Database!$A:$E,MATCH($B$1,Database!$A$1:$E$1,),))</f>
        <v/>
      </c>
      <c r="C3303">
        <f>IF(VLOOKUP(Table73[[#This Row],[Date]],Database!$A:$C,MATCH($C$1,Database!$A$1:$C$1,),)=0,#N/A,VLOOKUP(Table73[[#This Row],[Date]],Database!$A:$C,MATCH($C$1,Database!$A$1:$C$1,),))</f>
        <v/>
      </c>
      <c r="D3303">
        <f>IFERROR(Table73[[#This Row],[United States 10y]]-Table73[[#This Row],[United States 2y]],#N/A)</f>
        <v/>
      </c>
    </row>
    <row r="3304">
      <c r="A3304" s="6">
        <f>Database!A3303</f>
        <v/>
      </c>
      <c r="B3304">
        <f>IF(VLOOKUP(Table73[[#This Row],[Date]],Database!$A:$E,MATCH($B$1,Database!$A$1:$E$1,),)=0,#N/A,VLOOKUP(Table73[[#This Row],[Date]],Database!$A:$E,MATCH($B$1,Database!$A$1:$E$1,),))</f>
        <v/>
      </c>
      <c r="C3304">
        <f>IF(VLOOKUP(Table73[[#This Row],[Date]],Database!$A:$C,MATCH($C$1,Database!$A$1:$C$1,),)=0,#N/A,VLOOKUP(Table73[[#This Row],[Date]],Database!$A:$C,MATCH($C$1,Database!$A$1:$C$1,),))</f>
        <v/>
      </c>
      <c r="D3304">
        <f>IFERROR(Table73[[#This Row],[United States 10y]]-Table73[[#This Row],[United States 2y]],#N/A)</f>
        <v/>
      </c>
    </row>
    <row r="3305">
      <c r="A3305" s="6">
        <f>Database!A3304</f>
        <v/>
      </c>
      <c r="B3305">
        <f>IF(VLOOKUP(Table73[[#This Row],[Date]],Database!$A:$E,MATCH($B$1,Database!$A$1:$E$1,),)=0,#N/A,VLOOKUP(Table73[[#This Row],[Date]],Database!$A:$E,MATCH($B$1,Database!$A$1:$E$1,),))</f>
        <v/>
      </c>
      <c r="C3305">
        <f>IF(VLOOKUP(Table73[[#This Row],[Date]],Database!$A:$C,MATCH($C$1,Database!$A$1:$C$1,),)=0,#N/A,VLOOKUP(Table73[[#This Row],[Date]],Database!$A:$C,MATCH($C$1,Database!$A$1:$C$1,),))</f>
        <v/>
      </c>
      <c r="D3305">
        <f>IFERROR(Table73[[#This Row],[United States 10y]]-Table73[[#This Row],[United States 2y]],#N/A)</f>
        <v/>
      </c>
    </row>
    <row r="3306">
      <c r="A3306" s="6">
        <f>Database!A3305</f>
        <v/>
      </c>
      <c r="B3306">
        <f>IF(VLOOKUP(Table73[[#This Row],[Date]],Database!$A:$E,MATCH($B$1,Database!$A$1:$E$1,),)=0,#N/A,VLOOKUP(Table73[[#This Row],[Date]],Database!$A:$E,MATCH($B$1,Database!$A$1:$E$1,),))</f>
        <v/>
      </c>
      <c r="C3306">
        <f>IF(VLOOKUP(Table73[[#This Row],[Date]],Database!$A:$C,MATCH($C$1,Database!$A$1:$C$1,),)=0,#N/A,VLOOKUP(Table73[[#This Row],[Date]],Database!$A:$C,MATCH($C$1,Database!$A$1:$C$1,),))</f>
        <v/>
      </c>
      <c r="D3306">
        <f>IFERROR(Table73[[#This Row],[United States 10y]]-Table73[[#This Row],[United States 2y]],#N/A)</f>
        <v/>
      </c>
    </row>
    <row r="3307">
      <c r="A3307" s="6">
        <f>Database!A3306</f>
        <v/>
      </c>
      <c r="B3307">
        <f>IF(VLOOKUP(Table73[[#This Row],[Date]],Database!$A:$E,MATCH($B$1,Database!$A$1:$E$1,),)=0,#N/A,VLOOKUP(Table73[[#This Row],[Date]],Database!$A:$E,MATCH($B$1,Database!$A$1:$E$1,),))</f>
        <v/>
      </c>
      <c r="C3307">
        <f>IF(VLOOKUP(Table73[[#This Row],[Date]],Database!$A:$C,MATCH($C$1,Database!$A$1:$C$1,),)=0,#N/A,VLOOKUP(Table73[[#This Row],[Date]],Database!$A:$C,MATCH($C$1,Database!$A$1:$C$1,),))</f>
        <v/>
      </c>
      <c r="D3307">
        <f>IFERROR(Table73[[#This Row],[United States 10y]]-Table73[[#This Row],[United States 2y]],#N/A)</f>
        <v/>
      </c>
    </row>
    <row r="3308">
      <c r="A3308" s="6">
        <f>Database!A3307</f>
        <v/>
      </c>
      <c r="B3308">
        <f>IF(VLOOKUP(Table73[[#This Row],[Date]],Database!$A:$E,MATCH($B$1,Database!$A$1:$E$1,),)=0,#N/A,VLOOKUP(Table73[[#This Row],[Date]],Database!$A:$E,MATCH($B$1,Database!$A$1:$E$1,),))</f>
        <v/>
      </c>
      <c r="C3308">
        <f>IF(VLOOKUP(Table73[[#This Row],[Date]],Database!$A:$C,MATCH($C$1,Database!$A$1:$C$1,),)=0,#N/A,VLOOKUP(Table73[[#This Row],[Date]],Database!$A:$C,MATCH($C$1,Database!$A$1:$C$1,),))</f>
        <v/>
      </c>
      <c r="D3308">
        <f>IFERROR(Table73[[#This Row],[United States 10y]]-Table73[[#This Row],[United States 2y]],#N/A)</f>
        <v/>
      </c>
    </row>
    <row r="3309">
      <c r="A3309" s="6">
        <f>Database!A3308</f>
        <v/>
      </c>
      <c r="B3309">
        <f>IF(VLOOKUP(Table73[[#This Row],[Date]],Database!$A:$E,MATCH($B$1,Database!$A$1:$E$1,),)=0,#N/A,VLOOKUP(Table73[[#This Row],[Date]],Database!$A:$E,MATCH($B$1,Database!$A$1:$E$1,),))</f>
        <v/>
      </c>
      <c r="C3309">
        <f>IF(VLOOKUP(Table73[[#This Row],[Date]],Database!$A:$C,MATCH($C$1,Database!$A$1:$C$1,),)=0,#N/A,VLOOKUP(Table73[[#This Row],[Date]],Database!$A:$C,MATCH($C$1,Database!$A$1:$C$1,),))</f>
        <v/>
      </c>
      <c r="D3309">
        <f>IFERROR(Table73[[#This Row],[United States 10y]]-Table73[[#This Row],[United States 2y]],#N/A)</f>
        <v/>
      </c>
    </row>
    <row r="3310">
      <c r="A3310" s="6">
        <f>Database!A3309</f>
        <v/>
      </c>
      <c r="B3310">
        <f>IF(VLOOKUP(Table73[[#This Row],[Date]],Database!$A:$E,MATCH($B$1,Database!$A$1:$E$1,),)=0,#N/A,VLOOKUP(Table73[[#This Row],[Date]],Database!$A:$E,MATCH($B$1,Database!$A$1:$E$1,),))</f>
        <v/>
      </c>
      <c r="C3310">
        <f>IF(VLOOKUP(Table73[[#This Row],[Date]],Database!$A:$C,MATCH($C$1,Database!$A$1:$C$1,),)=0,#N/A,VLOOKUP(Table73[[#This Row],[Date]],Database!$A:$C,MATCH($C$1,Database!$A$1:$C$1,),))</f>
        <v/>
      </c>
      <c r="D3310">
        <f>IFERROR(Table73[[#This Row],[United States 10y]]-Table73[[#This Row],[United States 2y]],#N/A)</f>
        <v/>
      </c>
    </row>
    <row r="3311">
      <c r="A3311" s="6">
        <f>Database!A3310</f>
        <v/>
      </c>
      <c r="B3311">
        <f>IF(VLOOKUP(Table73[[#This Row],[Date]],Database!$A:$E,MATCH($B$1,Database!$A$1:$E$1,),)=0,#N/A,VLOOKUP(Table73[[#This Row],[Date]],Database!$A:$E,MATCH($B$1,Database!$A$1:$E$1,),))</f>
        <v/>
      </c>
      <c r="C3311">
        <f>IF(VLOOKUP(Table73[[#This Row],[Date]],Database!$A:$C,MATCH($C$1,Database!$A$1:$C$1,),)=0,#N/A,VLOOKUP(Table73[[#This Row],[Date]],Database!$A:$C,MATCH($C$1,Database!$A$1:$C$1,),))</f>
        <v/>
      </c>
      <c r="D3311">
        <f>IFERROR(Table73[[#This Row],[United States 10y]]-Table73[[#This Row],[United States 2y]],#N/A)</f>
        <v/>
      </c>
    </row>
    <row r="3312">
      <c r="A3312" s="6">
        <f>Database!A3311</f>
        <v/>
      </c>
      <c r="B3312">
        <f>IF(VLOOKUP(Table73[[#This Row],[Date]],Database!$A:$E,MATCH($B$1,Database!$A$1:$E$1,),)=0,#N/A,VLOOKUP(Table73[[#This Row],[Date]],Database!$A:$E,MATCH($B$1,Database!$A$1:$E$1,),))</f>
        <v/>
      </c>
      <c r="C3312">
        <f>IF(VLOOKUP(Table73[[#This Row],[Date]],Database!$A:$C,MATCH($C$1,Database!$A$1:$C$1,),)=0,#N/A,VLOOKUP(Table73[[#This Row],[Date]],Database!$A:$C,MATCH($C$1,Database!$A$1:$C$1,),))</f>
        <v/>
      </c>
      <c r="D3312">
        <f>IFERROR(Table73[[#This Row],[United States 10y]]-Table73[[#This Row],[United States 2y]],#N/A)</f>
        <v/>
      </c>
    </row>
    <row r="3313">
      <c r="A3313" s="6">
        <f>Database!A3312</f>
        <v/>
      </c>
      <c r="B3313">
        <f>IF(VLOOKUP(Table73[[#This Row],[Date]],Database!$A:$E,MATCH($B$1,Database!$A$1:$E$1,),)=0,#N/A,VLOOKUP(Table73[[#This Row],[Date]],Database!$A:$E,MATCH($B$1,Database!$A$1:$E$1,),))</f>
        <v/>
      </c>
      <c r="C3313">
        <f>IF(VLOOKUP(Table73[[#This Row],[Date]],Database!$A:$C,MATCH($C$1,Database!$A$1:$C$1,),)=0,#N/A,VLOOKUP(Table73[[#This Row],[Date]],Database!$A:$C,MATCH($C$1,Database!$A$1:$C$1,),))</f>
        <v/>
      </c>
      <c r="D3313">
        <f>IFERROR(Table73[[#This Row],[United States 10y]]-Table73[[#This Row],[United States 2y]],#N/A)</f>
        <v/>
      </c>
    </row>
    <row r="3314">
      <c r="A3314" s="6">
        <f>Database!A3313</f>
        <v/>
      </c>
      <c r="B3314">
        <f>IF(VLOOKUP(Table73[[#This Row],[Date]],Database!$A:$E,MATCH($B$1,Database!$A$1:$E$1,),)=0,#N/A,VLOOKUP(Table73[[#This Row],[Date]],Database!$A:$E,MATCH($B$1,Database!$A$1:$E$1,),))</f>
        <v/>
      </c>
      <c r="C3314">
        <f>IF(VLOOKUP(Table73[[#This Row],[Date]],Database!$A:$C,MATCH($C$1,Database!$A$1:$C$1,),)=0,#N/A,VLOOKUP(Table73[[#This Row],[Date]],Database!$A:$C,MATCH($C$1,Database!$A$1:$C$1,),))</f>
        <v/>
      </c>
      <c r="D3314">
        <f>IFERROR(Table73[[#This Row],[United States 10y]]-Table73[[#This Row],[United States 2y]],#N/A)</f>
        <v/>
      </c>
    </row>
    <row r="3315">
      <c r="A3315" s="6">
        <f>Database!A3314</f>
        <v/>
      </c>
      <c r="B3315">
        <f>IF(VLOOKUP(Table73[[#This Row],[Date]],Database!$A:$E,MATCH($B$1,Database!$A$1:$E$1,),)=0,#N/A,VLOOKUP(Table73[[#This Row],[Date]],Database!$A:$E,MATCH($B$1,Database!$A$1:$E$1,),))</f>
        <v/>
      </c>
      <c r="C3315">
        <f>IF(VLOOKUP(Table73[[#This Row],[Date]],Database!$A:$C,MATCH($C$1,Database!$A$1:$C$1,),)=0,#N/A,VLOOKUP(Table73[[#This Row],[Date]],Database!$A:$C,MATCH($C$1,Database!$A$1:$C$1,),))</f>
        <v/>
      </c>
      <c r="D3315">
        <f>IFERROR(Table73[[#This Row],[United States 10y]]-Table73[[#This Row],[United States 2y]],#N/A)</f>
        <v/>
      </c>
    </row>
    <row r="3316">
      <c r="A3316" s="6">
        <f>Database!A3315</f>
        <v/>
      </c>
      <c r="B3316">
        <f>IF(VLOOKUP(Table73[[#This Row],[Date]],Database!$A:$E,MATCH($B$1,Database!$A$1:$E$1,),)=0,#N/A,VLOOKUP(Table73[[#This Row],[Date]],Database!$A:$E,MATCH($B$1,Database!$A$1:$E$1,),))</f>
        <v/>
      </c>
      <c r="C3316">
        <f>IF(VLOOKUP(Table73[[#This Row],[Date]],Database!$A:$C,MATCH($C$1,Database!$A$1:$C$1,),)=0,#N/A,VLOOKUP(Table73[[#This Row],[Date]],Database!$A:$C,MATCH($C$1,Database!$A$1:$C$1,),))</f>
        <v/>
      </c>
      <c r="D3316">
        <f>IFERROR(Table73[[#This Row],[United States 10y]]-Table73[[#This Row],[United States 2y]],#N/A)</f>
        <v/>
      </c>
    </row>
    <row r="3317">
      <c r="A3317" s="6">
        <f>Database!A3316</f>
        <v/>
      </c>
      <c r="B3317">
        <f>IF(VLOOKUP(Table73[[#This Row],[Date]],Database!$A:$E,MATCH($B$1,Database!$A$1:$E$1,),)=0,#N/A,VLOOKUP(Table73[[#This Row],[Date]],Database!$A:$E,MATCH($B$1,Database!$A$1:$E$1,),))</f>
        <v/>
      </c>
      <c r="C3317">
        <f>IF(VLOOKUP(Table73[[#This Row],[Date]],Database!$A:$C,MATCH($C$1,Database!$A$1:$C$1,),)=0,#N/A,VLOOKUP(Table73[[#This Row],[Date]],Database!$A:$C,MATCH($C$1,Database!$A$1:$C$1,),))</f>
        <v/>
      </c>
      <c r="D3317">
        <f>IFERROR(Table73[[#This Row],[United States 10y]]-Table73[[#This Row],[United States 2y]],#N/A)</f>
        <v/>
      </c>
    </row>
    <row r="3318">
      <c r="A3318" s="6">
        <f>Database!A3317</f>
        <v/>
      </c>
      <c r="B3318">
        <f>IF(VLOOKUP(Table73[[#This Row],[Date]],Database!$A:$E,MATCH($B$1,Database!$A$1:$E$1,),)=0,#N/A,VLOOKUP(Table73[[#This Row],[Date]],Database!$A:$E,MATCH($B$1,Database!$A$1:$E$1,),))</f>
        <v/>
      </c>
      <c r="C3318">
        <f>IF(VLOOKUP(Table73[[#This Row],[Date]],Database!$A:$C,MATCH($C$1,Database!$A$1:$C$1,),)=0,#N/A,VLOOKUP(Table73[[#This Row],[Date]],Database!$A:$C,MATCH($C$1,Database!$A$1:$C$1,),))</f>
        <v/>
      </c>
      <c r="D3318">
        <f>IFERROR(Table73[[#This Row],[United States 10y]]-Table73[[#This Row],[United States 2y]],#N/A)</f>
        <v/>
      </c>
    </row>
    <row r="3319">
      <c r="A3319" s="6">
        <f>Database!A3318</f>
        <v/>
      </c>
      <c r="B3319">
        <f>IF(VLOOKUP(Table73[[#This Row],[Date]],Database!$A:$E,MATCH($B$1,Database!$A$1:$E$1,),)=0,#N/A,VLOOKUP(Table73[[#This Row],[Date]],Database!$A:$E,MATCH($B$1,Database!$A$1:$E$1,),))</f>
        <v/>
      </c>
      <c r="C3319">
        <f>IF(VLOOKUP(Table73[[#This Row],[Date]],Database!$A:$C,MATCH($C$1,Database!$A$1:$C$1,),)=0,#N/A,VLOOKUP(Table73[[#This Row],[Date]],Database!$A:$C,MATCH($C$1,Database!$A$1:$C$1,),))</f>
        <v/>
      </c>
      <c r="D3319">
        <f>IFERROR(Table73[[#This Row],[United States 10y]]-Table73[[#This Row],[United States 2y]],#N/A)</f>
        <v/>
      </c>
    </row>
    <row r="3320">
      <c r="A3320" s="6">
        <f>Database!A3319</f>
        <v/>
      </c>
      <c r="B3320">
        <f>IF(VLOOKUP(Table73[[#This Row],[Date]],Database!$A:$E,MATCH($B$1,Database!$A$1:$E$1,),)=0,#N/A,VLOOKUP(Table73[[#This Row],[Date]],Database!$A:$E,MATCH($B$1,Database!$A$1:$E$1,),))</f>
        <v/>
      </c>
      <c r="C3320">
        <f>IF(VLOOKUP(Table73[[#This Row],[Date]],Database!$A:$C,MATCH($C$1,Database!$A$1:$C$1,),)=0,#N/A,VLOOKUP(Table73[[#This Row],[Date]],Database!$A:$C,MATCH($C$1,Database!$A$1:$C$1,),))</f>
        <v/>
      </c>
      <c r="D3320">
        <f>IFERROR(Table73[[#This Row],[United States 10y]]-Table73[[#This Row],[United States 2y]],#N/A)</f>
        <v/>
      </c>
    </row>
    <row r="3321">
      <c r="A3321" s="6">
        <f>Database!A3320</f>
        <v/>
      </c>
      <c r="B3321">
        <f>IF(VLOOKUP(Table73[[#This Row],[Date]],Database!$A:$E,MATCH($B$1,Database!$A$1:$E$1,),)=0,#N/A,VLOOKUP(Table73[[#This Row],[Date]],Database!$A:$E,MATCH($B$1,Database!$A$1:$E$1,),))</f>
        <v/>
      </c>
      <c r="C3321">
        <f>IF(VLOOKUP(Table73[[#This Row],[Date]],Database!$A:$C,MATCH($C$1,Database!$A$1:$C$1,),)=0,#N/A,VLOOKUP(Table73[[#This Row],[Date]],Database!$A:$C,MATCH($C$1,Database!$A$1:$C$1,),))</f>
        <v/>
      </c>
      <c r="D3321">
        <f>IFERROR(Table73[[#This Row],[United States 10y]]-Table73[[#This Row],[United States 2y]],#N/A)</f>
        <v/>
      </c>
    </row>
    <row r="3322">
      <c r="A3322" s="6">
        <f>Database!A3321</f>
        <v/>
      </c>
      <c r="B3322">
        <f>IF(VLOOKUP(Table73[[#This Row],[Date]],Database!$A:$E,MATCH($B$1,Database!$A$1:$E$1,),)=0,#N/A,VLOOKUP(Table73[[#This Row],[Date]],Database!$A:$E,MATCH($B$1,Database!$A$1:$E$1,),))</f>
        <v/>
      </c>
      <c r="C3322">
        <f>IF(VLOOKUP(Table73[[#This Row],[Date]],Database!$A:$C,MATCH($C$1,Database!$A$1:$C$1,),)=0,#N/A,VLOOKUP(Table73[[#This Row],[Date]],Database!$A:$C,MATCH($C$1,Database!$A$1:$C$1,),))</f>
        <v/>
      </c>
      <c r="D3322">
        <f>IFERROR(Table73[[#This Row],[United States 10y]]-Table73[[#This Row],[United States 2y]],#N/A)</f>
        <v/>
      </c>
    </row>
    <row r="3323">
      <c r="A3323" s="6">
        <f>Database!A3322</f>
        <v/>
      </c>
      <c r="B3323">
        <f>IF(VLOOKUP(Table73[[#This Row],[Date]],Database!$A:$E,MATCH($B$1,Database!$A$1:$E$1,),)=0,#N/A,VLOOKUP(Table73[[#This Row],[Date]],Database!$A:$E,MATCH($B$1,Database!$A$1:$E$1,),))</f>
        <v/>
      </c>
      <c r="C3323">
        <f>IF(VLOOKUP(Table73[[#This Row],[Date]],Database!$A:$C,MATCH($C$1,Database!$A$1:$C$1,),)=0,#N/A,VLOOKUP(Table73[[#This Row],[Date]],Database!$A:$C,MATCH($C$1,Database!$A$1:$C$1,),))</f>
        <v/>
      </c>
      <c r="D3323">
        <f>IFERROR(Table73[[#This Row],[United States 10y]]-Table73[[#This Row],[United States 2y]],#N/A)</f>
        <v/>
      </c>
    </row>
    <row r="3324">
      <c r="A3324" s="6">
        <f>Database!A3323</f>
        <v/>
      </c>
      <c r="B3324">
        <f>IF(VLOOKUP(Table73[[#This Row],[Date]],Database!$A:$E,MATCH($B$1,Database!$A$1:$E$1,),)=0,#N/A,VLOOKUP(Table73[[#This Row],[Date]],Database!$A:$E,MATCH($B$1,Database!$A$1:$E$1,),))</f>
        <v/>
      </c>
      <c r="C3324">
        <f>IF(VLOOKUP(Table73[[#This Row],[Date]],Database!$A:$C,MATCH($C$1,Database!$A$1:$C$1,),)=0,#N/A,VLOOKUP(Table73[[#This Row],[Date]],Database!$A:$C,MATCH($C$1,Database!$A$1:$C$1,),))</f>
        <v/>
      </c>
      <c r="D3324">
        <f>IFERROR(Table73[[#This Row],[United States 10y]]-Table73[[#This Row],[United States 2y]],#N/A)</f>
        <v/>
      </c>
    </row>
    <row r="3325">
      <c r="A3325" s="6">
        <f>Database!A3324</f>
        <v/>
      </c>
      <c r="B3325">
        <f>IF(VLOOKUP(Table73[[#This Row],[Date]],Database!$A:$E,MATCH($B$1,Database!$A$1:$E$1,),)=0,#N/A,VLOOKUP(Table73[[#This Row],[Date]],Database!$A:$E,MATCH($B$1,Database!$A$1:$E$1,),))</f>
        <v/>
      </c>
      <c r="C3325">
        <f>IF(VLOOKUP(Table73[[#This Row],[Date]],Database!$A:$C,MATCH($C$1,Database!$A$1:$C$1,),)=0,#N/A,VLOOKUP(Table73[[#This Row],[Date]],Database!$A:$C,MATCH($C$1,Database!$A$1:$C$1,),))</f>
        <v/>
      </c>
      <c r="D3325">
        <f>IFERROR(Table73[[#This Row],[United States 10y]]-Table73[[#This Row],[United States 2y]],#N/A)</f>
        <v/>
      </c>
    </row>
    <row r="3326">
      <c r="A3326" s="6">
        <f>Database!A3325</f>
        <v/>
      </c>
      <c r="B3326">
        <f>IF(VLOOKUP(Table73[[#This Row],[Date]],Database!$A:$E,MATCH($B$1,Database!$A$1:$E$1,),)=0,#N/A,VLOOKUP(Table73[[#This Row],[Date]],Database!$A:$E,MATCH($B$1,Database!$A$1:$E$1,),))</f>
        <v/>
      </c>
      <c r="C3326">
        <f>IF(VLOOKUP(Table73[[#This Row],[Date]],Database!$A:$C,MATCH($C$1,Database!$A$1:$C$1,),)=0,#N/A,VLOOKUP(Table73[[#This Row],[Date]],Database!$A:$C,MATCH($C$1,Database!$A$1:$C$1,),))</f>
        <v/>
      </c>
      <c r="D3326">
        <f>IFERROR(Table73[[#This Row],[United States 10y]]-Table73[[#This Row],[United States 2y]],#N/A)</f>
        <v/>
      </c>
    </row>
    <row r="3327">
      <c r="A3327" s="6">
        <f>Database!A3326</f>
        <v/>
      </c>
      <c r="B3327">
        <f>IF(VLOOKUP(Table73[[#This Row],[Date]],Database!$A:$E,MATCH($B$1,Database!$A$1:$E$1,),)=0,#N/A,VLOOKUP(Table73[[#This Row],[Date]],Database!$A:$E,MATCH($B$1,Database!$A$1:$E$1,),))</f>
        <v/>
      </c>
      <c r="C3327">
        <f>IF(VLOOKUP(Table73[[#This Row],[Date]],Database!$A:$C,MATCH($C$1,Database!$A$1:$C$1,),)=0,#N/A,VLOOKUP(Table73[[#This Row],[Date]],Database!$A:$C,MATCH($C$1,Database!$A$1:$C$1,),))</f>
        <v/>
      </c>
      <c r="D3327">
        <f>IFERROR(Table73[[#This Row],[United States 10y]]-Table73[[#This Row],[United States 2y]],#N/A)</f>
        <v/>
      </c>
    </row>
    <row r="3328">
      <c r="A3328" s="6">
        <f>Database!A3327</f>
        <v/>
      </c>
      <c r="B3328">
        <f>IF(VLOOKUP(Table73[[#This Row],[Date]],Database!$A:$E,MATCH($B$1,Database!$A$1:$E$1,),)=0,#N/A,VLOOKUP(Table73[[#This Row],[Date]],Database!$A:$E,MATCH($B$1,Database!$A$1:$E$1,),))</f>
        <v/>
      </c>
      <c r="C3328">
        <f>IF(VLOOKUP(Table73[[#This Row],[Date]],Database!$A:$C,MATCH($C$1,Database!$A$1:$C$1,),)=0,#N/A,VLOOKUP(Table73[[#This Row],[Date]],Database!$A:$C,MATCH($C$1,Database!$A$1:$C$1,),))</f>
        <v/>
      </c>
      <c r="D3328">
        <f>IFERROR(Table73[[#This Row],[United States 10y]]-Table73[[#This Row],[United States 2y]],#N/A)</f>
        <v/>
      </c>
    </row>
    <row r="3329">
      <c r="A3329" s="6">
        <f>Database!A3328</f>
        <v/>
      </c>
      <c r="B3329">
        <f>IF(VLOOKUP(Table73[[#This Row],[Date]],Database!$A:$E,MATCH($B$1,Database!$A$1:$E$1,),)=0,#N/A,VLOOKUP(Table73[[#This Row],[Date]],Database!$A:$E,MATCH($B$1,Database!$A$1:$E$1,),))</f>
        <v/>
      </c>
      <c r="C3329">
        <f>IF(VLOOKUP(Table73[[#This Row],[Date]],Database!$A:$C,MATCH($C$1,Database!$A$1:$C$1,),)=0,#N/A,VLOOKUP(Table73[[#This Row],[Date]],Database!$A:$C,MATCH($C$1,Database!$A$1:$C$1,),))</f>
        <v/>
      </c>
      <c r="D3329">
        <f>IFERROR(Table73[[#This Row],[United States 10y]]-Table73[[#This Row],[United States 2y]],#N/A)</f>
        <v/>
      </c>
    </row>
    <row r="3330">
      <c r="A3330" s="6">
        <f>Database!A3329</f>
        <v/>
      </c>
      <c r="B3330">
        <f>IF(VLOOKUP(Table73[[#This Row],[Date]],Database!$A:$E,MATCH($B$1,Database!$A$1:$E$1,),)=0,#N/A,VLOOKUP(Table73[[#This Row],[Date]],Database!$A:$E,MATCH($B$1,Database!$A$1:$E$1,),))</f>
        <v/>
      </c>
      <c r="C3330">
        <f>IF(VLOOKUP(Table73[[#This Row],[Date]],Database!$A:$C,MATCH($C$1,Database!$A$1:$C$1,),)=0,#N/A,VLOOKUP(Table73[[#This Row],[Date]],Database!$A:$C,MATCH($C$1,Database!$A$1:$C$1,),))</f>
        <v/>
      </c>
      <c r="D3330">
        <f>IFERROR(Table73[[#This Row],[United States 10y]]-Table73[[#This Row],[United States 2y]],#N/A)</f>
        <v/>
      </c>
    </row>
    <row r="3331">
      <c r="A3331" s="6">
        <f>Database!A3330</f>
        <v/>
      </c>
      <c r="B3331">
        <f>IF(VLOOKUP(Table73[[#This Row],[Date]],Database!$A:$E,MATCH($B$1,Database!$A$1:$E$1,),)=0,#N/A,VLOOKUP(Table73[[#This Row],[Date]],Database!$A:$E,MATCH($B$1,Database!$A$1:$E$1,),))</f>
        <v/>
      </c>
      <c r="C3331">
        <f>IF(VLOOKUP(Table73[[#This Row],[Date]],Database!$A:$C,MATCH($C$1,Database!$A$1:$C$1,),)=0,#N/A,VLOOKUP(Table73[[#This Row],[Date]],Database!$A:$C,MATCH($C$1,Database!$A$1:$C$1,),))</f>
        <v/>
      </c>
      <c r="D3331">
        <f>IFERROR(Table73[[#This Row],[United States 10y]]-Table73[[#This Row],[United States 2y]],#N/A)</f>
        <v/>
      </c>
    </row>
    <row r="3332">
      <c r="A3332" s="6">
        <f>Database!A3331</f>
        <v/>
      </c>
      <c r="B3332">
        <f>IF(VLOOKUP(Table73[[#This Row],[Date]],Database!$A:$E,MATCH($B$1,Database!$A$1:$E$1,),)=0,#N/A,VLOOKUP(Table73[[#This Row],[Date]],Database!$A:$E,MATCH($B$1,Database!$A$1:$E$1,),))</f>
        <v/>
      </c>
      <c r="C3332">
        <f>IF(VLOOKUP(Table73[[#This Row],[Date]],Database!$A:$C,MATCH($C$1,Database!$A$1:$C$1,),)=0,#N/A,VLOOKUP(Table73[[#This Row],[Date]],Database!$A:$C,MATCH($C$1,Database!$A$1:$C$1,),))</f>
        <v/>
      </c>
      <c r="D3332">
        <f>IFERROR(Table73[[#This Row],[United States 10y]]-Table73[[#This Row],[United States 2y]],#N/A)</f>
        <v/>
      </c>
    </row>
    <row r="3333">
      <c r="A3333" s="6">
        <f>Database!A3332</f>
        <v/>
      </c>
      <c r="B3333">
        <f>IF(VLOOKUP(Table73[[#This Row],[Date]],Database!$A:$E,MATCH($B$1,Database!$A$1:$E$1,),)=0,#N/A,VLOOKUP(Table73[[#This Row],[Date]],Database!$A:$E,MATCH($B$1,Database!$A$1:$E$1,),))</f>
        <v/>
      </c>
      <c r="C3333">
        <f>IF(VLOOKUP(Table73[[#This Row],[Date]],Database!$A:$C,MATCH($C$1,Database!$A$1:$C$1,),)=0,#N/A,VLOOKUP(Table73[[#This Row],[Date]],Database!$A:$C,MATCH($C$1,Database!$A$1:$C$1,),))</f>
        <v/>
      </c>
      <c r="D3333">
        <f>IFERROR(Table73[[#This Row],[United States 10y]]-Table73[[#This Row],[United States 2y]],#N/A)</f>
        <v/>
      </c>
    </row>
    <row r="3334">
      <c r="A3334" s="6">
        <f>Database!A3333</f>
        <v/>
      </c>
      <c r="B3334">
        <f>IF(VLOOKUP(Table73[[#This Row],[Date]],Database!$A:$E,MATCH($B$1,Database!$A$1:$E$1,),)=0,#N/A,VLOOKUP(Table73[[#This Row],[Date]],Database!$A:$E,MATCH($B$1,Database!$A$1:$E$1,),))</f>
        <v/>
      </c>
      <c r="C3334">
        <f>IF(VLOOKUP(Table73[[#This Row],[Date]],Database!$A:$C,MATCH($C$1,Database!$A$1:$C$1,),)=0,#N/A,VLOOKUP(Table73[[#This Row],[Date]],Database!$A:$C,MATCH($C$1,Database!$A$1:$C$1,),))</f>
        <v/>
      </c>
      <c r="D3334">
        <f>IFERROR(Table73[[#This Row],[United States 10y]]-Table73[[#This Row],[United States 2y]],#N/A)</f>
        <v/>
      </c>
    </row>
    <row r="3335">
      <c r="A3335" s="6">
        <f>Database!A3334</f>
        <v/>
      </c>
      <c r="B3335">
        <f>IF(VLOOKUP(Table73[[#This Row],[Date]],Database!$A:$E,MATCH($B$1,Database!$A$1:$E$1,),)=0,#N/A,VLOOKUP(Table73[[#This Row],[Date]],Database!$A:$E,MATCH($B$1,Database!$A$1:$E$1,),))</f>
        <v/>
      </c>
      <c r="C3335">
        <f>IF(VLOOKUP(Table73[[#This Row],[Date]],Database!$A:$C,MATCH($C$1,Database!$A$1:$C$1,),)=0,#N/A,VLOOKUP(Table73[[#This Row],[Date]],Database!$A:$C,MATCH($C$1,Database!$A$1:$C$1,),))</f>
        <v/>
      </c>
      <c r="D3335">
        <f>IFERROR(Table73[[#This Row],[United States 10y]]-Table73[[#This Row],[United States 2y]],#N/A)</f>
        <v/>
      </c>
    </row>
    <row r="3336">
      <c r="A3336" s="6">
        <f>Database!A3335</f>
        <v/>
      </c>
      <c r="B3336">
        <f>IF(VLOOKUP(Table73[[#This Row],[Date]],Database!$A:$E,MATCH($B$1,Database!$A$1:$E$1,),)=0,#N/A,VLOOKUP(Table73[[#This Row],[Date]],Database!$A:$E,MATCH($B$1,Database!$A$1:$E$1,),))</f>
        <v/>
      </c>
      <c r="C3336">
        <f>IF(VLOOKUP(Table73[[#This Row],[Date]],Database!$A:$C,MATCH($C$1,Database!$A$1:$C$1,),)=0,#N/A,VLOOKUP(Table73[[#This Row],[Date]],Database!$A:$C,MATCH($C$1,Database!$A$1:$C$1,),))</f>
        <v/>
      </c>
      <c r="D3336">
        <f>IFERROR(Table73[[#This Row],[United States 10y]]-Table73[[#This Row],[United States 2y]],#N/A)</f>
        <v/>
      </c>
    </row>
    <row r="3337">
      <c r="A3337" s="6">
        <f>Database!A3336</f>
        <v/>
      </c>
      <c r="B3337">
        <f>IF(VLOOKUP(Table73[[#This Row],[Date]],Database!$A:$E,MATCH($B$1,Database!$A$1:$E$1,),)=0,#N/A,VLOOKUP(Table73[[#This Row],[Date]],Database!$A:$E,MATCH($B$1,Database!$A$1:$E$1,),))</f>
        <v/>
      </c>
      <c r="C3337">
        <f>IF(VLOOKUP(Table73[[#This Row],[Date]],Database!$A:$C,MATCH($C$1,Database!$A$1:$C$1,),)=0,#N/A,VLOOKUP(Table73[[#This Row],[Date]],Database!$A:$C,MATCH($C$1,Database!$A$1:$C$1,),))</f>
        <v/>
      </c>
      <c r="D3337">
        <f>IFERROR(Table73[[#This Row],[United States 10y]]-Table73[[#This Row],[United States 2y]],#N/A)</f>
        <v/>
      </c>
    </row>
    <row r="3338">
      <c r="A3338" s="6">
        <f>Database!A3337</f>
        <v/>
      </c>
      <c r="B3338">
        <f>IF(VLOOKUP(Table73[[#This Row],[Date]],Database!$A:$E,MATCH($B$1,Database!$A$1:$E$1,),)=0,#N/A,VLOOKUP(Table73[[#This Row],[Date]],Database!$A:$E,MATCH($B$1,Database!$A$1:$E$1,),))</f>
        <v/>
      </c>
      <c r="C3338">
        <f>IF(VLOOKUP(Table73[[#This Row],[Date]],Database!$A:$C,MATCH($C$1,Database!$A$1:$C$1,),)=0,#N/A,VLOOKUP(Table73[[#This Row],[Date]],Database!$A:$C,MATCH($C$1,Database!$A$1:$C$1,),))</f>
        <v/>
      </c>
      <c r="D3338">
        <f>IFERROR(Table73[[#This Row],[United States 10y]]-Table73[[#This Row],[United States 2y]],#N/A)</f>
        <v/>
      </c>
    </row>
    <row r="3339">
      <c r="A3339" s="6">
        <f>Database!A3338</f>
        <v/>
      </c>
      <c r="B3339">
        <f>IF(VLOOKUP(Table73[[#This Row],[Date]],Database!$A:$E,MATCH($B$1,Database!$A$1:$E$1,),)=0,#N/A,VLOOKUP(Table73[[#This Row],[Date]],Database!$A:$E,MATCH($B$1,Database!$A$1:$E$1,),))</f>
        <v/>
      </c>
      <c r="C3339">
        <f>IF(VLOOKUP(Table73[[#This Row],[Date]],Database!$A:$C,MATCH($C$1,Database!$A$1:$C$1,),)=0,#N/A,VLOOKUP(Table73[[#This Row],[Date]],Database!$A:$C,MATCH($C$1,Database!$A$1:$C$1,),))</f>
        <v/>
      </c>
      <c r="D3339">
        <f>IFERROR(Table73[[#This Row],[United States 10y]]-Table73[[#This Row],[United States 2y]],#N/A)</f>
        <v/>
      </c>
    </row>
    <row r="3340">
      <c r="A3340" s="6">
        <f>Database!A3339</f>
        <v/>
      </c>
      <c r="B3340">
        <f>IF(VLOOKUP(Table73[[#This Row],[Date]],Database!$A:$E,MATCH($B$1,Database!$A$1:$E$1,),)=0,#N/A,VLOOKUP(Table73[[#This Row],[Date]],Database!$A:$E,MATCH($B$1,Database!$A$1:$E$1,),))</f>
        <v/>
      </c>
      <c r="C3340">
        <f>IF(VLOOKUP(Table73[[#This Row],[Date]],Database!$A:$C,MATCH($C$1,Database!$A$1:$C$1,),)=0,#N/A,VLOOKUP(Table73[[#This Row],[Date]],Database!$A:$C,MATCH($C$1,Database!$A$1:$C$1,),))</f>
        <v/>
      </c>
      <c r="D3340">
        <f>IFERROR(Table73[[#This Row],[United States 10y]]-Table73[[#This Row],[United States 2y]],#N/A)</f>
        <v/>
      </c>
    </row>
    <row r="3341">
      <c r="A3341" s="6">
        <f>Database!A3340</f>
        <v/>
      </c>
      <c r="B3341">
        <f>IF(VLOOKUP(Table73[[#This Row],[Date]],Database!$A:$E,MATCH($B$1,Database!$A$1:$E$1,),)=0,#N/A,VLOOKUP(Table73[[#This Row],[Date]],Database!$A:$E,MATCH($B$1,Database!$A$1:$E$1,),))</f>
        <v/>
      </c>
      <c r="C3341">
        <f>IF(VLOOKUP(Table73[[#This Row],[Date]],Database!$A:$C,MATCH($C$1,Database!$A$1:$C$1,),)=0,#N/A,VLOOKUP(Table73[[#This Row],[Date]],Database!$A:$C,MATCH($C$1,Database!$A$1:$C$1,),))</f>
        <v/>
      </c>
      <c r="D3341">
        <f>IFERROR(Table73[[#This Row],[United States 10y]]-Table73[[#This Row],[United States 2y]],#N/A)</f>
        <v/>
      </c>
    </row>
    <row r="3342">
      <c r="A3342" s="6">
        <f>Database!A3341</f>
        <v/>
      </c>
      <c r="B3342">
        <f>IF(VLOOKUP(Table73[[#This Row],[Date]],Database!$A:$E,MATCH($B$1,Database!$A$1:$E$1,),)=0,#N/A,VLOOKUP(Table73[[#This Row],[Date]],Database!$A:$E,MATCH($B$1,Database!$A$1:$E$1,),))</f>
        <v/>
      </c>
      <c r="C3342">
        <f>IF(VLOOKUP(Table73[[#This Row],[Date]],Database!$A:$C,MATCH($C$1,Database!$A$1:$C$1,),)=0,#N/A,VLOOKUP(Table73[[#This Row],[Date]],Database!$A:$C,MATCH($C$1,Database!$A$1:$C$1,),))</f>
        <v/>
      </c>
      <c r="D3342">
        <f>IFERROR(Table73[[#This Row],[United States 10y]]-Table73[[#This Row],[United States 2y]],#N/A)</f>
        <v/>
      </c>
    </row>
    <row r="3343">
      <c r="A3343" s="6">
        <f>Database!A3342</f>
        <v/>
      </c>
      <c r="B3343">
        <f>IF(VLOOKUP(Table73[[#This Row],[Date]],Database!$A:$E,MATCH($B$1,Database!$A$1:$E$1,),)=0,#N/A,VLOOKUP(Table73[[#This Row],[Date]],Database!$A:$E,MATCH($B$1,Database!$A$1:$E$1,),))</f>
        <v/>
      </c>
      <c r="C3343">
        <f>IF(VLOOKUP(Table73[[#This Row],[Date]],Database!$A:$C,MATCH($C$1,Database!$A$1:$C$1,),)=0,#N/A,VLOOKUP(Table73[[#This Row],[Date]],Database!$A:$C,MATCH($C$1,Database!$A$1:$C$1,),))</f>
        <v/>
      </c>
      <c r="D3343">
        <f>IFERROR(Table73[[#This Row],[United States 10y]]-Table73[[#This Row],[United States 2y]],#N/A)</f>
        <v/>
      </c>
    </row>
    <row r="3344">
      <c r="A3344" s="6">
        <f>Database!A3343</f>
        <v/>
      </c>
      <c r="B3344">
        <f>IF(VLOOKUP(Table73[[#This Row],[Date]],Database!$A:$E,MATCH($B$1,Database!$A$1:$E$1,),)=0,#N/A,VLOOKUP(Table73[[#This Row],[Date]],Database!$A:$E,MATCH($B$1,Database!$A$1:$E$1,),))</f>
        <v/>
      </c>
      <c r="C3344">
        <f>IF(VLOOKUP(Table73[[#This Row],[Date]],Database!$A:$C,MATCH($C$1,Database!$A$1:$C$1,),)=0,#N/A,VLOOKUP(Table73[[#This Row],[Date]],Database!$A:$C,MATCH($C$1,Database!$A$1:$C$1,),))</f>
        <v/>
      </c>
      <c r="D3344">
        <f>IFERROR(Table73[[#This Row],[United States 10y]]-Table73[[#This Row],[United States 2y]],#N/A)</f>
        <v/>
      </c>
    </row>
    <row r="3345">
      <c r="A3345" s="6">
        <f>Database!A3344</f>
        <v/>
      </c>
      <c r="B3345">
        <f>IF(VLOOKUP(Table73[[#This Row],[Date]],Database!$A:$E,MATCH($B$1,Database!$A$1:$E$1,),)=0,#N/A,VLOOKUP(Table73[[#This Row],[Date]],Database!$A:$E,MATCH($B$1,Database!$A$1:$E$1,),))</f>
        <v/>
      </c>
      <c r="C3345">
        <f>IF(VLOOKUP(Table73[[#This Row],[Date]],Database!$A:$C,MATCH($C$1,Database!$A$1:$C$1,),)=0,#N/A,VLOOKUP(Table73[[#This Row],[Date]],Database!$A:$C,MATCH($C$1,Database!$A$1:$C$1,),))</f>
        <v/>
      </c>
      <c r="D3345">
        <f>IFERROR(Table73[[#This Row],[United States 10y]]-Table73[[#This Row],[United States 2y]],#N/A)</f>
        <v/>
      </c>
    </row>
    <row r="3346">
      <c r="A3346" s="6">
        <f>Database!A3345</f>
        <v/>
      </c>
      <c r="B3346">
        <f>IF(VLOOKUP(Table73[[#This Row],[Date]],Database!$A:$E,MATCH($B$1,Database!$A$1:$E$1,),)=0,#N/A,VLOOKUP(Table73[[#This Row],[Date]],Database!$A:$E,MATCH($B$1,Database!$A$1:$E$1,),))</f>
        <v/>
      </c>
      <c r="C3346">
        <f>IF(VLOOKUP(Table73[[#This Row],[Date]],Database!$A:$C,MATCH($C$1,Database!$A$1:$C$1,),)=0,#N/A,VLOOKUP(Table73[[#This Row],[Date]],Database!$A:$C,MATCH($C$1,Database!$A$1:$C$1,),))</f>
        <v/>
      </c>
      <c r="D3346">
        <f>IFERROR(Table73[[#This Row],[United States 10y]]-Table73[[#This Row],[United States 2y]],#N/A)</f>
        <v/>
      </c>
    </row>
    <row r="3347">
      <c r="A3347" s="6">
        <f>Database!A3346</f>
        <v/>
      </c>
      <c r="B3347">
        <f>IF(VLOOKUP(Table73[[#This Row],[Date]],Database!$A:$E,MATCH($B$1,Database!$A$1:$E$1,),)=0,#N/A,VLOOKUP(Table73[[#This Row],[Date]],Database!$A:$E,MATCH($B$1,Database!$A$1:$E$1,),))</f>
        <v/>
      </c>
      <c r="C3347">
        <f>IF(VLOOKUP(Table73[[#This Row],[Date]],Database!$A:$C,MATCH($C$1,Database!$A$1:$C$1,),)=0,#N/A,VLOOKUP(Table73[[#This Row],[Date]],Database!$A:$C,MATCH($C$1,Database!$A$1:$C$1,),))</f>
        <v/>
      </c>
      <c r="D3347">
        <f>IFERROR(Table73[[#This Row],[United States 10y]]-Table73[[#This Row],[United States 2y]],#N/A)</f>
        <v/>
      </c>
    </row>
    <row r="3348">
      <c r="A3348" s="6">
        <f>Database!A3347</f>
        <v/>
      </c>
      <c r="B3348">
        <f>IF(VLOOKUP(Table73[[#This Row],[Date]],Database!$A:$E,MATCH($B$1,Database!$A$1:$E$1,),)=0,#N/A,VLOOKUP(Table73[[#This Row],[Date]],Database!$A:$E,MATCH($B$1,Database!$A$1:$E$1,),))</f>
        <v/>
      </c>
      <c r="C3348">
        <f>IF(VLOOKUP(Table73[[#This Row],[Date]],Database!$A:$C,MATCH($C$1,Database!$A$1:$C$1,),)=0,#N/A,VLOOKUP(Table73[[#This Row],[Date]],Database!$A:$C,MATCH($C$1,Database!$A$1:$C$1,),))</f>
        <v/>
      </c>
      <c r="D3348">
        <f>IFERROR(Table73[[#This Row],[United States 10y]]-Table73[[#This Row],[United States 2y]],#N/A)</f>
        <v/>
      </c>
    </row>
    <row r="3349">
      <c r="A3349" s="6">
        <f>Database!A3348</f>
        <v/>
      </c>
      <c r="B3349">
        <f>IF(VLOOKUP(Table73[[#This Row],[Date]],Database!$A:$E,MATCH($B$1,Database!$A$1:$E$1,),)=0,#N/A,VLOOKUP(Table73[[#This Row],[Date]],Database!$A:$E,MATCH($B$1,Database!$A$1:$E$1,),))</f>
        <v/>
      </c>
      <c r="C3349">
        <f>IF(VLOOKUP(Table73[[#This Row],[Date]],Database!$A:$C,MATCH($C$1,Database!$A$1:$C$1,),)=0,#N/A,VLOOKUP(Table73[[#This Row],[Date]],Database!$A:$C,MATCH($C$1,Database!$A$1:$C$1,),))</f>
        <v/>
      </c>
      <c r="D3349">
        <f>IFERROR(Table73[[#This Row],[United States 10y]]-Table73[[#This Row],[United States 2y]],#N/A)</f>
        <v/>
      </c>
    </row>
    <row r="3350">
      <c r="A3350" s="6">
        <f>Database!A3349</f>
        <v/>
      </c>
      <c r="B3350">
        <f>IF(VLOOKUP(Table73[[#This Row],[Date]],Database!$A:$E,MATCH($B$1,Database!$A$1:$E$1,),)=0,#N/A,VLOOKUP(Table73[[#This Row],[Date]],Database!$A:$E,MATCH($B$1,Database!$A$1:$E$1,),))</f>
        <v/>
      </c>
      <c r="C3350">
        <f>IF(VLOOKUP(Table73[[#This Row],[Date]],Database!$A:$C,MATCH($C$1,Database!$A$1:$C$1,),)=0,#N/A,VLOOKUP(Table73[[#This Row],[Date]],Database!$A:$C,MATCH($C$1,Database!$A$1:$C$1,),))</f>
        <v/>
      </c>
      <c r="D3350">
        <f>IFERROR(Table73[[#This Row],[United States 10y]]-Table73[[#This Row],[United States 2y]],#N/A)</f>
        <v/>
      </c>
    </row>
    <row r="3351">
      <c r="A3351" s="6">
        <f>Database!A3350</f>
        <v/>
      </c>
      <c r="B3351">
        <f>IF(VLOOKUP(Table73[[#This Row],[Date]],Database!$A:$E,MATCH($B$1,Database!$A$1:$E$1,),)=0,#N/A,VLOOKUP(Table73[[#This Row],[Date]],Database!$A:$E,MATCH($B$1,Database!$A$1:$E$1,),))</f>
        <v/>
      </c>
      <c r="C3351">
        <f>IF(VLOOKUP(Table73[[#This Row],[Date]],Database!$A:$C,MATCH($C$1,Database!$A$1:$C$1,),)=0,#N/A,VLOOKUP(Table73[[#This Row],[Date]],Database!$A:$C,MATCH($C$1,Database!$A$1:$C$1,),))</f>
        <v/>
      </c>
      <c r="D3351">
        <f>IFERROR(Table73[[#This Row],[United States 10y]]-Table73[[#This Row],[United States 2y]],#N/A)</f>
        <v/>
      </c>
    </row>
    <row r="3352">
      <c r="A3352" s="6">
        <f>Database!A3351</f>
        <v/>
      </c>
      <c r="B3352">
        <f>IF(VLOOKUP(Table73[[#This Row],[Date]],Database!$A:$E,MATCH($B$1,Database!$A$1:$E$1,),)=0,#N/A,VLOOKUP(Table73[[#This Row],[Date]],Database!$A:$E,MATCH($B$1,Database!$A$1:$E$1,),))</f>
        <v/>
      </c>
      <c r="C3352">
        <f>IF(VLOOKUP(Table73[[#This Row],[Date]],Database!$A:$C,MATCH($C$1,Database!$A$1:$C$1,),)=0,#N/A,VLOOKUP(Table73[[#This Row],[Date]],Database!$A:$C,MATCH($C$1,Database!$A$1:$C$1,),))</f>
        <v/>
      </c>
      <c r="D3352">
        <f>IFERROR(Table73[[#This Row],[United States 10y]]-Table73[[#This Row],[United States 2y]],#N/A)</f>
        <v/>
      </c>
    </row>
    <row r="3353">
      <c r="A3353" s="6">
        <f>Database!A3352</f>
        <v/>
      </c>
      <c r="B3353">
        <f>IF(VLOOKUP(Table73[[#This Row],[Date]],Database!$A:$E,MATCH($B$1,Database!$A$1:$E$1,),)=0,#N/A,VLOOKUP(Table73[[#This Row],[Date]],Database!$A:$E,MATCH($B$1,Database!$A$1:$E$1,),))</f>
        <v/>
      </c>
      <c r="C3353">
        <f>IF(VLOOKUP(Table73[[#This Row],[Date]],Database!$A:$C,MATCH($C$1,Database!$A$1:$C$1,),)=0,#N/A,VLOOKUP(Table73[[#This Row],[Date]],Database!$A:$C,MATCH($C$1,Database!$A$1:$C$1,),))</f>
        <v/>
      </c>
      <c r="D3353">
        <f>IFERROR(Table73[[#This Row],[United States 10y]]-Table73[[#This Row],[United States 2y]],#N/A)</f>
        <v/>
      </c>
    </row>
    <row r="3354">
      <c r="A3354" s="6">
        <f>Database!A3353</f>
        <v/>
      </c>
      <c r="B3354">
        <f>IF(VLOOKUP(Table73[[#This Row],[Date]],Database!$A:$E,MATCH($B$1,Database!$A$1:$E$1,),)=0,#N/A,VLOOKUP(Table73[[#This Row],[Date]],Database!$A:$E,MATCH($B$1,Database!$A$1:$E$1,),))</f>
        <v/>
      </c>
      <c r="C3354">
        <f>IF(VLOOKUP(Table73[[#This Row],[Date]],Database!$A:$C,MATCH($C$1,Database!$A$1:$C$1,),)=0,#N/A,VLOOKUP(Table73[[#This Row],[Date]],Database!$A:$C,MATCH($C$1,Database!$A$1:$C$1,),))</f>
        <v/>
      </c>
      <c r="D3354">
        <f>IFERROR(Table73[[#This Row],[United States 10y]]-Table73[[#This Row],[United States 2y]],#N/A)</f>
        <v/>
      </c>
    </row>
    <row r="3355">
      <c r="A3355" s="6">
        <f>Database!A3354</f>
        <v/>
      </c>
      <c r="B3355">
        <f>IF(VLOOKUP(Table73[[#This Row],[Date]],Database!$A:$E,MATCH($B$1,Database!$A$1:$E$1,),)=0,#N/A,VLOOKUP(Table73[[#This Row],[Date]],Database!$A:$E,MATCH($B$1,Database!$A$1:$E$1,),))</f>
        <v/>
      </c>
      <c r="C3355">
        <f>IF(VLOOKUP(Table73[[#This Row],[Date]],Database!$A:$C,MATCH($C$1,Database!$A$1:$C$1,),)=0,#N/A,VLOOKUP(Table73[[#This Row],[Date]],Database!$A:$C,MATCH($C$1,Database!$A$1:$C$1,),))</f>
        <v/>
      </c>
      <c r="D3355">
        <f>IFERROR(Table73[[#This Row],[United States 10y]]-Table73[[#This Row],[United States 2y]],#N/A)</f>
        <v/>
      </c>
    </row>
    <row r="3356">
      <c r="A3356" s="6">
        <f>Database!A3355</f>
        <v/>
      </c>
      <c r="B3356">
        <f>IF(VLOOKUP(Table73[[#This Row],[Date]],Database!$A:$E,MATCH($B$1,Database!$A$1:$E$1,),)=0,#N/A,VLOOKUP(Table73[[#This Row],[Date]],Database!$A:$E,MATCH($B$1,Database!$A$1:$E$1,),))</f>
        <v/>
      </c>
      <c r="C3356">
        <f>IF(VLOOKUP(Table73[[#This Row],[Date]],Database!$A:$C,MATCH($C$1,Database!$A$1:$C$1,),)=0,#N/A,VLOOKUP(Table73[[#This Row],[Date]],Database!$A:$C,MATCH($C$1,Database!$A$1:$C$1,),))</f>
        <v/>
      </c>
      <c r="D3356">
        <f>IFERROR(Table73[[#This Row],[United States 10y]]-Table73[[#This Row],[United States 2y]],#N/A)</f>
        <v/>
      </c>
    </row>
    <row r="3357">
      <c r="A3357" s="6">
        <f>Database!A3356</f>
        <v/>
      </c>
      <c r="B3357">
        <f>IF(VLOOKUP(Table73[[#This Row],[Date]],Database!$A:$E,MATCH($B$1,Database!$A$1:$E$1,),)=0,#N/A,VLOOKUP(Table73[[#This Row],[Date]],Database!$A:$E,MATCH($B$1,Database!$A$1:$E$1,),))</f>
        <v/>
      </c>
      <c r="C3357">
        <f>IF(VLOOKUP(Table73[[#This Row],[Date]],Database!$A:$C,MATCH($C$1,Database!$A$1:$C$1,),)=0,#N/A,VLOOKUP(Table73[[#This Row],[Date]],Database!$A:$C,MATCH($C$1,Database!$A$1:$C$1,),))</f>
        <v/>
      </c>
      <c r="D3357">
        <f>IFERROR(Table73[[#This Row],[United States 10y]]-Table73[[#This Row],[United States 2y]],#N/A)</f>
        <v/>
      </c>
    </row>
    <row r="3358">
      <c r="A3358" s="6">
        <f>Database!A3357</f>
        <v/>
      </c>
      <c r="B3358">
        <f>IF(VLOOKUP(Table73[[#This Row],[Date]],Database!$A:$E,MATCH($B$1,Database!$A$1:$E$1,),)=0,#N/A,VLOOKUP(Table73[[#This Row],[Date]],Database!$A:$E,MATCH($B$1,Database!$A$1:$E$1,),))</f>
        <v/>
      </c>
      <c r="C3358">
        <f>IF(VLOOKUP(Table73[[#This Row],[Date]],Database!$A:$C,MATCH($C$1,Database!$A$1:$C$1,),)=0,#N/A,VLOOKUP(Table73[[#This Row],[Date]],Database!$A:$C,MATCH($C$1,Database!$A$1:$C$1,),))</f>
        <v/>
      </c>
      <c r="D3358">
        <f>IFERROR(Table73[[#This Row],[United States 10y]]-Table73[[#This Row],[United States 2y]],#N/A)</f>
        <v/>
      </c>
    </row>
    <row r="3359">
      <c r="A3359" s="6">
        <f>Database!A3358</f>
        <v/>
      </c>
      <c r="B3359">
        <f>IF(VLOOKUP(Table73[[#This Row],[Date]],Database!$A:$E,MATCH($B$1,Database!$A$1:$E$1,),)=0,#N/A,VLOOKUP(Table73[[#This Row],[Date]],Database!$A:$E,MATCH($B$1,Database!$A$1:$E$1,),))</f>
        <v/>
      </c>
      <c r="C3359">
        <f>IF(VLOOKUP(Table73[[#This Row],[Date]],Database!$A:$C,MATCH($C$1,Database!$A$1:$C$1,),)=0,#N/A,VLOOKUP(Table73[[#This Row],[Date]],Database!$A:$C,MATCH($C$1,Database!$A$1:$C$1,),))</f>
        <v/>
      </c>
      <c r="D3359">
        <f>IFERROR(Table73[[#This Row],[United States 10y]]-Table73[[#This Row],[United States 2y]],#N/A)</f>
        <v/>
      </c>
    </row>
    <row r="3360">
      <c r="A3360" s="6">
        <f>Database!A3359</f>
        <v/>
      </c>
      <c r="B3360">
        <f>IF(VLOOKUP(Table73[[#This Row],[Date]],Database!$A:$E,MATCH($B$1,Database!$A$1:$E$1,),)=0,#N/A,VLOOKUP(Table73[[#This Row],[Date]],Database!$A:$E,MATCH($B$1,Database!$A$1:$E$1,),))</f>
        <v/>
      </c>
      <c r="C3360">
        <f>IF(VLOOKUP(Table73[[#This Row],[Date]],Database!$A:$C,MATCH($C$1,Database!$A$1:$C$1,),)=0,#N/A,VLOOKUP(Table73[[#This Row],[Date]],Database!$A:$C,MATCH($C$1,Database!$A$1:$C$1,),))</f>
        <v/>
      </c>
      <c r="D3360">
        <f>IFERROR(Table73[[#This Row],[United States 10y]]-Table73[[#This Row],[United States 2y]],#N/A)</f>
        <v/>
      </c>
    </row>
    <row r="3361">
      <c r="A3361" s="6">
        <f>Database!A3360</f>
        <v/>
      </c>
      <c r="B3361">
        <f>IF(VLOOKUP(Table73[[#This Row],[Date]],Database!$A:$E,MATCH($B$1,Database!$A$1:$E$1,),)=0,#N/A,VLOOKUP(Table73[[#This Row],[Date]],Database!$A:$E,MATCH($B$1,Database!$A$1:$E$1,),))</f>
        <v/>
      </c>
      <c r="C3361">
        <f>IF(VLOOKUP(Table73[[#This Row],[Date]],Database!$A:$C,MATCH($C$1,Database!$A$1:$C$1,),)=0,#N/A,VLOOKUP(Table73[[#This Row],[Date]],Database!$A:$C,MATCH($C$1,Database!$A$1:$C$1,),))</f>
        <v/>
      </c>
      <c r="D3361">
        <f>IFERROR(Table73[[#This Row],[United States 10y]]-Table73[[#This Row],[United States 2y]],#N/A)</f>
        <v/>
      </c>
    </row>
    <row r="3362">
      <c r="A3362" s="6">
        <f>Database!A3361</f>
        <v/>
      </c>
      <c r="B3362">
        <f>IF(VLOOKUP(Table73[[#This Row],[Date]],Database!$A:$E,MATCH($B$1,Database!$A$1:$E$1,),)=0,#N/A,VLOOKUP(Table73[[#This Row],[Date]],Database!$A:$E,MATCH($B$1,Database!$A$1:$E$1,),))</f>
        <v/>
      </c>
      <c r="C3362">
        <f>IF(VLOOKUP(Table73[[#This Row],[Date]],Database!$A:$C,MATCH($C$1,Database!$A$1:$C$1,),)=0,#N/A,VLOOKUP(Table73[[#This Row],[Date]],Database!$A:$C,MATCH($C$1,Database!$A$1:$C$1,),))</f>
        <v/>
      </c>
      <c r="D3362">
        <f>IFERROR(Table73[[#This Row],[United States 10y]]-Table73[[#This Row],[United States 2y]],#N/A)</f>
        <v/>
      </c>
    </row>
    <row r="3363">
      <c r="A3363" s="6">
        <f>Database!A3362</f>
        <v/>
      </c>
      <c r="B3363">
        <f>IF(VLOOKUP(Table73[[#This Row],[Date]],Database!$A:$E,MATCH($B$1,Database!$A$1:$E$1,),)=0,#N/A,VLOOKUP(Table73[[#This Row],[Date]],Database!$A:$E,MATCH($B$1,Database!$A$1:$E$1,),))</f>
        <v/>
      </c>
      <c r="C3363">
        <f>IF(VLOOKUP(Table73[[#This Row],[Date]],Database!$A:$C,MATCH($C$1,Database!$A$1:$C$1,),)=0,#N/A,VLOOKUP(Table73[[#This Row],[Date]],Database!$A:$C,MATCH($C$1,Database!$A$1:$C$1,),))</f>
        <v/>
      </c>
      <c r="D3363">
        <f>IFERROR(Table73[[#This Row],[United States 10y]]-Table73[[#This Row],[United States 2y]],#N/A)</f>
        <v/>
      </c>
    </row>
    <row r="3364">
      <c r="A3364" s="6">
        <f>Database!A3363</f>
        <v/>
      </c>
      <c r="B3364">
        <f>IF(VLOOKUP(Table73[[#This Row],[Date]],Database!$A:$E,MATCH($B$1,Database!$A$1:$E$1,),)=0,#N/A,VLOOKUP(Table73[[#This Row],[Date]],Database!$A:$E,MATCH($B$1,Database!$A$1:$E$1,),))</f>
        <v/>
      </c>
      <c r="C3364">
        <f>IF(VLOOKUP(Table73[[#This Row],[Date]],Database!$A:$C,MATCH($C$1,Database!$A$1:$C$1,),)=0,#N/A,VLOOKUP(Table73[[#This Row],[Date]],Database!$A:$C,MATCH($C$1,Database!$A$1:$C$1,),))</f>
        <v/>
      </c>
      <c r="D3364">
        <f>IFERROR(Table73[[#This Row],[United States 10y]]-Table73[[#This Row],[United States 2y]],#N/A)</f>
        <v/>
      </c>
    </row>
    <row r="3365">
      <c r="A3365" s="6">
        <f>Database!A3364</f>
        <v/>
      </c>
      <c r="B3365">
        <f>IF(VLOOKUP(Table73[[#This Row],[Date]],Database!$A:$E,MATCH($B$1,Database!$A$1:$E$1,),)=0,#N/A,VLOOKUP(Table73[[#This Row],[Date]],Database!$A:$E,MATCH($B$1,Database!$A$1:$E$1,),))</f>
        <v/>
      </c>
      <c r="C3365">
        <f>IF(VLOOKUP(Table73[[#This Row],[Date]],Database!$A:$C,MATCH($C$1,Database!$A$1:$C$1,),)=0,#N/A,VLOOKUP(Table73[[#This Row],[Date]],Database!$A:$C,MATCH($C$1,Database!$A$1:$C$1,),))</f>
        <v/>
      </c>
      <c r="D3365">
        <f>IFERROR(Table73[[#This Row],[United States 10y]]-Table73[[#This Row],[United States 2y]],#N/A)</f>
        <v/>
      </c>
    </row>
    <row r="3366">
      <c r="A3366" s="6">
        <f>Database!A3365</f>
        <v/>
      </c>
      <c r="B3366">
        <f>IF(VLOOKUP(Table73[[#This Row],[Date]],Database!$A:$E,MATCH($B$1,Database!$A$1:$E$1,),)=0,#N/A,VLOOKUP(Table73[[#This Row],[Date]],Database!$A:$E,MATCH($B$1,Database!$A$1:$E$1,),))</f>
        <v/>
      </c>
      <c r="C3366">
        <f>IF(VLOOKUP(Table73[[#This Row],[Date]],Database!$A:$C,MATCH($C$1,Database!$A$1:$C$1,),)=0,#N/A,VLOOKUP(Table73[[#This Row],[Date]],Database!$A:$C,MATCH($C$1,Database!$A$1:$C$1,),))</f>
        <v/>
      </c>
      <c r="D3366">
        <f>IFERROR(Table73[[#This Row],[United States 10y]]-Table73[[#This Row],[United States 2y]],#N/A)</f>
        <v/>
      </c>
    </row>
    <row r="3367">
      <c r="A3367" s="6">
        <f>Database!A3366</f>
        <v/>
      </c>
      <c r="B3367">
        <f>IF(VLOOKUP(Table73[[#This Row],[Date]],Database!$A:$E,MATCH($B$1,Database!$A$1:$E$1,),)=0,#N/A,VLOOKUP(Table73[[#This Row],[Date]],Database!$A:$E,MATCH($B$1,Database!$A$1:$E$1,),))</f>
        <v/>
      </c>
      <c r="C3367">
        <f>IF(VLOOKUP(Table73[[#This Row],[Date]],Database!$A:$C,MATCH($C$1,Database!$A$1:$C$1,),)=0,#N/A,VLOOKUP(Table73[[#This Row],[Date]],Database!$A:$C,MATCH($C$1,Database!$A$1:$C$1,),))</f>
        <v/>
      </c>
      <c r="D3367">
        <f>IFERROR(Table73[[#This Row],[United States 10y]]-Table73[[#This Row],[United States 2y]],#N/A)</f>
        <v/>
      </c>
    </row>
    <row r="3368">
      <c r="A3368" s="6">
        <f>Database!A3367</f>
        <v/>
      </c>
      <c r="B3368">
        <f>IF(VLOOKUP(Table73[[#This Row],[Date]],Database!$A:$E,MATCH($B$1,Database!$A$1:$E$1,),)=0,#N/A,VLOOKUP(Table73[[#This Row],[Date]],Database!$A:$E,MATCH($B$1,Database!$A$1:$E$1,),))</f>
        <v/>
      </c>
      <c r="C3368">
        <f>IF(VLOOKUP(Table73[[#This Row],[Date]],Database!$A:$C,MATCH($C$1,Database!$A$1:$C$1,),)=0,#N/A,VLOOKUP(Table73[[#This Row],[Date]],Database!$A:$C,MATCH($C$1,Database!$A$1:$C$1,),))</f>
        <v/>
      </c>
      <c r="D3368">
        <f>IFERROR(Table73[[#This Row],[United States 10y]]-Table73[[#This Row],[United States 2y]],#N/A)</f>
        <v/>
      </c>
    </row>
    <row r="3369">
      <c r="A3369" s="6">
        <f>Database!A3368</f>
        <v/>
      </c>
      <c r="B3369">
        <f>IF(VLOOKUP(Table73[[#This Row],[Date]],Database!$A:$E,MATCH($B$1,Database!$A$1:$E$1,),)=0,#N/A,VLOOKUP(Table73[[#This Row],[Date]],Database!$A:$E,MATCH($B$1,Database!$A$1:$E$1,),))</f>
        <v/>
      </c>
      <c r="C3369">
        <f>IF(VLOOKUP(Table73[[#This Row],[Date]],Database!$A:$C,MATCH($C$1,Database!$A$1:$C$1,),)=0,#N/A,VLOOKUP(Table73[[#This Row],[Date]],Database!$A:$C,MATCH($C$1,Database!$A$1:$C$1,),))</f>
        <v/>
      </c>
      <c r="D3369">
        <f>IFERROR(Table73[[#This Row],[United States 10y]]-Table73[[#This Row],[United States 2y]],#N/A)</f>
        <v/>
      </c>
    </row>
    <row r="3370">
      <c r="A3370" s="6">
        <f>Database!A3369</f>
        <v/>
      </c>
      <c r="B3370">
        <f>IF(VLOOKUP(Table73[[#This Row],[Date]],Database!$A:$E,MATCH($B$1,Database!$A$1:$E$1,),)=0,#N/A,VLOOKUP(Table73[[#This Row],[Date]],Database!$A:$E,MATCH($B$1,Database!$A$1:$E$1,),))</f>
        <v/>
      </c>
      <c r="C3370">
        <f>IF(VLOOKUP(Table73[[#This Row],[Date]],Database!$A:$C,MATCH($C$1,Database!$A$1:$C$1,),)=0,#N/A,VLOOKUP(Table73[[#This Row],[Date]],Database!$A:$C,MATCH($C$1,Database!$A$1:$C$1,),))</f>
        <v/>
      </c>
      <c r="D3370">
        <f>IFERROR(Table73[[#This Row],[United States 10y]]-Table73[[#This Row],[United States 2y]],#N/A)</f>
        <v/>
      </c>
    </row>
    <row r="3371">
      <c r="A3371" s="6">
        <f>Database!A3370</f>
        <v/>
      </c>
      <c r="B3371">
        <f>IF(VLOOKUP(Table73[[#This Row],[Date]],Database!$A:$E,MATCH($B$1,Database!$A$1:$E$1,),)=0,#N/A,VLOOKUP(Table73[[#This Row],[Date]],Database!$A:$E,MATCH($B$1,Database!$A$1:$E$1,),))</f>
        <v/>
      </c>
      <c r="C3371">
        <f>IF(VLOOKUP(Table73[[#This Row],[Date]],Database!$A:$C,MATCH($C$1,Database!$A$1:$C$1,),)=0,#N/A,VLOOKUP(Table73[[#This Row],[Date]],Database!$A:$C,MATCH($C$1,Database!$A$1:$C$1,),))</f>
        <v/>
      </c>
      <c r="D3371">
        <f>IFERROR(Table73[[#This Row],[United States 10y]]-Table73[[#This Row],[United States 2y]],#N/A)</f>
        <v/>
      </c>
    </row>
    <row r="3372">
      <c r="A3372" s="6">
        <f>Database!A3371</f>
        <v/>
      </c>
      <c r="B3372">
        <f>IF(VLOOKUP(Table73[[#This Row],[Date]],Database!$A:$E,MATCH($B$1,Database!$A$1:$E$1,),)=0,#N/A,VLOOKUP(Table73[[#This Row],[Date]],Database!$A:$E,MATCH($B$1,Database!$A$1:$E$1,),))</f>
        <v/>
      </c>
      <c r="C3372">
        <f>IF(VLOOKUP(Table73[[#This Row],[Date]],Database!$A:$C,MATCH($C$1,Database!$A$1:$C$1,),)=0,#N/A,VLOOKUP(Table73[[#This Row],[Date]],Database!$A:$C,MATCH($C$1,Database!$A$1:$C$1,),))</f>
        <v/>
      </c>
      <c r="D3372">
        <f>IFERROR(Table73[[#This Row],[United States 10y]]-Table73[[#This Row],[United States 2y]],#N/A)</f>
        <v/>
      </c>
    </row>
    <row r="3373">
      <c r="A3373" s="6">
        <f>Database!A3372</f>
        <v/>
      </c>
      <c r="B3373">
        <f>IF(VLOOKUP(Table73[[#This Row],[Date]],Database!$A:$E,MATCH($B$1,Database!$A$1:$E$1,),)=0,#N/A,VLOOKUP(Table73[[#This Row],[Date]],Database!$A:$E,MATCH($B$1,Database!$A$1:$E$1,),))</f>
        <v/>
      </c>
      <c r="C3373">
        <f>IF(VLOOKUP(Table73[[#This Row],[Date]],Database!$A:$C,MATCH($C$1,Database!$A$1:$C$1,),)=0,#N/A,VLOOKUP(Table73[[#This Row],[Date]],Database!$A:$C,MATCH($C$1,Database!$A$1:$C$1,),))</f>
        <v/>
      </c>
      <c r="D3373">
        <f>IFERROR(Table73[[#This Row],[United States 10y]]-Table73[[#This Row],[United States 2y]],#N/A)</f>
        <v/>
      </c>
    </row>
    <row r="3374">
      <c r="A3374" s="6">
        <f>Database!A3373</f>
        <v/>
      </c>
      <c r="B3374">
        <f>IF(VLOOKUP(Table73[[#This Row],[Date]],Database!$A:$E,MATCH($B$1,Database!$A$1:$E$1,),)=0,#N/A,VLOOKUP(Table73[[#This Row],[Date]],Database!$A:$E,MATCH($B$1,Database!$A$1:$E$1,),))</f>
        <v/>
      </c>
      <c r="C3374">
        <f>IF(VLOOKUP(Table73[[#This Row],[Date]],Database!$A:$C,MATCH($C$1,Database!$A$1:$C$1,),)=0,#N/A,VLOOKUP(Table73[[#This Row],[Date]],Database!$A:$C,MATCH($C$1,Database!$A$1:$C$1,),))</f>
        <v/>
      </c>
      <c r="D3374">
        <f>IFERROR(Table73[[#This Row],[United States 10y]]-Table73[[#This Row],[United States 2y]],#N/A)</f>
        <v/>
      </c>
    </row>
    <row r="3375">
      <c r="A3375" s="6">
        <f>Database!A3374</f>
        <v/>
      </c>
      <c r="B3375">
        <f>IF(VLOOKUP(Table73[[#This Row],[Date]],Database!$A:$E,MATCH($B$1,Database!$A$1:$E$1,),)=0,#N/A,VLOOKUP(Table73[[#This Row],[Date]],Database!$A:$E,MATCH($B$1,Database!$A$1:$E$1,),))</f>
        <v/>
      </c>
      <c r="C3375">
        <f>IF(VLOOKUP(Table73[[#This Row],[Date]],Database!$A:$C,MATCH($C$1,Database!$A$1:$C$1,),)=0,#N/A,VLOOKUP(Table73[[#This Row],[Date]],Database!$A:$C,MATCH($C$1,Database!$A$1:$C$1,),))</f>
        <v/>
      </c>
      <c r="D3375">
        <f>IFERROR(Table73[[#This Row],[United States 10y]]-Table73[[#This Row],[United States 2y]],#N/A)</f>
        <v/>
      </c>
    </row>
    <row r="3376">
      <c r="A3376" s="6">
        <f>Database!A3375</f>
        <v/>
      </c>
      <c r="B3376">
        <f>IF(VLOOKUP(Table73[[#This Row],[Date]],Database!$A:$E,MATCH($B$1,Database!$A$1:$E$1,),)=0,#N/A,VLOOKUP(Table73[[#This Row],[Date]],Database!$A:$E,MATCH($B$1,Database!$A$1:$E$1,),))</f>
        <v/>
      </c>
      <c r="C3376">
        <f>IF(VLOOKUP(Table73[[#This Row],[Date]],Database!$A:$C,MATCH($C$1,Database!$A$1:$C$1,),)=0,#N/A,VLOOKUP(Table73[[#This Row],[Date]],Database!$A:$C,MATCH($C$1,Database!$A$1:$C$1,),))</f>
        <v/>
      </c>
      <c r="D3376">
        <f>IFERROR(Table73[[#This Row],[United States 10y]]-Table73[[#This Row],[United States 2y]],#N/A)</f>
        <v/>
      </c>
    </row>
    <row r="3377">
      <c r="A3377" s="6">
        <f>Database!A3376</f>
        <v/>
      </c>
      <c r="B3377">
        <f>IF(VLOOKUP(Table73[[#This Row],[Date]],Database!$A:$E,MATCH($B$1,Database!$A$1:$E$1,),)=0,#N/A,VLOOKUP(Table73[[#This Row],[Date]],Database!$A:$E,MATCH($B$1,Database!$A$1:$E$1,),))</f>
        <v/>
      </c>
      <c r="C3377">
        <f>IF(VLOOKUP(Table73[[#This Row],[Date]],Database!$A:$C,MATCH($C$1,Database!$A$1:$C$1,),)=0,#N/A,VLOOKUP(Table73[[#This Row],[Date]],Database!$A:$C,MATCH($C$1,Database!$A$1:$C$1,),))</f>
        <v/>
      </c>
      <c r="D3377">
        <f>IFERROR(Table73[[#This Row],[United States 10y]]-Table73[[#This Row],[United States 2y]],#N/A)</f>
        <v/>
      </c>
    </row>
    <row r="3378">
      <c r="A3378" s="6">
        <f>Database!A3377</f>
        <v/>
      </c>
      <c r="B3378">
        <f>IF(VLOOKUP(Table73[[#This Row],[Date]],Database!$A:$E,MATCH($B$1,Database!$A$1:$E$1,),)=0,#N/A,VLOOKUP(Table73[[#This Row],[Date]],Database!$A:$E,MATCH($B$1,Database!$A$1:$E$1,),))</f>
        <v/>
      </c>
      <c r="C3378">
        <f>IF(VLOOKUP(Table73[[#This Row],[Date]],Database!$A:$C,MATCH($C$1,Database!$A$1:$C$1,),)=0,#N/A,VLOOKUP(Table73[[#This Row],[Date]],Database!$A:$C,MATCH($C$1,Database!$A$1:$C$1,),))</f>
        <v/>
      </c>
      <c r="D3378">
        <f>IFERROR(Table73[[#This Row],[United States 10y]]-Table73[[#This Row],[United States 2y]],#N/A)</f>
        <v/>
      </c>
    </row>
    <row r="3379">
      <c r="A3379" s="6">
        <f>Database!A3378</f>
        <v/>
      </c>
      <c r="B3379">
        <f>IF(VLOOKUP(Table73[[#This Row],[Date]],Database!$A:$E,MATCH($B$1,Database!$A$1:$E$1,),)=0,#N/A,VLOOKUP(Table73[[#This Row],[Date]],Database!$A:$E,MATCH($B$1,Database!$A$1:$E$1,),))</f>
        <v/>
      </c>
      <c r="C3379">
        <f>IF(VLOOKUP(Table73[[#This Row],[Date]],Database!$A:$C,MATCH($C$1,Database!$A$1:$C$1,),)=0,#N/A,VLOOKUP(Table73[[#This Row],[Date]],Database!$A:$C,MATCH($C$1,Database!$A$1:$C$1,),))</f>
        <v/>
      </c>
      <c r="D3379">
        <f>IFERROR(Table73[[#This Row],[United States 10y]]-Table73[[#This Row],[United States 2y]],#N/A)</f>
        <v/>
      </c>
    </row>
    <row r="3380">
      <c r="A3380" s="6">
        <f>Database!A3379</f>
        <v/>
      </c>
      <c r="B3380">
        <f>IF(VLOOKUP(Table73[[#This Row],[Date]],Database!$A:$E,MATCH($B$1,Database!$A$1:$E$1,),)=0,#N/A,VLOOKUP(Table73[[#This Row],[Date]],Database!$A:$E,MATCH($B$1,Database!$A$1:$E$1,),))</f>
        <v/>
      </c>
      <c r="C3380">
        <f>IF(VLOOKUP(Table73[[#This Row],[Date]],Database!$A:$C,MATCH($C$1,Database!$A$1:$C$1,),)=0,#N/A,VLOOKUP(Table73[[#This Row],[Date]],Database!$A:$C,MATCH($C$1,Database!$A$1:$C$1,),))</f>
        <v/>
      </c>
      <c r="D3380">
        <f>IFERROR(Table73[[#This Row],[United States 10y]]-Table73[[#This Row],[United States 2y]],#N/A)</f>
        <v/>
      </c>
    </row>
    <row r="3381">
      <c r="A3381" s="6">
        <f>Database!A3380</f>
        <v/>
      </c>
      <c r="B3381">
        <f>IF(VLOOKUP(Table73[[#This Row],[Date]],Database!$A:$E,MATCH($B$1,Database!$A$1:$E$1,),)=0,#N/A,VLOOKUP(Table73[[#This Row],[Date]],Database!$A:$E,MATCH($B$1,Database!$A$1:$E$1,),))</f>
        <v/>
      </c>
      <c r="C3381">
        <f>IF(VLOOKUP(Table73[[#This Row],[Date]],Database!$A:$C,MATCH($C$1,Database!$A$1:$C$1,),)=0,#N/A,VLOOKUP(Table73[[#This Row],[Date]],Database!$A:$C,MATCH($C$1,Database!$A$1:$C$1,),))</f>
        <v/>
      </c>
      <c r="D3381">
        <f>IFERROR(Table73[[#This Row],[United States 10y]]-Table73[[#This Row],[United States 2y]],#N/A)</f>
        <v/>
      </c>
    </row>
    <row r="3382">
      <c r="A3382" s="6">
        <f>Database!A3381</f>
        <v/>
      </c>
      <c r="B3382">
        <f>IF(VLOOKUP(Table73[[#This Row],[Date]],Database!$A:$E,MATCH($B$1,Database!$A$1:$E$1,),)=0,#N/A,VLOOKUP(Table73[[#This Row],[Date]],Database!$A:$E,MATCH($B$1,Database!$A$1:$E$1,),))</f>
        <v/>
      </c>
      <c r="C3382">
        <f>IF(VLOOKUP(Table73[[#This Row],[Date]],Database!$A:$C,MATCH($C$1,Database!$A$1:$C$1,),)=0,#N/A,VLOOKUP(Table73[[#This Row],[Date]],Database!$A:$C,MATCH($C$1,Database!$A$1:$C$1,),))</f>
        <v/>
      </c>
      <c r="D3382">
        <f>IFERROR(Table73[[#This Row],[United States 10y]]-Table73[[#This Row],[United States 2y]],#N/A)</f>
        <v/>
      </c>
    </row>
    <row r="3383">
      <c r="A3383" s="6">
        <f>Database!A3382</f>
        <v/>
      </c>
      <c r="B3383">
        <f>IF(VLOOKUP(Table73[[#This Row],[Date]],Database!$A:$E,MATCH($B$1,Database!$A$1:$E$1,),)=0,#N/A,VLOOKUP(Table73[[#This Row],[Date]],Database!$A:$E,MATCH($B$1,Database!$A$1:$E$1,),))</f>
        <v/>
      </c>
      <c r="C3383">
        <f>IF(VLOOKUP(Table73[[#This Row],[Date]],Database!$A:$C,MATCH($C$1,Database!$A$1:$C$1,),)=0,#N/A,VLOOKUP(Table73[[#This Row],[Date]],Database!$A:$C,MATCH($C$1,Database!$A$1:$C$1,),))</f>
        <v/>
      </c>
      <c r="D3383">
        <f>IFERROR(Table73[[#This Row],[United States 10y]]-Table73[[#This Row],[United States 2y]],#N/A)</f>
        <v/>
      </c>
    </row>
    <row r="3384">
      <c r="A3384" s="6">
        <f>Database!A3383</f>
        <v/>
      </c>
      <c r="B3384">
        <f>IF(VLOOKUP(Table73[[#This Row],[Date]],Database!$A:$E,MATCH($B$1,Database!$A$1:$E$1,),)=0,#N/A,VLOOKUP(Table73[[#This Row],[Date]],Database!$A:$E,MATCH($B$1,Database!$A$1:$E$1,),))</f>
        <v/>
      </c>
      <c r="C3384">
        <f>IF(VLOOKUP(Table73[[#This Row],[Date]],Database!$A:$C,MATCH($C$1,Database!$A$1:$C$1,),)=0,#N/A,VLOOKUP(Table73[[#This Row],[Date]],Database!$A:$C,MATCH($C$1,Database!$A$1:$C$1,),))</f>
        <v/>
      </c>
      <c r="D3384">
        <f>IFERROR(Table73[[#This Row],[United States 10y]]-Table73[[#This Row],[United States 2y]],#N/A)</f>
        <v/>
      </c>
    </row>
    <row r="3385">
      <c r="A3385" s="6">
        <f>Database!A3384</f>
        <v/>
      </c>
      <c r="B3385">
        <f>IF(VLOOKUP(Table73[[#This Row],[Date]],Database!$A:$E,MATCH($B$1,Database!$A$1:$E$1,),)=0,#N/A,VLOOKUP(Table73[[#This Row],[Date]],Database!$A:$E,MATCH($B$1,Database!$A$1:$E$1,),))</f>
        <v/>
      </c>
      <c r="C3385">
        <f>IF(VLOOKUP(Table73[[#This Row],[Date]],Database!$A:$C,MATCH($C$1,Database!$A$1:$C$1,),)=0,#N/A,VLOOKUP(Table73[[#This Row],[Date]],Database!$A:$C,MATCH($C$1,Database!$A$1:$C$1,),))</f>
        <v/>
      </c>
      <c r="D3385">
        <f>IFERROR(Table73[[#This Row],[United States 10y]]-Table73[[#This Row],[United States 2y]],#N/A)</f>
        <v/>
      </c>
    </row>
    <row r="3386">
      <c r="A3386" s="6">
        <f>Database!A3385</f>
        <v/>
      </c>
      <c r="B3386">
        <f>IF(VLOOKUP(Table73[[#This Row],[Date]],Database!$A:$E,MATCH($B$1,Database!$A$1:$E$1,),)=0,#N/A,VLOOKUP(Table73[[#This Row],[Date]],Database!$A:$E,MATCH($B$1,Database!$A$1:$E$1,),))</f>
        <v/>
      </c>
      <c r="C3386">
        <f>IF(VLOOKUP(Table73[[#This Row],[Date]],Database!$A:$C,MATCH($C$1,Database!$A$1:$C$1,),)=0,#N/A,VLOOKUP(Table73[[#This Row],[Date]],Database!$A:$C,MATCH($C$1,Database!$A$1:$C$1,),))</f>
        <v/>
      </c>
      <c r="D3386">
        <f>IFERROR(Table73[[#This Row],[United States 10y]]-Table73[[#This Row],[United States 2y]],#N/A)</f>
        <v/>
      </c>
    </row>
    <row r="3387">
      <c r="A3387" s="6">
        <f>Database!A3386</f>
        <v/>
      </c>
      <c r="B3387">
        <f>IF(VLOOKUP(Table73[[#This Row],[Date]],Database!$A:$E,MATCH($B$1,Database!$A$1:$E$1,),)=0,#N/A,VLOOKUP(Table73[[#This Row],[Date]],Database!$A:$E,MATCH($B$1,Database!$A$1:$E$1,),))</f>
        <v/>
      </c>
      <c r="C3387">
        <f>IF(VLOOKUP(Table73[[#This Row],[Date]],Database!$A:$C,MATCH($C$1,Database!$A$1:$C$1,),)=0,#N/A,VLOOKUP(Table73[[#This Row],[Date]],Database!$A:$C,MATCH($C$1,Database!$A$1:$C$1,),))</f>
        <v/>
      </c>
      <c r="D3387">
        <f>IFERROR(Table73[[#This Row],[United States 10y]]-Table73[[#This Row],[United States 2y]],#N/A)</f>
        <v/>
      </c>
    </row>
    <row r="3388">
      <c r="A3388" s="6">
        <f>Database!A3387</f>
        <v/>
      </c>
      <c r="B3388">
        <f>IF(VLOOKUP(Table73[[#This Row],[Date]],Database!$A:$E,MATCH($B$1,Database!$A$1:$E$1,),)=0,#N/A,VLOOKUP(Table73[[#This Row],[Date]],Database!$A:$E,MATCH($B$1,Database!$A$1:$E$1,),))</f>
        <v/>
      </c>
      <c r="C3388">
        <f>IF(VLOOKUP(Table73[[#This Row],[Date]],Database!$A:$C,MATCH($C$1,Database!$A$1:$C$1,),)=0,#N/A,VLOOKUP(Table73[[#This Row],[Date]],Database!$A:$C,MATCH($C$1,Database!$A$1:$C$1,),))</f>
        <v/>
      </c>
      <c r="D3388">
        <f>IFERROR(Table73[[#This Row],[United States 10y]]-Table73[[#This Row],[United States 2y]],#N/A)</f>
        <v/>
      </c>
    </row>
    <row r="3389">
      <c r="A3389" s="6">
        <f>Database!A3388</f>
        <v/>
      </c>
      <c r="B3389">
        <f>IF(VLOOKUP(Table73[[#This Row],[Date]],Database!$A:$E,MATCH($B$1,Database!$A$1:$E$1,),)=0,#N/A,VLOOKUP(Table73[[#This Row],[Date]],Database!$A:$E,MATCH($B$1,Database!$A$1:$E$1,),))</f>
        <v/>
      </c>
      <c r="C3389">
        <f>IF(VLOOKUP(Table73[[#This Row],[Date]],Database!$A:$C,MATCH($C$1,Database!$A$1:$C$1,),)=0,#N/A,VLOOKUP(Table73[[#This Row],[Date]],Database!$A:$C,MATCH($C$1,Database!$A$1:$C$1,),))</f>
        <v/>
      </c>
      <c r="D3389">
        <f>IFERROR(Table73[[#This Row],[United States 10y]]-Table73[[#This Row],[United States 2y]],#N/A)</f>
        <v/>
      </c>
    </row>
    <row r="3390">
      <c r="A3390" s="6">
        <f>Database!A3389</f>
        <v/>
      </c>
      <c r="B3390">
        <f>IF(VLOOKUP(Table73[[#This Row],[Date]],Database!$A:$E,MATCH($B$1,Database!$A$1:$E$1,),)=0,#N/A,VLOOKUP(Table73[[#This Row],[Date]],Database!$A:$E,MATCH($B$1,Database!$A$1:$E$1,),))</f>
        <v/>
      </c>
      <c r="C3390">
        <f>IF(VLOOKUP(Table73[[#This Row],[Date]],Database!$A:$C,MATCH($C$1,Database!$A$1:$C$1,),)=0,#N/A,VLOOKUP(Table73[[#This Row],[Date]],Database!$A:$C,MATCH($C$1,Database!$A$1:$C$1,),))</f>
        <v/>
      </c>
      <c r="D3390">
        <f>IFERROR(Table73[[#This Row],[United States 10y]]-Table73[[#This Row],[United States 2y]],#N/A)</f>
        <v/>
      </c>
    </row>
    <row r="3391">
      <c r="A3391" s="6">
        <f>Database!A3390</f>
        <v/>
      </c>
      <c r="B3391">
        <f>IF(VLOOKUP(Table73[[#This Row],[Date]],Database!$A:$E,MATCH($B$1,Database!$A$1:$E$1,),)=0,#N/A,VLOOKUP(Table73[[#This Row],[Date]],Database!$A:$E,MATCH($B$1,Database!$A$1:$E$1,),))</f>
        <v/>
      </c>
      <c r="C3391">
        <f>IF(VLOOKUP(Table73[[#This Row],[Date]],Database!$A:$C,MATCH($C$1,Database!$A$1:$C$1,),)=0,#N/A,VLOOKUP(Table73[[#This Row],[Date]],Database!$A:$C,MATCH($C$1,Database!$A$1:$C$1,),))</f>
        <v/>
      </c>
      <c r="D3391">
        <f>IFERROR(Table73[[#This Row],[United States 10y]]-Table73[[#This Row],[United States 2y]],#N/A)</f>
        <v/>
      </c>
    </row>
    <row r="3392">
      <c r="A3392" s="6">
        <f>Database!A3391</f>
        <v/>
      </c>
      <c r="B3392">
        <f>IF(VLOOKUP(Table73[[#This Row],[Date]],Database!$A:$E,MATCH($B$1,Database!$A$1:$E$1,),)=0,#N/A,VLOOKUP(Table73[[#This Row],[Date]],Database!$A:$E,MATCH($B$1,Database!$A$1:$E$1,),))</f>
        <v/>
      </c>
      <c r="C3392">
        <f>IF(VLOOKUP(Table73[[#This Row],[Date]],Database!$A:$C,MATCH($C$1,Database!$A$1:$C$1,),)=0,#N/A,VLOOKUP(Table73[[#This Row],[Date]],Database!$A:$C,MATCH($C$1,Database!$A$1:$C$1,),))</f>
        <v/>
      </c>
      <c r="D3392">
        <f>IFERROR(Table73[[#This Row],[United States 10y]]-Table73[[#This Row],[United States 2y]],#N/A)</f>
        <v/>
      </c>
    </row>
    <row r="3393">
      <c r="A3393" s="6">
        <f>Database!A3392</f>
        <v/>
      </c>
      <c r="B3393">
        <f>IF(VLOOKUP(Table73[[#This Row],[Date]],Database!$A:$E,MATCH($B$1,Database!$A$1:$E$1,),)=0,#N/A,VLOOKUP(Table73[[#This Row],[Date]],Database!$A:$E,MATCH($B$1,Database!$A$1:$E$1,),))</f>
        <v/>
      </c>
      <c r="C3393">
        <f>IF(VLOOKUP(Table73[[#This Row],[Date]],Database!$A:$C,MATCH($C$1,Database!$A$1:$C$1,),)=0,#N/A,VLOOKUP(Table73[[#This Row],[Date]],Database!$A:$C,MATCH($C$1,Database!$A$1:$C$1,),))</f>
        <v/>
      </c>
      <c r="D3393">
        <f>IFERROR(Table73[[#This Row],[United States 10y]]-Table73[[#This Row],[United States 2y]],#N/A)</f>
        <v/>
      </c>
    </row>
    <row r="3394">
      <c r="A3394" s="6">
        <f>Database!A3393</f>
        <v/>
      </c>
      <c r="B3394">
        <f>IF(VLOOKUP(Table73[[#This Row],[Date]],Database!$A:$E,MATCH($B$1,Database!$A$1:$E$1,),)=0,#N/A,VLOOKUP(Table73[[#This Row],[Date]],Database!$A:$E,MATCH($B$1,Database!$A$1:$E$1,),))</f>
        <v/>
      </c>
      <c r="C3394">
        <f>IF(VLOOKUP(Table73[[#This Row],[Date]],Database!$A:$C,MATCH($C$1,Database!$A$1:$C$1,),)=0,#N/A,VLOOKUP(Table73[[#This Row],[Date]],Database!$A:$C,MATCH($C$1,Database!$A$1:$C$1,),))</f>
        <v/>
      </c>
      <c r="D3394">
        <f>IFERROR(Table73[[#This Row],[United States 10y]]-Table73[[#This Row],[United States 2y]],#N/A)</f>
        <v/>
      </c>
    </row>
    <row r="3395">
      <c r="A3395" s="6">
        <f>Database!A3394</f>
        <v/>
      </c>
      <c r="B3395">
        <f>IF(VLOOKUP(Table73[[#This Row],[Date]],Database!$A:$E,MATCH($B$1,Database!$A$1:$E$1,),)=0,#N/A,VLOOKUP(Table73[[#This Row],[Date]],Database!$A:$E,MATCH($B$1,Database!$A$1:$E$1,),))</f>
        <v/>
      </c>
      <c r="C3395">
        <f>IF(VLOOKUP(Table73[[#This Row],[Date]],Database!$A:$C,MATCH($C$1,Database!$A$1:$C$1,),)=0,#N/A,VLOOKUP(Table73[[#This Row],[Date]],Database!$A:$C,MATCH($C$1,Database!$A$1:$C$1,),))</f>
        <v/>
      </c>
      <c r="D3395">
        <f>IFERROR(Table73[[#This Row],[United States 10y]]-Table73[[#This Row],[United States 2y]],#N/A)</f>
        <v/>
      </c>
    </row>
    <row r="3396">
      <c r="A3396" s="6">
        <f>Database!A3395</f>
        <v/>
      </c>
      <c r="B3396">
        <f>IF(VLOOKUP(Table73[[#This Row],[Date]],Database!$A:$E,MATCH($B$1,Database!$A$1:$E$1,),)=0,#N/A,VLOOKUP(Table73[[#This Row],[Date]],Database!$A:$E,MATCH($B$1,Database!$A$1:$E$1,),))</f>
        <v/>
      </c>
      <c r="C3396">
        <f>IF(VLOOKUP(Table73[[#This Row],[Date]],Database!$A:$C,MATCH($C$1,Database!$A$1:$C$1,),)=0,#N/A,VLOOKUP(Table73[[#This Row],[Date]],Database!$A:$C,MATCH($C$1,Database!$A$1:$C$1,),))</f>
        <v/>
      </c>
      <c r="D3396">
        <f>IFERROR(Table73[[#This Row],[United States 10y]]-Table73[[#This Row],[United States 2y]],#N/A)</f>
        <v/>
      </c>
    </row>
    <row r="3397">
      <c r="A3397" s="6">
        <f>Database!A3396</f>
        <v/>
      </c>
      <c r="B3397">
        <f>IF(VLOOKUP(Table73[[#This Row],[Date]],Database!$A:$E,MATCH($B$1,Database!$A$1:$E$1,),)=0,#N/A,VLOOKUP(Table73[[#This Row],[Date]],Database!$A:$E,MATCH($B$1,Database!$A$1:$E$1,),))</f>
        <v/>
      </c>
      <c r="C3397">
        <f>IF(VLOOKUP(Table73[[#This Row],[Date]],Database!$A:$C,MATCH($C$1,Database!$A$1:$C$1,),)=0,#N/A,VLOOKUP(Table73[[#This Row],[Date]],Database!$A:$C,MATCH($C$1,Database!$A$1:$C$1,),))</f>
        <v/>
      </c>
      <c r="D3397">
        <f>IFERROR(Table73[[#This Row],[United States 10y]]-Table73[[#This Row],[United States 2y]],#N/A)</f>
        <v/>
      </c>
    </row>
    <row r="3398">
      <c r="A3398" s="6">
        <f>Database!A3397</f>
        <v/>
      </c>
      <c r="B3398">
        <f>IF(VLOOKUP(Table73[[#This Row],[Date]],Database!$A:$E,MATCH($B$1,Database!$A$1:$E$1,),)=0,#N/A,VLOOKUP(Table73[[#This Row],[Date]],Database!$A:$E,MATCH($B$1,Database!$A$1:$E$1,),))</f>
        <v/>
      </c>
      <c r="C3398">
        <f>IF(VLOOKUP(Table73[[#This Row],[Date]],Database!$A:$C,MATCH($C$1,Database!$A$1:$C$1,),)=0,#N/A,VLOOKUP(Table73[[#This Row],[Date]],Database!$A:$C,MATCH($C$1,Database!$A$1:$C$1,),))</f>
        <v/>
      </c>
      <c r="D3398">
        <f>IFERROR(Table73[[#This Row],[United States 10y]]-Table73[[#This Row],[United States 2y]],#N/A)</f>
        <v/>
      </c>
    </row>
    <row r="3399">
      <c r="A3399" s="6">
        <f>Database!A3398</f>
        <v/>
      </c>
      <c r="B3399">
        <f>IF(VLOOKUP(Table73[[#This Row],[Date]],Database!$A:$E,MATCH($B$1,Database!$A$1:$E$1,),)=0,#N/A,VLOOKUP(Table73[[#This Row],[Date]],Database!$A:$E,MATCH($B$1,Database!$A$1:$E$1,),))</f>
        <v/>
      </c>
      <c r="C3399">
        <f>IF(VLOOKUP(Table73[[#This Row],[Date]],Database!$A:$C,MATCH($C$1,Database!$A$1:$C$1,),)=0,#N/A,VLOOKUP(Table73[[#This Row],[Date]],Database!$A:$C,MATCH($C$1,Database!$A$1:$C$1,),))</f>
        <v/>
      </c>
      <c r="D3399">
        <f>IFERROR(Table73[[#This Row],[United States 10y]]-Table73[[#This Row],[United States 2y]],#N/A)</f>
        <v/>
      </c>
    </row>
    <row r="3400">
      <c r="A3400" s="6">
        <f>Database!A3399</f>
        <v/>
      </c>
      <c r="B3400">
        <f>IF(VLOOKUP(Table73[[#This Row],[Date]],Database!$A:$E,MATCH($B$1,Database!$A$1:$E$1,),)=0,#N/A,VLOOKUP(Table73[[#This Row],[Date]],Database!$A:$E,MATCH($B$1,Database!$A$1:$E$1,),))</f>
        <v/>
      </c>
      <c r="C3400">
        <f>IF(VLOOKUP(Table73[[#This Row],[Date]],Database!$A:$C,MATCH($C$1,Database!$A$1:$C$1,),)=0,#N/A,VLOOKUP(Table73[[#This Row],[Date]],Database!$A:$C,MATCH($C$1,Database!$A$1:$C$1,),))</f>
        <v/>
      </c>
      <c r="D3400">
        <f>IFERROR(Table73[[#This Row],[United States 10y]]-Table73[[#This Row],[United States 2y]],#N/A)</f>
        <v/>
      </c>
    </row>
    <row r="3401">
      <c r="A3401" s="6">
        <f>Database!A3400</f>
        <v/>
      </c>
      <c r="B3401">
        <f>IF(VLOOKUP(Table73[[#This Row],[Date]],Database!$A:$E,MATCH($B$1,Database!$A$1:$E$1,),)=0,#N/A,VLOOKUP(Table73[[#This Row],[Date]],Database!$A:$E,MATCH($B$1,Database!$A$1:$E$1,),))</f>
        <v/>
      </c>
      <c r="C3401">
        <f>IF(VLOOKUP(Table73[[#This Row],[Date]],Database!$A:$C,MATCH($C$1,Database!$A$1:$C$1,),)=0,#N/A,VLOOKUP(Table73[[#This Row],[Date]],Database!$A:$C,MATCH($C$1,Database!$A$1:$C$1,),))</f>
        <v/>
      </c>
      <c r="D3401">
        <f>IFERROR(Table73[[#This Row],[United States 10y]]-Table73[[#This Row],[United States 2y]],#N/A)</f>
        <v/>
      </c>
    </row>
    <row r="3402">
      <c r="A3402" s="6">
        <f>Database!A3401</f>
        <v/>
      </c>
      <c r="B3402">
        <f>IF(VLOOKUP(Table73[[#This Row],[Date]],Database!$A:$E,MATCH($B$1,Database!$A$1:$E$1,),)=0,#N/A,VLOOKUP(Table73[[#This Row],[Date]],Database!$A:$E,MATCH($B$1,Database!$A$1:$E$1,),))</f>
        <v/>
      </c>
      <c r="C3402">
        <f>IF(VLOOKUP(Table73[[#This Row],[Date]],Database!$A:$C,MATCH($C$1,Database!$A$1:$C$1,),)=0,#N/A,VLOOKUP(Table73[[#This Row],[Date]],Database!$A:$C,MATCH($C$1,Database!$A$1:$C$1,),))</f>
        <v/>
      </c>
      <c r="D3402">
        <f>IFERROR(Table73[[#This Row],[United States 10y]]-Table73[[#This Row],[United States 2y]],#N/A)</f>
        <v/>
      </c>
    </row>
    <row r="3403">
      <c r="A3403" s="6">
        <f>Database!A3402</f>
        <v/>
      </c>
      <c r="B3403">
        <f>IF(VLOOKUP(Table73[[#This Row],[Date]],Database!$A:$E,MATCH($B$1,Database!$A$1:$E$1,),)=0,#N/A,VLOOKUP(Table73[[#This Row],[Date]],Database!$A:$E,MATCH($B$1,Database!$A$1:$E$1,),))</f>
        <v/>
      </c>
      <c r="C3403">
        <f>IF(VLOOKUP(Table73[[#This Row],[Date]],Database!$A:$C,MATCH($C$1,Database!$A$1:$C$1,),)=0,#N/A,VLOOKUP(Table73[[#This Row],[Date]],Database!$A:$C,MATCH($C$1,Database!$A$1:$C$1,),))</f>
        <v/>
      </c>
      <c r="D3403">
        <f>IFERROR(Table73[[#This Row],[United States 10y]]-Table73[[#This Row],[United States 2y]],#N/A)</f>
        <v/>
      </c>
    </row>
    <row r="3404">
      <c r="A3404" s="6">
        <f>Database!A3403</f>
        <v/>
      </c>
      <c r="B3404">
        <f>IF(VLOOKUP(Table73[[#This Row],[Date]],Database!$A:$E,MATCH($B$1,Database!$A$1:$E$1,),)=0,#N/A,VLOOKUP(Table73[[#This Row],[Date]],Database!$A:$E,MATCH($B$1,Database!$A$1:$E$1,),))</f>
        <v/>
      </c>
      <c r="C3404">
        <f>IF(VLOOKUP(Table73[[#This Row],[Date]],Database!$A:$C,MATCH($C$1,Database!$A$1:$C$1,),)=0,#N/A,VLOOKUP(Table73[[#This Row],[Date]],Database!$A:$C,MATCH($C$1,Database!$A$1:$C$1,),))</f>
        <v/>
      </c>
      <c r="D3404">
        <f>IFERROR(Table73[[#This Row],[United States 10y]]-Table73[[#This Row],[United States 2y]],#N/A)</f>
        <v/>
      </c>
    </row>
    <row r="3405">
      <c r="A3405" s="6">
        <f>Database!A3404</f>
        <v/>
      </c>
      <c r="B3405">
        <f>IF(VLOOKUP(Table73[[#This Row],[Date]],Database!$A:$E,MATCH($B$1,Database!$A$1:$E$1,),)=0,#N/A,VLOOKUP(Table73[[#This Row],[Date]],Database!$A:$E,MATCH($B$1,Database!$A$1:$E$1,),))</f>
        <v/>
      </c>
      <c r="C3405">
        <f>IF(VLOOKUP(Table73[[#This Row],[Date]],Database!$A:$C,MATCH($C$1,Database!$A$1:$C$1,),)=0,#N/A,VLOOKUP(Table73[[#This Row],[Date]],Database!$A:$C,MATCH($C$1,Database!$A$1:$C$1,),))</f>
        <v/>
      </c>
      <c r="D3405">
        <f>IFERROR(Table73[[#This Row],[United States 10y]]-Table73[[#This Row],[United States 2y]],#N/A)</f>
        <v/>
      </c>
    </row>
    <row r="3406">
      <c r="A3406" s="6">
        <f>Database!A3405</f>
        <v/>
      </c>
      <c r="B3406">
        <f>IF(VLOOKUP(Table73[[#This Row],[Date]],Database!$A:$E,MATCH($B$1,Database!$A$1:$E$1,),)=0,#N/A,VLOOKUP(Table73[[#This Row],[Date]],Database!$A:$E,MATCH($B$1,Database!$A$1:$E$1,),))</f>
        <v/>
      </c>
      <c r="C3406">
        <f>IF(VLOOKUP(Table73[[#This Row],[Date]],Database!$A:$C,MATCH($C$1,Database!$A$1:$C$1,),)=0,#N/A,VLOOKUP(Table73[[#This Row],[Date]],Database!$A:$C,MATCH($C$1,Database!$A$1:$C$1,),))</f>
        <v/>
      </c>
      <c r="D3406">
        <f>IFERROR(Table73[[#This Row],[United States 10y]]-Table73[[#This Row],[United States 2y]],#N/A)</f>
        <v/>
      </c>
    </row>
    <row r="3407">
      <c r="A3407" s="6">
        <f>Database!A3406</f>
        <v/>
      </c>
      <c r="B3407">
        <f>IF(VLOOKUP(Table73[[#This Row],[Date]],Database!$A:$E,MATCH($B$1,Database!$A$1:$E$1,),)=0,#N/A,VLOOKUP(Table73[[#This Row],[Date]],Database!$A:$E,MATCH($B$1,Database!$A$1:$E$1,),))</f>
        <v/>
      </c>
      <c r="C3407">
        <f>IF(VLOOKUP(Table73[[#This Row],[Date]],Database!$A:$C,MATCH($C$1,Database!$A$1:$C$1,),)=0,#N/A,VLOOKUP(Table73[[#This Row],[Date]],Database!$A:$C,MATCH($C$1,Database!$A$1:$C$1,),))</f>
        <v/>
      </c>
      <c r="D3407">
        <f>IFERROR(Table73[[#This Row],[United States 10y]]-Table73[[#This Row],[United States 2y]],#N/A)</f>
        <v/>
      </c>
    </row>
    <row r="3408">
      <c r="A3408" s="6">
        <f>Database!A3407</f>
        <v/>
      </c>
      <c r="B3408">
        <f>IF(VLOOKUP(Table73[[#This Row],[Date]],Database!$A:$E,MATCH($B$1,Database!$A$1:$E$1,),)=0,#N/A,VLOOKUP(Table73[[#This Row],[Date]],Database!$A:$E,MATCH($B$1,Database!$A$1:$E$1,),))</f>
        <v/>
      </c>
      <c r="C3408">
        <f>IF(VLOOKUP(Table73[[#This Row],[Date]],Database!$A:$C,MATCH($C$1,Database!$A$1:$C$1,),)=0,#N/A,VLOOKUP(Table73[[#This Row],[Date]],Database!$A:$C,MATCH($C$1,Database!$A$1:$C$1,),))</f>
        <v/>
      </c>
      <c r="D3408">
        <f>IFERROR(Table73[[#This Row],[United States 10y]]-Table73[[#This Row],[United States 2y]],#N/A)</f>
        <v/>
      </c>
    </row>
    <row r="3409">
      <c r="A3409" s="6">
        <f>Database!A3408</f>
        <v/>
      </c>
      <c r="B3409">
        <f>IF(VLOOKUP(Table73[[#This Row],[Date]],Database!$A:$E,MATCH($B$1,Database!$A$1:$E$1,),)=0,#N/A,VLOOKUP(Table73[[#This Row],[Date]],Database!$A:$E,MATCH($B$1,Database!$A$1:$E$1,),))</f>
        <v/>
      </c>
      <c r="C3409">
        <f>IF(VLOOKUP(Table73[[#This Row],[Date]],Database!$A:$C,MATCH($C$1,Database!$A$1:$C$1,),)=0,#N/A,VLOOKUP(Table73[[#This Row],[Date]],Database!$A:$C,MATCH($C$1,Database!$A$1:$C$1,),))</f>
        <v/>
      </c>
      <c r="D3409">
        <f>IFERROR(Table73[[#This Row],[United States 10y]]-Table73[[#This Row],[United States 2y]],#N/A)</f>
        <v/>
      </c>
    </row>
    <row r="3410">
      <c r="A3410" s="6">
        <f>Database!A3409</f>
        <v/>
      </c>
      <c r="B3410">
        <f>IF(VLOOKUP(Table73[[#This Row],[Date]],Database!$A:$E,MATCH($B$1,Database!$A$1:$E$1,),)=0,#N/A,VLOOKUP(Table73[[#This Row],[Date]],Database!$A:$E,MATCH($B$1,Database!$A$1:$E$1,),))</f>
        <v/>
      </c>
      <c r="C3410">
        <f>IF(VLOOKUP(Table73[[#This Row],[Date]],Database!$A:$C,MATCH($C$1,Database!$A$1:$C$1,),)=0,#N/A,VLOOKUP(Table73[[#This Row],[Date]],Database!$A:$C,MATCH($C$1,Database!$A$1:$C$1,),))</f>
        <v/>
      </c>
      <c r="D3410">
        <f>IFERROR(Table73[[#This Row],[United States 10y]]-Table73[[#This Row],[United States 2y]],#N/A)</f>
        <v/>
      </c>
    </row>
    <row r="3411">
      <c r="A3411" s="6">
        <f>Database!A3410</f>
        <v/>
      </c>
      <c r="B3411">
        <f>IF(VLOOKUP(Table73[[#This Row],[Date]],Database!$A:$E,MATCH($B$1,Database!$A$1:$E$1,),)=0,#N/A,VLOOKUP(Table73[[#This Row],[Date]],Database!$A:$E,MATCH($B$1,Database!$A$1:$E$1,),))</f>
        <v/>
      </c>
      <c r="C3411">
        <f>IF(VLOOKUP(Table73[[#This Row],[Date]],Database!$A:$C,MATCH($C$1,Database!$A$1:$C$1,),)=0,#N/A,VLOOKUP(Table73[[#This Row],[Date]],Database!$A:$C,MATCH($C$1,Database!$A$1:$C$1,),))</f>
        <v/>
      </c>
      <c r="D3411">
        <f>IFERROR(Table73[[#This Row],[United States 10y]]-Table73[[#This Row],[United States 2y]],#N/A)</f>
        <v/>
      </c>
    </row>
    <row r="3412">
      <c r="A3412" s="6">
        <f>Database!A3411</f>
        <v/>
      </c>
      <c r="B3412">
        <f>IF(VLOOKUP(Table73[[#This Row],[Date]],Database!$A:$E,MATCH($B$1,Database!$A$1:$E$1,),)=0,#N/A,VLOOKUP(Table73[[#This Row],[Date]],Database!$A:$E,MATCH($B$1,Database!$A$1:$E$1,),))</f>
        <v/>
      </c>
      <c r="C3412">
        <f>IF(VLOOKUP(Table73[[#This Row],[Date]],Database!$A:$C,MATCH($C$1,Database!$A$1:$C$1,),)=0,#N/A,VLOOKUP(Table73[[#This Row],[Date]],Database!$A:$C,MATCH($C$1,Database!$A$1:$C$1,),))</f>
        <v/>
      </c>
      <c r="D3412">
        <f>IFERROR(Table73[[#This Row],[United States 10y]]-Table73[[#This Row],[United States 2y]],#N/A)</f>
        <v/>
      </c>
    </row>
    <row r="3413">
      <c r="A3413" s="6">
        <f>Database!A3412</f>
        <v/>
      </c>
      <c r="B3413">
        <f>IF(VLOOKUP(Table73[[#This Row],[Date]],Database!$A:$E,MATCH($B$1,Database!$A$1:$E$1,),)=0,#N/A,VLOOKUP(Table73[[#This Row],[Date]],Database!$A:$E,MATCH($B$1,Database!$A$1:$E$1,),))</f>
        <v/>
      </c>
      <c r="C3413">
        <f>IF(VLOOKUP(Table73[[#This Row],[Date]],Database!$A:$C,MATCH($C$1,Database!$A$1:$C$1,),)=0,#N/A,VLOOKUP(Table73[[#This Row],[Date]],Database!$A:$C,MATCH($C$1,Database!$A$1:$C$1,),))</f>
        <v/>
      </c>
      <c r="D3413">
        <f>IFERROR(Table73[[#This Row],[United States 10y]]-Table73[[#This Row],[United States 2y]],#N/A)</f>
        <v/>
      </c>
    </row>
    <row r="3414">
      <c r="A3414" s="6">
        <f>Database!A3413</f>
        <v/>
      </c>
      <c r="B3414">
        <f>IF(VLOOKUP(Table73[[#This Row],[Date]],Database!$A:$E,MATCH($B$1,Database!$A$1:$E$1,),)=0,#N/A,VLOOKUP(Table73[[#This Row],[Date]],Database!$A:$E,MATCH($B$1,Database!$A$1:$E$1,),))</f>
        <v/>
      </c>
      <c r="C3414">
        <f>IF(VLOOKUP(Table73[[#This Row],[Date]],Database!$A:$C,MATCH($C$1,Database!$A$1:$C$1,),)=0,#N/A,VLOOKUP(Table73[[#This Row],[Date]],Database!$A:$C,MATCH($C$1,Database!$A$1:$C$1,),))</f>
        <v/>
      </c>
      <c r="D3414">
        <f>IFERROR(Table73[[#This Row],[United States 10y]]-Table73[[#This Row],[United States 2y]],#N/A)</f>
        <v/>
      </c>
    </row>
    <row r="3415">
      <c r="A3415" s="6">
        <f>Database!A3414</f>
        <v/>
      </c>
      <c r="B3415">
        <f>IF(VLOOKUP(Table73[[#This Row],[Date]],Database!$A:$E,MATCH($B$1,Database!$A$1:$E$1,),)=0,#N/A,VLOOKUP(Table73[[#This Row],[Date]],Database!$A:$E,MATCH($B$1,Database!$A$1:$E$1,),))</f>
        <v/>
      </c>
      <c r="C3415">
        <f>IF(VLOOKUP(Table73[[#This Row],[Date]],Database!$A:$C,MATCH($C$1,Database!$A$1:$C$1,),)=0,#N/A,VLOOKUP(Table73[[#This Row],[Date]],Database!$A:$C,MATCH($C$1,Database!$A$1:$C$1,),))</f>
        <v/>
      </c>
      <c r="D3415">
        <f>IFERROR(Table73[[#This Row],[United States 10y]]-Table73[[#This Row],[United States 2y]],#N/A)</f>
        <v/>
      </c>
    </row>
    <row r="3416">
      <c r="A3416" s="6">
        <f>Database!A3415</f>
        <v/>
      </c>
      <c r="B3416">
        <f>IF(VLOOKUP(Table73[[#This Row],[Date]],Database!$A:$E,MATCH($B$1,Database!$A$1:$E$1,),)=0,#N/A,VLOOKUP(Table73[[#This Row],[Date]],Database!$A:$E,MATCH($B$1,Database!$A$1:$E$1,),))</f>
        <v/>
      </c>
      <c r="C3416">
        <f>IF(VLOOKUP(Table73[[#This Row],[Date]],Database!$A:$C,MATCH($C$1,Database!$A$1:$C$1,),)=0,#N/A,VLOOKUP(Table73[[#This Row],[Date]],Database!$A:$C,MATCH($C$1,Database!$A$1:$C$1,),))</f>
        <v/>
      </c>
      <c r="D3416">
        <f>IFERROR(Table73[[#This Row],[United States 10y]]-Table73[[#This Row],[United States 2y]],#N/A)</f>
        <v/>
      </c>
    </row>
    <row r="3417">
      <c r="A3417" s="6">
        <f>Database!A3416</f>
        <v/>
      </c>
      <c r="B3417">
        <f>IF(VLOOKUP(Table73[[#This Row],[Date]],Database!$A:$E,MATCH($B$1,Database!$A$1:$E$1,),)=0,#N/A,VLOOKUP(Table73[[#This Row],[Date]],Database!$A:$E,MATCH($B$1,Database!$A$1:$E$1,),))</f>
        <v/>
      </c>
      <c r="C3417">
        <f>IF(VLOOKUP(Table73[[#This Row],[Date]],Database!$A:$C,MATCH($C$1,Database!$A$1:$C$1,),)=0,#N/A,VLOOKUP(Table73[[#This Row],[Date]],Database!$A:$C,MATCH($C$1,Database!$A$1:$C$1,),))</f>
        <v/>
      </c>
      <c r="D3417">
        <f>IFERROR(Table73[[#This Row],[United States 10y]]-Table73[[#This Row],[United States 2y]],#N/A)</f>
        <v/>
      </c>
    </row>
    <row r="3418">
      <c r="A3418" s="6">
        <f>Database!A3417</f>
        <v/>
      </c>
      <c r="B3418">
        <f>IF(VLOOKUP(Table73[[#This Row],[Date]],Database!$A:$E,MATCH($B$1,Database!$A$1:$E$1,),)=0,#N/A,VLOOKUP(Table73[[#This Row],[Date]],Database!$A:$E,MATCH($B$1,Database!$A$1:$E$1,),))</f>
        <v/>
      </c>
      <c r="C3418">
        <f>IF(VLOOKUP(Table73[[#This Row],[Date]],Database!$A:$C,MATCH($C$1,Database!$A$1:$C$1,),)=0,#N/A,VLOOKUP(Table73[[#This Row],[Date]],Database!$A:$C,MATCH($C$1,Database!$A$1:$C$1,),))</f>
        <v/>
      </c>
      <c r="D3418">
        <f>IFERROR(Table73[[#This Row],[United States 10y]]-Table73[[#This Row],[United States 2y]],#N/A)</f>
        <v/>
      </c>
    </row>
    <row r="3419">
      <c r="A3419" s="6">
        <f>Database!A3418</f>
        <v/>
      </c>
      <c r="B3419">
        <f>IF(VLOOKUP(Table73[[#This Row],[Date]],Database!$A:$E,MATCH($B$1,Database!$A$1:$E$1,),)=0,#N/A,VLOOKUP(Table73[[#This Row],[Date]],Database!$A:$E,MATCH($B$1,Database!$A$1:$E$1,),))</f>
        <v/>
      </c>
      <c r="C3419">
        <f>IF(VLOOKUP(Table73[[#This Row],[Date]],Database!$A:$C,MATCH($C$1,Database!$A$1:$C$1,),)=0,#N/A,VLOOKUP(Table73[[#This Row],[Date]],Database!$A:$C,MATCH($C$1,Database!$A$1:$C$1,),))</f>
        <v/>
      </c>
      <c r="D3419">
        <f>IFERROR(Table73[[#This Row],[United States 10y]]-Table73[[#This Row],[United States 2y]],#N/A)</f>
        <v/>
      </c>
    </row>
    <row r="3420">
      <c r="A3420" s="6">
        <f>Database!A3419</f>
        <v/>
      </c>
      <c r="B3420">
        <f>IF(VLOOKUP(Table73[[#This Row],[Date]],Database!$A:$E,MATCH($B$1,Database!$A$1:$E$1,),)=0,#N/A,VLOOKUP(Table73[[#This Row],[Date]],Database!$A:$E,MATCH($B$1,Database!$A$1:$E$1,),))</f>
        <v/>
      </c>
      <c r="C3420">
        <f>IF(VLOOKUP(Table73[[#This Row],[Date]],Database!$A:$C,MATCH($C$1,Database!$A$1:$C$1,),)=0,#N/A,VLOOKUP(Table73[[#This Row],[Date]],Database!$A:$C,MATCH($C$1,Database!$A$1:$C$1,),))</f>
        <v/>
      </c>
      <c r="D3420">
        <f>IFERROR(Table73[[#This Row],[United States 10y]]-Table73[[#This Row],[United States 2y]],#N/A)</f>
        <v/>
      </c>
    </row>
    <row r="3421">
      <c r="A3421" s="6">
        <f>Database!A3420</f>
        <v/>
      </c>
      <c r="B3421">
        <f>IF(VLOOKUP(Table73[[#This Row],[Date]],Database!$A:$E,MATCH($B$1,Database!$A$1:$E$1,),)=0,#N/A,VLOOKUP(Table73[[#This Row],[Date]],Database!$A:$E,MATCH($B$1,Database!$A$1:$E$1,),))</f>
        <v/>
      </c>
      <c r="C3421">
        <f>IF(VLOOKUP(Table73[[#This Row],[Date]],Database!$A:$C,MATCH($C$1,Database!$A$1:$C$1,),)=0,#N/A,VLOOKUP(Table73[[#This Row],[Date]],Database!$A:$C,MATCH($C$1,Database!$A$1:$C$1,),))</f>
        <v/>
      </c>
      <c r="D3421">
        <f>IFERROR(Table73[[#This Row],[United States 10y]]-Table73[[#This Row],[United States 2y]],#N/A)</f>
        <v/>
      </c>
    </row>
    <row r="3422">
      <c r="A3422" s="6">
        <f>Database!A3421</f>
        <v/>
      </c>
      <c r="B3422">
        <f>IF(VLOOKUP(Table73[[#This Row],[Date]],Database!$A:$E,MATCH($B$1,Database!$A$1:$E$1,),)=0,#N/A,VLOOKUP(Table73[[#This Row],[Date]],Database!$A:$E,MATCH($B$1,Database!$A$1:$E$1,),))</f>
        <v/>
      </c>
      <c r="C3422">
        <f>IF(VLOOKUP(Table73[[#This Row],[Date]],Database!$A:$C,MATCH($C$1,Database!$A$1:$C$1,),)=0,#N/A,VLOOKUP(Table73[[#This Row],[Date]],Database!$A:$C,MATCH($C$1,Database!$A$1:$C$1,),))</f>
        <v/>
      </c>
      <c r="D3422">
        <f>IFERROR(Table73[[#This Row],[United States 10y]]-Table73[[#This Row],[United States 2y]],#N/A)</f>
        <v/>
      </c>
    </row>
    <row r="3423">
      <c r="A3423" s="6">
        <f>Database!A3422</f>
        <v/>
      </c>
      <c r="B3423">
        <f>IF(VLOOKUP(Table73[[#This Row],[Date]],Database!$A:$E,MATCH($B$1,Database!$A$1:$E$1,),)=0,#N/A,VLOOKUP(Table73[[#This Row],[Date]],Database!$A:$E,MATCH($B$1,Database!$A$1:$E$1,),))</f>
        <v/>
      </c>
      <c r="C3423">
        <f>IF(VLOOKUP(Table73[[#This Row],[Date]],Database!$A:$C,MATCH($C$1,Database!$A$1:$C$1,),)=0,#N/A,VLOOKUP(Table73[[#This Row],[Date]],Database!$A:$C,MATCH($C$1,Database!$A$1:$C$1,),))</f>
        <v/>
      </c>
      <c r="D3423">
        <f>IFERROR(Table73[[#This Row],[United States 10y]]-Table73[[#This Row],[United States 2y]],#N/A)</f>
        <v/>
      </c>
    </row>
    <row r="3424">
      <c r="A3424" s="6">
        <f>Database!A3423</f>
        <v/>
      </c>
      <c r="B3424">
        <f>IF(VLOOKUP(Table73[[#This Row],[Date]],Database!$A:$E,MATCH($B$1,Database!$A$1:$E$1,),)=0,#N/A,VLOOKUP(Table73[[#This Row],[Date]],Database!$A:$E,MATCH($B$1,Database!$A$1:$E$1,),))</f>
        <v/>
      </c>
      <c r="C3424">
        <f>IF(VLOOKUP(Table73[[#This Row],[Date]],Database!$A:$C,MATCH($C$1,Database!$A$1:$C$1,),)=0,#N/A,VLOOKUP(Table73[[#This Row],[Date]],Database!$A:$C,MATCH($C$1,Database!$A$1:$C$1,),))</f>
        <v/>
      </c>
      <c r="D3424">
        <f>IFERROR(Table73[[#This Row],[United States 10y]]-Table73[[#This Row],[United States 2y]],#N/A)</f>
        <v/>
      </c>
    </row>
    <row r="3425">
      <c r="A3425" s="6">
        <f>Database!A3424</f>
        <v/>
      </c>
      <c r="B3425">
        <f>IF(VLOOKUP(Table73[[#This Row],[Date]],Database!$A:$E,MATCH($B$1,Database!$A$1:$E$1,),)=0,#N/A,VLOOKUP(Table73[[#This Row],[Date]],Database!$A:$E,MATCH($B$1,Database!$A$1:$E$1,),))</f>
        <v/>
      </c>
      <c r="C3425">
        <f>IF(VLOOKUP(Table73[[#This Row],[Date]],Database!$A:$C,MATCH($C$1,Database!$A$1:$C$1,),)=0,#N/A,VLOOKUP(Table73[[#This Row],[Date]],Database!$A:$C,MATCH($C$1,Database!$A$1:$C$1,),))</f>
        <v/>
      </c>
      <c r="D3425">
        <f>IFERROR(Table73[[#This Row],[United States 10y]]-Table73[[#This Row],[United States 2y]],#N/A)</f>
        <v/>
      </c>
    </row>
    <row r="3426">
      <c r="A3426" s="6">
        <f>Database!A3425</f>
        <v/>
      </c>
      <c r="B3426">
        <f>IF(VLOOKUP(Table73[[#This Row],[Date]],Database!$A:$E,MATCH($B$1,Database!$A$1:$E$1,),)=0,#N/A,VLOOKUP(Table73[[#This Row],[Date]],Database!$A:$E,MATCH($B$1,Database!$A$1:$E$1,),))</f>
        <v/>
      </c>
      <c r="C3426">
        <f>IF(VLOOKUP(Table73[[#This Row],[Date]],Database!$A:$C,MATCH($C$1,Database!$A$1:$C$1,),)=0,#N/A,VLOOKUP(Table73[[#This Row],[Date]],Database!$A:$C,MATCH($C$1,Database!$A$1:$C$1,),))</f>
        <v/>
      </c>
      <c r="D3426">
        <f>IFERROR(Table73[[#This Row],[United States 10y]]-Table73[[#This Row],[United States 2y]],#N/A)</f>
        <v/>
      </c>
    </row>
    <row r="3427">
      <c r="A3427" s="6">
        <f>Database!A3426</f>
        <v/>
      </c>
      <c r="B3427">
        <f>IF(VLOOKUP(Table73[[#This Row],[Date]],Database!$A:$E,MATCH($B$1,Database!$A$1:$E$1,),)=0,#N/A,VLOOKUP(Table73[[#This Row],[Date]],Database!$A:$E,MATCH($B$1,Database!$A$1:$E$1,),))</f>
        <v/>
      </c>
      <c r="C3427">
        <f>IF(VLOOKUP(Table73[[#This Row],[Date]],Database!$A:$C,MATCH($C$1,Database!$A$1:$C$1,),)=0,#N/A,VLOOKUP(Table73[[#This Row],[Date]],Database!$A:$C,MATCH($C$1,Database!$A$1:$C$1,),))</f>
        <v/>
      </c>
      <c r="D3427">
        <f>IFERROR(Table73[[#This Row],[United States 10y]]-Table73[[#This Row],[United States 2y]],#N/A)</f>
        <v/>
      </c>
    </row>
    <row r="3428">
      <c r="A3428" s="6">
        <f>Database!A3427</f>
        <v/>
      </c>
      <c r="B3428">
        <f>IF(VLOOKUP(Table73[[#This Row],[Date]],Database!$A:$E,MATCH($B$1,Database!$A$1:$E$1,),)=0,#N/A,VLOOKUP(Table73[[#This Row],[Date]],Database!$A:$E,MATCH($B$1,Database!$A$1:$E$1,),))</f>
        <v/>
      </c>
      <c r="C3428">
        <f>IF(VLOOKUP(Table73[[#This Row],[Date]],Database!$A:$C,MATCH($C$1,Database!$A$1:$C$1,),)=0,#N/A,VLOOKUP(Table73[[#This Row],[Date]],Database!$A:$C,MATCH($C$1,Database!$A$1:$C$1,),))</f>
        <v/>
      </c>
      <c r="D3428">
        <f>IFERROR(Table73[[#This Row],[United States 10y]]-Table73[[#This Row],[United States 2y]],#N/A)</f>
        <v/>
      </c>
    </row>
    <row r="3429">
      <c r="A3429" s="6">
        <f>Database!A3428</f>
        <v/>
      </c>
      <c r="B3429">
        <f>IF(VLOOKUP(Table73[[#This Row],[Date]],Database!$A:$E,MATCH($B$1,Database!$A$1:$E$1,),)=0,#N/A,VLOOKUP(Table73[[#This Row],[Date]],Database!$A:$E,MATCH($B$1,Database!$A$1:$E$1,),))</f>
        <v/>
      </c>
      <c r="C3429">
        <f>IF(VLOOKUP(Table73[[#This Row],[Date]],Database!$A:$C,MATCH($C$1,Database!$A$1:$C$1,),)=0,#N/A,VLOOKUP(Table73[[#This Row],[Date]],Database!$A:$C,MATCH($C$1,Database!$A$1:$C$1,),))</f>
        <v/>
      </c>
      <c r="D3429">
        <f>IFERROR(Table73[[#This Row],[United States 10y]]-Table73[[#This Row],[United States 2y]],#N/A)</f>
        <v/>
      </c>
    </row>
    <row r="3430">
      <c r="A3430" s="6">
        <f>Database!A3429</f>
        <v/>
      </c>
      <c r="B3430">
        <f>IF(VLOOKUP(Table73[[#This Row],[Date]],Database!$A:$E,MATCH($B$1,Database!$A$1:$E$1,),)=0,#N/A,VLOOKUP(Table73[[#This Row],[Date]],Database!$A:$E,MATCH($B$1,Database!$A$1:$E$1,),))</f>
        <v/>
      </c>
      <c r="C3430">
        <f>IF(VLOOKUP(Table73[[#This Row],[Date]],Database!$A:$C,MATCH($C$1,Database!$A$1:$C$1,),)=0,#N/A,VLOOKUP(Table73[[#This Row],[Date]],Database!$A:$C,MATCH($C$1,Database!$A$1:$C$1,),))</f>
        <v/>
      </c>
      <c r="D3430">
        <f>IFERROR(Table73[[#This Row],[United States 10y]]-Table73[[#This Row],[United States 2y]],#N/A)</f>
        <v/>
      </c>
    </row>
    <row r="3431">
      <c r="A3431" s="6">
        <f>Database!A3430</f>
        <v/>
      </c>
      <c r="B3431">
        <f>IF(VLOOKUP(Table73[[#This Row],[Date]],Database!$A:$E,MATCH($B$1,Database!$A$1:$E$1,),)=0,#N/A,VLOOKUP(Table73[[#This Row],[Date]],Database!$A:$E,MATCH($B$1,Database!$A$1:$E$1,),))</f>
        <v/>
      </c>
      <c r="C3431">
        <f>IF(VLOOKUP(Table73[[#This Row],[Date]],Database!$A:$C,MATCH($C$1,Database!$A$1:$C$1,),)=0,#N/A,VLOOKUP(Table73[[#This Row],[Date]],Database!$A:$C,MATCH($C$1,Database!$A$1:$C$1,),))</f>
        <v/>
      </c>
      <c r="D3431">
        <f>IFERROR(Table73[[#This Row],[United States 10y]]-Table73[[#This Row],[United States 2y]],#N/A)</f>
        <v/>
      </c>
    </row>
    <row r="3432">
      <c r="A3432" s="6">
        <f>Database!A3431</f>
        <v/>
      </c>
      <c r="B3432">
        <f>IF(VLOOKUP(Table73[[#This Row],[Date]],Database!$A:$E,MATCH($B$1,Database!$A$1:$E$1,),)=0,#N/A,VLOOKUP(Table73[[#This Row],[Date]],Database!$A:$E,MATCH($B$1,Database!$A$1:$E$1,),))</f>
        <v/>
      </c>
      <c r="C3432">
        <f>IF(VLOOKUP(Table73[[#This Row],[Date]],Database!$A:$C,MATCH($C$1,Database!$A$1:$C$1,),)=0,#N/A,VLOOKUP(Table73[[#This Row],[Date]],Database!$A:$C,MATCH($C$1,Database!$A$1:$C$1,),))</f>
        <v/>
      </c>
      <c r="D3432">
        <f>IFERROR(Table73[[#This Row],[United States 10y]]-Table73[[#This Row],[United States 2y]],#N/A)</f>
        <v/>
      </c>
    </row>
    <row r="3433">
      <c r="A3433" s="6">
        <f>Database!A3432</f>
        <v/>
      </c>
      <c r="B3433">
        <f>IF(VLOOKUP(Table73[[#This Row],[Date]],Database!$A:$E,MATCH($B$1,Database!$A$1:$E$1,),)=0,#N/A,VLOOKUP(Table73[[#This Row],[Date]],Database!$A:$E,MATCH($B$1,Database!$A$1:$E$1,),))</f>
        <v/>
      </c>
      <c r="C3433">
        <f>IF(VLOOKUP(Table73[[#This Row],[Date]],Database!$A:$C,MATCH($C$1,Database!$A$1:$C$1,),)=0,#N/A,VLOOKUP(Table73[[#This Row],[Date]],Database!$A:$C,MATCH($C$1,Database!$A$1:$C$1,),))</f>
        <v/>
      </c>
      <c r="D3433">
        <f>IFERROR(Table73[[#This Row],[United States 10y]]-Table73[[#This Row],[United States 2y]],#N/A)</f>
        <v/>
      </c>
    </row>
    <row r="3434">
      <c r="A3434" s="6">
        <f>Database!A3433</f>
        <v/>
      </c>
      <c r="B3434">
        <f>IF(VLOOKUP(Table73[[#This Row],[Date]],Database!$A:$E,MATCH($B$1,Database!$A$1:$E$1,),)=0,#N/A,VLOOKUP(Table73[[#This Row],[Date]],Database!$A:$E,MATCH($B$1,Database!$A$1:$E$1,),))</f>
        <v/>
      </c>
      <c r="C3434">
        <f>IF(VLOOKUP(Table73[[#This Row],[Date]],Database!$A:$C,MATCH($C$1,Database!$A$1:$C$1,),)=0,#N/A,VLOOKUP(Table73[[#This Row],[Date]],Database!$A:$C,MATCH($C$1,Database!$A$1:$C$1,),))</f>
        <v/>
      </c>
      <c r="D3434">
        <f>IFERROR(Table73[[#This Row],[United States 10y]]-Table73[[#This Row],[United States 2y]],#N/A)</f>
        <v/>
      </c>
    </row>
    <row r="3435">
      <c r="A3435" s="6">
        <f>Database!A3434</f>
        <v/>
      </c>
      <c r="B3435">
        <f>IF(VLOOKUP(Table73[[#This Row],[Date]],Database!$A:$E,MATCH($B$1,Database!$A$1:$E$1,),)=0,#N/A,VLOOKUP(Table73[[#This Row],[Date]],Database!$A:$E,MATCH($B$1,Database!$A$1:$E$1,),))</f>
        <v/>
      </c>
      <c r="C3435">
        <f>IF(VLOOKUP(Table73[[#This Row],[Date]],Database!$A:$C,MATCH($C$1,Database!$A$1:$C$1,),)=0,#N/A,VLOOKUP(Table73[[#This Row],[Date]],Database!$A:$C,MATCH($C$1,Database!$A$1:$C$1,),))</f>
        <v/>
      </c>
      <c r="D3435">
        <f>IFERROR(Table73[[#This Row],[United States 10y]]-Table73[[#This Row],[United States 2y]],#N/A)</f>
        <v/>
      </c>
    </row>
    <row r="3436">
      <c r="A3436" s="6">
        <f>Database!A3435</f>
        <v/>
      </c>
      <c r="B3436">
        <f>IF(VLOOKUP(Table73[[#This Row],[Date]],Database!$A:$E,MATCH($B$1,Database!$A$1:$E$1,),)=0,#N/A,VLOOKUP(Table73[[#This Row],[Date]],Database!$A:$E,MATCH($B$1,Database!$A$1:$E$1,),))</f>
        <v/>
      </c>
      <c r="C3436">
        <f>IF(VLOOKUP(Table73[[#This Row],[Date]],Database!$A:$C,MATCH($C$1,Database!$A$1:$C$1,),)=0,#N/A,VLOOKUP(Table73[[#This Row],[Date]],Database!$A:$C,MATCH($C$1,Database!$A$1:$C$1,),))</f>
        <v/>
      </c>
      <c r="D3436">
        <f>IFERROR(Table73[[#This Row],[United States 10y]]-Table73[[#This Row],[United States 2y]],#N/A)</f>
        <v/>
      </c>
    </row>
    <row r="3437">
      <c r="A3437" s="6">
        <f>Database!A3436</f>
        <v/>
      </c>
      <c r="B3437">
        <f>IF(VLOOKUP(Table73[[#This Row],[Date]],Database!$A:$E,MATCH($B$1,Database!$A$1:$E$1,),)=0,#N/A,VLOOKUP(Table73[[#This Row],[Date]],Database!$A:$E,MATCH($B$1,Database!$A$1:$E$1,),))</f>
        <v/>
      </c>
      <c r="C3437">
        <f>IF(VLOOKUP(Table73[[#This Row],[Date]],Database!$A:$C,MATCH($C$1,Database!$A$1:$C$1,),)=0,#N/A,VLOOKUP(Table73[[#This Row],[Date]],Database!$A:$C,MATCH($C$1,Database!$A$1:$C$1,),))</f>
        <v/>
      </c>
      <c r="D3437">
        <f>IFERROR(Table73[[#This Row],[United States 10y]]-Table73[[#This Row],[United States 2y]],#N/A)</f>
        <v/>
      </c>
    </row>
    <row r="3438">
      <c r="A3438" s="6">
        <f>Database!A3437</f>
        <v/>
      </c>
      <c r="B3438">
        <f>IF(VLOOKUP(Table73[[#This Row],[Date]],Database!$A:$E,MATCH($B$1,Database!$A$1:$E$1,),)=0,#N/A,VLOOKUP(Table73[[#This Row],[Date]],Database!$A:$E,MATCH($B$1,Database!$A$1:$E$1,),))</f>
        <v/>
      </c>
      <c r="C3438">
        <f>IF(VLOOKUP(Table73[[#This Row],[Date]],Database!$A:$C,MATCH($C$1,Database!$A$1:$C$1,),)=0,#N/A,VLOOKUP(Table73[[#This Row],[Date]],Database!$A:$C,MATCH($C$1,Database!$A$1:$C$1,),))</f>
        <v/>
      </c>
      <c r="D3438">
        <f>IFERROR(Table73[[#This Row],[United States 10y]]-Table73[[#This Row],[United States 2y]],#N/A)</f>
        <v/>
      </c>
    </row>
    <row r="3439">
      <c r="A3439" s="6">
        <f>Database!A3438</f>
        <v/>
      </c>
      <c r="B3439">
        <f>IF(VLOOKUP(Table73[[#This Row],[Date]],Database!$A:$E,MATCH($B$1,Database!$A$1:$E$1,),)=0,#N/A,VLOOKUP(Table73[[#This Row],[Date]],Database!$A:$E,MATCH($B$1,Database!$A$1:$E$1,),))</f>
        <v/>
      </c>
      <c r="C3439">
        <f>IF(VLOOKUP(Table73[[#This Row],[Date]],Database!$A:$C,MATCH($C$1,Database!$A$1:$C$1,),)=0,#N/A,VLOOKUP(Table73[[#This Row],[Date]],Database!$A:$C,MATCH($C$1,Database!$A$1:$C$1,),))</f>
        <v/>
      </c>
      <c r="D3439">
        <f>IFERROR(Table73[[#This Row],[United States 10y]]-Table73[[#This Row],[United States 2y]],#N/A)</f>
        <v/>
      </c>
    </row>
    <row r="3440">
      <c r="A3440" s="6">
        <f>Database!A3439</f>
        <v/>
      </c>
      <c r="B3440">
        <f>IF(VLOOKUP(Table73[[#This Row],[Date]],Database!$A:$E,MATCH($B$1,Database!$A$1:$E$1,),)=0,#N/A,VLOOKUP(Table73[[#This Row],[Date]],Database!$A:$E,MATCH($B$1,Database!$A$1:$E$1,),))</f>
        <v/>
      </c>
      <c r="C3440">
        <f>IF(VLOOKUP(Table73[[#This Row],[Date]],Database!$A:$C,MATCH($C$1,Database!$A$1:$C$1,),)=0,#N/A,VLOOKUP(Table73[[#This Row],[Date]],Database!$A:$C,MATCH($C$1,Database!$A$1:$C$1,),))</f>
        <v/>
      </c>
      <c r="D3440">
        <f>IFERROR(Table73[[#This Row],[United States 10y]]-Table73[[#This Row],[United States 2y]],#N/A)</f>
        <v/>
      </c>
    </row>
    <row r="3441">
      <c r="A3441" s="6">
        <f>Database!A3440</f>
        <v/>
      </c>
      <c r="B3441">
        <f>IF(VLOOKUP(Table73[[#This Row],[Date]],Database!$A:$E,MATCH($B$1,Database!$A$1:$E$1,),)=0,#N/A,VLOOKUP(Table73[[#This Row],[Date]],Database!$A:$E,MATCH($B$1,Database!$A$1:$E$1,),))</f>
        <v/>
      </c>
      <c r="C3441">
        <f>IF(VLOOKUP(Table73[[#This Row],[Date]],Database!$A:$C,MATCH($C$1,Database!$A$1:$C$1,),)=0,#N/A,VLOOKUP(Table73[[#This Row],[Date]],Database!$A:$C,MATCH($C$1,Database!$A$1:$C$1,),))</f>
        <v/>
      </c>
      <c r="D3441">
        <f>IFERROR(Table73[[#This Row],[United States 10y]]-Table73[[#This Row],[United States 2y]],#N/A)</f>
        <v/>
      </c>
    </row>
    <row r="3442">
      <c r="A3442" s="6">
        <f>Database!A3441</f>
        <v/>
      </c>
      <c r="B3442">
        <f>IF(VLOOKUP(Table73[[#This Row],[Date]],Database!$A:$E,MATCH($B$1,Database!$A$1:$E$1,),)=0,#N/A,VLOOKUP(Table73[[#This Row],[Date]],Database!$A:$E,MATCH($B$1,Database!$A$1:$E$1,),))</f>
        <v/>
      </c>
      <c r="C3442">
        <f>IF(VLOOKUP(Table73[[#This Row],[Date]],Database!$A:$C,MATCH($C$1,Database!$A$1:$C$1,),)=0,#N/A,VLOOKUP(Table73[[#This Row],[Date]],Database!$A:$C,MATCH($C$1,Database!$A$1:$C$1,),))</f>
        <v/>
      </c>
      <c r="D3442">
        <f>IFERROR(Table73[[#This Row],[United States 10y]]-Table73[[#This Row],[United States 2y]],#N/A)</f>
        <v/>
      </c>
    </row>
    <row r="3443">
      <c r="A3443" s="6">
        <f>Database!A3442</f>
        <v/>
      </c>
      <c r="B3443">
        <f>IF(VLOOKUP(Table73[[#This Row],[Date]],Database!$A:$E,MATCH($B$1,Database!$A$1:$E$1,),)=0,#N/A,VLOOKUP(Table73[[#This Row],[Date]],Database!$A:$E,MATCH($B$1,Database!$A$1:$E$1,),))</f>
        <v/>
      </c>
      <c r="C3443">
        <f>IF(VLOOKUP(Table73[[#This Row],[Date]],Database!$A:$C,MATCH($C$1,Database!$A$1:$C$1,),)=0,#N/A,VLOOKUP(Table73[[#This Row],[Date]],Database!$A:$C,MATCH($C$1,Database!$A$1:$C$1,),))</f>
        <v/>
      </c>
      <c r="D3443">
        <f>IFERROR(Table73[[#This Row],[United States 10y]]-Table73[[#This Row],[United States 2y]],#N/A)</f>
        <v/>
      </c>
    </row>
    <row r="3444">
      <c r="A3444" s="6">
        <f>Database!A3443</f>
        <v/>
      </c>
      <c r="B3444">
        <f>IF(VLOOKUP(Table73[[#This Row],[Date]],Database!$A:$E,MATCH($B$1,Database!$A$1:$E$1,),)=0,#N/A,VLOOKUP(Table73[[#This Row],[Date]],Database!$A:$E,MATCH($B$1,Database!$A$1:$E$1,),))</f>
        <v/>
      </c>
      <c r="C3444">
        <f>IF(VLOOKUP(Table73[[#This Row],[Date]],Database!$A:$C,MATCH($C$1,Database!$A$1:$C$1,),)=0,#N/A,VLOOKUP(Table73[[#This Row],[Date]],Database!$A:$C,MATCH($C$1,Database!$A$1:$C$1,),))</f>
        <v/>
      </c>
      <c r="D3444">
        <f>IFERROR(Table73[[#This Row],[United States 10y]]-Table73[[#This Row],[United States 2y]],#N/A)</f>
        <v/>
      </c>
    </row>
    <row r="3445">
      <c r="A3445" s="6">
        <f>Database!A3444</f>
        <v/>
      </c>
      <c r="B3445">
        <f>IF(VLOOKUP(Table73[[#This Row],[Date]],Database!$A:$E,MATCH($B$1,Database!$A$1:$E$1,),)=0,#N/A,VLOOKUP(Table73[[#This Row],[Date]],Database!$A:$E,MATCH($B$1,Database!$A$1:$E$1,),))</f>
        <v/>
      </c>
      <c r="C3445">
        <f>IF(VLOOKUP(Table73[[#This Row],[Date]],Database!$A:$C,MATCH($C$1,Database!$A$1:$C$1,),)=0,#N/A,VLOOKUP(Table73[[#This Row],[Date]],Database!$A:$C,MATCH($C$1,Database!$A$1:$C$1,),))</f>
        <v/>
      </c>
      <c r="D3445">
        <f>IFERROR(Table73[[#This Row],[United States 10y]]-Table73[[#This Row],[United States 2y]],#N/A)</f>
        <v/>
      </c>
    </row>
    <row r="3446">
      <c r="A3446" s="6">
        <f>Database!A3445</f>
        <v/>
      </c>
      <c r="B3446">
        <f>IF(VLOOKUP(Table73[[#This Row],[Date]],Database!$A:$E,MATCH($B$1,Database!$A$1:$E$1,),)=0,#N/A,VLOOKUP(Table73[[#This Row],[Date]],Database!$A:$E,MATCH($B$1,Database!$A$1:$E$1,),))</f>
        <v/>
      </c>
      <c r="C3446">
        <f>IF(VLOOKUP(Table73[[#This Row],[Date]],Database!$A:$C,MATCH($C$1,Database!$A$1:$C$1,),)=0,#N/A,VLOOKUP(Table73[[#This Row],[Date]],Database!$A:$C,MATCH($C$1,Database!$A$1:$C$1,),))</f>
        <v/>
      </c>
      <c r="D3446">
        <f>IFERROR(Table73[[#This Row],[United States 10y]]-Table73[[#This Row],[United States 2y]],#N/A)</f>
        <v/>
      </c>
    </row>
    <row r="3447">
      <c r="A3447" s="6">
        <f>Database!A3446</f>
        <v/>
      </c>
      <c r="B3447">
        <f>IF(VLOOKUP(Table73[[#This Row],[Date]],Database!$A:$E,MATCH($B$1,Database!$A$1:$E$1,),)=0,#N/A,VLOOKUP(Table73[[#This Row],[Date]],Database!$A:$E,MATCH($B$1,Database!$A$1:$E$1,),))</f>
        <v/>
      </c>
      <c r="C3447">
        <f>IF(VLOOKUP(Table73[[#This Row],[Date]],Database!$A:$C,MATCH($C$1,Database!$A$1:$C$1,),)=0,#N/A,VLOOKUP(Table73[[#This Row],[Date]],Database!$A:$C,MATCH($C$1,Database!$A$1:$C$1,),))</f>
        <v/>
      </c>
      <c r="D3447">
        <f>IFERROR(Table73[[#This Row],[United States 10y]]-Table73[[#This Row],[United States 2y]],#N/A)</f>
        <v/>
      </c>
    </row>
    <row r="3448">
      <c r="A3448" s="6">
        <f>Database!A3447</f>
        <v/>
      </c>
      <c r="B3448">
        <f>IF(VLOOKUP(Table73[[#This Row],[Date]],Database!$A:$E,MATCH($B$1,Database!$A$1:$E$1,),)=0,#N/A,VLOOKUP(Table73[[#This Row],[Date]],Database!$A:$E,MATCH($B$1,Database!$A$1:$E$1,),))</f>
        <v/>
      </c>
      <c r="C3448">
        <f>IF(VLOOKUP(Table73[[#This Row],[Date]],Database!$A:$C,MATCH($C$1,Database!$A$1:$C$1,),)=0,#N/A,VLOOKUP(Table73[[#This Row],[Date]],Database!$A:$C,MATCH($C$1,Database!$A$1:$C$1,),))</f>
        <v/>
      </c>
      <c r="D3448">
        <f>IFERROR(Table73[[#This Row],[United States 10y]]-Table73[[#This Row],[United States 2y]],#N/A)</f>
        <v/>
      </c>
    </row>
    <row r="3449">
      <c r="A3449" s="6">
        <f>Database!A3448</f>
        <v/>
      </c>
      <c r="B3449">
        <f>IF(VLOOKUP(Table73[[#This Row],[Date]],Database!$A:$E,MATCH($B$1,Database!$A$1:$E$1,),)=0,#N/A,VLOOKUP(Table73[[#This Row],[Date]],Database!$A:$E,MATCH($B$1,Database!$A$1:$E$1,),))</f>
        <v/>
      </c>
      <c r="C3449">
        <f>IF(VLOOKUP(Table73[[#This Row],[Date]],Database!$A:$C,MATCH($C$1,Database!$A$1:$C$1,),)=0,#N/A,VLOOKUP(Table73[[#This Row],[Date]],Database!$A:$C,MATCH($C$1,Database!$A$1:$C$1,),))</f>
        <v/>
      </c>
      <c r="D3449">
        <f>IFERROR(Table73[[#This Row],[United States 10y]]-Table73[[#This Row],[United States 2y]],#N/A)</f>
        <v/>
      </c>
    </row>
    <row r="3450">
      <c r="A3450" s="6">
        <f>Database!A3449</f>
        <v/>
      </c>
      <c r="B3450">
        <f>IF(VLOOKUP(Table73[[#This Row],[Date]],Database!$A:$E,MATCH($B$1,Database!$A$1:$E$1,),)=0,#N/A,VLOOKUP(Table73[[#This Row],[Date]],Database!$A:$E,MATCH($B$1,Database!$A$1:$E$1,),))</f>
        <v/>
      </c>
      <c r="C3450">
        <f>IF(VLOOKUP(Table73[[#This Row],[Date]],Database!$A:$C,MATCH($C$1,Database!$A$1:$C$1,),)=0,#N/A,VLOOKUP(Table73[[#This Row],[Date]],Database!$A:$C,MATCH($C$1,Database!$A$1:$C$1,),))</f>
        <v/>
      </c>
      <c r="D3450">
        <f>IFERROR(Table73[[#This Row],[United States 10y]]-Table73[[#This Row],[United States 2y]],#N/A)</f>
        <v/>
      </c>
    </row>
    <row r="3451">
      <c r="A3451" s="6">
        <f>Database!A3450</f>
        <v/>
      </c>
      <c r="B3451">
        <f>IF(VLOOKUP(Table73[[#This Row],[Date]],Database!$A:$E,MATCH($B$1,Database!$A$1:$E$1,),)=0,#N/A,VLOOKUP(Table73[[#This Row],[Date]],Database!$A:$E,MATCH($B$1,Database!$A$1:$E$1,),))</f>
        <v/>
      </c>
      <c r="C3451">
        <f>IF(VLOOKUP(Table73[[#This Row],[Date]],Database!$A:$C,MATCH($C$1,Database!$A$1:$C$1,),)=0,#N/A,VLOOKUP(Table73[[#This Row],[Date]],Database!$A:$C,MATCH($C$1,Database!$A$1:$C$1,),))</f>
        <v/>
      </c>
      <c r="D3451">
        <f>IFERROR(Table73[[#This Row],[United States 10y]]-Table73[[#This Row],[United States 2y]],#N/A)</f>
        <v/>
      </c>
    </row>
    <row r="3452">
      <c r="A3452" s="6">
        <f>Database!A3451</f>
        <v/>
      </c>
      <c r="B3452">
        <f>IF(VLOOKUP(Table73[[#This Row],[Date]],Database!$A:$E,MATCH($B$1,Database!$A$1:$E$1,),)=0,#N/A,VLOOKUP(Table73[[#This Row],[Date]],Database!$A:$E,MATCH($B$1,Database!$A$1:$E$1,),))</f>
        <v/>
      </c>
      <c r="C3452">
        <f>IF(VLOOKUP(Table73[[#This Row],[Date]],Database!$A:$C,MATCH($C$1,Database!$A$1:$C$1,),)=0,#N/A,VLOOKUP(Table73[[#This Row],[Date]],Database!$A:$C,MATCH($C$1,Database!$A$1:$C$1,),))</f>
        <v/>
      </c>
      <c r="D3452">
        <f>IFERROR(Table73[[#This Row],[United States 10y]]-Table73[[#This Row],[United States 2y]],#N/A)</f>
        <v/>
      </c>
    </row>
    <row r="3453">
      <c r="A3453" s="6">
        <f>Database!A3452</f>
        <v/>
      </c>
      <c r="B3453">
        <f>IF(VLOOKUP(Table73[[#This Row],[Date]],Database!$A:$E,MATCH($B$1,Database!$A$1:$E$1,),)=0,#N/A,VLOOKUP(Table73[[#This Row],[Date]],Database!$A:$E,MATCH($B$1,Database!$A$1:$E$1,),))</f>
        <v/>
      </c>
      <c r="C3453">
        <f>IF(VLOOKUP(Table73[[#This Row],[Date]],Database!$A:$C,MATCH($C$1,Database!$A$1:$C$1,),)=0,#N/A,VLOOKUP(Table73[[#This Row],[Date]],Database!$A:$C,MATCH($C$1,Database!$A$1:$C$1,),))</f>
        <v/>
      </c>
      <c r="D3453">
        <f>IFERROR(Table73[[#This Row],[United States 10y]]-Table73[[#This Row],[United States 2y]],#N/A)</f>
        <v/>
      </c>
    </row>
    <row r="3454">
      <c r="A3454" s="6">
        <f>Database!A3453</f>
        <v/>
      </c>
      <c r="B3454">
        <f>IF(VLOOKUP(Table73[[#This Row],[Date]],Database!$A:$E,MATCH($B$1,Database!$A$1:$E$1,),)=0,#N/A,VLOOKUP(Table73[[#This Row],[Date]],Database!$A:$E,MATCH($B$1,Database!$A$1:$E$1,),))</f>
        <v/>
      </c>
      <c r="C3454">
        <f>IF(VLOOKUP(Table73[[#This Row],[Date]],Database!$A:$C,MATCH($C$1,Database!$A$1:$C$1,),)=0,#N/A,VLOOKUP(Table73[[#This Row],[Date]],Database!$A:$C,MATCH($C$1,Database!$A$1:$C$1,),))</f>
        <v/>
      </c>
      <c r="D3454">
        <f>IFERROR(Table73[[#This Row],[United States 10y]]-Table73[[#This Row],[United States 2y]],#N/A)</f>
        <v/>
      </c>
    </row>
    <row r="3455">
      <c r="A3455" s="6">
        <f>Database!A3454</f>
        <v/>
      </c>
      <c r="B3455">
        <f>IF(VLOOKUP(Table73[[#This Row],[Date]],Database!$A:$E,MATCH($B$1,Database!$A$1:$E$1,),)=0,#N/A,VLOOKUP(Table73[[#This Row],[Date]],Database!$A:$E,MATCH($B$1,Database!$A$1:$E$1,),))</f>
        <v/>
      </c>
      <c r="C3455">
        <f>IF(VLOOKUP(Table73[[#This Row],[Date]],Database!$A:$C,MATCH($C$1,Database!$A$1:$C$1,),)=0,#N/A,VLOOKUP(Table73[[#This Row],[Date]],Database!$A:$C,MATCH($C$1,Database!$A$1:$C$1,),))</f>
        <v/>
      </c>
      <c r="D3455">
        <f>IFERROR(Table73[[#This Row],[United States 10y]]-Table73[[#This Row],[United States 2y]],#N/A)</f>
        <v/>
      </c>
    </row>
    <row r="3456">
      <c r="A3456" s="6">
        <f>Database!A3455</f>
        <v/>
      </c>
      <c r="B3456">
        <f>IF(VLOOKUP(Table73[[#This Row],[Date]],Database!$A:$E,MATCH($B$1,Database!$A$1:$E$1,),)=0,#N/A,VLOOKUP(Table73[[#This Row],[Date]],Database!$A:$E,MATCH($B$1,Database!$A$1:$E$1,),))</f>
        <v/>
      </c>
      <c r="C3456">
        <f>IF(VLOOKUP(Table73[[#This Row],[Date]],Database!$A:$C,MATCH($C$1,Database!$A$1:$C$1,),)=0,#N/A,VLOOKUP(Table73[[#This Row],[Date]],Database!$A:$C,MATCH($C$1,Database!$A$1:$C$1,),))</f>
        <v/>
      </c>
      <c r="D3456">
        <f>IFERROR(Table73[[#This Row],[United States 10y]]-Table73[[#This Row],[United States 2y]],#N/A)</f>
        <v/>
      </c>
    </row>
    <row r="3457">
      <c r="A3457" s="6">
        <f>Database!A3456</f>
        <v/>
      </c>
      <c r="B3457">
        <f>IF(VLOOKUP(Table73[[#This Row],[Date]],Database!$A:$E,MATCH($B$1,Database!$A$1:$E$1,),)=0,#N/A,VLOOKUP(Table73[[#This Row],[Date]],Database!$A:$E,MATCH($B$1,Database!$A$1:$E$1,),))</f>
        <v/>
      </c>
      <c r="C3457">
        <f>IF(VLOOKUP(Table73[[#This Row],[Date]],Database!$A:$C,MATCH($C$1,Database!$A$1:$C$1,),)=0,#N/A,VLOOKUP(Table73[[#This Row],[Date]],Database!$A:$C,MATCH($C$1,Database!$A$1:$C$1,),))</f>
        <v/>
      </c>
      <c r="D3457">
        <f>IFERROR(Table73[[#This Row],[United States 10y]]-Table73[[#This Row],[United States 2y]],#N/A)</f>
        <v/>
      </c>
    </row>
    <row r="3458">
      <c r="A3458" s="6">
        <f>Database!A3457</f>
        <v/>
      </c>
      <c r="B3458">
        <f>IF(VLOOKUP(Table73[[#This Row],[Date]],Database!$A:$E,MATCH($B$1,Database!$A$1:$E$1,),)=0,#N/A,VLOOKUP(Table73[[#This Row],[Date]],Database!$A:$E,MATCH($B$1,Database!$A$1:$E$1,),))</f>
        <v/>
      </c>
      <c r="C3458">
        <f>IF(VLOOKUP(Table73[[#This Row],[Date]],Database!$A:$C,MATCH($C$1,Database!$A$1:$C$1,),)=0,#N/A,VLOOKUP(Table73[[#This Row],[Date]],Database!$A:$C,MATCH($C$1,Database!$A$1:$C$1,),))</f>
        <v/>
      </c>
      <c r="D3458">
        <f>IFERROR(Table73[[#This Row],[United States 10y]]-Table73[[#This Row],[United States 2y]],#N/A)</f>
        <v/>
      </c>
    </row>
    <row r="3459">
      <c r="A3459" s="6">
        <f>Database!A3458</f>
        <v/>
      </c>
      <c r="B3459">
        <f>IF(VLOOKUP(Table73[[#This Row],[Date]],Database!$A:$E,MATCH($B$1,Database!$A$1:$E$1,),)=0,#N/A,VLOOKUP(Table73[[#This Row],[Date]],Database!$A:$E,MATCH($B$1,Database!$A$1:$E$1,),))</f>
        <v/>
      </c>
      <c r="C3459">
        <f>IF(VLOOKUP(Table73[[#This Row],[Date]],Database!$A:$C,MATCH($C$1,Database!$A$1:$C$1,),)=0,#N/A,VLOOKUP(Table73[[#This Row],[Date]],Database!$A:$C,MATCH($C$1,Database!$A$1:$C$1,),))</f>
        <v/>
      </c>
      <c r="D3459">
        <f>IFERROR(Table73[[#This Row],[United States 10y]]-Table73[[#This Row],[United States 2y]],#N/A)</f>
        <v/>
      </c>
    </row>
    <row r="3460">
      <c r="A3460" s="6">
        <f>Database!A3459</f>
        <v/>
      </c>
      <c r="B3460">
        <f>IF(VLOOKUP(Table73[[#This Row],[Date]],Database!$A:$E,MATCH($B$1,Database!$A$1:$E$1,),)=0,#N/A,VLOOKUP(Table73[[#This Row],[Date]],Database!$A:$E,MATCH($B$1,Database!$A$1:$E$1,),))</f>
        <v/>
      </c>
      <c r="C3460">
        <f>IF(VLOOKUP(Table73[[#This Row],[Date]],Database!$A:$C,MATCH($C$1,Database!$A$1:$C$1,),)=0,#N/A,VLOOKUP(Table73[[#This Row],[Date]],Database!$A:$C,MATCH($C$1,Database!$A$1:$C$1,),))</f>
        <v/>
      </c>
      <c r="D3460">
        <f>IFERROR(Table73[[#This Row],[United States 10y]]-Table73[[#This Row],[United States 2y]],#N/A)</f>
        <v/>
      </c>
    </row>
    <row r="3461">
      <c r="A3461" s="6">
        <f>Database!A3460</f>
        <v/>
      </c>
      <c r="B3461">
        <f>IF(VLOOKUP(Table73[[#This Row],[Date]],Database!$A:$E,MATCH($B$1,Database!$A$1:$E$1,),)=0,#N/A,VLOOKUP(Table73[[#This Row],[Date]],Database!$A:$E,MATCH($B$1,Database!$A$1:$E$1,),))</f>
        <v/>
      </c>
      <c r="C3461">
        <f>IF(VLOOKUP(Table73[[#This Row],[Date]],Database!$A:$C,MATCH($C$1,Database!$A$1:$C$1,),)=0,#N/A,VLOOKUP(Table73[[#This Row],[Date]],Database!$A:$C,MATCH($C$1,Database!$A$1:$C$1,),))</f>
        <v/>
      </c>
      <c r="D3461">
        <f>IFERROR(Table73[[#This Row],[United States 10y]]-Table73[[#This Row],[United States 2y]],#N/A)</f>
        <v/>
      </c>
    </row>
    <row r="3462">
      <c r="A3462" s="6">
        <f>Database!A3461</f>
        <v/>
      </c>
      <c r="B3462">
        <f>IF(VLOOKUP(Table73[[#This Row],[Date]],Database!$A:$E,MATCH($B$1,Database!$A$1:$E$1,),)=0,#N/A,VLOOKUP(Table73[[#This Row],[Date]],Database!$A:$E,MATCH($B$1,Database!$A$1:$E$1,),))</f>
        <v/>
      </c>
      <c r="C3462">
        <f>IF(VLOOKUP(Table73[[#This Row],[Date]],Database!$A:$C,MATCH($C$1,Database!$A$1:$C$1,),)=0,#N/A,VLOOKUP(Table73[[#This Row],[Date]],Database!$A:$C,MATCH($C$1,Database!$A$1:$C$1,),))</f>
        <v/>
      </c>
      <c r="D3462">
        <f>IFERROR(Table73[[#This Row],[United States 10y]]-Table73[[#This Row],[United States 2y]],#N/A)</f>
        <v/>
      </c>
    </row>
    <row r="3463">
      <c r="A3463" s="6">
        <f>Database!A3462</f>
        <v/>
      </c>
      <c r="B3463">
        <f>IF(VLOOKUP(Table73[[#This Row],[Date]],Database!$A:$E,MATCH($B$1,Database!$A$1:$E$1,),)=0,#N/A,VLOOKUP(Table73[[#This Row],[Date]],Database!$A:$E,MATCH($B$1,Database!$A$1:$E$1,),))</f>
        <v/>
      </c>
      <c r="C3463">
        <f>IF(VLOOKUP(Table73[[#This Row],[Date]],Database!$A:$C,MATCH($C$1,Database!$A$1:$C$1,),)=0,#N/A,VLOOKUP(Table73[[#This Row],[Date]],Database!$A:$C,MATCH($C$1,Database!$A$1:$C$1,),))</f>
        <v/>
      </c>
      <c r="D3463">
        <f>IFERROR(Table73[[#This Row],[United States 10y]]-Table73[[#This Row],[United States 2y]],#N/A)</f>
        <v/>
      </c>
    </row>
    <row r="3464">
      <c r="A3464" s="6">
        <f>Database!A3463</f>
        <v/>
      </c>
      <c r="B3464">
        <f>IF(VLOOKUP(Table73[[#This Row],[Date]],Database!$A:$E,MATCH($B$1,Database!$A$1:$E$1,),)=0,#N/A,VLOOKUP(Table73[[#This Row],[Date]],Database!$A:$E,MATCH($B$1,Database!$A$1:$E$1,),))</f>
        <v/>
      </c>
      <c r="C3464">
        <f>IF(VLOOKUP(Table73[[#This Row],[Date]],Database!$A:$C,MATCH($C$1,Database!$A$1:$C$1,),)=0,#N/A,VLOOKUP(Table73[[#This Row],[Date]],Database!$A:$C,MATCH($C$1,Database!$A$1:$C$1,),))</f>
        <v/>
      </c>
      <c r="D3464">
        <f>IFERROR(Table73[[#This Row],[United States 10y]]-Table73[[#This Row],[United States 2y]],#N/A)</f>
        <v/>
      </c>
    </row>
    <row r="3465">
      <c r="A3465" s="6">
        <f>Database!A3464</f>
        <v/>
      </c>
      <c r="B3465">
        <f>IF(VLOOKUP(Table73[[#This Row],[Date]],Database!$A:$E,MATCH($B$1,Database!$A$1:$E$1,),)=0,#N/A,VLOOKUP(Table73[[#This Row],[Date]],Database!$A:$E,MATCH($B$1,Database!$A$1:$E$1,),))</f>
        <v/>
      </c>
      <c r="C3465">
        <f>IF(VLOOKUP(Table73[[#This Row],[Date]],Database!$A:$C,MATCH($C$1,Database!$A$1:$C$1,),)=0,#N/A,VLOOKUP(Table73[[#This Row],[Date]],Database!$A:$C,MATCH($C$1,Database!$A$1:$C$1,),))</f>
        <v/>
      </c>
      <c r="D3465">
        <f>IFERROR(Table73[[#This Row],[United States 10y]]-Table73[[#This Row],[United States 2y]],#N/A)</f>
        <v/>
      </c>
    </row>
    <row r="3466">
      <c r="A3466" s="6">
        <f>Database!A3465</f>
        <v/>
      </c>
      <c r="B3466">
        <f>IF(VLOOKUP(Table73[[#This Row],[Date]],Database!$A:$E,MATCH($B$1,Database!$A$1:$E$1,),)=0,#N/A,VLOOKUP(Table73[[#This Row],[Date]],Database!$A:$E,MATCH($B$1,Database!$A$1:$E$1,),))</f>
        <v/>
      </c>
      <c r="C3466">
        <f>IF(VLOOKUP(Table73[[#This Row],[Date]],Database!$A:$C,MATCH($C$1,Database!$A$1:$C$1,),)=0,#N/A,VLOOKUP(Table73[[#This Row],[Date]],Database!$A:$C,MATCH($C$1,Database!$A$1:$C$1,),))</f>
        <v/>
      </c>
      <c r="D3466">
        <f>IFERROR(Table73[[#This Row],[United States 10y]]-Table73[[#This Row],[United States 2y]],#N/A)</f>
        <v/>
      </c>
    </row>
    <row r="3467">
      <c r="A3467" s="6">
        <f>Database!A3466</f>
        <v/>
      </c>
      <c r="B3467">
        <f>IF(VLOOKUP(Table73[[#This Row],[Date]],Database!$A:$E,MATCH($B$1,Database!$A$1:$E$1,),)=0,#N/A,VLOOKUP(Table73[[#This Row],[Date]],Database!$A:$E,MATCH($B$1,Database!$A$1:$E$1,),))</f>
        <v/>
      </c>
      <c r="C3467">
        <f>IF(VLOOKUP(Table73[[#This Row],[Date]],Database!$A:$C,MATCH($C$1,Database!$A$1:$C$1,),)=0,#N/A,VLOOKUP(Table73[[#This Row],[Date]],Database!$A:$C,MATCH($C$1,Database!$A$1:$C$1,),))</f>
        <v/>
      </c>
      <c r="D3467">
        <f>IFERROR(Table73[[#This Row],[United States 10y]]-Table73[[#This Row],[United States 2y]],#N/A)</f>
        <v/>
      </c>
    </row>
    <row r="3468">
      <c r="A3468" s="6">
        <f>Database!A3467</f>
        <v/>
      </c>
      <c r="B3468">
        <f>IF(VLOOKUP(Table73[[#This Row],[Date]],Database!$A:$E,MATCH($B$1,Database!$A$1:$E$1,),)=0,#N/A,VLOOKUP(Table73[[#This Row],[Date]],Database!$A:$E,MATCH($B$1,Database!$A$1:$E$1,),))</f>
        <v/>
      </c>
      <c r="C3468">
        <f>IF(VLOOKUP(Table73[[#This Row],[Date]],Database!$A:$C,MATCH($C$1,Database!$A$1:$C$1,),)=0,#N/A,VLOOKUP(Table73[[#This Row],[Date]],Database!$A:$C,MATCH($C$1,Database!$A$1:$C$1,),))</f>
        <v/>
      </c>
      <c r="D3468">
        <f>IFERROR(Table73[[#This Row],[United States 10y]]-Table73[[#This Row],[United States 2y]],#N/A)</f>
        <v/>
      </c>
    </row>
    <row r="3469">
      <c r="A3469" s="6">
        <f>Database!A3468</f>
        <v/>
      </c>
      <c r="B3469">
        <f>IF(VLOOKUP(Table73[[#This Row],[Date]],Database!$A:$E,MATCH($B$1,Database!$A$1:$E$1,),)=0,#N/A,VLOOKUP(Table73[[#This Row],[Date]],Database!$A:$E,MATCH($B$1,Database!$A$1:$E$1,),))</f>
        <v/>
      </c>
      <c r="C3469">
        <f>IF(VLOOKUP(Table73[[#This Row],[Date]],Database!$A:$C,MATCH($C$1,Database!$A$1:$C$1,),)=0,#N/A,VLOOKUP(Table73[[#This Row],[Date]],Database!$A:$C,MATCH($C$1,Database!$A$1:$C$1,),))</f>
        <v/>
      </c>
      <c r="D3469">
        <f>IFERROR(Table73[[#This Row],[United States 10y]]-Table73[[#This Row],[United States 2y]],#N/A)</f>
        <v/>
      </c>
    </row>
    <row r="3470">
      <c r="A3470" s="6">
        <f>Database!A3469</f>
        <v/>
      </c>
      <c r="B3470">
        <f>IF(VLOOKUP(Table73[[#This Row],[Date]],Database!$A:$E,MATCH($B$1,Database!$A$1:$E$1,),)=0,#N/A,VLOOKUP(Table73[[#This Row],[Date]],Database!$A:$E,MATCH($B$1,Database!$A$1:$E$1,),))</f>
        <v/>
      </c>
      <c r="C3470">
        <f>IF(VLOOKUP(Table73[[#This Row],[Date]],Database!$A:$C,MATCH($C$1,Database!$A$1:$C$1,),)=0,#N/A,VLOOKUP(Table73[[#This Row],[Date]],Database!$A:$C,MATCH($C$1,Database!$A$1:$C$1,),))</f>
        <v/>
      </c>
      <c r="D3470">
        <f>IFERROR(Table73[[#This Row],[United States 10y]]-Table73[[#This Row],[United States 2y]],#N/A)</f>
        <v/>
      </c>
    </row>
    <row r="3471">
      <c r="A3471" s="6">
        <f>Database!A3470</f>
        <v/>
      </c>
      <c r="B3471">
        <f>IF(VLOOKUP(Table73[[#This Row],[Date]],Database!$A:$E,MATCH($B$1,Database!$A$1:$E$1,),)=0,#N/A,VLOOKUP(Table73[[#This Row],[Date]],Database!$A:$E,MATCH($B$1,Database!$A$1:$E$1,),))</f>
        <v/>
      </c>
      <c r="C3471">
        <f>IF(VLOOKUP(Table73[[#This Row],[Date]],Database!$A:$C,MATCH($C$1,Database!$A$1:$C$1,),)=0,#N/A,VLOOKUP(Table73[[#This Row],[Date]],Database!$A:$C,MATCH($C$1,Database!$A$1:$C$1,),))</f>
        <v/>
      </c>
      <c r="D3471">
        <f>IFERROR(Table73[[#This Row],[United States 10y]]-Table73[[#This Row],[United States 2y]],#N/A)</f>
        <v/>
      </c>
    </row>
    <row r="3472">
      <c r="A3472" s="6">
        <f>Database!A3471</f>
        <v/>
      </c>
      <c r="B3472">
        <f>IF(VLOOKUP(Table73[[#This Row],[Date]],Database!$A:$E,MATCH($B$1,Database!$A$1:$E$1,),)=0,#N/A,VLOOKUP(Table73[[#This Row],[Date]],Database!$A:$E,MATCH($B$1,Database!$A$1:$E$1,),))</f>
        <v/>
      </c>
      <c r="C3472">
        <f>IF(VLOOKUP(Table73[[#This Row],[Date]],Database!$A:$C,MATCH($C$1,Database!$A$1:$C$1,),)=0,#N/A,VLOOKUP(Table73[[#This Row],[Date]],Database!$A:$C,MATCH($C$1,Database!$A$1:$C$1,),))</f>
        <v/>
      </c>
      <c r="D3472">
        <f>IFERROR(Table73[[#This Row],[United States 10y]]-Table73[[#This Row],[United States 2y]],#N/A)</f>
        <v/>
      </c>
    </row>
    <row r="3473">
      <c r="A3473" s="6">
        <f>Database!A3472</f>
        <v/>
      </c>
      <c r="B3473">
        <f>IF(VLOOKUP(Table73[[#This Row],[Date]],Database!$A:$E,MATCH($B$1,Database!$A$1:$E$1,),)=0,#N/A,VLOOKUP(Table73[[#This Row],[Date]],Database!$A:$E,MATCH($B$1,Database!$A$1:$E$1,),))</f>
        <v/>
      </c>
      <c r="C3473">
        <f>IF(VLOOKUP(Table73[[#This Row],[Date]],Database!$A:$C,MATCH($C$1,Database!$A$1:$C$1,),)=0,#N/A,VLOOKUP(Table73[[#This Row],[Date]],Database!$A:$C,MATCH($C$1,Database!$A$1:$C$1,),))</f>
        <v/>
      </c>
      <c r="D3473">
        <f>IFERROR(Table73[[#This Row],[United States 10y]]-Table73[[#This Row],[United States 2y]],#N/A)</f>
        <v/>
      </c>
    </row>
    <row r="3474">
      <c r="A3474" s="6">
        <f>Database!A3473</f>
        <v/>
      </c>
      <c r="B3474">
        <f>IF(VLOOKUP(Table73[[#This Row],[Date]],Database!$A:$E,MATCH($B$1,Database!$A$1:$E$1,),)=0,#N/A,VLOOKUP(Table73[[#This Row],[Date]],Database!$A:$E,MATCH($B$1,Database!$A$1:$E$1,),))</f>
        <v/>
      </c>
      <c r="C3474">
        <f>IF(VLOOKUP(Table73[[#This Row],[Date]],Database!$A:$C,MATCH($C$1,Database!$A$1:$C$1,),)=0,#N/A,VLOOKUP(Table73[[#This Row],[Date]],Database!$A:$C,MATCH($C$1,Database!$A$1:$C$1,),))</f>
        <v/>
      </c>
      <c r="D3474">
        <f>IFERROR(Table73[[#This Row],[United States 10y]]-Table73[[#This Row],[United States 2y]],#N/A)</f>
        <v/>
      </c>
    </row>
    <row r="3475">
      <c r="A3475" s="6">
        <f>Database!A3474</f>
        <v/>
      </c>
      <c r="B3475">
        <f>IF(VLOOKUP(Table73[[#This Row],[Date]],Database!$A:$E,MATCH($B$1,Database!$A$1:$E$1,),)=0,#N/A,VLOOKUP(Table73[[#This Row],[Date]],Database!$A:$E,MATCH($B$1,Database!$A$1:$E$1,),))</f>
        <v/>
      </c>
      <c r="C3475">
        <f>IF(VLOOKUP(Table73[[#This Row],[Date]],Database!$A:$C,MATCH($C$1,Database!$A$1:$C$1,),)=0,#N/A,VLOOKUP(Table73[[#This Row],[Date]],Database!$A:$C,MATCH($C$1,Database!$A$1:$C$1,),))</f>
        <v/>
      </c>
      <c r="D3475">
        <f>IFERROR(Table73[[#This Row],[United States 10y]]-Table73[[#This Row],[United States 2y]],#N/A)</f>
        <v/>
      </c>
    </row>
    <row r="3476">
      <c r="A3476" s="6">
        <f>Database!A3475</f>
        <v/>
      </c>
      <c r="B3476">
        <f>IF(VLOOKUP(Table73[[#This Row],[Date]],Database!$A:$E,MATCH($B$1,Database!$A$1:$E$1,),)=0,#N/A,VLOOKUP(Table73[[#This Row],[Date]],Database!$A:$E,MATCH($B$1,Database!$A$1:$E$1,),))</f>
        <v/>
      </c>
      <c r="C3476">
        <f>IF(VLOOKUP(Table73[[#This Row],[Date]],Database!$A:$C,MATCH($C$1,Database!$A$1:$C$1,),)=0,#N/A,VLOOKUP(Table73[[#This Row],[Date]],Database!$A:$C,MATCH($C$1,Database!$A$1:$C$1,),))</f>
        <v/>
      </c>
      <c r="D3476">
        <f>IFERROR(Table73[[#This Row],[United States 10y]]-Table73[[#This Row],[United States 2y]],#N/A)</f>
        <v/>
      </c>
    </row>
    <row r="3477">
      <c r="A3477" s="6">
        <f>Database!A3476</f>
        <v/>
      </c>
      <c r="B3477">
        <f>IF(VLOOKUP(Table73[[#This Row],[Date]],Database!$A:$E,MATCH($B$1,Database!$A$1:$E$1,),)=0,#N/A,VLOOKUP(Table73[[#This Row],[Date]],Database!$A:$E,MATCH($B$1,Database!$A$1:$E$1,),))</f>
        <v/>
      </c>
      <c r="C3477">
        <f>IF(VLOOKUP(Table73[[#This Row],[Date]],Database!$A:$C,MATCH($C$1,Database!$A$1:$C$1,),)=0,#N/A,VLOOKUP(Table73[[#This Row],[Date]],Database!$A:$C,MATCH($C$1,Database!$A$1:$C$1,),))</f>
        <v/>
      </c>
      <c r="D3477">
        <f>IFERROR(Table73[[#This Row],[United States 10y]]-Table73[[#This Row],[United States 2y]],#N/A)</f>
        <v/>
      </c>
    </row>
    <row r="3478">
      <c r="A3478" s="6">
        <f>Database!A3477</f>
        <v/>
      </c>
      <c r="B3478">
        <f>IF(VLOOKUP(Table73[[#This Row],[Date]],Database!$A:$E,MATCH($B$1,Database!$A$1:$E$1,),)=0,#N/A,VLOOKUP(Table73[[#This Row],[Date]],Database!$A:$E,MATCH($B$1,Database!$A$1:$E$1,),))</f>
        <v/>
      </c>
      <c r="C3478">
        <f>IF(VLOOKUP(Table73[[#This Row],[Date]],Database!$A:$C,MATCH($C$1,Database!$A$1:$C$1,),)=0,#N/A,VLOOKUP(Table73[[#This Row],[Date]],Database!$A:$C,MATCH($C$1,Database!$A$1:$C$1,),))</f>
        <v/>
      </c>
      <c r="D3478">
        <f>IFERROR(Table73[[#This Row],[United States 10y]]-Table73[[#This Row],[United States 2y]],#N/A)</f>
        <v/>
      </c>
    </row>
    <row r="3479">
      <c r="A3479" s="6">
        <f>Database!A3478</f>
        <v/>
      </c>
      <c r="B3479">
        <f>IF(VLOOKUP(Table73[[#This Row],[Date]],Database!$A:$E,MATCH($B$1,Database!$A$1:$E$1,),)=0,#N/A,VLOOKUP(Table73[[#This Row],[Date]],Database!$A:$E,MATCH($B$1,Database!$A$1:$E$1,),))</f>
        <v/>
      </c>
      <c r="C3479">
        <f>IF(VLOOKUP(Table73[[#This Row],[Date]],Database!$A:$C,MATCH($C$1,Database!$A$1:$C$1,),)=0,#N/A,VLOOKUP(Table73[[#This Row],[Date]],Database!$A:$C,MATCH($C$1,Database!$A$1:$C$1,),))</f>
        <v/>
      </c>
      <c r="D3479">
        <f>IFERROR(Table73[[#This Row],[United States 10y]]-Table73[[#This Row],[United States 2y]],#N/A)</f>
        <v/>
      </c>
    </row>
    <row r="3480">
      <c r="A3480" s="6">
        <f>Database!A3479</f>
        <v/>
      </c>
      <c r="B3480">
        <f>IF(VLOOKUP(Table73[[#This Row],[Date]],Database!$A:$E,MATCH($B$1,Database!$A$1:$E$1,),)=0,#N/A,VLOOKUP(Table73[[#This Row],[Date]],Database!$A:$E,MATCH($B$1,Database!$A$1:$E$1,),))</f>
        <v/>
      </c>
      <c r="C3480">
        <f>IF(VLOOKUP(Table73[[#This Row],[Date]],Database!$A:$C,MATCH($C$1,Database!$A$1:$C$1,),)=0,#N/A,VLOOKUP(Table73[[#This Row],[Date]],Database!$A:$C,MATCH($C$1,Database!$A$1:$C$1,),))</f>
        <v/>
      </c>
      <c r="D3480">
        <f>IFERROR(Table73[[#This Row],[United States 10y]]-Table73[[#This Row],[United States 2y]],#N/A)</f>
        <v/>
      </c>
    </row>
    <row r="3481">
      <c r="A3481" s="6">
        <f>Database!A3480</f>
        <v/>
      </c>
      <c r="B3481">
        <f>IF(VLOOKUP(Table73[[#This Row],[Date]],Database!$A:$E,MATCH($B$1,Database!$A$1:$E$1,),)=0,#N/A,VLOOKUP(Table73[[#This Row],[Date]],Database!$A:$E,MATCH($B$1,Database!$A$1:$E$1,),))</f>
        <v/>
      </c>
      <c r="C3481">
        <f>IF(VLOOKUP(Table73[[#This Row],[Date]],Database!$A:$C,MATCH($C$1,Database!$A$1:$C$1,),)=0,#N/A,VLOOKUP(Table73[[#This Row],[Date]],Database!$A:$C,MATCH($C$1,Database!$A$1:$C$1,),))</f>
        <v/>
      </c>
      <c r="D3481">
        <f>IFERROR(Table73[[#This Row],[United States 10y]]-Table73[[#This Row],[United States 2y]],#N/A)</f>
        <v/>
      </c>
    </row>
    <row r="3482">
      <c r="A3482" s="6">
        <f>Database!A3481</f>
        <v/>
      </c>
      <c r="B3482">
        <f>IF(VLOOKUP(Table73[[#This Row],[Date]],Database!$A:$E,MATCH($B$1,Database!$A$1:$E$1,),)=0,#N/A,VLOOKUP(Table73[[#This Row],[Date]],Database!$A:$E,MATCH($B$1,Database!$A$1:$E$1,),))</f>
        <v/>
      </c>
      <c r="C3482">
        <f>IF(VLOOKUP(Table73[[#This Row],[Date]],Database!$A:$C,MATCH($C$1,Database!$A$1:$C$1,),)=0,#N/A,VLOOKUP(Table73[[#This Row],[Date]],Database!$A:$C,MATCH($C$1,Database!$A$1:$C$1,),))</f>
        <v/>
      </c>
      <c r="D3482">
        <f>IFERROR(Table73[[#This Row],[United States 10y]]-Table73[[#This Row],[United States 2y]],#N/A)</f>
        <v/>
      </c>
    </row>
    <row r="3483">
      <c r="A3483" s="6">
        <f>Database!A3482</f>
        <v/>
      </c>
      <c r="B3483">
        <f>IF(VLOOKUP(Table73[[#This Row],[Date]],Database!$A:$E,MATCH($B$1,Database!$A$1:$E$1,),)=0,#N/A,VLOOKUP(Table73[[#This Row],[Date]],Database!$A:$E,MATCH($B$1,Database!$A$1:$E$1,),))</f>
        <v/>
      </c>
      <c r="C3483">
        <f>IF(VLOOKUP(Table73[[#This Row],[Date]],Database!$A:$C,MATCH($C$1,Database!$A$1:$C$1,),)=0,#N/A,VLOOKUP(Table73[[#This Row],[Date]],Database!$A:$C,MATCH($C$1,Database!$A$1:$C$1,),))</f>
        <v/>
      </c>
      <c r="D3483">
        <f>IFERROR(Table73[[#This Row],[United States 10y]]-Table73[[#This Row],[United States 2y]],#N/A)</f>
        <v/>
      </c>
    </row>
    <row r="3484">
      <c r="A3484" s="6">
        <f>Database!A3483</f>
        <v/>
      </c>
      <c r="B3484">
        <f>IF(VLOOKUP(Table73[[#This Row],[Date]],Database!$A:$E,MATCH($B$1,Database!$A$1:$E$1,),)=0,#N/A,VLOOKUP(Table73[[#This Row],[Date]],Database!$A:$E,MATCH($B$1,Database!$A$1:$E$1,),))</f>
        <v/>
      </c>
      <c r="C3484">
        <f>IF(VLOOKUP(Table73[[#This Row],[Date]],Database!$A:$C,MATCH($C$1,Database!$A$1:$C$1,),)=0,#N/A,VLOOKUP(Table73[[#This Row],[Date]],Database!$A:$C,MATCH($C$1,Database!$A$1:$C$1,),))</f>
        <v/>
      </c>
      <c r="D3484">
        <f>IFERROR(Table73[[#This Row],[United States 10y]]-Table73[[#This Row],[United States 2y]],#N/A)</f>
        <v/>
      </c>
    </row>
    <row r="3485">
      <c r="A3485" s="6">
        <f>Database!A3484</f>
        <v/>
      </c>
      <c r="B3485">
        <f>IF(VLOOKUP(Table73[[#This Row],[Date]],Database!$A:$E,MATCH($B$1,Database!$A$1:$E$1,),)=0,#N/A,VLOOKUP(Table73[[#This Row],[Date]],Database!$A:$E,MATCH($B$1,Database!$A$1:$E$1,),))</f>
        <v/>
      </c>
      <c r="C3485">
        <f>IF(VLOOKUP(Table73[[#This Row],[Date]],Database!$A:$C,MATCH($C$1,Database!$A$1:$C$1,),)=0,#N/A,VLOOKUP(Table73[[#This Row],[Date]],Database!$A:$C,MATCH($C$1,Database!$A$1:$C$1,),))</f>
        <v/>
      </c>
      <c r="D3485">
        <f>IFERROR(Table73[[#This Row],[United States 10y]]-Table73[[#This Row],[United States 2y]],#N/A)</f>
        <v/>
      </c>
    </row>
    <row r="3486">
      <c r="A3486" s="6">
        <f>Database!A3485</f>
        <v/>
      </c>
      <c r="B3486">
        <f>IF(VLOOKUP(Table73[[#This Row],[Date]],Database!$A:$E,MATCH($B$1,Database!$A$1:$E$1,),)=0,#N/A,VLOOKUP(Table73[[#This Row],[Date]],Database!$A:$E,MATCH($B$1,Database!$A$1:$E$1,),))</f>
        <v/>
      </c>
      <c r="C3486">
        <f>IF(VLOOKUP(Table73[[#This Row],[Date]],Database!$A:$C,MATCH($C$1,Database!$A$1:$C$1,),)=0,#N/A,VLOOKUP(Table73[[#This Row],[Date]],Database!$A:$C,MATCH($C$1,Database!$A$1:$C$1,),))</f>
        <v/>
      </c>
      <c r="D3486">
        <f>IFERROR(Table73[[#This Row],[United States 10y]]-Table73[[#This Row],[United States 2y]],#N/A)</f>
        <v/>
      </c>
    </row>
    <row r="3487">
      <c r="A3487" s="6">
        <f>Database!A3486</f>
        <v/>
      </c>
      <c r="B3487">
        <f>IF(VLOOKUP(Table73[[#This Row],[Date]],Database!$A:$E,MATCH($B$1,Database!$A$1:$E$1,),)=0,#N/A,VLOOKUP(Table73[[#This Row],[Date]],Database!$A:$E,MATCH($B$1,Database!$A$1:$E$1,),))</f>
        <v/>
      </c>
      <c r="C3487">
        <f>IF(VLOOKUP(Table73[[#This Row],[Date]],Database!$A:$C,MATCH($C$1,Database!$A$1:$C$1,),)=0,#N/A,VLOOKUP(Table73[[#This Row],[Date]],Database!$A:$C,MATCH($C$1,Database!$A$1:$C$1,),))</f>
        <v/>
      </c>
      <c r="D3487">
        <f>IFERROR(Table73[[#This Row],[United States 10y]]-Table73[[#This Row],[United States 2y]],#N/A)</f>
        <v/>
      </c>
    </row>
    <row r="3488">
      <c r="A3488" s="6">
        <f>Database!A3487</f>
        <v/>
      </c>
      <c r="B3488">
        <f>IF(VLOOKUP(Table73[[#This Row],[Date]],Database!$A:$E,MATCH($B$1,Database!$A$1:$E$1,),)=0,#N/A,VLOOKUP(Table73[[#This Row],[Date]],Database!$A:$E,MATCH($B$1,Database!$A$1:$E$1,),))</f>
        <v/>
      </c>
      <c r="C3488">
        <f>IF(VLOOKUP(Table73[[#This Row],[Date]],Database!$A:$C,MATCH($C$1,Database!$A$1:$C$1,),)=0,#N/A,VLOOKUP(Table73[[#This Row],[Date]],Database!$A:$C,MATCH($C$1,Database!$A$1:$C$1,),))</f>
        <v/>
      </c>
      <c r="D3488">
        <f>IFERROR(Table73[[#This Row],[United States 10y]]-Table73[[#This Row],[United States 2y]],#N/A)</f>
        <v/>
      </c>
    </row>
    <row r="3489">
      <c r="A3489" s="6">
        <f>Database!A3488</f>
        <v/>
      </c>
      <c r="B3489">
        <f>IF(VLOOKUP(Table73[[#This Row],[Date]],Database!$A:$E,MATCH($B$1,Database!$A$1:$E$1,),)=0,#N/A,VLOOKUP(Table73[[#This Row],[Date]],Database!$A:$E,MATCH($B$1,Database!$A$1:$E$1,),))</f>
        <v/>
      </c>
      <c r="C3489">
        <f>IF(VLOOKUP(Table73[[#This Row],[Date]],Database!$A:$C,MATCH($C$1,Database!$A$1:$C$1,),)=0,#N/A,VLOOKUP(Table73[[#This Row],[Date]],Database!$A:$C,MATCH($C$1,Database!$A$1:$C$1,),))</f>
        <v/>
      </c>
      <c r="D3489">
        <f>IFERROR(Table73[[#This Row],[United States 10y]]-Table73[[#This Row],[United States 2y]],#N/A)</f>
        <v/>
      </c>
    </row>
    <row r="3490">
      <c r="A3490" s="6">
        <f>Database!A3489</f>
        <v/>
      </c>
      <c r="B3490">
        <f>IF(VLOOKUP(Table73[[#This Row],[Date]],Database!$A:$E,MATCH($B$1,Database!$A$1:$E$1,),)=0,#N/A,VLOOKUP(Table73[[#This Row],[Date]],Database!$A:$E,MATCH($B$1,Database!$A$1:$E$1,),))</f>
        <v/>
      </c>
      <c r="C3490">
        <f>IF(VLOOKUP(Table73[[#This Row],[Date]],Database!$A:$C,MATCH($C$1,Database!$A$1:$C$1,),)=0,#N/A,VLOOKUP(Table73[[#This Row],[Date]],Database!$A:$C,MATCH($C$1,Database!$A$1:$C$1,),))</f>
        <v/>
      </c>
      <c r="D3490">
        <f>IFERROR(Table73[[#This Row],[United States 10y]]-Table73[[#This Row],[United States 2y]],#N/A)</f>
        <v/>
      </c>
    </row>
    <row r="3491">
      <c r="A3491" s="6">
        <f>Database!A3490</f>
        <v/>
      </c>
      <c r="B3491">
        <f>IF(VLOOKUP(Table73[[#This Row],[Date]],Database!$A:$E,MATCH($B$1,Database!$A$1:$E$1,),)=0,#N/A,VLOOKUP(Table73[[#This Row],[Date]],Database!$A:$E,MATCH($B$1,Database!$A$1:$E$1,),))</f>
        <v/>
      </c>
      <c r="C3491">
        <f>IF(VLOOKUP(Table73[[#This Row],[Date]],Database!$A:$C,MATCH($C$1,Database!$A$1:$C$1,),)=0,#N/A,VLOOKUP(Table73[[#This Row],[Date]],Database!$A:$C,MATCH($C$1,Database!$A$1:$C$1,),))</f>
        <v/>
      </c>
      <c r="D3491">
        <f>IFERROR(Table73[[#This Row],[United States 10y]]-Table73[[#This Row],[United States 2y]],#N/A)</f>
        <v/>
      </c>
    </row>
    <row r="3492">
      <c r="A3492" s="6">
        <f>Database!A3491</f>
        <v/>
      </c>
      <c r="B3492">
        <f>IF(VLOOKUP(Table73[[#This Row],[Date]],Database!$A:$E,MATCH($B$1,Database!$A$1:$E$1,),)=0,#N/A,VLOOKUP(Table73[[#This Row],[Date]],Database!$A:$E,MATCH($B$1,Database!$A$1:$E$1,),))</f>
        <v/>
      </c>
      <c r="C3492">
        <f>IF(VLOOKUP(Table73[[#This Row],[Date]],Database!$A:$C,MATCH($C$1,Database!$A$1:$C$1,),)=0,#N/A,VLOOKUP(Table73[[#This Row],[Date]],Database!$A:$C,MATCH($C$1,Database!$A$1:$C$1,),))</f>
        <v/>
      </c>
      <c r="D3492">
        <f>IFERROR(Table73[[#This Row],[United States 10y]]-Table73[[#This Row],[United States 2y]],#N/A)</f>
        <v/>
      </c>
    </row>
    <row r="3493">
      <c r="A3493" s="6">
        <f>Database!A3492</f>
        <v/>
      </c>
      <c r="B3493">
        <f>IF(VLOOKUP(Table73[[#This Row],[Date]],Database!$A:$E,MATCH($B$1,Database!$A$1:$E$1,),)=0,#N/A,VLOOKUP(Table73[[#This Row],[Date]],Database!$A:$E,MATCH($B$1,Database!$A$1:$E$1,),))</f>
        <v/>
      </c>
      <c r="C3493">
        <f>IF(VLOOKUP(Table73[[#This Row],[Date]],Database!$A:$C,MATCH($C$1,Database!$A$1:$C$1,),)=0,#N/A,VLOOKUP(Table73[[#This Row],[Date]],Database!$A:$C,MATCH($C$1,Database!$A$1:$C$1,),))</f>
        <v/>
      </c>
      <c r="D3493">
        <f>IFERROR(Table73[[#This Row],[United States 10y]]-Table73[[#This Row],[United States 2y]],#N/A)</f>
        <v/>
      </c>
    </row>
    <row r="3494">
      <c r="A3494" s="6">
        <f>Database!A3493</f>
        <v/>
      </c>
      <c r="B3494">
        <f>IF(VLOOKUP(Table73[[#This Row],[Date]],Database!$A:$E,MATCH($B$1,Database!$A$1:$E$1,),)=0,#N/A,VLOOKUP(Table73[[#This Row],[Date]],Database!$A:$E,MATCH($B$1,Database!$A$1:$E$1,),))</f>
        <v/>
      </c>
      <c r="C3494">
        <f>IF(VLOOKUP(Table73[[#This Row],[Date]],Database!$A:$C,MATCH($C$1,Database!$A$1:$C$1,),)=0,#N/A,VLOOKUP(Table73[[#This Row],[Date]],Database!$A:$C,MATCH($C$1,Database!$A$1:$C$1,),))</f>
        <v/>
      </c>
      <c r="D3494">
        <f>IFERROR(Table73[[#This Row],[United States 10y]]-Table73[[#This Row],[United States 2y]],#N/A)</f>
        <v/>
      </c>
    </row>
    <row r="3495">
      <c r="A3495" s="6">
        <f>Database!A3494</f>
        <v/>
      </c>
      <c r="B3495">
        <f>IF(VLOOKUP(Table73[[#This Row],[Date]],Database!$A:$E,MATCH($B$1,Database!$A$1:$E$1,),)=0,#N/A,VLOOKUP(Table73[[#This Row],[Date]],Database!$A:$E,MATCH($B$1,Database!$A$1:$E$1,),))</f>
        <v/>
      </c>
      <c r="C3495">
        <f>IF(VLOOKUP(Table73[[#This Row],[Date]],Database!$A:$C,MATCH($C$1,Database!$A$1:$C$1,),)=0,#N/A,VLOOKUP(Table73[[#This Row],[Date]],Database!$A:$C,MATCH($C$1,Database!$A$1:$C$1,),))</f>
        <v/>
      </c>
      <c r="D3495">
        <f>IFERROR(Table73[[#This Row],[United States 10y]]-Table73[[#This Row],[United States 2y]],#N/A)</f>
        <v/>
      </c>
    </row>
    <row r="3496">
      <c r="A3496" s="6">
        <f>Database!A3495</f>
        <v/>
      </c>
      <c r="B3496">
        <f>IF(VLOOKUP(Table73[[#This Row],[Date]],Database!$A:$E,MATCH($B$1,Database!$A$1:$E$1,),)=0,#N/A,VLOOKUP(Table73[[#This Row],[Date]],Database!$A:$E,MATCH($B$1,Database!$A$1:$E$1,),))</f>
        <v/>
      </c>
      <c r="C3496">
        <f>IF(VLOOKUP(Table73[[#This Row],[Date]],Database!$A:$C,MATCH($C$1,Database!$A$1:$C$1,),)=0,#N/A,VLOOKUP(Table73[[#This Row],[Date]],Database!$A:$C,MATCH($C$1,Database!$A$1:$C$1,),))</f>
        <v/>
      </c>
      <c r="D3496">
        <f>IFERROR(Table73[[#This Row],[United States 10y]]-Table73[[#This Row],[United States 2y]],#N/A)</f>
        <v/>
      </c>
    </row>
    <row r="3497">
      <c r="A3497" s="6">
        <f>Database!A3496</f>
        <v/>
      </c>
      <c r="B3497">
        <f>IF(VLOOKUP(Table73[[#This Row],[Date]],Database!$A:$E,MATCH($B$1,Database!$A$1:$E$1,),)=0,#N/A,VLOOKUP(Table73[[#This Row],[Date]],Database!$A:$E,MATCH($B$1,Database!$A$1:$E$1,),))</f>
        <v/>
      </c>
      <c r="C3497">
        <f>IF(VLOOKUP(Table73[[#This Row],[Date]],Database!$A:$C,MATCH($C$1,Database!$A$1:$C$1,),)=0,#N/A,VLOOKUP(Table73[[#This Row],[Date]],Database!$A:$C,MATCH($C$1,Database!$A$1:$C$1,),))</f>
        <v/>
      </c>
      <c r="D3497">
        <f>IFERROR(Table73[[#This Row],[United States 10y]]-Table73[[#This Row],[United States 2y]],#N/A)</f>
        <v/>
      </c>
    </row>
    <row r="3498">
      <c r="A3498" s="6">
        <f>Database!A3497</f>
        <v/>
      </c>
      <c r="B3498">
        <f>IF(VLOOKUP(Table73[[#This Row],[Date]],Database!$A:$E,MATCH($B$1,Database!$A$1:$E$1,),)=0,#N/A,VLOOKUP(Table73[[#This Row],[Date]],Database!$A:$E,MATCH($B$1,Database!$A$1:$E$1,),))</f>
        <v/>
      </c>
      <c r="C3498">
        <f>IF(VLOOKUP(Table73[[#This Row],[Date]],Database!$A:$C,MATCH($C$1,Database!$A$1:$C$1,),)=0,#N/A,VLOOKUP(Table73[[#This Row],[Date]],Database!$A:$C,MATCH($C$1,Database!$A$1:$C$1,),))</f>
        <v/>
      </c>
      <c r="D3498">
        <f>IFERROR(Table73[[#This Row],[United States 10y]]-Table73[[#This Row],[United States 2y]],#N/A)</f>
        <v/>
      </c>
    </row>
    <row r="3499">
      <c r="A3499" s="6">
        <f>Database!A3498</f>
        <v/>
      </c>
      <c r="B3499">
        <f>IF(VLOOKUP(Table73[[#This Row],[Date]],Database!$A:$E,MATCH($B$1,Database!$A$1:$E$1,),)=0,#N/A,VLOOKUP(Table73[[#This Row],[Date]],Database!$A:$E,MATCH($B$1,Database!$A$1:$E$1,),))</f>
        <v/>
      </c>
      <c r="C3499">
        <f>IF(VLOOKUP(Table73[[#This Row],[Date]],Database!$A:$C,MATCH($C$1,Database!$A$1:$C$1,),)=0,#N/A,VLOOKUP(Table73[[#This Row],[Date]],Database!$A:$C,MATCH($C$1,Database!$A$1:$C$1,),))</f>
        <v/>
      </c>
      <c r="D3499">
        <f>IFERROR(Table73[[#This Row],[United States 10y]]-Table73[[#This Row],[United States 2y]],#N/A)</f>
        <v/>
      </c>
    </row>
    <row r="3500">
      <c r="A3500" s="6">
        <f>Database!A3499</f>
        <v/>
      </c>
      <c r="B3500">
        <f>IF(VLOOKUP(Table73[[#This Row],[Date]],Database!$A:$E,MATCH($B$1,Database!$A$1:$E$1,),)=0,#N/A,VLOOKUP(Table73[[#This Row],[Date]],Database!$A:$E,MATCH($B$1,Database!$A$1:$E$1,),))</f>
        <v/>
      </c>
      <c r="C3500">
        <f>IF(VLOOKUP(Table73[[#This Row],[Date]],Database!$A:$C,MATCH($C$1,Database!$A$1:$C$1,),)=0,#N/A,VLOOKUP(Table73[[#This Row],[Date]],Database!$A:$C,MATCH($C$1,Database!$A$1:$C$1,),))</f>
        <v/>
      </c>
      <c r="D3500">
        <f>IFERROR(Table73[[#This Row],[United States 10y]]-Table73[[#This Row],[United States 2y]],#N/A)</f>
        <v/>
      </c>
    </row>
    <row r="3501">
      <c r="A3501" s="6">
        <f>Database!A3500</f>
        <v/>
      </c>
      <c r="B3501">
        <f>IF(VLOOKUP(Table73[[#This Row],[Date]],Database!$A:$E,MATCH($B$1,Database!$A$1:$E$1,),)=0,#N/A,VLOOKUP(Table73[[#This Row],[Date]],Database!$A:$E,MATCH($B$1,Database!$A$1:$E$1,),))</f>
        <v/>
      </c>
      <c r="C3501">
        <f>IF(VLOOKUP(Table73[[#This Row],[Date]],Database!$A:$C,MATCH($C$1,Database!$A$1:$C$1,),)=0,#N/A,VLOOKUP(Table73[[#This Row],[Date]],Database!$A:$C,MATCH($C$1,Database!$A$1:$C$1,),))</f>
        <v/>
      </c>
      <c r="D3501">
        <f>IFERROR(Table73[[#This Row],[United States 10y]]-Table73[[#This Row],[United States 2y]],#N/A)</f>
        <v/>
      </c>
    </row>
    <row r="3502">
      <c r="A3502" s="6">
        <f>Database!A3501</f>
        <v/>
      </c>
      <c r="B3502">
        <f>IF(VLOOKUP(Table73[[#This Row],[Date]],Database!$A:$E,MATCH($B$1,Database!$A$1:$E$1,),)=0,#N/A,VLOOKUP(Table73[[#This Row],[Date]],Database!$A:$E,MATCH($B$1,Database!$A$1:$E$1,),))</f>
        <v/>
      </c>
      <c r="C3502">
        <f>IF(VLOOKUP(Table73[[#This Row],[Date]],Database!$A:$C,MATCH($C$1,Database!$A$1:$C$1,),)=0,#N/A,VLOOKUP(Table73[[#This Row],[Date]],Database!$A:$C,MATCH($C$1,Database!$A$1:$C$1,),))</f>
        <v/>
      </c>
      <c r="D3502">
        <f>IFERROR(Table73[[#This Row],[United States 10y]]-Table73[[#This Row],[United States 2y]],#N/A)</f>
        <v/>
      </c>
    </row>
    <row r="3503">
      <c r="A3503" s="6">
        <f>Database!A3502</f>
        <v/>
      </c>
      <c r="B3503">
        <f>IF(VLOOKUP(Table73[[#This Row],[Date]],Database!$A:$E,MATCH($B$1,Database!$A$1:$E$1,),)=0,#N/A,VLOOKUP(Table73[[#This Row],[Date]],Database!$A:$E,MATCH($B$1,Database!$A$1:$E$1,),))</f>
        <v/>
      </c>
      <c r="C3503">
        <f>IF(VLOOKUP(Table73[[#This Row],[Date]],Database!$A:$C,MATCH($C$1,Database!$A$1:$C$1,),)=0,#N/A,VLOOKUP(Table73[[#This Row],[Date]],Database!$A:$C,MATCH($C$1,Database!$A$1:$C$1,),))</f>
        <v/>
      </c>
      <c r="D3503">
        <f>IFERROR(Table73[[#This Row],[United States 10y]]-Table73[[#This Row],[United States 2y]],#N/A)</f>
        <v/>
      </c>
    </row>
    <row r="3504">
      <c r="A3504" s="6">
        <f>Database!A3503</f>
        <v/>
      </c>
      <c r="B3504">
        <f>IF(VLOOKUP(Table73[[#This Row],[Date]],Database!$A:$E,MATCH($B$1,Database!$A$1:$E$1,),)=0,#N/A,VLOOKUP(Table73[[#This Row],[Date]],Database!$A:$E,MATCH($B$1,Database!$A$1:$E$1,),))</f>
        <v/>
      </c>
      <c r="C3504">
        <f>IF(VLOOKUP(Table73[[#This Row],[Date]],Database!$A:$C,MATCH($C$1,Database!$A$1:$C$1,),)=0,#N/A,VLOOKUP(Table73[[#This Row],[Date]],Database!$A:$C,MATCH($C$1,Database!$A$1:$C$1,),))</f>
        <v/>
      </c>
      <c r="D3504">
        <f>IFERROR(Table73[[#This Row],[United States 10y]]-Table73[[#This Row],[United States 2y]],#N/A)</f>
        <v/>
      </c>
    </row>
    <row r="3505">
      <c r="A3505" s="6">
        <f>Database!A3504</f>
        <v/>
      </c>
      <c r="B3505">
        <f>IF(VLOOKUP(Table73[[#This Row],[Date]],Database!$A:$E,MATCH($B$1,Database!$A$1:$E$1,),)=0,#N/A,VLOOKUP(Table73[[#This Row],[Date]],Database!$A:$E,MATCH($B$1,Database!$A$1:$E$1,),))</f>
        <v/>
      </c>
      <c r="C3505">
        <f>IF(VLOOKUP(Table73[[#This Row],[Date]],Database!$A:$C,MATCH($C$1,Database!$A$1:$C$1,),)=0,#N/A,VLOOKUP(Table73[[#This Row],[Date]],Database!$A:$C,MATCH($C$1,Database!$A$1:$C$1,),))</f>
        <v/>
      </c>
      <c r="D3505">
        <f>IFERROR(Table73[[#This Row],[United States 10y]]-Table73[[#This Row],[United States 2y]],#N/A)</f>
        <v/>
      </c>
    </row>
    <row r="3506">
      <c r="A3506" s="6">
        <f>Database!A3505</f>
        <v/>
      </c>
      <c r="B3506">
        <f>IF(VLOOKUP(Table73[[#This Row],[Date]],Database!$A:$E,MATCH($B$1,Database!$A$1:$E$1,),)=0,#N/A,VLOOKUP(Table73[[#This Row],[Date]],Database!$A:$E,MATCH($B$1,Database!$A$1:$E$1,),))</f>
        <v/>
      </c>
      <c r="C3506">
        <f>IF(VLOOKUP(Table73[[#This Row],[Date]],Database!$A:$C,MATCH($C$1,Database!$A$1:$C$1,),)=0,#N/A,VLOOKUP(Table73[[#This Row],[Date]],Database!$A:$C,MATCH($C$1,Database!$A$1:$C$1,),))</f>
        <v/>
      </c>
      <c r="D3506">
        <f>IFERROR(Table73[[#This Row],[United States 10y]]-Table73[[#This Row],[United States 2y]],#N/A)</f>
        <v/>
      </c>
    </row>
    <row r="3507">
      <c r="A3507" s="6">
        <f>Database!A3506</f>
        <v/>
      </c>
      <c r="B3507">
        <f>IF(VLOOKUP(Table73[[#This Row],[Date]],Database!$A:$E,MATCH($B$1,Database!$A$1:$E$1,),)=0,#N/A,VLOOKUP(Table73[[#This Row],[Date]],Database!$A:$E,MATCH($B$1,Database!$A$1:$E$1,),))</f>
        <v/>
      </c>
      <c r="C3507">
        <f>IF(VLOOKUP(Table73[[#This Row],[Date]],Database!$A:$C,MATCH($C$1,Database!$A$1:$C$1,),)=0,#N/A,VLOOKUP(Table73[[#This Row],[Date]],Database!$A:$C,MATCH($C$1,Database!$A$1:$C$1,),))</f>
        <v/>
      </c>
      <c r="D3507">
        <f>IFERROR(Table73[[#This Row],[United States 10y]]-Table73[[#This Row],[United States 2y]],#N/A)</f>
        <v/>
      </c>
    </row>
    <row r="3508">
      <c r="A3508" s="6">
        <f>Database!A3507</f>
        <v/>
      </c>
      <c r="B3508">
        <f>IF(VLOOKUP(Table73[[#This Row],[Date]],Database!$A:$E,MATCH($B$1,Database!$A$1:$E$1,),)=0,#N/A,VLOOKUP(Table73[[#This Row],[Date]],Database!$A:$E,MATCH($B$1,Database!$A$1:$E$1,),))</f>
        <v/>
      </c>
      <c r="C3508">
        <f>IF(VLOOKUP(Table73[[#This Row],[Date]],Database!$A:$C,MATCH($C$1,Database!$A$1:$C$1,),)=0,#N/A,VLOOKUP(Table73[[#This Row],[Date]],Database!$A:$C,MATCH($C$1,Database!$A$1:$C$1,),))</f>
        <v/>
      </c>
      <c r="D3508">
        <f>IFERROR(Table73[[#This Row],[United States 10y]]-Table73[[#This Row],[United States 2y]],#N/A)</f>
        <v/>
      </c>
    </row>
    <row r="3509">
      <c r="A3509" s="6">
        <f>Database!A3508</f>
        <v/>
      </c>
      <c r="B3509">
        <f>IF(VLOOKUP(Table73[[#This Row],[Date]],Database!$A:$E,MATCH($B$1,Database!$A$1:$E$1,),)=0,#N/A,VLOOKUP(Table73[[#This Row],[Date]],Database!$A:$E,MATCH($B$1,Database!$A$1:$E$1,),))</f>
        <v/>
      </c>
      <c r="C3509">
        <f>IF(VLOOKUP(Table73[[#This Row],[Date]],Database!$A:$C,MATCH($C$1,Database!$A$1:$C$1,),)=0,#N/A,VLOOKUP(Table73[[#This Row],[Date]],Database!$A:$C,MATCH($C$1,Database!$A$1:$C$1,),))</f>
        <v/>
      </c>
      <c r="D3509">
        <f>IFERROR(Table73[[#This Row],[United States 10y]]-Table73[[#This Row],[United States 2y]],#N/A)</f>
        <v/>
      </c>
    </row>
    <row r="3510">
      <c r="A3510" s="6">
        <f>Database!A3509</f>
        <v/>
      </c>
      <c r="B3510">
        <f>IF(VLOOKUP(Table73[[#This Row],[Date]],Database!$A:$E,MATCH($B$1,Database!$A$1:$E$1,),)=0,#N/A,VLOOKUP(Table73[[#This Row],[Date]],Database!$A:$E,MATCH($B$1,Database!$A$1:$E$1,),))</f>
        <v/>
      </c>
      <c r="C3510">
        <f>IF(VLOOKUP(Table73[[#This Row],[Date]],Database!$A:$C,MATCH($C$1,Database!$A$1:$C$1,),)=0,#N/A,VLOOKUP(Table73[[#This Row],[Date]],Database!$A:$C,MATCH($C$1,Database!$A$1:$C$1,),))</f>
        <v/>
      </c>
      <c r="D3510">
        <f>IFERROR(Table73[[#This Row],[United States 10y]]-Table73[[#This Row],[United States 2y]],#N/A)</f>
        <v/>
      </c>
    </row>
    <row r="3511">
      <c r="A3511" s="6">
        <f>Database!A3510</f>
        <v/>
      </c>
      <c r="B3511">
        <f>IF(VLOOKUP(Table73[[#This Row],[Date]],Database!$A:$E,MATCH($B$1,Database!$A$1:$E$1,),)=0,#N/A,VLOOKUP(Table73[[#This Row],[Date]],Database!$A:$E,MATCH($B$1,Database!$A$1:$E$1,),))</f>
        <v/>
      </c>
      <c r="C3511">
        <f>IF(VLOOKUP(Table73[[#This Row],[Date]],Database!$A:$C,MATCH($C$1,Database!$A$1:$C$1,),)=0,#N/A,VLOOKUP(Table73[[#This Row],[Date]],Database!$A:$C,MATCH($C$1,Database!$A$1:$C$1,),))</f>
        <v/>
      </c>
      <c r="D3511">
        <f>IFERROR(Table73[[#This Row],[United States 10y]]-Table73[[#This Row],[United States 2y]],#N/A)</f>
        <v/>
      </c>
    </row>
    <row r="3512">
      <c r="A3512" s="6">
        <f>Database!A3511</f>
        <v/>
      </c>
      <c r="B3512">
        <f>IF(VLOOKUP(Table73[[#This Row],[Date]],Database!$A:$E,MATCH($B$1,Database!$A$1:$E$1,),)=0,#N/A,VLOOKUP(Table73[[#This Row],[Date]],Database!$A:$E,MATCH($B$1,Database!$A$1:$E$1,),))</f>
        <v/>
      </c>
      <c r="C3512">
        <f>IF(VLOOKUP(Table73[[#This Row],[Date]],Database!$A:$C,MATCH($C$1,Database!$A$1:$C$1,),)=0,#N/A,VLOOKUP(Table73[[#This Row],[Date]],Database!$A:$C,MATCH($C$1,Database!$A$1:$C$1,),))</f>
        <v/>
      </c>
      <c r="D3512">
        <f>IFERROR(Table73[[#This Row],[United States 10y]]-Table73[[#This Row],[United States 2y]],#N/A)</f>
        <v/>
      </c>
    </row>
    <row r="3513">
      <c r="A3513" s="6">
        <f>Database!A3512</f>
        <v/>
      </c>
      <c r="B3513">
        <f>IF(VLOOKUP(Table73[[#This Row],[Date]],Database!$A:$E,MATCH($B$1,Database!$A$1:$E$1,),)=0,#N/A,VLOOKUP(Table73[[#This Row],[Date]],Database!$A:$E,MATCH($B$1,Database!$A$1:$E$1,),))</f>
        <v/>
      </c>
      <c r="C3513">
        <f>IF(VLOOKUP(Table73[[#This Row],[Date]],Database!$A:$C,MATCH($C$1,Database!$A$1:$C$1,),)=0,#N/A,VLOOKUP(Table73[[#This Row],[Date]],Database!$A:$C,MATCH($C$1,Database!$A$1:$C$1,),))</f>
        <v/>
      </c>
      <c r="D3513">
        <f>IFERROR(Table73[[#This Row],[United States 10y]]-Table73[[#This Row],[United States 2y]],#N/A)</f>
        <v/>
      </c>
    </row>
    <row r="3514">
      <c r="A3514" s="6">
        <f>Database!A3513</f>
        <v/>
      </c>
      <c r="B3514">
        <f>IF(VLOOKUP(Table73[[#This Row],[Date]],Database!$A:$E,MATCH($B$1,Database!$A$1:$E$1,),)=0,#N/A,VLOOKUP(Table73[[#This Row],[Date]],Database!$A:$E,MATCH($B$1,Database!$A$1:$E$1,),))</f>
        <v/>
      </c>
      <c r="C3514">
        <f>IF(VLOOKUP(Table73[[#This Row],[Date]],Database!$A:$C,MATCH($C$1,Database!$A$1:$C$1,),)=0,#N/A,VLOOKUP(Table73[[#This Row],[Date]],Database!$A:$C,MATCH($C$1,Database!$A$1:$C$1,),))</f>
        <v/>
      </c>
      <c r="D3514">
        <f>IFERROR(Table73[[#This Row],[United States 10y]]-Table73[[#This Row],[United States 2y]],#N/A)</f>
        <v/>
      </c>
    </row>
    <row r="3515">
      <c r="A3515" s="6">
        <f>Database!A3514</f>
        <v/>
      </c>
      <c r="B3515">
        <f>IF(VLOOKUP(Table73[[#This Row],[Date]],Database!$A:$E,MATCH($B$1,Database!$A$1:$E$1,),)=0,#N/A,VLOOKUP(Table73[[#This Row],[Date]],Database!$A:$E,MATCH($B$1,Database!$A$1:$E$1,),))</f>
        <v/>
      </c>
      <c r="C3515">
        <f>IF(VLOOKUP(Table73[[#This Row],[Date]],Database!$A:$C,MATCH($C$1,Database!$A$1:$C$1,),)=0,#N/A,VLOOKUP(Table73[[#This Row],[Date]],Database!$A:$C,MATCH($C$1,Database!$A$1:$C$1,),))</f>
        <v/>
      </c>
      <c r="D3515">
        <f>IFERROR(Table73[[#This Row],[United States 10y]]-Table73[[#This Row],[United States 2y]],#N/A)</f>
        <v/>
      </c>
    </row>
    <row r="3516">
      <c r="A3516" s="6">
        <f>Database!A3515</f>
        <v/>
      </c>
      <c r="B3516">
        <f>IF(VLOOKUP(Table73[[#This Row],[Date]],Database!$A:$E,MATCH($B$1,Database!$A$1:$E$1,),)=0,#N/A,VLOOKUP(Table73[[#This Row],[Date]],Database!$A:$E,MATCH($B$1,Database!$A$1:$E$1,),))</f>
        <v/>
      </c>
      <c r="C3516">
        <f>IF(VLOOKUP(Table73[[#This Row],[Date]],Database!$A:$C,MATCH($C$1,Database!$A$1:$C$1,),)=0,#N/A,VLOOKUP(Table73[[#This Row],[Date]],Database!$A:$C,MATCH($C$1,Database!$A$1:$C$1,),))</f>
        <v/>
      </c>
      <c r="D3516">
        <f>IFERROR(Table73[[#This Row],[United States 10y]]-Table73[[#This Row],[United States 2y]],#N/A)</f>
        <v/>
      </c>
    </row>
    <row r="3517">
      <c r="A3517" s="6">
        <f>Database!A3516</f>
        <v/>
      </c>
      <c r="B3517">
        <f>IF(VLOOKUP(Table73[[#This Row],[Date]],Database!$A:$E,MATCH($B$1,Database!$A$1:$E$1,),)=0,#N/A,VLOOKUP(Table73[[#This Row],[Date]],Database!$A:$E,MATCH($B$1,Database!$A$1:$E$1,),))</f>
        <v/>
      </c>
      <c r="C3517">
        <f>IF(VLOOKUP(Table73[[#This Row],[Date]],Database!$A:$C,MATCH($C$1,Database!$A$1:$C$1,),)=0,#N/A,VLOOKUP(Table73[[#This Row],[Date]],Database!$A:$C,MATCH($C$1,Database!$A$1:$C$1,),))</f>
        <v/>
      </c>
      <c r="D3517">
        <f>IFERROR(Table73[[#This Row],[United States 10y]]-Table73[[#This Row],[United States 2y]],#N/A)</f>
        <v/>
      </c>
    </row>
    <row r="3518">
      <c r="A3518" s="6">
        <f>Database!A3517</f>
        <v/>
      </c>
      <c r="B3518">
        <f>IF(VLOOKUP(Table73[[#This Row],[Date]],Database!$A:$E,MATCH($B$1,Database!$A$1:$E$1,),)=0,#N/A,VLOOKUP(Table73[[#This Row],[Date]],Database!$A:$E,MATCH($B$1,Database!$A$1:$E$1,),))</f>
        <v/>
      </c>
      <c r="C3518">
        <f>IF(VLOOKUP(Table73[[#This Row],[Date]],Database!$A:$C,MATCH($C$1,Database!$A$1:$C$1,),)=0,#N/A,VLOOKUP(Table73[[#This Row],[Date]],Database!$A:$C,MATCH($C$1,Database!$A$1:$C$1,),))</f>
        <v/>
      </c>
      <c r="D3518">
        <f>IFERROR(Table73[[#This Row],[United States 10y]]-Table73[[#This Row],[United States 2y]],#N/A)</f>
        <v/>
      </c>
    </row>
    <row r="3519">
      <c r="A3519" s="6">
        <f>Database!A3518</f>
        <v/>
      </c>
      <c r="B3519">
        <f>IF(VLOOKUP(Table73[[#This Row],[Date]],Database!$A:$E,MATCH($B$1,Database!$A$1:$E$1,),)=0,#N/A,VLOOKUP(Table73[[#This Row],[Date]],Database!$A:$E,MATCH($B$1,Database!$A$1:$E$1,),))</f>
        <v/>
      </c>
      <c r="C3519">
        <f>IF(VLOOKUP(Table73[[#This Row],[Date]],Database!$A:$C,MATCH($C$1,Database!$A$1:$C$1,),)=0,#N/A,VLOOKUP(Table73[[#This Row],[Date]],Database!$A:$C,MATCH($C$1,Database!$A$1:$C$1,),))</f>
        <v/>
      </c>
      <c r="D3519">
        <f>IFERROR(Table73[[#This Row],[United States 10y]]-Table73[[#This Row],[United States 2y]],#N/A)</f>
        <v/>
      </c>
    </row>
    <row r="3520">
      <c r="A3520" s="6">
        <f>Database!A3519</f>
        <v/>
      </c>
      <c r="B3520">
        <f>IF(VLOOKUP(Table73[[#This Row],[Date]],Database!$A:$E,MATCH($B$1,Database!$A$1:$E$1,),)=0,#N/A,VLOOKUP(Table73[[#This Row],[Date]],Database!$A:$E,MATCH($B$1,Database!$A$1:$E$1,),))</f>
        <v/>
      </c>
      <c r="C3520">
        <f>IF(VLOOKUP(Table73[[#This Row],[Date]],Database!$A:$C,MATCH($C$1,Database!$A$1:$C$1,),)=0,#N/A,VLOOKUP(Table73[[#This Row],[Date]],Database!$A:$C,MATCH($C$1,Database!$A$1:$C$1,),))</f>
        <v/>
      </c>
      <c r="D3520">
        <f>IFERROR(Table73[[#This Row],[United States 10y]]-Table73[[#This Row],[United States 2y]],#N/A)</f>
        <v/>
      </c>
    </row>
    <row r="3521">
      <c r="A3521" s="6">
        <f>Database!A3520</f>
        <v/>
      </c>
      <c r="B3521">
        <f>IF(VLOOKUP(Table73[[#This Row],[Date]],Database!$A:$E,MATCH($B$1,Database!$A$1:$E$1,),)=0,#N/A,VLOOKUP(Table73[[#This Row],[Date]],Database!$A:$E,MATCH($B$1,Database!$A$1:$E$1,),))</f>
        <v/>
      </c>
      <c r="C3521">
        <f>IF(VLOOKUP(Table73[[#This Row],[Date]],Database!$A:$C,MATCH($C$1,Database!$A$1:$C$1,),)=0,#N/A,VLOOKUP(Table73[[#This Row],[Date]],Database!$A:$C,MATCH($C$1,Database!$A$1:$C$1,),))</f>
        <v/>
      </c>
      <c r="D3521">
        <f>IFERROR(Table73[[#This Row],[United States 10y]]-Table73[[#This Row],[United States 2y]],#N/A)</f>
        <v/>
      </c>
    </row>
    <row r="3522">
      <c r="A3522" s="6">
        <f>Database!A3521</f>
        <v/>
      </c>
      <c r="B3522">
        <f>IF(VLOOKUP(Table73[[#This Row],[Date]],Database!$A:$E,MATCH($B$1,Database!$A$1:$E$1,),)=0,#N/A,VLOOKUP(Table73[[#This Row],[Date]],Database!$A:$E,MATCH($B$1,Database!$A$1:$E$1,),))</f>
        <v/>
      </c>
      <c r="C3522">
        <f>IF(VLOOKUP(Table73[[#This Row],[Date]],Database!$A:$C,MATCH($C$1,Database!$A$1:$C$1,),)=0,#N/A,VLOOKUP(Table73[[#This Row],[Date]],Database!$A:$C,MATCH($C$1,Database!$A$1:$C$1,),))</f>
        <v/>
      </c>
      <c r="D3522">
        <f>IFERROR(Table73[[#This Row],[United States 10y]]-Table73[[#This Row],[United States 2y]],#N/A)</f>
        <v/>
      </c>
    </row>
    <row r="3523">
      <c r="A3523" s="6">
        <f>Database!A3522</f>
        <v/>
      </c>
      <c r="B3523">
        <f>IF(VLOOKUP(Table73[[#This Row],[Date]],Database!$A:$E,MATCH($B$1,Database!$A$1:$E$1,),)=0,#N/A,VLOOKUP(Table73[[#This Row],[Date]],Database!$A:$E,MATCH($B$1,Database!$A$1:$E$1,),))</f>
        <v/>
      </c>
      <c r="C3523">
        <f>IF(VLOOKUP(Table73[[#This Row],[Date]],Database!$A:$C,MATCH($C$1,Database!$A$1:$C$1,),)=0,#N/A,VLOOKUP(Table73[[#This Row],[Date]],Database!$A:$C,MATCH($C$1,Database!$A$1:$C$1,),))</f>
        <v/>
      </c>
      <c r="D3523">
        <f>IFERROR(Table73[[#This Row],[United States 10y]]-Table73[[#This Row],[United States 2y]],#N/A)</f>
        <v/>
      </c>
    </row>
    <row r="3524">
      <c r="A3524" s="6">
        <f>Database!A3523</f>
        <v/>
      </c>
      <c r="B3524">
        <f>IF(VLOOKUP(Table73[[#This Row],[Date]],Database!$A:$E,MATCH($B$1,Database!$A$1:$E$1,),)=0,#N/A,VLOOKUP(Table73[[#This Row],[Date]],Database!$A:$E,MATCH($B$1,Database!$A$1:$E$1,),))</f>
        <v/>
      </c>
      <c r="C3524">
        <f>IF(VLOOKUP(Table73[[#This Row],[Date]],Database!$A:$C,MATCH($C$1,Database!$A$1:$C$1,),)=0,#N/A,VLOOKUP(Table73[[#This Row],[Date]],Database!$A:$C,MATCH($C$1,Database!$A$1:$C$1,),))</f>
        <v/>
      </c>
      <c r="D3524">
        <f>IFERROR(Table73[[#This Row],[United States 10y]]-Table73[[#This Row],[United States 2y]],#N/A)</f>
        <v/>
      </c>
    </row>
    <row r="3525">
      <c r="A3525" s="6">
        <f>Database!A3524</f>
        <v/>
      </c>
      <c r="B3525">
        <f>IF(VLOOKUP(Table73[[#This Row],[Date]],Database!$A:$E,MATCH($B$1,Database!$A$1:$E$1,),)=0,#N/A,VLOOKUP(Table73[[#This Row],[Date]],Database!$A:$E,MATCH($B$1,Database!$A$1:$E$1,),))</f>
        <v/>
      </c>
      <c r="C3525">
        <f>IF(VLOOKUP(Table73[[#This Row],[Date]],Database!$A:$C,MATCH($C$1,Database!$A$1:$C$1,),)=0,#N/A,VLOOKUP(Table73[[#This Row],[Date]],Database!$A:$C,MATCH($C$1,Database!$A$1:$C$1,),))</f>
        <v/>
      </c>
      <c r="D3525">
        <f>IFERROR(Table73[[#This Row],[United States 10y]]-Table73[[#This Row],[United States 2y]],#N/A)</f>
        <v/>
      </c>
    </row>
    <row r="3526">
      <c r="A3526" s="6">
        <f>Database!A3525</f>
        <v/>
      </c>
      <c r="B3526">
        <f>IF(VLOOKUP(Table73[[#This Row],[Date]],Database!$A:$E,MATCH($B$1,Database!$A$1:$E$1,),)=0,#N/A,VLOOKUP(Table73[[#This Row],[Date]],Database!$A:$E,MATCH($B$1,Database!$A$1:$E$1,),))</f>
        <v/>
      </c>
      <c r="C3526">
        <f>IF(VLOOKUP(Table73[[#This Row],[Date]],Database!$A:$C,MATCH($C$1,Database!$A$1:$C$1,),)=0,#N/A,VLOOKUP(Table73[[#This Row],[Date]],Database!$A:$C,MATCH($C$1,Database!$A$1:$C$1,),))</f>
        <v/>
      </c>
      <c r="D3526">
        <f>IFERROR(Table73[[#This Row],[United States 10y]]-Table73[[#This Row],[United States 2y]],#N/A)</f>
        <v/>
      </c>
    </row>
    <row r="3527">
      <c r="A3527" s="6">
        <f>Database!A3526</f>
        <v/>
      </c>
      <c r="B3527">
        <f>IF(VLOOKUP(Table73[[#This Row],[Date]],Database!$A:$E,MATCH($B$1,Database!$A$1:$E$1,),)=0,#N/A,VLOOKUP(Table73[[#This Row],[Date]],Database!$A:$E,MATCH($B$1,Database!$A$1:$E$1,),))</f>
        <v/>
      </c>
      <c r="C3527">
        <f>IF(VLOOKUP(Table73[[#This Row],[Date]],Database!$A:$C,MATCH($C$1,Database!$A$1:$C$1,),)=0,#N/A,VLOOKUP(Table73[[#This Row],[Date]],Database!$A:$C,MATCH($C$1,Database!$A$1:$C$1,),))</f>
        <v/>
      </c>
      <c r="D3527">
        <f>IFERROR(Table73[[#This Row],[United States 10y]]-Table73[[#This Row],[United States 2y]],#N/A)</f>
        <v/>
      </c>
    </row>
    <row r="3528">
      <c r="A3528" s="6">
        <f>Database!A3527</f>
        <v/>
      </c>
      <c r="B3528">
        <f>IF(VLOOKUP(Table73[[#This Row],[Date]],Database!$A:$E,MATCH($B$1,Database!$A$1:$E$1,),)=0,#N/A,VLOOKUP(Table73[[#This Row],[Date]],Database!$A:$E,MATCH($B$1,Database!$A$1:$E$1,),))</f>
        <v/>
      </c>
      <c r="C3528">
        <f>IF(VLOOKUP(Table73[[#This Row],[Date]],Database!$A:$C,MATCH($C$1,Database!$A$1:$C$1,),)=0,#N/A,VLOOKUP(Table73[[#This Row],[Date]],Database!$A:$C,MATCH($C$1,Database!$A$1:$C$1,),))</f>
        <v/>
      </c>
      <c r="D3528">
        <f>IFERROR(Table73[[#This Row],[United States 10y]]-Table73[[#This Row],[United States 2y]],#N/A)</f>
        <v/>
      </c>
    </row>
    <row r="3529">
      <c r="A3529" s="6">
        <f>Database!A3528</f>
        <v/>
      </c>
      <c r="B3529">
        <f>IF(VLOOKUP(Table73[[#This Row],[Date]],Database!$A:$E,MATCH($B$1,Database!$A$1:$E$1,),)=0,#N/A,VLOOKUP(Table73[[#This Row],[Date]],Database!$A:$E,MATCH($B$1,Database!$A$1:$E$1,),))</f>
        <v/>
      </c>
      <c r="C3529">
        <f>IF(VLOOKUP(Table73[[#This Row],[Date]],Database!$A:$C,MATCH($C$1,Database!$A$1:$C$1,),)=0,#N/A,VLOOKUP(Table73[[#This Row],[Date]],Database!$A:$C,MATCH($C$1,Database!$A$1:$C$1,),))</f>
        <v/>
      </c>
      <c r="D3529">
        <f>IFERROR(Table73[[#This Row],[United States 10y]]-Table73[[#This Row],[United States 2y]],#N/A)</f>
        <v/>
      </c>
    </row>
    <row r="3530">
      <c r="A3530" s="6">
        <f>Database!A3529</f>
        <v/>
      </c>
      <c r="B3530">
        <f>IF(VLOOKUP(Table73[[#This Row],[Date]],Database!$A:$E,MATCH($B$1,Database!$A$1:$E$1,),)=0,#N/A,VLOOKUP(Table73[[#This Row],[Date]],Database!$A:$E,MATCH($B$1,Database!$A$1:$E$1,),))</f>
        <v/>
      </c>
      <c r="C3530">
        <f>IF(VLOOKUP(Table73[[#This Row],[Date]],Database!$A:$C,MATCH($C$1,Database!$A$1:$C$1,),)=0,#N/A,VLOOKUP(Table73[[#This Row],[Date]],Database!$A:$C,MATCH($C$1,Database!$A$1:$C$1,),))</f>
        <v/>
      </c>
      <c r="D3530">
        <f>IFERROR(Table73[[#This Row],[United States 10y]]-Table73[[#This Row],[United States 2y]],#N/A)</f>
        <v/>
      </c>
    </row>
    <row r="3531">
      <c r="A3531" s="6">
        <f>Database!A3530</f>
        <v/>
      </c>
      <c r="B3531">
        <f>IF(VLOOKUP(Table73[[#This Row],[Date]],Database!$A:$E,MATCH($B$1,Database!$A$1:$E$1,),)=0,#N/A,VLOOKUP(Table73[[#This Row],[Date]],Database!$A:$E,MATCH($B$1,Database!$A$1:$E$1,),))</f>
        <v/>
      </c>
      <c r="C3531">
        <f>IF(VLOOKUP(Table73[[#This Row],[Date]],Database!$A:$C,MATCH($C$1,Database!$A$1:$C$1,),)=0,#N/A,VLOOKUP(Table73[[#This Row],[Date]],Database!$A:$C,MATCH($C$1,Database!$A$1:$C$1,),))</f>
        <v/>
      </c>
      <c r="D3531">
        <f>IFERROR(Table73[[#This Row],[United States 10y]]-Table73[[#This Row],[United States 2y]],#N/A)</f>
        <v/>
      </c>
    </row>
    <row r="3532">
      <c r="A3532" s="6">
        <f>Database!A3531</f>
        <v/>
      </c>
      <c r="B3532">
        <f>IF(VLOOKUP(Table73[[#This Row],[Date]],Database!$A:$E,MATCH($B$1,Database!$A$1:$E$1,),)=0,#N/A,VLOOKUP(Table73[[#This Row],[Date]],Database!$A:$E,MATCH($B$1,Database!$A$1:$E$1,),))</f>
        <v/>
      </c>
      <c r="C3532">
        <f>IF(VLOOKUP(Table73[[#This Row],[Date]],Database!$A:$C,MATCH($C$1,Database!$A$1:$C$1,),)=0,#N/A,VLOOKUP(Table73[[#This Row],[Date]],Database!$A:$C,MATCH($C$1,Database!$A$1:$C$1,),))</f>
        <v/>
      </c>
      <c r="D3532">
        <f>IFERROR(Table73[[#This Row],[United States 10y]]-Table73[[#This Row],[United States 2y]],#N/A)</f>
        <v/>
      </c>
    </row>
    <row r="3533">
      <c r="A3533" s="6">
        <f>Database!A3532</f>
        <v/>
      </c>
      <c r="B3533">
        <f>IF(VLOOKUP(Table73[[#This Row],[Date]],Database!$A:$E,MATCH($B$1,Database!$A$1:$E$1,),)=0,#N/A,VLOOKUP(Table73[[#This Row],[Date]],Database!$A:$E,MATCH($B$1,Database!$A$1:$E$1,),))</f>
        <v/>
      </c>
      <c r="C3533">
        <f>IF(VLOOKUP(Table73[[#This Row],[Date]],Database!$A:$C,MATCH($C$1,Database!$A$1:$C$1,),)=0,#N/A,VLOOKUP(Table73[[#This Row],[Date]],Database!$A:$C,MATCH($C$1,Database!$A$1:$C$1,),))</f>
        <v/>
      </c>
      <c r="D3533">
        <f>IFERROR(Table73[[#This Row],[United States 10y]]-Table73[[#This Row],[United States 2y]],#N/A)</f>
        <v/>
      </c>
    </row>
    <row r="3534">
      <c r="A3534" s="6">
        <f>Database!A3533</f>
        <v/>
      </c>
      <c r="B3534">
        <f>IF(VLOOKUP(Table73[[#This Row],[Date]],Database!$A:$E,MATCH($B$1,Database!$A$1:$E$1,),)=0,#N/A,VLOOKUP(Table73[[#This Row],[Date]],Database!$A:$E,MATCH($B$1,Database!$A$1:$E$1,),))</f>
        <v/>
      </c>
      <c r="C3534">
        <f>IF(VLOOKUP(Table73[[#This Row],[Date]],Database!$A:$C,MATCH($C$1,Database!$A$1:$C$1,),)=0,#N/A,VLOOKUP(Table73[[#This Row],[Date]],Database!$A:$C,MATCH($C$1,Database!$A$1:$C$1,),))</f>
        <v/>
      </c>
      <c r="D3534">
        <f>IFERROR(Table73[[#This Row],[United States 10y]]-Table73[[#This Row],[United States 2y]],#N/A)</f>
        <v/>
      </c>
    </row>
    <row r="3535">
      <c r="A3535" s="6">
        <f>Database!A3534</f>
        <v/>
      </c>
      <c r="B3535">
        <f>IF(VLOOKUP(Table73[[#This Row],[Date]],Database!$A:$E,MATCH($B$1,Database!$A$1:$E$1,),)=0,#N/A,VLOOKUP(Table73[[#This Row],[Date]],Database!$A:$E,MATCH($B$1,Database!$A$1:$E$1,),))</f>
        <v/>
      </c>
      <c r="C3535">
        <f>IF(VLOOKUP(Table73[[#This Row],[Date]],Database!$A:$C,MATCH($C$1,Database!$A$1:$C$1,),)=0,#N/A,VLOOKUP(Table73[[#This Row],[Date]],Database!$A:$C,MATCH($C$1,Database!$A$1:$C$1,),))</f>
        <v/>
      </c>
      <c r="D3535">
        <f>IFERROR(Table73[[#This Row],[United States 10y]]-Table73[[#This Row],[United States 2y]],#N/A)</f>
        <v/>
      </c>
    </row>
    <row r="3536">
      <c r="A3536" s="6">
        <f>Database!A3535</f>
        <v/>
      </c>
      <c r="B3536">
        <f>IF(VLOOKUP(Table73[[#This Row],[Date]],Database!$A:$E,MATCH($B$1,Database!$A$1:$E$1,),)=0,#N/A,VLOOKUP(Table73[[#This Row],[Date]],Database!$A:$E,MATCH($B$1,Database!$A$1:$E$1,),))</f>
        <v/>
      </c>
      <c r="C3536">
        <f>IF(VLOOKUP(Table73[[#This Row],[Date]],Database!$A:$C,MATCH($C$1,Database!$A$1:$C$1,),)=0,#N/A,VLOOKUP(Table73[[#This Row],[Date]],Database!$A:$C,MATCH($C$1,Database!$A$1:$C$1,),))</f>
        <v/>
      </c>
      <c r="D3536">
        <f>IFERROR(Table73[[#This Row],[United States 10y]]-Table73[[#This Row],[United States 2y]],#N/A)</f>
        <v/>
      </c>
    </row>
    <row r="3537">
      <c r="A3537" s="6">
        <f>Database!A3536</f>
        <v/>
      </c>
      <c r="B3537">
        <f>IF(VLOOKUP(Table73[[#This Row],[Date]],Database!$A:$E,MATCH($B$1,Database!$A$1:$E$1,),)=0,#N/A,VLOOKUP(Table73[[#This Row],[Date]],Database!$A:$E,MATCH($B$1,Database!$A$1:$E$1,),))</f>
        <v/>
      </c>
      <c r="C3537">
        <f>IF(VLOOKUP(Table73[[#This Row],[Date]],Database!$A:$C,MATCH($C$1,Database!$A$1:$C$1,),)=0,#N/A,VLOOKUP(Table73[[#This Row],[Date]],Database!$A:$C,MATCH($C$1,Database!$A$1:$C$1,),))</f>
        <v/>
      </c>
      <c r="D3537">
        <f>IFERROR(Table73[[#This Row],[United States 10y]]-Table73[[#This Row],[United States 2y]],#N/A)</f>
        <v/>
      </c>
    </row>
    <row r="3538">
      <c r="A3538" s="6">
        <f>Database!A3537</f>
        <v/>
      </c>
      <c r="B3538">
        <f>IF(VLOOKUP(Table73[[#This Row],[Date]],Database!$A:$E,MATCH($B$1,Database!$A$1:$E$1,),)=0,#N/A,VLOOKUP(Table73[[#This Row],[Date]],Database!$A:$E,MATCH($B$1,Database!$A$1:$E$1,),))</f>
        <v/>
      </c>
      <c r="C3538">
        <f>IF(VLOOKUP(Table73[[#This Row],[Date]],Database!$A:$C,MATCH($C$1,Database!$A$1:$C$1,),)=0,#N/A,VLOOKUP(Table73[[#This Row],[Date]],Database!$A:$C,MATCH($C$1,Database!$A$1:$C$1,),))</f>
        <v/>
      </c>
      <c r="D3538">
        <f>IFERROR(Table73[[#This Row],[United States 10y]]-Table73[[#This Row],[United States 2y]],#N/A)</f>
        <v/>
      </c>
    </row>
    <row r="3539">
      <c r="A3539" s="6">
        <f>Database!A3538</f>
        <v/>
      </c>
      <c r="B3539">
        <f>IF(VLOOKUP(Table73[[#This Row],[Date]],Database!$A:$E,MATCH($B$1,Database!$A$1:$E$1,),)=0,#N/A,VLOOKUP(Table73[[#This Row],[Date]],Database!$A:$E,MATCH($B$1,Database!$A$1:$E$1,),))</f>
        <v/>
      </c>
      <c r="C3539">
        <f>IF(VLOOKUP(Table73[[#This Row],[Date]],Database!$A:$C,MATCH($C$1,Database!$A$1:$C$1,),)=0,#N/A,VLOOKUP(Table73[[#This Row],[Date]],Database!$A:$C,MATCH($C$1,Database!$A$1:$C$1,),))</f>
        <v/>
      </c>
      <c r="D3539">
        <f>IFERROR(Table73[[#This Row],[United States 10y]]-Table73[[#This Row],[United States 2y]],#N/A)</f>
        <v/>
      </c>
    </row>
    <row r="3540">
      <c r="A3540" s="6">
        <f>Database!A3539</f>
        <v/>
      </c>
      <c r="B3540">
        <f>IF(VLOOKUP(Table73[[#This Row],[Date]],Database!$A:$E,MATCH($B$1,Database!$A$1:$E$1,),)=0,#N/A,VLOOKUP(Table73[[#This Row],[Date]],Database!$A:$E,MATCH($B$1,Database!$A$1:$E$1,),))</f>
        <v/>
      </c>
      <c r="C3540">
        <f>IF(VLOOKUP(Table73[[#This Row],[Date]],Database!$A:$C,MATCH($C$1,Database!$A$1:$C$1,),)=0,#N/A,VLOOKUP(Table73[[#This Row],[Date]],Database!$A:$C,MATCH($C$1,Database!$A$1:$C$1,),))</f>
        <v/>
      </c>
      <c r="D3540">
        <f>IFERROR(Table73[[#This Row],[United States 10y]]-Table73[[#This Row],[United States 2y]],#N/A)</f>
        <v/>
      </c>
    </row>
    <row r="3541">
      <c r="A3541" s="6">
        <f>Database!A3540</f>
        <v/>
      </c>
      <c r="B3541">
        <f>IF(VLOOKUP(Table73[[#This Row],[Date]],Database!$A:$E,MATCH($B$1,Database!$A$1:$E$1,),)=0,#N/A,VLOOKUP(Table73[[#This Row],[Date]],Database!$A:$E,MATCH($B$1,Database!$A$1:$E$1,),))</f>
        <v/>
      </c>
      <c r="C3541">
        <f>IF(VLOOKUP(Table73[[#This Row],[Date]],Database!$A:$C,MATCH($C$1,Database!$A$1:$C$1,),)=0,#N/A,VLOOKUP(Table73[[#This Row],[Date]],Database!$A:$C,MATCH($C$1,Database!$A$1:$C$1,),))</f>
        <v/>
      </c>
      <c r="D3541">
        <f>IFERROR(Table73[[#This Row],[United States 10y]]-Table73[[#This Row],[United States 2y]],#N/A)</f>
        <v/>
      </c>
    </row>
    <row r="3542">
      <c r="A3542" s="6">
        <f>Database!A3541</f>
        <v/>
      </c>
      <c r="B3542">
        <f>IF(VLOOKUP(Table73[[#This Row],[Date]],Database!$A:$E,MATCH($B$1,Database!$A$1:$E$1,),)=0,#N/A,VLOOKUP(Table73[[#This Row],[Date]],Database!$A:$E,MATCH($B$1,Database!$A$1:$E$1,),))</f>
        <v/>
      </c>
      <c r="C3542">
        <f>IF(VLOOKUP(Table73[[#This Row],[Date]],Database!$A:$C,MATCH($C$1,Database!$A$1:$C$1,),)=0,#N/A,VLOOKUP(Table73[[#This Row],[Date]],Database!$A:$C,MATCH($C$1,Database!$A$1:$C$1,),))</f>
        <v/>
      </c>
      <c r="D3542">
        <f>IFERROR(Table73[[#This Row],[United States 10y]]-Table73[[#This Row],[United States 2y]],#N/A)</f>
        <v/>
      </c>
    </row>
    <row r="3543">
      <c r="A3543" s="6">
        <f>Database!A3542</f>
        <v/>
      </c>
      <c r="B3543">
        <f>IF(VLOOKUP(Table73[[#This Row],[Date]],Database!$A:$E,MATCH($B$1,Database!$A$1:$E$1,),)=0,#N/A,VLOOKUP(Table73[[#This Row],[Date]],Database!$A:$E,MATCH($B$1,Database!$A$1:$E$1,),))</f>
        <v/>
      </c>
      <c r="C3543">
        <f>IF(VLOOKUP(Table73[[#This Row],[Date]],Database!$A:$C,MATCH($C$1,Database!$A$1:$C$1,),)=0,#N/A,VLOOKUP(Table73[[#This Row],[Date]],Database!$A:$C,MATCH($C$1,Database!$A$1:$C$1,),))</f>
        <v/>
      </c>
      <c r="D3543">
        <f>IFERROR(Table73[[#This Row],[United States 10y]]-Table73[[#This Row],[United States 2y]],#N/A)</f>
        <v/>
      </c>
    </row>
    <row r="3544">
      <c r="A3544" s="6">
        <f>Database!A3543</f>
        <v/>
      </c>
      <c r="B3544">
        <f>IF(VLOOKUP(Table73[[#This Row],[Date]],Database!$A:$E,MATCH($B$1,Database!$A$1:$E$1,),)=0,#N/A,VLOOKUP(Table73[[#This Row],[Date]],Database!$A:$E,MATCH($B$1,Database!$A$1:$E$1,),))</f>
        <v/>
      </c>
      <c r="C3544">
        <f>IF(VLOOKUP(Table73[[#This Row],[Date]],Database!$A:$C,MATCH($C$1,Database!$A$1:$C$1,),)=0,#N/A,VLOOKUP(Table73[[#This Row],[Date]],Database!$A:$C,MATCH($C$1,Database!$A$1:$C$1,),))</f>
        <v/>
      </c>
      <c r="D3544">
        <f>IFERROR(Table73[[#This Row],[United States 10y]]-Table73[[#This Row],[United States 2y]],#N/A)</f>
        <v/>
      </c>
    </row>
    <row r="3545">
      <c r="A3545" s="6">
        <f>Database!A3544</f>
        <v/>
      </c>
      <c r="B3545">
        <f>IF(VLOOKUP(Table73[[#This Row],[Date]],Database!$A:$E,MATCH($B$1,Database!$A$1:$E$1,),)=0,#N/A,VLOOKUP(Table73[[#This Row],[Date]],Database!$A:$E,MATCH($B$1,Database!$A$1:$E$1,),))</f>
        <v/>
      </c>
      <c r="C3545">
        <f>IF(VLOOKUP(Table73[[#This Row],[Date]],Database!$A:$C,MATCH($C$1,Database!$A$1:$C$1,),)=0,#N/A,VLOOKUP(Table73[[#This Row],[Date]],Database!$A:$C,MATCH($C$1,Database!$A$1:$C$1,),))</f>
        <v/>
      </c>
      <c r="D3545">
        <f>IFERROR(Table73[[#This Row],[United States 10y]]-Table73[[#This Row],[United States 2y]],#N/A)</f>
        <v/>
      </c>
    </row>
    <row r="3546">
      <c r="A3546" s="6">
        <f>Database!A3545</f>
        <v/>
      </c>
      <c r="B3546">
        <f>IF(VLOOKUP(Table73[[#This Row],[Date]],Database!$A:$E,MATCH($B$1,Database!$A$1:$E$1,),)=0,#N/A,VLOOKUP(Table73[[#This Row],[Date]],Database!$A:$E,MATCH($B$1,Database!$A$1:$E$1,),))</f>
        <v/>
      </c>
      <c r="C3546">
        <f>IF(VLOOKUP(Table73[[#This Row],[Date]],Database!$A:$C,MATCH($C$1,Database!$A$1:$C$1,),)=0,#N/A,VLOOKUP(Table73[[#This Row],[Date]],Database!$A:$C,MATCH($C$1,Database!$A$1:$C$1,),))</f>
        <v/>
      </c>
      <c r="D3546">
        <f>IFERROR(Table73[[#This Row],[United States 10y]]-Table73[[#This Row],[United States 2y]],#N/A)</f>
        <v/>
      </c>
    </row>
    <row r="3547">
      <c r="A3547" s="6">
        <f>Database!A3546</f>
        <v/>
      </c>
      <c r="B3547">
        <f>IF(VLOOKUP(Table73[[#This Row],[Date]],Database!$A:$E,MATCH($B$1,Database!$A$1:$E$1,),)=0,#N/A,VLOOKUP(Table73[[#This Row],[Date]],Database!$A:$E,MATCH($B$1,Database!$A$1:$E$1,),))</f>
        <v/>
      </c>
      <c r="C3547">
        <f>IF(VLOOKUP(Table73[[#This Row],[Date]],Database!$A:$C,MATCH($C$1,Database!$A$1:$C$1,),)=0,#N/A,VLOOKUP(Table73[[#This Row],[Date]],Database!$A:$C,MATCH($C$1,Database!$A$1:$C$1,),))</f>
        <v/>
      </c>
      <c r="D3547">
        <f>IFERROR(Table73[[#This Row],[United States 10y]]-Table73[[#This Row],[United States 2y]],#N/A)</f>
        <v/>
      </c>
    </row>
    <row r="3548">
      <c r="A3548" s="6">
        <f>Database!A3547</f>
        <v/>
      </c>
      <c r="B3548">
        <f>IF(VLOOKUP(Table73[[#This Row],[Date]],Database!$A:$E,MATCH($B$1,Database!$A$1:$E$1,),)=0,#N/A,VLOOKUP(Table73[[#This Row],[Date]],Database!$A:$E,MATCH($B$1,Database!$A$1:$E$1,),))</f>
        <v/>
      </c>
      <c r="C3548">
        <f>IF(VLOOKUP(Table73[[#This Row],[Date]],Database!$A:$C,MATCH($C$1,Database!$A$1:$C$1,),)=0,#N/A,VLOOKUP(Table73[[#This Row],[Date]],Database!$A:$C,MATCH($C$1,Database!$A$1:$C$1,),))</f>
        <v/>
      </c>
      <c r="D3548">
        <f>IFERROR(Table73[[#This Row],[United States 10y]]-Table73[[#This Row],[United States 2y]],#N/A)</f>
        <v/>
      </c>
    </row>
    <row r="3549">
      <c r="A3549" s="6">
        <f>Database!A3548</f>
        <v/>
      </c>
      <c r="B3549">
        <f>IF(VLOOKUP(Table73[[#This Row],[Date]],Database!$A:$E,MATCH($B$1,Database!$A$1:$E$1,),)=0,#N/A,VLOOKUP(Table73[[#This Row],[Date]],Database!$A:$E,MATCH($B$1,Database!$A$1:$E$1,),))</f>
        <v/>
      </c>
      <c r="C3549">
        <f>IF(VLOOKUP(Table73[[#This Row],[Date]],Database!$A:$C,MATCH($C$1,Database!$A$1:$C$1,),)=0,#N/A,VLOOKUP(Table73[[#This Row],[Date]],Database!$A:$C,MATCH($C$1,Database!$A$1:$C$1,),))</f>
        <v/>
      </c>
      <c r="D3549">
        <f>IFERROR(Table73[[#This Row],[United States 10y]]-Table73[[#This Row],[United States 2y]],#N/A)</f>
        <v/>
      </c>
    </row>
    <row r="3550">
      <c r="A3550" s="6">
        <f>Database!A3549</f>
        <v/>
      </c>
      <c r="B3550">
        <f>IF(VLOOKUP(Table73[[#This Row],[Date]],Database!$A:$E,MATCH($B$1,Database!$A$1:$E$1,),)=0,#N/A,VLOOKUP(Table73[[#This Row],[Date]],Database!$A:$E,MATCH($B$1,Database!$A$1:$E$1,),))</f>
        <v/>
      </c>
      <c r="C3550">
        <f>IF(VLOOKUP(Table73[[#This Row],[Date]],Database!$A:$C,MATCH($C$1,Database!$A$1:$C$1,),)=0,#N/A,VLOOKUP(Table73[[#This Row],[Date]],Database!$A:$C,MATCH($C$1,Database!$A$1:$C$1,),))</f>
        <v/>
      </c>
      <c r="D3550">
        <f>IFERROR(Table73[[#This Row],[United States 10y]]-Table73[[#This Row],[United States 2y]],#N/A)</f>
        <v/>
      </c>
    </row>
    <row r="3551">
      <c r="A3551" s="6">
        <f>Database!A3550</f>
        <v/>
      </c>
      <c r="B3551">
        <f>IF(VLOOKUP(Table73[[#This Row],[Date]],Database!$A:$E,MATCH($B$1,Database!$A$1:$E$1,),)=0,#N/A,VLOOKUP(Table73[[#This Row],[Date]],Database!$A:$E,MATCH($B$1,Database!$A$1:$E$1,),))</f>
        <v/>
      </c>
      <c r="C3551">
        <f>IF(VLOOKUP(Table73[[#This Row],[Date]],Database!$A:$C,MATCH($C$1,Database!$A$1:$C$1,),)=0,#N/A,VLOOKUP(Table73[[#This Row],[Date]],Database!$A:$C,MATCH($C$1,Database!$A$1:$C$1,),))</f>
        <v/>
      </c>
      <c r="D3551">
        <f>IFERROR(Table73[[#This Row],[United States 10y]]-Table73[[#This Row],[United States 2y]],#N/A)</f>
        <v/>
      </c>
    </row>
    <row r="3552">
      <c r="A3552" s="6">
        <f>Database!A3551</f>
        <v/>
      </c>
      <c r="B3552">
        <f>IF(VLOOKUP(Table73[[#This Row],[Date]],Database!$A:$E,MATCH($B$1,Database!$A$1:$E$1,),)=0,#N/A,VLOOKUP(Table73[[#This Row],[Date]],Database!$A:$E,MATCH($B$1,Database!$A$1:$E$1,),))</f>
        <v/>
      </c>
      <c r="C3552">
        <f>IF(VLOOKUP(Table73[[#This Row],[Date]],Database!$A:$C,MATCH($C$1,Database!$A$1:$C$1,),)=0,#N/A,VLOOKUP(Table73[[#This Row],[Date]],Database!$A:$C,MATCH($C$1,Database!$A$1:$C$1,),))</f>
        <v/>
      </c>
      <c r="D3552">
        <f>IFERROR(Table73[[#This Row],[United States 10y]]-Table73[[#This Row],[United States 2y]],#N/A)</f>
        <v/>
      </c>
    </row>
    <row r="3553">
      <c r="A3553" s="6">
        <f>Database!A3552</f>
        <v/>
      </c>
      <c r="B3553">
        <f>IF(VLOOKUP(Table73[[#This Row],[Date]],Database!$A:$E,MATCH($B$1,Database!$A$1:$E$1,),)=0,#N/A,VLOOKUP(Table73[[#This Row],[Date]],Database!$A:$E,MATCH($B$1,Database!$A$1:$E$1,),))</f>
        <v/>
      </c>
      <c r="C3553">
        <f>IF(VLOOKUP(Table73[[#This Row],[Date]],Database!$A:$C,MATCH($C$1,Database!$A$1:$C$1,),)=0,#N/A,VLOOKUP(Table73[[#This Row],[Date]],Database!$A:$C,MATCH($C$1,Database!$A$1:$C$1,),))</f>
        <v/>
      </c>
      <c r="D3553">
        <f>IFERROR(Table73[[#This Row],[United States 10y]]-Table73[[#This Row],[United States 2y]],#N/A)</f>
        <v/>
      </c>
    </row>
    <row r="3554">
      <c r="A3554" s="6">
        <f>Database!A3553</f>
        <v/>
      </c>
      <c r="B3554">
        <f>IF(VLOOKUP(Table73[[#This Row],[Date]],Database!$A:$E,MATCH($B$1,Database!$A$1:$E$1,),)=0,#N/A,VLOOKUP(Table73[[#This Row],[Date]],Database!$A:$E,MATCH($B$1,Database!$A$1:$E$1,),))</f>
        <v/>
      </c>
      <c r="C3554">
        <f>IF(VLOOKUP(Table73[[#This Row],[Date]],Database!$A:$C,MATCH($C$1,Database!$A$1:$C$1,),)=0,#N/A,VLOOKUP(Table73[[#This Row],[Date]],Database!$A:$C,MATCH($C$1,Database!$A$1:$C$1,),))</f>
        <v/>
      </c>
      <c r="D3554">
        <f>IFERROR(Table73[[#This Row],[United States 10y]]-Table73[[#This Row],[United States 2y]],#N/A)</f>
        <v/>
      </c>
    </row>
    <row r="3555">
      <c r="A3555" s="6">
        <f>Database!A3554</f>
        <v/>
      </c>
      <c r="B3555">
        <f>IF(VLOOKUP(Table73[[#This Row],[Date]],Database!$A:$E,MATCH($B$1,Database!$A$1:$E$1,),)=0,#N/A,VLOOKUP(Table73[[#This Row],[Date]],Database!$A:$E,MATCH($B$1,Database!$A$1:$E$1,),))</f>
        <v/>
      </c>
      <c r="C3555">
        <f>IF(VLOOKUP(Table73[[#This Row],[Date]],Database!$A:$C,MATCH($C$1,Database!$A$1:$C$1,),)=0,#N/A,VLOOKUP(Table73[[#This Row],[Date]],Database!$A:$C,MATCH($C$1,Database!$A$1:$C$1,),))</f>
        <v/>
      </c>
      <c r="D3555">
        <f>IFERROR(Table73[[#This Row],[United States 10y]]-Table73[[#This Row],[United States 2y]],#N/A)</f>
        <v/>
      </c>
    </row>
    <row r="3556">
      <c r="A3556" s="6">
        <f>Database!A3555</f>
        <v/>
      </c>
      <c r="B3556">
        <f>IF(VLOOKUP(Table73[[#This Row],[Date]],Database!$A:$E,MATCH($B$1,Database!$A$1:$E$1,),)=0,#N/A,VLOOKUP(Table73[[#This Row],[Date]],Database!$A:$E,MATCH($B$1,Database!$A$1:$E$1,),))</f>
        <v/>
      </c>
      <c r="C3556">
        <f>IF(VLOOKUP(Table73[[#This Row],[Date]],Database!$A:$C,MATCH($C$1,Database!$A$1:$C$1,),)=0,#N/A,VLOOKUP(Table73[[#This Row],[Date]],Database!$A:$C,MATCH($C$1,Database!$A$1:$C$1,),))</f>
        <v/>
      </c>
      <c r="D3556">
        <f>IFERROR(Table73[[#This Row],[United States 10y]]-Table73[[#This Row],[United States 2y]],#N/A)</f>
        <v/>
      </c>
    </row>
    <row r="3557">
      <c r="A3557" s="6">
        <f>Database!A3556</f>
        <v/>
      </c>
      <c r="B3557">
        <f>IF(VLOOKUP(Table73[[#This Row],[Date]],Database!$A:$E,MATCH($B$1,Database!$A$1:$E$1,),)=0,#N/A,VLOOKUP(Table73[[#This Row],[Date]],Database!$A:$E,MATCH($B$1,Database!$A$1:$E$1,),))</f>
        <v/>
      </c>
      <c r="C3557">
        <f>IF(VLOOKUP(Table73[[#This Row],[Date]],Database!$A:$C,MATCH($C$1,Database!$A$1:$C$1,),)=0,#N/A,VLOOKUP(Table73[[#This Row],[Date]],Database!$A:$C,MATCH($C$1,Database!$A$1:$C$1,),))</f>
        <v/>
      </c>
      <c r="D3557">
        <f>IFERROR(Table73[[#This Row],[United States 10y]]-Table73[[#This Row],[United States 2y]],#N/A)</f>
        <v/>
      </c>
    </row>
    <row r="3558">
      <c r="A3558" s="6">
        <f>Database!A3557</f>
        <v/>
      </c>
      <c r="B3558">
        <f>IF(VLOOKUP(Table73[[#This Row],[Date]],Database!$A:$E,MATCH($B$1,Database!$A$1:$E$1,),)=0,#N/A,VLOOKUP(Table73[[#This Row],[Date]],Database!$A:$E,MATCH($B$1,Database!$A$1:$E$1,),))</f>
        <v/>
      </c>
      <c r="C3558">
        <f>IF(VLOOKUP(Table73[[#This Row],[Date]],Database!$A:$C,MATCH($C$1,Database!$A$1:$C$1,),)=0,#N/A,VLOOKUP(Table73[[#This Row],[Date]],Database!$A:$C,MATCH($C$1,Database!$A$1:$C$1,),))</f>
        <v/>
      </c>
      <c r="D3558">
        <f>IFERROR(Table73[[#This Row],[United States 10y]]-Table73[[#This Row],[United States 2y]],#N/A)</f>
        <v/>
      </c>
    </row>
    <row r="3559">
      <c r="A3559" s="6">
        <f>Database!A3558</f>
        <v/>
      </c>
      <c r="B3559">
        <f>IF(VLOOKUP(Table73[[#This Row],[Date]],Database!$A:$E,MATCH($B$1,Database!$A$1:$E$1,),)=0,#N/A,VLOOKUP(Table73[[#This Row],[Date]],Database!$A:$E,MATCH($B$1,Database!$A$1:$E$1,),))</f>
        <v/>
      </c>
      <c r="C3559">
        <f>IF(VLOOKUP(Table73[[#This Row],[Date]],Database!$A:$C,MATCH($C$1,Database!$A$1:$C$1,),)=0,#N/A,VLOOKUP(Table73[[#This Row],[Date]],Database!$A:$C,MATCH($C$1,Database!$A$1:$C$1,),))</f>
        <v/>
      </c>
      <c r="D3559">
        <f>IFERROR(Table73[[#This Row],[United States 10y]]-Table73[[#This Row],[United States 2y]],#N/A)</f>
        <v/>
      </c>
    </row>
    <row r="3560">
      <c r="A3560" s="6">
        <f>Database!A3559</f>
        <v/>
      </c>
      <c r="B3560">
        <f>IF(VLOOKUP(Table73[[#This Row],[Date]],Database!$A:$E,MATCH($B$1,Database!$A$1:$E$1,),)=0,#N/A,VLOOKUP(Table73[[#This Row],[Date]],Database!$A:$E,MATCH($B$1,Database!$A$1:$E$1,),))</f>
        <v/>
      </c>
      <c r="C3560">
        <f>IF(VLOOKUP(Table73[[#This Row],[Date]],Database!$A:$C,MATCH($C$1,Database!$A$1:$C$1,),)=0,#N/A,VLOOKUP(Table73[[#This Row],[Date]],Database!$A:$C,MATCH($C$1,Database!$A$1:$C$1,),))</f>
        <v/>
      </c>
      <c r="D3560">
        <f>IFERROR(Table73[[#This Row],[United States 10y]]-Table73[[#This Row],[United States 2y]],#N/A)</f>
        <v/>
      </c>
    </row>
    <row r="3561">
      <c r="A3561" s="6">
        <f>Database!A3560</f>
        <v/>
      </c>
      <c r="B3561">
        <f>IF(VLOOKUP(Table73[[#This Row],[Date]],Database!$A:$E,MATCH($B$1,Database!$A$1:$E$1,),)=0,#N/A,VLOOKUP(Table73[[#This Row],[Date]],Database!$A:$E,MATCH($B$1,Database!$A$1:$E$1,),))</f>
        <v/>
      </c>
      <c r="C3561">
        <f>IF(VLOOKUP(Table73[[#This Row],[Date]],Database!$A:$C,MATCH($C$1,Database!$A$1:$C$1,),)=0,#N/A,VLOOKUP(Table73[[#This Row],[Date]],Database!$A:$C,MATCH($C$1,Database!$A$1:$C$1,),))</f>
        <v/>
      </c>
      <c r="D3561">
        <f>IFERROR(Table73[[#This Row],[United States 10y]]-Table73[[#This Row],[United States 2y]],#N/A)</f>
        <v/>
      </c>
    </row>
    <row r="3562">
      <c r="A3562" s="6">
        <f>Database!A3561</f>
        <v/>
      </c>
      <c r="B3562">
        <f>IF(VLOOKUP(Table73[[#This Row],[Date]],Database!$A:$E,MATCH($B$1,Database!$A$1:$E$1,),)=0,#N/A,VLOOKUP(Table73[[#This Row],[Date]],Database!$A:$E,MATCH($B$1,Database!$A$1:$E$1,),))</f>
        <v/>
      </c>
      <c r="C3562">
        <f>IF(VLOOKUP(Table73[[#This Row],[Date]],Database!$A:$C,MATCH($C$1,Database!$A$1:$C$1,),)=0,#N/A,VLOOKUP(Table73[[#This Row],[Date]],Database!$A:$C,MATCH($C$1,Database!$A$1:$C$1,),))</f>
        <v/>
      </c>
      <c r="D3562">
        <f>IFERROR(Table73[[#This Row],[United States 10y]]-Table73[[#This Row],[United States 2y]],#N/A)</f>
        <v/>
      </c>
    </row>
    <row r="3563">
      <c r="A3563" s="6">
        <f>Database!A3562</f>
        <v/>
      </c>
      <c r="B3563">
        <f>IF(VLOOKUP(Table73[[#This Row],[Date]],Database!$A:$E,MATCH($B$1,Database!$A$1:$E$1,),)=0,#N/A,VLOOKUP(Table73[[#This Row],[Date]],Database!$A:$E,MATCH($B$1,Database!$A$1:$E$1,),))</f>
        <v/>
      </c>
      <c r="C3563">
        <f>IF(VLOOKUP(Table73[[#This Row],[Date]],Database!$A:$C,MATCH($C$1,Database!$A$1:$C$1,),)=0,#N/A,VLOOKUP(Table73[[#This Row],[Date]],Database!$A:$C,MATCH($C$1,Database!$A$1:$C$1,),))</f>
        <v/>
      </c>
      <c r="D3563">
        <f>IFERROR(Table73[[#This Row],[United States 10y]]-Table73[[#This Row],[United States 2y]],#N/A)</f>
        <v/>
      </c>
    </row>
    <row r="3564">
      <c r="A3564" s="6">
        <f>Database!A3563</f>
        <v/>
      </c>
      <c r="B3564">
        <f>IF(VLOOKUP(Table73[[#This Row],[Date]],Database!$A:$E,MATCH($B$1,Database!$A$1:$E$1,),)=0,#N/A,VLOOKUP(Table73[[#This Row],[Date]],Database!$A:$E,MATCH($B$1,Database!$A$1:$E$1,),))</f>
        <v/>
      </c>
      <c r="C3564">
        <f>IF(VLOOKUP(Table73[[#This Row],[Date]],Database!$A:$C,MATCH($C$1,Database!$A$1:$C$1,),)=0,#N/A,VLOOKUP(Table73[[#This Row],[Date]],Database!$A:$C,MATCH($C$1,Database!$A$1:$C$1,),))</f>
        <v/>
      </c>
      <c r="D3564">
        <f>IFERROR(Table73[[#This Row],[United States 10y]]-Table73[[#This Row],[United States 2y]],#N/A)</f>
        <v/>
      </c>
    </row>
    <row r="3565">
      <c r="A3565" s="6">
        <f>Database!A3564</f>
        <v/>
      </c>
      <c r="B3565">
        <f>IF(VLOOKUP(Table73[[#This Row],[Date]],Database!$A:$E,MATCH($B$1,Database!$A$1:$E$1,),)=0,#N/A,VLOOKUP(Table73[[#This Row],[Date]],Database!$A:$E,MATCH($B$1,Database!$A$1:$E$1,),))</f>
        <v/>
      </c>
      <c r="C3565">
        <f>IF(VLOOKUP(Table73[[#This Row],[Date]],Database!$A:$C,MATCH($C$1,Database!$A$1:$C$1,),)=0,#N/A,VLOOKUP(Table73[[#This Row],[Date]],Database!$A:$C,MATCH($C$1,Database!$A$1:$C$1,),))</f>
        <v/>
      </c>
      <c r="D3565">
        <f>IFERROR(Table73[[#This Row],[United States 10y]]-Table73[[#This Row],[United States 2y]],#N/A)</f>
        <v/>
      </c>
    </row>
    <row r="3566">
      <c r="A3566" s="6">
        <f>Database!A3565</f>
        <v/>
      </c>
      <c r="B3566">
        <f>IF(VLOOKUP(Table73[[#This Row],[Date]],Database!$A:$E,MATCH($B$1,Database!$A$1:$E$1,),)=0,#N/A,VLOOKUP(Table73[[#This Row],[Date]],Database!$A:$E,MATCH($B$1,Database!$A$1:$E$1,),))</f>
        <v/>
      </c>
      <c r="C3566">
        <f>IF(VLOOKUP(Table73[[#This Row],[Date]],Database!$A:$C,MATCH($C$1,Database!$A$1:$C$1,),)=0,#N/A,VLOOKUP(Table73[[#This Row],[Date]],Database!$A:$C,MATCH($C$1,Database!$A$1:$C$1,),))</f>
        <v/>
      </c>
      <c r="D3566">
        <f>IFERROR(Table73[[#This Row],[United States 10y]]-Table73[[#This Row],[United States 2y]],#N/A)</f>
        <v/>
      </c>
    </row>
    <row r="3567">
      <c r="A3567" s="6">
        <f>Database!A3566</f>
        <v/>
      </c>
      <c r="B3567">
        <f>IF(VLOOKUP(Table73[[#This Row],[Date]],Database!$A:$E,MATCH($B$1,Database!$A$1:$E$1,),)=0,#N/A,VLOOKUP(Table73[[#This Row],[Date]],Database!$A:$E,MATCH($B$1,Database!$A$1:$E$1,),))</f>
        <v/>
      </c>
      <c r="C3567">
        <f>IF(VLOOKUP(Table73[[#This Row],[Date]],Database!$A:$C,MATCH($C$1,Database!$A$1:$C$1,),)=0,#N/A,VLOOKUP(Table73[[#This Row],[Date]],Database!$A:$C,MATCH($C$1,Database!$A$1:$C$1,),))</f>
        <v/>
      </c>
      <c r="D3567">
        <f>IFERROR(Table73[[#This Row],[United States 10y]]-Table73[[#This Row],[United States 2y]],#N/A)</f>
        <v/>
      </c>
    </row>
    <row r="3568">
      <c r="A3568" s="6">
        <f>Database!A3567</f>
        <v/>
      </c>
      <c r="B3568">
        <f>IF(VLOOKUP(Table73[[#This Row],[Date]],Database!$A:$E,MATCH($B$1,Database!$A$1:$E$1,),)=0,#N/A,VLOOKUP(Table73[[#This Row],[Date]],Database!$A:$E,MATCH($B$1,Database!$A$1:$E$1,),))</f>
        <v/>
      </c>
      <c r="C3568">
        <f>IF(VLOOKUP(Table73[[#This Row],[Date]],Database!$A:$C,MATCH($C$1,Database!$A$1:$C$1,),)=0,#N/A,VLOOKUP(Table73[[#This Row],[Date]],Database!$A:$C,MATCH($C$1,Database!$A$1:$C$1,),))</f>
        <v/>
      </c>
      <c r="D3568">
        <f>IFERROR(Table73[[#This Row],[United States 10y]]-Table73[[#This Row],[United States 2y]],#N/A)</f>
        <v/>
      </c>
    </row>
    <row r="3569">
      <c r="A3569" s="6">
        <f>Database!A3568</f>
        <v/>
      </c>
      <c r="B3569">
        <f>IF(VLOOKUP(Table73[[#This Row],[Date]],Database!$A:$E,MATCH($B$1,Database!$A$1:$E$1,),)=0,#N/A,VLOOKUP(Table73[[#This Row],[Date]],Database!$A:$E,MATCH($B$1,Database!$A$1:$E$1,),))</f>
        <v/>
      </c>
      <c r="C3569">
        <f>IF(VLOOKUP(Table73[[#This Row],[Date]],Database!$A:$C,MATCH($C$1,Database!$A$1:$C$1,),)=0,#N/A,VLOOKUP(Table73[[#This Row],[Date]],Database!$A:$C,MATCH($C$1,Database!$A$1:$C$1,),))</f>
        <v/>
      </c>
      <c r="D3569">
        <f>IFERROR(Table73[[#This Row],[United States 10y]]-Table73[[#This Row],[United States 2y]],#N/A)</f>
        <v/>
      </c>
    </row>
    <row r="3570">
      <c r="A3570" s="6">
        <f>Database!A3569</f>
        <v/>
      </c>
      <c r="B3570">
        <f>IF(VLOOKUP(Table73[[#This Row],[Date]],Database!$A:$E,MATCH($B$1,Database!$A$1:$E$1,),)=0,#N/A,VLOOKUP(Table73[[#This Row],[Date]],Database!$A:$E,MATCH($B$1,Database!$A$1:$E$1,),))</f>
        <v/>
      </c>
      <c r="C3570">
        <f>IF(VLOOKUP(Table73[[#This Row],[Date]],Database!$A:$C,MATCH($C$1,Database!$A$1:$C$1,),)=0,#N/A,VLOOKUP(Table73[[#This Row],[Date]],Database!$A:$C,MATCH($C$1,Database!$A$1:$C$1,),))</f>
        <v/>
      </c>
      <c r="D3570">
        <f>IFERROR(Table73[[#This Row],[United States 10y]]-Table73[[#This Row],[United States 2y]],#N/A)</f>
        <v/>
      </c>
    </row>
    <row r="3571">
      <c r="A3571" s="6">
        <f>Database!A3570</f>
        <v/>
      </c>
      <c r="B3571">
        <f>IF(VLOOKUP(Table73[[#This Row],[Date]],Database!$A:$E,MATCH($B$1,Database!$A$1:$E$1,),)=0,#N/A,VLOOKUP(Table73[[#This Row],[Date]],Database!$A:$E,MATCH($B$1,Database!$A$1:$E$1,),))</f>
        <v/>
      </c>
      <c r="C3571">
        <f>IF(VLOOKUP(Table73[[#This Row],[Date]],Database!$A:$C,MATCH($C$1,Database!$A$1:$C$1,),)=0,#N/A,VLOOKUP(Table73[[#This Row],[Date]],Database!$A:$C,MATCH($C$1,Database!$A$1:$C$1,),))</f>
        <v/>
      </c>
      <c r="D3571">
        <f>IFERROR(Table73[[#This Row],[United States 10y]]-Table73[[#This Row],[United States 2y]],#N/A)</f>
        <v/>
      </c>
    </row>
    <row r="3572">
      <c r="A3572" s="6">
        <f>Database!A3571</f>
        <v/>
      </c>
      <c r="B3572">
        <f>IF(VLOOKUP(Table73[[#This Row],[Date]],Database!$A:$E,MATCH($B$1,Database!$A$1:$E$1,),)=0,#N/A,VLOOKUP(Table73[[#This Row],[Date]],Database!$A:$E,MATCH($B$1,Database!$A$1:$E$1,),))</f>
        <v/>
      </c>
      <c r="C3572">
        <f>IF(VLOOKUP(Table73[[#This Row],[Date]],Database!$A:$C,MATCH($C$1,Database!$A$1:$C$1,),)=0,#N/A,VLOOKUP(Table73[[#This Row],[Date]],Database!$A:$C,MATCH($C$1,Database!$A$1:$C$1,),))</f>
        <v/>
      </c>
      <c r="D3572">
        <f>IFERROR(Table73[[#This Row],[United States 10y]]-Table73[[#This Row],[United States 2y]],#N/A)</f>
        <v/>
      </c>
    </row>
    <row r="3573">
      <c r="A3573" s="6">
        <f>Database!A3572</f>
        <v/>
      </c>
      <c r="B3573">
        <f>IF(VLOOKUP(Table73[[#This Row],[Date]],Database!$A:$E,MATCH($B$1,Database!$A$1:$E$1,),)=0,#N/A,VLOOKUP(Table73[[#This Row],[Date]],Database!$A:$E,MATCH($B$1,Database!$A$1:$E$1,),))</f>
        <v/>
      </c>
      <c r="C3573">
        <f>IF(VLOOKUP(Table73[[#This Row],[Date]],Database!$A:$C,MATCH($C$1,Database!$A$1:$C$1,),)=0,#N/A,VLOOKUP(Table73[[#This Row],[Date]],Database!$A:$C,MATCH($C$1,Database!$A$1:$C$1,),))</f>
        <v/>
      </c>
      <c r="D3573">
        <f>IFERROR(Table73[[#This Row],[United States 10y]]-Table73[[#This Row],[United States 2y]],#N/A)</f>
        <v/>
      </c>
    </row>
    <row r="3574">
      <c r="A3574" s="6">
        <f>Database!A3573</f>
        <v/>
      </c>
      <c r="B3574">
        <f>IF(VLOOKUP(Table73[[#This Row],[Date]],Database!$A:$E,MATCH($B$1,Database!$A$1:$E$1,),)=0,#N/A,VLOOKUP(Table73[[#This Row],[Date]],Database!$A:$E,MATCH($B$1,Database!$A$1:$E$1,),))</f>
        <v/>
      </c>
      <c r="C3574">
        <f>IF(VLOOKUP(Table73[[#This Row],[Date]],Database!$A:$C,MATCH($C$1,Database!$A$1:$C$1,),)=0,#N/A,VLOOKUP(Table73[[#This Row],[Date]],Database!$A:$C,MATCH($C$1,Database!$A$1:$C$1,),))</f>
        <v/>
      </c>
      <c r="D3574">
        <f>IFERROR(Table73[[#This Row],[United States 10y]]-Table73[[#This Row],[United States 2y]],#N/A)</f>
        <v/>
      </c>
    </row>
    <row r="3575">
      <c r="A3575" s="6">
        <f>Database!A3574</f>
        <v/>
      </c>
      <c r="B3575">
        <f>IF(VLOOKUP(Table73[[#This Row],[Date]],Database!$A:$E,MATCH($B$1,Database!$A$1:$E$1,),)=0,#N/A,VLOOKUP(Table73[[#This Row],[Date]],Database!$A:$E,MATCH($B$1,Database!$A$1:$E$1,),))</f>
        <v/>
      </c>
      <c r="C3575">
        <f>IF(VLOOKUP(Table73[[#This Row],[Date]],Database!$A:$C,MATCH($C$1,Database!$A$1:$C$1,),)=0,#N/A,VLOOKUP(Table73[[#This Row],[Date]],Database!$A:$C,MATCH($C$1,Database!$A$1:$C$1,),))</f>
        <v/>
      </c>
      <c r="D3575">
        <f>IFERROR(Table73[[#This Row],[United States 10y]]-Table73[[#This Row],[United States 2y]],#N/A)</f>
        <v/>
      </c>
    </row>
    <row r="3576">
      <c r="A3576" s="6">
        <f>Database!A3575</f>
        <v/>
      </c>
      <c r="B3576">
        <f>IF(VLOOKUP(Table73[[#This Row],[Date]],Database!$A:$E,MATCH($B$1,Database!$A$1:$E$1,),)=0,#N/A,VLOOKUP(Table73[[#This Row],[Date]],Database!$A:$E,MATCH($B$1,Database!$A$1:$E$1,),))</f>
        <v/>
      </c>
      <c r="C3576">
        <f>IF(VLOOKUP(Table73[[#This Row],[Date]],Database!$A:$C,MATCH($C$1,Database!$A$1:$C$1,),)=0,#N/A,VLOOKUP(Table73[[#This Row],[Date]],Database!$A:$C,MATCH($C$1,Database!$A$1:$C$1,),))</f>
        <v/>
      </c>
      <c r="D3576">
        <f>IFERROR(Table73[[#This Row],[United States 10y]]-Table73[[#This Row],[United States 2y]],#N/A)</f>
        <v/>
      </c>
    </row>
    <row r="3577">
      <c r="A3577" s="6">
        <f>Database!A3576</f>
        <v/>
      </c>
      <c r="B3577">
        <f>IF(VLOOKUP(Table73[[#This Row],[Date]],Database!$A:$E,MATCH($B$1,Database!$A$1:$E$1,),)=0,#N/A,VLOOKUP(Table73[[#This Row],[Date]],Database!$A:$E,MATCH($B$1,Database!$A$1:$E$1,),))</f>
        <v/>
      </c>
      <c r="C3577">
        <f>IF(VLOOKUP(Table73[[#This Row],[Date]],Database!$A:$C,MATCH($C$1,Database!$A$1:$C$1,),)=0,#N/A,VLOOKUP(Table73[[#This Row],[Date]],Database!$A:$C,MATCH($C$1,Database!$A$1:$C$1,),))</f>
        <v/>
      </c>
      <c r="D3577">
        <f>IFERROR(Table73[[#This Row],[United States 10y]]-Table73[[#This Row],[United States 2y]],#N/A)</f>
        <v/>
      </c>
    </row>
    <row r="3578">
      <c r="A3578" s="6">
        <f>Database!A3577</f>
        <v/>
      </c>
      <c r="B3578">
        <f>IF(VLOOKUP(Table73[[#This Row],[Date]],Database!$A:$E,MATCH($B$1,Database!$A$1:$E$1,),)=0,#N/A,VLOOKUP(Table73[[#This Row],[Date]],Database!$A:$E,MATCH($B$1,Database!$A$1:$E$1,),))</f>
        <v/>
      </c>
      <c r="C3578">
        <f>IF(VLOOKUP(Table73[[#This Row],[Date]],Database!$A:$C,MATCH($C$1,Database!$A$1:$C$1,),)=0,#N/A,VLOOKUP(Table73[[#This Row],[Date]],Database!$A:$C,MATCH($C$1,Database!$A$1:$C$1,),))</f>
        <v/>
      </c>
      <c r="D3578">
        <f>IFERROR(Table73[[#This Row],[United States 10y]]-Table73[[#This Row],[United States 2y]],#N/A)</f>
        <v/>
      </c>
    </row>
    <row r="3579">
      <c r="A3579" s="6">
        <f>Database!A3578</f>
        <v/>
      </c>
      <c r="B3579">
        <f>IF(VLOOKUP(Table73[[#This Row],[Date]],Database!$A:$E,MATCH($B$1,Database!$A$1:$E$1,),)=0,#N/A,VLOOKUP(Table73[[#This Row],[Date]],Database!$A:$E,MATCH($B$1,Database!$A$1:$E$1,),))</f>
        <v/>
      </c>
      <c r="C3579">
        <f>IF(VLOOKUP(Table73[[#This Row],[Date]],Database!$A:$C,MATCH($C$1,Database!$A$1:$C$1,),)=0,#N/A,VLOOKUP(Table73[[#This Row],[Date]],Database!$A:$C,MATCH($C$1,Database!$A$1:$C$1,),))</f>
        <v/>
      </c>
      <c r="D3579">
        <f>IFERROR(Table73[[#This Row],[United States 10y]]-Table73[[#This Row],[United States 2y]],#N/A)</f>
        <v/>
      </c>
    </row>
    <row r="3580">
      <c r="A3580" s="6">
        <f>Database!A3579</f>
        <v/>
      </c>
      <c r="B3580">
        <f>IF(VLOOKUP(Table73[[#This Row],[Date]],Database!$A:$E,MATCH($B$1,Database!$A$1:$E$1,),)=0,#N/A,VLOOKUP(Table73[[#This Row],[Date]],Database!$A:$E,MATCH($B$1,Database!$A$1:$E$1,),))</f>
        <v/>
      </c>
      <c r="C3580">
        <f>IF(VLOOKUP(Table73[[#This Row],[Date]],Database!$A:$C,MATCH($C$1,Database!$A$1:$C$1,),)=0,#N/A,VLOOKUP(Table73[[#This Row],[Date]],Database!$A:$C,MATCH($C$1,Database!$A$1:$C$1,),))</f>
        <v/>
      </c>
      <c r="D3580">
        <f>IFERROR(Table73[[#This Row],[United States 10y]]-Table73[[#This Row],[United States 2y]],#N/A)</f>
        <v/>
      </c>
    </row>
    <row r="3581">
      <c r="A3581" s="6">
        <f>Database!A3580</f>
        <v/>
      </c>
      <c r="B3581">
        <f>IF(VLOOKUP(Table73[[#This Row],[Date]],Database!$A:$E,MATCH($B$1,Database!$A$1:$E$1,),)=0,#N/A,VLOOKUP(Table73[[#This Row],[Date]],Database!$A:$E,MATCH($B$1,Database!$A$1:$E$1,),))</f>
        <v/>
      </c>
      <c r="C3581">
        <f>IF(VLOOKUP(Table73[[#This Row],[Date]],Database!$A:$C,MATCH($C$1,Database!$A$1:$C$1,),)=0,#N/A,VLOOKUP(Table73[[#This Row],[Date]],Database!$A:$C,MATCH($C$1,Database!$A$1:$C$1,),))</f>
        <v/>
      </c>
      <c r="D3581">
        <f>IFERROR(Table73[[#This Row],[United States 10y]]-Table73[[#This Row],[United States 2y]],#N/A)</f>
        <v/>
      </c>
    </row>
    <row r="3582">
      <c r="A3582" s="6">
        <f>Database!A3581</f>
        <v/>
      </c>
      <c r="B3582">
        <f>IF(VLOOKUP(Table73[[#This Row],[Date]],Database!$A:$E,MATCH($B$1,Database!$A$1:$E$1,),)=0,#N/A,VLOOKUP(Table73[[#This Row],[Date]],Database!$A:$E,MATCH($B$1,Database!$A$1:$E$1,),))</f>
        <v/>
      </c>
      <c r="C3582">
        <f>IF(VLOOKUP(Table73[[#This Row],[Date]],Database!$A:$C,MATCH($C$1,Database!$A$1:$C$1,),)=0,#N/A,VLOOKUP(Table73[[#This Row],[Date]],Database!$A:$C,MATCH($C$1,Database!$A$1:$C$1,),))</f>
        <v/>
      </c>
      <c r="D3582">
        <f>IFERROR(Table73[[#This Row],[United States 10y]]-Table73[[#This Row],[United States 2y]],#N/A)</f>
        <v/>
      </c>
    </row>
    <row r="3583">
      <c r="A3583" s="6">
        <f>Database!A3582</f>
        <v/>
      </c>
      <c r="B3583">
        <f>IF(VLOOKUP(Table73[[#This Row],[Date]],Database!$A:$E,MATCH($B$1,Database!$A$1:$E$1,),)=0,#N/A,VLOOKUP(Table73[[#This Row],[Date]],Database!$A:$E,MATCH($B$1,Database!$A$1:$E$1,),))</f>
        <v/>
      </c>
      <c r="C3583">
        <f>IF(VLOOKUP(Table73[[#This Row],[Date]],Database!$A:$C,MATCH($C$1,Database!$A$1:$C$1,),)=0,#N/A,VLOOKUP(Table73[[#This Row],[Date]],Database!$A:$C,MATCH($C$1,Database!$A$1:$C$1,),))</f>
        <v/>
      </c>
      <c r="D3583">
        <f>IFERROR(Table73[[#This Row],[United States 10y]]-Table73[[#This Row],[United States 2y]],#N/A)</f>
        <v/>
      </c>
    </row>
    <row r="3584">
      <c r="A3584" s="6">
        <f>Database!A3583</f>
        <v/>
      </c>
      <c r="B3584">
        <f>IF(VLOOKUP(Table73[[#This Row],[Date]],Database!$A:$E,MATCH($B$1,Database!$A$1:$E$1,),)=0,#N/A,VLOOKUP(Table73[[#This Row],[Date]],Database!$A:$E,MATCH($B$1,Database!$A$1:$E$1,),))</f>
        <v/>
      </c>
      <c r="C3584">
        <f>IF(VLOOKUP(Table73[[#This Row],[Date]],Database!$A:$C,MATCH($C$1,Database!$A$1:$C$1,),)=0,#N/A,VLOOKUP(Table73[[#This Row],[Date]],Database!$A:$C,MATCH($C$1,Database!$A$1:$C$1,),))</f>
        <v/>
      </c>
      <c r="D3584">
        <f>IFERROR(Table73[[#This Row],[United States 10y]]-Table73[[#This Row],[United States 2y]],#N/A)</f>
        <v/>
      </c>
    </row>
    <row r="3585">
      <c r="A3585" s="6">
        <f>Database!A3584</f>
        <v/>
      </c>
      <c r="B3585">
        <f>IF(VLOOKUP(Table73[[#This Row],[Date]],Database!$A:$E,MATCH($B$1,Database!$A$1:$E$1,),)=0,#N/A,VLOOKUP(Table73[[#This Row],[Date]],Database!$A:$E,MATCH($B$1,Database!$A$1:$E$1,),))</f>
        <v/>
      </c>
      <c r="C3585">
        <f>IF(VLOOKUP(Table73[[#This Row],[Date]],Database!$A:$C,MATCH($C$1,Database!$A$1:$C$1,),)=0,#N/A,VLOOKUP(Table73[[#This Row],[Date]],Database!$A:$C,MATCH($C$1,Database!$A$1:$C$1,),))</f>
        <v/>
      </c>
      <c r="D3585">
        <f>IFERROR(Table73[[#This Row],[United States 10y]]-Table73[[#This Row],[United States 2y]],#N/A)</f>
        <v/>
      </c>
    </row>
    <row r="3586">
      <c r="A3586" s="6">
        <f>Database!A3585</f>
        <v/>
      </c>
      <c r="B3586">
        <f>IF(VLOOKUP(Table73[[#This Row],[Date]],Database!$A:$E,MATCH($B$1,Database!$A$1:$E$1,),)=0,#N/A,VLOOKUP(Table73[[#This Row],[Date]],Database!$A:$E,MATCH($B$1,Database!$A$1:$E$1,),))</f>
        <v/>
      </c>
      <c r="C3586">
        <f>IF(VLOOKUP(Table73[[#This Row],[Date]],Database!$A:$C,MATCH($C$1,Database!$A$1:$C$1,),)=0,#N/A,VLOOKUP(Table73[[#This Row],[Date]],Database!$A:$C,MATCH($C$1,Database!$A$1:$C$1,),))</f>
        <v/>
      </c>
      <c r="D3586">
        <f>IFERROR(Table73[[#This Row],[United States 10y]]-Table73[[#This Row],[United States 2y]],#N/A)</f>
        <v/>
      </c>
    </row>
    <row r="3587">
      <c r="A3587" s="6">
        <f>Database!A3586</f>
        <v/>
      </c>
      <c r="B3587">
        <f>IF(VLOOKUP(Table73[[#This Row],[Date]],Database!$A:$E,MATCH($B$1,Database!$A$1:$E$1,),)=0,#N/A,VLOOKUP(Table73[[#This Row],[Date]],Database!$A:$E,MATCH($B$1,Database!$A$1:$E$1,),))</f>
        <v/>
      </c>
      <c r="C3587">
        <f>IF(VLOOKUP(Table73[[#This Row],[Date]],Database!$A:$C,MATCH($C$1,Database!$A$1:$C$1,),)=0,#N/A,VLOOKUP(Table73[[#This Row],[Date]],Database!$A:$C,MATCH($C$1,Database!$A$1:$C$1,),))</f>
        <v/>
      </c>
      <c r="D3587">
        <f>IFERROR(Table73[[#This Row],[United States 10y]]-Table73[[#This Row],[United States 2y]],#N/A)</f>
        <v/>
      </c>
    </row>
    <row r="3588">
      <c r="A3588" s="6">
        <f>Database!A3587</f>
        <v/>
      </c>
      <c r="B3588">
        <f>IF(VLOOKUP(Table73[[#This Row],[Date]],Database!$A:$E,MATCH($B$1,Database!$A$1:$E$1,),)=0,#N/A,VLOOKUP(Table73[[#This Row],[Date]],Database!$A:$E,MATCH($B$1,Database!$A$1:$E$1,),))</f>
        <v/>
      </c>
      <c r="C3588">
        <f>IF(VLOOKUP(Table73[[#This Row],[Date]],Database!$A:$C,MATCH($C$1,Database!$A$1:$C$1,),)=0,#N/A,VLOOKUP(Table73[[#This Row],[Date]],Database!$A:$C,MATCH($C$1,Database!$A$1:$C$1,),))</f>
        <v/>
      </c>
      <c r="D3588">
        <f>IFERROR(Table73[[#This Row],[United States 10y]]-Table73[[#This Row],[United States 2y]],#N/A)</f>
        <v/>
      </c>
    </row>
    <row r="3589">
      <c r="A3589" s="6">
        <f>Database!A3588</f>
        <v/>
      </c>
      <c r="B3589">
        <f>IF(VLOOKUP(Table73[[#This Row],[Date]],Database!$A:$E,MATCH($B$1,Database!$A$1:$E$1,),)=0,#N/A,VLOOKUP(Table73[[#This Row],[Date]],Database!$A:$E,MATCH($B$1,Database!$A$1:$E$1,),))</f>
        <v/>
      </c>
      <c r="C3589">
        <f>IF(VLOOKUP(Table73[[#This Row],[Date]],Database!$A:$C,MATCH($C$1,Database!$A$1:$C$1,),)=0,#N/A,VLOOKUP(Table73[[#This Row],[Date]],Database!$A:$C,MATCH($C$1,Database!$A$1:$C$1,),))</f>
        <v/>
      </c>
      <c r="D3589">
        <f>IFERROR(Table73[[#This Row],[United States 10y]]-Table73[[#This Row],[United States 2y]],#N/A)</f>
        <v/>
      </c>
    </row>
    <row r="3590">
      <c r="A3590" s="6">
        <f>Database!A3589</f>
        <v/>
      </c>
      <c r="B3590">
        <f>IF(VLOOKUP(Table73[[#This Row],[Date]],Database!$A:$E,MATCH($B$1,Database!$A$1:$E$1,),)=0,#N/A,VLOOKUP(Table73[[#This Row],[Date]],Database!$A:$E,MATCH($B$1,Database!$A$1:$E$1,),))</f>
        <v/>
      </c>
      <c r="C3590">
        <f>IF(VLOOKUP(Table73[[#This Row],[Date]],Database!$A:$C,MATCH($C$1,Database!$A$1:$C$1,),)=0,#N/A,VLOOKUP(Table73[[#This Row],[Date]],Database!$A:$C,MATCH($C$1,Database!$A$1:$C$1,),))</f>
        <v/>
      </c>
      <c r="D3590">
        <f>IFERROR(Table73[[#This Row],[United States 10y]]-Table73[[#This Row],[United States 2y]],#N/A)</f>
        <v/>
      </c>
    </row>
    <row r="3591">
      <c r="A3591" s="6">
        <f>Database!A3590</f>
        <v/>
      </c>
      <c r="B3591">
        <f>IF(VLOOKUP(Table73[[#This Row],[Date]],Database!$A:$E,MATCH($B$1,Database!$A$1:$E$1,),)=0,#N/A,VLOOKUP(Table73[[#This Row],[Date]],Database!$A:$E,MATCH($B$1,Database!$A$1:$E$1,),))</f>
        <v/>
      </c>
      <c r="C3591">
        <f>IF(VLOOKUP(Table73[[#This Row],[Date]],Database!$A:$C,MATCH($C$1,Database!$A$1:$C$1,),)=0,#N/A,VLOOKUP(Table73[[#This Row],[Date]],Database!$A:$C,MATCH($C$1,Database!$A$1:$C$1,),))</f>
        <v/>
      </c>
      <c r="D3591">
        <f>IFERROR(Table73[[#This Row],[United States 10y]]-Table73[[#This Row],[United States 2y]],#N/A)</f>
        <v/>
      </c>
    </row>
    <row r="3592">
      <c r="A3592" s="6">
        <f>Database!A3591</f>
        <v/>
      </c>
      <c r="B3592">
        <f>IF(VLOOKUP(Table73[[#This Row],[Date]],Database!$A:$E,MATCH($B$1,Database!$A$1:$E$1,),)=0,#N/A,VLOOKUP(Table73[[#This Row],[Date]],Database!$A:$E,MATCH($B$1,Database!$A$1:$E$1,),))</f>
        <v/>
      </c>
      <c r="C3592">
        <f>IF(VLOOKUP(Table73[[#This Row],[Date]],Database!$A:$C,MATCH($C$1,Database!$A$1:$C$1,),)=0,#N/A,VLOOKUP(Table73[[#This Row],[Date]],Database!$A:$C,MATCH($C$1,Database!$A$1:$C$1,),))</f>
        <v/>
      </c>
      <c r="D3592">
        <f>IFERROR(Table73[[#This Row],[United States 10y]]-Table73[[#This Row],[United States 2y]],#N/A)</f>
        <v/>
      </c>
    </row>
    <row r="3593">
      <c r="A3593" s="6">
        <f>Database!A3592</f>
        <v/>
      </c>
      <c r="B3593">
        <f>IF(VLOOKUP(Table73[[#This Row],[Date]],Database!$A:$E,MATCH($B$1,Database!$A$1:$E$1,),)=0,#N/A,VLOOKUP(Table73[[#This Row],[Date]],Database!$A:$E,MATCH($B$1,Database!$A$1:$E$1,),))</f>
        <v/>
      </c>
      <c r="C3593">
        <f>IF(VLOOKUP(Table73[[#This Row],[Date]],Database!$A:$C,MATCH($C$1,Database!$A$1:$C$1,),)=0,#N/A,VLOOKUP(Table73[[#This Row],[Date]],Database!$A:$C,MATCH($C$1,Database!$A$1:$C$1,),))</f>
        <v/>
      </c>
      <c r="D3593">
        <f>IFERROR(Table73[[#This Row],[United States 10y]]-Table73[[#This Row],[United States 2y]],#N/A)</f>
        <v/>
      </c>
    </row>
    <row r="3594">
      <c r="A3594" s="6">
        <f>Database!A3593</f>
        <v/>
      </c>
      <c r="B3594">
        <f>IF(VLOOKUP(Table73[[#This Row],[Date]],Database!$A:$E,MATCH($B$1,Database!$A$1:$E$1,),)=0,#N/A,VLOOKUP(Table73[[#This Row],[Date]],Database!$A:$E,MATCH($B$1,Database!$A$1:$E$1,),))</f>
        <v/>
      </c>
      <c r="C3594">
        <f>IF(VLOOKUP(Table73[[#This Row],[Date]],Database!$A:$C,MATCH($C$1,Database!$A$1:$C$1,),)=0,#N/A,VLOOKUP(Table73[[#This Row],[Date]],Database!$A:$C,MATCH($C$1,Database!$A$1:$C$1,),))</f>
        <v/>
      </c>
      <c r="D3594">
        <f>IFERROR(Table73[[#This Row],[United States 10y]]-Table73[[#This Row],[United States 2y]],#N/A)</f>
        <v/>
      </c>
    </row>
    <row r="3595">
      <c r="A3595" s="6">
        <f>Database!A3594</f>
        <v/>
      </c>
      <c r="B3595">
        <f>IF(VLOOKUP(Table73[[#This Row],[Date]],Database!$A:$E,MATCH($B$1,Database!$A$1:$E$1,),)=0,#N/A,VLOOKUP(Table73[[#This Row],[Date]],Database!$A:$E,MATCH($B$1,Database!$A$1:$E$1,),))</f>
        <v/>
      </c>
      <c r="C3595">
        <f>IF(VLOOKUP(Table73[[#This Row],[Date]],Database!$A:$C,MATCH($C$1,Database!$A$1:$C$1,),)=0,#N/A,VLOOKUP(Table73[[#This Row],[Date]],Database!$A:$C,MATCH($C$1,Database!$A$1:$C$1,),))</f>
        <v/>
      </c>
      <c r="D3595">
        <f>IFERROR(Table73[[#This Row],[United States 10y]]-Table73[[#This Row],[United States 2y]],#N/A)</f>
        <v/>
      </c>
    </row>
    <row r="3596">
      <c r="A3596" s="6">
        <f>Database!A3595</f>
        <v/>
      </c>
      <c r="B3596">
        <f>IF(VLOOKUP(Table73[[#This Row],[Date]],Database!$A:$E,MATCH($B$1,Database!$A$1:$E$1,),)=0,#N/A,VLOOKUP(Table73[[#This Row],[Date]],Database!$A:$E,MATCH($B$1,Database!$A$1:$E$1,),))</f>
        <v/>
      </c>
      <c r="C3596">
        <f>IF(VLOOKUP(Table73[[#This Row],[Date]],Database!$A:$C,MATCH($C$1,Database!$A$1:$C$1,),)=0,#N/A,VLOOKUP(Table73[[#This Row],[Date]],Database!$A:$C,MATCH($C$1,Database!$A$1:$C$1,),))</f>
        <v/>
      </c>
      <c r="D3596">
        <f>IFERROR(Table73[[#This Row],[United States 10y]]-Table73[[#This Row],[United States 2y]],#N/A)</f>
        <v/>
      </c>
    </row>
    <row r="3597">
      <c r="A3597" s="6">
        <f>Database!A3596</f>
        <v/>
      </c>
      <c r="B3597">
        <f>IF(VLOOKUP(Table73[[#This Row],[Date]],Database!$A:$E,MATCH($B$1,Database!$A$1:$E$1,),)=0,#N/A,VLOOKUP(Table73[[#This Row],[Date]],Database!$A:$E,MATCH($B$1,Database!$A$1:$E$1,),))</f>
        <v/>
      </c>
      <c r="C3597">
        <f>IF(VLOOKUP(Table73[[#This Row],[Date]],Database!$A:$C,MATCH($C$1,Database!$A$1:$C$1,),)=0,#N/A,VLOOKUP(Table73[[#This Row],[Date]],Database!$A:$C,MATCH($C$1,Database!$A$1:$C$1,),))</f>
        <v/>
      </c>
      <c r="D3597">
        <f>IFERROR(Table73[[#This Row],[United States 10y]]-Table73[[#This Row],[United States 2y]],#N/A)</f>
        <v/>
      </c>
    </row>
    <row r="3598">
      <c r="A3598" s="6">
        <f>Database!A3597</f>
        <v/>
      </c>
      <c r="B3598">
        <f>IF(VLOOKUP(Table73[[#This Row],[Date]],Database!$A:$E,MATCH($B$1,Database!$A$1:$E$1,),)=0,#N/A,VLOOKUP(Table73[[#This Row],[Date]],Database!$A:$E,MATCH($B$1,Database!$A$1:$E$1,),))</f>
        <v/>
      </c>
      <c r="C3598">
        <f>IF(VLOOKUP(Table73[[#This Row],[Date]],Database!$A:$C,MATCH($C$1,Database!$A$1:$C$1,),)=0,#N/A,VLOOKUP(Table73[[#This Row],[Date]],Database!$A:$C,MATCH($C$1,Database!$A$1:$C$1,),))</f>
        <v/>
      </c>
      <c r="D3598">
        <f>IFERROR(Table73[[#This Row],[United States 10y]]-Table73[[#This Row],[United States 2y]],#N/A)</f>
        <v/>
      </c>
    </row>
    <row r="3599">
      <c r="A3599" s="6">
        <f>Database!A3598</f>
        <v/>
      </c>
      <c r="B3599">
        <f>IF(VLOOKUP(Table73[[#This Row],[Date]],Database!$A:$E,MATCH($B$1,Database!$A$1:$E$1,),)=0,#N/A,VLOOKUP(Table73[[#This Row],[Date]],Database!$A:$E,MATCH($B$1,Database!$A$1:$E$1,),))</f>
        <v/>
      </c>
      <c r="C3599">
        <f>IF(VLOOKUP(Table73[[#This Row],[Date]],Database!$A:$C,MATCH($C$1,Database!$A$1:$C$1,),)=0,#N/A,VLOOKUP(Table73[[#This Row],[Date]],Database!$A:$C,MATCH($C$1,Database!$A$1:$C$1,),))</f>
        <v/>
      </c>
      <c r="D3599">
        <f>IFERROR(Table73[[#This Row],[United States 10y]]-Table73[[#This Row],[United States 2y]],#N/A)</f>
        <v/>
      </c>
    </row>
    <row r="3600">
      <c r="A3600" s="6">
        <f>Database!A3599</f>
        <v/>
      </c>
      <c r="B3600">
        <f>IF(VLOOKUP(Table73[[#This Row],[Date]],Database!$A:$E,MATCH($B$1,Database!$A$1:$E$1,),)=0,#N/A,VLOOKUP(Table73[[#This Row],[Date]],Database!$A:$E,MATCH($B$1,Database!$A$1:$E$1,),))</f>
        <v/>
      </c>
      <c r="C3600">
        <f>IF(VLOOKUP(Table73[[#This Row],[Date]],Database!$A:$C,MATCH($C$1,Database!$A$1:$C$1,),)=0,#N/A,VLOOKUP(Table73[[#This Row],[Date]],Database!$A:$C,MATCH($C$1,Database!$A$1:$C$1,),))</f>
        <v/>
      </c>
      <c r="D3600">
        <f>IFERROR(Table73[[#This Row],[United States 10y]]-Table73[[#This Row],[United States 2y]],#N/A)</f>
        <v/>
      </c>
    </row>
    <row r="3601">
      <c r="A3601" s="6">
        <f>Database!A3600</f>
        <v/>
      </c>
      <c r="B3601">
        <f>IF(VLOOKUP(Table73[[#This Row],[Date]],Database!$A:$E,MATCH($B$1,Database!$A$1:$E$1,),)=0,#N/A,VLOOKUP(Table73[[#This Row],[Date]],Database!$A:$E,MATCH($B$1,Database!$A$1:$E$1,),))</f>
        <v/>
      </c>
      <c r="C3601">
        <f>IF(VLOOKUP(Table73[[#This Row],[Date]],Database!$A:$C,MATCH($C$1,Database!$A$1:$C$1,),)=0,#N/A,VLOOKUP(Table73[[#This Row],[Date]],Database!$A:$C,MATCH($C$1,Database!$A$1:$C$1,),))</f>
        <v/>
      </c>
      <c r="D3601">
        <f>IFERROR(Table73[[#This Row],[United States 10y]]-Table73[[#This Row],[United States 2y]],#N/A)</f>
        <v/>
      </c>
    </row>
    <row r="3602">
      <c r="A3602" s="6">
        <f>Database!A3601</f>
        <v/>
      </c>
      <c r="B3602">
        <f>IF(VLOOKUP(Table73[[#This Row],[Date]],Database!$A:$E,MATCH($B$1,Database!$A$1:$E$1,),)=0,#N/A,VLOOKUP(Table73[[#This Row],[Date]],Database!$A:$E,MATCH($B$1,Database!$A$1:$E$1,),))</f>
        <v/>
      </c>
      <c r="C3602">
        <f>IF(VLOOKUP(Table73[[#This Row],[Date]],Database!$A:$C,MATCH($C$1,Database!$A$1:$C$1,),)=0,#N/A,VLOOKUP(Table73[[#This Row],[Date]],Database!$A:$C,MATCH($C$1,Database!$A$1:$C$1,),))</f>
        <v/>
      </c>
      <c r="D3602">
        <f>IFERROR(Table73[[#This Row],[United States 10y]]-Table73[[#This Row],[United States 2y]],#N/A)</f>
        <v/>
      </c>
    </row>
    <row r="3603">
      <c r="A3603" s="6">
        <f>Database!A3602</f>
        <v/>
      </c>
      <c r="B3603">
        <f>IF(VLOOKUP(Table73[[#This Row],[Date]],Database!$A:$E,MATCH($B$1,Database!$A$1:$E$1,),)=0,#N/A,VLOOKUP(Table73[[#This Row],[Date]],Database!$A:$E,MATCH($B$1,Database!$A$1:$E$1,),))</f>
        <v/>
      </c>
      <c r="C3603">
        <f>IF(VLOOKUP(Table73[[#This Row],[Date]],Database!$A:$C,MATCH($C$1,Database!$A$1:$C$1,),)=0,#N/A,VLOOKUP(Table73[[#This Row],[Date]],Database!$A:$C,MATCH($C$1,Database!$A$1:$C$1,),))</f>
        <v/>
      </c>
      <c r="D3603">
        <f>IFERROR(Table73[[#This Row],[United States 10y]]-Table73[[#This Row],[United States 2y]],#N/A)</f>
        <v/>
      </c>
    </row>
    <row r="3604">
      <c r="A3604" s="6">
        <f>Database!A3603</f>
        <v/>
      </c>
      <c r="B3604">
        <f>IF(VLOOKUP(Table73[[#This Row],[Date]],Database!$A:$E,MATCH($B$1,Database!$A$1:$E$1,),)=0,#N/A,VLOOKUP(Table73[[#This Row],[Date]],Database!$A:$E,MATCH($B$1,Database!$A$1:$E$1,),))</f>
        <v/>
      </c>
      <c r="C3604">
        <f>IF(VLOOKUP(Table73[[#This Row],[Date]],Database!$A:$C,MATCH($C$1,Database!$A$1:$C$1,),)=0,#N/A,VLOOKUP(Table73[[#This Row],[Date]],Database!$A:$C,MATCH($C$1,Database!$A$1:$C$1,),))</f>
        <v/>
      </c>
      <c r="D3604">
        <f>IFERROR(Table73[[#This Row],[United States 10y]]-Table73[[#This Row],[United States 2y]],#N/A)</f>
        <v/>
      </c>
    </row>
    <row r="3605">
      <c r="A3605" s="6">
        <f>Database!A3604</f>
        <v/>
      </c>
      <c r="B3605">
        <f>IF(VLOOKUP(Table73[[#This Row],[Date]],Database!$A:$E,MATCH($B$1,Database!$A$1:$E$1,),)=0,#N/A,VLOOKUP(Table73[[#This Row],[Date]],Database!$A:$E,MATCH($B$1,Database!$A$1:$E$1,),))</f>
        <v/>
      </c>
      <c r="C3605">
        <f>IF(VLOOKUP(Table73[[#This Row],[Date]],Database!$A:$C,MATCH($C$1,Database!$A$1:$C$1,),)=0,#N/A,VLOOKUP(Table73[[#This Row],[Date]],Database!$A:$C,MATCH($C$1,Database!$A$1:$C$1,),))</f>
        <v/>
      </c>
      <c r="D3605">
        <f>IFERROR(Table73[[#This Row],[United States 10y]]-Table73[[#This Row],[United States 2y]],#N/A)</f>
        <v/>
      </c>
    </row>
    <row r="3606">
      <c r="A3606" s="6">
        <f>Database!A3605</f>
        <v/>
      </c>
      <c r="B3606">
        <f>IF(VLOOKUP(Table73[[#This Row],[Date]],Database!$A:$E,MATCH($B$1,Database!$A$1:$E$1,),)=0,#N/A,VLOOKUP(Table73[[#This Row],[Date]],Database!$A:$E,MATCH($B$1,Database!$A$1:$E$1,),))</f>
        <v/>
      </c>
      <c r="C3606">
        <f>IF(VLOOKUP(Table73[[#This Row],[Date]],Database!$A:$C,MATCH($C$1,Database!$A$1:$C$1,),)=0,#N/A,VLOOKUP(Table73[[#This Row],[Date]],Database!$A:$C,MATCH($C$1,Database!$A$1:$C$1,),))</f>
        <v/>
      </c>
      <c r="D3606">
        <f>IFERROR(Table73[[#This Row],[United States 10y]]-Table73[[#This Row],[United States 2y]],#N/A)</f>
        <v/>
      </c>
    </row>
    <row r="3607">
      <c r="A3607" s="6">
        <f>Database!A3606</f>
        <v/>
      </c>
      <c r="B3607">
        <f>IF(VLOOKUP(Table73[[#This Row],[Date]],Database!$A:$E,MATCH($B$1,Database!$A$1:$E$1,),)=0,#N/A,VLOOKUP(Table73[[#This Row],[Date]],Database!$A:$E,MATCH($B$1,Database!$A$1:$E$1,),))</f>
        <v/>
      </c>
      <c r="C3607">
        <f>IF(VLOOKUP(Table73[[#This Row],[Date]],Database!$A:$C,MATCH($C$1,Database!$A$1:$C$1,),)=0,#N/A,VLOOKUP(Table73[[#This Row],[Date]],Database!$A:$C,MATCH($C$1,Database!$A$1:$C$1,),))</f>
        <v/>
      </c>
      <c r="D3607">
        <f>IFERROR(Table73[[#This Row],[United States 10y]]-Table73[[#This Row],[United States 2y]],#N/A)</f>
        <v/>
      </c>
    </row>
    <row r="3608">
      <c r="A3608" s="6">
        <f>Database!A3607</f>
        <v/>
      </c>
      <c r="B3608">
        <f>IF(VLOOKUP(Table73[[#This Row],[Date]],Database!$A:$E,MATCH($B$1,Database!$A$1:$E$1,),)=0,#N/A,VLOOKUP(Table73[[#This Row],[Date]],Database!$A:$E,MATCH($B$1,Database!$A$1:$E$1,),))</f>
        <v/>
      </c>
      <c r="C3608">
        <f>IF(VLOOKUP(Table73[[#This Row],[Date]],Database!$A:$C,MATCH($C$1,Database!$A$1:$C$1,),)=0,#N/A,VLOOKUP(Table73[[#This Row],[Date]],Database!$A:$C,MATCH($C$1,Database!$A$1:$C$1,),))</f>
        <v/>
      </c>
      <c r="D3608">
        <f>IFERROR(Table73[[#This Row],[United States 10y]]-Table73[[#This Row],[United States 2y]],#N/A)</f>
        <v/>
      </c>
    </row>
    <row r="3609">
      <c r="A3609" s="6">
        <f>Database!A3608</f>
        <v/>
      </c>
      <c r="B3609">
        <f>IF(VLOOKUP(Table73[[#This Row],[Date]],Database!$A:$E,MATCH($B$1,Database!$A$1:$E$1,),)=0,#N/A,VLOOKUP(Table73[[#This Row],[Date]],Database!$A:$E,MATCH($B$1,Database!$A$1:$E$1,),))</f>
        <v/>
      </c>
      <c r="C3609">
        <f>IF(VLOOKUP(Table73[[#This Row],[Date]],Database!$A:$C,MATCH($C$1,Database!$A$1:$C$1,),)=0,#N/A,VLOOKUP(Table73[[#This Row],[Date]],Database!$A:$C,MATCH($C$1,Database!$A$1:$C$1,),))</f>
        <v/>
      </c>
      <c r="D3609">
        <f>IFERROR(Table73[[#This Row],[United States 10y]]-Table73[[#This Row],[United States 2y]],#N/A)</f>
        <v/>
      </c>
    </row>
    <row r="3610">
      <c r="A3610" s="6">
        <f>Database!A3609</f>
        <v/>
      </c>
      <c r="B3610">
        <f>IF(VLOOKUP(Table73[[#This Row],[Date]],Database!$A:$E,MATCH($B$1,Database!$A$1:$E$1,),)=0,#N/A,VLOOKUP(Table73[[#This Row],[Date]],Database!$A:$E,MATCH($B$1,Database!$A$1:$E$1,),))</f>
        <v/>
      </c>
      <c r="C3610">
        <f>IF(VLOOKUP(Table73[[#This Row],[Date]],Database!$A:$C,MATCH($C$1,Database!$A$1:$C$1,),)=0,#N/A,VLOOKUP(Table73[[#This Row],[Date]],Database!$A:$C,MATCH($C$1,Database!$A$1:$C$1,),))</f>
        <v/>
      </c>
      <c r="D3610">
        <f>IFERROR(Table73[[#This Row],[United States 10y]]-Table73[[#This Row],[United States 2y]],#N/A)</f>
        <v/>
      </c>
    </row>
    <row r="3611">
      <c r="A3611" s="6">
        <f>Database!A3610</f>
        <v/>
      </c>
      <c r="B3611">
        <f>IF(VLOOKUP(Table73[[#This Row],[Date]],Database!$A:$E,MATCH($B$1,Database!$A$1:$E$1,),)=0,#N/A,VLOOKUP(Table73[[#This Row],[Date]],Database!$A:$E,MATCH($B$1,Database!$A$1:$E$1,),))</f>
        <v/>
      </c>
      <c r="C3611">
        <f>IF(VLOOKUP(Table73[[#This Row],[Date]],Database!$A:$C,MATCH($C$1,Database!$A$1:$C$1,),)=0,#N/A,VLOOKUP(Table73[[#This Row],[Date]],Database!$A:$C,MATCH($C$1,Database!$A$1:$C$1,),))</f>
        <v/>
      </c>
      <c r="D3611">
        <f>IFERROR(Table73[[#This Row],[United States 10y]]-Table73[[#This Row],[United States 2y]],#N/A)</f>
        <v/>
      </c>
    </row>
    <row r="3612">
      <c r="A3612" s="6">
        <f>Database!A3611</f>
        <v/>
      </c>
      <c r="B3612">
        <f>IF(VLOOKUP(Table73[[#This Row],[Date]],Database!$A:$E,MATCH($B$1,Database!$A$1:$E$1,),)=0,#N/A,VLOOKUP(Table73[[#This Row],[Date]],Database!$A:$E,MATCH($B$1,Database!$A$1:$E$1,),))</f>
        <v/>
      </c>
      <c r="C3612">
        <f>IF(VLOOKUP(Table73[[#This Row],[Date]],Database!$A:$C,MATCH($C$1,Database!$A$1:$C$1,),)=0,#N/A,VLOOKUP(Table73[[#This Row],[Date]],Database!$A:$C,MATCH($C$1,Database!$A$1:$C$1,),))</f>
        <v/>
      </c>
      <c r="D3612">
        <f>IFERROR(Table73[[#This Row],[United States 10y]]-Table73[[#This Row],[United States 2y]],#N/A)</f>
        <v/>
      </c>
    </row>
    <row r="3613">
      <c r="A3613" s="6">
        <f>Database!A3612</f>
        <v/>
      </c>
      <c r="B3613">
        <f>IF(VLOOKUP(Table73[[#This Row],[Date]],Database!$A:$E,MATCH($B$1,Database!$A$1:$E$1,),)=0,#N/A,VLOOKUP(Table73[[#This Row],[Date]],Database!$A:$E,MATCH($B$1,Database!$A$1:$E$1,),))</f>
        <v/>
      </c>
      <c r="C3613">
        <f>IF(VLOOKUP(Table73[[#This Row],[Date]],Database!$A:$C,MATCH($C$1,Database!$A$1:$C$1,),)=0,#N/A,VLOOKUP(Table73[[#This Row],[Date]],Database!$A:$C,MATCH($C$1,Database!$A$1:$C$1,),))</f>
        <v/>
      </c>
      <c r="D3613">
        <f>IFERROR(Table73[[#This Row],[United States 10y]]-Table73[[#This Row],[United States 2y]],#N/A)</f>
        <v/>
      </c>
    </row>
    <row r="3614">
      <c r="A3614" s="6">
        <f>Database!A3613</f>
        <v/>
      </c>
      <c r="B3614">
        <f>IF(VLOOKUP(Table73[[#This Row],[Date]],Database!$A:$E,MATCH($B$1,Database!$A$1:$E$1,),)=0,#N/A,VLOOKUP(Table73[[#This Row],[Date]],Database!$A:$E,MATCH($B$1,Database!$A$1:$E$1,),))</f>
        <v/>
      </c>
      <c r="C3614">
        <f>IF(VLOOKUP(Table73[[#This Row],[Date]],Database!$A:$C,MATCH($C$1,Database!$A$1:$C$1,),)=0,#N/A,VLOOKUP(Table73[[#This Row],[Date]],Database!$A:$C,MATCH($C$1,Database!$A$1:$C$1,),))</f>
        <v/>
      </c>
      <c r="D3614">
        <f>IFERROR(Table73[[#This Row],[United States 10y]]-Table73[[#This Row],[United States 2y]],#N/A)</f>
        <v/>
      </c>
    </row>
    <row r="3615">
      <c r="A3615" s="6">
        <f>Database!A3614</f>
        <v/>
      </c>
      <c r="B3615">
        <f>IF(VLOOKUP(Table73[[#This Row],[Date]],Database!$A:$E,MATCH($B$1,Database!$A$1:$E$1,),)=0,#N/A,VLOOKUP(Table73[[#This Row],[Date]],Database!$A:$E,MATCH($B$1,Database!$A$1:$E$1,),))</f>
        <v/>
      </c>
      <c r="C3615">
        <f>IF(VLOOKUP(Table73[[#This Row],[Date]],Database!$A:$C,MATCH($C$1,Database!$A$1:$C$1,),)=0,#N/A,VLOOKUP(Table73[[#This Row],[Date]],Database!$A:$C,MATCH($C$1,Database!$A$1:$C$1,),))</f>
        <v/>
      </c>
      <c r="D3615">
        <f>IFERROR(Table73[[#This Row],[United States 10y]]-Table73[[#This Row],[United States 2y]],#N/A)</f>
        <v/>
      </c>
    </row>
    <row r="3616">
      <c r="A3616" s="6">
        <f>Database!A3615</f>
        <v/>
      </c>
      <c r="B3616">
        <f>IF(VLOOKUP(Table73[[#This Row],[Date]],Database!$A:$E,MATCH($B$1,Database!$A$1:$E$1,),)=0,#N/A,VLOOKUP(Table73[[#This Row],[Date]],Database!$A:$E,MATCH($B$1,Database!$A$1:$E$1,),))</f>
        <v/>
      </c>
      <c r="C3616">
        <f>IF(VLOOKUP(Table73[[#This Row],[Date]],Database!$A:$C,MATCH($C$1,Database!$A$1:$C$1,),)=0,#N/A,VLOOKUP(Table73[[#This Row],[Date]],Database!$A:$C,MATCH($C$1,Database!$A$1:$C$1,),))</f>
        <v/>
      </c>
      <c r="D3616">
        <f>IFERROR(Table73[[#This Row],[United States 10y]]-Table73[[#This Row],[United States 2y]],#N/A)</f>
        <v/>
      </c>
    </row>
    <row r="3617">
      <c r="A3617" s="6">
        <f>Database!A3616</f>
        <v/>
      </c>
      <c r="B3617">
        <f>IF(VLOOKUP(Table73[[#This Row],[Date]],Database!$A:$E,MATCH($B$1,Database!$A$1:$E$1,),)=0,#N/A,VLOOKUP(Table73[[#This Row],[Date]],Database!$A:$E,MATCH($B$1,Database!$A$1:$E$1,),))</f>
        <v/>
      </c>
      <c r="C3617">
        <f>IF(VLOOKUP(Table73[[#This Row],[Date]],Database!$A:$C,MATCH($C$1,Database!$A$1:$C$1,),)=0,#N/A,VLOOKUP(Table73[[#This Row],[Date]],Database!$A:$C,MATCH($C$1,Database!$A$1:$C$1,),))</f>
        <v/>
      </c>
      <c r="D3617">
        <f>IFERROR(Table73[[#This Row],[United States 10y]]-Table73[[#This Row],[United States 2y]],#N/A)</f>
        <v/>
      </c>
    </row>
    <row r="3618">
      <c r="A3618" s="6">
        <f>Database!A3617</f>
        <v/>
      </c>
      <c r="B3618">
        <f>IF(VLOOKUP(Table73[[#This Row],[Date]],Database!$A:$E,MATCH($B$1,Database!$A$1:$E$1,),)=0,#N/A,VLOOKUP(Table73[[#This Row],[Date]],Database!$A:$E,MATCH($B$1,Database!$A$1:$E$1,),))</f>
        <v/>
      </c>
      <c r="C3618">
        <f>IF(VLOOKUP(Table73[[#This Row],[Date]],Database!$A:$C,MATCH($C$1,Database!$A$1:$C$1,),)=0,#N/A,VLOOKUP(Table73[[#This Row],[Date]],Database!$A:$C,MATCH($C$1,Database!$A$1:$C$1,),))</f>
        <v/>
      </c>
      <c r="D3618">
        <f>IFERROR(Table73[[#This Row],[United States 10y]]-Table73[[#This Row],[United States 2y]],#N/A)</f>
        <v/>
      </c>
    </row>
    <row r="3619">
      <c r="A3619" s="6">
        <f>Database!A3618</f>
        <v/>
      </c>
      <c r="B3619">
        <f>IF(VLOOKUP(Table73[[#This Row],[Date]],Database!$A:$E,MATCH($B$1,Database!$A$1:$E$1,),)=0,#N/A,VLOOKUP(Table73[[#This Row],[Date]],Database!$A:$E,MATCH($B$1,Database!$A$1:$E$1,),))</f>
        <v/>
      </c>
      <c r="C3619">
        <f>IF(VLOOKUP(Table73[[#This Row],[Date]],Database!$A:$C,MATCH($C$1,Database!$A$1:$C$1,),)=0,#N/A,VLOOKUP(Table73[[#This Row],[Date]],Database!$A:$C,MATCH($C$1,Database!$A$1:$C$1,),))</f>
        <v/>
      </c>
      <c r="D3619">
        <f>IFERROR(Table73[[#This Row],[United States 10y]]-Table73[[#This Row],[United States 2y]],#N/A)</f>
        <v/>
      </c>
    </row>
    <row r="3620">
      <c r="A3620" s="6">
        <f>Database!A3619</f>
        <v/>
      </c>
      <c r="B3620">
        <f>IF(VLOOKUP(Table73[[#This Row],[Date]],Database!$A:$E,MATCH($B$1,Database!$A$1:$E$1,),)=0,#N/A,VLOOKUP(Table73[[#This Row],[Date]],Database!$A:$E,MATCH($B$1,Database!$A$1:$E$1,),))</f>
        <v/>
      </c>
      <c r="C3620">
        <f>IF(VLOOKUP(Table73[[#This Row],[Date]],Database!$A:$C,MATCH($C$1,Database!$A$1:$C$1,),)=0,#N/A,VLOOKUP(Table73[[#This Row],[Date]],Database!$A:$C,MATCH($C$1,Database!$A$1:$C$1,),))</f>
        <v/>
      </c>
      <c r="D3620">
        <f>IFERROR(Table73[[#This Row],[United States 10y]]-Table73[[#This Row],[United States 2y]],#N/A)</f>
        <v/>
      </c>
    </row>
    <row r="3621">
      <c r="A3621" s="6">
        <f>Database!A3620</f>
        <v/>
      </c>
      <c r="B3621">
        <f>IF(VLOOKUP(Table73[[#This Row],[Date]],Database!$A:$E,MATCH($B$1,Database!$A$1:$E$1,),)=0,#N/A,VLOOKUP(Table73[[#This Row],[Date]],Database!$A:$E,MATCH($B$1,Database!$A$1:$E$1,),))</f>
        <v/>
      </c>
      <c r="C3621">
        <f>IF(VLOOKUP(Table73[[#This Row],[Date]],Database!$A:$C,MATCH($C$1,Database!$A$1:$C$1,),)=0,#N/A,VLOOKUP(Table73[[#This Row],[Date]],Database!$A:$C,MATCH($C$1,Database!$A$1:$C$1,),))</f>
        <v/>
      </c>
      <c r="D3621">
        <f>IFERROR(Table73[[#This Row],[United States 10y]]-Table73[[#This Row],[United States 2y]],#N/A)</f>
        <v/>
      </c>
    </row>
    <row r="3622">
      <c r="A3622" s="6">
        <f>Database!A3621</f>
        <v/>
      </c>
      <c r="B3622">
        <f>IF(VLOOKUP(Table73[[#This Row],[Date]],Database!$A:$E,MATCH($B$1,Database!$A$1:$E$1,),)=0,#N/A,VLOOKUP(Table73[[#This Row],[Date]],Database!$A:$E,MATCH($B$1,Database!$A$1:$E$1,),))</f>
        <v/>
      </c>
      <c r="C3622">
        <f>IF(VLOOKUP(Table73[[#This Row],[Date]],Database!$A:$C,MATCH($C$1,Database!$A$1:$C$1,),)=0,#N/A,VLOOKUP(Table73[[#This Row],[Date]],Database!$A:$C,MATCH($C$1,Database!$A$1:$C$1,),))</f>
        <v/>
      </c>
      <c r="D3622">
        <f>IFERROR(Table73[[#This Row],[United States 10y]]-Table73[[#This Row],[United States 2y]],#N/A)</f>
        <v/>
      </c>
    </row>
    <row r="3623">
      <c r="A3623" s="6">
        <f>Database!A3622</f>
        <v/>
      </c>
      <c r="B3623">
        <f>IF(VLOOKUP(Table73[[#This Row],[Date]],Database!$A:$E,MATCH($B$1,Database!$A$1:$E$1,),)=0,#N/A,VLOOKUP(Table73[[#This Row],[Date]],Database!$A:$E,MATCH($B$1,Database!$A$1:$E$1,),))</f>
        <v/>
      </c>
      <c r="C3623">
        <f>IF(VLOOKUP(Table73[[#This Row],[Date]],Database!$A:$C,MATCH($C$1,Database!$A$1:$C$1,),)=0,#N/A,VLOOKUP(Table73[[#This Row],[Date]],Database!$A:$C,MATCH($C$1,Database!$A$1:$C$1,),))</f>
        <v/>
      </c>
      <c r="D3623">
        <f>IFERROR(Table73[[#This Row],[United States 10y]]-Table73[[#This Row],[United States 2y]],#N/A)</f>
        <v/>
      </c>
    </row>
    <row r="3624">
      <c r="A3624" s="6">
        <f>Database!A3623</f>
        <v/>
      </c>
      <c r="B3624">
        <f>IF(VLOOKUP(Table73[[#This Row],[Date]],Database!$A:$E,MATCH($B$1,Database!$A$1:$E$1,),)=0,#N/A,VLOOKUP(Table73[[#This Row],[Date]],Database!$A:$E,MATCH($B$1,Database!$A$1:$E$1,),))</f>
        <v/>
      </c>
      <c r="C3624">
        <f>IF(VLOOKUP(Table73[[#This Row],[Date]],Database!$A:$C,MATCH($C$1,Database!$A$1:$C$1,),)=0,#N/A,VLOOKUP(Table73[[#This Row],[Date]],Database!$A:$C,MATCH($C$1,Database!$A$1:$C$1,),))</f>
        <v/>
      </c>
      <c r="D3624">
        <f>IFERROR(Table73[[#This Row],[United States 10y]]-Table73[[#This Row],[United States 2y]],#N/A)</f>
        <v/>
      </c>
    </row>
    <row r="3625">
      <c r="A3625" s="6">
        <f>Database!A3624</f>
        <v/>
      </c>
      <c r="B3625">
        <f>IF(VLOOKUP(Table73[[#This Row],[Date]],Database!$A:$E,MATCH($B$1,Database!$A$1:$E$1,),)=0,#N/A,VLOOKUP(Table73[[#This Row],[Date]],Database!$A:$E,MATCH($B$1,Database!$A$1:$E$1,),))</f>
        <v/>
      </c>
      <c r="C3625">
        <f>IF(VLOOKUP(Table73[[#This Row],[Date]],Database!$A:$C,MATCH($C$1,Database!$A$1:$C$1,),)=0,#N/A,VLOOKUP(Table73[[#This Row],[Date]],Database!$A:$C,MATCH($C$1,Database!$A$1:$C$1,),))</f>
        <v/>
      </c>
      <c r="D3625">
        <f>IFERROR(Table73[[#This Row],[United States 10y]]-Table73[[#This Row],[United States 2y]],#N/A)</f>
        <v/>
      </c>
    </row>
    <row r="3626">
      <c r="A3626" s="6">
        <f>Database!A3625</f>
        <v/>
      </c>
      <c r="B3626">
        <f>IF(VLOOKUP(Table73[[#This Row],[Date]],Database!$A:$E,MATCH($B$1,Database!$A$1:$E$1,),)=0,#N/A,VLOOKUP(Table73[[#This Row],[Date]],Database!$A:$E,MATCH($B$1,Database!$A$1:$E$1,),))</f>
        <v/>
      </c>
      <c r="C3626">
        <f>IF(VLOOKUP(Table73[[#This Row],[Date]],Database!$A:$C,MATCH($C$1,Database!$A$1:$C$1,),)=0,#N/A,VLOOKUP(Table73[[#This Row],[Date]],Database!$A:$C,MATCH($C$1,Database!$A$1:$C$1,),))</f>
        <v/>
      </c>
      <c r="D3626">
        <f>IFERROR(Table73[[#This Row],[United States 10y]]-Table73[[#This Row],[United States 2y]],#N/A)</f>
        <v/>
      </c>
    </row>
    <row r="3627">
      <c r="A3627" s="6">
        <f>Database!A3626</f>
        <v/>
      </c>
      <c r="B3627">
        <f>IF(VLOOKUP(Table73[[#This Row],[Date]],Database!$A:$E,MATCH($B$1,Database!$A$1:$E$1,),)=0,#N/A,VLOOKUP(Table73[[#This Row],[Date]],Database!$A:$E,MATCH($B$1,Database!$A$1:$E$1,),))</f>
        <v/>
      </c>
      <c r="C3627">
        <f>IF(VLOOKUP(Table73[[#This Row],[Date]],Database!$A:$C,MATCH($C$1,Database!$A$1:$C$1,),)=0,#N/A,VLOOKUP(Table73[[#This Row],[Date]],Database!$A:$C,MATCH($C$1,Database!$A$1:$C$1,),))</f>
        <v/>
      </c>
      <c r="D3627">
        <f>IFERROR(Table73[[#This Row],[United States 10y]]-Table73[[#This Row],[United States 2y]],#N/A)</f>
        <v/>
      </c>
    </row>
    <row r="3628">
      <c r="A3628" s="6">
        <f>Database!A3627</f>
        <v/>
      </c>
      <c r="B3628">
        <f>IF(VLOOKUP(Table73[[#This Row],[Date]],Database!$A:$E,MATCH($B$1,Database!$A$1:$E$1,),)=0,#N/A,VLOOKUP(Table73[[#This Row],[Date]],Database!$A:$E,MATCH($B$1,Database!$A$1:$E$1,),))</f>
        <v/>
      </c>
      <c r="C3628">
        <f>IF(VLOOKUP(Table73[[#This Row],[Date]],Database!$A:$C,MATCH($C$1,Database!$A$1:$C$1,),)=0,#N/A,VLOOKUP(Table73[[#This Row],[Date]],Database!$A:$C,MATCH($C$1,Database!$A$1:$C$1,),))</f>
        <v/>
      </c>
      <c r="D3628">
        <f>IFERROR(Table73[[#This Row],[United States 10y]]-Table73[[#This Row],[United States 2y]],#N/A)</f>
        <v/>
      </c>
    </row>
    <row r="3629">
      <c r="A3629" s="6">
        <f>Database!A3628</f>
        <v/>
      </c>
      <c r="B3629">
        <f>IF(VLOOKUP(Table73[[#This Row],[Date]],Database!$A:$E,MATCH($B$1,Database!$A$1:$E$1,),)=0,#N/A,VLOOKUP(Table73[[#This Row],[Date]],Database!$A:$E,MATCH($B$1,Database!$A$1:$E$1,),))</f>
        <v/>
      </c>
      <c r="C3629">
        <f>IF(VLOOKUP(Table73[[#This Row],[Date]],Database!$A:$C,MATCH($C$1,Database!$A$1:$C$1,),)=0,#N/A,VLOOKUP(Table73[[#This Row],[Date]],Database!$A:$C,MATCH($C$1,Database!$A$1:$C$1,),))</f>
        <v/>
      </c>
      <c r="D3629">
        <f>IFERROR(Table73[[#This Row],[United States 10y]]-Table73[[#This Row],[United States 2y]],#N/A)</f>
        <v/>
      </c>
    </row>
    <row r="3630">
      <c r="A3630" s="6">
        <f>Database!A3629</f>
        <v/>
      </c>
      <c r="B3630">
        <f>IF(VLOOKUP(Table73[[#This Row],[Date]],Database!$A:$E,MATCH($B$1,Database!$A$1:$E$1,),)=0,#N/A,VLOOKUP(Table73[[#This Row],[Date]],Database!$A:$E,MATCH($B$1,Database!$A$1:$E$1,),))</f>
        <v/>
      </c>
      <c r="C3630">
        <f>IF(VLOOKUP(Table73[[#This Row],[Date]],Database!$A:$C,MATCH($C$1,Database!$A$1:$C$1,),)=0,#N/A,VLOOKUP(Table73[[#This Row],[Date]],Database!$A:$C,MATCH($C$1,Database!$A$1:$C$1,),))</f>
        <v/>
      </c>
      <c r="D3630">
        <f>IFERROR(Table73[[#This Row],[United States 10y]]-Table73[[#This Row],[United States 2y]],#N/A)</f>
        <v/>
      </c>
    </row>
    <row r="3631">
      <c r="A3631" s="6">
        <f>Database!A3630</f>
        <v/>
      </c>
      <c r="B3631">
        <f>IF(VLOOKUP(Table73[[#This Row],[Date]],Database!$A:$E,MATCH($B$1,Database!$A$1:$E$1,),)=0,#N/A,VLOOKUP(Table73[[#This Row],[Date]],Database!$A:$E,MATCH($B$1,Database!$A$1:$E$1,),))</f>
        <v/>
      </c>
      <c r="C3631">
        <f>IF(VLOOKUP(Table73[[#This Row],[Date]],Database!$A:$C,MATCH($C$1,Database!$A$1:$C$1,),)=0,#N/A,VLOOKUP(Table73[[#This Row],[Date]],Database!$A:$C,MATCH($C$1,Database!$A$1:$C$1,),))</f>
        <v/>
      </c>
      <c r="D3631">
        <f>IFERROR(Table73[[#This Row],[United States 10y]]-Table73[[#This Row],[United States 2y]],#N/A)</f>
        <v/>
      </c>
    </row>
    <row r="3632">
      <c r="A3632" s="6">
        <f>Database!A3631</f>
        <v/>
      </c>
      <c r="B3632">
        <f>IF(VLOOKUP(Table73[[#This Row],[Date]],Database!$A:$E,MATCH($B$1,Database!$A$1:$E$1,),)=0,#N/A,VLOOKUP(Table73[[#This Row],[Date]],Database!$A:$E,MATCH($B$1,Database!$A$1:$E$1,),))</f>
        <v/>
      </c>
      <c r="C3632">
        <f>IF(VLOOKUP(Table73[[#This Row],[Date]],Database!$A:$C,MATCH($C$1,Database!$A$1:$C$1,),)=0,#N/A,VLOOKUP(Table73[[#This Row],[Date]],Database!$A:$C,MATCH($C$1,Database!$A$1:$C$1,),))</f>
        <v/>
      </c>
      <c r="D3632">
        <f>IFERROR(Table73[[#This Row],[United States 10y]]-Table73[[#This Row],[United States 2y]],#N/A)</f>
        <v/>
      </c>
    </row>
    <row r="3633">
      <c r="A3633" s="6">
        <f>Database!A3632</f>
        <v/>
      </c>
      <c r="B3633">
        <f>IF(VLOOKUP(Table73[[#This Row],[Date]],Database!$A:$E,MATCH($B$1,Database!$A$1:$E$1,),)=0,#N/A,VLOOKUP(Table73[[#This Row],[Date]],Database!$A:$E,MATCH($B$1,Database!$A$1:$E$1,),))</f>
        <v/>
      </c>
      <c r="C3633">
        <f>IF(VLOOKUP(Table73[[#This Row],[Date]],Database!$A:$C,MATCH($C$1,Database!$A$1:$C$1,),)=0,#N/A,VLOOKUP(Table73[[#This Row],[Date]],Database!$A:$C,MATCH($C$1,Database!$A$1:$C$1,),))</f>
        <v/>
      </c>
      <c r="D3633">
        <f>IFERROR(Table73[[#This Row],[United States 10y]]-Table73[[#This Row],[United States 2y]],#N/A)</f>
        <v/>
      </c>
    </row>
    <row r="3634">
      <c r="A3634" s="6">
        <f>Database!A3633</f>
        <v/>
      </c>
      <c r="B3634">
        <f>IF(VLOOKUP(Table73[[#This Row],[Date]],Database!$A:$E,MATCH($B$1,Database!$A$1:$E$1,),)=0,#N/A,VLOOKUP(Table73[[#This Row],[Date]],Database!$A:$E,MATCH($B$1,Database!$A$1:$E$1,),))</f>
        <v/>
      </c>
      <c r="C3634">
        <f>IF(VLOOKUP(Table73[[#This Row],[Date]],Database!$A:$C,MATCH($C$1,Database!$A$1:$C$1,),)=0,#N/A,VLOOKUP(Table73[[#This Row],[Date]],Database!$A:$C,MATCH($C$1,Database!$A$1:$C$1,),))</f>
        <v/>
      </c>
      <c r="D3634">
        <f>IFERROR(Table73[[#This Row],[United States 10y]]-Table73[[#This Row],[United States 2y]],#N/A)</f>
        <v/>
      </c>
    </row>
    <row r="3635">
      <c r="A3635" s="6">
        <f>Database!A3634</f>
        <v/>
      </c>
      <c r="B3635">
        <f>IF(VLOOKUP(Table73[[#This Row],[Date]],Database!$A:$E,MATCH($B$1,Database!$A$1:$E$1,),)=0,#N/A,VLOOKUP(Table73[[#This Row],[Date]],Database!$A:$E,MATCH($B$1,Database!$A$1:$E$1,),))</f>
        <v/>
      </c>
      <c r="C3635">
        <f>IF(VLOOKUP(Table73[[#This Row],[Date]],Database!$A:$C,MATCH($C$1,Database!$A$1:$C$1,),)=0,#N/A,VLOOKUP(Table73[[#This Row],[Date]],Database!$A:$C,MATCH($C$1,Database!$A$1:$C$1,),))</f>
        <v/>
      </c>
      <c r="D3635">
        <f>IFERROR(Table73[[#This Row],[United States 10y]]-Table73[[#This Row],[United States 2y]],#N/A)</f>
        <v/>
      </c>
    </row>
    <row r="3636">
      <c r="A3636" s="6">
        <f>Database!A3635</f>
        <v/>
      </c>
      <c r="B3636">
        <f>IF(VLOOKUP(Table73[[#This Row],[Date]],Database!$A:$E,MATCH($B$1,Database!$A$1:$E$1,),)=0,#N/A,VLOOKUP(Table73[[#This Row],[Date]],Database!$A:$E,MATCH($B$1,Database!$A$1:$E$1,),))</f>
        <v/>
      </c>
      <c r="C3636">
        <f>IF(VLOOKUP(Table73[[#This Row],[Date]],Database!$A:$C,MATCH($C$1,Database!$A$1:$C$1,),)=0,#N/A,VLOOKUP(Table73[[#This Row],[Date]],Database!$A:$C,MATCH($C$1,Database!$A$1:$C$1,),))</f>
        <v/>
      </c>
      <c r="D3636">
        <f>IFERROR(Table73[[#This Row],[United States 10y]]-Table73[[#This Row],[United States 2y]],#N/A)</f>
        <v/>
      </c>
    </row>
    <row r="3637">
      <c r="A3637" s="6">
        <f>Database!A3636</f>
        <v/>
      </c>
      <c r="B3637">
        <f>IF(VLOOKUP(Table73[[#This Row],[Date]],Database!$A:$E,MATCH($B$1,Database!$A$1:$E$1,),)=0,#N/A,VLOOKUP(Table73[[#This Row],[Date]],Database!$A:$E,MATCH($B$1,Database!$A$1:$E$1,),))</f>
        <v/>
      </c>
      <c r="C3637">
        <f>IF(VLOOKUP(Table73[[#This Row],[Date]],Database!$A:$C,MATCH($C$1,Database!$A$1:$C$1,),)=0,#N/A,VLOOKUP(Table73[[#This Row],[Date]],Database!$A:$C,MATCH($C$1,Database!$A$1:$C$1,),))</f>
        <v/>
      </c>
      <c r="D3637">
        <f>IFERROR(Table73[[#This Row],[United States 10y]]-Table73[[#This Row],[United States 2y]],#N/A)</f>
        <v/>
      </c>
    </row>
    <row r="3638">
      <c r="A3638" s="6">
        <f>Database!A3637</f>
        <v/>
      </c>
      <c r="B3638">
        <f>IF(VLOOKUP(Table73[[#This Row],[Date]],Database!$A:$E,MATCH($B$1,Database!$A$1:$E$1,),)=0,#N/A,VLOOKUP(Table73[[#This Row],[Date]],Database!$A:$E,MATCH($B$1,Database!$A$1:$E$1,),))</f>
        <v/>
      </c>
      <c r="C3638">
        <f>IF(VLOOKUP(Table73[[#This Row],[Date]],Database!$A:$C,MATCH($C$1,Database!$A$1:$C$1,),)=0,#N/A,VLOOKUP(Table73[[#This Row],[Date]],Database!$A:$C,MATCH($C$1,Database!$A$1:$C$1,),))</f>
        <v/>
      </c>
      <c r="D3638">
        <f>IFERROR(Table73[[#This Row],[United States 10y]]-Table73[[#This Row],[United States 2y]],#N/A)</f>
        <v/>
      </c>
    </row>
    <row r="3639">
      <c r="A3639" s="6">
        <f>Database!A3638</f>
        <v/>
      </c>
      <c r="B3639">
        <f>IF(VLOOKUP(Table73[[#This Row],[Date]],Database!$A:$E,MATCH($B$1,Database!$A$1:$E$1,),)=0,#N/A,VLOOKUP(Table73[[#This Row],[Date]],Database!$A:$E,MATCH($B$1,Database!$A$1:$E$1,),))</f>
        <v/>
      </c>
      <c r="C3639">
        <f>IF(VLOOKUP(Table73[[#This Row],[Date]],Database!$A:$C,MATCH($C$1,Database!$A$1:$C$1,),)=0,#N/A,VLOOKUP(Table73[[#This Row],[Date]],Database!$A:$C,MATCH($C$1,Database!$A$1:$C$1,),))</f>
        <v/>
      </c>
      <c r="D3639">
        <f>IFERROR(Table73[[#This Row],[United States 10y]]-Table73[[#This Row],[United States 2y]],#N/A)</f>
        <v/>
      </c>
    </row>
    <row r="3640">
      <c r="A3640" s="6">
        <f>Database!A3639</f>
        <v/>
      </c>
      <c r="B3640">
        <f>IF(VLOOKUP(Table73[[#This Row],[Date]],Database!$A:$E,MATCH($B$1,Database!$A$1:$E$1,),)=0,#N/A,VLOOKUP(Table73[[#This Row],[Date]],Database!$A:$E,MATCH($B$1,Database!$A$1:$E$1,),))</f>
        <v/>
      </c>
      <c r="C3640">
        <f>IF(VLOOKUP(Table73[[#This Row],[Date]],Database!$A:$C,MATCH($C$1,Database!$A$1:$C$1,),)=0,#N/A,VLOOKUP(Table73[[#This Row],[Date]],Database!$A:$C,MATCH($C$1,Database!$A$1:$C$1,),))</f>
        <v/>
      </c>
      <c r="D3640">
        <f>IFERROR(Table73[[#This Row],[United States 10y]]-Table73[[#This Row],[United States 2y]],#N/A)</f>
        <v/>
      </c>
    </row>
    <row r="3641">
      <c r="A3641" s="6">
        <f>Database!A3640</f>
        <v/>
      </c>
      <c r="B3641">
        <f>IF(VLOOKUP(Table73[[#This Row],[Date]],Database!$A:$E,MATCH($B$1,Database!$A$1:$E$1,),)=0,#N/A,VLOOKUP(Table73[[#This Row],[Date]],Database!$A:$E,MATCH($B$1,Database!$A$1:$E$1,),))</f>
        <v/>
      </c>
      <c r="C3641">
        <f>IF(VLOOKUP(Table73[[#This Row],[Date]],Database!$A:$C,MATCH($C$1,Database!$A$1:$C$1,),)=0,#N/A,VLOOKUP(Table73[[#This Row],[Date]],Database!$A:$C,MATCH($C$1,Database!$A$1:$C$1,),))</f>
        <v/>
      </c>
      <c r="D3641">
        <f>IFERROR(Table73[[#This Row],[United States 10y]]-Table73[[#This Row],[United States 2y]],#N/A)</f>
        <v/>
      </c>
    </row>
    <row r="3642">
      <c r="A3642" s="6">
        <f>Database!A3641</f>
        <v/>
      </c>
      <c r="B3642">
        <f>IF(VLOOKUP(Table73[[#This Row],[Date]],Database!$A:$E,MATCH($B$1,Database!$A$1:$E$1,),)=0,#N/A,VLOOKUP(Table73[[#This Row],[Date]],Database!$A:$E,MATCH($B$1,Database!$A$1:$E$1,),))</f>
        <v/>
      </c>
      <c r="C3642">
        <f>IF(VLOOKUP(Table73[[#This Row],[Date]],Database!$A:$C,MATCH($C$1,Database!$A$1:$C$1,),)=0,#N/A,VLOOKUP(Table73[[#This Row],[Date]],Database!$A:$C,MATCH($C$1,Database!$A$1:$C$1,),))</f>
        <v/>
      </c>
      <c r="D3642">
        <f>IFERROR(Table73[[#This Row],[United States 10y]]-Table73[[#This Row],[United States 2y]],#N/A)</f>
        <v/>
      </c>
    </row>
    <row r="3643">
      <c r="A3643" s="6">
        <f>Database!A3642</f>
        <v/>
      </c>
      <c r="B3643">
        <f>IF(VLOOKUP(Table73[[#This Row],[Date]],Database!$A:$E,MATCH($B$1,Database!$A$1:$E$1,),)=0,#N/A,VLOOKUP(Table73[[#This Row],[Date]],Database!$A:$E,MATCH($B$1,Database!$A$1:$E$1,),))</f>
        <v/>
      </c>
      <c r="C3643">
        <f>IF(VLOOKUP(Table73[[#This Row],[Date]],Database!$A:$C,MATCH($C$1,Database!$A$1:$C$1,),)=0,#N/A,VLOOKUP(Table73[[#This Row],[Date]],Database!$A:$C,MATCH($C$1,Database!$A$1:$C$1,),))</f>
        <v/>
      </c>
      <c r="D3643">
        <f>IFERROR(Table73[[#This Row],[United States 10y]]-Table73[[#This Row],[United States 2y]],#N/A)</f>
        <v/>
      </c>
    </row>
    <row r="3644">
      <c r="A3644" s="6">
        <f>Database!A3643</f>
        <v/>
      </c>
      <c r="B3644">
        <f>IF(VLOOKUP(Table73[[#This Row],[Date]],Database!$A:$E,MATCH($B$1,Database!$A$1:$E$1,),)=0,#N/A,VLOOKUP(Table73[[#This Row],[Date]],Database!$A:$E,MATCH($B$1,Database!$A$1:$E$1,),))</f>
        <v/>
      </c>
      <c r="C3644">
        <f>IF(VLOOKUP(Table73[[#This Row],[Date]],Database!$A:$C,MATCH($C$1,Database!$A$1:$C$1,),)=0,#N/A,VLOOKUP(Table73[[#This Row],[Date]],Database!$A:$C,MATCH($C$1,Database!$A$1:$C$1,),))</f>
        <v/>
      </c>
      <c r="D3644">
        <f>IFERROR(Table73[[#This Row],[United States 10y]]-Table73[[#This Row],[United States 2y]],#N/A)</f>
        <v/>
      </c>
    </row>
    <row r="3645">
      <c r="A3645" s="6">
        <f>Database!A3644</f>
        <v/>
      </c>
      <c r="B3645">
        <f>IF(VLOOKUP(Table73[[#This Row],[Date]],Database!$A:$E,MATCH($B$1,Database!$A$1:$E$1,),)=0,#N/A,VLOOKUP(Table73[[#This Row],[Date]],Database!$A:$E,MATCH($B$1,Database!$A$1:$E$1,),))</f>
        <v/>
      </c>
      <c r="C3645">
        <f>IF(VLOOKUP(Table73[[#This Row],[Date]],Database!$A:$C,MATCH($C$1,Database!$A$1:$C$1,),)=0,#N/A,VLOOKUP(Table73[[#This Row],[Date]],Database!$A:$C,MATCH($C$1,Database!$A$1:$C$1,),))</f>
        <v/>
      </c>
      <c r="D3645">
        <f>IFERROR(Table73[[#This Row],[United States 10y]]-Table73[[#This Row],[United States 2y]],#N/A)</f>
        <v/>
      </c>
    </row>
    <row r="3646">
      <c r="A3646" s="6">
        <f>Database!A3645</f>
        <v/>
      </c>
      <c r="B3646">
        <f>IF(VLOOKUP(Table73[[#This Row],[Date]],Database!$A:$E,MATCH($B$1,Database!$A$1:$E$1,),)=0,#N/A,VLOOKUP(Table73[[#This Row],[Date]],Database!$A:$E,MATCH($B$1,Database!$A$1:$E$1,),))</f>
        <v/>
      </c>
      <c r="C3646">
        <f>IF(VLOOKUP(Table73[[#This Row],[Date]],Database!$A:$C,MATCH($C$1,Database!$A$1:$C$1,),)=0,#N/A,VLOOKUP(Table73[[#This Row],[Date]],Database!$A:$C,MATCH($C$1,Database!$A$1:$C$1,),))</f>
        <v/>
      </c>
      <c r="D3646">
        <f>IFERROR(Table73[[#This Row],[United States 10y]]-Table73[[#This Row],[United States 2y]],#N/A)</f>
        <v/>
      </c>
    </row>
    <row r="3647">
      <c r="A3647" s="6">
        <f>Database!A3646</f>
        <v/>
      </c>
      <c r="B3647">
        <f>IF(VLOOKUP(Table73[[#This Row],[Date]],Database!$A:$E,MATCH($B$1,Database!$A$1:$E$1,),)=0,#N/A,VLOOKUP(Table73[[#This Row],[Date]],Database!$A:$E,MATCH($B$1,Database!$A$1:$E$1,),))</f>
        <v/>
      </c>
      <c r="C3647">
        <f>IF(VLOOKUP(Table73[[#This Row],[Date]],Database!$A:$C,MATCH($C$1,Database!$A$1:$C$1,),)=0,#N/A,VLOOKUP(Table73[[#This Row],[Date]],Database!$A:$C,MATCH($C$1,Database!$A$1:$C$1,),))</f>
        <v/>
      </c>
      <c r="D3647">
        <f>IFERROR(Table73[[#This Row],[United States 10y]]-Table73[[#This Row],[United States 2y]],#N/A)</f>
        <v/>
      </c>
    </row>
    <row r="3648">
      <c r="A3648" s="6">
        <f>Database!A3647</f>
        <v/>
      </c>
      <c r="B3648">
        <f>IF(VLOOKUP(Table73[[#This Row],[Date]],Database!$A:$E,MATCH($B$1,Database!$A$1:$E$1,),)=0,#N/A,VLOOKUP(Table73[[#This Row],[Date]],Database!$A:$E,MATCH($B$1,Database!$A$1:$E$1,),))</f>
        <v/>
      </c>
      <c r="C3648">
        <f>IF(VLOOKUP(Table73[[#This Row],[Date]],Database!$A:$C,MATCH($C$1,Database!$A$1:$C$1,),)=0,#N/A,VLOOKUP(Table73[[#This Row],[Date]],Database!$A:$C,MATCH($C$1,Database!$A$1:$C$1,),))</f>
        <v/>
      </c>
      <c r="D3648">
        <f>IFERROR(Table73[[#This Row],[United States 10y]]-Table73[[#This Row],[United States 2y]],#N/A)</f>
        <v/>
      </c>
    </row>
    <row r="3649">
      <c r="A3649" s="6">
        <f>Database!A3648</f>
        <v/>
      </c>
      <c r="B3649">
        <f>IF(VLOOKUP(Table73[[#This Row],[Date]],Database!$A:$E,MATCH($B$1,Database!$A$1:$E$1,),)=0,#N/A,VLOOKUP(Table73[[#This Row],[Date]],Database!$A:$E,MATCH($B$1,Database!$A$1:$E$1,),))</f>
        <v/>
      </c>
      <c r="C3649">
        <f>IF(VLOOKUP(Table73[[#This Row],[Date]],Database!$A:$C,MATCH($C$1,Database!$A$1:$C$1,),)=0,#N/A,VLOOKUP(Table73[[#This Row],[Date]],Database!$A:$C,MATCH($C$1,Database!$A$1:$C$1,),))</f>
        <v/>
      </c>
      <c r="D3649">
        <f>IFERROR(Table73[[#This Row],[United States 10y]]-Table73[[#This Row],[United States 2y]],#N/A)</f>
        <v/>
      </c>
    </row>
    <row r="3650">
      <c r="A3650" s="6">
        <f>Database!A3649</f>
        <v/>
      </c>
      <c r="B3650">
        <f>IF(VLOOKUP(Table73[[#This Row],[Date]],Database!$A:$E,MATCH($B$1,Database!$A$1:$E$1,),)=0,#N/A,VLOOKUP(Table73[[#This Row],[Date]],Database!$A:$E,MATCH($B$1,Database!$A$1:$E$1,),))</f>
        <v/>
      </c>
      <c r="C3650">
        <f>IF(VLOOKUP(Table73[[#This Row],[Date]],Database!$A:$C,MATCH($C$1,Database!$A$1:$C$1,),)=0,#N/A,VLOOKUP(Table73[[#This Row],[Date]],Database!$A:$C,MATCH($C$1,Database!$A$1:$C$1,),))</f>
        <v/>
      </c>
      <c r="D3650">
        <f>IFERROR(Table73[[#This Row],[United States 10y]]-Table73[[#This Row],[United States 2y]],#N/A)</f>
        <v/>
      </c>
    </row>
    <row r="3651">
      <c r="A3651" s="6">
        <f>Database!A3650</f>
        <v/>
      </c>
      <c r="B3651">
        <f>IF(VLOOKUP(Table73[[#This Row],[Date]],Database!$A:$E,MATCH($B$1,Database!$A$1:$E$1,),)=0,#N/A,VLOOKUP(Table73[[#This Row],[Date]],Database!$A:$E,MATCH($B$1,Database!$A$1:$E$1,),))</f>
        <v/>
      </c>
      <c r="C3651">
        <f>IF(VLOOKUP(Table73[[#This Row],[Date]],Database!$A:$C,MATCH($C$1,Database!$A$1:$C$1,),)=0,#N/A,VLOOKUP(Table73[[#This Row],[Date]],Database!$A:$C,MATCH($C$1,Database!$A$1:$C$1,),))</f>
        <v/>
      </c>
      <c r="D3651">
        <f>IFERROR(Table73[[#This Row],[United States 10y]]-Table73[[#This Row],[United States 2y]],#N/A)</f>
        <v/>
      </c>
    </row>
    <row r="3652">
      <c r="A3652" s="6">
        <f>Database!A3651</f>
        <v/>
      </c>
      <c r="B3652">
        <f>IF(VLOOKUP(Table73[[#This Row],[Date]],Database!$A:$E,MATCH($B$1,Database!$A$1:$E$1,),)=0,#N/A,VLOOKUP(Table73[[#This Row],[Date]],Database!$A:$E,MATCH($B$1,Database!$A$1:$E$1,),))</f>
        <v/>
      </c>
      <c r="C3652">
        <f>IF(VLOOKUP(Table73[[#This Row],[Date]],Database!$A:$C,MATCH($C$1,Database!$A$1:$C$1,),)=0,#N/A,VLOOKUP(Table73[[#This Row],[Date]],Database!$A:$C,MATCH($C$1,Database!$A$1:$C$1,),))</f>
        <v/>
      </c>
      <c r="D3652">
        <f>IFERROR(Table73[[#This Row],[United States 10y]]-Table73[[#This Row],[United States 2y]],#N/A)</f>
        <v/>
      </c>
    </row>
    <row r="3653">
      <c r="A3653" s="6">
        <f>Database!A3652</f>
        <v/>
      </c>
      <c r="B3653">
        <f>IF(VLOOKUP(Table73[[#This Row],[Date]],Database!$A:$E,MATCH($B$1,Database!$A$1:$E$1,),)=0,#N/A,VLOOKUP(Table73[[#This Row],[Date]],Database!$A:$E,MATCH($B$1,Database!$A$1:$E$1,),))</f>
        <v/>
      </c>
      <c r="C3653">
        <f>IF(VLOOKUP(Table73[[#This Row],[Date]],Database!$A:$C,MATCH($C$1,Database!$A$1:$C$1,),)=0,#N/A,VLOOKUP(Table73[[#This Row],[Date]],Database!$A:$C,MATCH($C$1,Database!$A$1:$C$1,),))</f>
        <v/>
      </c>
      <c r="D3653">
        <f>IFERROR(Table73[[#This Row],[United States 10y]]-Table73[[#This Row],[United States 2y]],#N/A)</f>
        <v/>
      </c>
    </row>
    <row r="3654">
      <c r="A3654" s="6">
        <f>Database!A3653</f>
        <v/>
      </c>
      <c r="B3654">
        <f>IF(VLOOKUP(Table73[[#This Row],[Date]],Database!$A:$E,MATCH($B$1,Database!$A$1:$E$1,),)=0,#N/A,VLOOKUP(Table73[[#This Row],[Date]],Database!$A:$E,MATCH($B$1,Database!$A$1:$E$1,),))</f>
        <v/>
      </c>
      <c r="C3654">
        <f>IF(VLOOKUP(Table73[[#This Row],[Date]],Database!$A:$C,MATCH($C$1,Database!$A$1:$C$1,),)=0,#N/A,VLOOKUP(Table73[[#This Row],[Date]],Database!$A:$C,MATCH($C$1,Database!$A$1:$C$1,),))</f>
        <v/>
      </c>
      <c r="D3654">
        <f>IFERROR(Table73[[#This Row],[United States 10y]]-Table73[[#This Row],[United States 2y]],#N/A)</f>
        <v/>
      </c>
    </row>
    <row r="3655">
      <c r="A3655" s="6">
        <f>Database!A3654</f>
        <v/>
      </c>
      <c r="B3655">
        <f>IF(VLOOKUP(Table73[[#This Row],[Date]],Database!$A:$E,MATCH($B$1,Database!$A$1:$E$1,),)=0,#N/A,VLOOKUP(Table73[[#This Row],[Date]],Database!$A:$E,MATCH($B$1,Database!$A$1:$E$1,),))</f>
        <v/>
      </c>
      <c r="C3655">
        <f>IF(VLOOKUP(Table73[[#This Row],[Date]],Database!$A:$C,MATCH($C$1,Database!$A$1:$C$1,),)=0,#N/A,VLOOKUP(Table73[[#This Row],[Date]],Database!$A:$C,MATCH($C$1,Database!$A$1:$C$1,),))</f>
        <v/>
      </c>
      <c r="D3655">
        <f>IFERROR(Table73[[#This Row],[United States 10y]]-Table73[[#This Row],[United States 2y]],#N/A)</f>
        <v/>
      </c>
    </row>
    <row r="3656">
      <c r="A3656" s="6">
        <f>Database!A3655</f>
        <v/>
      </c>
      <c r="B3656">
        <f>IF(VLOOKUP(Table73[[#This Row],[Date]],Database!$A:$E,MATCH($B$1,Database!$A$1:$E$1,),)=0,#N/A,VLOOKUP(Table73[[#This Row],[Date]],Database!$A:$E,MATCH($B$1,Database!$A$1:$E$1,),))</f>
        <v/>
      </c>
      <c r="C3656">
        <f>IF(VLOOKUP(Table73[[#This Row],[Date]],Database!$A:$C,MATCH($C$1,Database!$A$1:$C$1,),)=0,#N/A,VLOOKUP(Table73[[#This Row],[Date]],Database!$A:$C,MATCH($C$1,Database!$A$1:$C$1,),))</f>
        <v/>
      </c>
      <c r="D3656">
        <f>IFERROR(Table73[[#This Row],[United States 10y]]-Table73[[#This Row],[United States 2y]],#N/A)</f>
        <v/>
      </c>
    </row>
    <row r="3657">
      <c r="A3657" s="6">
        <f>Database!A3656</f>
        <v/>
      </c>
      <c r="B3657">
        <f>IF(VLOOKUP(Table73[[#This Row],[Date]],Database!$A:$E,MATCH($B$1,Database!$A$1:$E$1,),)=0,#N/A,VLOOKUP(Table73[[#This Row],[Date]],Database!$A:$E,MATCH($B$1,Database!$A$1:$E$1,),))</f>
        <v/>
      </c>
      <c r="C3657">
        <f>IF(VLOOKUP(Table73[[#This Row],[Date]],Database!$A:$C,MATCH($C$1,Database!$A$1:$C$1,),)=0,#N/A,VLOOKUP(Table73[[#This Row],[Date]],Database!$A:$C,MATCH($C$1,Database!$A$1:$C$1,),))</f>
        <v/>
      </c>
      <c r="D3657">
        <f>IFERROR(Table73[[#This Row],[United States 10y]]-Table73[[#This Row],[United States 2y]],#N/A)</f>
        <v/>
      </c>
    </row>
    <row r="3658">
      <c r="A3658" s="6">
        <f>Database!A3657</f>
        <v/>
      </c>
      <c r="B3658">
        <f>IF(VLOOKUP(Table73[[#This Row],[Date]],Database!$A:$E,MATCH($B$1,Database!$A$1:$E$1,),)=0,#N/A,VLOOKUP(Table73[[#This Row],[Date]],Database!$A:$E,MATCH($B$1,Database!$A$1:$E$1,),))</f>
        <v/>
      </c>
      <c r="C3658">
        <f>IF(VLOOKUP(Table73[[#This Row],[Date]],Database!$A:$C,MATCH($C$1,Database!$A$1:$C$1,),)=0,#N/A,VLOOKUP(Table73[[#This Row],[Date]],Database!$A:$C,MATCH($C$1,Database!$A$1:$C$1,),))</f>
        <v/>
      </c>
      <c r="D3658">
        <f>IFERROR(Table73[[#This Row],[United States 10y]]-Table73[[#This Row],[United States 2y]],#N/A)</f>
        <v/>
      </c>
    </row>
    <row r="3659">
      <c r="A3659" s="6">
        <f>Database!A3658</f>
        <v/>
      </c>
      <c r="B3659">
        <f>IF(VLOOKUP(Table73[[#This Row],[Date]],Database!$A:$E,MATCH($B$1,Database!$A$1:$E$1,),)=0,#N/A,VLOOKUP(Table73[[#This Row],[Date]],Database!$A:$E,MATCH($B$1,Database!$A$1:$E$1,),))</f>
        <v/>
      </c>
      <c r="C3659">
        <f>IF(VLOOKUP(Table73[[#This Row],[Date]],Database!$A:$C,MATCH($C$1,Database!$A$1:$C$1,),)=0,#N/A,VLOOKUP(Table73[[#This Row],[Date]],Database!$A:$C,MATCH($C$1,Database!$A$1:$C$1,),))</f>
        <v/>
      </c>
      <c r="D3659">
        <f>IFERROR(Table73[[#This Row],[United States 10y]]-Table73[[#This Row],[United States 2y]],#N/A)</f>
        <v/>
      </c>
    </row>
    <row r="3660">
      <c r="A3660" s="6">
        <f>Database!A3659</f>
        <v/>
      </c>
      <c r="B3660">
        <f>IF(VLOOKUP(Table73[[#This Row],[Date]],Database!$A:$E,MATCH($B$1,Database!$A$1:$E$1,),)=0,#N/A,VLOOKUP(Table73[[#This Row],[Date]],Database!$A:$E,MATCH($B$1,Database!$A$1:$E$1,),))</f>
        <v/>
      </c>
      <c r="C3660">
        <f>IF(VLOOKUP(Table73[[#This Row],[Date]],Database!$A:$C,MATCH($C$1,Database!$A$1:$C$1,),)=0,#N/A,VLOOKUP(Table73[[#This Row],[Date]],Database!$A:$C,MATCH($C$1,Database!$A$1:$C$1,),))</f>
        <v/>
      </c>
      <c r="D3660">
        <f>IFERROR(Table73[[#This Row],[United States 10y]]-Table73[[#This Row],[United States 2y]],#N/A)</f>
        <v/>
      </c>
    </row>
    <row r="3661">
      <c r="A3661" s="6">
        <f>Database!A3660</f>
        <v/>
      </c>
      <c r="B3661">
        <f>IF(VLOOKUP(Table73[[#This Row],[Date]],Database!$A:$E,MATCH($B$1,Database!$A$1:$E$1,),)=0,#N/A,VLOOKUP(Table73[[#This Row],[Date]],Database!$A:$E,MATCH($B$1,Database!$A$1:$E$1,),))</f>
        <v/>
      </c>
      <c r="C3661">
        <f>IF(VLOOKUP(Table73[[#This Row],[Date]],Database!$A:$C,MATCH($C$1,Database!$A$1:$C$1,),)=0,#N/A,VLOOKUP(Table73[[#This Row],[Date]],Database!$A:$C,MATCH($C$1,Database!$A$1:$C$1,),))</f>
        <v/>
      </c>
      <c r="D3661">
        <f>IFERROR(Table73[[#This Row],[United States 10y]]-Table73[[#This Row],[United States 2y]],#N/A)</f>
        <v/>
      </c>
    </row>
    <row r="3662">
      <c r="A3662" s="6">
        <f>Database!A3661</f>
        <v/>
      </c>
      <c r="B3662">
        <f>IF(VLOOKUP(Table73[[#This Row],[Date]],Database!$A:$E,MATCH($B$1,Database!$A$1:$E$1,),)=0,#N/A,VLOOKUP(Table73[[#This Row],[Date]],Database!$A:$E,MATCH($B$1,Database!$A$1:$E$1,),))</f>
        <v/>
      </c>
      <c r="C3662">
        <f>IF(VLOOKUP(Table73[[#This Row],[Date]],Database!$A:$C,MATCH($C$1,Database!$A$1:$C$1,),)=0,#N/A,VLOOKUP(Table73[[#This Row],[Date]],Database!$A:$C,MATCH($C$1,Database!$A$1:$C$1,),))</f>
        <v/>
      </c>
      <c r="D3662">
        <f>IFERROR(Table73[[#This Row],[United States 10y]]-Table73[[#This Row],[United States 2y]],#N/A)</f>
        <v/>
      </c>
    </row>
    <row r="3663">
      <c r="A3663" s="6">
        <f>Database!A3662</f>
        <v/>
      </c>
      <c r="B3663">
        <f>IF(VLOOKUP(Table73[[#This Row],[Date]],Database!$A:$E,MATCH($B$1,Database!$A$1:$E$1,),)=0,#N/A,VLOOKUP(Table73[[#This Row],[Date]],Database!$A:$E,MATCH($B$1,Database!$A$1:$E$1,),))</f>
        <v/>
      </c>
      <c r="C3663">
        <f>IF(VLOOKUP(Table73[[#This Row],[Date]],Database!$A:$C,MATCH($C$1,Database!$A$1:$C$1,),)=0,#N/A,VLOOKUP(Table73[[#This Row],[Date]],Database!$A:$C,MATCH($C$1,Database!$A$1:$C$1,),))</f>
        <v/>
      </c>
      <c r="D3663">
        <f>IFERROR(Table73[[#This Row],[United States 10y]]-Table73[[#This Row],[United States 2y]],#N/A)</f>
        <v/>
      </c>
    </row>
    <row r="3664">
      <c r="A3664" s="6">
        <f>Database!A3663</f>
        <v/>
      </c>
      <c r="B3664">
        <f>IF(VLOOKUP(Table73[[#This Row],[Date]],Database!$A:$E,MATCH($B$1,Database!$A$1:$E$1,),)=0,#N/A,VLOOKUP(Table73[[#This Row],[Date]],Database!$A:$E,MATCH($B$1,Database!$A$1:$E$1,),))</f>
        <v/>
      </c>
      <c r="C3664">
        <f>IF(VLOOKUP(Table73[[#This Row],[Date]],Database!$A:$C,MATCH($C$1,Database!$A$1:$C$1,),)=0,#N/A,VLOOKUP(Table73[[#This Row],[Date]],Database!$A:$C,MATCH($C$1,Database!$A$1:$C$1,),))</f>
        <v/>
      </c>
      <c r="D3664">
        <f>IFERROR(Table73[[#This Row],[United States 10y]]-Table73[[#This Row],[United States 2y]],#N/A)</f>
        <v/>
      </c>
    </row>
    <row r="3665">
      <c r="A3665" s="6">
        <f>Database!A3664</f>
        <v/>
      </c>
      <c r="B3665">
        <f>IF(VLOOKUP(Table73[[#This Row],[Date]],Database!$A:$E,MATCH($B$1,Database!$A$1:$E$1,),)=0,#N/A,VLOOKUP(Table73[[#This Row],[Date]],Database!$A:$E,MATCH($B$1,Database!$A$1:$E$1,),))</f>
        <v/>
      </c>
      <c r="C3665">
        <f>IF(VLOOKUP(Table73[[#This Row],[Date]],Database!$A:$C,MATCH($C$1,Database!$A$1:$C$1,),)=0,#N/A,VLOOKUP(Table73[[#This Row],[Date]],Database!$A:$C,MATCH($C$1,Database!$A$1:$C$1,),))</f>
        <v/>
      </c>
      <c r="D3665">
        <f>IFERROR(Table73[[#This Row],[United States 10y]]-Table73[[#This Row],[United States 2y]],#N/A)</f>
        <v/>
      </c>
    </row>
    <row r="3666">
      <c r="A3666" s="6">
        <f>Database!A3665</f>
        <v/>
      </c>
      <c r="B3666">
        <f>IF(VLOOKUP(Table73[[#This Row],[Date]],Database!$A:$E,MATCH($B$1,Database!$A$1:$E$1,),)=0,#N/A,VLOOKUP(Table73[[#This Row],[Date]],Database!$A:$E,MATCH($B$1,Database!$A$1:$E$1,),))</f>
        <v/>
      </c>
      <c r="C3666">
        <f>IF(VLOOKUP(Table73[[#This Row],[Date]],Database!$A:$C,MATCH($C$1,Database!$A$1:$C$1,),)=0,#N/A,VLOOKUP(Table73[[#This Row],[Date]],Database!$A:$C,MATCH($C$1,Database!$A$1:$C$1,),))</f>
        <v/>
      </c>
      <c r="D3666">
        <f>IFERROR(Table73[[#This Row],[United States 10y]]-Table73[[#This Row],[United States 2y]],#N/A)</f>
        <v/>
      </c>
    </row>
    <row r="3667">
      <c r="A3667" s="6">
        <f>Database!A3666</f>
        <v/>
      </c>
      <c r="B3667">
        <f>IF(VLOOKUP(Table73[[#This Row],[Date]],Database!$A:$E,MATCH($B$1,Database!$A$1:$E$1,),)=0,#N/A,VLOOKUP(Table73[[#This Row],[Date]],Database!$A:$E,MATCH($B$1,Database!$A$1:$E$1,),))</f>
        <v/>
      </c>
      <c r="C3667">
        <f>IF(VLOOKUP(Table73[[#This Row],[Date]],Database!$A:$C,MATCH($C$1,Database!$A$1:$C$1,),)=0,#N/A,VLOOKUP(Table73[[#This Row],[Date]],Database!$A:$C,MATCH($C$1,Database!$A$1:$C$1,),))</f>
        <v/>
      </c>
      <c r="D3667">
        <f>IFERROR(Table73[[#This Row],[United States 10y]]-Table73[[#This Row],[United States 2y]],#N/A)</f>
        <v/>
      </c>
    </row>
    <row r="3668">
      <c r="A3668" s="6">
        <f>Database!A3667</f>
        <v/>
      </c>
      <c r="B3668">
        <f>IF(VLOOKUP(Table73[[#This Row],[Date]],Database!$A:$E,MATCH($B$1,Database!$A$1:$E$1,),)=0,#N/A,VLOOKUP(Table73[[#This Row],[Date]],Database!$A:$E,MATCH($B$1,Database!$A$1:$E$1,),))</f>
        <v/>
      </c>
      <c r="C3668">
        <f>IF(VLOOKUP(Table73[[#This Row],[Date]],Database!$A:$C,MATCH($C$1,Database!$A$1:$C$1,),)=0,#N/A,VLOOKUP(Table73[[#This Row],[Date]],Database!$A:$C,MATCH($C$1,Database!$A$1:$C$1,),))</f>
        <v/>
      </c>
      <c r="D3668">
        <f>IFERROR(Table73[[#This Row],[United States 10y]]-Table73[[#This Row],[United States 2y]],#N/A)</f>
        <v/>
      </c>
    </row>
    <row r="3669">
      <c r="A3669" s="6">
        <f>Database!A3668</f>
        <v/>
      </c>
      <c r="B3669">
        <f>IF(VLOOKUP(Table73[[#This Row],[Date]],Database!$A:$E,MATCH($B$1,Database!$A$1:$E$1,),)=0,#N/A,VLOOKUP(Table73[[#This Row],[Date]],Database!$A:$E,MATCH($B$1,Database!$A$1:$E$1,),))</f>
        <v/>
      </c>
      <c r="C3669">
        <f>IF(VLOOKUP(Table73[[#This Row],[Date]],Database!$A:$C,MATCH($C$1,Database!$A$1:$C$1,),)=0,#N/A,VLOOKUP(Table73[[#This Row],[Date]],Database!$A:$C,MATCH($C$1,Database!$A$1:$C$1,),))</f>
        <v/>
      </c>
      <c r="D3669">
        <f>IFERROR(Table73[[#This Row],[United States 10y]]-Table73[[#This Row],[United States 2y]],#N/A)</f>
        <v/>
      </c>
    </row>
    <row r="3670">
      <c r="A3670" s="6">
        <f>Database!A3669</f>
        <v/>
      </c>
      <c r="B3670">
        <f>IF(VLOOKUP(Table73[[#This Row],[Date]],Database!$A:$E,MATCH($B$1,Database!$A$1:$E$1,),)=0,#N/A,VLOOKUP(Table73[[#This Row],[Date]],Database!$A:$E,MATCH($B$1,Database!$A$1:$E$1,),))</f>
        <v/>
      </c>
      <c r="C3670">
        <f>IF(VLOOKUP(Table73[[#This Row],[Date]],Database!$A:$C,MATCH($C$1,Database!$A$1:$C$1,),)=0,#N/A,VLOOKUP(Table73[[#This Row],[Date]],Database!$A:$C,MATCH($C$1,Database!$A$1:$C$1,),))</f>
        <v/>
      </c>
      <c r="D3670">
        <f>IFERROR(Table73[[#This Row],[United States 10y]]-Table73[[#This Row],[United States 2y]],#N/A)</f>
        <v/>
      </c>
    </row>
    <row r="3671">
      <c r="A3671" s="6">
        <f>Database!A3670</f>
        <v/>
      </c>
      <c r="B3671">
        <f>IF(VLOOKUP(Table73[[#This Row],[Date]],Database!$A:$E,MATCH($B$1,Database!$A$1:$E$1,),)=0,#N/A,VLOOKUP(Table73[[#This Row],[Date]],Database!$A:$E,MATCH($B$1,Database!$A$1:$E$1,),))</f>
        <v/>
      </c>
      <c r="C3671">
        <f>IF(VLOOKUP(Table73[[#This Row],[Date]],Database!$A:$C,MATCH($C$1,Database!$A$1:$C$1,),)=0,#N/A,VLOOKUP(Table73[[#This Row],[Date]],Database!$A:$C,MATCH($C$1,Database!$A$1:$C$1,),))</f>
        <v/>
      </c>
      <c r="D3671">
        <f>IFERROR(Table73[[#This Row],[United States 10y]]-Table73[[#This Row],[United States 2y]],#N/A)</f>
        <v/>
      </c>
    </row>
    <row r="3672">
      <c r="A3672" s="6">
        <f>Database!A3671</f>
        <v/>
      </c>
      <c r="B3672">
        <f>IF(VLOOKUP(Table73[[#This Row],[Date]],Database!$A:$E,MATCH($B$1,Database!$A$1:$E$1,),)=0,#N/A,VLOOKUP(Table73[[#This Row],[Date]],Database!$A:$E,MATCH($B$1,Database!$A$1:$E$1,),))</f>
        <v/>
      </c>
      <c r="C3672">
        <f>IF(VLOOKUP(Table73[[#This Row],[Date]],Database!$A:$C,MATCH($C$1,Database!$A$1:$C$1,),)=0,#N/A,VLOOKUP(Table73[[#This Row],[Date]],Database!$A:$C,MATCH($C$1,Database!$A$1:$C$1,),))</f>
        <v/>
      </c>
      <c r="D3672">
        <f>IFERROR(Table73[[#This Row],[United States 10y]]-Table73[[#This Row],[United States 2y]],#N/A)</f>
        <v/>
      </c>
    </row>
    <row r="3673">
      <c r="A3673" s="6">
        <f>Database!A3672</f>
        <v/>
      </c>
      <c r="B3673">
        <f>IF(VLOOKUP(Table73[[#This Row],[Date]],Database!$A:$E,MATCH($B$1,Database!$A$1:$E$1,),)=0,#N/A,VLOOKUP(Table73[[#This Row],[Date]],Database!$A:$E,MATCH($B$1,Database!$A$1:$E$1,),))</f>
        <v/>
      </c>
      <c r="C3673">
        <f>IF(VLOOKUP(Table73[[#This Row],[Date]],Database!$A:$C,MATCH($C$1,Database!$A$1:$C$1,),)=0,#N/A,VLOOKUP(Table73[[#This Row],[Date]],Database!$A:$C,MATCH($C$1,Database!$A$1:$C$1,),))</f>
        <v/>
      </c>
      <c r="D3673">
        <f>IFERROR(Table73[[#This Row],[United States 10y]]-Table73[[#This Row],[United States 2y]],#N/A)</f>
        <v/>
      </c>
    </row>
    <row r="3674">
      <c r="A3674" s="6">
        <f>Database!A3673</f>
        <v/>
      </c>
      <c r="B3674">
        <f>IF(VLOOKUP(Table73[[#This Row],[Date]],Database!$A:$E,MATCH($B$1,Database!$A$1:$E$1,),)=0,#N/A,VLOOKUP(Table73[[#This Row],[Date]],Database!$A:$E,MATCH($B$1,Database!$A$1:$E$1,),))</f>
        <v/>
      </c>
      <c r="C3674">
        <f>IF(VLOOKUP(Table73[[#This Row],[Date]],Database!$A:$C,MATCH($C$1,Database!$A$1:$C$1,),)=0,#N/A,VLOOKUP(Table73[[#This Row],[Date]],Database!$A:$C,MATCH($C$1,Database!$A$1:$C$1,),))</f>
        <v/>
      </c>
      <c r="D3674">
        <f>IFERROR(Table73[[#This Row],[United States 10y]]-Table73[[#This Row],[United States 2y]],#N/A)</f>
        <v/>
      </c>
    </row>
    <row r="3675">
      <c r="A3675" s="6">
        <f>Database!A3674</f>
        <v/>
      </c>
      <c r="B3675">
        <f>IF(VLOOKUP(Table73[[#This Row],[Date]],Database!$A:$E,MATCH($B$1,Database!$A$1:$E$1,),)=0,#N/A,VLOOKUP(Table73[[#This Row],[Date]],Database!$A:$E,MATCH($B$1,Database!$A$1:$E$1,),))</f>
        <v/>
      </c>
      <c r="C3675">
        <f>IF(VLOOKUP(Table73[[#This Row],[Date]],Database!$A:$C,MATCH($C$1,Database!$A$1:$C$1,),)=0,#N/A,VLOOKUP(Table73[[#This Row],[Date]],Database!$A:$C,MATCH($C$1,Database!$A$1:$C$1,),))</f>
        <v/>
      </c>
      <c r="D3675">
        <f>IFERROR(Table73[[#This Row],[United States 10y]]-Table73[[#This Row],[United States 2y]],#N/A)</f>
        <v/>
      </c>
    </row>
    <row r="3676">
      <c r="A3676" s="6">
        <f>Database!A3675</f>
        <v/>
      </c>
      <c r="B3676">
        <f>IF(VLOOKUP(Table73[[#This Row],[Date]],Database!$A:$E,MATCH($B$1,Database!$A$1:$E$1,),)=0,#N/A,VLOOKUP(Table73[[#This Row],[Date]],Database!$A:$E,MATCH($B$1,Database!$A$1:$E$1,),))</f>
        <v/>
      </c>
      <c r="C3676">
        <f>IF(VLOOKUP(Table73[[#This Row],[Date]],Database!$A:$C,MATCH($C$1,Database!$A$1:$C$1,),)=0,#N/A,VLOOKUP(Table73[[#This Row],[Date]],Database!$A:$C,MATCH($C$1,Database!$A$1:$C$1,),))</f>
        <v/>
      </c>
      <c r="D3676">
        <f>IFERROR(Table73[[#This Row],[United States 10y]]-Table73[[#This Row],[United States 2y]],#N/A)</f>
        <v/>
      </c>
    </row>
    <row r="3677">
      <c r="A3677" s="6">
        <f>Database!A3676</f>
        <v/>
      </c>
      <c r="B3677">
        <f>IF(VLOOKUP(Table73[[#This Row],[Date]],Database!$A:$E,MATCH($B$1,Database!$A$1:$E$1,),)=0,#N/A,VLOOKUP(Table73[[#This Row],[Date]],Database!$A:$E,MATCH($B$1,Database!$A$1:$E$1,),))</f>
        <v/>
      </c>
      <c r="C3677">
        <f>IF(VLOOKUP(Table73[[#This Row],[Date]],Database!$A:$C,MATCH($C$1,Database!$A$1:$C$1,),)=0,#N/A,VLOOKUP(Table73[[#This Row],[Date]],Database!$A:$C,MATCH($C$1,Database!$A$1:$C$1,),))</f>
        <v/>
      </c>
      <c r="D3677">
        <f>IFERROR(Table73[[#This Row],[United States 10y]]-Table73[[#This Row],[United States 2y]],#N/A)</f>
        <v/>
      </c>
    </row>
    <row r="3678">
      <c r="A3678" s="6">
        <f>Database!A3677</f>
        <v/>
      </c>
      <c r="B3678">
        <f>IF(VLOOKUP(Table73[[#This Row],[Date]],Database!$A:$E,MATCH($B$1,Database!$A$1:$E$1,),)=0,#N/A,VLOOKUP(Table73[[#This Row],[Date]],Database!$A:$E,MATCH($B$1,Database!$A$1:$E$1,),))</f>
        <v/>
      </c>
      <c r="C3678">
        <f>IF(VLOOKUP(Table73[[#This Row],[Date]],Database!$A:$C,MATCH($C$1,Database!$A$1:$C$1,),)=0,#N/A,VLOOKUP(Table73[[#This Row],[Date]],Database!$A:$C,MATCH($C$1,Database!$A$1:$C$1,),))</f>
        <v/>
      </c>
      <c r="D3678">
        <f>IFERROR(Table73[[#This Row],[United States 10y]]-Table73[[#This Row],[United States 2y]],#N/A)</f>
        <v/>
      </c>
    </row>
    <row r="3679">
      <c r="A3679" s="6">
        <f>Database!A3678</f>
        <v/>
      </c>
      <c r="B3679">
        <f>IF(VLOOKUP(Table73[[#This Row],[Date]],Database!$A:$E,MATCH($B$1,Database!$A$1:$E$1,),)=0,#N/A,VLOOKUP(Table73[[#This Row],[Date]],Database!$A:$E,MATCH($B$1,Database!$A$1:$E$1,),))</f>
        <v/>
      </c>
      <c r="C3679">
        <f>IF(VLOOKUP(Table73[[#This Row],[Date]],Database!$A:$C,MATCH($C$1,Database!$A$1:$C$1,),)=0,#N/A,VLOOKUP(Table73[[#This Row],[Date]],Database!$A:$C,MATCH($C$1,Database!$A$1:$C$1,),))</f>
        <v/>
      </c>
      <c r="D3679">
        <f>IFERROR(Table73[[#This Row],[United States 10y]]-Table73[[#This Row],[United States 2y]],#N/A)</f>
        <v/>
      </c>
    </row>
    <row r="3680">
      <c r="A3680" s="6">
        <f>Database!A3679</f>
        <v/>
      </c>
      <c r="B3680">
        <f>IF(VLOOKUP(Table73[[#This Row],[Date]],Database!$A:$E,MATCH($B$1,Database!$A$1:$E$1,),)=0,#N/A,VLOOKUP(Table73[[#This Row],[Date]],Database!$A:$E,MATCH($B$1,Database!$A$1:$E$1,),))</f>
        <v/>
      </c>
      <c r="C3680">
        <f>IF(VLOOKUP(Table73[[#This Row],[Date]],Database!$A:$C,MATCH($C$1,Database!$A$1:$C$1,),)=0,#N/A,VLOOKUP(Table73[[#This Row],[Date]],Database!$A:$C,MATCH($C$1,Database!$A$1:$C$1,),))</f>
        <v/>
      </c>
      <c r="D3680">
        <f>IFERROR(Table73[[#This Row],[United States 10y]]-Table73[[#This Row],[United States 2y]],#N/A)</f>
        <v/>
      </c>
    </row>
    <row r="3681">
      <c r="A3681" s="6">
        <f>Database!A3680</f>
        <v/>
      </c>
      <c r="B3681">
        <f>IF(VLOOKUP(Table73[[#This Row],[Date]],Database!$A:$E,MATCH($B$1,Database!$A$1:$E$1,),)=0,#N/A,VLOOKUP(Table73[[#This Row],[Date]],Database!$A:$E,MATCH($B$1,Database!$A$1:$E$1,),))</f>
        <v/>
      </c>
      <c r="C3681">
        <f>IF(VLOOKUP(Table73[[#This Row],[Date]],Database!$A:$C,MATCH($C$1,Database!$A$1:$C$1,),)=0,#N/A,VLOOKUP(Table73[[#This Row],[Date]],Database!$A:$C,MATCH($C$1,Database!$A$1:$C$1,),))</f>
        <v/>
      </c>
      <c r="D3681">
        <f>IFERROR(Table73[[#This Row],[United States 10y]]-Table73[[#This Row],[United States 2y]],#N/A)</f>
        <v/>
      </c>
    </row>
    <row r="3682">
      <c r="A3682" s="6">
        <f>Database!A3681</f>
        <v/>
      </c>
      <c r="B3682">
        <f>IF(VLOOKUP(Table73[[#This Row],[Date]],Database!$A:$E,MATCH($B$1,Database!$A$1:$E$1,),)=0,#N/A,VLOOKUP(Table73[[#This Row],[Date]],Database!$A:$E,MATCH($B$1,Database!$A$1:$E$1,),))</f>
        <v/>
      </c>
      <c r="C3682">
        <f>IF(VLOOKUP(Table73[[#This Row],[Date]],Database!$A:$C,MATCH($C$1,Database!$A$1:$C$1,),)=0,#N/A,VLOOKUP(Table73[[#This Row],[Date]],Database!$A:$C,MATCH($C$1,Database!$A$1:$C$1,),))</f>
        <v/>
      </c>
      <c r="D3682">
        <f>IFERROR(Table73[[#This Row],[United States 10y]]-Table73[[#This Row],[United States 2y]],#N/A)</f>
        <v/>
      </c>
    </row>
    <row r="3683">
      <c r="A3683" s="6">
        <f>Database!A3682</f>
        <v/>
      </c>
      <c r="B3683">
        <f>IF(VLOOKUP(Table73[[#This Row],[Date]],Database!$A:$E,MATCH($B$1,Database!$A$1:$E$1,),)=0,#N/A,VLOOKUP(Table73[[#This Row],[Date]],Database!$A:$E,MATCH($B$1,Database!$A$1:$E$1,),))</f>
        <v/>
      </c>
      <c r="C3683">
        <f>IF(VLOOKUP(Table73[[#This Row],[Date]],Database!$A:$C,MATCH($C$1,Database!$A$1:$C$1,),)=0,#N/A,VLOOKUP(Table73[[#This Row],[Date]],Database!$A:$C,MATCH($C$1,Database!$A$1:$C$1,),))</f>
        <v/>
      </c>
      <c r="D3683">
        <f>IFERROR(Table73[[#This Row],[United States 10y]]-Table73[[#This Row],[United States 2y]],#N/A)</f>
        <v/>
      </c>
    </row>
    <row r="3684">
      <c r="A3684" s="6">
        <f>Database!A3683</f>
        <v/>
      </c>
      <c r="B3684">
        <f>IF(VLOOKUP(Table73[[#This Row],[Date]],Database!$A:$E,MATCH($B$1,Database!$A$1:$E$1,),)=0,#N/A,VLOOKUP(Table73[[#This Row],[Date]],Database!$A:$E,MATCH($B$1,Database!$A$1:$E$1,),))</f>
        <v/>
      </c>
      <c r="C3684">
        <f>IF(VLOOKUP(Table73[[#This Row],[Date]],Database!$A:$C,MATCH($C$1,Database!$A$1:$C$1,),)=0,#N/A,VLOOKUP(Table73[[#This Row],[Date]],Database!$A:$C,MATCH($C$1,Database!$A$1:$C$1,),))</f>
        <v/>
      </c>
      <c r="D3684">
        <f>IFERROR(Table73[[#This Row],[United States 10y]]-Table73[[#This Row],[United States 2y]],#N/A)</f>
        <v/>
      </c>
    </row>
    <row r="3685">
      <c r="A3685" s="6">
        <f>Database!A3684</f>
        <v/>
      </c>
      <c r="B3685">
        <f>IF(VLOOKUP(Table73[[#This Row],[Date]],Database!$A:$E,MATCH($B$1,Database!$A$1:$E$1,),)=0,#N/A,VLOOKUP(Table73[[#This Row],[Date]],Database!$A:$E,MATCH($B$1,Database!$A$1:$E$1,),))</f>
        <v/>
      </c>
      <c r="C3685">
        <f>IF(VLOOKUP(Table73[[#This Row],[Date]],Database!$A:$C,MATCH($C$1,Database!$A$1:$C$1,),)=0,#N/A,VLOOKUP(Table73[[#This Row],[Date]],Database!$A:$C,MATCH($C$1,Database!$A$1:$C$1,),))</f>
        <v/>
      </c>
      <c r="D3685">
        <f>IFERROR(Table73[[#This Row],[United States 10y]]-Table73[[#This Row],[United States 2y]],#N/A)</f>
        <v/>
      </c>
    </row>
    <row r="3686">
      <c r="A3686" s="6">
        <f>Database!A3685</f>
        <v/>
      </c>
      <c r="B3686">
        <f>IF(VLOOKUP(Table73[[#This Row],[Date]],Database!$A:$E,MATCH($B$1,Database!$A$1:$E$1,),)=0,#N/A,VLOOKUP(Table73[[#This Row],[Date]],Database!$A:$E,MATCH($B$1,Database!$A$1:$E$1,),))</f>
        <v/>
      </c>
      <c r="C3686">
        <f>IF(VLOOKUP(Table73[[#This Row],[Date]],Database!$A:$C,MATCH($C$1,Database!$A$1:$C$1,),)=0,#N/A,VLOOKUP(Table73[[#This Row],[Date]],Database!$A:$C,MATCH($C$1,Database!$A$1:$C$1,),))</f>
        <v/>
      </c>
      <c r="D3686">
        <f>IFERROR(Table73[[#This Row],[United States 10y]]-Table73[[#This Row],[United States 2y]],#N/A)</f>
        <v/>
      </c>
    </row>
    <row r="3687">
      <c r="A3687" s="6">
        <f>Database!A3686</f>
        <v/>
      </c>
      <c r="B3687">
        <f>IF(VLOOKUP(Table73[[#This Row],[Date]],Database!$A:$E,MATCH($B$1,Database!$A$1:$E$1,),)=0,#N/A,VLOOKUP(Table73[[#This Row],[Date]],Database!$A:$E,MATCH($B$1,Database!$A$1:$E$1,),))</f>
        <v/>
      </c>
      <c r="C3687">
        <f>IF(VLOOKUP(Table73[[#This Row],[Date]],Database!$A:$C,MATCH($C$1,Database!$A$1:$C$1,),)=0,#N/A,VLOOKUP(Table73[[#This Row],[Date]],Database!$A:$C,MATCH($C$1,Database!$A$1:$C$1,),))</f>
        <v/>
      </c>
      <c r="D3687">
        <f>IFERROR(Table73[[#This Row],[United States 10y]]-Table73[[#This Row],[United States 2y]],#N/A)</f>
        <v/>
      </c>
    </row>
    <row r="3688">
      <c r="A3688" s="6">
        <f>Database!A3687</f>
        <v/>
      </c>
      <c r="B3688">
        <f>IF(VLOOKUP(Table73[[#This Row],[Date]],Database!$A:$E,MATCH($B$1,Database!$A$1:$E$1,),)=0,#N/A,VLOOKUP(Table73[[#This Row],[Date]],Database!$A:$E,MATCH($B$1,Database!$A$1:$E$1,),))</f>
        <v/>
      </c>
      <c r="C3688">
        <f>IF(VLOOKUP(Table73[[#This Row],[Date]],Database!$A:$C,MATCH($C$1,Database!$A$1:$C$1,),)=0,#N/A,VLOOKUP(Table73[[#This Row],[Date]],Database!$A:$C,MATCH($C$1,Database!$A$1:$C$1,),))</f>
        <v/>
      </c>
      <c r="D3688">
        <f>IFERROR(Table73[[#This Row],[United States 10y]]-Table73[[#This Row],[United States 2y]],#N/A)</f>
        <v/>
      </c>
    </row>
    <row r="3689">
      <c r="A3689" s="6">
        <f>Database!A3688</f>
        <v/>
      </c>
      <c r="B3689">
        <f>IF(VLOOKUP(Table73[[#This Row],[Date]],Database!$A:$E,MATCH($B$1,Database!$A$1:$E$1,),)=0,#N/A,VLOOKUP(Table73[[#This Row],[Date]],Database!$A:$E,MATCH($B$1,Database!$A$1:$E$1,),))</f>
        <v/>
      </c>
      <c r="C3689">
        <f>IF(VLOOKUP(Table73[[#This Row],[Date]],Database!$A:$C,MATCH($C$1,Database!$A$1:$C$1,),)=0,#N/A,VLOOKUP(Table73[[#This Row],[Date]],Database!$A:$C,MATCH($C$1,Database!$A$1:$C$1,),))</f>
        <v/>
      </c>
      <c r="D3689">
        <f>IFERROR(Table73[[#This Row],[United States 10y]]-Table73[[#This Row],[United States 2y]],#N/A)</f>
        <v/>
      </c>
    </row>
    <row r="3690">
      <c r="A3690" s="6">
        <f>Database!A3689</f>
        <v/>
      </c>
      <c r="B3690">
        <f>IF(VLOOKUP(Table73[[#This Row],[Date]],Database!$A:$E,MATCH($B$1,Database!$A$1:$E$1,),)=0,#N/A,VLOOKUP(Table73[[#This Row],[Date]],Database!$A:$E,MATCH($B$1,Database!$A$1:$E$1,),))</f>
        <v/>
      </c>
      <c r="C3690">
        <f>IF(VLOOKUP(Table73[[#This Row],[Date]],Database!$A:$C,MATCH($C$1,Database!$A$1:$C$1,),)=0,#N/A,VLOOKUP(Table73[[#This Row],[Date]],Database!$A:$C,MATCH($C$1,Database!$A$1:$C$1,),))</f>
        <v/>
      </c>
      <c r="D3690">
        <f>IFERROR(Table73[[#This Row],[United States 10y]]-Table73[[#This Row],[United States 2y]],#N/A)</f>
        <v/>
      </c>
    </row>
    <row r="3691">
      <c r="A3691" s="6">
        <f>Database!A3690</f>
        <v/>
      </c>
      <c r="B3691">
        <f>IF(VLOOKUP(Table73[[#This Row],[Date]],Database!$A:$E,MATCH($B$1,Database!$A$1:$E$1,),)=0,#N/A,VLOOKUP(Table73[[#This Row],[Date]],Database!$A:$E,MATCH($B$1,Database!$A$1:$E$1,),))</f>
        <v/>
      </c>
      <c r="C3691">
        <f>IF(VLOOKUP(Table73[[#This Row],[Date]],Database!$A:$C,MATCH($C$1,Database!$A$1:$C$1,),)=0,#N/A,VLOOKUP(Table73[[#This Row],[Date]],Database!$A:$C,MATCH($C$1,Database!$A$1:$C$1,),))</f>
        <v/>
      </c>
      <c r="D3691">
        <f>IFERROR(Table73[[#This Row],[United States 10y]]-Table73[[#This Row],[United States 2y]],#N/A)</f>
        <v/>
      </c>
    </row>
    <row r="3692">
      <c r="A3692" s="6">
        <f>Database!A3691</f>
        <v/>
      </c>
      <c r="B3692">
        <f>IF(VLOOKUP(Table73[[#This Row],[Date]],Database!$A:$E,MATCH($B$1,Database!$A$1:$E$1,),)=0,#N/A,VLOOKUP(Table73[[#This Row],[Date]],Database!$A:$E,MATCH($B$1,Database!$A$1:$E$1,),))</f>
        <v/>
      </c>
      <c r="C3692">
        <f>IF(VLOOKUP(Table73[[#This Row],[Date]],Database!$A:$C,MATCH($C$1,Database!$A$1:$C$1,),)=0,#N/A,VLOOKUP(Table73[[#This Row],[Date]],Database!$A:$C,MATCH($C$1,Database!$A$1:$C$1,),))</f>
        <v/>
      </c>
      <c r="D3692">
        <f>IFERROR(Table73[[#This Row],[United States 10y]]-Table73[[#This Row],[United States 2y]],#N/A)</f>
        <v/>
      </c>
    </row>
    <row r="3693">
      <c r="A3693" s="6">
        <f>Database!A3692</f>
        <v/>
      </c>
      <c r="B3693">
        <f>IF(VLOOKUP(Table73[[#This Row],[Date]],Database!$A:$E,MATCH($B$1,Database!$A$1:$E$1,),)=0,#N/A,VLOOKUP(Table73[[#This Row],[Date]],Database!$A:$E,MATCH($B$1,Database!$A$1:$E$1,),))</f>
        <v/>
      </c>
      <c r="C3693">
        <f>IF(VLOOKUP(Table73[[#This Row],[Date]],Database!$A:$C,MATCH($C$1,Database!$A$1:$C$1,),)=0,#N/A,VLOOKUP(Table73[[#This Row],[Date]],Database!$A:$C,MATCH($C$1,Database!$A$1:$C$1,),))</f>
        <v/>
      </c>
      <c r="D3693">
        <f>IFERROR(Table73[[#This Row],[United States 10y]]-Table73[[#This Row],[United States 2y]],#N/A)</f>
        <v/>
      </c>
    </row>
    <row r="3694">
      <c r="A3694" s="6">
        <f>Database!A3693</f>
        <v/>
      </c>
      <c r="B3694">
        <f>IF(VLOOKUP(Table73[[#This Row],[Date]],Database!$A:$E,MATCH($B$1,Database!$A$1:$E$1,),)=0,#N/A,VLOOKUP(Table73[[#This Row],[Date]],Database!$A:$E,MATCH($B$1,Database!$A$1:$E$1,),))</f>
        <v/>
      </c>
      <c r="C3694">
        <f>IF(VLOOKUP(Table73[[#This Row],[Date]],Database!$A:$C,MATCH($C$1,Database!$A$1:$C$1,),)=0,#N/A,VLOOKUP(Table73[[#This Row],[Date]],Database!$A:$C,MATCH($C$1,Database!$A$1:$C$1,),))</f>
        <v/>
      </c>
      <c r="D3694">
        <f>IFERROR(Table73[[#This Row],[United States 10y]]-Table73[[#This Row],[United States 2y]],#N/A)</f>
        <v/>
      </c>
    </row>
    <row r="3695">
      <c r="A3695" s="6">
        <f>Database!A3694</f>
        <v/>
      </c>
      <c r="B3695">
        <f>IF(VLOOKUP(Table73[[#This Row],[Date]],Database!$A:$E,MATCH($B$1,Database!$A$1:$E$1,),)=0,#N/A,VLOOKUP(Table73[[#This Row],[Date]],Database!$A:$E,MATCH($B$1,Database!$A$1:$E$1,),))</f>
        <v/>
      </c>
      <c r="C3695">
        <f>IF(VLOOKUP(Table73[[#This Row],[Date]],Database!$A:$C,MATCH($C$1,Database!$A$1:$C$1,),)=0,#N/A,VLOOKUP(Table73[[#This Row],[Date]],Database!$A:$C,MATCH($C$1,Database!$A$1:$C$1,),))</f>
        <v/>
      </c>
      <c r="D3695">
        <f>IFERROR(Table73[[#This Row],[United States 10y]]-Table73[[#This Row],[United States 2y]],#N/A)</f>
        <v/>
      </c>
    </row>
    <row r="3696">
      <c r="A3696" s="6">
        <f>Database!A3695</f>
        <v/>
      </c>
      <c r="B3696">
        <f>IF(VLOOKUP(Table73[[#This Row],[Date]],Database!$A:$E,MATCH($B$1,Database!$A$1:$E$1,),)=0,#N/A,VLOOKUP(Table73[[#This Row],[Date]],Database!$A:$E,MATCH($B$1,Database!$A$1:$E$1,),))</f>
        <v/>
      </c>
      <c r="C3696">
        <f>IF(VLOOKUP(Table73[[#This Row],[Date]],Database!$A:$C,MATCH($C$1,Database!$A$1:$C$1,),)=0,#N/A,VLOOKUP(Table73[[#This Row],[Date]],Database!$A:$C,MATCH($C$1,Database!$A$1:$C$1,),))</f>
        <v/>
      </c>
      <c r="D3696">
        <f>IFERROR(Table73[[#This Row],[United States 10y]]-Table73[[#This Row],[United States 2y]],#N/A)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2018-04-18T10:45:38Z</dcterms:created>
  <dcterms:modified xmlns:dcterms="http://purl.org/dc/terms/" xmlns:xsi="http://www.w3.org/2001/XMLSchema-instance" xsi:type="dcterms:W3CDTF">2022-04-02T13:10:41Z</dcterms:modified>
  <cp:lastModifiedBy>Mark Mukherjee</cp:lastModifiedBy>
</cp:coreProperties>
</file>