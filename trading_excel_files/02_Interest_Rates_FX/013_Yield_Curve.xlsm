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1740" yWindow="1100" windowWidth="52500" windowHeight="2144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5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0" fillId="0" borderId="0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Hyperlink" xfId="1" builtinId="8"/>
    <cellStyle name="Normal 2" xfId="2"/>
    <cellStyle name="blp_datetime" xfId="3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1.55</v>
                </pt>
                <pt idx="3663">
                  <v>1.65</v>
                </pt>
                <pt idx="3664">
                  <v>1.65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- 2y'!$A$3:$A$3673</f>
              <numCache>
                <formatCode>m/d/yy</formatCode>
                <ptCount val="3671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</numCache>
            </numRef>
          </cat>
          <val>
            <numRef>
              <f>'US 10y - 2y'!$D$3:$D$3673</f>
              <numCache>
                <formatCode>General</formatCode>
                <ptCount val="3671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1.55</v>
                </pt>
                <pt idx="3663">
                  <v>1.65</v>
                </pt>
                <pt idx="3664">
                  <v>1.65</v>
                </pt>
                <pt idx="3665">
                  <v>1.61</v>
                </pt>
                <pt idx="3666">
                  <v>1.57</v>
                </pt>
                <pt idx="3667">
                  <v>1.57</v>
                </pt>
                <pt idx="3668">
                  <v>1.65</v>
                </pt>
                <pt idx="3669">
                  <v>1.64</v>
                </pt>
                <pt idx="3670">
                  <v>1.64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1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481379</colOff>
      <row>3643</row>
      <rowOff>99475</rowOff>
    </from>
    <to>
      <col>14</col>
      <colOff>388471</colOff>
      <row>3668</row>
      <rowOff>179293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73" headerRowCount="1" totalsRowShown="0">
  <autoFilter ref="A2:D3673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tabSelected="1" zoomScale="170" zoomScaleNormal="170" workbookViewId="0">
      <selection activeCell="E12" sqref="E12:H12"/>
    </sheetView>
  </sheetViews>
  <sheetFormatPr baseColWidth="10" defaultColWidth="9.1640625" defaultRowHeight="15"/>
  <cols>
    <col width="9.1640625" customWidth="1" style="12" min="1" max="1"/>
    <col width="12.83203125" customWidth="1" style="12" min="2" max="8"/>
    <col width="9.1640625" customWidth="1" style="12" min="9" max="37"/>
    <col width="9.1640625" customWidth="1" style="12" min="38" max="16384"/>
  </cols>
  <sheetData>
    <row r="1" ht="16" customHeight="1" s="22" thickBot="1">
      <c r="B1" s="16" t="n"/>
      <c r="C1" s="17" t="n"/>
      <c r="D1" s="17" t="n"/>
      <c r="E1" s="17" t="n"/>
      <c r="F1" s="17" t="n"/>
      <c r="G1" s="17" t="n"/>
      <c r="H1" s="17" t="n"/>
    </row>
    <row r="2">
      <c r="B2" s="4" t="n"/>
      <c r="C2" s="4" t="n"/>
      <c r="D2" s="4" t="n"/>
    </row>
    <row r="3">
      <c r="B3" s="13" t="inlineStr">
        <is>
          <t>Process / TO DO LIST</t>
        </is>
      </c>
      <c r="C3" s="14" t="n"/>
      <c r="D3" s="14" t="n"/>
      <c r="E3" s="14" t="n"/>
      <c r="F3" s="14" t="n"/>
      <c r="G3" s="14" t="n"/>
      <c r="H3" s="15" t="n"/>
    </row>
    <row r="5">
      <c r="B5" s="13" t="inlineStr">
        <is>
          <t>TO DO LIST</t>
        </is>
      </c>
      <c r="C5" s="14" t="n"/>
      <c r="D5" s="15" t="n"/>
      <c r="E5" s="13" t="inlineStr">
        <is>
          <t>Comments</t>
        </is>
      </c>
      <c r="F5" s="14" t="n"/>
      <c r="G5" s="14" t="n"/>
      <c r="H5" s="15" t="n"/>
    </row>
    <row r="7">
      <c r="B7" s="2" t="inlineStr">
        <is>
          <t>LT interest rates</t>
        </is>
      </c>
      <c r="E7" s="12" t="n"/>
    </row>
    <row r="8" ht="33" customHeight="1" s="22">
      <c r="B8" s="19" t="inlineStr">
        <is>
          <t>https://home.treasury.gov/resource-center/data-chart-center/interest-rates/TextView?type=daily_treasury_yield_curve&amp;field_tdr_date_value_month=202202</t>
        </is>
      </c>
      <c r="E8" s="12" t="inlineStr">
        <is>
          <t>Interest Rates from U.S. Treasury</t>
        </is>
      </c>
    </row>
    <row r="9" ht="15.75" customHeight="1" s="22">
      <c r="E9" s="11" t="n"/>
    </row>
    <row r="10" ht="15.75" customHeight="1" s="22">
      <c r="E10" s="11" t="n"/>
    </row>
    <row r="11" ht="15.75" customHeight="1" s="22">
      <c r="E11" s="21" t="n"/>
    </row>
    <row r="12" ht="15.75" customHeight="1" s="22">
      <c r="E12" s="11" t="n"/>
    </row>
    <row r="13" ht="15.75" customHeight="1" s="22">
      <c r="B13" s="2" t="n"/>
      <c r="E13" s="11" t="n"/>
    </row>
    <row r="14" ht="32.25" customHeight="1" s="22">
      <c r="B14" s="19" t="n"/>
      <c r="E14" s="11" t="n"/>
    </row>
    <row r="15" ht="15.75" customHeight="1" s="22">
      <c r="E15" s="11" t="n"/>
    </row>
    <row r="16" ht="15.75" customHeight="1" s="22">
      <c r="E16" s="11" t="n"/>
    </row>
    <row r="17" ht="15.75" customHeight="1" s="22">
      <c r="E17" s="11" t="n"/>
    </row>
    <row r="18" ht="15.75" customHeight="1" s="22">
      <c r="B18" s="1" t="n"/>
      <c r="E18" s="11" t="n"/>
    </row>
    <row r="19" ht="15.75" customHeight="1" s="22">
      <c r="B19" s="2" t="n"/>
      <c r="E19" s="11" t="n"/>
    </row>
    <row r="20" ht="39.75" customHeight="1" s="22">
      <c r="B20" s="20" t="n"/>
      <c r="E20" s="11" t="n"/>
    </row>
    <row r="21" ht="15.75" customHeight="1" s="22">
      <c r="E21" s="11" t="n"/>
      <c r="F21" s="5" t="n"/>
      <c r="G21" s="5" t="n"/>
      <c r="H21" s="5" t="n"/>
    </row>
    <row r="23" ht="34.5" customHeight="1" s="22">
      <c r="B23" s="19" t="n"/>
      <c r="E23" s="11" t="n"/>
    </row>
    <row r="24">
      <c r="B24" s="1" t="n"/>
    </row>
    <row r="25">
      <c r="B25" s="2" t="n"/>
    </row>
    <row r="26" ht="33.75" customHeight="1" s="22">
      <c r="B26" s="18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686"/>
  <sheetViews>
    <sheetView zoomScale="220" zoomScaleNormal="220" workbookViewId="0">
      <pane ySplit="1" topLeftCell="A3657" activePane="bottomLeft" state="frozen"/>
      <selection activeCell="B3679" sqref="B3679"/>
      <selection pane="bottomLeft" activeCell="J3676" sqref="J3676"/>
    </sheetView>
  </sheetViews>
  <sheetFormatPr baseColWidth="10" defaultRowHeight="15"/>
  <cols>
    <col width="17.1640625" customWidth="1" style="22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4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4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4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4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4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4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4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4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4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4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4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4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4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4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4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4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4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4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4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4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4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4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4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4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4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4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4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4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4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4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4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4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4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4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4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4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4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4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4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4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4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4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4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4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4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4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4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4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4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4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4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4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4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4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4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4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4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4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4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4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4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4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4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4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4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4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4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4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4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4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4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4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4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4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4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4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4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4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4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4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4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4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4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4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4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4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4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4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4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4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4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4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4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4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4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4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4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4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4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4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4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4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4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4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4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4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4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4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4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4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4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4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4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4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4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4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4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4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4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4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4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4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4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4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4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4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4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4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4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4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4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4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4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4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4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4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4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4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4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4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4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4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4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4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4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4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4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4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4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4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4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4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4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4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4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4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4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4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4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4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4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4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4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4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4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4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4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4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4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4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4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4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4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4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4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4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4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4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4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4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4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4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4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4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4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4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4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4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4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4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4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4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4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4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4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4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4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4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4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4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4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4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4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4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4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4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4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4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4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4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4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4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4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4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4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4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4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4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4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4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4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4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4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4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4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4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4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4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4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4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4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4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4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4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4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4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4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4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4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4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4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4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4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4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4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4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4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4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4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4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4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4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4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4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4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4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4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4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4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4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4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4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4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4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4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4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4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4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4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4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4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4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4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4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4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4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4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4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4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4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4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4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4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4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4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4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4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4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4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4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4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4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4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4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4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4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4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4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4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4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4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4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4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4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4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4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4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4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4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4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4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4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4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4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4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4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4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4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4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4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4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4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4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4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4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4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4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4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4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4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4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4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4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4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4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4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4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4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4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4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4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4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4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4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4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4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4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4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4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4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4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4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4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4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4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4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4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4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4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4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4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4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4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4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4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4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4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4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4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4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4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4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4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4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4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4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4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4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4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4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4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4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4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4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4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4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4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4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4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4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4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4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4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4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4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4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4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4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4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4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4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4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4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4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4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4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4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4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4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4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4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4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4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4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4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4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4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4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4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4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4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4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4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4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4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4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4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4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4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4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4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4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4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4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4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4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4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4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4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4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4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4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4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4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4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4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4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4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4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4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4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4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4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4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4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4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4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4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4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4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4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4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4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4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4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4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4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4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4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4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4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4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4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4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4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4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4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4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4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4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4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4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4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4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4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4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4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4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4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4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4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4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4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4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4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4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4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4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4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4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4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4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4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4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4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4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4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4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4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4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4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4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4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4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4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4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4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4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4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4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4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4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4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4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4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4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4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4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4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4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4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4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4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4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4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4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4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4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4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4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4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4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4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4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4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4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4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4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4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4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4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4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4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4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4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4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4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4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4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4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4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4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4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4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4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4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4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4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4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4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4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4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4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4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4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4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4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4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4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4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4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4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4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4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4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4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4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4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4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4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4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4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4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4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4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4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4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4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4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4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4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4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4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4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4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4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4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4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4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4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4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4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4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4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4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4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4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4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4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4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4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4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4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4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4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4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4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4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4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4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4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4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4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4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4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4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4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4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4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4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4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4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4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4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4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4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4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4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4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4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4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4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4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4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4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4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4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4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4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4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4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4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4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4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4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4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4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4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4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4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4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4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4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4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4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4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4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4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4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4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4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4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4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4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4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4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4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4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4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4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4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4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4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4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4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4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4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4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4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4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4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4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4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4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4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4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4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4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4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4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4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4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4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4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4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4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4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4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4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4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4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4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4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4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4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4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4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4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4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4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4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4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4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4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4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4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4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4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4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4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4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4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4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4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4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4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4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4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4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4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4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4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4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4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4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4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4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4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4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4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4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4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4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4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4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4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4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4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4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4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4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4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4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4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4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4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4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4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4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4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4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4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4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4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4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4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4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4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4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4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4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4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4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4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4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4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4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4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4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4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4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4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4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4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4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4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4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4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4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4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4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4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4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4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4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4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4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4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4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4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4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4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4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4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4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4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4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4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4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4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4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4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4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4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4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4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4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4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4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4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4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4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4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4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4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4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4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4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4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4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4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4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4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4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4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4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4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4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4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4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4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4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4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4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4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4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4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4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4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4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4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4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4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4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4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4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4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4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4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4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4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4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4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4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4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4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4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4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4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4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4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4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4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4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4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4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4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4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4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4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4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4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4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4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4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4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4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4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4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4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4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4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4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4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4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4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4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4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4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4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4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4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4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4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4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4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4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4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4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4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4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4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4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4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4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4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4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4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4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4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4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4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4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4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4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4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4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4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4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4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4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4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4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4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4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4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4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4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4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4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4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4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4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4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4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4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4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4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4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4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4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4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4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4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4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4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4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4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4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4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4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4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4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4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4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4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4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4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4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4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4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4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4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4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4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4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4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4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4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4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4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4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4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4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4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4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4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4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4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4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4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4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4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4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4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4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4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4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4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4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4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4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4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4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4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4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4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4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4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4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4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4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4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4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4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4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4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4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4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4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4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4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4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4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4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4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4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4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4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4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4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4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4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4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4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4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4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4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4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4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4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4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4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4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4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4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4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4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4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4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4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4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4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4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4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4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4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4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4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4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4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4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4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4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4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4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4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4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4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4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4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4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4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4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4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4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4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4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4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4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4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4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4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4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4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4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4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4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4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4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4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4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4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4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4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4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4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4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4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4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4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4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4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4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4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4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4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4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4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4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4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4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4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4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4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4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4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4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4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4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4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4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4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4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4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4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4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4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4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4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4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4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4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4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4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4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4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4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4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4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4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4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4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4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4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4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4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4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4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4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4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4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4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4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4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4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4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4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4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4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4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4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4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4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4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4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4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4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4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4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4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4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4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4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4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4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4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4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4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4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4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4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4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4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4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4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4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4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4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4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4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4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4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4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4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4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4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4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4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4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4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4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4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4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4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4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4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4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4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4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4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4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4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4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4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4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4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4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4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4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4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4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4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4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4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4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4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4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4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4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4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4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4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4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4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4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4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4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4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4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4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4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4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4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4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4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4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4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4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4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4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4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4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4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4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4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4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4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4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4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4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4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4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4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4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4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4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4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4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4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4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4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4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4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4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4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4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4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4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4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4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4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4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4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4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4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4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4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4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4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4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4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4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4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4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4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4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4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4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4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4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4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4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4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4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4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4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4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4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4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4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4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4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4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4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4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4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4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4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4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4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4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4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4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4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4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4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4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4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4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4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4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4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4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4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4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4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4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4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4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4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4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4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4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4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4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4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4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4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4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4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4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4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4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4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4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4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4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4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4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4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4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4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4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4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4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4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4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4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4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4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4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4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4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4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4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4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4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4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4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4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4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4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4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4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4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4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4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4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4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4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4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4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4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4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4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4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4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4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4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4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4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4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4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4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4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4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4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4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4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4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4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4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4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4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4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4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4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4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4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4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4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4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4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4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4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4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4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4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4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4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4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4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4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4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4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4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4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4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4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4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4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4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4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4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4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4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4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4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4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4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4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4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4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4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4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4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4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4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4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4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4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4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4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4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4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4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4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4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4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4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4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4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4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4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4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4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4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4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4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4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4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4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4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4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4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4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4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4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4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4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4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4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4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4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4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4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4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4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4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4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4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4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4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4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4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4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4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4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4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4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4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4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4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4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4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4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4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4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4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4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4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4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4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4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4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4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4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4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4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4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4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4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4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4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4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4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4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4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4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4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4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4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4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4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4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4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4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4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4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4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4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4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4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4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4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4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4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4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4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4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4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4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4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4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4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4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4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4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4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4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4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4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4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4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4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4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4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4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4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4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4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4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4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4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4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4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4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4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4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4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4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4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4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4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4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4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4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4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4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4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4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4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4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4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4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4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4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4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4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4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4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4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4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4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4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4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4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4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4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4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4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4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4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4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4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4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4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4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4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4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4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4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4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4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4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4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4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4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4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4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4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4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4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4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4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4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4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4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4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4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4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4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4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4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4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4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4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4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4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4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4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4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4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4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4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4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4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4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4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4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4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4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4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4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4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4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4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4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4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4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4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4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4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4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4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4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4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4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4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4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4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4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4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4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4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4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4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4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4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4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4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4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4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4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4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4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4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4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4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4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4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4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4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4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4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4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4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4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4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4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4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4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4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4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4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4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4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4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4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4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4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4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4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4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4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4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4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4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4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4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4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4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4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4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4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4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4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4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4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4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4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4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4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4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4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4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4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4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4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4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4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4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4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4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4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4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4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4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4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4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4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4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4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4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4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4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4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4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4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4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4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4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4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4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4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4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4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4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4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4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4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4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4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4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4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4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4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4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4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4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4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4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4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4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4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4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4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4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4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4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4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4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4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4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4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4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4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4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4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4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4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4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4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4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4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4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4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4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4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4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4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4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4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4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4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4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4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4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4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4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4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4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4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4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4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4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4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4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4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4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4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4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4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4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4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4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4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4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4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4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4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4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4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4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4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4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4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4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4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4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4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4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4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4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4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4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4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4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4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4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4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4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4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4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4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4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4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4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4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4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4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4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4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4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4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4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4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4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4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4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4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4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4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4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4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4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4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4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4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4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4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4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4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4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4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4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4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4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4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4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4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4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4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4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4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4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4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4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4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4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4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4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4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4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4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4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4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4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4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4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4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4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4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4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4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4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4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4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4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4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4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4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4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4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4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4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4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4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4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4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4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4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4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4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4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4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4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4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4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4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4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4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4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4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4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4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4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4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4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4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4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4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4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4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4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4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4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4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4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4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4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4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4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4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4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4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4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4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4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4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4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4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4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4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4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4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4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4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4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4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4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4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4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4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4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4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4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4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4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4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4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4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4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4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4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4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4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4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4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4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4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4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4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4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4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4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4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4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4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4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4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4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4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4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4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4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4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4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4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4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4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4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4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4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4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4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4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4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4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4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4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4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4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4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4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4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4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4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4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4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4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4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4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4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4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4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4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4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4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4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4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4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4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4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4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4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4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4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4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4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4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4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4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4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4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4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4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4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4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4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4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4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4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4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4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4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4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4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4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4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4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4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4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4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4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4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4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4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4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4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4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4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4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4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4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4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4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4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4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4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4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4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4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4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4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4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4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4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4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4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4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4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4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4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4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4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4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4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4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4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4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4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4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4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4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4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4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4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4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4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4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4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4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4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4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4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4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4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4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4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4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4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4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4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4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4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4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4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4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4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4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4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4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4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4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4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4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4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4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4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4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4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4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4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4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4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4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4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4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4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4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4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4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4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4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4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4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4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4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4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4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4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4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4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4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4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4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4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4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4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4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4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4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4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4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4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4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4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4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4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4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4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4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4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4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4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4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4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4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4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4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4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4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4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4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4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4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4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4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4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4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4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4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4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4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4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4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4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4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4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4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4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4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4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4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4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4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4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4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4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4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4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4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4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4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4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4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4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4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4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4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4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4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4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4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4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4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4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4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4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4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4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4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4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4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4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4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4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4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4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4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4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4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4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4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4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4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4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4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4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4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4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4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4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4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4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4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4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4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4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4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4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4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4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4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4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4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4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4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4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4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4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4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4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4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4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4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4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4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4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4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4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4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4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4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4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4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4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4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4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4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4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4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4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4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4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4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4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4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4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4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4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4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4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4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4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4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4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4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4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4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4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4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4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4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4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4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4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4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4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4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4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4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4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4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4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4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4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4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4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4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4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4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4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4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4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4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4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4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4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4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4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4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4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4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4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4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4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4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4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4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4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4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4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4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4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4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4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4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4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4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4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4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4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4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4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4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4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4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4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4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4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4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4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4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4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4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4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4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4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4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4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4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4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4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4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4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4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4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4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4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4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4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4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4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4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4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4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4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4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4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4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4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4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4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4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4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4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4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4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4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4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4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4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4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4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4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4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4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4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4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4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4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4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4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4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4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4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4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4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4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4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4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4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4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4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4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4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4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4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4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4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4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4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4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4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4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4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4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4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4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4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4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4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4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4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4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4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4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4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4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4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4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4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4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4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4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4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4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4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4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4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4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4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4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4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4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4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4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4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4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4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4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4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4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4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4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4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4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4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4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4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4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4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4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4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4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4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4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4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4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4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4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4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4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4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4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4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4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4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4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4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4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4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4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4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4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4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4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4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4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4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4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4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4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4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4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4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4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4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4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4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4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4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4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4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4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4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4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4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4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4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4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4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4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4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4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4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4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4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4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4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4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4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4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4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4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4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4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4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4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4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4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4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4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4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4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4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4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4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4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4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4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4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4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4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4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4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4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4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4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4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4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4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4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4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4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4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4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4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4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4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4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4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4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4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4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4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4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4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4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4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4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4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4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4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4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4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4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4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4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4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4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4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4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4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4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4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4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4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4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4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4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4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4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4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4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4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4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4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4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4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4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4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4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4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4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4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4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4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4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4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4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4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4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4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4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4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4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4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4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4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4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4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4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4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4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4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4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4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4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4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4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4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4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4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4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4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4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4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4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4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4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4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4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4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4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4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4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4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4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4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4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4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4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4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4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4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4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4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4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4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4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4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4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4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4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4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4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4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4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4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4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4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4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4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4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4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4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4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4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4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4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4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4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4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4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4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4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4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4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4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4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4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4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4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4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4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4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4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4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4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4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4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4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4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4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4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4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4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4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4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4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4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4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4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4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4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4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4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4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4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4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4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4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4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4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4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4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4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4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4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4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4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4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4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4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4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4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4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4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4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4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4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4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4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4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4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4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4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4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4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4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4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4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4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4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4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4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4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4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4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4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4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4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4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4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4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4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4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4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4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4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4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4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4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4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4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4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4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4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4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4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4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4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4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4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4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4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4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4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4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4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4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4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4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4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4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4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4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4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4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4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4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4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4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4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4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4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4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4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4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4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4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4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4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4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4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4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4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4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4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4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4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4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4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4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4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4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4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4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4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4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4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4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4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4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4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4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4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4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4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4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4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4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4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4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4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4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4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4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4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4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4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4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4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4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4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4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4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4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4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4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4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4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4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4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4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4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4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4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4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4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4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4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4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4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4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4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4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4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4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4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4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4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4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4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4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4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4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4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4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4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4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4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4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4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4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4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4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4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4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4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4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4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4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4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4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4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4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4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4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4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4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4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4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4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4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4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4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4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4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4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4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4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4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4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4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4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4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4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4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4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4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4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4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4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4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4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4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4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4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4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4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4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4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4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4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4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4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4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4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4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4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4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4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4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4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4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4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4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4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4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4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4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4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4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4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4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4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4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4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4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4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4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4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4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4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4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4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4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4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4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4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4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4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4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4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4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4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4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4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4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4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4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4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4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4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4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4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4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4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4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4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4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4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4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4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4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4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4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4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4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4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4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4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4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4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4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4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4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4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4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4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4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4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4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4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4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4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4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4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4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4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4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4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4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4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4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4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4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4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4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4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4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4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4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4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4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4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4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4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4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4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4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4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4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4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4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4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4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4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4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4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4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4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4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4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4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4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4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4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4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4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4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4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4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4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4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4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4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4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4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4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4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4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4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4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4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4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4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4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4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4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4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4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4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4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4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4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4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4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4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4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4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4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4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4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4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4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4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4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4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4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4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4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4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4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4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4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4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4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4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4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4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4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4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4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4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4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4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4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4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4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4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4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4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4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4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4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4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4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4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4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4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4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4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4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4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4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4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4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4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4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4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4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4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4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4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4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4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4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4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4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4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4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4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4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4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4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4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4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4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4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4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4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4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4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4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4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4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4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4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4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4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4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4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4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4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4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4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4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4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4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4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4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4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4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4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4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4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4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4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4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4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4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4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4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4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4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4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4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4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4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4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4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4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4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4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4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4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4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4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4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4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4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4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4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4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4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4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4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4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4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4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4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4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4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4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4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4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4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4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4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4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4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4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4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4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4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4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4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4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4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4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4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4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4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4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4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4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4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4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4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4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4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4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4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4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4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4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4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4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4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4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4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4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4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4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4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4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4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4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4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4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4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4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4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4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4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4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4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4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4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4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4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4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4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4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4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4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4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4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4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4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4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4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4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4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4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4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4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4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4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4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4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4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4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4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4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4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4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4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4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4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4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4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4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4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4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4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4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4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4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4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4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4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4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4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4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4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4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4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4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4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4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4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4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4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4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4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4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4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4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4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4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4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4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4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4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4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4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4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4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4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4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4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4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4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4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4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4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4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4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4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4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4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4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4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4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4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4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4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4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4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4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4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4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4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4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4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4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4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4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4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4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4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4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4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4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4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4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4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4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4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4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4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4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4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4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4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4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4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4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4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4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4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4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4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4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4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4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4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4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4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4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4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4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4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4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4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4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4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4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4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4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4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4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4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4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4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4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4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4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4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4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4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4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4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4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4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4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4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4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4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4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4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4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4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4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4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4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4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4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4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4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4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4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4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4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4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4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4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4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4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4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4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4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4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4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4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4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4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4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4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4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4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4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4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4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4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4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4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4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4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4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4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4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4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4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4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4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4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4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4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4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4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4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4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4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4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4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4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4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4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4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4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4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4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4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4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4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4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4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4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4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4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4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4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4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4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4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4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4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4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4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4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4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4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4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4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4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4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4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4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4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4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4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4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4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4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4" t="n">
        <v>44606</v>
      </c>
      <c r="B3664" t="n">
        <v>0.43</v>
      </c>
      <c r="C3664" t="n">
        <v>0.43</v>
      </c>
      <c r="D3664" t="n">
        <v>1.98</v>
      </c>
      <c r="E3664" t="n">
        <v>2.29</v>
      </c>
    </row>
    <row r="3665">
      <c r="A3665" s="24" t="n">
        <v>44607</v>
      </c>
      <c r="B3665" t="n">
        <v>0.4</v>
      </c>
      <c r="C3665" t="n">
        <v>0.4</v>
      </c>
      <c r="D3665" t="n">
        <v>2.05</v>
      </c>
      <c r="E3665" t="n">
        <v>2.37</v>
      </c>
    </row>
    <row r="3666">
      <c r="A3666" s="24" t="n">
        <v>44608</v>
      </c>
      <c r="B3666" t="n">
        <v>0.38</v>
      </c>
      <c r="C3666" t="n">
        <v>0.38</v>
      </c>
      <c r="D3666" t="n">
        <v>2.03</v>
      </c>
      <c r="E3666" t="n">
        <v>2.34</v>
      </c>
    </row>
    <row r="3667">
      <c r="A3667" s="24" t="n">
        <v>44609</v>
      </c>
      <c r="B3667" t="n">
        <v>0.36</v>
      </c>
      <c r="C3667" t="n">
        <v>0.36</v>
      </c>
      <c r="D3667" t="n">
        <v>1.97</v>
      </c>
      <c r="E3667" t="n">
        <v>2.31</v>
      </c>
    </row>
    <row r="3668">
      <c r="A3668" s="24" t="n">
        <v>44610</v>
      </c>
      <c r="B3668" t="n">
        <v>0.35</v>
      </c>
      <c r="C3668" t="n">
        <v>0.35</v>
      </c>
      <c r="D3668" t="n">
        <v>1.92</v>
      </c>
      <c r="E3668" t="n">
        <v>2.24</v>
      </c>
    </row>
    <row r="3669">
      <c r="A3669" s="24" t="n">
        <v>44614</v>
      </c>
      <c r="B3669" t="n">
        <v>0.37</v>
      </c>
      <c r="C3669" t="n">
        <v>0.37</v>
      </c>
      <c r="D3669" t="n">
        <v>1.94</v>
      </c>
      <c r="E3669" t="n">
        <v>2.24</v>
      </c>
    </row>
    <row r="3670">
      <c r="A3670" s="24" t="n">
        <v>44615</v>
      </c>
      <c r="B3670" t="n">
        <v>0.34</v>
      </c>
      <c r="C3670" t="n">
        <v>0.34</v>
      </c>
      <c r="D3670" t="n">
        <v>1.99</v>
      </c>
      <c r="E3670" t="n">
        <v>2.29</v>
      </c>
    </row>
    <row r="3671">
      <c r="A3671" s="24" t="n">
        <v>44616</v>
      </c>
      <c r="B3671" t="n">
        <v>0.32</v>
      </c>
      <c r="C3671" t="n">
        <v>0.32</v>
      </c>
      <c r="D3671" t="n">
        <v>1.96</v>
      </c>
      <c r="E3671" t="n">
        <v>2.28</v>
      </c>
    </row>
    <row r="3672">
      <c r="A3672" s="24" t="n">
        <v>44617</v>
      </c>
      <c r="B3672" t="n">
        <v>0.33</v>
      </c>
      <c r="C3672" t="n">
        <v>0.33</v>
      </c>
      <c r="D3672" t="n">
        <v>1.97</v>
      </c>
      <c r="E3672" t="n">
        <v>2.29</v>
      </c>
    </row>
    <row r="3673">
      <c r="A3673" s="24" t="n">
        <v>44621</v>
      </c>
      <c r="B3673" t="n">
        <v>0.32</v>
      </c>
      <c r="C3673" t="n">
        <v>0.32</v>
      </c>
      <c r="D3673" t="n">
        <v>1.72</v>
      </c>
      <c r="E3673" t="n">
        <v>2.11</v>
      </c>
    </row>
    <row r="3674">
      <c r="A3674" s="24" t="n">
        <v>44622</v>
      </c>
      <c r="B3674" t="n">
        <v>0.34</v>
      </c>
      <c r="C3674" t="n">
        <v>0.34</v>
      </c>
      <c r="D3674" t="n">
        <v>1.86</v>
      </c>
      <c r="E3674" t="n">
        <v>2.24</v>
      </c>
    </row>
    <row r="3675">
      <c r="A3675" s="24" t="n">
        <v>44623</v>
      </c>
      <c r="B3675" t="n">
        <v>0.38</v>
      </c>
      <c r="C3675" t="n">
        <v>0.38</v>
      </c>
      <c r="D3675" t="n">
        <v>1.86</v>
      </c>
      <c r="E3675" t="n">
        <v>2.24</v>
      </c>
    </row>
    <row r="3676">
      <c r="A3676" s="24" t="n">
        <v>44624</v>
      </c>
      <c r="B3676" t="n">
        <v>0.34</v>
      </c>
      <c r="C3676" t="n">
        <v>0.34</v>
      </c>
      <c r="D3676" t="n">
        <v>1.74</v>
      </c>
      <c r="E3676" t="n">
        <v>2.16</v>
      </c>
    </row>
    <row r="3677">
      <c r="A3677" s="24" t="n">
        <v>44627</v>
      </c>
      <c r="B3677" t="n">
        <v>0.38</v>
      </c>
      <c r="C3677" t="n">
        <v>0.38</v>
      </c>
      <c r="D3677" t="n">
        <v>1.78</v>
      </c>
      <c r="E3677" t="n">
        <v>2.19</v>
      </c>
    </row>
    <row r="3678">
      <c r="A3678" s="24" t="n">
        <v>44628</v>
      </c>
      <c r="B3678" t="n">
        <v>0.36</v>
      </c>
      <c r="C3678" t="n">
        <v>0.36</v>
      </c>
      <c r="D3678" t="n">
        <v>1.86</v>
      </c>
      <c r="E3678" t="n">
        <v>2.24</v>
      </c>
    </row>
    <row r="3679">
      <c r="A3679" s="24" t="n">
        <v>44629</v>
      </c>
      <c r="B3679" t="n">
        <v>0.38</v>
      </c>
      <c r="C3679" t="n">
        <v>0.38</v>
      </c>
      <c r="D3679" t="n">
        <v>1.94</v>
      </c>
      <c r="E3679" t="n">
        <v>2.29</v>
      </c>
    </row>
    <row r="3680">
      <c r="A3680" s="24" t="n">
        <v>44630</v>
      </c>
      <c r="B3680" t="n">
        <v>0.39</v>
      </c>
      <c r="C3680" t="n">
        <v>0.39</v>
      </c>
      <c r="D3680" t="n">
        <v>1.98</v>
      </c>
      <c r="E3680" t="n">
        <v>2.38</v>
      </c>
    </row>
    <row r="3681">
      <c r="A3681" s="24" t="n">
        <v>44631</v>
      </c>
      <c r="B3681" t="n">
        <v>0.4</v>
      </c>
      <c r="C3681" t="n">
        <v>0.4</v>
      </c>
      <c r="D3681" t="n">
        <v>2</v>
      </c>
      <c r="E3681" t="n">
        <v>2.36</v>
      </c>
    </row>
    <row r="3682">
      <c r="A3682" s="24" t="n">
        <v>44634</v>
      </c>
      <c r="B3682" t="inlineStr">
        <is>
          <t>0.45</t>
        </is>
      </c>
      <c r="C3682" t="n">
        <v>0.45</v>
      </c>
      <c r="D3682" t="n">
        <v>2.14</v>
      </c>
      <c r="E3682" t="n">
        <v>2.47</v>
      </c>
    </row>
    <row r="3683">
      <c r="A3683" s="24" t="n">
        <v>44635</v>
      </c>
      <c r="B3683" t="inlineStr">
        <is>
          <t>0.46</t>
        </is>
      </c>
      <c r="C3683" t="n">
        <v>0.46</v>
      </c>
      <c r="D3683" t="n">
        <v>2.15</v>
      </c>
      <c r="E3683" t="n">
        <v>2.49</v>
      </c>
    </row>
    <row r="3684">
      <c r="A3684" s="24" t="n">
        <v>44636</v>
      </c>
      <c r="B3684" t="inlineStr">
        <is>
          <t>0.44</t>
        </is>
      </c>
      <c r="C3684" t="n">
        <v>0.44</v>
      </c>
      <c r="D3684" t="n">
        <v>2.19</v>
      </c>
      <c r="E3684" t="n">
        <v>2.46</v>
      </c>
    </row>
    <row r="3685">
      <c r="A3685" s="24" t="n">
        <v>44637</v>
      </c>
      <c r="B3685" t="inlineStr">
        <is>
          <t>0.40</t>
        </is>
      </c>
      <c r="C3685" t="n">
        <v>0.4</v>
      </c>
      <c r="D3685" t="n">
        <v>2.2</v>
      </c>
      <c r="E3685" t="n">
        <v>2.5</v>
      </c>
    </row>
    <row r="3686">
      <c r="A3686" s="24" t="n">
        <v>44638</v>
      </c>
      <c r="B3686" t="inlineStr">
        <is>
          <t>0.42</t>
        </is>
      </c>
      <c r="C3686" t="n">
        <v>0.42</v>
      </c>
      <c r="D3686" t="n">
        <v>2.14</v>
      </c>
      <c r="E3686" t="n">
        <v>2.42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73"/>
  <sheetViews>
    <sheetView zoomScale="170" zoomScaleNormal="170" workbookViewId="0">
      <pane ySplit="2" topLeftCell="A3646" activePane="bottomLeft" state="frozen"/>
      <selection activeCell="B3679" sqref="B3679"/>
      <selection pane="bottomLeft" activeCell="R3668" sqref="R3668"/>
    </sheetView>
  </sheetViews>
  <sheetFormatPr baseColWidth="10" defaultRowHeight="15"/>
  <cols>
    <col width="10.83203125" customWidth="1" style="6" min="1" max="1"/>
    <col width="16.6640625" customWidth="1" style="22" min="2" max="2"/>
    <col width="15.6640625" customWidth="1" style="22" min="3" max="3"/>
    <col width="15" customWidth="1" style="22" min="4" max="4"/>
    <col width="10.83203125" customWidth="1" style="22" min="5" max="12"/>
    <col width="10.83203125" customWidth="1" style="22" min="13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>
      <c r="A2806" s="6">
        <f>Database!A2805</f>
        <v/>
      </c>
      <c r="B2806">
        <f>IF(VLOOKUP(Table73[[#This Row],[Date]],Database!$A:$E,MATCH($B$1,Database!$A$1:$E$1,),)=0,#N/A,VLOOKUP(Table73[[#This Row],[Date]],Database!$A:$E,MATCH($B$1,Database!$A$1:$E$1,),))</f>
        <v/>
      </c>
      <c r="C2806">
        <f>IF(VLOOKUP(Table73[[#This Row],[Date]],Database!$A:$C,MATCH($C$1,Database!$A$1:$C$1,),)=0,#N/A,VLOOKUP(Table73[[#This Row],[Date]],Database!$A:$C,MATCH($C$1,Database!$A$1:$C$1,),))</f>
        <v/>
      </c>
      <c r="D2806">
        <f>IFERROR(Table73[[#This Row],[United States 10y]]-Table73[[#This Row],[United States 2y]],#N/A)</f>
        <v/>
      </c>
    </row>
    <row r="2807">
      <c r="A2807" s="6">
        <f>Database!A2806</f>
        <v/>
      </c>
      <c r="B2807">
        <f>IF(VLOOKUP(Table73[[#This Row],[Date]],Database!$A:$E,MATCH($B$1,Database!$A$1:$E$1,),)=0,#N/A,VLOOKUP(Table73[[#This Row],[Date]],Database!$A:$E,MATCH($B$1,Database!$A$1:$E$1,),))</f>
        <v/>
      </c>
      <c r="C2807">
        <f>IF(VLOOKUP(Table73[[#This Row],[Date]],Database!$A:$C,MATCH($C$1,Database!$A$1:$C$1,),)=0,#N/A,VLOOKUP(Table73[[#This Row],[Date]],Database!$A:$C,MATCH($C$1,Database!$A$1:$C$1,),))</f>
        <v/>
      </c>
      <c r="D2807">
        <f>IFERROR(Table73[[#This Row],[United States 10y]]-Table73[[#This Row],[United States 2y]],#N/A)</f>
        <v/>
      </c>
    </row>
    <row r="2808">
      <c r="A2808" s="6">
        <f>Database!A2807</f>
        <v/>
      </c>
      <c r="B2808">
        <f>IF(VLOOKUP(Table73[[#This Row],[Date]],Database!$A:$E,MATCH($B$1,Database!$A$1:$E$1,),)=0,#N/A,VLOOKUP(Table73[[#This Row],[Date]],Database!$A:$E,MATCH($B$1,Database!$A$1:$E$1,),))</f>
        <v/>
      </c>
      <c r="C2808">
        <f>IF(VLOOKUP(Table73[[#This Row],[Date]],Database!$A:$C,MATCH($C$1,Database!$A$1:$C$1,),)=0,#N/A,VLOOKUP(Table73[[#This Row],[Date]],Database!$A:$C,MATCH($C$1,Database!$A$1:$C$1,),))</f>
        <v/>
      </c>
      <c r="D2808">
        <f>IFERROR(Table73[[#This Row],[United States 10y]]-Table73[[#This Row],[United States 2y]],#N/A)</f>
        <v/>
      </c>
    </row>
    <row r="2809">
      <c r="A2809" s="6">
        <f>Database!A2808</f>
        <v/>
      </c>
      <c r="B2809">
        <f>IF(VLOOKUP(Table73[[#This Row],[Date]],Database!$A:$E,MATCH($B$1,Database!$A$1:$E$1,),)=0,#N/A,VLOOKUP(Table73[[#This Row],[Date]],Database!$A:$E,MATCH($B$1,Database!$A$1:$E$1,),))</f>
        <v/>
      </c>
      <c r="C2809">
        <f>IF(VLOOKUP(Table73[[#This Row],[Date]],Database!$A:$C,MATCH($C$1,Database!$A$1:$C$1,),)=0,#N/A,VLOOKUP(Table73[[#This Row],[Date]],Database!$A:$C,MATCH($C$1,Database!$A$1:$C$1,),))</f>
        <v/>
      </c>
      <c r="D2809">
        <f>IFERROR(Table73[[#This Row],[United States 10y]]-Table73[[#This Row],[United States 2y]],#N/A)</f>
        <v/>
      </c>
    </row>
    <row r="2810">
      <c r="A2810" s="6">
        <f>Database!A2809</f>
        <v/>
      </c>
      <c r="B2810">
        <f>IF(VLOOKUP(Table73[[#This Row],[Date]],Database!$A:$E,MATCH($B$1,Database!$A$1:$E$1,),)=0,#N/A,VLOOKUP(Table73[[#This Row],[Date]],Database!$A:$E,MATCH($B$1,Database!$A$1:$E$1,),))</f>
        <v/>
      </c>
      <c r="C2810">
        <f>IF(VLOOKUP(Table73[[#This Row],[Date]],Database!$A:$C,MATCH($C$1,Database!$A$1:$C$1,),)=0,#N/A,VLOOKUP(Table73[[#This Row],[Date]],Database!$A:$C,MATCH($C$1,Database!$A$1:$C$1,),))</f>
        <v/>
      </c>
      <c r="D2810">
        <f>IFERROR(Table73[[#This Row],[United States 10y]]-Table73[[#This Row],[United States 2y]],#N/A)</f>
        <v/>
      </c>
    </row>
    <row r="2811">
      <c r="A2811" s="6">
        <f>Database!A2810</f>
        <v/>
      </c>
      <c r="B2811">
        <f>IF(VLOOKUP(Table73[[#This Row],[Date]],Database!$A:$E,MATCH($B$1,Database!$A$1:$E$1,),)=0,#N/A,VLOOKUP(Table73[[#This Row],[Date]],Database!$A:$E,MATCH($B$1,Database!$A$1:$E$1,),))</f>
        <v/>
      </c>
      <c r="C2811">
        <f>IF(VLOOKUP(Table73[[#This Row],[Date]],Database!$A:$C,MATCH($C$1,Database!$A$1:$C$1,),)=0,#N/A,VLOOKUP(Table73[[#This Row],[Date]],Database!$A:$C,MATCH($C$1,Database!$A$1:$C$1,),))</f>
        <v/>
      </c>
      <c r="D2811">
        <f>IFERROR(Table73[[#This Row],[United States 10y]]-Table73[[#This Row],[United States 2y]],#N/A)</f>
        <v/>
      </c>
    </row>
    <row r="2812">
      <c r="A2812" s="6">
        <f>Database!A2811</f>
        <v/>
      </c>
      <c r="B2812">
        <f>IF(VLOOKUP(Table73[[#This Row],[Date]],Database!$A:$E,MATCH($B$1,Database!$A$1:$E$1,),)=0,#N/A,VLOOKUP(Table73[[#This Row],[Date]],Database!$A:$E,MATCH($B$1,Database!$A$1:$E$1,),))</f>
        <v/>
      </c>
      <c r="C2812">
        <f>IF(VLOOKUP(Table73[[#This Row],[Date]],Database!$A:$C,MATCH($C$1,Database!$A$1:$C$1,),)=0,#N/A,VLOOKUP(Table73[[#This Row],[Date]],Database!$A:$C,MATCH($C$1,Database!$A$1:$C$1,),))</f>
        <v/>
      </c>
      <c r="D2812">
        <f>IFERROR(Table73[[#This Row],[United States 10y]]-Table73[[#This Row],[United States 2y]],#N/A)</f>
        <v/>
      </c>
    </row>
    <row r="2813">
      <c r="A2813" s="6">
        <f>Database!A2812</f>
        <v/>
      </c>
      <c r="B2813">
        <f>IF(VLOOKUP(Table73[[#This Row],[Date]],Database!$A:$E,MATCH($B$1,Database!$A$1:$E$1,),)=0,#N/A,VLOOKUP(Table73[[#This Row],[Date]],Database!$A:$E,MATCH($B$1,Database!$A$1:$E$1,),))</f>
        <v/>
      </c>
      <c r="C2813">
        <f>IF(VLOOKUP(Table73[[#This Row],[Date]],Database!$A:$C,MATCH($C$1,Database!$A$1:$C$1,),)=0,#N/A,VLOOKUP(Table73[[#This Row],[Date]],Database!$A:$C,MATCH($C$1,Database!$A$1:$C$1,),))</f>
        <v/>
      </c>
      <c r="D28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2022-02-27T01:57:23Z</dcterms:modified>
  <cp:lastModifiedBy>Mark Mukherjee</cp:lastModifiedBy>
</cp:coreProperties>
</file>