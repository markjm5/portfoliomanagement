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2695" yWindow="-21720" windowWidth="51840" windowHeight="21120" tabRatio="894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  <numFmt numFmtId="170" formatCode="dd-mm-YYYY"/>
    <numFmt numFmtId="171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1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169" fontId="0" fillId="0" borderId="0" pivotButton="0" quotePrefix="0" xfId="0"/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170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5">
    <cellStyle name="Normal" xfId="0" builtinId="0"/>
    <cellStyle name="Hyperlink" xfId="1" builtinId="8"/>
    <cellStyle name="Per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Velocity!$A$12:$A$266</f>
              <numCache>
                <formatCode>dd\-mm\-yyyy</formatCode>
                <ptCount val="255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  <pt idx="253">
                  <v>44652</v>
                </pt>
                <pt idx="254">
                  <v>44743</v>
                </pt>
              </numCache>
            </numRef>
          </cat>
          <val>
            <numRef>
              <f>Velocity!$B$12:$B$266</f>
              <numCache>
                <formatCode>0.000</formatCode>
                <ptCount val="255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2.133</v>
                </pt>
                <pt idx="168">
                  <v>2.085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</v>
                </pt>
                <pt idx="180">
                  <v>1.95</v>
                </pt>
                <pt idx="181">
                  <v>1.94</v>
                </pt>
                <pt idx="182">
                  <v>1.949</v>
                </pt>
                <pt idx="183">
                  <v>1.958</v>
                </pt>
                <pt idx="184">
                  <v>1.985</v>
                </pt>
                <pt idx="185">
                  <v>1.995</v>
                </pt>
                <pt idx="186">
                  <v>2</v>
                </pt>
                <pt idx="187">
                  <v>2.001</v>
                </pt>
                <pt idx="188">
                  <v>2.016</v>
                </pt>
                <pt idx="189">
                  <v>2.017</v>
                </pt>
                <pt idx="190">
                  <v>2.006</v>
                </pt>
                <pt idx="191">
                  <v>1.997</v>
                </pt>
                <pt idx="192">
                  <v>1.993</v>
                </pt>
                <pt idx="193">
                  <v>1.986</v>
                </pt>
                <pt idx="194">
                  <v>1.977</v>
                </pt>
                <pt idx="195">
                  <v>1.977</v>
                </pt>
                <pt idx="196">
                  <v>1.939</v>
                </pt>
                <pt idx="197">
                  <v>1.927</v>
                </pt>
                <pt idx="198">
                  <v>1.908</v>
                </pt>
                <pt idx="199">
                  <v>1.813</v>
                </pt>
                <pt idx="200">
                  <v>1.735</v>
                </pt>
                <pt idx="201">
                  <v>1.709</v>
                </pt>
                <pt idx="202">
                  <v>1.711</v>
                </pt>
                <pt idx="203">
                  <v>1.726</v>
                </pt>
                <pt idx="204">
                  <v>1.739</v>
                </pt>
                <pt idx="205">
                  <v>1.746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1.648</v>
                </pt>
                <pt idx="212">
                  <v>1.642</v>
                </pt>
                <pt idx="213">
                  <v>1.631</v>
                </pt>
                <pt idx="214">
                  <v>1.612</v>
                </pt>
                <pt idx="215">
                  <v>1.586</v>
                </pt>
                <pt idx="216">
                  <v>1.583</v>
                </pt>
                <pt idx="217">
                  <v>1.571</v>
                </pt>
                <pt idx="218">
                  <v>1.568</v>
                </pt>
                <pt idx="219">
                  <v>1.56</v>
                </pt>
                <pt idx="220">
                  <v>1.538</v>
                </pt>
                <pt idx="221">
                  <v>1.542</v>
                </pt>
                <pt idx="222">
                  <v>1.547</v>
                </pt>
                <pt idx="223">
                  <v>1.537</v>
                </pt>
                <pt idx="224">
                  <v>1.521</v>
                </pt>
                <pt idx="225">
                  <v>1.521</v>
                </pt>
                <pt idx="226">
                  <v>1.512</v>
                </pt>
                <pt idx="227">
                  <v>1.493</v>
                </pt>
                <pt idx="228">
                  <v>1.469</v>
                </pt>
                <pt idx="229">
                  <v>1.458</v>
                </pt>
                <pt idx="230">
                  <v>1.448</v>
                </pt>
                <pt idx="231">
                  <v>1.441</v>
                </pt>
                <pt idx="232">
                  <v>1.434</v>
                </pt>
                <pt idx="233">
                  <v>1.427</v>
                </pt>
                <pt idx="234">
                  <v>1.431</v>
                </pt>
                <pt idx="235">
                  <v>1.44</v>
                </pt>
                <pt idx="236">
                  <v>1.449</v>
                </pt>
                <pt idx="237">
                  <v>1.458</v>
                </pt>
                <pt idx="238">
                  <v>1.459</v>
                </pt>
                <pt idx="239">
                  <v>1.458</v>
                </pt>
                <pt idx="240">
                  <v>1.452</v>
                </pt>
                <pt idx="241">
                  <v>1.453</v>
                </pt>
                <pt idx="242">
                  <v>1.443</v>
                </pt>
                <pt idx="243">
                  <v>1.425</v>
                </pt>
                <pt idx="244">
                  <v>1.379</v>
                </pt>
                <pt idx="245">
                  <v>1.112</v>
                </pt>
                <pt idx="246">
                  <v>1.161</v>
                </pt>
                <pt idx="247">
                  <v>1.146</v>
                </pt>
                <pt idx="248">
                  <v>1.138</v>
                </pt>
                <pt idx="249">
                  <v>1.134</v>
                </pt>
                <pt idx="250">
                  <v>1.132</v>
                </pt>
                <pt idx="251">
                  <v>1.142</v>
                </pt>
                <pt idx="252">
                  <v>1.14</v>
                </pt>
                <pt idx="253">
                  <v>1.167</v>
                </pt>
                <pt idx="254">
                  <v>1.191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Monthly'!$A$6:$A$773</f>
              <numCache>
                <formatCode>yyyy\-mm\-dd</formatCode>
                <ptCount val="768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</numCache>
            </numRef>
          </cat>
          <val>
            <numRef>
              <f>'US M1 Real Monthly'!$B$6:$B$773</f>
              <numCache>
                <formatCode>0.0</formatCode>
                <ptCount val="768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966.4</v>
                </pt>
                <pt idx="637">
                  <v>966.6</v>
                </pt>
                <pt idx="638">
                  <v>973.7</v>
                </pt>
                <pt idx="639">
                  <v>976.2</v>
                </pt>
                <pt idx="640">
                  <v>986.5</v>
                </pt>
                <pt idx="641">
                  <v>995.7</v>
                </pt>
                <pt idx="642">
                  <v>1012.7</v>
                </pt>
                <pt idx="643">
                  <v>1023.9</v>
                </pt>
                <pt idx="644">
                  <v>1033.1</v>
                </pt>
                <pt idx="645">
                  <v>1044.8</v>
                </pt>
                <pt idx="646">
                  <v>1055.7</v>
                </pt>
                <pt idx="647">
                  <v>1064.2</v>
                </pt>
                <pt idx="648">
                  <v>1068.5</v>
                </pt>
                <pt idx="649">
                  <v>1060.6</v>
                </pt>
                <pt idx="650">
                  <v>1066.6</v>
                </pt>
                <pt idx="651">
                  <v>1081.6</v>
                </pt>
                <pt idx="652">
                  <v>1090.1</v>
                </pt>
                <pt idx="653">
                  <v>1087.7</v>
                </pt>
                <pt idx="654">
                  <v>1092.5</v>
                </pt>
                <pt idx="655">
                  <v>1094.8</v>
                </pt>
                <pt idx="656">
                  <v>1106.8</v>
                </pt>
                <pt idx="657">
                  <v>1122.8</v>
                </pt>
                <pt idx="658">
                  <v>1125.4</v>
                </pt>
                <pt idx="659">
                  <v>1135.1</v>
                </pt>
                <pt idx="660">
                  <v>1147.1</v>
                </pt>
                <pt idx="661">
                  <v>1156.8</v>
                </pt>
                <pt idx="662">
                  <v>1165.7</v>
                </pt>
                <pt idx="663">
                  <v>1172.8</v>
                </pt>
                <pt idx="664">
                  <v>1178.2</v>
                </pt>
                <pt idx="665">
                  <v>1191.7</v>
                </pt>
                <pt idx="666">
                  <v>1197.1</v>
                </pt>
                <pt idx="667">
                  <v>1180.9</v>
                </pt>
                <pt idx="668">
                  <v>1206.5</v>
                </pt>
                <pt idx="669">
                  <v>1209.1</v>
                </pt>
                <pt idx="670">
                  <v>1219</v>
                </pt>
                <pt idx="671">
                  <v>1244.8</v>
                </pt>
                <pt idx="672">
                  <v>1253</v>
                </pt>
                <pt idx="673">
                  <v>1277</v>
                </pt>
                <pt idx="674">
                  <v>1270.6</v>
                </pt>
                <pt idx="675">
                  <v>1269.7</v>
                </pt>
                <pt idx="676">
                  <v>1258.2</v>
                </pt>
                <pt idx="677">
                  <v>1271.1</v>
                </pt>
                <pt idx="678">
                  <v>1277.5</v>
                </pt>
                <pt idx="679">
                  <v>1272.5</v>
                </pt>
                <pt idx="680">
                  <v>1283</v>
                </pt>
                <pt idx="681">
                  <v>1269.8</v>
                </pt>
                <pt idx="682">
                  <v>1295</v>
                </pt>
                <pt idx="683">
                  <v>1302.1</v>
                </pt>
                <pt idx="684">
                  <v>1303.1</v>
                </pt>
                <pt idx="685">
                  <v>1318.3</v>
                </pt>
                <pt idx="686">
                  <v>1324.8</v>
                </pt>
                <pt idx="687">
                  <v>1338.3</v>
                </pt>
                <pt idx="688">
                  <v>1351.5</v>
                </pt>
                <pt idx="689">
                  <v>1351.3</v>
                </pt>
                <pt idx="690">
                  <v>1351.9</v>
                </pt>
                <pt idx="691">
                  <v>1379.9</v>
                </pt>
                <pt idx="692">
                  <v>1379.8</v>
                </pt>
                <pt idx="693">
                  <v>1378.9</v>
                </pt>
                <pt idx="694">
                  <v>1386.2</v>
                </pt>
                <pt idx="695">
                  <v>1376.9</v>
                </pt>
                <pt idx="696">
                  <v>1392</v>
                </pt>
                <pt idx="697">
                  <v>1394.5</v>
                </pt>
                <pt idx="698">
                  <v>1414.8</v>
                </pt>
                <pt idx="699">
                  <v>1413.3</v>
                </pt>
                <pt idx="700">
                  <v>1441</v>
                </pt>
                <pt idx="701">
                  <v>1443.7</v>
                </pt>
                <pt idx="702">
                  <v>1452.9</v>
                </pt>
                <pt idx="703">
                  <v>1463.3</v>
                </pt>
                <pt idx="704">
                  <v>1449.1</v>
                </pt>
                <pt idx="705">
                  <v>1462.3</v>
                </pt>
                <pt idx="706">
                  <v>1468.4</v>
                </pt>
                <pt idx="707">
                  <v>1457</v>
                </pt>
                <pt idx="708">
                  <v>1469.9</v>
                </pt>
                <pt idx="709">
                  <v>1450.9</v>
                </pt>
                <pt idx="710">
                  <v>1467.8</v>
                </pt>
                <pt idx="711">
                  <v>1461.2</v>
                </pt>
                <pt idx="712">
                  <v>1455.8</v>
                </pt>
                <pt idx="713">
                  <v>1454.4</v>
                </pt>
                <pt idx="714">
                  <v>1463.3</v>
                </pt>
                <pt idx="715">
                  <v>1467</v>
                </pt>
                <pt idx="716">
                  <v>1467.6</v>
                </pt>
                <pt idx="717">
                  <v>1474.4</v>
                </pt>
                <pt idx="718">
                  <v>1466.7</v>
                </pt>
                <pt idx="719">
                  <v>1490.2</v>
                </pt>
                <pt idx="720">
                  <v>1487.2</v>
                </pt>
                <pt idx="721">
                  <v>1486.5</v>
                </pt>
                <pt idx="722">
                  <v>1468.3</v>
                </pt>
                <pt idx="723">
                  <v>1479.4</v>
                </pt>
                <pt idx="724">
                  <v>1481.7</v>
                </pt>
                <pt idx="725">
                  <v>1497.6</v>
                </pt>
                <pt idx="726">
                  <v>1507.2</v>
                </pt>
                <pt idx="727">
                  <v>1506.3</v>
                </pt>
                <pt idx="728">
                  <v>1519.9</v>
                </pt>
                <pt idx="729">
                  <v>1529.4</v>
                </pt>
                <pt idx="730">
                  <v>1534.3</v>
                </pt>
                <pt idx="731">
                  <v>1551.6</v>
                </pt>
                <pt idx="732">
                  <v>1543.8</v>
                </pt>
                <pt idx="733">
                  <v>1545.5</v>
                </pt>
                <pt idx="734">
                  <v>1650.8</v>
                </pt>
                <pt idx="735">
                  <v>1866.4</v>
                </pt>
                <pt idx="736">
                  <v>6342.4</v>
                </pt>
                <pt idx="737">
                  <v>6439.5</v>
                </pt>
                <pt idx="738">
                  <v>6484</v>
                </pt>
                <pt idx="739">
                  <v>6509.2</v>
                </pt>
                <pt idx="740">
                  <v>6595.8</v>
                </pt>
                <pt idx="741">
                  <v>6669.9</v>
                </pt>
                <pt idx="742">
                  <v>6760.8</v>
                </pt>
                <pt idx="743">
                  <v>6818.4</v>
                </pt>
                <pt idx="744">
                  <v>6905.8</v>
                </pt>
                <pt idx="745">
                  <v>6974.6</v>
                </pt>
                <pt idx="746">
                  <v>7033.7</v>
                </pt>
                <pt idx="747">
                  <v>7096.2</v>
                </pt>
                <pt idx="748">
                  <v>7170.4</v>
                </pt>
                <pt idx="749">
                  <v>7130.2</v>
                </pt>
                <pt idx="750">
                  <v>7161.3</v>
                </pt>
                <pt idx="751">
                  <v>7224.2</v>
                </pt>
                <pt idx="752">
                  <v>7247.1</v>
                </pt>
                <pt idx="753">
                  <v>7253.9</v>
                </pt>
                <pt idx="754">
                  <v>7281.1</v>
                </pt>
                <pt idx="755">
                  <v>7293.4</v>
                </pt>
                <pt idx="756">
                  <v>7301.6</v>
                </pt>
                <pt idx="757">
                  <v>7270.4</v>
                </pt>
                <pt idx="758">
                  <v>7194.5</v>
                </pt>
                <pt idx="759">
                  <v>7142.4</v>
                </pt>
                <pt idx="760">
                  <v>7077.1</v>
                </pt>
                <pt idx="761">
                  <v>6960.6</v>
                </pt>
                <pt idx="762">
                  <v>6953.8</v>
                </pt>
                <pt idx="763">
                  <v>6925.3</v>
                </pt>
                <pt idx="764">
                  <v>6835</v>
                </pt>
                <pt idx="765">
                  <v>6743.5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Monthly'!$A$18:$A$771</f>
              <numCache>
                <formatCode>yyyy\-mm\-dd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'US M1 Real Monthly'!$C$18:$C$771</f>
              <numCache>
                <formatCode>0.0%</formatCode>
                <ptCount val="754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0.1577812387684197</v>
                </pt>
                <pt idx="625">
                  <v>0.1468913146654011</v>
                </pt>
                <pt idx="626">
                  <v>0.145125249911796</v>
                </pt>
                <pt idx="627">
                  <v>0.1532191376255169</v>
                </pt>
                <pt idx="628">
                  <v>0.1421789973370383</v>
                </pt>
                <pt idx="629">
                  <v>0.1400274788184109</v>
                </pt>
                <pt idx="630">
                  <v>0.1435185185185185</v>
                </pt>
                <pt idx="631">
                  <v>0.09437793929029495</v>
                </pt>
                <pt idx="632">
                  <v>0.1042112013681059</v>
                </pt>
                <pt idx="633">
                  <v>0.1130286566528176</v>
                </pt>
                <pt idx="634">
                  <v>0.09911504424778766</v>
                </pt>
                <pt idx="635">
                  <v>0.1165669919210996</v>
                </pt>
                <pt idx="636">
                  <v>0.1056498344370861</v>
                </pt>
                <pt idx="637">
                  <v>0.0972480860749016</v>
                </pt>
                <pt idx="638">
                  <v>0.09540926363356256</v>
                </pt>
                <pt idx="639">
                  <v>0.1079696783446014</v>
                </pt>
                <pt idx="640">
                  <v>0.1050177394830207</v>
                </pt>
                <pt idx="641">
                  <v>0.0923973084262328</v>
                </pt>
                <pt idx="642">
                  <v>0.07879924953095679</v>
                </pt>
                <pt idx="643">
                  <v>0.0692450434612755</v>
                </pt>
                <pt idx="644">
                  <v>0.07133868938147328</v>
                </pt>
                <pt idx="645">
                  <v>0.07465543644716692</v>
                </pt>
                <pt idx="646">
                  <v>0.06602254428341389</v>
                </pt>
                <pt idx="647">
                  <v>0.06662281526028929</v>
                </pt>
                <pt idx="648">
                  <v>0.07356106691623764</v>
                </pt>
                <pt idx="649">
                  <v>0.09070337544785975</v>
                </pt>
                <pt idx="650">
                  <v>0.09291205700356286</v>
                </pt>
                <pt idx="651">
                  <v>0.08431952662721899</v>
                </pt>
                <pt idx="652">
                  <v>0.08081827355288519</v>
                </pt>
                <pt idx="653">
                  <v>0.09561459961386411</v>
                </pt>
                <pt idx="654">
                  <v>0.09574370709382142</v>
                </pt>
                <pt idx="655">
                  <v>0.07864450127877251</v>
                </pt>
                <pt idx="656">
                  <v>0.0900795084929527</v>
                </pt>
                <pt idx="657">
                  <v>0.07686141788386174</v>
                </pt>
                <pt idx="658">
                  <v>0.0831704282921627</v>
                </pt>
                <pt idx="659">
                  <v>0.09664346753589997</v>
                </pt>
                <pt idx="660">
                  <v>0.09231976288030695</v>
                </pt>
                <pt idx="661">
                  <v>0.1039073305670817</v>
                </pt>
                <pt idx="662">
                  <v>0.0899888479025477</v>
                </pt>
                <pt idx="663">
                  <v>0.08262278308321973</v>
                </pt>
                <pt idx="664">
                  <v>0.0679001867255135</v>
                </pt>
                <pt idx="665">
                  <v>0.06662750692288316</v>
                </pt>
                <pt idx="666">
                  <v>0.067162308913207</v>
                </pt>
                <pt idx="667">
                  <v>0.07756795664323812</v>
                </pt>
                <pt idx="668">
                  <v>0.06340654786572732</v>
                </pt>
                <pt idx="669">
                  <v>0.05020263005541316</v>
                </pt>
                <pt idx="670">
                  <v>0.06234618539786711</v>
                </pt>
                <pt idx="671">
                  <v>0.04603149100257066</v>
                </pt>
                <pt idx="672">
                  <v>0.03998403830806058</v>
                </pt>
                <pt idx="673">
                  <v>0.03234142521534844</v>
                </pt>
                <pt idx="674">
                  <v>0.04265701243507009</v>
                </pt>
                <pt idx="675">
                  <v>0.05402851067181216</v>
                </pt>
                <pt idx="676">
                  <v>0.07415355269432519</v>
                </pt>
                <pt idx="677">
                  <v>0.06309495712375113</v>
                </pt>
                <pt idx="678">
                  <v>0.05823874755381612</v>
                </pt>
                <pt idx="679">
                  <v>0.08440078585461697</v>
                </pt>
                <pt idx="680">
                  <v>0.07544816835541696</v>
                </pt>
                <pt idx="681">
                  <v>0.0859190423688771</v>
                </pt>
                <pt idx="682">
                  <v>0.07042471042471046</v>
                </pt>
                <pt idx="683">
                  <v>0.05744566469549204</v>
                </pt>
                <pt idx="684">
                  <v>0.06822193231524833</v>
                </pt>
                <pt idx="685">
                  <v>0.05780171432906019</v>
                </pt>
                <pt idx="686">
                  <v>0.06793478260869565</v>
                </pt>
                <pt idx="687">
                  <v>0.05604124635731899</v>
                </pt>
                <pt idx="688">
                  <v>0.06622271550129485</v>
                </pt>
                <pt idx="689">
                  <v>0.06837859838673876</v>
                </pt>
                <pt idx="690">
                  <v>0.0747096678748428</v>
                </pt>
                <pt idx="691">
                  <v>0.06043916225813455</v>
                </pt>
                <pt idx="692">
                  <v>0.05022467024206403</v>
                </pt>
                <pt idx="693">
                  <v>0.06048299369062286</v>
                </pt>
                <pt idx="694">
                  <v>0.05929880248160441</v>
                </pt>
                <pt idx="695">
                  <v>0.05817415934345262</v>
                </pt>
                <pt idx="696">
                  <v>0.05596264367816099</v>
                </pt>
                <pt idx="697">
                  <v>0.04044460380064546</v>
                </pt>
                <pt idx="698">
                  <v>0.03746112524738479</v>
                </pt>
                <pt idx="699">
                  <v>0.03389230878086754</v>
                </pt>
                <pt idx="700">
                  <v>0.01027064538514917</v>
                </pt>
                <pt idx="701">
                  <v>0.007411512086998715</v>
                </pt>
                <pt idx="702">
                  <v>0.007158097597907539</v>
                </pt>
                <pt idx="703">
                  <v>0.002528531401626492</v>
                </pt>
                <pt idx="704">
                  <v>0.01276654475191498</v>
                </pt>
                <pt idx="705">
                  <v>0.008274635847637378</v>
                </pt>
                <pt idx="706">
                  <v>-0.001157722691364782</v>
                </pt>
                <pt idx="707">
                  <v>0.02278654770075501</v>
                </pt>
                <pt idx="708">
                  <v>0.01176950812980472</v>
                </pt>
                <pt idx="709">
                  <v>0.02453649458956503</v>
                </pt>
                <pt idx="710">
                  <v>0.0003406458645592043</v>
                </pt>
                <pt idx="711">
                  <v>0.01245551601423491</v>
                </pt>
                <pt idx="712">
                  <v>0.01779090534414074</v>
                </pt>
                <pt idx="713">
                  <v>0.02970297029702958</v>
                </pt>
                <pt idx="714">
                  <v>0.03000068338686537</v>
                </pt>
                <pt idx="715">
                  <v>0.0267893660531697</v>
                </pt>
                <pt idx="716">
                  <v>0.03563641319160547</v>
                </pt>
                <pt idx="717">
                  <v>0.03730330982094411</v>
                </pt>
                <pt idx="718">
                  <v>0.04608986159405461</v>
                </pt>
                <pt idx="719">
                  <v>0.04120252315125477</v>
                </pt>
                <pt idx="720">
                  <v>0.03805809575040338</v>
                </pt>
                <pt idx="721">
                  <v>0.03969054826774302</v>
                </pt>
                <pt idx="722">
                  <v>0.1242934005312266</v>
                </pt>
                <pt idx="723">
                  <v>0.2615925375152088</v>
                </pt>
                <pt idx="724">
                  <v>3.28048862792738</v>
                </pt>
                <pt idx="725">
                  <v>3.299879807692307</v>
                </pt>
                <pt idx="726">
                  <v>3.302016985138004</v>
                </pt>
                <pt idx="727">
                  <v>3.321317134700922</v>
                </pt>
                <pt idx="728">
                  <v>3.339627607079413</v>
                </pt>
                <pt idx="729">
                  <v>3.361122008630836</v>
                </pt>
                <pt idx="730">
                  <v>3.406439418627387</v>
                </pt>
                <pt idx="731">
                  <v>3.394431554524362</v>
                </pt>
                <pt idx="732">
                  <v>3.473247830029797</v>
                </pt>
                <pt idx="733">
                  <v>3.512843739890004</v>
                </pt>
                <pt idx="734">
                  <v>3.260782650835958</v>
                </pt>
                <pt idx="735">
                  <v>2.802078868409772</v>
                </pt>
                <pt idx="736">
                  <v>0.1305499495459132</v>
                </pt>
                <pt idx="737">
                  <v>0.1072598804254988</v>
                </pt>
                <pt idx="738">
                  <v>0.1044571252313387</v>
                </pt>
                <pt idx="739">
                  <v>0.109844527745345</v>
                </pt>
                <pt idx="740">
                  <v>0.09874465568998456</v>
                </pt>
                <pt idx="741">
                  <v>0.08755753459572108</v>
                </pt>
                <pt idx="742">
                  <v>0.07695834812448234</v>
                </pt>
                <pt idx="743">
                  <v>0.06966443740466972</v>
                </pt>
                <pt idx="744">
                  <v>0.05731414173593214</v>
                </pt>
                <pt idx="745">
                  <v>0.04241103432454897</v>
                </pt>
                <pt idx="746">
                  <v>0.02286136741686455</v>
                </pt>
                <pt idx="747">
                  <v>0.00651052676080153</v>
                </pt>
                <pt idx="748">
                  <v>-0.01301182639741148</v>
                </pt>
                <pt idx="749">
                  <v>-0.02378614905612738</v>
                </pt>
                <pt idx="750">
                  <v>-0.02897518606956838</v>
                </pt>
                <pt idx="751">
                  <v>-0.04137482350986955</v>
                </pt>
                <pt idx="752">
                  <v>-0.05686412496032901</v>
                </pt>
                <pt idx="753">
                  <v>-0.0703621500158535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0.4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Monthly'!$A$6:$A$778</f>
              <numCache>
                <formatCode>yyyy\-mm\-dd</formatCode>
                <ptCount val="77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</numCache>
            </numRef>
          </cat>
          <val>
            <numRef>
              <f>'US M2 Real Monthly'!$B$6:$B$778</f>
              <numCache>
                <formatCode>0.0</formatCode>
                <ptCount val="773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2801.5</v>
                </pt>
                <pt idx="503">
                  <v>2820.7</v>
                </pt>
                <pt idx="504">
                  <v>2833.5</v>
                </pt>
                <pt idx="505">
                  <v>2848.9</v>
                </pt>
                <pt idx="506">
                  <v>2880.2</v>
                </pt>
                <pt idx="507">
                  <v>2911.5</v>
                </pt>
                <pt idx="508">
                  <v>2895.1</v>
                </pt>
                <pt idx="509">
                  <v>2911.4</v>
                </pt>
                <pt idx="510">
                  <v>2933.1</v>
                </pt>
                <pt idx="511">
                  <v>2952.2</v>
                </pt>
                <pt idx="512">
                  <v>3003</v>
                </pt>
                <pt idx="513">
                  <v>3005.1</v>
                </pt>
                <pt idx="514">
                  <v>3031.4</v>
                </pt>
                <pt idx="515">
                  <v>3063</v>
                </pt>
                <pt idx="516">
                  <v>3069.3</v>
                </pt>
                <pt idx="517">
                  <v>3080.6</v>
                </pt>
                <pt idx="518">
                  <v>3078.5</v>
                </pt>
                <pt idx="519">
                  <v>3064.9</v>
                </pt>
                <pt idx="520">
                  <v>3076</v>
                </pt>
                <pt idx="521">
                  <v>3088.3</v>
                </pt>
                <pt idx="522">
                  <v>3105.1</v>
                </pt>
                <pt idx="523">
                  <v>3120</v>
                </pt>
                <pt idx="524">
                  <v>3128.3</v>
                </pt>
                <pt idx="525">
                  <v>3145.9</v>
                </pt>
                <pt idx="526">
                  <v>3168.4</v>
                </pt>
                <pt idx="527">
                  <v>3174.9</v>
                </pt>
                <pt idx="528">
                  <v>3178.9</v>
                </pt>
                <pt idx="529">
                  <v>3181.2</v>
                </pt>
                <pt idx="530">
                  <v>3187.3</v>
                </pt>
                <pt idx="531">
                  <v>3219.9</v>
                </pt>
                <pt idx="532">
                  <v>3258.2</v>
                </pt>
                <pt idx="533">
                  <v>3274.7</v>
                </pt>
                <pt idx="534">
                  <v>3289.4</v>
                </pt>
                <pt idx="535">
                  <v>3306.7</v>
                </pt>
                <pt idx="536">
                  <v>3280.8</v>
                </pt>
                <pt idx="537">
                  <v>3279.4</v>
                </pt>
                <pt idx="538">
                  <v>3280.6</v>
                </pt>
                <pt idx="539">
                  <v>3270.8</v>
                </pt>
                <pt idx="540">
                  <v>3261.1</v>
                </pt>
                <pt idx="541">
                  <v>3274.9</v>
                </pt>
                <pt idx="542">
                  <v>3287.1</v>
                </pt>
                <pt idx="543">
                  <v>3303.7</v>
                </pt>
                <pt idx="544">
                  <v>3330.6</v>
                </pt>
                <pt idx="545">
                  <v>3319.5</v>
                </pt>
                <pt idx="546">
                  <v>3323.3</v>
                </pt>
                <pt idx="547">
                  <v>3335.4</v>
                </pt>
                <pt idx="548">
                  <v>3343.2</v>
                </pt>
                <pt idx="549">
                  <v>3340.3</v>
                </pt>
                <pt idx="550">
                  <v>3338.4</v>
                </pt>
                <pt idx="551">
                  <v>3348.1</v>
                </pt>
                <pt idx="552">
                  <v>3353.1</v>
                </pt>
                <pt idx="553">
                  <v>3343.5</v>
                </pt>
                <pt idx="554">
                  <v>3336</v>
                </pt>
                <pt idx="555">
                  <v>3332.9</v>
                </pt>
                <pt idx="556">
                  <v>3343.6</v>
                </pt>
                <pt idx="557">
                  <v>3358.7</v>
                </pt>
                <pt idx="558">
                  <v>3354.2</v>
                </pt>
                <pt idx="559">
                  <v>3350.4</v>
                </pt>
                <pt idx="560">
                  <v>3322.1</v>
                </pt>
                <pt idx="561">
                  <v>3334.3</v>
                </pt>
                <pt idx="562">
                  <v>3359.4</v>
                </pt>
                <pt idx="563">
                  <v>3373</v>
                </pt>
                <pt idx="564">
                  <v>3374</v>
                </pt>
                <pt idx="565">
                  <v>3384.5</v>
                </pt>
                <pt idx="566">
                  <v>3386.5</v>
                </pt>
                <pt idx="567">
                  <v>3388.2</v>
                </pt>
                <pt idx="568">
                  <v>3381.5</v>
                </pt>
                <pt idx="569">
                  <v>3391.9</v>
                </pt>
                <pt idx="570">
                  <v>3393.9</v>
                </pt>
                <pt idx="571">
                  <v>3394.1</v>
                </pt>
                <pt idx="572">
                  <v>3424.2</v>
                </pt>
                <pt idx="573">
                  <v>3463.7</v>
                </pt>
                <pt idx="574">
                  <v>3479.4</v>
                </pt>
                <pt idx="575">
                  <v>3481.8</v>
                </pt>
                <pt idx="576">
                  <v>3494.7</v>
                </pt>
                <pt idx="577">
                  <v>3488.9</v>
                </pt>
                <pt idx="578">
                  <v>3487.3</v>
                </pt>
                <pt idx="579">
                  <v>3512</v>
                </pt>
                <pt idx="580">
                  <v>3504.3</v>
                </pt>
                <pt idx="581">
                  <v>3512.3</v>
                </pt>
                <pt idx="582">
                  <v>3520.7</v>
                </pt>
                <pt idx="583">
                  <v>3556.2</v>
                </pt>
                <pt idx="584">
                  <v>3549.9</v>
                </pt>
                <pt idx="585">
                  <v>3545.7</v>
                </pt>
                <pt idx="586">
                  <v>3529.7</v>
                </pt>
                <pt idx="587">
                  <v>3533.6</v>
                </pt>
                <pt idx="588">
                  <v>3537.4</v>
                </pt>
                <pt idx="589">
                  <v>3568.9</v>
                </pt>
                <pt idx="590">
                  <v>3586.9</v>
                </pt>
                <pt idx="591">
                  <v>3598.7</v>
                </pt>
                <pt idx="592">
                  <v>3583.1</v>
                </pt>
                <pt idx="593">
                  <v>3554.1</v>
                </pt>
                <pt idx="594">
                  <v>3550.2</v>
                </pt>
                <pt idx="595">
                  <v>3562.2</v>
                </pt>
                <pt idx="596">
                  <v>3590.8</v>
                </pt>
                <pt idx="597">
                  <v>3670.7</v>
                </pt>
                <pt idx="598">
                  <v>3760.6</v>
                </pt>
                <pt idx="599">
                  <v>3875.2</v>
                </pt>
                <pt idx="600">
                  <v>3903.9</v>
                </pt>
                <pt idx="601">
                  <v>3903.6</v>
                </pt>
                <pt idx="602">
                  <v>3938.6</v>
                </pt>
                <pt idx="603">
                  <v>3936.3</v>
                </pt>
                <pt idx="604">
                  <v>3957.7</v>
                </pt>
                <pt idx="605">
                  <v>3929.7</v>
                </pt>
                <pt idx="606">
                  <v>3933</v>
                </pt>
                <pt idx="607">
                  <v>3919.8</v>
                </pt>
                <pt idx="608">
                  <v>3911.9</v>
                </pt>
                <pt idx="609">
                  <v>3912.6</v>
                </pt>
                <pt idx="610">
                  <v>3913.2</v>
                </pt>
                <pt idx="611">
                  <v>3909</v>
                </pt>
                <pt idx="612">
                  <v>3889</v>
                </pt>
                <pt idx="613">
                  <v>3915.4</v>
                </pt>
                <pt idx="614">
                  <v>3912.8</v>
                </pt>
                <pt idx="615">
                  <v>3926</v>
                </pt>
                <pt idx="616">
                  <v>3953.2</v>
                </pt>
                <pt idx="617">
                  <v>3963.6</v>
                </pt>
                <pt idx="618">
                  <v>3960.8</v>
                </pt>
                <pt idx="619">
                  <v>3978.1</v>
                </pt>
                <pt idx="620">
                  <v>3985.8</v>
                </pt>
                <pt idx="621">
                  <v>3994.5</v>
                </pt>
                <pt idx="622">
                  <v>3993.8</v>
                </pt>
                <pt idx="623">
                  <v>3992.3</v>
                </pt>
                <pt idx="624">
                  <v>3989</v>
                </pt>
                <pt idx="625">
                  <v>4004.9</v>
                </pt>
                <pt idx="626">
                  <v>4009.7</v>
                </pt>
                <pt idx="627">
                  <v>4018.4</v>
                </pt>
                <pt idx="628">
                  <v>4037</v>
                </pt>
                <pt idx="629">
                  <v>4070.6</v>
                </pt>
                <pt idx="630">
                  <v>4133.5</v>
                </pt>
                <pt idx="631">
                  <v>4204.9</v>
                </pt>
                <pt idx="632">
                  <v>4205</v>
                </pt>
                <pt idx="633">
                  <v>4217</v>
                </pt>
                <pt idx="634">
                  <v>4231.5</v>
                </pt>
                <pt idx="635">
                  <v>4251.4</v>
                </pt>
                <pt idx="636">
                  <v>4272</v>
                </pt>
                <pt idx="637">
                  <v>4285.8</v>
                </pt>
                <pt idx="638">
                  <v>4296.5</v>
                </pt>
                <pt idx="639">
                  <v>4312.9</v>
                </pt>
                <pt idx="640">
                  <v>4341</v>
                </pt>
                <pt idx="641">
                  <v>4375.6</v>
                </pt>
                <pt idx="642">
                  <v>4397.3</v>
                </pt>
                <pt idx="643">
                  <v>4402.1</v>
                </pt>
                <pt idx="644">
                  <v>4415.6</v>
                </pt>
                <pt idx="645">
                  <v>4432.5</v>
                </pt>
                <pt idx="646">
                  <v>4470.3</v>
                </pt>
                <pt idx="647">
                  <v>4523.7</v>
                </pt>
                <pt idx="648">
                  <v>4523.3</v>
                </pt>
                <pt idx="649">
                  <v>4499.9</v>
                </pt>
                <pt idx="650">
                  <v>4541.9</v>
                </pt>
                <pt idx="651">
                  <v>4566.9</v>
                </pt>
                <pt idx="652">
                  <v>4583.2</v>
                </pt>
                <pt idx="653">
                  <v>4596.7</v>
                </pt>
                <pt idx="654">
                  <v>4607.5</v>
                </pt>
                <pt idx="655">
                  <v>4621.9</v>
                </pt>
                <pt idx="656">
                  <v>4642.1</v>
                </pt>
                <pt idx="657">
                  <v>4689</v>
                </pt>
                <pt idx="658">
                  <v>4685.6</v>
                </pt>
                <pt idx="659">
                  <v>4698.7</v>
                </pt>
                <pt idx="660">
                  <v>4708.7</v>
                </pt>
                <pt idx="661">
                  <v>4738.3</v>
                </pt>
                <pt idx="662">
                  <v>4745.3</v>
                </pt>
                <pt idx="663">
                  <v>4760.4</v>
                </pt>
                <pt idx="664">
                  <v>4780.7</v>
                </pt>
                <pt idx="665">
                  <v>4797.3</v>
                </pt>
                <pt idx="666">
                  <v>4816.8</v>
                </pt>
                <pt idx="667">
                  <v>4830</v>
                </pt>
                <pt idx="668">
                  <v>4843.8</v>
                </pt>
                <pt idx="669">
                  <v>4870.2</v>
                </pt>
                <pt idx="670">
                  <v>4896.8</v>
                </pt>
                <pt idx="671">
                  <v>4944.5</v>
                </pt>
                <pt idx="672">
                  <v>5003.3</v>
                </pt>
                <pt idx="673">
                  <v>5041.1</v>
                </pt>
                <pt idx="674">
                  <v>5034.2</v>
                </pt>
                <pt idx="675">
                  <v>5049.2</v>
                </pt>
                <pt idx="676">
                  <v>5046.5</v>
                </pt>
                <pt idx="677">
                  <v>5051.7</v>
                </pt>
                <pt idx="678">
                  <v>5065.8</v>
                </pt>
                <pt idx="679">
                  <v>5087.3</v>
                </pt>
                <pt idx="680">
                  <v>5121.9</v>
                </pt>
                <pt idx="681">
                  <v>5130.5</v>
                </pt>
                <pt idx="682">
                  <v>5161.8</v>
                </pt>
                <pt idx="683">
                  <v>5191.8</v>
                </pt>
                <pt idx="684">
                  <v>5247.2</v>
                </pt>
                <pt idx="685">
                  <v>5286</v>
                </pt>
                <pt idx="686">
                  <v>5296.4</v>
                </pt>
                <pt idx="687">
                  <v>5313.3</v>
                </pt>
                <pt idx="688">
                  <v>5328.8</v>
                </pt>
                <pt idx="689">
                  <v>5341.7</v>
                </pt>
                <pt idx="690">
                  <v>5369.4</v>
                </pt>
                <pt idx="691">
                  <v>5395.3</v>
                </pt>
                <pt idx="692">
                  <v>5406</v>
                </pt>
                <pt idx="693">
                  <v>5421.3</v>
                </pt>
                <pt idx="694">
                  <v>5444.2</v>
                </pt>
                <pt idx="695">
                  <v>5444.2</v>
                </pt>
                <pt idx="696">
                  <v>5452.3</v>
                </pt>
                <pt idx="697">
                  <v>5471.8</v>
                </pt>
                <pt idx="698">
                  <v>5502.7</v>
                </pt>
                <pt idx="699">
                  <v>5521.4</v>
                </pt>
                <pt idx="700">
                  <v>5547</v>
                </pt>
                <pt idx="701">
                  <v>5553.2</v>
                </pt>
                <pt idx="702">
                  <v>5576.8</v>
                </pt>
                <pt idx="703">
                  <v>5579.3</v>
                </pt>
                <pt idx="704">
                  <v>5568.2</v>
                </pt>
                <pt idx="705">
                  <v>5586.4</v>
                </pt>
                <pt idx="706">
                  <v>5582.3</v>
                </pt>
                <pt idx="707">
                  <v>5590</v>
                </pt>
                <pt idx="708">
                  <v>5575.3</v>
                </pt>
                <pt idx="709">
                  <v>5576.6</v>
                </pt>
                <pt idx="710">
                  <v>5595.6</v>
                </pt>
                <pt idx="711">
                  <v>5591.8</v>
                </pt>
                <pt idx="712">
                  <v>5599</v>
                </pt>
                <pt idx="713">
                  <v>5615.9</v>
                </pt>
                <pt idx="714">
                  <v>5625</v>
                </pt>
                <pt idx="715">
                  <v>5635.5</v>
                </pt>
                <pt idx="716">
                  <v>5635.4</v>
                </pt>
                <pt idx="717">
                  <v>5627</v>
                </pt>
                <pt idx="718">
                  <v>5636.7</v>
                </pt>
                <pt idx="719">
                  <v>5685.5</v>
                </pt>
                <pt idx="720">
                  <v>5715.8</v>
                </pt>
                <pt idx="721">
                  <v>5717.2</v>
                </pt>
                <pt idx="722">
                  <v>5706.7</v>
                </pt>
                <pt idx="723">
                  <v>5698.7</v>
                </pt>
                <pt idx="724">
                  <v>5730.9</v>
                </pt>
                <pt idx="725">
                  <v>5778</v>
                </pt>
                <pt idx="726">
                  <v>5796.7</v>
                </pt>
                <pt idx="727">
                  <v>5824</v>
                </pt>
                <pt idx="728">
                  <v>5847.6</v>
                </pt>
                <pt idx="729">
                  <v>5885.7</v>
                </pt>
                <pt idx="730">
                  <v>5915.7</v>
                </pt>
                <pt idx="731">
                  <v>5931.6</v>
                </pt>
                <pt idx="732">
                  <v>5954</v>
                </pt>
                <pt idx="733">
                  <v>5968.4</v>
                </pt>
                <pt idx="734">
                  <v>6193.2</v>
                </pt>
                <pt idx="735">
                  <v>6639.2</v>
                </pt>
                <pt idx="736">
                  <v>6968.4</v>
                </pt>
                <pt idx="737">
                  <v>7048.3</v>
                </pt>
                <pt idx="738">
                  <v>7069.5</v>
                </pt>
                <pt idx="739">
                  <v>7072</v>
                </pt>
                <pt idx="740">
                  <v>7139.1</v>
                </pt>
                <pt idx="741">
                  <v>7196.3</v>
                </pt>
                <pt idx="742">
                  <v>7275.9</v>
                </pt>
                <pt idx="743">
                  <v>7311.7</v>
                </pt>
                <pt idx="744">
                  <v>7388.4</v>
                </pt>
                <pt idx="745">
                  <v>7448.5</v>
                </pt>
                <pt idx="746">
                  <v>7491.2</v>
                </pt>
                <pt idx="747">
                  <v>7539.8</v>
                </pt>
                <pt idx="748">
                  <v>7601.9</v>
                </pt>
                <pt idx="749">
                  <v>7551.1</v>
                </pt>
                <pt idx="750">
                  <v>7574</v>
                </pt>
                <pt idx="751">
                  <v>7629.4</v>
                </pt>
                <pt idx="752">
                  <v>7645.8</v>
                </pt>
                <pt idx="753">
                  <v>7644.5</v>
                </pt>
                <pt idx="754">
                  <v>7665.2</v>
                </pt>
                <pt idx="755">
                  <v>7671.5</v>
                </pt>
                <pt idx="756">
                  <v>7679</v>
                </pt>
                <pt idx="757">
                  <v>7638.9</v>
                </pt>
                <pt idx="758">
                  <v>7556.2</v>
                </pt>
                <pt idx="759">
                  <v>7498.1</v>
                </pt>
                <pt idx="760">
                  <v>7427.5</v>
                </pt>
                <pt idx="761">
                  <v>7316.5</v>
                </pt>
                <pt idx="762">
                  <v>7327.5</v>
                </pt>
                <pt idx="763">
                  <v>7317.6</v>
                </pt>
                <pt idx="764">
                  <v>7246.1</v>
                </pt>
                <pt idx="765">
                  <v>7184.8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</numCache>
            </numRef>
          </cat>
          <val>
            <numRef>
              <f>'US M2 Real Monthly'!$C$6:$C$774</f>
              <numCache>
                <formatCode>General</formatCode>
                <ptCount val="769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0.02326685660018987</v>
                </pt>
                <pt idx="503">
                  <formatCode>0.0%</formatCode>
                  <v>0.02660503712330758</v>
                </pt>
                <pt idx="504">
                  <formatCode>0.0%</formatCode>
                  <v>0.02804586024236274</v>
                </pt>
                <pt idx="505">
                  <formatCode>0.0%</formatCode>
                  <v>0.03498510499164433</v>
                </pt>
                <pt idx="506">
                  <formatCode>0.0%</formatCode>
                  <v>0.04563441640951164</v>
                </pt>
                <pt idx="507">
                  <formatCode>0.0%</formatCode>
                  <v>0.04399741824440613</v>
                </pt>
                <pt idx="508">
                  <formatCode>0.0%</formatCode>
                  <v>0.04260299625468154</v>
                </pt>
                <pt idx="509">
                  <formatCode>0.0%</formatCode>
                  <v>0.05062971383205232</v>
                </pt>
                <pt idx="510">
                  <formatCode>0.0%</formatCode>
                  <v>0.05765902206836871</v>
                </pt>
                <pt idx="511">
                  <formatCode>0.0%</formatCode>
                  <v>0.05832586485033153</v>
                </pt>
                <pt idx="512">
                  <formatCode>0.0%</formatCode>
                  <v>0.07418800972957508</v>
                </pt>
                <pt idx="513">
                  <formatCode>0.0%</formatCode>
                  <v>0.07324999999999997</v>
                </pt>
                <pt idx="514">
                  <formatCode>0.0%</formatCode>
                  <v>0.08206318043905055</v>
                </pt>
                <pt idx="515">
                  <formatCode>0.0%</formatCode>
                  <v>0.0859006629560039</v>
                </pt>
                <pt idx="516">
                  <formatCode>0.0%</formatCode>
                  <v>0.08321863419798842</v>
                </pt>
                <pt idx="517">
                  <formatCode>0.0%</formatCode>
                  <v>0.08132963599985953</v>
                </pt>
                <pt idx="518">
                  <formatCode>0.0%</formatCode>
                  <v>0.06884938545934317</v>
                </pt>
                <pt idx="519">
                  <formatCode>0.0%</formatCode>
                  <v>0.05268761806628888</v>
                </pt>
                <pt idx="520">
                  <formatCode>0.0%</formatCode>
                  <v>0.06248488825947294</v>
                </pt>
                <pt idx="521">
                  <formatCode>0.0%</formatCode>
                  <v>0.06076114584048914</v>
                </pt>
                <pt idx="522">
                  <formatCode>0.0%</formatCode>
                  <v>0.05864102826361188</v>
                </pt>
                <pt idx="523">
                  <formatCode>0.0%</formatCode>
                  <v>0.05683896754962407</v>
                </pt>
                <pt idx="524">
                  <formatCode>0.0%</formatCode>
                  <v>0.04172494172494179</v>
                </pt>
                <pt idx="525">
                  <formatCode>0.0%</formatCode>
                  <v>0.04685368207380792</v>
                </pt>
                <pt idx="526">
                  <formatCode>0.0%</formatCode>
                  <v>0.04519363990235534</v>
                </pt>
                <pt idx="527">
                  <formatCode>0.0%</formatCode>
                  <v>0.03653281096963764</v>
                </pt>
                <pt idx="528">
                  <formatCode>0.0%</formatCode>
                  <v>0.03570846772879806</v>
                </pt>
                <pt idx="529">
                  <formatCode>0.0%</formatCode>
                  <v>0.03265597610855026</v>
                </pt>
                <pt idx="530">
                  <formatCode>0.0%</formatCode>
                  <v>0.03534188728276764</v>
                </pt>
                <pt idx="531">
                  <formatCode>0.0%</formatCode>
                  <v>0.05057261248327841</v>
                </pt>
                <pt idx="532">
                  <formatCode>0.0%</formatCode>
                  <v>0.05923276983094922</v>
                </pt>
                <pt idx="533">
                  <formatCode>0.0%</formatCode>
                  <v>0.06035683061878691</v>
                </pt>
                <pt idx="534">
                  <formatCode>0.0%</formatCode>
                  <v>0.05935396605584367</v>
                </pt>
                <pt idx="535">
                  <formatCode>0.0%</formatCode>
                  <v>0.05983974358974353</v>
                </pt>
                <pt idx="536">
                  <formatCode>0.0%</formatCode>
                  <v>0.04874852156123134</v>
                </pt>
                <pt idx="537">
                  <formatCode>0.0%</formatCode>
                  <v>0.04243618678279665</v>
                </pt>
                <pt idx="538">
                  <formatCode>0.0%</formatCode>
                  <v>0.0354121954298699</v>
                </pt>
                <pt idx="539">
                  <formatCode>0.0%</formatCode>
                  <v>0.0302056757693156</v>
                </pt>
                <pt idx="540">
                  <formatCode>0.0%</formatCode>
                  <v>0.02585800119538199</v>
                </pt>
                <pt idx="541">
                  <formatCode>0.0%</formatCode>
                  <v>0.02945429397711564</v>
                </pt>
                <pt idx="542">
                  <formatCode>0.0%</formatCode>
                  <v>0.03131176858155797</v>
                </pt>
                <pt idx="543">
                  <formatCode>0.0%</formatCode>
                  <v>0.02602565297058906</v>
                </pt>
                <pt idx="544">
                  <formatCode>0.0%</formatCode>
                  <v>0.02222085814253271</v>
                </pt>
                <pt idx="545">
                  <formatCode>0.0%</formatCode>
                  <v>0.01368064250160326</v>
                </pt>
                <pt idx="546">
                  <formatCode>0.0%</formatCode>
                  <v>0.01030583085061108</v>
                </pt>
                <pt idx="547">
                  <formatCode>0.0%</formatCode>
                  <v>0.008679347990443727</v>
                </pt>
                <pt idx="548">
                  <formatCode>0.0%</formatCode>
                  <v>0.01901975128017545</v>
                </pt>
                <pt idx="549">
                  <formatCode>0.0%</formatCode>
                  <v>0.0185704702079649</v>
                </pt>
                <pt idx="550">
                  <formatCode>0.0%</formatCode>
                  <v>0.01761872828141199</v>
                </pt>
                <pt idx="551">
                  <formatCode>0.0%</formatCode>
                  <v>0.0236333618686559</v>
                </pt>
                <pt idx="552">
                  <formatCode>0.0%</formatCode>
                  <v>0.02821133973199227</v>
                </pt>
                <pt idx="553">
                  <formatCode>0.0%</formatCode>
                  <v>0.02094720449479371</v>
                </pt>
                <pt idx="554">
                  <formatCode>0.0%</formatCode>
                  <v>0.01487633476316513</v>
                </pt>
                <pt idx="555">
                  <formatCode>0.0%</formatCode>
                  <v>0.008838574931137898</v>
                </pt>
                <pt idx="556">
                  <formatCode>0.0%</formatCode>
                  <v>0.0039032006245121</v>
                </pt>
                <pt idx="557">
                  <formatCode>0.0%</formatCode>
                  <v>0.01180900738062956</v>
                </pt>
                <pt idx="558">
                  <formatCode>0.0%</formatCode>
                  <v>0.009297986940691371</v>
                </pt>
                <pt idx="559">
                  <formatCode>0.0%</formatCode>
                  <v>0.004497211728728188</v>
                </pt>
                <pt idx="560">
                  <formatCode>0.0%</formatCode>
                  <v>-0.006311318497248118</v>
                </pt>
                <pt idx="561">
                  <formatCode>0.0%</formatCode>
                  <v>-0.001796245846181481</v>
                </pt>
                <pt idx="562">
                  <formatCode>0.0%</formatCode>
                  <v>0.006290438533429188</v>
                </pt>
                <pt idx="563">
                  <formatCode>0.0%</formatCode>
                  <v>0.007437053851438157</v>
                </pt>
                <pt idx="564">
                  <formatCode>0.0%</formatCode>
                  <v>0.006233038084160953</v>
                </pt>
                <pt idx="565">
                  <formatCode>0.0%</formatCode>
                  <v>0.01226259907282787</v>
                </pt>
                <pt idx="566">
                  <formatCode>0.0%</formatCode>
                  <v>0.0151378896882494</v>
                </pt>
                <pt idx="567">
                  <formatCode>0.0%</formatCode>
                  <v>0.01659215698040737</v>
                </pt>
                <pt idx="568">
                  <formatCode>0.0%</formatCode>
                  <v>0.01133508792917816</v>
                </pt>
                <pt idx="569">
                  <formatCode>0.0%</formatCode>
                  <v>0.009884776848185391</v>
                </pt>
                <pt idx="570">
                  <formatCode>0.0%</formatCode>
                  <v>0.01183590722079789</v>
                </pt>
                <pt idx="571">
                  <formatCode>0.0%</formatCode>
                  <v>0.01304321872015276</v>
                </pt>
                <pt idx="572">
                  <formatCode>0.0%</formatCode>
                  <v>0.03073357213810539</v>
                </pt>
                <pt idx="573">
                  <formatCode>0.0%</formatCode>
                  <v>0.03880874546381538</v>
                </pt>
                <pt idx="574">
                  <formatCode>0.0%</formatCode>
                  <v>0.03572066440435792</v>
                </pt>
                <pt idx="575">
                  <formatCode>0.0%</formatCode>
                  <v>0.03225615179365555</v>
                </pt>
                <pt idx="576">
                  <formatCode>0.0%</formatCode>
                  <v>0.03577356253704796</v>
                </pt>
                <pt idx="577">
                  <formatCode>0.0%</formatCode>
                  <v>0.03084650613089085</v>
                </pt>
                <pt idx="578">
                  <formatCode>0.0%</formatCode>
                  <v>0.02976524435257646</v>
                </pt>
                <pt idx="579">
                  <formatCode>0.0%</formatCode>
                  <v>0.03653857505460132</v>
                </pt>
                <pt idx="580">
                  <formatCode>0.0%</formatCode>
                  <v>0.03631524471388443</v>
                </pt>
                <pt idx="581">
                  <formatCode>0.0%</formatCode>
                  <v>0.03549632949084586</v>
                </pt>
                <pt idx="582">
                  <formatCode>0.0%</formatCode>
                  <v>0.03736114794189567</v>
                </pt>
                <pt idx="583">
                  <formatCode>0.0%</formatCode>
                  <v>0.04775934710232459</v>
                </pt>
                <pt idx="584">
                  <formatCode>0.0%</formatCode>
                  <v>0.03670930436306299</v>
                </pt>
                <pt idx="585">
                  <formatCode>0.0%</formatCode>
                  <v>0.02367410572509166</v>
                </pt>
                <pt idx="586">
                  <formatCode>0.0%</formatCode>
                  <v>0.01445651549117656</v>
                </pt>
                <pt idx="587">
                  <formatCode>0.0%</formatCode>
                  <v>0.01487736228387608</v>
                </pt>
                <pt idx="588">
                  <formatCode>0.0%</formatCode>
                  <v>0.01221850230348822</v>
                </pt>
                <pt idx="589">
                  <formatCode>0.0%</formatCode>
                  <v>0.02292986328069019</v>
                </pt>
                <pt idx="590">
                  <formatCode>0.0%</formatCode>
                  <v>0.02856077767900666</v>
                </pt>
                <pt idx="591">
                  <formatCode>0.0%</formatCode>
                  <v>0.02468678815489744</v>
                </pt>
                <pt idx="592">
                  <formatCode>0.0%</formatCode>
                  <v>0.02248665924721049</v>
                </pt>
                <pt idx="593">
                  <formatCode>0.0%</formatCode>
                  <v>0.01190103351080481</v>
                </pt>
                <pt idx="594">
                  <formatCode>0.0%</formatCode>
                  <v>0.008379015536683047</v>
                </pt>
                <pt idx="595">
                  <formatCode>0.0%</formatCode>
                  <v>0.001687194196051966</v>
                </pt>
                <pt idx="596">
                  <formatCode>0.0%</formatCode>
                  <v>0.01152145130848759</v>
                </pt>
                <pt idx="597">
                  <formatCode>0.0%</formatCode>
                  <v>0.03525396959697662</v>
                </pt>
                <pt idx="598">
                  <formatCode>0.0%</formatCode>
                  <v>0.0654163243335128</v>
                </pt>
                <pt idx="599">
                  <formatCode>0.0%</formatCode>
                  <v>0.09667194928684625</v>
                </pt>
                <pt idx="600">
                  <formatCode>0.0%</formatCode>
                  <v>0.1036071691072539</v>
                </pt>
                <pt idx="601">
                  <formatCode>0.0%</formatCode>
                  <v>0.09378239793773986</v>
                </pt>
                <pt idx="602">
                  <formatCode>0.0%</formatCode>
                  <v>0.09805124201957116</v>
                </pt>
                <pt idx="603">
                  <formatCode>0.0%</formatCode>
                  <v>0.09381165420846427</v>
                </pt>
                <pt idx="604">
                  <formatCode>0.0%</formatCode>
                  <v>0.1045463425525383</v>
                </pt>
                <pt idx="605">
                  <formatCode>0.0%</formatCode>
                  <v>0.1056807630623786</v>
                </pt>
                <pt idx="606">
                  <formatCode>0.0%</formatCode>
                  <v>0.1078249112726044</v>
                </pt>
                <pt idx="607">
                  <formatCode>0.0%</formatCode>
                  <v>0.1003874010442986</v>
                </pt>
                <pt idx="608">
                  <formatCode>0.0%</formatCode>
                  <v>0.08942296981174108</v>
                </pt>
                <pt idx="609">
                  <formatCode>0.0%</formatCode>
                  <v>0.06590023701201408</v>
                </pt>
                <pt idx="610">
                  <formatCode>0.0%</formatCode>
                  <v>0.04057863106951016</v>
                </pt>
                <pt idx="611">
                  <formatCode>0.0%</formatCode>
                  <v>0.008722130470685431</v>
                </pt>
                <pt idx="612">
                  <formatCode>0.0%</formatCode>
                  <v>-0.003816696124388455</v>
                </pt>
                <pt idx="613">
                  <formatCode>0.0%</formatCode>
                  <v>0.003022850701916227</v>
                </pt>
                <pt idx="614">
                  <formatCode>0.0%</formatCode>
                  <v>-0.006550550957192842</v>
                </pt>
                <pt idx="615">
                  <formatCode>0.0%</formatCode>
                  <v>-0.002616670477351874</v>
                </pt>
                <pt idx="616">
                  <formatCode>0.0%</formatCode>
                  <v>-0.001137024029107815</v>
                </pt>
                <pt idx="617">
                  <formatCode>0.0%</formatCode>
                  <v>0.008626612718528156</v>
                </pt>
                <pt idx="618">
                  <formatCode>0.0%</formatCode>
                  <v>0.007068395626748076</v>
                </pt>
                <pt idx="619">
                  <formatCode>0.0%</formatCode>
                  <v>0.01487320781672527</v>
                </pt>
                <pt idx="620">
                  <formatCode>0.0%</formatCode>
                  <v>0.0188910759477492</v>
                </pt>
                <pt idx="621">
                  <formatCode>0.0%</formatCode>
                  <v>0.02093237233553139</v>
                </pt>
                <pt idx="622">
                  <formatCode>0.0%</formatCode>
                  <v>0.02059695389962189</v>
                </pt>
                <pt idx="623">
                  <formatCode>0.0%</formatCode>
                  <v>0.02130979790227685</v>
                </pt>
                <pt idx="624">
                  <formatCode>0.0%</formatCode>
                  <v>0.02571355104139882</v>
                </pt>
                <pt idx="625">
                  <formatCode>0.0%</formatCode>
                  <v>0.02285845635184145</v>
                </pt>
                <pt idx="626">
                  <formatCode>0.0%</formatCode>
                  <v>0.02476487425884268</v>
                </pt>
                <pt idx="627">
                  <formatCode>0.0%</formatCode>
                  <v>0.02353540499235866</v>
                </pt>
                <pt idx="628">
                  <formatCode>0.0%</formatCode>
                  <v>0.02119801679651932</v>
                </pt>
                <pt idx="629">
                  <formatCode>0.0%</formatCode>
                  <v>0.02699566051064689</v>
                </pt>
                <pt idx="630">
                  <formatCode>0.0%</formatCode>
                  <v>0.04360230256513831</v>
                </pt>
                <pt idx="631">
                  <formatCode>0.0%</formatCode>
                  <v>0.05701214147457322</v>
                </pt>
                <pt idx="632">
                  <formatCode>0.0%</formatCode>
                  <v>0.05499523307742481</v>
                </pt>
                <pt idx="633">
                  <formatCode>0.0%</formatCode>
                  <v>0.055701589685818</v>
                </pt>
                <pt idx="634">
                  <formatCode>0.0%</formatCode>
                  <v>0.05951725174019726</v>
                </pt>
                <pt idx="635">
                  <formatCode>0.0%</formatCode>
                  <v>0.06489993236981174</v>
                </pt>
                <pt idx="636">
                  <formatCode>0.0%</formatCode>
                  <v>0.07094509902231136</v>
                </pt>
                <pt idx="637">
                  <formatCode>0.0%</formatCode>
                  <v>0.07013907962745639</v>
                </pt>
                <pt idx="638">
                  <formatCode>0.0%</formatCode>
                  <v>0.0715265481208071</v>
                </pt>
                <pt idx="639">
                  <formatCode>0.0%</formatCode>
                  <v>0.07328787577145121</v>
                </pt>
                <pt idx="640">
                  <formatCode>0.0%</formatCode>
                  <v>0.07530344315085459</v>
                </pt>
                <pt idx="641">
                  <formatCode>0.0%</formatCode>
                  <v>0.07492752911118765</v>
                </pt>
                <pt idx="642">
                  <formatCode>0.0%</formatCode>
                  <v>0.06382000725777191</v>
                </pt>
                <pt idx="643">
                  <formatCode>0.0%</formatCode>
                  <v>0.046897667007539</v>
                </pt>
                <pt idx="644">
                  <formatCode>0.0%</formatCode>
                  <v>0.05008323424494658</v>
                </pt>
                <pt idx="645">
                  <formatCode>0.0%</formatCode>
                  <v>0.05110267963006877</v>
                </pt>
                <pt idx="646">
                  <formatCode>0.0%</formatCode>
                  <v>0.05643388869195325</v>
                </pt>
                <pt idx="647">
                  <formatCode>0.0%</formatCode>
                  <v>0.06404948957990314</v>
                </pt>
                <pt idx="648">
                  <formatCode>0.0%</formatCode>
                  <v>0.05882490636704124</v>
                </pt>
                <pt idx="649">
                  <formatCode>0.0%</formatCode>
                  <v>0.04995566755331547</v>
                </pt>
                <pt idx="650">
                  <formatCode>0.0%</formatCode>
                  <v>0.0571162574188292</v>
                </pt>
                <pt idx="651">
                  <formatCode>0.0%</formatCode>
                  <v>0.05889308817732848</v>
                </pt>
                <pt idx="652">
                  <formatCode>0.0%</formatCode>
                  <v>0.05579359594563461</v>
                </pt>
                <pt idx="653">
                  <formatCode>0.0%</formatCode>
                  <v>0.05053021299935996</v>
                </pt>
                <pt idx="654">
                  <formatCode>0.0%</formatCode>
                  <v>0.04780206035521793</v>
                </pt>
                <pt idx="655">
                  <formatCode>0.0%</formatCode>
                  <v>0.04993071488607693</v>
                </pt>
                <pt idx="656">
                  <formatCode>0.0%</formatCode>
                  <v>0.05129540719268049</v>
                </pt>
                <pt idx="657">
                  <formatCode>0.0%</formatCode>
                  <v>0.05786802030456853</v>
                </pt>
                <pt idx="658">
                  <formatCode>0.0%</formatCode>
                  <v>0.04816231572825094</v>
                </pt>
                <pt idx="659">
                  <formatCode>0.0%</formatCode>
                  <v>0.03868514711408803</v>
                </pt>
                <pt idx="660">
                  <formatCode>0.0%</formatCode>
                  <v>0.04098777441248638</v>
                </pt>
                <pt idx="661">
                  <formatCode>0.0%</formatCode>
                  <v>0.05297895508789097</v>
                </pt>
                <pt idx="662">
                  <formatCode>0.0%</formatCode>
                  <v>0.04478302032189185</v>
                </pt>
                <pt idx="663">
                  <formatCode>0.0%</formatCode>
                  <v>0.0423700978782106</v>
                </pt>
                <pt idx="664">
                  <formatCode>0.0%</formatCode>
                  <v>0.04309216268109618</v>
                </pt>
                <pt idx="665">
                  <formatCode>0.0%</formatCode>
                  <v>0.04364000261056853</v>
                </pt>
                <pt idx="666">
                  <formatCode>0.0%</formatCode>
                  <v>0.04542593597395555</v>
                </pt>
                <pt idx="667">
                  <formatCode>0.0%</formatCode>
                  <v>0.04502477336160462</v>
                </pt>
                <pt idx="668">
                  <formatCode>0.0%</formatCode>
                  <v>0.04345016264190771</v>
                </pt>
                <pt idx="669">
                  <formatCode>0.0%</formatCode>
                  <v>0.03864363403710808</v>
                </pt>
                <pt idx="670">
                  <formatCode>0.0%</formatCode>
                  <v>0.04507427010414884</v>
                </pt>
                <pt idx="671">
                  <formatCode>0.0%</formatCode>
                  <v>0.05231234171153727</v>
                </pt>
                <pt idx="672">
                  <formatCode>0.0%</formatCode>
                  <v>0.06256503918278938</v>
                </pt>
                <pt idx="673">
                  <formatCode>0.0%</formatCode>
                  <v>0.06390477597450565</v>
                </pt>
                <pt idx="674">
                  <formatCode>0.0%</formatCode>
                  <v>0.06088129306893129</v>
                </pt>
                <pt idx="675">
                  <formatCode>0.0%</formatCode>
                  <v>0.06066717082598105</v>
                </pt>
                <pt idx="676">
                  <formatCode>0.0%</formatCode>
                  <v>0.05559855251323032</v>
                </pt>
                <pt idx="677">
                  <formatCode>0.0%</formatCode>
                  <v>0.05302982927896934</v>
                </pt>
                <pt idx="678">
                  <formatCode>0.0%</formatCode>
                  <v>0.05169407075236671</v>
                </pt>
                <pt idx="679">
                  <formatCode>0.0%</formatCode>
                  <v>0.05327122153209114</v>
                </pt>
                <pt idx="680">
                  <formatCode>0.0%</formatCode>
                  <v>0.05741360089186165</v>
                </pt>
                <pt idx="681">
                  <formatCode>0.0%</formatCode>
                  <v>0.05344749702270958</v>
                </pt>
                <pt idx="682">
                  <formatCode>0.0%</formatCode>
                  <v>0.05411697435059631</v>
                </pt>
                <pt idx="683">
                  <formatCode>0.0%</formatCode>
                  <v>0.05001516836889477</v>
                </pt>
                <pt idx="684">
                  <formatCode>0.0%</formatCode>
                  <v>0.04874782643455312</v>
                </pt>
                <pt idx="685">
                  <formatCode>0.0%</formatCode>
                  <v>0.0485806669179345</v>
                </pt>
                <pt idx="686">
                  <formatCode>0.0%</formatCode>
                  <v>0.05208374716936153</v>
                </pt>
                <pt idx="687">
                  <formatCode>0.0%</formatCode>
                  <v>0.05230531569357529</v>
                </pt>
                <pt idx="688">
                  <formatCode>0.0%</formatCode>
                  <v>0.05593976022986231</v>
                </pt>
                <pt idx="689">
                  <formatCode>0.0%</formatCode>
                  <v>0.057406417641586</v>
                </pt>
                <pt idx="690">
                  <formatCode>0.0%</formatCode>
                  <v>0.05993130403884864</v>
                </pt>
                <pt idx="691">
                  <formatCode>0.0%</formatCode>
                  <v>0.06054292060621547</v>
                </pt>
                <pt idx="692">
                  <formatCode>0.0%</formatCode>
                  <v>0.05546769753411827</v>
                </pt>
                <pt idx="693">
                  <formatCode>0.0%</formatCode>
                  <v>0.05668063541565153</v>
                </pt>
                <pt idx="694">
                  <formatCode>0.0%</formatCode>
                  <v>0.05470959742725399</v>
                </pt>
                <pt idx="695">
                  <formatCode>0.0%</formatCode>
                  <v>0.04861512384914666</v>
                </pt>
                <pt idx="696">
                  <formatCode>0.0%</formatCode>
                  <v>0.03908751334044831</v>
                </pt>
                <pt idx="697">
                  <formatCode>0.0%</formatCode>
                  <v>0.03514945138100647</v>
                </pt>
                <pt idx="698">
                  <formatCode>0.0%</formatCode>
                  <v>0.03895098557510766</v>
                </pt>
                <pt idx="699">
                  <formatCode>0.0%</formatCode>
                  <v>0.03916586678711901</v>
                </pt>
                <pt idx="700">
                  <formatCode>0.0%</formatCode>
                  <v>0.04094730520942798</v>
                </pt>
                <pt idx="701">
                  <formatCode>0.0%</formatCode>
                  <v>0.03959413669805493</v>
                </pt>
                <pt idx="702">
                  <formatCode>0.0%</formatCode>
                  <v>0.03862628971579703</v>
                </pt>
                <pt idx="703">
                  <formatCode>0.0%</formatCode>
                  <v>0.03410375697366226</v>
                </pt>
                <pt idx="704">
                  <formatCode>0.0%</formatCode>
                  <v>0.03000369959304473</v>
                </pt>
                <pt idx="705">
                  <formatCode>0.0%</formatCode>
                  <v>0.03045395015955572</v>
                </pt>
                <pt idx="706">
                  <formatCode>0.0%</formatCode>
                  <v>0.02536644502406237</v>
                </pt>
                <pt idx="707">
                  <formatCode>0.0%</formatCode>
                  <v>0.02678079423974141</v>
                </pt>
                <pt idx="708">
                  <formatCode>0.0%</formatCode>
                  <v>0.02255928690644315</v>
                </pt>
                <pt idx="709">
                  <formatCode>0.0%</formatCode>
                  <v>0.01915274681092148</v>
                </pt>
                <pt idx="710">
                  <formatCode>0.0%</formatCode>
                  <v>0.01688262125865494</v>
                </pt>
                <pt idx="711">
                  <formatCode>0.0%</formatCode>
                  <v>0.01275038939399438</v>
                </pt>
                <pt idx="712">
                  <formatCode>0.0%</formatCode>
                  <v>0.009374436632413918</v>
                </pt>
                <pt idx="713">
                  <formatCode>0.0%</formatCode>
                  <v>0.01129078729381254</v>
                </pt>
                <pt idx="714">
                  <formatCode>0.0%</formatCode>
                  <v>0.008642949361641051</v>
                </pt>
                <pt idx="715">
                  <formatCode>0.0%</formatCode>
                  <v>0.01007294821931063</v>
                </pt>
                <pt idx="716">
                  <formatCode>0.0%</formatCode>
                  <v>0.0120685320211199</v>
                </pt>
                <pt idx="717">
                  <formatCode>0.0%</formatCode>
                  <v>0.007267650007160312</v>
                </pt>
                <pt idx="718">
                  <formatCode>0.0%</formatCode>
                  <v>0.009745087150457632</v>
                </pt>
                <pt idx="719">
                  <formatCode>0.0%</formatCode>
                  <v>0.01708407871198569</v>
                </pt>
                <pt idx="720">
                  <formatCode>0.0%</formatCode>
                  <v>0.02520043764461105</v>
                </pt>
                <pt idx="721">
                  <formatCode>0.0%</formatCode>
                  <v>0.02521249506867974</v>
                </pt>
                <pt idx="722">
                  <formatCode>0.0%</formatCode>
                  <v>0.01985488598184278</v>
                </pt>
                <pt idx="723">
                  <formatCode>0.0%</formatCode>
                  <v>0.01911727887263487</v>
                </pt>
                <pt idx="724">
                  <formatCode>0.0%</formatCode>
                  <v>0.02355777817467399</v>
                </pt>
                <pt idx="725">
                  <formatCode>0.0%</formatCode>
                  <v>0.02886447408251578</v>
                </pt>
                <pt idx="726">
                  <formatCode>0.0%</formatCode>
                  <v>0.03052444444444441</v>
                </pt>
                <pt idx="727">
                  <formatCode>0.0%</formatCode>
                  <v>0.03344867358708189</v>
                </pt>
                <pt idx="728">
                  <formatCode>0.0%</formatCode>
                  <v>0.03765482485715313</v>
                </pt>
                <pt idx="729">
                  <formatCode>0.0%</formatCode>
                  <v>0.04597476452816773</v>
                </pt>
                <pt idx="730">
                  <formatCode>0.0%</formatCode>
                  <v>0.04949704614402044</v>
                </pt>
                <pt idx="731">
                  <formatCode>0.0%</formatCode>
                  <v>0.04328555096297605</v>
                </pt>
                <pt idx="732">
                  <formatCode>0.0%</formatCode>
                  <v>0.04167395640155355</v>
                </pt>
                <pt idx="733">
                  <formatCode>0.0%</formatCode>
                  <v>0.0439375918281676</v>
                </pt>
                <pt idx="734">
                  <formatCode>0.0%</formatCode>
                  <v>0.08525067026477649</v>
                </pt>
                <pt idx="735">
                  <formatCode>0.0%</formatCode>
                  <v>0.1650376401635461</v>
                </pt>
                <pt idx="736">
                  <formatCode>0.0%</formatCode>
                  <v>0.2159346699471287</v>
                </pt>
                <pt idx="737">
                  <formatCode>0.0%</formatCode>
                  <v>0.2198511595707858</v>
                </pt>
                <pt idx="738">
                  <formatCode>0.0%</formatCode>
                  <v>0.2195732054444771</v>
                </pt>
                <pt idx="739">
                  <formatCode>0.0%</formatCode>
                  <v>0.2142857142857143</v>
                </pt>
                <pt idx="740">
                  <formatCode>0.0%</formatCode>
                  <v>0.220859839934332</v>
                </pt>
                <pt idx="741">
                  <formatCode>0.0%</formatCode>
                  <v>0.2226752977555772</v>
                </pt>
                <pt idx="742">
                  <formatCode>0.0%</formatCode>
                  <v>0.2299305238602363</v>
                </pt>
                <pt idx="743">
                  <formatCode>0.0%</formatCode>
                  <v>0.2326690943421673</v>
                </pt>
                <pt idx="744">
                  <formatCode>0.0%</formatCode>
                  <v>0.240913671481357</v>
                </pt>
                <pt idx="745">
                  <formatCode>0.0%</formatCode>
                  <v>0.247989410897393</v>
                </pt>
                <pt idx="746">
                  <formatCode>0.0%</formatCode>
                  <v>0.2095847058063683</v>
                </pt>
                <pt idx="747">
                  <formatCode>0.0%</formatCode>
                  <v>0.135648873358236</v>
                </pt>
                <pt idx="748">
                  <formatCode>0.0%</formatCode>
                  <v>0.0909103954996843</v>
                </pt>
                <pt idx="749">
                  <formatCode>0.0%</formatCode>
                  <v>0.07133635060936683</v>
                </pt>
                <pt idx="750">
                  <formatCode>0.0%</formatCode>
                  <v>0.0713628969516939</v>
                </pt>
                <pt idx="751">
                  <formatCode>0.0%</formatCode>
                  <v>0.07881787330316736</v>
                </pt>
                <pt idx="752">
                  <formatCode>0.0%</formatCode>
                  <v>0.07097533302517121</v>
                </pt>
                <pt idx="753">
                  <formatCode>0.0%</formatCode>
                  <v>0.06228200603087695</v>
                </pt>
                <pt idx="754">
                  <formatCode>0.0%</formatCode>
                  <v>0.05350540826564414</v>
                </pt>
                <pt idx="755">
                  <formatCode>0.0%</formatCode>
                  <v>0.0492088023305114</v>
                </pt>
                <pt idx="756">
                  <formatCode>0.0%</formatCode>
                  <v>0.03933192572140116</v>
                </pt>
                <pt idx="757">
                  <formatCode>0.0%</formatCode>
                  <v>0.02556219373028121</v>
                </pt>
                <pt idx="758">
                  <formatCode>0.0%</formatCode>
                  <v>0.008676847501067919</v>
                </pt>
                <pt idx="759">
                  <formatCode>0.0%</formatCode>
                  <v>-0.005530650680389376</v>
                </pt>
                <pt idx="760">
                  <formatCode>0.0%</formatCode>
                  <v>-0.02294163301279939</v>
                </pt>
                <pt idx="761">
                  <formatCode>0.0%</formatCode>
                  <v>-0.03106832117174986</v>
                </pt>
                <pt idx="762">
                  <formatCode>0.0%</formatCode>
                  <v>-0.03254555056773172</v>
                </pt>
                <pt idx="763">
                  <formatCode>0.0%</formatCode>
                  <v>-0.04086822030565959</v>
                </pt>
                <pt idx="764">
                  <formatCode>0.0%</formatCode>
                  <v>-0.05227706714797664</v>
                </pt>
                <pt idx="765">
                  <formatCode>0.0%</formatCode>
                  <v>-0.06013473739289683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M1'!$A$6:$A$2411</f>
              <numCache>
                <formatCode>yyyy\-mm\-dd</formatCode>
                <ptCount val="2406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m/d/yyyy</formatCode>
                  <v>41526</v>
                </pt>
                <pt idx="2019">
                  <formatCode>m/d/yyyy</formatCode>
                  <v>41533</v>
                </pt>
                <pt idx="2020">
                  <formatCode>m/d/yyyy</formatCode>
                  <v>41540</v>
                </pt>
                <pt idx="2021">
                  <formatCode>m/d/yyyy</formatCode>
                  <v>41547</v>
                </pt>
                <pt idx="2022">
                  <formatCode>m/d/yyyy</formatCode>
                  <v>41554</v>
                </pt>
                <pt idx="2023">
                  <formatCode>m/d/yyyy</formatCode>
                  <v>41561</v>
                </pt>
                <pt idx="2024">
                  <formatCode>m/d/yyyy</formatCode>
                  <v>41568</v>
                </pt>
                <pt idx="2025">
                  <formatCode>m/d/yyyy</formatCode>
                  <v>41575</v>
                </pt>
                <pt idx="2026">
                  <formatCode>m/d/yyyy</formatCode>
                  <v>41582</v>
                </pt>
                <pt idx="2027">
                  <formatCode>m/d/yyyy</formatCode>
                  <v>41589</v>
                </pt>
                <pt idx="2028">
                  <formatCode>m/d/yyyy</formatCode>
                  <v>41596</v>
                </pt>
                <pt idx="2029">
                  <formatCode>m/d/yyyy</formatCode>
                  <v>41603</v>
                </pt>
                <pt idx="2030">
                  <formatCode>m/d/yyyy</formatCode>
                  <v>41610</v>
                </pt>
                <pt idx="2031">
                  <formatCode>m/d/yyyy</formatCode>
                  <v>41617</v>
                </pt>
                <pt idx="2032">
                  <formatCode>m/d/yyyy</formatCode>
                  <v>41624</v>
                </pt>
                <pt idx="2033">
                  <formatCode>m/d/yyyy</formatCode>
                  <v>41631</v>
                </pt>
                <pt idx="2034">
                  <formatCode>m/d/yyyy</formatCode>
                  <v>41638</v>
                </pt>
                <pt idx="2035">
                  <formatCode>m/d/yyyy</formatCode>
                  <v>41645</v>
                </pt>
                <pt idx="2036">
                  <formatCode>m/d/yyyy</formatCode>
                  <v>41652</v>
                </pt>
                <pt idx="2037">
                  <formatCode>m/d/yyyy</formatCode>
                  <v>41659</v>
                </pt>
                <pt idx="2038">
                  <formatCode>m/d/yyyy</formatCode>
                  <v>41666</v>
                </pt>
                <pt idx="2039">
                  <formatCode>m/d/yyyy</formatCode>
                  <v>41673</v>
                </pt>
                <pt idx="2040">
                  <formatCode>m/d/yyyy</formatCode>
                  <v>41680</v>
                </pt>
                <pt idx="2041">
                  <formatCode>m/d/yyyy</formatCode>
                  <v>41687</v>
                </pt>
                <pt idx="2042">
                  <formatCode>m/d/yyyy</formatCode>
                  <v>41694</v>
                </pt>
                <pt idx="2043">
                  <formatCode>m/d/yyyy</formatCode>
                  <v>41701</v>
                </pt>
                <pt idx="2044">
                  <formatCode>m/d/yyyy</formatCode>
                  <v>41708</v>
                </pt>
                <pt idx="2045">
                  <formatCode>m/d/yyyy</formatCode>
                  <v>41715</v>
                </pt>
                <pt idx="2046">
                  <formatCode>m/d/yyyy</formatCode>
                  <v>41722</v>
                </pt>
                <pt idx="2047">
                  <formatCode>m/d/yyyy</formatCode>
                  <v>41729</v>
                </pt>
                <pt idx="2048">
                  <formatCode>m/d/yyyy</formatCode>
                  <v>41736</v>
                </pt>
                <pt idx="2049">
                  <formatCode>m/d/yyyy</formatCode>
                  <v>41743</v>
                </pt>
                <pt idx="2050">
                  <formatCode>m/d/yyyy</formatCode>
                  <v>41750</v>
                </pt>
                <pt idx="2051">
                  <formatCode>m/d/yyyy</formatCode>
                  <v>41757</v>
                </pt>
                <pt idx="2052">
                  <formatCode>m/d/yyyy</formatCode>
                  <v>41764</v>
                </pt>
                <pt idx="2053">
                  <formatCode>m/d/yyyy</formatCode>
                  <v>41771</v>
                </pt>
                <pt idx="2054">
                  <formatCode>m/d/yyyy</formatCode>
                  <v>41778</v>
                </pt>
                <pt idx="2055">
                  <formatCode>m/d/yyyy</formatCode>
                  <v>41785</v>
                </pt>
                <pt idx="2056">
                  <formatCode>m/d/yyyy</formatCode>
                  <v>41792</v>
                </pt>
                <pt idx="2057">
                  <formatCode>m/d/yyyy</formatCode>
                  <v>41799</v>
                </pt>
                <pt idx="2058">
                  <formatCode>m/d/yyyy</formatCode>
                  <v>41806</v>
                </pt>
                <pt idx="2059">
                  <formatCode>m/d/yyyy</formatCode>
                  <v>41813</v>
                </pt>
                <pt idx="2060">
                  <formatCode>m/d/yyyy</formatCode>
                  <v>41820</v>
                </pt>
                <pt idx="2061">
                  <formatCode>m/d/yyyy</formatCode>
                  <v>41827</v>
                </pt>
                <pt idx="2062">
                  <formatCode>m/d/yyyy</formatCode>
                  <v>41834</v>
                </pt>
                <pt idx="2063">
                  <formatCode>m/d/yyyy</formatCode>
                  <v>41841</v>
                </pt>
                <pt idx="2064">
                  <formatCode>m/d/yyyy</formatCode>
                  <v>41848</v>
                </pt>
                <pt idx="2065">
                  <formatCode>m/d/yyyy</formatCode>
                  <v>41855</v>
                </pt>
                <pt idx="2066">
                  <formatCode>m/d/yyyy</formatCode>
                  <v>41862</v>
                </pt>
                <pt idx="2067">
                  <formatCode>m/d/yyyy</formatCode>
                  <v>41869</v>
                </pt>
                <pt idx="2068">
                  <formatCode>m/d/yyyy</formatCode>
                  <v>41876</v>
                </pt>
                <pt idx="2069">
                  <formatCode>m/d/yyyy</formatCode>
                  <v>41883</v>
                </pt>
                <pt idx="2070">
                  <formatCode>m/d/yyyy</formatCode>
                  <v>41890</v>
                </pt>
                <pt idx="2071">
                  <formatCode>m/d/yyyy</formatCode>
                  <v>41897</v>
                </pt>
                <pt idx="2072">
                  <formatCode>m/d/yyyy</formatCode>
                  <v>41904</v>
                </pt>
                <pt idx="2073">
                  <formatCode>m/d/yyyy</formatCode>
                  <v>41911</v>
                </pt>
                <pt idx="2074">
                  <formatCode>m/d/yyyy</formatCode>
                  <v>41918</v>
                </pt>
                <pt idx="2075">
                  <formatCode>m/d/yyyy</formatCode>
                  <v>41925</v>
                </pt>
                <pt idx="2076">
                  <formatCode>m/d/yyyy</formatCode>
                  <v>41932</v>
                </pt>
                <pt idx="2077">
                  <formatCode>m/d/yyyy</formatCode>
                  <v>41939</v>
                </pt>
                <pt idx="2078">
                  <formatCode>m/d/yyyy</formatCode>
                  <v>41946</v>
                </pt>
                <pt idx="2079">
                  <formatCode>m/d/yyyy</formatCode>
                  <v>41953</v>
                </pt>
                <pt idx="2080">
                  <formatCode>m/d/yyyy</formatCode>
                  <v>41960</v>
                </pt>
                <pt idx="2081">
                  <formatCode>m/d/yyyy</formatCode>
                  <v>41967</v>
                </pt>
                <pt idx="2082">
                  <formatCode>m/d/yyyy</formatCode>
                  <v>41974</v>
                </pt>
                <pt idx="2083">
                  <formatCode>m/d/yyyy</formatCode>
                  <v>41981</v>
                </pt>
                <pt idx="2084">
                  <formatCode>m/d/yyyy</formatCode>
                  <v>41988</v>
                </pt>
                <pt idx="2085">
                  <formatCode>m/d/yyyy</formatCode>
                  <v>41995</v>
                </pt>
                <pt idx="2086">
                  <formatCode>m/d/yyyy</formatCode>
                  <v>42002</v>
                </pt>
                <pt idx="2087">
                  <formatCode>m/d/yyyy</formatCode>
                  <v>42009</v>
                </pt>
                <pt idx="2088">
                  <formatCode>m/d/yyyy</formatCode>
                  <v>42016</v>
                </pt>
                <pt idx="2089">
                  <formatCode>m/d/yyyy</formatCode>
                  <v>42023</v>
                </pt>
                <pt idx="2090">
                  <formatCode>m/d/yyyy</formatCode>
                  <v>42030</v>
                </pt>
                <pt idx="2091">
                  <formatCode>m/d/yyyy</formatCode>
                  <v>42037</v>
                </pt>
                <pt idx="2092">
                  <formatCode>m/d/yyyy</formatCode>
                  <v>42044</v>
                </pt>
                <pt idx="2093">
                  <formatCode>m/d/yyyy</formatCode>
                  <v>42051</v>
                </pt>
                <pt idx="2094">
                  <formatCode>m/d/yyyy</formatCode>
                  <v>42058</v>
                </pt>
                <pt idx="2095">
                  <formatCode>m/d/yyyy</formatCode>
                  <v>42065</v>
                </pt>
                <pt idx="2096">
                  <formatCode>m/d/yyyy</formatCode>
                  <v>42072</v>
                </pt>
                <pt idx="2097">
                  <formatCode>m/d/yyyy</formatCode>
                  <v>42079</v>
                </pt>
                <pt idx="2098">
                  <formatCode>m/d/yyyy</formatCode>
                  <v>42086</v>
                </pt>
                <pt idx="2099">
                  <formatCode>m/d/yyyy</formatCode>
                  <v>42093</v>
                </pt>
                <pt idx="2100">
                  <formatCode>m/d/yyyy</formatCode>
                  <v>42100</v>
                </pt>
                <pt idx="2101">
                  <formatCode>m/d/yyyy</formatCode>
                  <v>42107</v>
                </pt>
                <pt idx="2102">
                  <formatCode>m/d/yyyy</formatCode>
                  <v>42114</v>
                </pt>
                <pt idx="2103">
                  <formatCode>m/d/yyyy</formatCode>
                  <v>42121</v>
                </pt>
                <pt idx="2104">
                  <formatCode>m/d/yyyy</formatCode>
                  <v>42128</v>
                </pt>
                <pt idx="2105">
                  <formatCode>m/d/yyyy</formatCode>
                  <v>42135</v>
                </pt>
                <pt idx="2106">
                  <formatCode>m/d/yyyy</formatCode>
                  <v>42142</v>
                </pt>
                <pt idx="2107">
                  <formatCode>m/d/yyyy</formatCode>
                  <v>42149</v>
                </pt>
                <pt idx="2108">
                  <formatCode>m/d/yyyy</formatCode>
                  <v>42156</v>
                </pt>
                <pt idx="2109">
                  <formatCode>m/d/yyyy</formatCode>
                  <v>42163</v>
                </pt>
                <pt idx="2110">
                  <formatCode>m/d/yyyy</formatCode>
                  <v>42170</v>
                </pt>
                <pt idx="2111">
                  <formatCode>m/d/yyyy</formatCode>
                  <v>42177</v>
                </pt>
                <pt idx="2112">
                  <formatCode>m/d/yyyy</formatCode>
                  <v>42184</v>
                </pt>
                <pt idx="2113">
                  <formatCode>m/d/yyyy</formatCode>
                  <v>42191</v>
                </pt>
                <pt idx="2114">
                  <formatCode>m/d/yyyy</formatCode>
                  <v>42198</v>
                </pt>
                <pt idx="2115">
                  <formatCode>m/d/yyyy</formatCode>
                  <v>42205</v>
                </pt>
                <pt idx="2116">
                  <formatCode>m/d/yyyy</formatCode>
                  <v>42212</v>
                </pt>
                <pt idx="2117">
                  <formatCode>m/d/yyyy</formatCode>
                  <v>42219</v>
                </pt>
                <pt idx="2118">
                  <formatCode>m/d/yyyy</formatCode>
                  <v>42226</v>
                </pt>
                <pt idx="2119">
                  <formatCode>m/d/yyyy</formatCode>
                  <v>42233</v>
                </pt>
                <pt idx="2120">
                  <formatCode>m/d/yyyy</formatCode>
                  <v>42240</v>
                </pt>
                <pt idx="2121">
                  <formatCode>m/d/yyyy</formatCode>
                  <v>42247</v>
                </pt>
                <pt idx="2122">
                  <formatCode>m/d/yyyy</formatCode>
                  <v>42254</v>
                </pt>
                <pt idx="2123">
                  <formatCode>m/d/yyyy</formatCode>
                  <v>42261</v>
                </pt>
                <pt idx="2124">
                  <formatCode>m/d/yyyy</formatCode>
                  <v>42268</v>
                </pt>
                <pt idx="2125">
                  <formatCode>m/d/yyyy</formatCode>
                  <v>42275</v>
                </pt>
                <pt idx="2126">
                  <formatCode>m/d/yyyy</formatCode>
                  <v>42282</v>
                </pt>
                <pt idx="2127">
                  <formatCode>m/d/yyyy</formatCode>
                  <v>42289</v>
                </pt>
                <pt idx="2128">
                  <formatCode>m/d/yyyy</formatCode>
                  <v>42296</v>
                </pt>
                <pt idx="2129">
                  <formatCode>m/d/yyyy</formatCode>
                  <v>42303</v>
                </pt>
                <pt idx="2130">
                  <formatCode>m/d/yyyy</formatCode>
                  <v>42310</v>
                </pt>
                <pt idx="2131">
                  <formatCode>m/d/yyyy</formatCode>
                  <v>42317</v>
                </pt>
                <pt idx="2132">
                  <formatCode>m/d/yyyy</formatCode>
                  <v>42324</v>
                </pt>
                <pt idx="2133">
                  <formatCode>m/d/yyyy</formatCode>
                  <v>42331</v>
                </pt>
                <pt idx="2134">
                  <formatCode>m/d/yyyy</formatCode>
                  <v>42338</v>
                </pt>
                <pt idx="2135">
                  <formatCode>m/d/yyyy</formatCode>
                  <v>42345</v>
                </pt>
                <pt idx="2136">
                  <formatCode>m/d/yyyy</formatCode>
                  <v>42352</v>
                </pt>
                <pt idx="2137">
                  <formatCode>m/d/yyyy</formatCode>
                  <v>42359</v>
                </pt>
                <pt idx="2138">
                  <formatCode>m/d/yyyy</formatCode>
                  <v>42366</v>
                </pt>
                <pt idx="2139">
                  <formatCode>m/d/yyyy</formatCode>
                  <v>42373</v>
                </pt>
                <pt idx="2140">
                  <formatCode>m/d/yyyy</formatCode>
                  <v>42380</v>
                </pt>
                <pt idx="2141">
                  <formatCode>m/d/yyyy</formatCode>
                  <v>42387</v>
                </pt>
                <pt idx="2142">
                  <formatCode>m/d/yyyy</formatCode>
                  <v>42394</v>
                </pt>
                <pt idx="2143">
                  <formatCode>m/d/yyyy</formatCode>
                  <v>42401</v>
                </pt>
                <pt idx="2144">
                  <formatCode>m/d/yyyy</formatCode>
                  <v>42408</v>
                </pt>
                <pt idx="2145">
                  <formatCode>m/d/yyyy</formatCode>
                  <v>42415</v>
                </pt>
                <pt idx="2146">
                  <formatCode>m/d/yyyy</formatCode>
                  <v>42422</v>
                </pt>
                <pt idx="2147">
                  <formatCode>m/d/yyyy</formatCode>
                  <v>42429</v>
                </pt>
                <pt idx="2148">
                  <formatCode>m/d/yyyy</formatCode>
                  <v>42436</v>
                </pt>
                <pt idx="2149">
                  <formatCode>m/d/yyyy</formatCode>
                  <v>42443</v>
                </pt>
                <pt idx="2150">
                  <formatCode>m/d/yyyy</formatCode>
                  <v>42450</v>
                </pt>
                <pt idx="2151">
                  <formatCode>m/d/yyyy</formatCode>
                  <v>42457</v>
                </pt>
                <pt idx="2152">
                  <formatCode>m/d/yyyy</formatCode>
                  <v>42464</v>
                </pt>
                <pt idx="2153">
                  <formatCode>m/d/yyyy</formatCode>
                  <v>42471</v>
                </pt>
                <pt idx="2154">
                  <formatCode>m/d/yyyy</formatCode>
                  <v>42478</v>
                </pt>
                <pt idx="2155">
                  <formatCode>m/d/yyyy</formatCode>
                  <v>42485</v>
                </pt>
                <pt idx="2156">
                  <formatCode>m/d/yyyy</formatCode>
                  <v>42492</v>
                </pt>
                <pt idx="2157">
                  <formatCode>m/d/yyyy</formatCode>
                  <v>42499</v>
                </pt>
                <pt idx="2158">
                  <formatCode>m/d/yyyy</formatCode>
                  <v>42506</v>
                </pt>
                <pt idx="2159">
                  <formatCode>m/d/yyyy</formatCode>
                  <v>42513</v>
                </pt>
                <pt idx="2160">
                  <formatCode>m/d/yyyy</formatCode>
                  <v>42520</v>
                </pt>
                <pt idx="2161">
                  <formatCode>m/d/yyyy</formatCode>
                  <v>42527</v>
                </pt>
                <pt idx="2162">
                  <formatCode>m/d/yyyy</formatCode>
                  <v>42534</v>
                </pt>
                <pt idx="2163">
                  <formatCode>m/d/yyyy</formatCode>
                  <v>42541</v>
                </pt>
                <pt idx="2164">
                  <formatCode>m/d/yyyy</formatCode>
                  <v>42548</v>
                </pt>
                <pt idx="2165">
                  <formatCode>m/d/yyyy</formatCode>
                  <v>42555</v>
                </pt>
                <pt idx="2166">
                  <formatCode>m/d/yyyy</formatCode>
                  <v>42562</v>
                </pt>
                <pt idx="2167">
                  <formatCode>m/d/yyyy</formatCode>
                  <v>42569</v>
                </pt>
                <pt idx="2168">
                  <formatCode>m/d/yyyy</formatCode>
                  <v>42576</v>
                </pt>
                <pt idx="2169">
                  <formatCode>m/d/yyyy</formatCode>
                  <v>42583</v>
                </pt>
                <pt idx="2170">
                  <formatCode>m/d/yyyy</formatCode>
                  <v>42590</v>
                </pt>
                <pt idx="2171">
                  <formatCode>m/d/yyyy</formatCode>
                  <v>42597</v>
                </pt>
                <pt idx="2172">
                  <formatCode>m/d/yyyy</formatCode>
                  <v>42604</v>
                </pt>
                <pt idx="2173">
                  <formatCode>m/d/yyyy</formatCode>
                  <v>42611</v>
                </pt>
                <pt idx="2174">
                  <formatCode>m/d/yyyy</formatCode>
                  <v>42618</v>
                </pt>
                <pt idx="2175">
                  <formatCode>m/d/yyyy</formatCode>
                  <v>42625</v>
                </pt>
                <pt idx="2176">
                  <formatCode>m/d/yyyy</formatCode>
                  <v>42632</v>
                </pt>
                <pt idx="2177">
                  <formatCode>m/d/yyyy</formatCode>
                  <v>42639</v>
                </pt>
                <pt idx="2178">
                  <formatCode>m/d/yyyy</formatCode>
                  <v>42646</v>
                </pt>
                <pt idx="2179">
                  <formatCode>m/d/yyyy</formatCode>
                  <v>42653</v>
                </pt>
                <pt idx="2180">
                  <formatCode>m/d/yyyy</formatCode>
                  <v>42660</v>
                </pt>
                <pt idx="2181">
                  <formatCode>m/d/yyyy</formatCode>
                  <v>42667</v>
                </pt>
                <pt idx="2182">
                  <formatCode>m/d/yyyy</formatCode>
                  <v>42674</v>
                </pt>
                <pt idx="2183">
                  <formatCode>m/d/yyyy</formatCode>
                  <v>42681</v>
                </pt>
                <pt idx="2184">
                  <formatCode>m/d/yyyy</formatCode>
                  <v>42688</v>
                </pt>
                <pt idx="2185">
                  <formatCode>m/d/yyyy</formatCode>
                  <v>42695</v>
                </pt>
                <pt idx="2186">
                  <formatCode>m/d/yyyy</formatCode>
                  <v>42702</v>
                </pt>
                <pt idx="2187">
                  <formatCode>m/d/yyyy</formatCode>
                  <v>42709</v>
                </pt>
                <pt idx="2188">
                  <formatCode>m/d/yyyy</formatCode>
                  <v>42716</v>
                </pt>
                <pt idx="2189">
                  <formatCode>m/d/yyyy</formatCode>
                  <v>42723</v>
                </pt>
                <pt idx="2190">
                  <formatCode>m/d/yyyy</formatCode>
                  <v>42730</v>
                </pt>
                <pt idx="2191">
                  <formatCode>m/d/yyyy</formatCode>
                  <v>42737</v>
                </pt>
                <pt idx="2192">
                  <formatCode>m/d/yyyy</formatCode>
                  <v>42744</v>
                </pt>
                <pt idx="2193">
                  <formatCode>m/d/yyyy</formatCode>
                  <v>42751</v>
                </pt>
                <pt idx="2194">
                  <formatCode>m/d/yyyy</formatCode>
                  <v>42758</v>
                </pt>
                <pt idx="2195">
                  <formatCode>m/d/yyyy</formatCode>
                  <v>42765</v>
                </pt>
                <pt idx="2196">
                  <formatCode>m/d/yyyy</formatCode>
                  <v>42772</v>
                </pt>
                <pt idx="2197">
                  <formatCode>m/d/yyyy</formatCode>
                  <v>42779</v>
                </pt>
                <pt idx="2198">
                  <formatCode>m/d/yyyy</formatCode>
                  <v>42786</v>
                </pt>
                <pt idx="2199">
                  <formatCode>m/d/yyyy</formatCode>
                  <v>42793</v>
                </pt>
                <pt idx="2200">
                  <formatCode>m/d/yyyy</formatCode>
                  <v>42800</v>
                </pt>
                <pt idx="2201">
                  <formatCode>m/d/yyyy</formatCode>
                  <v>42807</v>
                </pt>
                <pt idx="2202">
                  <formatCode>m/d/yyyy</formatCode>
                  <v>42814</v>
                </pt>
                <pt idx="2203">
                  <formatCode>m/d/yyyy</formatCode>
                  <v>42821</v>
                </pt>
                <pt idx="2204">
                  <formatCode>m/d/yyyy</formatCode>
                  <v>42828</v>
                </pt>
                <pt idx="2205">
                  <formatCode>m/d/yyyy</formatCode>
                  <v>42835</v>
                </pt>
                <pt idx="2206">
                  <formatCode>m/d/yyyy</formatCode>
                  <v>42842</v>
                </pt>
                <pt idx="2207">
                  <formatCode>m/d/yyyy</formatCode>
                  <v>42849</v>
                </pt>
                <pt idx="2208">
                  <formatCode>m/d/yyyy</formatCode>
                  <v>42856</v>
                </pt>
                <pt idx="2209">
                  <formatCode>m/d/yyyy</formatCode>
                  <v>42863</v>
                </pt>
                <pt idx="2210">
                  <formatCode>m/d/yyyy</formatCode>
                  <v>42870</v>
                </pt>
                <pt idx="2211">
                  <formatCode>m/d/yyyy</formatCode>
                  <v>42877</v>
                </pt>
                <pt idx="2212">
                  <formatCode>m/d/yyyy</formatCode>
                  <v>42884</v>
                </pt>
                <pt idx="2213">
                  <formatCode>m/d/yyyy</formatCode>
                  <v>42891</v>
                </pt>
                <pt idx="2214">
                  <formatCode>m/d/yyyy</formatCode>
                  <v>42898</v>
                </pt>
                <pt idx="2215">
                  <formatCode>m/d/yyyy</formatCode>
                  <v>42905</v>
                </pt>
                <pt idx="2216">
                  <formatCode>m/d/yyyy</formatCode>
                  <v>42912</v>
                </pt>
                <pt idx="2217">
                  <formatCode>m/d/yyyy</formatCode>
                  <v>42919</v>
                </pt>
                <pt idx="2218">
                  <formatCode>m/d/yyyy</formatCode>
                  <v>42926</v>
                </pt>
                <pt idx="2219">
                  <formatCode>m/d/yyyy</formatCode>
                  <v>42933</v>
                </pt>
                <pt idx="2220">
                  <formatCode>m/d/yyyy</formatCode>
                  <v>42940</v>
                </pt>
                <pt idx="2221">
                  <formatCode>m/d/yyyy</formatCode>
                  <v>42947</v>
                </pt>
                <pt idx="2222">
                  <formatCode>m/d/yyyy</formatCode>
                  <v>42954</v>
                </pt>
                <pt idx="2223">
                  <formatCode>m/d/yyyy</formatCode>
                  <v>42961</v>
                </pt>
                <pt idx="2224">
                  <formatCode>m/d/yyyy</formatCode>
                  <v>42968</v>
                </pt>
                <pt idx="2225">
                  <formatCode>m/d/yyyy</formatCode>
                  <v>42975</v>
                </pt>
                <pt idx="2226">
                  <formatCode>m/d/yyyy</formatCode>
                  <v>42982</v>
                </pt>
                <pt idx="2227">
                  <formatCode>m/d/yyyy</formatCode>
                  <v>42989</v>
                </pt>
                <pt idx="2228">
                  <formatCode>m/d/yyyy</formatCode>
                  <v>42996</v>
                </pt>
                <pt idx="2229">
                  <formatCode>m/d/yyyy</formatCode>
                  <v>43003</v>
                </pt>
                <pt idx="2230">
                  <formatCode>m/d/yyyy</formatCode>
                  <v>43010</v>
                </pt>
                <pt idx="2231">
                  <formatCode>m/d/yyyy</formatCode>
                  <v>43017</v>
                </pt>
                <pt idx="2232">
                  <formatCode>m/d/yyyy</formatCode>
                  <v>43024</v>
                </pt>
                <pt idx="2233">
                  <formatCode>m/d/yyyy</formatCode>
                  <v>43031</v>
                </pt>
                <pt idx="2234">
                  <formatCode>m/d/yyyy</formatCode>
                  <v>43038</v>
                </pt>
                <pt idx="2235">
                  <formatCode>m/d/yyyy</formatCode>
                  <v>43045</v>
                </pt>
                <pt idx="2236">
                  <formatCode>m/d/yyyy</formatCode>
                  <v>43052</v>
                </pt>
                <pt idx="2237">
                  <formatCode>m/d/yyyy</formatCode>
                  <v>43059</v>
                </pt>
                <pt idx="2238">
                  <formatCode>m/d/yyyy</formatCode>
                  <v>43066</v>
                </pt>
                <pt idx="2239">
                  <formatCode>m/d/yyyy</formatCode>
                  <v>43073</v>
                </pt>
                <pt idx="2240">
                  <formatCode>m/d/yyyy</formatCode>
                  <v>43080</v>
                </pt>
                <pt idx="2241">
                  <formatCode>m/d/yyyy</formatCode>
                  <v>43087</v>
                </pt>
                <pt idx="2242">
                  <formatCode>m/d/yyyy</formatCode>
                  <v>43094</v>
                </pt>
                <pt idx="2243">
                  <formatCode>m/d/yyyy</formatCode>
                  <v>43101</v>
                </pt>
                <pt idx="2244">
                  <formatCode>m/d/yyyy</formatCode>
                  <v>43108</v>
                </pt>
                <pt idx="2245">
                  <formatCode>m/d/yyyy</formatCode>
                  <v>43115</v>
                </pt>
                <pt idx="2246">
                  <formatCode>m/d/yyyy</formatCode>
                  <v>43122</v>
                </pt>
                <pt idx="2247">
                  <formatCode>m/d/yyyy</formatCode>
                  <v>43129</v>
                </pt>
                <pt idx="2248">
                  <formatCode>m/d/yyyy</formatCode>
                  <v>43136</v>
                </pt>
                <pt idx="2249">
                  <formatCode>m/d/yyyy</formatCode>
                  <v>43143</v>
                </pt>
                <pt idx="2250">
                  <formatCode>m/d/yyyy</formatCode>
                  <v>43150</v>
                </pt>
                <pt idx="2251">
                  <formatCode>m/d/yyyy</formatCode>
                  <v>43157</v>
                </pt>
                <pt idx="2252">
                  <formatCode>m/d/yyyy</formatCode>
                  <v>43164</v>
                </pt>
                <pt idx="2253">
                  <formatCode>m/d/yyyy</formatCode>
                  <v>43171</v>
                </pt>
                <pt idx="2254">
                  <formatCode>m/d/yyyy</formatCode>
                  <v>43178</v>
                </pt>
                <pt idx="2255">
                  <formatCode>m/d/yyyy</formatCode>
                  <v>43185</v>
                </pt>
                <pt idx="2256">
                  <formatCode>m/d/yyyy</formatCode>
                  <v>43192</v>
                </pt>
                <pt idx="2257">
                  <formatCode>m/d/yyyy</formatCode>
                  <v>43199</v>
                </pt>
                <pt idx="2258">
                  <formatCode>m/d/yyyy</formatCode>
                  <v>43206</v>
                </pt>
                <pt idx="2259">
                  <formatCode>m/d/yyyy</formatCode>
                  <v>43213</v>
                </pt>
                <pt idx="2260">
                  <formatCode>m/d/yyyy</formatCode>
                  <v>43220</v>
                </pt>
                <pt idx="2261">
                  <formatCode>m/d/yyyy</formatCode>
                  <v>43227</v>
                </pt>
                <pt idx="2262">
                  <formatCode>m/d/yyyy</formatCode>
                  <v>43234</v>
                </pt>
                <pt idx="2263">
                  <formatCode>m/d/yyyy</formatCode>
                  <v>43241</v>
                </pt>
                <pt idx="2264">
                  <formatCode>m/d/yyyy</formatCode>
                  <v>43248</v>
                </pt>
                <pt idx="2265">
                  <formatCode>m/d/yyyy</formatCode>
                  <v>43255</v>
                </pt>
                <pt idx="2266">
                  <formatCode>m/d/yyyy</formatCode>
                  <v>43262</v>
                </pt>
                <pt idx="2267">
                  <formatCode>m/d/yyyy</formatCode>
                  <v>43269</v>
                </pt>
                <pt idx="2268">
                  <formatCode>m/d/yyyy</formatCode>
                  <v>43276</v>
                </pt>
                <pt idx="2269">
                  <formatCode>m/d/yyyy</formatCode>
                  <v>43283</v>
                </pt>
                <pt idx="2270">
                  <formatCode>m/d/yyyy</formatCode>
                  <v>43290</v>
                </pt>
                <pt idx="2271">
                  <formatCode>m/d/yyyy</formatCode>
                  <v>43297</v>
                </pt>
                <pt idx="2272">
                  <formatCode>m/d/yyyy</formatCode>
                  <v>43304</v>
                </pt>
                <pt idx="2273">
                  <formatCode>m/d/yyyy</formatCode>
                  <v>43311</v>
                </pt>
                <pt idx="2274">
                  <formatCode>m/d/yyyy</formatCode>
                  <v>43318</v>
                </pt>
                <pt idx="2275">
                  <formatCode>m/d/yyyy</formatCode>
                  <v>43325</v>
                </pt>
                <pt idx="2276">
                  <formatCode>m/d/yyyy</formatCode>
                  <v>43332</v>
                </pt>
                <pt idx="2277">
                  <formatCode>m/d/yyyy</formatCode>
                  <v>43339</v>
                </pt>
                <pt idx="2278">
                  <formatCode>m/d/yyyy</formatCode>
                  <v>43346</v>
                </pt>
                <pt idx="2279">
                  <formatCode>m/d/yyyy</formatCode>
                  <v>43353</v>
                </pt>
                <pt idx="2280">
                  <formatCode>m/d/yyyy</formatCode>
                  <v>43360</v>
                </pt>
                <pt idx="2281">
                  <formatCode>m/d/yyyy</formatCode>
                  <v>43367</v>
                </pt>
                <pt idx="2282">
                  <formatCode>m/d/yyyy</formatCode>
                  <v>43374</v>
                </pt>
                <pt idx="2283">
                  <formatCode>m/d/yyyy</formatCode>
                  <v>43381</v>
                </pt>
                <pt idx="2284">
                  <formatCode>m/d/yyyy</formatCode>
                  <v>43388</v>
                </pt>
                <pt idx="2285">
                  <formatCode>m/d/yyyy</formatCode>
                  <v>43395</v>
                </pt>
                <pt idx="2286">
                  <formatCode>m/d/yyyy</formatCode>
                  <v>43402</v>
                </pt>
                <pt idx="2287">
                  <formatCode>m/d/yyyy</formatCode>
                  <v>43409</v>
                </pt>
                <pt idx="2288">
                  <formatCode>m/d/yyyy</formatCode>
                  <v>43416</v>
                </pt>
                <pt idx="2289">
                  <formatCode>m/d/yyyy</formatCode>
                  <v>43423</v>
                </pt>
                <pt idx="2290">
                  <formatCode>m/d/yyyy</formatCode>
                  <v>43430</v>
                </pt>
                <pt idx="2291">
                  <formatCode>m/d/yyyy</formatCode>
                  <v>43437</v>
                </pt>
                <pt idx="2292">
                  <formatCode>m/d/yyyy</formatCode>
                  <v>43444</v>
                </pt>
                <pt idx="2293">
                  <formatCode>m/d/yyyy</formatCode>
                  <v>43451</v>
                </pt>
                <pt idx="2294">
                  <formatCode>m/d/yyyy</formatCode>
                  <v>43458</v>
                </pt>
                <pt idx="2295">
                  <formatCode>m/d/yyyy</formatCode>
                  <v>43465</v>
                </pt>
                <pt idx="2296">
                  <formatCode>m/d/yyyy</formatCode>
                  <v>43472</v>
                </pt>
                <pt idx="2297">
                  <formatCode>m/d/yyyy</formatCode>
                  <v>43479</v>
                </pt>
                <pt idx="2298">
                  <formatCode>m/d/yyyy</formatCode>
                  <v>43486</v>
                </pt>
                <pt idx="2299">
                  <formatCode>m/d/yyyy</formatCode>
                  <v>43493</v>
                </pt>
                <pt idx="2300">
                  <formatCode>m/d/yyyy</formatCode>
                  <v>43500</v>
                </pt>
                <pt idx="2301">
                  <formatCode>m/d/yyyy</formatCode>
                  <v>43507</v>
                </pt>
                <pt idx="2302">
                  <formatCode>m/d/yyyy</formatCode>
                  <v>43514</v>
                </pt>
                <pt idx="2303">
                  <formatCode>m/d/yyyy</formatCode>
                  <v>43521</v>
                </pt>
                <pt idx="2304">
                  <formatCode>m/d/yyyy</formatCode>
                  <v>43528</v>
                </pt>
                <pt idx="2305">
                  <formatCode>m/d/yyyy</formatCode>
                  <v>43535</v>
                </pt>
                <pt idx="2306">
                  <formatCode>m/d/yyyy</formatCode>
                  <v>43542</v>
                </pt>
                <pt idx="2307">
                  <formatCode>m/d/yyyy</formatCode>
                  <v>43549</v>
                </pt>
                <pt idx="2308">
                  <formatCode>m/d/yyyy</formatCode>
                  <v>43556</v>
                </pt>
                <pt idx="2309">
                  <formatCode>m/d/yyyy</formatCode>
                  <v>43563</v>
                </pt>
                <pt idx="2310">
                  <formatCode>m/d/yyyy</formatCode>
                  <v>43570</v>
                </pt>
                <pt idx="2311">
                  <formatCode>m/d/yyyy</formatCode>
                  <v>43577</v>
                </pt>
                <pt idx="2312">
                  <formatCode>m/d/yyyy</formatCode>
                  <v>43584</v>
                </pt>
                <pt idx="2313">
                  <formatCode>m/d/yyyy</formatCode>
                  <v>43591</v>
                </pt>
                <pt idx="2314">
                  <formatCode>m/d/yyyy</formatCode>
                  <v>43598</v>
                </pt>
                <pt idx="2315">
                  <formatCode>m/d/yyyy</formatCode>
                  <v>43605</v>
                </pt>
                <pt idx="2316">
                  <formatCode>m/d/yyyy</formatCode>
                  <v>43612</v>
                </pt>
                <pt idx="2317">
                  <formatCode>m/d/yyyy</formatCode>
                  <v>43619</v>
                </pt>
                <pt idx="2318">
                  <formatCode>m/d/yyyy</formatCode>
                  <v>43626</v>
                </pt>
                <pt idx="2319">
                  <formatCode>m/d/yyyy</formatCode>
                  <v>43633</v>
                </pt>
                <pt idx="2320">
                  <formatCode>m/d/yyyy</formatCode>
                  <v>43640</v>
                </pt>
                <pt idx="2321">
                  <formatCode>m/d/yyyy</formatCode>
                  <v>43647</v>
                </pt>
                <pt idx="2322">
                  <formatCode>m/d/yyyy</formatCode>
                  <v>43654</v>
                </pt>
                <pt idx="2323">
                  <formatCode>m/d/yyyy</formatCode>
                  <v>43661</v>
                </pt>
                <pt idx="2324">
                  <formatCode>m/d/yyyy</formatCode>
                  <v>43668</v>
                </pt>
                <pt idx="2325">
                  <formatCode>m/d/yyyy</formatCode>
                  <v>43675</v>
                </pt>
                <pt idx="2326">
                  <formatCode>m/d/yyyy</formatCode>
                  <v>43682</v>
                </pt>
                <pt idx="2327">
                  <formatCode>m/d/yyyy</formatCode>
                  <v>43689</v>
                </pt>
                <pt idx="2328">
                  <formatCode>m/d/yyyy</formatCode>
                  <v>43696</v>
                </pt>
                <pt idx="2329">
                  <formatCode>m/d/yyyy</formatCode>
                  <v>43703</v>
                </pt>
                <pt idx="2330">
                  <formatCode>m/d/yyyy</formatCode>
                  <v>43710</v>
                </pt>
                <pt idx="2331">
                  <formatCode>m/d/yyyy</formatCode>
                  <v>43717</v>
                </pt>
                <pt idx="2332">
                  <formatCode>m/d/yyyy</formatCode>
                  <v>43724</v>
                </pt>
                <pt idx="2333">
                  <formatCode>m/d/yyyy</formatCode>
                  <v>43731</v>
                </pt>
                <pt idx="2334">
                  <formatCode>m/d/yyyy</formatCode>
                  <v>43738</v>
                </pt>
                <pt idx="2335">
                  <formatCode>m/d/yyyy</formatCode>
                  <v>43745</v>
                </pt>
                <pt idx="2336">
                  <formatCode>m/d/yyyy</formatCode>
                  <v>43752</v>
                </pt>
                <pt idx="2337">
                  <formatCode>m/d/yyyy</formatCode>
                  <v>43759</v>
                </pt>
                <pt idx="2338">
                  <formatCode>m/d/yyyy</formatCode>
                  <v>43766</v>
                </pt>
                <pt idx="2339">
                  <formatCode>m/d/yyyy</formatCode>
                  <v>43773</v>
                </pt>
                <pt idx="2340">
                  <formatCode>m/d/yyyy</formatCode>
                  <v>43780</v>
                </pt>
                <pt idx="2341">
                  <formatCode>m/d/yyyy</formatCode>
                  <v>43787</v>
                </pt>
                <pt idx="2342">
                  <formatCode>m/d/yyyy</formatCode>
                  <v>43794</v>
                </pt>
                <pt idx="2343">
                  <formatCode>m/d/yyyy</formatCode>
                  <v>43801</v>
                </pt>
                <pt idx="2344">
                  <formatCode>m/d/yyyy</formatCode>
                  <v>43808</v>
                </pt>
                <pt idx="2345">
                  <formatCode>m/d/yyyy</formatCode>
                  <v>43815</v>
                </pt>
                <pt idx="2346">
                  <formatCode>m/d/yyyy</formatCode>
                  <v>43822</v>
                </pt>
                <pt idx="2347">
                  <formatCode>m/d/yyyy</formatCode>
                  <v>43829</v>
                </pt>
                <pt idx="2348">
                  <formatCode>m/d/yyyy</formatCode>
                  <v>43836</v>
                </pt>
                <pt idx="2349">
                  <formatCode>m/d/yyyy</formatCode>
                  <v>43843</v>
                </pt>
                <pt idx="2350">
                  <formatCode>m/d/yyyy</formatCode>
                  <v>43850</v>
                </pt>
                <pt idx="2351">
                  <formatCode>m/d/yyyy</formatCode>
                  <v>43857</v>
                </pt>
                <pt idx="2352">
                  <formatCode>m/d/yyyy</formatCode>
                  <v>43864</v>
                </pt>
                <pt idx="2353">
                  <formatCode>m/d/yyyy</formatCode>
                  <v>43871</v>
                </pt>
                <pt idx="2354">
                  <formatCode>m/d/yyyy</formatCode>
                  <v>43878</v>
                </pt>
                <pt idx="2355">
                  <formatCode>m/d/yyyy</formatCode>
                  <v>43885</v>
                </pt>
                <pt idx="2356">
                  <formatCode>m/d/yyyy</formatCode>
                  <v>43892</v>
                </pt>
                <pt idx="2357">
                  <formatCode>m/d/yyyy</formatCode>
                  <v>43899</v>
                </pt>
                <pt idx="2358">
                  <formatCode>m/d/yyyy</formatCode>
                  <v>43906</v>
                </pt>
                <pt idx="2359">
                  <formatCode>m/d/yyyy</formatCode>
                  <v>43913</v>
                </pt>
                <pt idx="2360">
                  <formatCode>m/d/yyyy</formatCode>
                  <v>43920</v>
                </pt>
                <pt idx="2361">
                  <formatCode>m/d/yyyy</formatCode>
                  <v>43927</v>
                </pt>
                <pt idx="2362">
                  <formatCode>m/d/yyyy</formatCode>
                  <v>43934</v>
                </pt>
                <pt idx="2363">
                  <formatCode>m/d/yyyy</formatCode>
                  <v>43941</v>
                </pt>
                <pt idx="2364">
                  <formatCode>m/d/yyyy</formatCode>
                  <v>43948</v>
                </pt>
                <pt idx="2365">
                  <formatCode>m/d/yyyy</formatCode>
                  <v>43955</v>
                </pt>
                <pt idx="2366">
                  <formatCode>m/d/yyyy</formatCode>
                  <v>43962</v>
                </pt>
                <pt idx="2367">
                  <formatCode>m/d/yyyy</formatCode>
                  <v>43969</v>
                </pt>
                <pt idx="2368">
                  <formatCode>m/d/yyyy</formatCode>
                  <v>43976</v>
                </pt>
                <pt idx="2369">
                  <formatCode>m/d/yyyy</formatCode>
                  <v>43983</v>
                </pt>
                <pt idx="2370">
                  <formatCode>m/d/yyyy</formatCode>
                  <v>43990</v>
                </pt>
                <pt idx="2371">
                  <formatCode>m/d/yyyy</formatCode>
                  <v>43997</v>
                </pt>
                <pt idx="2372">
                  <formatCode>m/d/yyyy</formatCode>
                  <v>44004</v>
                </pt>
                <pt idx="2373">
                  <formatCode>m/d/yyyy</formatCode>
                  <v>44011</v>
                </pt>
                <pt idx="2374">
                  <formatCode>m/d/yyyy</formatCode>
                  <v>44018</v>
                </pt>
                <pt idx="2375">
                  <formatCode>m/d/yyyy</formatCode>
                  <v>44025</v>
                </pt>
                <pt idx="2376">
                  <formatCode>m/d/yyyy</formatCode>
                  <v>44032</v>
                </pt>
                <pt idx="2377">
                  <formatCode>m/d/yyyy</formatCode>
                  <v>44039</v>
                </pt>
                <pt idx="2378">
                  <formatCode>m/d/yyyy</formatCode>
                  <v>44046</v>
                </pt>
                <pt idx="2379">
                  <formatCode>m/d/yyyy</formatCode>
                  <v>44053</v>
                </pt>
                <pt idx="2380">
                  <formatCode>m/d/yyyy</formatCode>
                  <v>44060</v>
                </pt>
                <pt idx="2381">
                  <formatCode>m/d/yyyy</formatCode>
                  <v>44067</v>
                </pt>
                <pt idx="2382">
                  <formatCode>m/d/yyyy</formatCode>
                  <v>44074</v>
                </pt>
                <pt idx="2383">
                  <formatCode>m/d/yyyy</formatCode>
                  <v>44081</v>
                </pt>
                <pt idx="2384">
                  <formatCode>m/d/yyyy</formatCode>
                  <v>44088</v>
                </pt>
                <pt idx="2385">
                  <formatCode>m/d/yyyy</formatCode>
                  <v>44095</v>
                </pt>
                <pt idx="2386">
                  <formatCode>m/d/yyyy</formatCode>
                  <v>44102</v>
                </pt>
                <pt idx="2387">
                  <formatCode>m/d/yyyy</formatCode>
                  <v>44109</v>
                </pt>
                <pt idx="2388">
                  <formatCode>m/d/yyyy</formatCode>
                  <v>44116</v>
                </pt>
                <pt idx="2389">
                  <formatCode>m/d/yyyy</formatCode>
                  <v>44123</v>
                </pt>
                <pt idx="2390">
                  <formatCode>m/d/yyyy</formatCode>
                  <v>44130</v>
                </pt>
                <pt idx="2391">
                  <formatCode>m/d/yyyy</formatCode>
                  <v>44137</v>
                </pt>
                <pt idx="2392">
                  <formatCode>m/d/yyyy</formatCode>
                  <v>44144</v>
                </pt>
                <pt idx="2393">
                  <formatCode>m/d/yyyy</formatCode>
                  <v>44151</v>
                </pt>
                <pt idx="2394">
                  <formatCode>m/d/yyyy</formatCode>
                  <v>44158</v>
                </pt>
                <pt idx="2395">
                  <formatCode>m/d/yyyy</formatCode>
                  <v>44165</v>
                </pt>
                <pt idx="2396">
                  <formatCode>m/d/yyyy</formatCode>
                  <v>44172</v>
                </pt>
                <pt idx="2397">
                  <formatCode>m/d/yyyy</formatCode>
                  <v>44179</v>
                </pt>
                <pt idx="2398">
                  <formatCode>m/d/yyyy</formatCode>
                  <v>44186</v>
                </pt>
                <pt idx="2399">
                  <formatCode>m/d/yyyy</formatCode>
                  <v>44193</v>
                </pt>
                <pt idx="2400">
                  <formatCode>m/d/yyyy</formatCode>
                  <v>44200</v>
                </pt>
                <pt idx="2401">
                  <formatCode>m/d/yyyy</formatCode>
                  <v>44207</v>
                </pt>
                <pt idx="2402">
                  <formatCode>m/d/yyyy</formatCode>
                  <v>44214</v>
                </pt>
                <pt idx="2403">
                  <formatCode>m/d/yyyy</formatCode>
                  <v>44221</v>
                </pt>
                <pt idx="2404">
                  <formatCode>m/d/yyyy</formatCode>
                  <v>44228</v>
                </pt>
              </numCache>
            </numRef>
          </cat>
          <val>
            <numRef>
              <f>'US M1'!$B$6:$B$2411</f>
              <numCache>
                <formatCode>0.0</formatCode>
                <ptCount val="2406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3642.1</v>
                </pt>
                <pt idx="2245">
                  <v>3670.6</v>
                </pt>
                <pt idx="2246">
                  <v>3663</v>
                </pt>
                <pt idx="2247">
                  <v>3636.4</v>
                </pt>
                <pt idx="2248">
                  <v>3622.6</v>
                </pt>
                <pt idx="2249">
                  <v>3607.4</v>
                </pt>
                <pt idx="2250">
                  <v>3611.8</v>
                </pt>
                <pt idx="2251">
                  <v>3624.3</v>
                </pt>
                <pt idx="2252">
                  <v>3655.3</v>
                </pt>
                <pt idx="2253">
                  <v>3670.8</v>
                </pt>
                <pt idx="2254">
                  <v>3660.6</v>
                </pt>
                <pt idx="2255">
                  <v>3657.7</v>
                </pt>
                <pt idx="2256">
                  <v>3659.2</v>
                </pt>
                <pt idx="2257">
                  <v>3660.9</v>
                </pt>
                <pt idx="2258">
                  <v>3647</v>
                </pt>
                <pt idx="2259">
                  <v>3669.8</v>
                </pt>
                <pt idx="2260">
                  <v>3669.5</v>
                </pt>
                <pt idx="2261">
                  <v>3637.2</v>
                </pt>
                <pt idx="2262">
                  <v>3655.2</v>
                </pt>
                <pt idx="2263">
                  <v>3666.8</v>
                </pt>
                <pt idx="2264">
                  <v>3664.2</v>
                </pt>
                <pt idx="2265">
                  <v>3672.2</v>
                </pt>
                <pt idx="2266">
                  <v>3654.6</v>
                </pt>
                <pt idx="2267">
                  <v>3651.1</v>
                </pt>
                <pt idx="2268">
                  <v>3655.1</v>
                </pt>
                <pt idx="2269">
                  <v>3673.2</v>
                </pt>
                <pt idx="2270">
                  <v>3682.1</v>
                </pt>
                <pt idx="2271">
                  <v>3681.5</v>
                </pt>
                <pt idx="2272">
                  <v>3677.6</v>
                </pt>
                <pt idx="2273">
                  <v>3681.9</v>
                </pt>
                <pt idx="2274">
                  <v>3661.4</v>
                </pt>
                <pt idx="2275">
                  <v>3677</v>
                </pt>
                <pt idx="2276">
                  <v>3676</v>
                </pt>
                <pt idx="2277">
                  <v>3695.2</v>
                </pt>
                <pt idx="2278">
                  <v>3779.6</v>
                </pt>
                <pt idx="2279">
                  <v>3710.1</v>
                </pt>
                <pt idx="2280">
                  <v>3691.7</v>
                </pt>
                <pt idx="2281">
                  <v>3704.6</v>
                </pt>
                <pt idx="2282">
                  <v>3693.1</v>
                </pt>
                <pt idx="2283">
                  <v>3708.5</v>
                </pt>
                <pt idx="2284">
                  <v>3723.5</v>
                </pt>
                <pt idx="2285">
                  <v>3744.5</v>
                </pt>
                <pt idx="2286">
                  <v>3729.1</v>
                </pt>
                <pt idx="2287">
                  <v>3689.6</v>
                </pt>
                <pt idx="2288">
                  <v>3687.3</v>
                </pt>
                <pt idx="2289">
                  <v>3688.2</v>
                </pt>
                <pt idx="2290">
                  <v>3692.6</v>
                </pt>
                <pt idx="2291">
                  <v>3780.5</v>
                </pt>
                <pt idx="2292">
                  <v>3769.8</v>
                </pt>
                <pt idx="2293">
                  <v>3712.9</v>
                </pt>
                <pt idx="2294">
                  <v>3760.7</v>
                </pt>
                <pt idx="2295">
                  <v>3744.6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3747.3</v>
                </pt>
                <pt idx="2310">
                  <v>3797.5</v>
                </pt>
                <pt idx="2311">
                  <v>3790.6</v>
                </pt>
                <pt idx="2312">
                  <v>3814</v>
                </pt>
                <pt idx="2313">
                  <v>3766.3</v>
                </pt>
                <pt idx="2314">
                  <v>3773.5</v>
                </pt>
                <pt idx="2315">
                  <v>3782.7</v>
                </pt>
                <pt idx="2316">
                  <v>3810.8</v>
                </pt>
                <pt idx="2317">
                  <v>3877</v>
                </pt>
                <pt idx="2318">
                  <v>3840.5</v>
                </pt>
                <pt idx="2319">
                  <v>3833.5</v>
                </pt>
                <pt idx="2320">
                  <v>3830.7</v>
                </pt>
                <pt idx="2321">
                  <v>3819.5</v>
                </pt>
                <pt idx="2322">
                  <v>3838.3</v>
                </pt>
                <pt idx="2323">
                  <v>3857.4</v>
                </pt>
                <pt idx="2324">
                  <v>3876.3</v>
                </pt>
                <pt idx="2325">
                  <v>3873.6</v>
                </pt>
                <pt idx="2326">
                  <v>3876</v>
                </pt>
                <pt idx="2327">
                  <v>3862</v>
                </pt>
                <pt idx="2328">
                  <v>3833.2</v>
                </pt>
                <pt idx="2329">
                  <v>3845.8</v>
                </pt>
                <pt idx="2330">
                  <v>3878.9</v>
                </pt>
                <pt idx="2331">
                  <v>3896.9</v>
                </pt>
                <pt idx="2332">
                  <v>3896.8</v>
                </pt>
                <pt idx="2333">
                  <v>3912</v>
                </pt>
                <pt idx="2334">
                  <v>3929.1</v>
                </pt>
                <pt idx="2335">
                  <v>3894.7</v>
                </pt>
                <pt idx="2336">
                  <v>3931.6</v>
                </pt>
                <pt idx="2337">
                  <v>3929.9</v>
                </pt>
                <pt idx="2338">
                  <v>3935.3</v>
                </pt>
                <pt idx="2339">
                  <v>3956.2</v>
                </pt>
                <pt idx="2340">
                  <v>3956.4</v>
                </pt>
                <pt idx="2341">
                  <v>3928.9</v>
                </pt>
                <pt idx="2342">
                  <v>3963.3</v>
                </pt>
                <pt idx="2343">
                  <v>3954.6</v>
                </pt>
                <pt idx="2344">
                  <v>3979.3</v>
                </pt>
                <pt idx="2345">
                  <v>3992.9</v>
                </pt>
                <pt idx="2346">
                  <v>3999.9</v>
                </pt>
                <pt idx="2347">
                  <v>3964.4</v>
                </pt>
                <pt idx="2348">
                  <v>3948.9</v>
                </pt>
                <pt idx="2349">
                  <v>3950.6</v>
                </pt>
                <pt idx="2350">
                  <v>3978.9</v>
                </pt>
                <pt idx="2351">
                  <v>3963.1</v>
                </pt>
                <pt idx="2352">
                  <v>4082.2</v>
                </pt>
                <pt idx="2353">
                  <v>4013.7</v>
                </pt>
                <pt idx="2354">
                  <v>3984.5</v>
                </pt>
                <pt idx="2355">
                  <v>3972.3</v>
                </pt>
                <pt idx="2356">
                  <v>4029.1</v>
                </pt>
                <pt idx="2357">
                  <v>4064.6</v>
                </pt>
                <pt idx="2358">
                  <v>4127.7</v>
                </pt>
                <pt idx="2359">
                  <v>4314.5</v>
                </pt>
                <pt idx="2360">
                  <v>4514</v>
                </pt>
                <pt idx="2361">
                  <v>4592.2</v>
                </pt>
                <pt idx="2362">
                  <v>4717.8</v>
                </pt>
                <pt idx="2363">
                  <v>4851.2</v>
                </pt>
                <pt idx="2364">
                  <v>4899.4</v>
                </pt>
                <pt idx="2365">
                  <v>15982.2</v>
                </pt>
                <pt idx="2366">
                  <v>16201.5</v>
                </pt>
                <pt idx="2367">
                  <v>16292.5</v>
                </pt>
                <pt idx="2368">
                  <v>16319.8</v>
                </pt>
                <pt idx="2369">
                  <v>16364</v>
                </pt>
                <pt idx="2370">
                  <v>16467.2</v>
                </pt>
                <pt idx="2371">
                  <v>16554.6</v>
                </pt>
                <pt idx="2372">
                  <v>16654.9</v>
                </pt>
                <pt idx="2373">
                  <v>16656.6</v>
                </pt>
                <pt idx="2374">
                  <v>16763.2</v>
                </pt>
                <pt idx="2375">
                  <v>16836.7</v>
                </pt>
                <pt idx="2376">
                  <v>16781.8</v>
                </pt>
                <pt idx="2377">
                  <v>16753.2</v>
                </pt>
                <pt idx="2378">
                  <v>16734.6</v>
                </pt>
                <pt idx="2379">
                  <v>16888.9</v>
                </pt>
                <pt idx="2380">
                  <v>16938.6</v>
                </pt>
                <pt idx="2381">
                  <v>16880.5</v>
                </pt>
                <pt idx="2382">
                  <v>16962.7</v>
                </pt>
                <pt idx="2383">
                  <v>17087.6</v>
                </pt>
                <pt idx="2384">
                  <v>17214.6</v>
                </pt>
                <pt idx="2385">
                  <v>17237.7</v>
                </pt>
                <pt idx="2386">
                  <v>17174.9</v>
                </pt>
                <pt idx="2387">
                  <v>17224.2</v>
                </pt>
                <pt idx="2388">
                  <v>17331.8</v>
                </pt>
                <pt idx="2389">
                  <v>17350.6</v>
                </pt>
                <pt idx="2390">
                  <v>17376.1</v>
                </pt>
                <pt idx="2391">
                  <v>17431.2</v>
                </pt>
                <pt idx="2392">
                  <v>17593.4</v>
                </pt>
                <pt idx="2393">
                  <v>17638.4</v>
                </pt>
                <pt idx="2394">
                  <v>17657.9</v>
                </pt>
                <pt idx="2395">
                  <v>17547.6</v>
                </pt>
                <pt idx="2396">
                  <v>17777.4</v>
                </pt>
                <pt idx="2397">
                  <v>17853.5</v>
                </pt>
                <pt idx="2398">
                  <v>17762.7</v>
                </pt>
                <pt idx="2399">
                  <v>17659.6</v>
                </pt>
                <pt idx="2400">
                  <v>17769.8</v>
                </pt>
                <pt idx="2401">
                  <v>18141.9</v>
                </pt>
                <pt idx="2402">
                  <v>18151</v>
                </pt>
                <pt idx="2403">
                  <v>18107.6</v>
                </pt>
                <pt idx="2404">
                  <v>18104.6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'!$A$7:$A$783</f>
              <numCache>
                <formatCode>m/d/yyyy</formatCode>
                <ptCount val="777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</numCache>
            </numRef>
          </cat>
          <val>
            <numRef>
              <f>'US M2 '!$D$7:$D$783</f>
              <numCache>
                <formatCode>0.00%</formatCode>
                <ptCount val="777"/>
                <pt idx="0">
                  <v>0.04704201702925448</v>
                </pt>
                <pt idx="1">
                  <v>0.06439082129676055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0.09381562257093345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0.07272243002163625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0.1669848254439015</v>
                </pt>
                <pt idx="744">
                  <v>0.1611407125166298</v>
                </pt>
                <pt idx="745">
                  <v>0.156141056852606</v>
                </pt>
                <pt idx="746">
                  <v>0.1668164366050795</v>
                </pt>
                <pt idx="747">
                  <v>0.2000816916281951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0.135850535371268</v>
                </pt>
                <pt idx="751">
                  <v>0.07780493075960515</v>
                </pt>
                <pt idx="752">
                  <v>0.1068375655399509</v>
                </pt>
                <pt idx="753">
                  <v>0.1230071619167792</v>
                </pt>
                <pt idx="754">
                  <v>0.08195464389005624</v>
                </pt>
                <pt idx="755">
                  <v>0.09291348737508431</v>
                </pt>
                <pt idx="756">
                  <v>0.03308311496107152</v>
                </pt>
                <pt idx="757">
                  <v>0.01743992699381192</v>
                </pt>
                <pt idx="758">
                  <v>-0.05145945465063062</v>
                </pt>
                <pt idx="759">
                  <v>0.002775630036032206</v>
                </pt>
                <pt idx="760">
                  <v>-0.02281644779628256</v>
                </pt>
                <pt idx="761">
                  <v>0.01594309143410344</v>
                </pt>
                <pt idx="762">
                  <v>-0.002105554012678756</v>
                </pt>
                <pt idx="763">
                  <v>-0.06915477947326021</v>
                </pt>
                <pt idx="764">
                  <v>-0.04817791553746353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'!$A$7:$A$776</f>
              <numCache>
                <formatCode>m/d/yyyy</formatCode>
                <ptCount val="77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</numCache>
            </numRef>
          </cat>
          <val>
            <numRef>
              <f>'US M2 '!$B$7:$B$776</f>
              <numCache>
                <formatCode>0.0</formatCode>
                <ptCount val="77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4880.3</v>
                </pt>
                <pt idx="502">
                  <v>4925</v>
                </pt>
                <pt idx="503">
                  <v>4975.7</v>
                </pt>
                <pt idx="504">
                  <v>5014.1</v>
                </pt>
                <pt idx="505">
                  <v>5072</v>
                </pt>
                <pt idx="506">
                  <v>5135.9</v>
                </pt>
                <pt idx="507">
                  <v>5133</v>
                </pt>
                <pt idx="508">
                  <v>5173.5</v>
                </pt>
                <pt idx="509">
                  <v>5203.4</v>
                </pt>
                <pt idx="510">
                  <v>5237.2</v>
                </pt>
                <pt idx="511">
                  <v>5348.4</v>
                </pt>
                <pt idx="512">
                  <v>5337.1</v>
                </pt>
                <pt idx="513">
                  <v>5380.8</v>
                </pt>
                <pt idx="514">
                  <v>5433.8</v>
                </pt>
                <pt idx="515">
                  <v>5454.1</v>
                </pt>
                <pt idx="516">
                  <v>5483.4</v>
                </pt>
                <pt idx="517">
                  <v>5495.2</v>
                </pt>
                <pt idx="518">
                  <v>5495.4</v>
                </pt>
                <pt idx="519">
                  <v>5521.5</v>
                </pt>
                <pt idx="520">
                  <v>5546.5</v>
                </pt>
                <pt idx="521">
                  <v>5589.1</v>
                </pt>
                <pt idx="522">
                  <v>5631.6</v>
                </pt>
                <pt idx="523">
                  <v>5656</v>
                </pt>
                <pt idx="524">
                  <v>5700.4</v>
                </pt>
                <pt idx="525">
                  <v>5750.6</v>
                </pt>
                <pt idx="526">
                  <v>5772</v>
                </pt>
                <pt idx="527">
                  <v>5804.6</v>
                </pt>
                <pt idx="528">
                  <v>5840.7</v>
                </pt>
                <pt idx="529">
                  <v>5861.4</v>
                </pt>
                <pt idx="530">
                  <v>5898.8</v>
                </pt>
                <pt idx="531">
                  <v>5959.3</v>
                </pt>
                <pt idx="532">
                  <v>5996</v>
                </pt>
                <pt idx="533">
                  <v>6042.7</v>
                </pt>
                <pt idx="534">
                  <v>6100.8</v>
                </pt>
                <pt idx="535">
                  <v>6072.8</v>
                </pt>
                <pt idx="536">
                  <v>6063.6</v>
                </pt>
                <pt idx="537">
                  <v>6069.1</v>
                </pt>
                <pt idx="538">
                  <v>6067.3</v>
                </pt>
                <pt idx="539">
                  <v>6075.5</v>
                </pt>
                <pt idx="540">
                  <v>6114.3</v>
                </pt>
                <pt idx="541">
                  <v>6150.1</v>
                </pt>
                <pt idx="542">
                  <v>6191.2</v>
                </pt>
                <pt idx="543">
                  <v>6268.1</v>
                </pt>
                <pt idx="544">
                  <v>6270.5</v>
                </pt>
                <pt idx="545">
                  <v>6284.3</v>
                </pt>
                <pt idx="546">
                  <v>6310.6</v>
                </pt>
                <pt idx="547">
                  <v>6345.3</v>
                </pt>
                <pt idx="548">
                  <v>6373.3</v>
                </pt>
                <pt idx="549">
                  <v>6399.8</v>
                </pt>
                <pt idx="550">
                  <v>6418.3</v>
                </pt>
                <pt idx="551">
                  <v>6424.5</v>
                </pt>
                <pt idx="552">
                  <v>6432.8</v>
                </pt>
                <pt idx="553">
                  <v>6441.9</v>
                </pt>
                <pt idx="554">
                  <v>6455.9</v>
                </pt>
                <pt idx="555">
                  <v>6473.3</v>
                </pt>
                <pt idx="556">
                  <v>6505.8</v>
                </pt>
                <pt idx="557">
                  <v>6537.4</v>
                </pt>
                <pt idx="558">
                  <v>6570.2</v>
                </pt>
                <pt idx="559">
                  <v>6604.3</v>
                </pt>
                <pt idx="560">
                  <v>6638.6</v>
                </pt>
                <pt idx="561">
                  <v>6655</v>
                </pt>
                <pt idx="562">
                  <v>6681.9</v>
                </pt>
                <pt idx="563">
                  <v>6724.3</v>
                </pt>
                <pt idx="564">
                  <v>6748.6</v>
                </pt>
                <pt idx="565">
                  <v>6762.9</v>
                </pt>
                <pt idx="566">
                  <v>6800.1</v>
                </pt>
                <pt idx="567">
                  <v>6806.9</v>
                </pt>
                <pt idx="568">
                  <v>6844.9</v>
                </pt>
                <pt idx="569">
                  <v>6886.3</v>
                </pt>
                <pt idx="570">
                  <v>6917.1</v>
                </pt>
                <pt idx="571">
                  <v>6944.2</v>
                </pt>
                <pt idx="572">
                  <v>6993.3</v>
                </pt>
                <pt idx="573">
                  <v>7028.4</v>
                </pt>
                <pt idx="574">
                  <v>7071.6</v>
                </pt>
                <pt idx="575">
                  <v>7109.6</v>
                </pt>
                <pt idx="576">
                  <v>7125.3</v>
                </pt>
                <pt idx="577">
                  <v>7159.1</v>
                </pt>
                <pt idx="578">
                  <v>7231.3</v>
                </pt>
                <pt idx="579">
                  <v>7245.4</v>
                </pt>
                <pt idx="580">
                  <v>7278.6</v>
                </pt>
                <pt idx="581">
                  <v>7309</v>
                </pt>
                <pt idx="582">
                  <v>7385.1</v>
                </pt>
                <pt idx="583">
                  <v>7403.2</v>
                </pt>
                <pt idx="584">
                  <v>7417.2</v>
                </pt>
                <pt idx="585">
                  <v>7441.8</v>
                </pt>
                <pt idx="586">
                  <v>7471.6</v>
                </pt>
                <pt idx="587">
                  <v>7505.5</v>
                </pt>
                <pt idx="588">
                  <v>7590.6</v>
                </pt>
                <pt idx="589">
                  <v>7656.2</v>
                </pt>
                <pt idx="590">
                  <v>7699.2</v>
                </pt>
                <pt idx="591">
                  <v>7711.2</v>
                </pt>
                <pt idx="592">
                  <v>7728.9</v>
                </pt>
                <pt idx="593">
                  <v>7775.4</v>
                </pt>
                <pt idx="594">
                  <v>7790.2</v>
                </pt>
                <pt idx="595">
                  <v>7859.5</v>
                </pt>
                <pt idx="596">
                  <v>7965.3</v>
                </pt>
                <pt idx="597">
                  <v>8015.8</v>
                </pt>
                <pt idx="598">
                  <v>8192.1</v>
                </pt>
                <pt idx="599">
                  <v>8273.700000000001</v>
                </pt>
                <pt idx="600">
                  <v>8303.1</v>
                </pt>
                <pt idx="601">
                  <v>8369.299999999999</v>
                </pt>
                <pt idx="602">
                  <v>8372.9</v>
                </pt>
                <pt idx="603">
                  <v>8430.700000000001</v>
                </pt>
                <pt idx="604">
                  <v>8440.5</v>
                </pt>
                <pt idx="605">
                  <v>8445.1</v>
                </pt>
                <pt idx="606">
                  <v>8445</v>
                </pt>
                <pt idx="607">
                  <v>8444.200000000001</v>
                </pt>
                <pt idx="608">
                  <v>8471.1</v>
                </pt>
                <pt idx="609">
                  <v>8500.799999999999</v>
                </pt>
                <pt idx="610">
                  <v>8496</v>
                </pt>
                <pt idx="611">
                  <v>8458.1</v>
                </pt>
                <pt idx="612">
                  <v>8507.4</v>
                </pt>
                <pt idx="613">
                  <v>8504.5</v>
                </pt>
                <pt idx="614">
                  <v>8535.200000000001</v>
                </pt>
                <pt idx="615">
                  <v>8589.9</v>
                </pt>
                <pt idx="616">
                  <v>8609</v>
                </pt>
                <pt idx="617">
                  <v>8618.799999999999</v>
                </pt>
                <pt idx="618">
                  <v>8669.1</v>
                </pt>
                <pt idx="619">
                  <v>8700.1</v>
                </pt>
                <pt idx="620">
                  <v>8749.4</v>
                </pt>
                <pt idx="621">
                  <v>8770</v>
                </pt>
                <pt idx="622">
                  <v>8801.799999999999</v>
                </pt>
                <pt idx="623">
                  <v>8823.1</v>
                </pt>
                <pt idx="624">
                  <v>8886.9</v>
                </pt>
                <pt idx="625">
                  <v>8943.5</v>
                </pt>
                <pt idx="626">
                  <v>9004.9</v>
                </pt>
                <pt idx="627">
                  <v>9075.5</v>
                </pt>
                <pt idx="628">
                  <v>9151</v>
                </pt>
                <pt idx="629">
                  <v>9316.6</v>
                </pt>
                <pt idx="630">
                  <v>9507.6</v>
                </pt>
                <pt idx="631">
                  <v>9528.299999999999</v>
                </pt>
                <pt idx="632">
                  <v>9562.1</v>
                </pt>
                <pt idx="633">
                  <v>9612.6</v>
                </pt>
                <pt idx="634">
                  <v>9660.1</v>
                </pt>
                <pt idx="635">
                  <v>9733.299999999999</v>
                </pt>
                <pt idx="636">
                  <v>9785.700000000001</v>
                </pt>
                <pt idx="637">
                  <v>9830.6</v>
                </pt>
                <pt idx="638">
                  <v>9884.6</v>
                </pt>
                <pt idx="639">
                  <v>9928.4</v>
                </pt>
                <pt idx="640">
                  <v>9999.299999999999</v>
                </pt>
                <pt idx="641">
                  <v>10051.8</v>
                </pt>
                <pt idx="642">
                  <v>10121.3</v>
                </pt>
                <pt idx="643">
                  <v>10200.8</v>
                </pt>
                <pt idx="644">
                  <v>10267.3</v>
                </pt>
                <pt idx="645">
                  <v>10337.6</v>
                </pt>
                <pt idx="646">
                  <v>10459.7</v>
                </pt>
                <pt idx="647">
                  <v>10479.5</v>
                </pt>
                <pt idx="648">
                  <v>10482</v>
                </pt>
                <pt idx="649">
                  <v>10550</v>
                </pt>
                <pt idx="650">
                  <v>10585.9</v>
                </pt>
                <pt idx="651">
                  <v>10628.2</v>
                </pt>
                <pt idx="652">
                  <v>10684.9</v>
                </pt>
                <pt idx="653">
                  <v>10730.8</v>
                </pt>
                <pt idx="654">
                  <v>10790.2</v>
                </pt>
                <pt idx="655">
                  <v>10841.3</v>
                </pt>
                <pt idx="656">
                  <v>10956.7</v>
                </pt>
                <pt idx="657">
                  <v>10969</v>
                </pt>
                <pt idx="658">
                  <v>11028.8</v>
                </pt>
                <pt idx="659">
                  <v>11078.9</v>
                </pt>
                <pt idx="660">
                  <v>11161</v>
                </pt>
                <pt idx="661">
                  <v>11200.2</v>
                </pt>
                <pt idx="662">
                  <v>11256.9</v>
                </pt>
                <pt idx="663">
                  <v>11326.3</v>
                </pt>
                <pt idx="664">
                  <v>11380.7</v>
                </pt>
                <pt idx="665">
                  <v>11439.9</v>
                </pt>
                <pt idx="666">
                  <v>11469.4</v>
                </pt>
                <pt idx="667">
                  <v>11502.8</v>
                </pt>
                <pt idx="668">
                  <v>11563.4</v>
                </pt>
                <pt idx="669">
                  <v>11604.7</v>
                </pt>
                <pt idx="670">
                  <v>11681.5</v>
                </pt>
                <pt idx="671">
                  <v>11745.2</v>
                </pt>
                <pt idx="672">
                  <v>11863.9</v>
                </pt>
                <pt idx="673">
                  <v>11879.6</v>
                </pt>
                <pt idx="674">
                  <v>11927.4</v>
                </pt>
                <pt idx="675">
                  <v>11960.3</v>
                </pt>
                <pt idx="676">
                  <v>12005.8</v>
                </pt>
                <pt idx="677">
                  <v>12058.4</v>
                </pt>
                <pt idx="678">
                  <v>12109.5</v>
                </pt>
                <pt idx="679">
                  <v>12164.5</v>
                </pt>
                <pt idx="680">
                  <v>12196.8</v>
                </pt>
                <pt idx="681">
                  <v>12286</v>
                </pt>
                <pt idx="682">
                  <v>12344</v>
                </pt>
                <pt idx="683">
                  <v>12470</v>
                </pt>
                <pt idx="684">
                  <v>12545.6</v>
                </pt>
                <pt idx="685">
                  <v>12609.7</v>
                </pt>
                <pt idx="686">
                  <v>12698.4</v>
                </pt>
                <pt idx="687">
                  <v>12765.6</v>
                </pt>
                <pt idx="688">
                  <v>12831.9</v>
                </pt>
                <pt idx="689">
                  <v>12892</v>
                </pt>
                <pt idx="690">
                  <v>12978.2</v>
                </pt>
                <pt idx="691">
                  <v>13037.9</v>
                </pt>
                <pt idx="692">
                  <v>13105.4</v>
                </pt>
                <pt idx="693">
                  <v>13176.5</v>
                </pt>
                <pt idx="694">
                  <v>13209.6</v>
                </pt>
                <pt idx="695">
                  <v>13282.7</v>
                </pt>
                <pt idx="696">
                  <v>13351.4</v>
                </pt>
                <pt idx="697">
                  <v>13420.6</v>
                </pt>
                <pt idx="698">
                  <v>13482.9</v>
                </pt>
                <pt idx="699">
                  <v>13534.8</v>
                </pt>
                <pt idx="700">
                  <v>13558.9</v>
                </pt>
                <pt idx="701">
                  <v>13621</v>
                </pt>
                <pt idx="702">
                  <v>13679.6</v>
                </pt>
                <pt idx="703">
                  <v>13722.1</v>
                </pt>
                <pt idx="704">
                  <v>13777.4</v>
                </pt>
                <pt idx="705">
                  <v>13804.1</v>
                </pt>
                <pt idx="706">
                  <v>13852.3</v>
                </pt>
                <pt idx="707">
                  <v>13868.2</v>
                </pt>
                <pt idx="708">
                  <v>13910.2</v>
                </pt>
                <pt idx="709">
                  <v>13965.5</v>
                </pt>
                <pt idx="710">
                  <v>13987.7</v>
                </pt>
                <pt idx="711">
                  <v>14041.2</v>
                </pt>
                <pt idx="712">
                  <v>14102.6</v>
                </pt>
                <pt idx="713">
                  <v>14137</v>
                </pt>
                <pt idx="714">
                  <v>14187.4</v>
                </pt>
                <pt idx="715">
                  <v>14214.6</v>
                </pt>
                <pt idx="716">
                  <v>14228.5</v>
                </pt>
                <pt idx="717">
                  <v>14241.6</v>
                </pt>
                <pt idx="718">
                  <v>14358.8</v>
                </pt>
                <pt idx="719">
                  <v>14430.8</v>
                </pt>
                <pt idx="720">
                  <v>14472.3</v>
                </pt>
                <pt idx="721">
                  <v>14510.7</v>
                </pt>
                <pt idx="722">
                  <v>14541</v>
                </pt>
                <pt idx="723">
                  <v>14632.5</v>
                </pt>
                <pt idx="724">
                  <v>14754.8</v>
                </pt>
                <pt idx="725">
                  <v>14833.8</v>
                </pt>
                <pt idx="726">
                  <v>14919.8</v>
                </pt>
                <pt idx="727">
                  <v>15004.8</v>
                </pt>
                <pt idx="728">
                  <v>15144.2</v>
                </pt>
                <pt idx="729">
                  <v>15249.9</v>
                </pt>
                <pt idx="730">
                  <v>15319.1</v>
                </pt>
                <pt idx="731">
                  <v>15401.8</v>
                </pt>
                <pt idx="732">
                  <v>15458.7</v>
                </pt>
                <pt idx="733">
                  <v>15988.6</v>
                </pt>
                <pt idx="734">
                  <v>17002.5</v>
                </pt>
                <pt idx="735">
                  <v>17835.2</v>
                </pt>
                <pt idx="736">
                  <v>18129.3</v>
                </pt>
                <pt idx="737">
                  <v>18277.8</v>
                </pt>
                <pt idx="738">
                  <v>18357.4</v>
                </pt>
                <pt idx="739">
                  <v>18575.2</v>
                </pt>
                <pt idx="740">
                  <v>18735.7</v>
                </pt>
                <pt idx="741">
                  <v>18969.8</v>
                </pt>
                <pt idx="742">
                  <v>19124.8</v>
                </pt>
                <pt idx="743">
                  <v>19372.5</v>
                </pt>
                <pt idx="744">
                  <v>19615.2</v>
                </pt>
                <pt idx="745">
                  <v>19853.8</v>
                </pt>
                <pt idx="746">
                  <v>20110.7</v>
                </pt>
                <pt idx="747">
                  <v>20418.7</v>
                </pt>
                <pt idx="748">
                  <v>20460.1</v>
                </pt>
                <pt idx="749">
                  <v>20615.3</v>
                </pt>
                <pt idx="750">
                  <v>20835.3</v>
                </pt>
                <pt idx="751">
                  <v>20965.8</v>
                </pt>
                <pt idx="752">
                  <v>21143.9</v>
                </pt>
                <pt idx="753">
                  <v>21349.3</v>
                </pt>
                <pt idx="754">
                  <v>21489.9</v>
                </pt>
                <pt idx="755">
                  <v>21649.6</v>
                </pt>
                <pt idx="756">
                  <v>21708.4</v>
                </pt>
                <pt idx="757">
                  <v>21739.7</v>
                </pt>
                <pt idx="758">
                  <v>21644.2</v>
                </pt>
                <pt idx="759">
                  <v>21649.2</v>
                </pt>
                <pt idx="760">
                  <v>21607.6</v>
                </pt>
                <pt idx="761">
                  <v>21636.1</v>
                </pt>
                <pt idx="762">
                  <v>21632.3</v>
                </pt>
                <pt idx="763">
                  <v>21503.5</v>
                </pt>
                <pt idx="764">
                  <v>21415.2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'!$A$7:$A$782</f>
              <numCache>
                <formatCode>m/d/yyyy</formatCode>
                <ptCount val="776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</numCache>
            </numRef>
          </cat>
          <val>
            <numRef>
              <f>'US M2 '!$D$7:$D$782</f>
              <numCache>
                <formatCode>0.00%</formatCode>
                <ptCount val="776"/>
                <pt idx="0">
                  <v>0.04704201702925448</v>
                </pt>
                <pt idx="1">
                  <v>0.06439082129676055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0.09381562257093345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0.07272243002163625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0.1669848254439015</v>
                </pt>
                <pt idx="744">
                  <v>0.1611407125166298</v>
                </pt>
                <pt idx="745">
                  <v>0.156141056852606</v>
                </pt>
                <pt idx="746">
                  <v>0.1668164366050795</v>
                </pt>
                <pt idx="747">
                  <v>0.2000816916281951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0.135850535371268</v>
                </pt>
                <pt idx="751">
                  <v>0.07780493075960515</v>
                </pt>
                <pt idx="752">
                  <v>0.1068375655399509</v>
                </pt>
                <pt idx="753">
                  <v>0.1230071619167792</v>
                </pt>
                <pt idx="754">
                  <v>0.08195464389005624</v>
                </pt>
                <pt idx="755">
                  <v>0.09291348737508431</v>
                </pt>
                <pt idx="756">
                  <v>0.03308311496107152</v>
                </pt>
                <pt idx="757">
                  <v>0.01743992699381192</v>
                </pt>
                <pt idx="758">
                  <v>-0.05145945465063062</v>
                </pt>
                <pt idx="759">
                  <v>0.002775630036032206</v>
                </pt>
                <pt idx="760">
                  <v>-0.02281644779628256</v>
                </pt>
                <pt idx="761">
                  <v>0.01594309143410344</v>
                </pt>
                <pt idx="762">
                  <v>-0.002105554012678756</v>
                </pt>
                <pt idx="763">
                  <v>-0.06915477947326021</v>
                </pt>
                <pt idx="764">
                  <v>-0.04817791553746353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Country!$A$474:$A$752</f>
              <numCache>
                <formatCode>m/d/yyyy</formatCode>
                <ptCount val="279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  <pt idx="273">
                  <v>44835</v>
                </pt>
              </numCache>
            </numRef>
          </cat>
          <val>
            <numRef>
              <f>Country!$B$474:$B$752</f>
              <numCache>
                <formatCode>0.00</formatCode>
                <ptCount val="279"/>
                <pt idx="0">
                  <v>38.73935</v>
                </pt>
                <pt idx="1">
                  <v>38.84894</v>
                </pt>
                <pt idx="2">
                  <v>39.10464</v>
                </pt>
                <pt idx="3">
                  <v>39.56873</v>
                </pt>
                <pt idx="4">
                  <v>39.46745</v>
                </pt>
                <pt idx="5">
                  <v>39.61605</v>
                </pt>
                <pt idx="6">
                  <v>39.76217</v>
                </pt>
                <pt idx="7">
                  <v>39.99546</v>
                </pt>
                <pt idx="8">
                  <v>40.29185</v>
                </pt>
                <pt idx="9">
                  <v>40.42468</v>
                </pt>
                <pt idx="10">
                  <v>40.51683</v>
                </pt>
                <pt idx="11">
                  <v>40.88794</v>
                </pt>
                <pt idx="12">
                  <v>41.30886</v>
                </pt>
                <pt idx="13">
                  <v>41.62766</v>
                </pt>
                <pt idx="14">
                  <v>42.10835</v>
                </pt>
                <pt idx="15">
                  <v>42.63885</v>
                </pt>
                <pt idx="16">
                  <v>42.61478</v>
                </pt>
                <pt idx="17">
                  <v>42.95102</v>
                </pt>
                <pt idx="18">
                  <v>43.19925</v>
                </pt>
                <pt idx="19">
                  <v>43.47986</v>
                </pt>
                <pt idx="20">
                  <v>44.40306</v>
                </pt>
                <pt idx="21">
                  <v>44.30924</v>
                </pt>
                <pt idx="22">
                  <v>44.67205</v>
                </pt>
                <pt idx="23">
                  <v>45.11206</v>
                </pt>
                <pt idx="24">
                  <v>45.28059</v>
                </pt>
                <pt idx="25">
                  <v>45.52384</v>
                </pt>
                <pt idx="26">
                  <v>45.62181</v>
                </pt>
                <pt idx="27">
                  <v>45.62347</v>
                </pt>
                <pt idx="28">
                  <v>45.84015</v>
                </pt>
                <pt idx="29">
                  <v>46.04771</v>
                </pt>
                <pt idx="30">
                  <v>46.40138</v>
                </pt>
                <pt idx="31">
                  <v>46.75422</v>
                </pt>
                <pt idx="32">
                  <v>46.95679</v>
                </pt>
                <pt idx="33">
                  <v>47.3254</v>
                </pt>
                <pt idx="34">
                  <v>47.74217</v>
                </pt>
                <pt idx="35">
                  <v>47.91983</v>
                </pt>
                <pt idx="36">
                  <v>48.19048</v>
                </pt>
                <pt idx="37">
                  <v>48.49019</v>
                </pt>
                <pt idx="38">
                  <v>48.66204</v>
                </pt>
                <pt idx="39">
                  <v>48.97254</v>
                </pt>
                <pt idx="40">
                  <v>49.47482</v>
                </pt>
                <pt idx="41">
                  <v>49.77951</v>
                </pt>
                <pt idx="42">
                  <v>50.16722</v>
                </pt>
                <pt idx="43">
                  <v>50.64957</v>
                </pt>
                <pt idx="44">
                  <v>50.41711</v>
                </pt>
                <pt idx="45">
                  <v>50.34073</v>
                </pt>
                <pt idx="46">
                  <v>50.38639</v>
                </pt>
                <pt idx="47">
                  <v>50.37145</v>
                </pt>
                <pt idx="48">
                  <v>50.43953</v>
                </pt>
                <pt idx="49">
                  <v>50.76165</v>
                </pt>
                <pt idx="50">
                  <v>51.05886</v>
                </pt>
                <pt idx="51">
                  <v>51.40008</v>
                </pt>
                <pt idx="52">
                  <v>52.03852</v>
                </pt>
                <pt idx="53">
                  <v>52.05844</v>
                </pt>
                <pt idx="54">
                  <v>52.17301</v>
                </pt>
                <pt idx="55">
                  <v>52.39136</v>
                </pt>
                <pt idx="56">
                  <v>52.67944</v>
                </pt>
                <pt idx="57">
                  <v>52.9119</v>
                </pt>
                <pt idx="58">
                  <v>53.1319</v>
                </pt>
                <pt idx="59">
                  <v>53.2855</v>
                </pt>
                <pt idx="60">
                  <v>53.33697</v>
                </pt>
                <pt idx="61">
                  <v>53.40588</v>
                </pt>
                <pt idx="62">
                  <v>53.48143</v>
                </pt>
                <pt idx="63">
                  <v>53.59766</v>
                </pt>
                <pt idx="64">
                  <v>53.74211</v>
                </pt>
                <pt idx="65">
                  <v>54.01193</v>
                </pt>
                <pt idx="66">
                  <v>54.27428</v>
                </pt>
                <pt idx="67">
                  <v>54.54659</v>
                </pt>
                <pt idx="68">
                  <v>54.82969</v>
                </pt>
                <pt idx="69">
                  <v>55.11445</v>
                </pt>
                <pt idx="70">
                  <v>55.25061</v>
                </pt>
                <pt idx="71">
                  <v>55.47393</v>
                </pt>
                <pt idx="72">
                  <v>55.82594</v>
                </pt>
                <pt idx="73">
                  <v>56.02768</v>
                </pt>
                <pt idx="74">
                  <v>56.1464</v>
                </pt>
                <pt idx="75">
                  <v>56.45524</v>
                </pt>
                <pt idx="76">
                  <v>56.5117</v>
                </pt>
                <pt idx="77">
                  <v>56.82718</v>
                </pt>
                <pt idx="78">
                  <v>57.17089</v>
                </pt>
                <pt idx="79">
                  <v>57.42659</v>
                </pt>
                <pt idx="80">
                  <v>57.65158</v>
                </pt>
                <pt idx="81">
                  <v>58.05921</v>
                </pt>
                <pt idx="82">
                  <v>58.35062</v>
                </pt>
                <pt idx="83">
                  <v>58.70927</v>
                </pt>
                <pt idx="84">
                  <v>59.02475</v>
                </pt>
                <pt idx="85">
                  <v>59.15509</v>
                </pt>
                <pt idx="86">
                  <v>59.4357</v>
                </pt>
                <pt idx="87">
                  <v>60.03512</v>
                </pt>
                <pt idx="88">
                  <v>60.15218</v>
                </pt>
                <pt idx="89">
                  <v>60.42781</v>
                </pt>
                <pt idx="90">
                  <v>60.68019</v>
                </pt>
                <pt idx="91">
                  <v>61.31199</v>
                </pt>
                <pt idx="92">
                  <v>61.46225</v>
                </pt>
                <pt idx="93">
                  <v>61.57848</v>
                </pt>
                <pt idx="94">
                  <v>61.78271</v>
                </pt>
                <pt idx="95">
                  <v>62.03012</v>
                </pt>
                <pt idx="96">
                  <v>62.31156</v>
                </pt>
                <pt idx="97">
                  <v>63.01807</v>
                </pt>
                <pt idx="98">
                  <v>63.56269</v>
                </pt>
                <pt idx="99">
                  <v>63.91968</v>
                </pt>
                <pt idx="100">
                  <v>64.0193</v>
                </pt>
                <pt idx="101">
                  <v>64.16625000000001</v>
                </pt>
                <pt idx="102">
                  <v>64.5523</v>
                </pt>
                <pt idx="103">
                  <v>64.67516999999999</v>
                </pt>
                <pt idx="104">
                  <v>65.25051000000001</v>
                </pt>
                <pt idx="105">
                  <v>66.12888</v>
                </pt>
                <pt idx="106">
                  <v>66.54813</v>
                </pt>
                <pt idx="107">
                  <v>68.01179999999999</v>
                </pt>
                <pt idx="108">
                  <v>68.68925</v>
                </pt>
                <pt idx="109">
                  <v>68.93333</v>
                </pt>
                <pt idx="110">
                  <v>69.48293</v>
                </pt>
                <pt idx="111">
                  <v>69.51282</v>
                </pt>
                <pt idx="112">
                  <v>69.99267999999999</v>
                </pt>
                <pt idx="113">
                  <v>70.07404</v>
                </pt>
                <pt idx="114">
                  <v>70.11223</v>
                </pt>
                <pt idx="115">
                  <v>70.1114</v>
                </pt>
                <pt idx="116">
                  <v>70.10476</v>
                </pt>
                <pt idx="117">
                  <v>70.32809</v>
                </pt>
                <pt idx="118">
                  <v>70.57465999999999</v>
                </pt>
                <pt idx="119">
                  <v>70.53480999999999</v>
                </pt>
                <pt idx="120">
                  <v>70.22016000000001</v>
                </pt>
                <pt idx="121">
                  <v>70.62945999999999</v>
                </pt>
                <pt idx="122">
                  <v>70.60538</v>
                </pt>
                <pt idx="123">
                  <v>70.86024999999999</v>
                </pt>
                <pt idx="124">
                  <v>71.31438</v>
                </pt>
                <pt idx="125">
                  <v>71.47295</v>
                </pt>
                <pt idx="126">
                  <v>71.55431</v>
                </pt>
                <pt idx="127">
                  <v>71.97190999999999</v>
                </pt>
                <pt idx="128">
                  <v>72.22927</v>
                </pt>
                <pt idx="129">
                  <v>72.63857</v>
                </pt>
                <pt idx="130">
                  <v>72.80959</v>
                </pt>
                <pt idx="131">
                  <v>73.07359</v>
                </pt>
                <pt idx="132">
                  <v>73.25042999999999</v>
                </pt>
                <pt idx="133">
                  <v>73.78010999999999</v>
                </pt>
                <pt idx="134">
                  <v>74.25001</v>
                </pt>
                <pt idx="135">
                  <v>74.75976</v>
                </pt>
                <pt idx="136">
                  <v>75.34589</v>
                </pt>
                <pt idx="137">
                  <v>75.97269</v>
                </pt>
                <pt idx="138">
                  <v>77.34753000000001</v>
                </pt>
                <pt idx="139">
                  <v>78.93324</v>
                </pt>
                <pt idx="140">
                  <v>79.10509</v>
                </pt>
                <pt idx="141">
                  <v>79.3857</v>
                </pt>
                <pt idx="142">
                  <v>79.80495000000001</v>
                </pt>
                <pt idx="143">
                  <v>80.19929999999999</v>
                </pt>
                <pt idx="144">
                  <v>80.80701999999999</v>
                </pt>
                <pt idx="145">
                  <v>81.24205000000001</v>
                </pt>
                <pt idx="146">
                  <v>81.61481000000001</v>
                </pt>
                <pt idx="147">
                  <v>82.06313</v>
                </pt>
                <pt idx="148">
                  <v>82.42677</v>
                </pt>
                <pt idx="149">
                  <v>83.01539</v>
                </pt>
                <pt idx="150">
                  <v>83.45125</v>
                </pt>
                <pt idx="151">
                  <v>84.02824</v>
                </pt>
                <pt idx="152">
                  <v>84.68826</v>
                </pt>
                <pt idx="153">
                  <v>85.24036</v>
                </pt>
                <pt idx="154">
                  <v>85.82398999999999</v>
                </pt>
                <pt idx="155">
                  <v>86.83768000000001</v>
                </pt>
                <pt idx="156">
                  <v>87.00206</v>
                </pt>
                <pt idx="157">
                  <v>87.02282</v>
                </pt>
                <pt idx="158">
                  <v>87.58736</v>
                </pt>
                <pt idx="159">
                  <v>87.88540999999999</v>
                </pt>
                <pt idx="160">
                  <v>88.23659000000001</v>
                </pt>
                <pt idx="161">
                  <v>88.70732</v>
                </pt>
                <pt idx="162">
                  <v>89.08839</v>
                </pt>
                <pt idx="163">
                  <v>89.58154</v>
                </pt>
                <pt idx="164">
                  <v>90.00577</v>
                </pt>
                <pt idx="165">
                  <v>90.96384</v>
                </pt>
                <pt idx="166">
                  <v>91.06595</v>
                </pt>
                <pt idx="167">
                  <v>91.56242</v>
                </pt>
                <pt idx="168">
                  <v>91.97836</v>
                </pt>
                <pt idx="169">
                  <v>92.65996</v>
                </pt>
                <pt idx="170">
                  <v>92.9854</v>
                </pt>
                <pt idx="171">
                  <v>93.45613</v>
                </pt>
                <pt idx="172">
                  <v>94.03230000000001</v>
                </pt>
                <pt idx="173">
                  <v>94.48393</v>
                </pt>
                <pt idx="174">
                  <v>94.97542</v>
                </pt>
                <pt idx="175">
                  <v>95.22033</v>
                </pt>
                <pt idx="176">
                  <v>95.49762</v>
                </pt>
                <pt idx="177">
                  <v>96.00073</v>
                </pt>
                <pt idx="178">
                  <v>96.34361</v>
                </pt>
                <pt idx="179">
                  <v>96.98121</v>
                </pt>
                <pt idx="180">
                  <v>97.51006</v>
                </pt>
                <pt idx="181">
                  <v>98.49551</v>
                </pt>
                <pt idx="182">
                  <v>98.62586</v>
                </pt>
                <pt idx="183">
                  <v>99.02271</v>
                </pt>
                <pt idx="184">
                  <v>99.29585</v>
                </pt>
                <pt idx="185">
                  <v>99.67359</v>
                </pt>
                <pt idx="186">
                  <v>100.1103</v>
                </pt>
                <pt idx="187">
                  <v>100.5345</v>
                </pt>
                <pt idx="188">
                  <v>100.9911</v>
                </pt>
                <pt idx="189">
                  <v>101.2593</v>
                </pt>
                <pt idx="190">
                  <v>101.9998</v>
                </pt>
                <pt idx="191">
                  <v>102.4814</v>
                </pt>
                <pt idx="192">
                  <v>103.5274</v>
                </pt>
                <pt idx="193">
                  <v>104.1551</v>
                </pt>
                <pt idx="194">
                  <v>104.6872</v>
                </pt>
                <pt idx="195">
                  <v>105.4236</v>
                </pt>
                <pt idx="196">
                  <v>105.9815</v>
                </pt>
                <pt idx="197">
                  <v>106.532</v>
                </pt>
                <pt idx="198">
                  <v>107.0309</v>
                </pt>
                <pt idx="199">
                  <v>107.7466</v>
                </pt>
                <pt idx="200">
                  <v>108.2422</v>
                </pt>
                <pt idx="201">
                  <v>108.8026</v>
                </pt>
                <pt idx="202">
                  <v>109.3929</v>
                </pt>
                <pt idx="203">
                  <v>109.6677</v>
                </pt>
                <pt idx="204">
                  <v>110.2746</v>
                </pt>
                <pt idx="205">
                  <v>110.8449</v>
                </pt>
                <pt idx="206">
                  <v>111.4194</v>
                </pt>
                <pt idx="207">
                  <v>111.9366</v>
                </pt>
                <pt idx="208">
                  <v>112.3675</v>
                </pt>
                <pt idx="209">
                  <v>112.5676</v>
                </pt>
                <pt idx="210">
                  <v>113.0832</v>
                </pt>
                <pt idx="211">
                  <v>113.5697</v>
                </pt>
                <pt idx="212">
                  <v>113.9225</v>
                </pt>
                <pt idx="213">
                  <v>114.3816</v>
                </pt>
                <pt idx="214">
                  <v>114.6033</v>
                </pt>
                <pt idx="215">
                  <v>115.0034</v>
                </pt>
                <pt idx="216">
                  <v>115.1355</v>
                </pt>
                <pt idx="217">
                  <v>115.4841</v>
                </pt>
                <pt idx="218">
                  <v>115.9433</v>
                </pt>
                <pt idx="219">
                  <v>116.1276</v>
                </pt>
                <pt idx="220">
                  <v>116.5717</v>
                </pt>
                <pt idx="221">
                  <v>117.0815</v>
                </pt>
                <pt idx="222">
                  <v>117.3671</v>
                </pt>
                <pt idx="223">
                  <v>117.7855</v>
                </pt>
                <pt idx="224">
                  <v>118.0113</v>
                </pt>
                <pt idx="225">
                  <v>118.1267</v>
                </pt>
                <pt idx="226">
                  <v>118.2355</v>
                </pt>
                <pt idx="227">
                  <v>119.2085</v>
                </pt>
                <pt idx="228">
                  <v>119.8062</v>
                </pt>
                <pt idx="229">
                  <v>120.1508</v>
                </pt>
                <pt idx="230">
                  <v>120.4696</v>
                </pt>
                <pt idx="231">
                  <v>120.7211</v>
                </pt>
                <pt idx="232">
                  <v>121.4808</v>
                </pt>
                <pt idx="233">
                  <v>122.4961</v>
                </pt>
                <pt idx="234">
                  <v>123.152</v>
                </pt>
                <pt idx="235">
                  <v>123.866</v>
                </pt>
                <pt idx="236">
                  <v>124.5716</v>
                </pt>
                <pt idx="237">
                  <v>125.729</v>
                </pt>
                <pt idx="238">
                  <v>126.6065</v>
                </pt>
                <pt idx="239">
                  <v>127.181</v>
                </pt>
                <pt idx="240">
                  <v>127.8676</v>
                </pt>
                <pt idx="241">
                  <v>128.34</v>
                </pt>
                <pt idx="242">
                  <v>132.7393</v>
                </pt>
                <pt idx="243">
                  <v>141.1568</v>
                </pt>
                <pt idx="244">
                  <v>148.07</v>
                </pt>
                <pt idx="245">
                  <v>150.5116</v>
                </pt>
                <pt idx="246">
                  <v>151.7445</v>
                </pt>
                <pt idx="247">
                  <v>152.4053</v>
                </pt>
                <pt idx="248">
                  <v>154.2135</v>
                </pt>
                <pt idx="249">
                  <v>155.546</v>
                </pt>
                <pt idx="250">
                  <v>157.4895</v>
                </pt>
                <pt idx="251">
                  <v>158.7764</v>
                </pt>
                <pt idx="252">
                  <v>160.8328</v>
                </pt>
                <pt idx="253">
                  <v>162.8477</v>
                </pt>
                <pt idx="254">
                  <v>164.8286</v>
                </pt>
                <pt idx="255">
                  <v>166.9614</v>
                </pt>
                <pt idx="256">
                  <v>169.5185</v>
                </pt>
                <pt idx="257">
                  <v>169.8622</v>
                </pt>
                <pt idx="258">
                  <v>171.1507</v>
                </pt>
                <pt idx="259">
                  <v>172.9772</v>
                </pt>
                <pt idx="260">
                  <v>174.0606</v>
                </pt>
                <pt idx="261">
                  <v>175.5392</v>
                </pt>
                <pt idx="262">
                  <v>177.2444</v>
                </pt>
                <pt idx="263">
                  <v>178.4117</v>
                </pt>
                <pt idx="264">
                  <v>179.7376</v>
                </pt>
                <pt idx="265">
                  <v>180.2257</v>
                </pt>
                <pt idx="266">
                  <v>180.4856</v>
                </pt>
                <pt idx="267">
                  <v>179.6927</v>
                </pt>
                <pt idx="268">
                  <v>179.7343</v>
                </pt>
                <pt idx="269">
                  <v>179.3889</v>
                </pt>
                <pt idx="270">
                  <v>179.6255</v>
                </pt>
                <pt idx="271">
                  <v>179.5939</v>
                </pt>
                <pt idx="272">
                  <v>178.5246</v>
                </pt>
                <pt idx="273">
                  <v>177.7915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Country!$A$474:$A$751</f>
              <numCache>
                <formatCode>m/d/yyyy</formatCode>
                <ptCount val="27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  <pt idx="273">
                  <v>44835</v>
                </pt>
              </numCache>
            </numRef>
          </cat>
          <val>
            <numRef>
              <f>Country!$D$474:$D$751</f>
              <numCache>
                <formatCode>0.0%</formatCode>
                <ptCount val="278"/>
                <pt idx="0">
                  <v>0.07545264394510021</v>
                </pt>
                <pt idx="1">
                  <v>0.03448006971267392</v>
                </pt>
                <pt idx="2">
                  <v>0.08190573565026438</v>
                </pt>
                <pt idx="3">
                  <v>0.1520884720759033</v>
                </pt>
                <pt idx="4">
                  <v>-0.03028642988864338</v>
                </pt>
                <pt idx="5">
                  <v>0.04612900673683917</v>
                </pt>
                <pt idx="6">
                  <v>0.04516986561501168</v>
                </pt>
                <pt idx="7">
                  <v>0.07272257443694952</v>
                </pt>
                <pt idx="8">
                  <v>0.09264264933054189</v>
                </pt>
                <pt idx="9">
                  <v>0.04028560064407505</v>
                </pt>
                <pt idx="10">
                  <v>0.02770015423477967</v>
                </pt>
                <pt idx="11">
                  <v>0.1156224812891615</v>
                </pt>
                <pt idx="12">
                  <v>0.130773836206143</v>
                </pt>
                <pt idx="13">
                  <v>0.09664349236337011</v>
                </pt>
                <pt idx="14">
                  <v>0.1477167084686761</v>
                </pt>
                <pt idx="15">
                  <v>0.1621096467879515</v>
                </pt>
                <pt idx="16">
                  <v>-0.006753111202559059</v>
                </pt>
                <pt idx="17">
                  <v>0.098901520145394</v>
                </pt>
                <pt idx="18">
                  <v>0.07159998805546941</v>
                </pt>
                <pt idx="19">
                  <v>0.08079458844428888</v>
                </pt>
                <pt idx="20">
                  <v>0.2867588319186953</v>
                </pt>
                <pt idx="21">
                  <v>-0.02506242300557826</v>
                </pt>
                <pt idx="22">
                  <v>0.1028056447819652</v>
                </pt>
                <pt idx="23">
                  <v>0.1248155666050841</v>
                </pt>
                <pt idx="24">
                  <v>0.04576237807190298</v>
                </pt>
                <pt idx="25">
                  <v>0.06640392582981081</v>
                </pt>
                <pt idx="26">
                  <v>0.02613258381901384</v>
                </pt>
                <pt idx="27">
                  <v>0.0004367206593780537</v>
                </pt>
                <pt idx="28">
                  <v>0.0585042330674046</v>
                </pt>
                <pt idx="29">
                  <v>0.05570866212152925</v>
                </pt>
                <pt idx="30">
                  <v>0.09616092499707141</v>
                </pt>
                <pt idx="31">
                  <v>0.09516367442081797</v>
                </pt>
                <pt idx="32">
                  <v>0.05324889963436741</v>
                </pt>
                <pt idx="33">
                  <v>0.0983751873393679</v>
                </pt>
                <pt idx="34">
                  <v>0.1109495521867887</v>
                </pt>
                <pt idx="35">
                  <v>0.04558023652117416</v>
                </pt>
                <pt idx="36">
                  <v>0.06992121983966038</v>
                </pt>
                <pt idx="37">
                  <v>0.07723785052081533</v>
                </pt>
                <pt idx="38">
                  <v>0.04336702428987937</v>
                </pt>
                <pt idx="39">
                  <v>0.07931402142594846</v>
                </pt>
                <pt idx="40">
                  <v>0.1302619782925134</v>
                </pt>
                <pt idx="41">
                  <v>0.07645711930776544</v>
                </pt>
                <pt idx="42">
                  <v>0.09757199330335431</v>
                </pt>
                <pt idx="43">
                  <v>0.1216793567528838</v>
                </pt>
                <pt idx="44">
                  <v>-0.05370571346547326</v>
                </pt>
                <pt idx="45">
                  <v>-0.01802882773134651</v>
                </pt>
                <pt idx="46">
                  <v>0.01093868994693703</v>
                </pt>
                <pt idx="47">
                  <v>-0.003552306870847177</v>
                </pt>
                <pt idx="48">
                  <v>0.01633981903180204</v>
                </pt>
                <pt idx="49">
                  <v>0.07938502981186257</v>
                </pt>
                <pt idx="50">
                  <v>0.07256742817663486</v>
                </pt>
                <pt idx="51">
                  <v>0.08320877905821522</v>
                </pt>
                <pt idx="52">
                  <v>0.1596680685580425</v>
                </pt>
                <pt idx="53">
                  <v>0.004603203719054205</v>
                </pt>
                <pt idx="54">
                  <v>0.02673157841804308</v>
                </pt>
                <pt idx="55">
                  <v>0.05139365067706758</v>
                </pt>
                <pt idx="56">
                  <v>0.06801592593621297</v>
                </pt>
                <pt idx="57">
                  <v>0.05425698217464014</v>
                </pt>
                <pt idx="58">
                  <v>0.05105121267439161</v>
                </pt>
                <pt idx="59">
                  <v>0.03524796282289766</v>
                </pt>
                <pt idx="60">
                  <v>0.01165292373065041</v>
                </pt>
                <pt idx="61">
                  <v>0.01561433572609205</v>
                </pt>
                <pt idx="62">
                  <v>0.01710836295041007</v>
                </pt>
                <pt idx="63">
                  <v>0.02639332887305934</v>
                </pt>
                <pt idx="64">
                  <v>0.03282468523220072</v>
                </pt>
                <pt idx="65">
                  <v>0.06193953975943978</v>
                </pt>
                <pt idx="66">
                  <v>0.05986974842217996</v>
                </pt>
                <pt idx="67">
                  <v>0.06189705979728877</v>
                </pt>
                <pt idx="68">
                  <v>0.06408964513486448</v>
                </pt>
                <pt idx="69">
                  <v>0.0641338267611915</v>
                </pt>
                <pt idx="70">
                  <v>0.03005210254709834</v>
                </pt>
                <pt idx="71">
                  <v>0.04959628026894314</v>
                </pt>
                <pt idx="72">
                  <v>0.07886057713838435</v>
                </pt>
                <pt idx="73">
                  <v>0.04423715219957924</v>
                </pt>
                <pt idx="74">
                  <v>0.02572587205662669</v>
                </pt>
                <pt idx="75">
                  <v>0.06804145975469833</v>
                </pt>
                <pt idx="76">
                  <v>0.0120672434565976</v>
                </pt>
                <pt idx="77">
                  <v>0.06908637914104054</v>
                </pt>
                <pt idx="78">
                  <v>0.07504384235216244</v>
                </pt>
                <pt idx="79">
                  <v>0.05501080085189392</v>
                </pt>
                <pt idx="80">
                  <v>0.04804088703333353</v>
                </pt>
                <pt idx="81">
                  <v>0.08822549721367912</v>
                </pt>
                <pt idx="82">
                  <v>0.06192105920609703</v>
                </pt>
                <pt idx="83">
                  <v>0.07630278566808024</v>
                </pt>
                <pt idx="84">
                  <v>0.06642351196228691</v>
                </pt>
                <pt idx="85">
                  <v>0.02682292862795177</v>
                </pt>
                <pt idx="86">
                  <v>0.05843245933014662</v>
                </pt>
                <pt idx="87">
                  <v>0.1279660110250791</v>
                </pt>
                <pt idx="88">
                  <v>0.02365087091423934</v>
                </pt>
                <pt idx="89">
                  <v>0.05639370169742763</v>
                </pt>
                <pt idx="90">
                  <v>0.05128610295699709</v>
                </pt>
                <pt idx="91">
                  <v>0.132352812581751</v>
                </pt>
                <pt idx="92">
                  <v>0.02980859155352622</v>
                </pt>
                <pt idx="93">
                  <v>0.02293047596689091</v>
                </pt>
                <pt idx="94">
                  <v>0.04053303556328003</v>
                </pt>
                <pt idx="95">
                  <v>0.04912686394743382</v>
                </pt>
                <pt idx="96">
                  <v>0.05582522595137518</v>
                </pt>
                <pt idx="97">
                  <v>0.144873991332052</v>
                </pt>
                <pt idx="98">
                  <v>0.1087816810709996</v>
                </pt>
                <pt idx="99">
                  <v>0.06951747240747763</v>
                </pt>
                <pt idx="100">
                  <v>0.01886336971178593</v>
                </pt>
                <pt idx="101">
                  <v>0.0278952383290485</v>
                </pt>
                <pt idx="102">
                  <v>0.07463440679153655</v>
                </pt>
                <pt idx="103">
                  <v>0.02308165580814925</v>
                </pt>
                <pt idx="104">
                  <v>0.1121310816021979</v>
                </pt>
                <pt idx="105">
                  <v>0.1740513212299253</v>
                </pt>
                <pt idx="106">
                  <v>0.07878840136821297</v>
                </pt>
                <pt idx="107">
                  <v>0.2983176242087322</v>
                </pt>
                <pt idx="108">
                  <v>0.1262999505367512</v>
                </pt>
                <pt idx="109">
                  <v>0.04348404003217166</v>
                </pt>
                <pt idx="110">
                  <v>0.09998403205676665</v>
                </pt>
                <pt idx="111">
                  <v>0.005174362200979443</v>
                </pt>
                <pt idx="112">
                  <v>0.08605691703776541</v>
                </pt>
                <pt idx="113">
                  <v>0.01403841225482849</v>
                </pt>
                <pt idx="114">
                  <v>0.006559578700005675</v>
                </pt>
                <pt idx="115">
                  <v>-0.0001420487057814945</v>
                </pt>
                <pt idx="116">
                  <v>-0.00113588530476072</v>
                </pt>
                <pt idx="117">
                  <v>0.03890489252982987</v>
                </pt>
                <pt idx="118">
                  <v>0.0428927804031034</v>
                </pt>
                <pt idx="119">
                  <v>-0.006754799881281581</v>
                </pt>
                <pt idx="120">
                  <v>-0.05223696438690173</v>
                </pt>
                <pt idx="121">
                  <v>0.07223222125331619</v>
                </pt>
                <pt idx="122">
                  <v>-0.004083547790964426</v>
                </pt>
                <pt idx="123">
                  <v>0.04418782620211537</v>
                </pt>
                <pt idx="124">
                  <v>0.07967530368488074</v>
                </pt>
                <pt idx="125">
                  <v>0.02701115837440482</v>
                </pt>
                <pt idx="126">
                  <v>0.01374584128696799</v>
                </pt>
                <pt idx="127">
                  <v>0.07232581312622299</v>
                </pt>
                <pt idx="128">
                  <v>0.04376413212846719</v>
                </pt>
                <pt idx="129">
                  <v>0.07016002227264395</v>
                </pt>
                <pt idx="130">
                  <v>0.02862149537659731</v>
                </pt>
                <pt idx="131">
                  <v>0.04438903532185812</v>
                </pt>
                <pt idx="132">
                  <v>0.02942997986927653</v>
                </pt>
                <pt idx="133">
                  <v>0.09030860365757132</v>
                </pt>
                <pt idx="134">
                  <v>0.07916193233109325</v>
                </pt>
                <pt idx="135">
                  <v>0.08556687865201162</v>
                </pt>
                <pt idx="136">
                  <v>0.09824699736426279</v>
                </pt>
                <pt idx="137">
                  <v>0.104524212876945</v>
                </pt>
                <pt idx="138">
                  <v>0.2401303829213861</v>
                </pt>
                <pt idx="139">
                  <v>0.2757387952748886</v>
                </pt>
                <pt idx="140">
                  <v>0.02644099761805396</v>
                </pt>
                <pt idx="141">
                  <v>0.04340808030584364</v>
                </pt>
                <pt idx="142">
                  <v>0.06524772309457294</v>
                </pt>
                <pt idx="143">
                  <v>0.06093548142717631</v>
                </pt>
                <pt idx="144">
                  <v>0.09481858685358424</v>
                </pt>
                <pt idx="145">
                  <v>0.06655041358124336</v>
                </pt>
                <pt idx="146">
                  <v>0.05647008657607411</v>
                </pt>
                <pt idx="147">
                  <v>0.06794587680933839</v>
                </pt>
                <pt idx="148">
                  <v>0.0544899646778203</v>
                </pt>
                <pt idx="149">
                  <v>0.08914065349003941</v>
                </pt>
                <pt idx="150">
                  <v>0.06485581046617139</v>
                </pt>
                <pt idx="151">
                  <v>0.0861981305677213</v>
                </pt>
                <pt idx="152">
                  <v>0.09843740459323591</v>
                </pt>
                <pt idx="153">
                  <v>0.08109730085470579</v>
                </pt>
                <pt idx="154">
                  <v>0.08532826173262387</v>
                </pt>
                <pt idx="155">
                  <v>0.1513149138651317</v>
                </pt>
                <pt idx="156">
                  <v>0.02295348034154432</v>
                </pt>
                <pt idx="157">
                  <v>0.002867141317868693</v>
                </pt>
                <pt idx="158">
                  <v>0.0806856990492868</v>
                </pt>
                <pt idx="159">
                  <v>0.0416076517256585</v>
                </pt>
                <pt idx="160">
                  <v>0.04901861320510004</v>
                </pt>
                <pt idx="161">
                  <v>0.06593055712099716</v>
                </pt>
                <pt idx="162">
                  <v>0.05278532255807411</v>
                </pt>
                <pt idx="163">
                  <v>0.06848631513752301</v>
                </pt>
                <pt idx="164">
                  <v>0.05833200548013595</v>
                </pt>
                <pt idx="165">
                  <v>0.1354844934008212</v>
                </pt>
                <pt idx="166">
                  <v>0.01355388500109855</v>
                </pt>
                <pt idx="167">
                  <v>0.06741888173905397</v>
                </pt>
                <pt idx="168">
                  <v>0.0558951367012448</v>
                </pt>
                <pt idx="169">
                  <v>0.09264066599054477</v>
                </pt>
                <pt idx="170">
                  <v>0.04297011152286001</v>
                </pt>
                <pt idx="171">
                  <v>0.06246920825321167</v>
                </pt>
                <pt idx="172">
                  <v>0.07654252849826304</v>
                </pt>
                <pt idx="173">
                  <v>0.05918222266966455</v>
                </pt>
                <pt idx="174">
                  <v>0.064239276765933</v>
                </pt>
                <pt idx="175">
                  <v>0.03138666927000733</v>
                </pt>
                <pt idx="176">
                  <v>0.03551022420722294</v>
                </pt>
                <pt idx="177">
                  <v>0.06508396746652845</v>
                </pt>
                <pt idx="178">
                  <v>0.04371171492258741</v>
                </pt>
                <pt idx="179">
                  <v>0.08237112135414248</v>
                </pt>
                <pt idx="180">
                  <v>0.06743614311520818</v>
                </pt>
                <pt idx="181">
                  <v>0.1282468125263363</v>
                </pt>
                <pt idx="182">
                  <v>0.01599703183196177</v>
                </pt>
                <pt idx="183">
                  <v>0.04936857368645042</v>
                </pt>
                <pt idx="184">
                  <v>0.03360709497176217</v>
                </pt>
                <pt idx="185">
                  <v>0.0466176037505992</v>
                </pt>
                <pt idx="186">
                  <v>0.05386248424457052</v>
                </pt>
                <pt idx="187">
                  <v>0.05204983883140701</v>
                </pt>
                <pt idx="188">
                  <v>0.05588291552333624</v>
                </pt>
                <pt idx="189">
                  <v>0.03233777378155311</v>
                </pt>
                <pt idx="190">
                  <v>0.09137196312565909</v>
                </pt>
                <pt idx="191">
                  <v>0.05815369725395048</v>
                </pt>
                <pt idx="192">
                  <v>0.1295958560733177</v>
                </pt>
                <pt idx="193">
                  <v>0.07523352278631945</v>
                </pt>
                <pt idx="194">
                  <v>0.06305694074629331</v>
                </pt>
                <pt idx="195">
                  <v>0.0877550262861424</v>
                </pt>
                <pt idx="196">
                  <v>0.06538513979542171</v>
                </pt>
                <pt idx="197">
                  <v>0.06414356047196756</v>
                </pt>
                <pt idx="198">
                  <v>0.05766750843489477</v>
                </pt>
                <pt idx="199">
                  <v>0.08326015235614914</v>
                </pt>
                <pt idx="200">
                  <v>0.05661417229514631</v>
                </pt>
                <pt idx="201">
                  <v>0.06392730692986848</v>
                </pt>
                <pt idx="202">
                  <v>0.06708335142901767</v>
                </pt>
                <pt idx="203">
                  <v>0.03056454432990874</v>
                </pt>
                <pt idx="204">
                  <v>0.06846689191638022</v>
                </pt>
                <pt idx="205">
                  <v>0.06385563290076868</v>
                </pt>
                <pt idx="206">
                  <v>0.06399893711258042</v>
                </pt>
                <pt idx="207">
                  <v>0.05714741271297008</v>
                </pt>
                <pt idx="208">
                  <v>0.04718469657372837</v>
                </pt>
                <pt idx="209">
                  <v>0.02157970941760867</v>
                </pt>
                <pt idx="210">
                  <v>0.05637032549891208</v>
                </pt>
                <pt idx="211">
                  <v>0.05286495029203131</v>
                </pt>
                <pt idx="212">
                  <v>0.03792109708163882</v>
                </pt>
                <pt idx="213">
                  <v>0.04944558497906915</v>
                </pt>
                <pt idx="214">
                  <v>0.02350854403490166</v>
                </pt>
                <pt idx="215">
                  <v>0.04270794413110779</v>
                </pt>
                <pt idx="216">
                  <v>0.01387135655295046</v>
                </pt>
                <pt idx="217">
                  <v>0.03694402527512497</v>
                </pt>
                <pt idx="218">
                  <v>0.04877314142950917</v>
                </pt>
                <pt idx="219">
                  <v>0.01924249205200113</v>
                </pt>
                <pt idx="220">
                  <v>0.04686854857122946</v>
                </pt>
                <pt idx="221">
                  <v>0.05376015772241316</v>
                </pt>
                <pt idx="222">
                  <v>0.02966784895994135</v>
                </pt>
                <pt idx="223">
                  <v>0.04362739923322634</v>
                </pt>
                <pt idx="224">
                  <v>0.02324863991875659</v>
                </pt>
                <pt idx="225">
                  <v>0.01179778714554947</v>
                </pt>
                <pt idx="226">
                  <v>0.01110870097249106</v>
                </pt>
                <pt idx="227">
                  <v>0.1033466281132798</v>
                </pt>
                <pt idx="228">
                  <v>0.06185408546935234</v>
                </pt>
                <pt idx="229">
                  <v>0.03506704136326788</v>
                </pt>
                <pt idx="230">
                  <v>0.03230877334485793</v>
                </pt>
                <pt idx="231">
                  <v>0.02534162487210745</v>
                </pt>
                <pt idx="232">
                  <v>0.07818555893989987</v>
                </pt>
                <pt idx="233">
                  <v>0.1050334496578442</v>
                </pt>
                <pt idx="234">
                  <v>0.06617989078075026</v>
                </pt>
                <pt idx="235">
                  <v>0.07183448885708699</v>
                </pt>
                <pt idx="236">
                  <v>0.07054062564349484</v>
                </pt>
                <pt idx="237">
                  <v>0.1173700476333621</v>
                </pt>
                <pt idx="238">
                  <v>0.08704243952980106</v>
                </pt>
                <pt idx="239">
                  <v>0.05583192397032488</v>
                </pt>
                <pt idx="240">
                  <v>0.06674186688457762</v>
                </pt>
                <pt idx="241">
                  <v>0.0452453733141871</v>
                </pt>
                <pt idx="242">
                  <v>0.4984762267862901</v>
                </pt>
                <pt idx="243">
                  <v>1.091353157009971</v>
                </pt>
                <pt idx="244">
                  <v>0.7749383114010144</v>
                </pt>
                <pt idx="245">
                  <v>0.2168435750664655</v>
                </pt>
                <pt idx="246">
                  <v>0.1028484512513703</v>
                </pt>
                <pt idx="247">
                  <v>0.05352618487633842</v>
                </pt>
                <pt idx="248">
                  <v>0.1520408671645102</v>
                </pt>
                <pt idx="249">
                  <v>0.1087597213880902</v>
                </pt>
                <pt idx="250">
                  <v>0.16068155363046</v>
                </pt>
                <pt idx="251">
                  <v>0.1025852012411261</v>
                </pt>
                <pt idx="252">
                  <v>0.1669817497845223</v>
                </pt>
                <pt idx="253">
                  <v>0.1611386352961661</v>
                </pt>
                <pt idx="254">
                  <v>0.156142294658685</v>
                </pt>
                <pt idx="255">
                  <v>0.166815242480514</v>
                </pt>
                <pt idx="256">
                  <v>0.2000857459268133</v>
                </pt>
                <pt idx="257">
                  <v>0.02460324175334305</v>
                </pt>
                <pt idx="258">
                  <v>0.09492209874642388</v>
                </pt>
                <pt idx="259">
                  <v>0.1358531782987047</v>
                </pt>
                <pt idx="260">
                  <v>0.07780293154994955</v>
                </pt>
                <pt idx="261">
                  <v>0.1068369845730592</v>
                </pt>
                <pt idx="262">
                  <v>0.1230029425104204</v>
                </pt>
                <pt idx="263">
                  <v>0.08195626385570898</v>
                </pt>
                <pt idx="264">
                  <v>0.0929172560283904</v>
                </pt>
                <pt idx="265">
                  <v>0.03307866327807707</v>
                </pt>
                <pt idx="266">
                  <v>0.01744288345459477</v>
                </pt>
                <pt idx="267">
                  <v>-0.05146246551682987</v>
                </pt>
                <pt idx="268">
                  <v>0.00278161614009087</v>
                </pt>
                <pt idx="269">
                  <v>-0.02281852151459007</v>
                </pt>
                <pt idx="270">
                  <v>0.01594238315695762</v>
                </pt>
                <pt idx="271">
                  <v>-0.002109017444858363</v>
                </pt>
                <pt idx="272">
                  <v>-0.06915398137369133</v>
                </pt>
                <pt idx="273">
                  <v>-0.04817939040578378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16</col>
      <colOff>118534</colOff>
      <row>752</row>
      <rowOff>117123</rowOff>
    </from>
    <to>
      <col>31</col>
      <colOff>165100</colOff>
      <row>775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752</row>
      <rowOff>139700</rowOff>
    </from>
    <to>
      <col>15</col>
      <colOff>596900</colOff>
      <row>775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14</col>
      <colOff>318526</colOff>
      <row>745</row>
      <rowOff>123265</rowOff>
    </from>
    <to>
      <col>26</col>
      <colOff>12700</colOff>
      <row>770</row>
      <rowOff>38100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136526</rowOff>
    </from>
    <to>
      <col>14</col>
      <colOff>149412</colOff>
      <row>770</row>
      <rowOff>29883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17</col>
      <colOff>372534</colOff>
      <row>2414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265113</colOff>
      <row>761</row>
      <rowOff>177797</rowOff>
    </from>
    <to>
      <col>13</col>
      <colOff>284163</colOff>
      <row>780</row>
      <rowOff>125410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236537</colOff>
      <row>742</row>
      <rowOff>106360</rowOff>
    </from>
    <to>
      <col>13</col>
      <colOff>322263</colOff>
      <row>760</row>
      <rowOff>173035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436563</colOff>
      <row>761</row>
      <rowOff>190499</rowOff>
    </from>
    <to>
      <col>22</col>
      <colOff>455613</colOff>
      <row>780</row>
      <rowOff>138112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13</col>
      <colOff>122464</colOff>
      <row>735</row>
      <rowOff>9069</rowOff>
    </from>
    <to>
      <col>22</col>
      <colOff>562429</colOff>
      <row>755</row>
      <rowOff>97743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365124</colOff>
      <row>735</row>
      <rowOff>4306</rowOff>
    </from>
    <to>
      <col>13</col>
      <colOff>18143</colOff>
      <row>755</row>
      <rowOff>72570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6" headerRowCount="1" totalsRowShown="0" headerRowCellStyle="Normal 3" dataCellStyle="Normal 3">
  <autoFilter ref="A11:B266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71" headerRowCount="1" totalsRowShown="0" headerRowDxfId="33" dataDxfId="31" headerRowBorderDxfId="32">
  <autoFilter ref="A5:C771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71" headerRowCount="1" totalsRowShown="0" headerRowDxfId="27" dataDxfId="26" tableBorderDxfId="25">
  <autoFilter ref="A5:C771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71" headerRowCount="1" totalsRowShown="0" headerRowDxfId="12" dataDxfId="10" headerRowBorderDxfId="11" dataCellStyle="Normal 2">
  <autoFilter ref="A5:D771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47" headerRowCount="1" totalsRowShown="0" headerRowDxfId="5" headerRowBorderDxfId="4">
  <autoFilter ref="A5:D747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90" zoomScaleNormal="90" workbookViewId="0">
      <selection activeCell="AB17" sqref="AB17"/>
    </sheetView>
  </sheetViews>
  <sheetFormatPr baseColWidth="8" defaultColWidth="9.1796875" defaultRowHeight="14.5"/>
  <cols>
    <col width="9.1796875" customWidth="1" style="79" min="1" max="1"/>
    <col width="12.81640625" customWidth="1" style="79" min="2" max="10"/>
    <col width="3.36328125" customWidth="1" style="79" min="11" max="13"/>
    <col width="21.36328125" customWidth="1" style="79" min="14" max="14"/>
    <col width="15.6328125" customWidth="1" style="79" min="15" max="15"/>
    <col width="16.81640625" customWidth="1" style="79" min="16" max="16"/>
    <col width="23" customWidth="1" style="79" min="17" max="17"/>
    <col width="9.1796875" customWidth="1" style="79" min="18" max="45"/>
    <col width="9.1796875" customWidth="1" style="79" min="46" max="16384"/>
  </cols>
  <sheetData>
    <row r="1">
      <c r="B1" s="78" t="n"/>
    </row>
    <row r="2" ht="16" customHeight="1" thickBot="1"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</row>
    <row r="3" ht="16" customHeight="1" thickBot="1">
      <c r="B3" s="81" t="inlineStr">
        <is>
          <t>Money Supply</t>
        </is>
      </c>
      <c r="C3" s="82" t="n"/>
      <c r="D3" s="82" t="n"/>
      <c r="E3" s="82" t="n"/>
      <c r="F3" s="82" t="n"/>
      <c r="G3" s="82" t="n"/>
      <c r="H3" s="82" t="n"/>
      <c r="I3" s="82" t="n"/>
      <c r="J3" s="83" t="n"/>
    </row>
    <row r="5">
      <c r="B5" s="75" t="inlineStr">
        <is>
          <t>Definition</t>
        </is>
      </c>
      <c r="C5" s="76" t="n"/>
      <c r="D5" s="76" t="n"/>
      <c r="E5" s="76" t="n"/>
      <c r="F5" s="76" t="n"/>
      <c r="G5" s="76" t="n"/>
      <c r="H5" s="76" t="n"/>
      <c r="I5" s="76" t="n"/>
      <c r="J5" s="77" t="n"/>
    </row>
    <row r="7" ht="100.5" customHeight="1">
      <c r="B7" s="84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>
      <c r="B8" s="85" t="n"/>
    </row>
    <row r="9">
      <c r="B9" s="42" t="n"/>
      <c r="C9" s="42" t="n"/>
      <c r="D9" s="42" t="n"/>
      <c r="E9" s="42" t="n"/>
    </row>
    <row r="10">
      <c r="B10" s="75" t="inlineStr">
        <is>
          <t>Process / TO DO LIST</t>
        </is>
      </c>
      <c r="C10" s="76" t="n"/>
      <c r="D10" s="76" t="n"/>
      <c r="E10" s="76" t="n"/>
      <c r="F10" s="76" t="n"/>
      <c r="G10" s="76" t="n"/>
      <c r="H10" s="76" t="n"/>
      <c r="I10" s="76" t="n"/>
      <c r="J10" s="77" t="n"/>
    </row>
    <row r="11" ht="16" customHeight="1"/>
    <row r="12" ht="16" customHeight="1">
      <c r="B12" s="75" t="inlineStr">
        <is>
          <t>TO DO LIST</t>
        </is>
      </c>
      <c r="C12" s="76" t="n"/>
      <c r="D12" s="76" t="n"/>
      <c r="E12" s="76" t="n"/>
      <c r="F12" s="77" t="n"/>
      <c r="G12" s="75" t="inlineStr">
        <is>
          <t>Comments</t>
        </is>
      </c>
      <c r="H12" s="76" t="n"/>
      <c r="I12" s="76" t="n"/>
      <c r="J12" s="77" t="n"/>
    </row>
    <row r="14" ht="19.5" customHeight="1">
      <c r="B14" s="1" t="inlineStr">
        <is>
          <t>https://fred.stlouisfed.org/series/M2REAL</t>
        </is>
      </c>
      <c r="G14" s="79" t="inlineStr">
        <is>
          <t>U.S.</t>
        </is>
      </c>
    </row>
    <row r="15" ht="16" customHeight="1" thickBot="1">
      <c r="B15" s="85" t="inlineStr">
        <is>
          <t>https://fred.stlouisfed.org/series/M1REAL</t>
        </is>
      </c>
      <c r="G15" s="86" t="inlineStr">
        <is>
          <t>U.S.</t>
        </is>
      </c>
    </row>
    <row r="16" ht="18" customHeight="1">
      <c r="B16" s="85" t="inlineStr">
        <is>
          <t>https://fred.stlouisfed.org/series/M1</t>
        </is>
      </c>
      <c r="G16" s="86" t="inlineStr">
        <is>
          <t xml:space="preserve">U.S. </t>
        </is>
      </c>
      <c r="Z16" s="43" t="inlineStr">
        <is>
          <t>DGORDER</t>
        </is>
      </c>
      <c r="AA16" s="79" t="inlineStr">
        <is>
          <t>Durable Goods New Orders</t>
        </is>
      </c>
    </row>
    <row r="17" ht="18" customHeight="1">
      <c r="B17" s="85" t="inlineStr">
        <is>
          <t>https://fred.stlouisfed.org/series/M2</t>
        </is>
      </c>
      <c r="G17" s="87" t="inlineStr">
        <is>
          <t>U.S. discontinued</t>
        </is>
      </c>
      <c r="Z17" s="44" t="inlineStr">
        <is>
          <t>ADXTNO</t>
        </is>
      </c>
      <c r="AA17" s="79" t="inlineStr">
        <is>
          <t>New Orders ex Transport</t>
        </is>
      </c>
    </row>
    <row r="18" ht="33.75" customHeight="1">
      <c r="B18" s="85" t="inlineStr">
        <is>
          <t>https://fred.stlouisfed.org/series/M2SL</t>
        </is>
      </c>
      <c r="G18" s="87" t="inlineStr">
        <is>
          <t>U.S.</t>
        </is>
      </c>
      <c r="Z18" s="45" t="inlineStr">
        <is>
          <t>NEWORDER</t>
        </is>
      </c>
      <c r="AA18" s="79" t="inlineStr">
        <is>
          <t>New Orders Nondefense Ex Aircraft &amp; Parts = Core</t>
        </is>
      </c>
    </row>
    <row r="19" ht="18" customHeight="1">
      <c r="B19" s="85" t="inlineStr">
        <is>
          <t>https://tradingeconomics.com/country-list/money-supply-m2?continent=g20</t>
        </is>
      </c>
      <c r="G19" s="87" t="inlineStr">
        <is>
          <t>Quick Country View</t>
        </is>
      </c>
      <c r="Z19" s="44" t="inlineStr">
        <is>
          <t>AMTUNO</t>
        </is>
      </c>
      <c r="AA19" s="79" t="inlineStr">
        <is>
          <t>New Orders - Manufacturing</t>
        </is>
      </c>
    </row>
    <row r="20" ht="18" customHeight="1">
      <c r="B20" s="85" t="inlineStr">
        <is>
          <t>https://data.oecd.org/money/broad-money-m3.htm</t>
        </is>
      </c>
      <c r="G20" s="79" t="inlineStr">
        <is>
          <t>Table</t>
        </is>
      </c>
      <c r="Z20" s="45" t="inlineStr">
        <is>
          <t>A36SNO</t>
        </is>
      </c>
      <c r="AA20" s="79" t="inlineStr">
        <is>
          <t>New Orders - Transportation Equipment</t>
        </is>
      </c>
    </row>
    <row r="21" ht="18" customHeight="1">
      <c r="B21" s="85" t="n"/>
      <c r="G21" s="79" t="inlineStr">
        <is>
          <t>Monthly</t>
        </is>
      </c>
      <c r="Z21" s="45" t="inlineStr">
        <is>
          <t>A32SNO</t>
        </is>
      </c>
      <c r="AA21" s="79" t="inlineStr">
        <is>
          <t>New Orders - Fabricated Metal Products</t>
        </is>
      </c>
    </row>
    <row r="22" ht="18" customHeight="1">
      <c r="B22" s="85" t="n"/>
      <c r="G22" s="79" t="inlineStr">
        <is>
          <t>from beginning</t>
        </is>
      </c>
      <c r="Z22" s="45" t="inlineStr">
        <is>
          <t>A33SNO</t>
        </is>
      </c>
      <c r="AA22" s="79" t="inlineStr">
        <is>
          <t>New Orders - Machinery</t>
        </is>
      </c>
    </row>
    <row r="23" ht="18" customHeight="1">
      <c r="B23" s="85" t="n"/>
      <c r="G23" s="79" t="inlineStr">
        <is>
          <t>download Select data only</t>
        </is>
      </c>
      <c r="Z23" s="45" t="inlineStr">
        <is>
          <t>A34SNO</t>
        </is>
      </c>
      <c r="AA23" s="79" t="inlineStr">
        <is>
          <t>New Orders - Computers</t>
        </is>
      </c>
    </row>
    <row r="24" ht="18" customHeight="1">
      <c r="B24" s="85" t="n"/>
      <c r="G24" s="87" t="inlineStr">
        <is>
          <t>Data</t>
        </is>
      </c>
      <c r="Z24" s="45" t="inlineStr">
        <is>
          <t>A31SNO</t>
        </is>
      </c>
      <c r="AA24" s="79" t="inlineStr">
        <is>
          <t>New Orders - Primary Metals</t>
        </is>
      </c>
    </row>
    <row r="25" ht="16" customHeight="1" thickBot="1">
      <c r="Z25" s="46" t="inlineStr">
        <is>
          <t>A35SNO</t>
        </is>
      </c>
      <c r="AA25" s="79" t="inlineStr">
        <is>
          <t>New Orders - Electrical Equipment</t>
        </is>
      </c>
    </row>
    <row r="35" ht="16" customHeight="1"/>
    <row r="39">
      <c r="B39" s="40" t="n"/>
    </row>
    <row r="40">
      <c r="B40" s="86" t="n"/>
    </row>
    <row r="41">
      <c r="B41" s="41" t="n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95"/>
  <sheetViews>
    <sheetView zoomScale="170" zoomScaleNormal="170" workbookViewId="0">
      <pane ySplit="1" topLeftCell="A3079" activePane="bottomLeft" state="frozen"/>
      <selection pane="bottomLeft" activeCell="F2" sqref="F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2801.5</v>
      </c>
      <c r="E1808" t="n">
        <v>4880.3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2820.7</v>
      </c>
      <c r="E1813" t="n">
        <v>4925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2848.9</v>
      </c>
      <c r="E1823" t="n">
        <v>5014.1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2880.2</v>
      </c>
      <c r="E1828" t="n">
        <v>5072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2895.1</v>
      </c>
      <c r="E1839" t="n">
        <v>5133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2911.4</v>
      </c>
      <c r="E1844" t="n">
        <v>5173.5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2952.2</v>
      </c>
      <c r="E1855" t="n">
        <v>5237.2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3003</v>
      </c>
      <c r="E1860" t="n">
        <v>5348.4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3031.4</v>
      </c>
      <c r="E1870" t="n">
        <v>5380.8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3063</v>
      </c>
      <c r="E1875" t="n">
        <v>5433.8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3080.6</v>
      </c>
      <c r="E1886" t="n">
        <v>5483.4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3078.5</v>
      </c>
      <c r="E1891" t="n">
        <v>5495.2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3076</v>
      </c>
      <c r="E1901" t="n">
        <v>5521.5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3088.3</v>
      </c>
      <c r="E1906" t="n">
        <v>5546.5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3120</v>
      </c>
      <c r="E1916" t="n">
        <v>5631.6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3128.3</v>
      </c>
      <c r="E1921" t="n">
        <v>5656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3168.4</v>
      </c>
      <c r="E1932" t="n">
        <v>5750.6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3174.9</v>
      </c>
      <c r="E1937" t="n">
        <v>5772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3181.2</v>
      </c>
      <c r="E1948" t="n">
        <v>5840.7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3187.3</v>
      </c>
      <c r="E1953" t="n">
        <v>5861.4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3258.2</v>
      </c>
      <c r="E1964" t="n">
        <v>5959.3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3274.7</v>
      </c>
      <c r="E1969" t="n">
        <v>5996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3306.7</v>
      </c>
      <c r="E1980" t="n">
        <v>6100.8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3280.6</v>
      </c>
      <c r="E1995" t="n">
        <v>6069.1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3274.9</v>
      </c>
      <c r="E2010" t="n">
        <v>6114.3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3330.6</v>
      </c>
      <c r="E2025" t="n">
        <v>6268.1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3319.5</v>
      </c>
      <c r="E2031" t="n">
        <v>6270.5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3335.4</v>
      </c>
      <c r="E2041" t="n">
        <v>6310.6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3343.2</v>
      </c>
      <c r="E2047" t="n">
        <v>6345.3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3348.1</v>
      </c>
      <c r="E2062" t="n">
        <v>6418.3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3343.5</v>
      </c>
      <c r="E2073" t="n">
        <v>6432.8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3336</v>
      </c>
      <c r="E2078" t="n">
        <v>6441.9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3343.6</v>
      </c>
      <c r="E2088" t="n">
        <v>6473.3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3358.7</v>
      </c>
      <c r="E2094" t="n">
        <v>6505.8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3322.1</v>
      </c>
      <c r="E2109" t="n">
        <v>6604.3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3359.4</v>
      </c>
      <c r="E2120" t="n">
        <v>6655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3373</v>
      </c>
      <c r="E2125" t="n">
        <v>6681.9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3384.5</v>
      </c>
      <c r="E2136" t="n">
        <v>6748.6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3386.5</v>
      </c>
      <c r="E2141" t="n">
        <v>6762.9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3391.9</v>
      </c>
      <c r="E2156" t="n">
        <v>6844.9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3394.1</v>
      </c>
      <c r="E2167" t="n">
        <v>6917.1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3424.2</v>
      </c>
      <c r="E2172" t="n">
        <v>6944.2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3479.4</v>
      </c>
      <c r="E2183" t="n">
        <v>7028.4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3481.8</v>
      </c>
      <c r="E2188" t="n">
        <v>7071.6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3488.9</v>
      </c>
      <c r="E2198" t="n">
        <v>7125.3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3487.3</v>
      </c>
      <c r="E2203" t="n">
        <v>7159.1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3504.3</v>
      </c>
      <c r="E2214" t="n">
        <v>7245.4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3512.3</v>
      </c>
      <c r="E2219" t="n">
        <v>7278.6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3556.2</v>
      </c>
      <c r="E2230" t="n">
        <v>7385.1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3549.9</v>
      </c>
      <c r="E2235" t="n">
        <v>7403.2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3529.7</v>
      </c>
      <c r="E2245" t="n">
        <v>7441.8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3533.6</v>
      </c>
      <c r="E2250" t="n">
        <v>7471.6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3568.9</v>
      </c>
      <c r="E2261" t="n">
        <v>7590.6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3586.9</v>
      </c>
      <c r="E2266" t="n">
        <v>7656.2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3583.1</v>
      </c>
      <c r="E2277" t="n">
        <v>7711.2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3554.1</v>
      </c>
      <c r="E2282" t="n">
        <v>7728.9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3562.2</v>
      </c>
      <c r="E2293" t="n">
        <v>7790.2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3760.6</v>
      </c>
      <c r="E2308" t="n">
        <v>8015.8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3903.6</v>
      </c>
      <c r="E2323" t="n">
        <v>8303.1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3938.6</v>
      </c>
      <c r="E2328" t="n">
        <v>8369.299999999999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3919.8</v>
      </c>
      <c r="E2354" t="n">
        <v>8445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3909</v>
      </c>
      <c r="E2376" t="n">
        <v>8496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3953.2</v>
      </c>
      <c r="E2400" t="n">
        <v>8589.9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3963.6</v>
      </c>
      <c r="E2406" t="n">
        <v>8609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3978.1</v>
      </c>
      <c r="E2416" t="n">
        <v>8669.1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3985.8</v>
      </c>
      <c r="E2422" t="n">
        <v>8700.1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4004.9</v>
      </c>
      <c r="E2448" t="n">
        <v>8886.9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4009.7</v>
      </c>
      <c r="E2453" t="n">
        <v>8943.5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4037</v>
      </c>
      <c r="E2463" t="n">
        <v>9075.5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4070.6</v>
      </c>
      <c r="E2469" t="n">
        <v>9151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4205</v>
      </c>
      <c r="E2484" t="n">
        <v>9528.299999999999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4231.5</v>
      </c>
      <c r="E2495" t="n">
        <v>9612.6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4251.4</v>
      </c>
      <c r="E2500" t="n">
        <v>9660.1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973.7</v>
      </c>
      <c r="C2516" t="n">
        <v>4296.5</v>
      </c>
      <c r="E2516" t="n">
        <v>9830.6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986.5</v>
      </c>
      <c r="C2527" t="n">
        <v>4341</v>
      </c>
      <c r="E2527" t="n">
        <v>9928.4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1023.9</v>
      </c>
      <c r="C2543" t="n">
        <v>4402.1</v>
      </c>
      <c r="E2543" t="n">
        <v>10121.3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1033.1</v>
      </c>
      <c r="C2548" t="n">
        <v>4415.6</v>
      </c>
      <c r="E2548" t="n">
        <v>10200.8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1055.7</v>
      </c>
      <c r="C2558" t="n">
        <v>4470.3</v>
      </c>
      <c r="E2558" t="n">
        <v>10337.6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1064.2</v>
      </c>
      <c r="C2563" t="n">
        <v>4523.7</v>
      </c>
      <c r="E2563" t="n">
        <v>10459.7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1068.5</v>
      </c>
      <c r="C2569" t="n">
        <v>4523.3</v>
      </c>
      <c r="E2569" t="n">
        <v>10479.5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1060.6</v>
      </c>
      <c r="C2574" t="n">
        <v>4499.9</v>
      </c>
      <c r="E2574" t="n">
        <v>10482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1066.6</v>
      </c>
      <c r="C2579" t="n">
        <v>4541.9</v>
      </c>
      <c r="E2579" t="n">
        <v>10550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1081.6</v>
      </c>
      <c r="C2584" t="n">
        <v>4566.9</v>
      </c>
      <c r="D2584" t="n">
        <v>2511.8</v>
      </c>
      <c r="E2584" t="n">
        <v>10585.9</v>
      </c>
      <c r="F2584" t="n">
        <v>1.571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1090.1</v>
      </c>
      <c r="C2589" t="n">
        <v>4583.2</v>
      </c>
      <c r="E2589" t="n">
        <v>10628.2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1087.7</v>
      </c>
      <c r="C2594" t="n">
        <v>4596.7</v>
      </c>
      <c r="E2594" t="n">
        <v>10684.9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1092.5</v>
      </c>
      <c r="C2599" t="n">
        <v>4607.5</v>
      </c>
      <c r="D2599" t="n">
        <v>2526.6</v>
      </c>
      <c r="E2599" t="n">
        <v>10730.8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1094.8</v>
      </c>
      <c r="C2604" t="n">
        <v>4621.9</v>
      </c>
      <c r="E2604" t="n">
        <v>10790.2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1106.8</v>
      </c>
      <c r="C2609" t="n">
        <v>4642.1</v>
      </c>
      <c r="E2609" t="n">
        <v>10841.3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1122.8</v>
      </c>
      <c r="C2615" t="n">
        <v>4689</v>
      </c>
      <c r="E2615" t="n">
        <v>10956.7</v>
      </c>
      <c r="F2615" t="n">
        <v>1.56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1125.4</v>
      </c>
      <c r="C2620" t="n">
        <v>4685.6</v>
      </c>
      <c r="E2620" t="n">
        <v>10969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1135.1</v>
      </c>
      <c r="C2625" t="n">
        <v>4698.7</v>
      </c>
      <c r="E2625" t="n">
        <v>11028.8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1147.1</v>
      </c>
      <c r="C2631" t="n">
        <v>4708.7</v>
      </c>
      <c r="E2631" t="n">
        <v>11078.9</v>
      </c>
      <c r="F2631" t="n">
        <v>1.538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1156.8</v>
      </c>
      <c r="C2636" t="n">
        <v>4738.3</v>
      </c>
      <c r="E2636" t="n">
        <v>11161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1165.7</v>
      </c>
      <c r="C2641" t="n">
        <v>4745.3</v>
      </c>
      <c r="E2641" t="n">
        <v>11200.2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1172.8</v>
      </c>
      <c r="C2647" t="n">
        <v>4760.4</v>
      </c>
      <c r="E2647" t="n">
        <v>11256.9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1178.2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1191.7</v>
      </c>
      <c r="C2657" t="n">
        <v>4797.3</v>
      </c>
      <c r="E2657" t="n">
        <v>11380.7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1197.1</v>
      </c>
      <c r="C2663" t="n">
        <v>4816.8</v>
      </c>
      <c r="E2663" t="n">
        <v>11439.9</v>
      </c>
      <c r="F2663" t="n">
        <v>1.547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1180.9</v>
      </c>
      <c r="C2668" t="n">
        <v>4830</v>
      </c>
      <c r="E2668" t="n">
        <v>11469.4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1206.5</v>
      </c>
      <c r="C2673" t="n">
        <v>4843.8</v>
      </c>
      <c r="D2673" t="n">
        <v>2809.6</v>
      </c>
      <c r="E2673" t="n">
        <v>11502.8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1209.1</v>
      </c>
      <c r="C2678" t="n">
        <v>4870.2</v>
      </c>
      <c r="E2678" t="n">
        <v>11563.4</v>
      </c>
      <c r="F2678" t="n">
        <v>1.537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1219</v>
      </c>
      <c r="C2683" t="n">
        <v>4896.8</v>
      </c>
      <c r="E2683" t="n">
        <v>11604.7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1244.8</v>
      </c>
      <c r="C2688" t="n">
        <v>4944.5</v>
      </c>
      <c r="D2688" t="n">
        <v>2885.7</v>
      </c>
      <c r="E2688" t="n">
        <v>11681.5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1253</v>
      </c>
      <c r="C2693" t="n">
        <v>5003.3</v>
      </c>
      <c r="E2693" t="n">
        <v>11745.2</v>
      </c>
      <c r="F2693" t="n">
        <v>1.521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1277</v>
      </c>
      <c r="C2698" t="n">
        <v>5041.1</v>
      </c>
      <c r="E2698" t="n">
        <v>11863.9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1270.6</v>
      </c>
      <c r="C2703" t="n">
        <v>5034.2</v>
      </c>
      <c r="E2703" t="n">
        <v>11879.6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1269.7</v>
      </c>
      <c r="C2709" t="n">
        <v>5049.2</v>
      </c>
      <c r="E2709" t="n">
        <v>11927.4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1258.2</v>
      </c>
      <c r="C2714" t="n">
        <v>5046.5</v>
      </c>
      <c r="E2714" t="n">
        <v>11960.3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1271.1</v>
      </c>
      <c r="C2719" t="n">
        <v>5051.7</v>
      </c>
      <c r="D2719" t="n">
        <v>2977.1</v>
      </c>
      <c r="E2719" t="n">
        <v>12005.8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1277.5</v>
      </c>
      <c r="C2724" t="n">
        <v>5065.8</v>
      </c>
      <c r="E2724" t="n">
        <v>12058.4</v>
      </c>
      <c r="F2724" t="n">
        <v>1.512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1272.5</v>
      </c>
      <c r="C2729" t="n">
        <v>5087.3</v>
      </c>
      <c r="E2729" t="n">
        <v>12109.5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1283</v>
      </c>
      <c r="C2735" t="n">
        <v>5121.9</v>
      </c>
      <c r="E2735" t="n">
        <v>12164.5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1269.8</v>
      </c>
      <c r="C2740" t="n">
        <v>5130.5</v>
      </c>
      <c r="E2740" t="n">
        <v>12196.8</v>
      </c>
      <c r="F2740" t="n">
        <v>1.493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1295</v>
      </c>
      <c r="C2745" t="n">
        <v>5161.8</v>
      </c>
      <c r="E2745" t="n">
        <v>12286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1302.1</v>
      </c>
      <c r="C2751" t="n">
        <v>5191.8</v>
      </c>
      <c r="E2751" t="n">
        <v>12344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1303.1</v>
      </c>
      <c r="C2756" t="n">
        <v>5247.2</v>
      </c>
      <c r="E2756" t="n">
        <v>12470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1318.3</v>
      </c>
      <c r="C2761" t="n">
        <v>5286</v>
      </c>
      <c r="D2761" t="n">
        <v>3079.9</v>
      </c>
      <c r="E2761" t="n">
        <v>12545.6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1324.8</v>
      </c>
      <c r="C2766" t="n">
        <v>5296.4</v>
      </c>
      <c r="E2766" t="n">
        <v>12609.7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1338.3</v>
      </c>
      <c r="C2771" t="n">
        <v>5313.3</v>
      </c>
      <c r="E2771" t="n">
        <v>12698.4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1351.5</v>
      </c>
      <c r="C2776" t="n">
        <v>5328.8</v>
      </c>
      <c r="E2776" t="n">
        <v>12765.6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1351.3</v>
      </c>
      <c r="C2782" t="n">
        <v>5341.7</v>
      </c>
      <c r="E2782" t="n">
        <v>12831.9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1351.9</v>
      </c>
      <c r="C2787" t="n">
        <v>5369.4</v>
      </c>
      <c r="E2787" t="n">
        <v>12892</v>
      </c>
      <c r="F2787" t="n">
        <v>1.448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1379.9</v>
      </c>
      <c r="C2792" t="n">
        <v>5395.3</v>
      </c>
      <c r="D2792" t="n">
        <v>3232.7</v>
      </c>
      <c r="E2792" t="n">
        <v>12978.2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1379.8</v>
      </c>
      <c r="C2797" t="n">
        <v>5406</v>
      </c>
      <c r="E2797" t="n">
        <v>13037.9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1378.9</v>
      </c>
      <c r="C2802" t="n">
        <v>5421.3</v>
      </c>
      <c r="E2802" t="n">
        <v>13105.4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1386.2</v>
      </c>
      <c r="C2808" t="n">
        <v>5444.2</v>
      </c>
      <c r="E2808" t="n">
        <v>13176.5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1376.9</v>
      </c>
      <c r="C2813" t="n">
        <v>5444.2</v>
      </c>
      <c r="E2813" t="n">
        <v>13209.6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1392</v>
      </c>
      <c r="C2818" t="n">
        <v>5452.3</v>
      </c>
      <c r="E2818" t="n">
        <v>13282.7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1394.5</v>
      </c>
      <c r="C2824" t="n">
        <v>5471.8</v>
      </c>
      <c r="E2824" t="n">
        <v>13351.4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1414.8</v>
      </c>
      <c r="C2829" t="n">
        <v>5502.7</v>
      </c>
      <c r="E2829" t="n">
        <v>13420.6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1413.3</v>
      </c>
      <c r="C2834" t="n">
        <v>5521.4</v>
      </c>
      <c r="E2834" t="n">
        <v>13482.9</v>
      </c>
      <c r="F2834" t="n">
        <v>1.427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1441</v>
      </c>
      <c r="C2839" t="n">
        <v>5547</v>
      </c>
      <c r="D2839" t="n">
        <v>3450.2</v>
      </c>
      <c r="E2839" t="n">
        <v>13534.8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1443.7</v>
      </c>
      <c r="C2844" t="n">
        <v>5553.2</v>
      </c>
      <c r="E2844" t="n">
        <v>13558.9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1452.9</v>
      </c>
      <c r="C2849" t="n">
        <v>5576.8</v>
      </c>
      <c r="E2849" t="n">
        <v>13621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1463.3</v>
      </c>
      <c r="C2855" t="n">
        <v>5579.3</v>
      </c>
      <c r="E2855" t="n">
        <v>13679.6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1449.1</v>
      </c>
      <c r="C2860" t="n">
        <v>5568.2</v>
      </c>
      <c r="E2860" t="n">
        <v>13722.1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1462.3</v>
      </c>
      <c r="C2865" t="n">
        <v>5586.4</v>
      </c>
      <c r="E2865" t="n">
        <v>13777.4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1468.4</v>
      </c>
      <c r="C2871" t="n">
        <v>5582.3</v>
      </c>
      <c r="E2871" t="n">
        <v>13804.1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1457</v>
      </c>
      <c r="C2876" t="n">
        <v>5590</v>
      </c>
      <c r="E2876" t="n">
        <v>13852.3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1469.9</v>
      </c>
      <c r="C2881" t="n">
        <v>5575.3</v>
      </c>
      <c r="D2881" t="n">
        <v>3581</v>
      </c>
      <c r="E2881" t="n">
        <v>13868.2</v>
      </c>
      <c r="F2881" t="n">
        <v>1.449</v>
      </c>
    </row>
    <row r="2882">
      <c r="A2882" s="89" t="n">
        <v>43108</v>
      </c>
      <c r="D2882" t="n">
        <v>3642.1</v>
      </c>
    </row>
    <row r="2883">
      <c r="A2883" s="89" t="n">
        <v>43115</v>
      </c>
      <c r="D2883" t="n">
        <v>3670.6</v>
      </c>
    </row>
    <row r="2884">
      <c r="A2884" s="89" t="n">
        <v>43122</v>
      </c>
      <c r="D2884" t="n">
        <v>3663</v>
      </c>
    </row>
    <row r="2885">
      <c r="A2885" s="89" t="n">
        <v>43129</v>
      </c>
      <c r="D2885" t="n">
        <v>3636.4</v>
      </c>
    </row>
    <row r="2886">
      <c r="A2886" s="89" t="n">
        <v>43132</v>
      </c>
      <c r="B2886" t="n">
        <v>1450.9</v>
      </c>
      <c r="C2886" t="n">
        <v>5576.6</v>
      </c>
      <c r="E2886" t="n">
        <v>13910.2</v>
      </c>
    </row>
    <row r="2887">
      <c r="A2887" s="89" t="n">
        <v>43136</v>
      </c>
      <c r="D2887" t="n">
        <v>3622.6</v>
      </c>
    </row>
    <row r="2888">
      <c r="A2888" s="89" t="n">
        <v>43143</v>
      </c>
      <c r="D2888" t="n">
        <v>3607.4</v>
      </c>
    </row>
    <row r="2889">
      <c r="A2889" s="89" t="n">
        <v>43150</v>
      </c>
      <c r="D2889" t="n">
        <v>3611.8</v>
      </c>
    </row>
    <row r="2890">
      <c r="A2890" s="89" t="n">
        <v>43157</v>
      </c>
      <c r="D2890" t="n">
        <v>3624.3</v>
      </c>
    </row>
    <row r="2891">
      <c r="A2891" s="89" t="n">
        <v>43160</v>
      </c>
      <c r="B2891" t="n">
        <v>1467.8</v>
      </c>
      <c r="C2891" t="n">
        <v>5595.6</v>
      </c>
      <c r="E2891" t="n">
        <v>13965.5</v>
      </c>
    </row>
    <row r="2892">
      <c r="A2892" s="89" t="n">
        <v>43164</v>
      </c>
      <c r="D2892" t="n">
        <v>3655.3</v>
      </c>
    </row>
    <row r="2893">
      <c r="A2893" s="89" t="n">
        <v>43171</v>
      </c>
      <c r="D2893" t="n">
        <v>3670.8</v>
      </c>
    </row>
    <row r="2894">
      <c r="A2894" s="89" t="n">
        <v>43178</v>
      </c>
      <c r="D2894" t="n">
        <v>3660.6</v>
      </c>
    </row>
    <row r="2895">
      <c r="A2895" s="89" t="n">
        <v>43185</v>
      </c>
      <c r="D2895" t="n">
        <v>3657.7</v>
      </c>
    </row>
    <row r="2896">
      <c r="A2896" s="89" t="n">
        <v>43191</v>
      </c>
      <c r="B2896" t="n">
        <v>1461.2</v>
      </c>
      <c r="C2896" t="n">
        <v>5591.8</v>
      </c>
      <c r="E2896" t="n">
        <v>13987.7</v>
      </c>
      <c r="F2896" t="n">
        <v>1.458</v>
      </c>
    </row>
    <row r="2897">
      <c r="A2897" s="89" t="n">
        <v>43192</v>
      </c>
      <c r="D2897" t="n">
        <v>3659.2</v>
      </c>
    </row>
    <row r="2898">
      <c r="A2898" s="89" t="n">
        <v>43199</v>
      </c>
      <c r="D2898" t="n">
        <v>3660.9</v>
      </c>
    </row>
    <row r="2899">
      <c r="A2899" s="89" t="n">
        <v>43206</v>
      </c>
      <c r="D2899" t="n">
        <v>3647</v>
      </c>
    </row>
    <row r="2900">
      <c r="A2900" s="89" t="n">
        <v>43213</v>
      </c>
      <c r="D2900" t="n">
        <v>3669.8</v>
      </c>
    </row>
    <row r="2901">
      <c r="A2901" s="89" t="n">
        <v>43220</v>
      </c>
      <c r="D2901" t="n">
        <v>3669.5</v>
      </c>
    </row>
    <row r="2902">
      <c r="A2902" s="89" t="n">
        <v>43221</v>
      </c>
      <c r="B2902" t="n">
        <v>1455.8</v>
      </c>
      <c r="C2902" t="n">
        <v>5599</v>
      </c>
      <c r="E2902" t="n">
        <v>14041.2</v>
      </c>
    </row>
    <row r="2903">
      <c r="A2903" s="89" t="n">
        <v>43227</v>
      </c>
      <c r="D2903" t="n">
        <v>3637.2</v>
      </c>
    </row>
    <row r="2904">
      <c r="A2904" s="89" t="n">
        <v>43234</v>
      </c>
      <c r="D2904" t="n">
        <v>3655.2</v>
      </c>
    </row>
    <row r="2905">
      <c r="A2905" s="89" t="n">
        <v>43241</v>
      </c>
      <c r="D2905" t="n">
        <v>3666.8</v>
      </c>
    </row>
    <row r="2906">
      <c r="A2906" s="89" t="n">
        <v>43248</v>
      </c>
      <c r="D2906" t="n">
        <v>3664.2</v>
      </c>
    </row>
    <row r="2907">
      <c r="A2907" s="89" t="n">
        <v>43252</v>
      </c>
      <c r="B2907" t="n">
        <v>1454.4</v>
      </c>
      <c r="C2907" t="n">
        <v>5615.9</v>
      </c>
      <c r="E2907" t="n">
        <v>14102.6</v>
      </c>
    </row>
    <row r="2908">
      <c r="A2908" s="89" t="n">
        <v>43255</v>
      </c>
      <c r="D2908" t="n">
        <v>3672.2</v>
      </c>
    </row>
    <row r="2909">
      <c r="A2909" s="89" t="n">
        <v>43262</v>
      </c>
      <c r="D2909" t="n">
        <v>3654.6</v>
      </c>
    </row>
    <row r="2910">
      <c r="A2910" s="89" t="n">
        <v>43269</v>
      </c>
      <c r="D2910" t="n">
        <v>3651.1</v>
      </c>
    </row>
    <row r="2911">
      <c r="A2911" s="89" t="n">
        <v>43276</v>
      </c>
      <c r="D2911" t="n">
        <v>3655.1</v>
      </c>
    </row>
    <row r="2912">
      <c r="A2912" s="89" t="n">
        <v>43282</v>
      </c>
      <c r="B2912" t="n">
        <v>1463.3</v>
      </c>
      <c r="C2912" t="n">
        <v>5625</v>
      </c>
      <c r="E2912" t="n">
        <v>14137</v>
      </c>
      <c r="F2912" t="n">
        <v>1.459</v>
      </c>
    </row>
    <row r="2913">
      <c r="A2913" s="89" t="n">
        <v>43283</v>
      </c>
      <c r="D2913" t="n">
        <v>3673.2</v>
      </c>
    </row>
    <row r="2914">
      <c r="A2914" s="89" t="n">
        <v>43290</v>
      </c>
      <c r="D2914" t="n">
        <v>3682.1</v>
      </c>
    </row>
    <row r="2915">
      <c r="A2915" s="89" t="n">
        <v>43297</v>
      </c>
      <c r="D2915" t="n">
        <v>3681.5</v>
      </c>
    </row>
    <row r="2916">
      <c r="A2916" s="89" t="n">
        <v>43304</v>
      </c>
      <c r="D2916" t="n">
        <v>3677.6</v>
      </c>
    </row>
    <row r="2917">
      <c r="A2917" s="89" t="n">
        <v>43311</v>
      </c>
      <c r="D2917" t="n">
        <v>3681.9</v>
      </c>
    </row>
    <row r="2918">
      <c r="A2918" s="89" t="n">
        <v>43313</v>
      </c>
      <c r="B2918" t="n">
        <v>1467</v>
      </c>
      <c r="C2918" t="n">
        <v>5635.5</v>
      </c>
      <c r="E2918" t="n">
        <v>14187.4</v>
      </c>
    </row>
    <row r="2919">
      <c r="A2919" s="89" t="n">
        <v>43318</v>
      </c>
      <c r="D2919" t="n">
        <v>3661.4</v>
      </c>
    </row>
    <row r="2920">
      <c r="A2920" s="89" t="n">
        <v>43325</v>
      </c>
      <c r="D2920" t="n">
        <v>3677</v>
      </c>
    </row>
    <row r="2921">
      <c r="A2921" s="89" t="n">
        <v>43332</v>
      </c>
      <c r="D2921" t="n">
        <v>3676</v>
      </c>
    </row>
    <row r="2922">
      <c r="A2922" s="89" t="n">
        <v>43339</v>
      </c>
      <c r="D2922" t="n">
        <v>3695.2</v>
      </c>
    </row>
    <row r="2923">
      <c r="A2923" s="89" t="n">
        <v>43344</v>
      </c>
      <c r="B2923" t="n">
        <v>1467.6</v>
      </c>
      <c r="C2923" t="n">
        <v>5635.4</v>
      </c>
      <c r="E2923" t="n">
        <v>14214.6</v>
      </c>
    </row>
    <row r="2924">
      <c r="A2924" s="89" t="n">
        <v>43346</v>
      </c>
      <c r="D2924" t="n">
        <v>3779.6</v>
      </c>
    </row>
    <row r="2925">
      <c r="A2925" s="89" t="n">
        <v>43353</v>
      </c>
      <c r="D2925" t="n">
        <v>3710.1</v>
      </c>
    </row>
    <row r="2926">
      <c r="A2926" s="89" t="n">
        <v>43360</v>
      </c>
      <c r="D2926" t="n">
        <v>3691.7</v>
      </c>
    </row>
    <row r="2927">
      <c r="A2927" s="89" t="n">
        <v>43367</v>
      </c>
      <c r="D2927" t="n">
        <v>3704.6</v>
      </c>
    </row>
    <row r="2928">
      <c r="A2928" s="89" t="n">
        <v>43374</v>
      </c>
      <c r="B2928" t="n">
        <v>1474.4</v>
      </c>
      <c r="C2928" t="n">
        <v>5627</v>
      </c>
      <c r="D2928" t="n">
        <v>3693.1</v>
      </c>
      <c r="E2928" t="n">
        <v>14228.5</v>
      </c>
      <c r="F2928" t="n">
        <v>1.458</v>
      </c>
    </row>
    <row r="2929">
      <c r="A2929" s="89" t="n">
        <v>43381</v>
      </c>
      <c r="D2929" t="n">
        <v>3708.5</v>
      </c>
    </row>
    <row r="2930">
      <c r="A2930" s="89" t="n">
        <v>43388</v>
      </c>
      <c r="D2930" t="n">
        <v>3723.5</v>
      </c>
    </row>
    <row r="2931">
      <c r="A2931" s="89" t="n">
        <v>43395</v>
      </c>
      <c r="D2931" t="n">
        <v>3744.5</v>
      </c>
    </row>
    <row r="2932">
      <c r="A2932" s="89" t="n">
        <v>43402</v>
      </c>
      <c r="D2932" t="n">
        <v>3729.1</v>
      </c>
    </row>
    <row r="2933">
      <c r="A2933" s="89" t="n">
        <v>43405</v>
      </c>
      <c r="B2933" t="n">
        <v>1466.7</v>
      </c>
      <c r="C2933" t="n">
        <v>5636.7</v>
      </c>
      <c r="E2933" t="n">
        <v>14241.6</v>
      </c>
    </row>
    <row r="2934">
      <c r="A2934" s="89" t="n">
        <v>43409</v>
      </c>
      <c r="D2934" t="n">
        <v>3689.6</v>
      </c>
    </row>
    <row r="2935">
      <c r="A2935" s="89" t="n">
        <v>43416</v>
      </c>
      <c r="D2935" t="n">
        <v>3687.3</v>
      </c>
    </row>
    <row r="2936">
      <c r="A2936" s="89" t="n">
        <v>43423</v>
      </c>
      <c r="D2936" t="n">
        <v>3688.2</v>
      </c>
    </row>
    <row r="2937">
      <c r="A2937" s="89" t="n">
        <v>43430</v>
      </c>
      <c r="D2937" t="n">
        <v>3692.6</v>
      </c>
    </row>
    <row r="2938">
      <c r="A2938" s="89" t="n">
        <v>43435</v>
      </c>
      <c r="B2938" t="n">
        <v>1490.2</v>
      </c>
      <c r="C2938" t="n">
        <v>5685.5</v>
      </c>
      <c r="E2938" t="n">
        <v>14358.8</v>
      </c>
    </row>
    <row r="2939">
      <c r="A2939" s="89" t="n">
        <v>43437</v>
      </c>
      <c r="D2939" t="n">
        <v>3780.5</v>
      </c>
    </row>
    <row r="2940">
      <c r="A2940" s="89" t="n">
        <v>43444</v>
      </c>
      <c r="D2940" t="n">
        <v>3769.8</v>
      </c>
    </row>
    <row r="2941">
      <c r="A2941" s="89" t="n">
        <v>43451</v>
      </c>
      <c r="D2941" t="n">
        <v>3712.9</v>
      </c>
    </row>
    <row r="2942">
      <c r="A2942" s="89" t="n">
        <v>43458</v>
      </c>
      <c r="D2942" t="n">
        <v>3760.7</v>
      </c>
    </row>
    <row r="2943">
      <c r="A2943" s="89" t="n">
        <v>43465</v>
      </c>
      <c r="D2943" t="n">
        <v>3744.6</v>
      </c>
    </row>
    <row r="2944">
      <c r="A2944" s="89" t="n">
        <v>43466</v>
      </c>
      <c r="B2944" t="n">
        <v>1487.2</v>
      </c>
      <c r="C2944" t="n">
        <v>5715.8</v>
      </c>
      <c r="E2944" t="n">
        <v>14430.8</v>
      </c>
      <c r="F2944" t="n">
        <v>1.452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1486.5</v>
      </c>
      <c r="C2949" t="n">
        <v>5717.2</v>
      </c>
      <c r="E2949" t="n">
        <v>14472.3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1468.3</v>
      </c>
      <c r="C2954" t="n">
        <v>5706.7</v>
      </c>
      <c r="E2954" t="n">
        <v>14510.7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1479.4</v>
      </c>
      <c r="C2959" t="n">
        <v>5698.7</v>
      </c>
      <c r="D2959" t="n">
        <v>3731.6</v>
      </c>
      <c r="E2959" t="n">
        <v>14541</v>
      </c>
      <c r="F2959" t="n">
        <v>1.453</v>
      </c>
    </row>
    <row r="2960">
      <c r="A2960" s="89" t="n">
        <v>43563</v>
      </c>
      <c r="D2960" t="n">
        <v>3747.3</v>
      </c>
    </row>
    <row r="2961">
      <c r="A2961" s="89" t="n">
        <v>43570</v>
      </c>
      <c r="D2961" t="n">
        <v>3797.5</v>
      </c>
    </row>
    <row r="2962">
      <c r="A2962" s="89" t="n">
        <v>43577</v>
      </c>
      <c r="D2962" t="n">
        <v>3790.6</v>
      </c>
    </row>
    <row r="2963">
      <c r="A2963" s="89" t="n">
        <v>43584</v>
      </c>
      <c r="D2963" t="n">
        <v>3814</v>
      </c>
    </row>
    <row r="2964">
      <c r="A2964" s="89" t="n">
        <v>43586</v>
      </c>
      <c r="B2964" t="n">
        <v>1481.7</v>
      </c>
      <c r="C2964" t="n">
        <v>5730.9</v>
      </c>
      <c r="E2964" t="n">
        <v>14632.5</v>
      </c>
    </row>
    <row r="2965">
      <c r="A2965" s="89" t="n">
        <v>43591</v>
      </c>
      <c r="D2965" t="n">
        <v>3766.3</v>
      </c>
    </row>
    <row r="2966">
      <c r="A2966" s="89" t="n">
        <v>43598</v>
      </c>
      <c r="D2966" t="n">
        <v>3773.5</v>
      </c>
    </row>
    <row r="2967">
      <c r="A2967" s="89" t="n">
        <v>43605</v>
      </c>
      <c r="D2967" t="n">
        <v>3782.7</v>
      </c>
    </row>
    <row r="2968">
      <c r="A2968" s="89" t="n">
        <v>43612</v>
      </c>
      <c r="D2968" t="n">
        <v>3810.8</v>
      </c>
    </row>
    <row r="2969">
      <c r="A2969" s="89" t="n">
        <v>43617</v>
      </c>
      <c r="B2969" t="n">
        <v>1497.6</v>
      </c>
      <c r="C2969" t="n">
        <v>5778</v>
      </c>
      <c r="E2969" t="n">
        <v>14754.8</v>
      </c>
    </row>
    <row r="2970">
      <c r="A2970" s="89" t="n">
        <v>43619</v>
      </c>
      <c r="D2970" t="n">
        <v>3877</v>
      </c>
    </row>
    <row r="2971">
      <c r="A2971" s="89" t="n">
        <v>43626</v>
      </c>
      <c r="D2971" t="n">
        <v>3840.5</v>
      </c>
    </row>
    <row r="2972">
      <c r="A2972" s="89" t="n">
        <v>43633</v>
      </c>
      <c r="D2972" t="n">
        <v>3833.5</v>
      </c>
    </row>
    <row r="2973">
      <c r="A2973" s="89" t="n">
        <v>43640</v>
      </c>
      <c r="D2973" t="n">
        <v>3830.7</v>
      </c>
    </row>
    <row r="2974">
      <c r="A2974" s="89" t="n">
        <v>43647</v>
      </c>
      <c r="B2974" t="n">
        <v>1507.2</v>
      </c>
      <c r="C2974" t="n">
        <v>5796.7</v>
      </c>
      <c r="D2974" t="n">
        <v>3819.5</v>
      </c>
      <c r="E2974" t="n">
        <v>14833.8</v>
      </c>
      <c r="F2974" t="n">
        <v>1.443</v>
      </c>
    </row>
    <row r="2975">
      <c r="A2975" s="89" t="n">
        <v>43654</v>
      </c>
      <c r="D2975" t="n">
        <v>3838.3</v>
      </c>
    </row>
    <row r="2976">
      <c r="A2976" s="89" t="n">
        <v>43661</v>
      </c>
      <c r="D2976" t="n">
        <v>3857.4</v>
      </c>
    </row>
    <row r="2977">
      <c r="A2977" s="89" t="n">
        <v>43668</v>
      </c>
      <c r="D2977" t="n">
        <v>3876.3</v>
      </c>
    </row>
    <row r="2978">
      <c r="A2978" s="89" t="n">
        <v>43675</v>
      </c>
      <c r="D2978" t="n">
        <v>3873.6</v>
      </c>
    </row>
    <row r="2979">
      <c r="A2979" s="89" t="n">
        <v>43678</v>
      </c>
      <c r="B2979" t="n">
        <v>1506.3</v>
      </c>
      <c r="C2979" t="n">
        <v>5824</v>
      </c>
      <c r="E2979" t="n">
        <v>14919.8</v>
      </c>
    </row>
    <row r="2980">
      <c r="A2980" s="89" t="n">
        <v>43682</v>
      </c>
      <c r="D2980" t="n">
        <v>3876</v>
      </c>
    </row>
    <row r="2981">
      <c r="A2981" s="89" t="n">
        <v>43689</v>
      </c>
      <c r="D2981" t="n">
        <v>3862</v>
      </c>
    </row>
    <row r="2982">
      <c r="A2982" s="89" t="n">
        <v>43696</v>
      </c>
      <c r="D2982" t="n">
        <v>3833.2</v>
      </c>
    </row>
    <row r="2983">
      <c r="A2983" s="89" t="n">
        <v>43703</v>
      </c>
      <c r="D2983" t="n">
        <v>3845.8</v>
      </c>
    </row>
    <row r="2984">
      <c r="A2984" s="89" t="n">
        <v>43709</v>
      </c>
      <c r="B2984" t="n">
        <v>1519.9</v>
      </c>
      <c r="C2984" t="n">
        <v>5847.6</v>
      </c>
      <c r="E2984" t="n">
        <v>15004.8</v>
      </c>
    </row>
    <row r="2985">
      <c r="A2985" s="89" t="n">
        <v>43710</v>
      </c>
      <c r="D2985" t="n">
        <v>3878.9</v>
      </c>
    </row>
    <row r="2986">
      <c r="A2986" s="89" t="n">
        <v>43717</v>
      </c>
      <c r="D2986" t="n">
        <v>3896.9</v>
      </c>
    </row>
    <row r="2987">
      <c r="A2987" s="89" t="n">
        <v>43724</v>
      </c>
      <c r="D2987" t="n">
        <v>3896.8</v>
      </c>
    </row>
    <row r="2988">
      <c r="A2988" s="89" t="n">
        <v>43731</v>
      </c>
      <c r="D2988" t="n">
        <v>3912</v>
      </c>
    </row>
    <row r="2989">
      <c r="A2989" s="89" t="n">
        <v>43738</v>
      </c>
      <c r="D2989" t="n">
        <v>3929.1</v>
      </c>
    </row>
    <row r="2990">
      <c r="A2990" s="89" t="n">
        <v>43739</v>
      </c>
      <c r="B2990" t="n">
        <v>1529.4</v>
      </c>
      <c r="C2990" t="n">
        <v>5885.7</v>
      </c>
      <c r="E2990" t="n">
        <v>15144.2</v>
      </c>
      <c r="F2990" t="n">
        <v>1.425</v>
      </c>
    </row>
    <row r="2991">
      <c r="A2991" s="89" t="n">
        <v>43745</v>
      </c>
      <c r="D2991" t="n">
        <v>3894.7</v>
      </c>
    </row>
    <row r="2992">
      <c r="A2992" s="89" t="n">
        <v>43752</v>
      </c>
      <c r="D2992" t="n">
        <v>3931.6</v>
      </c>
    </row>
    <row r="2993">
      <c r="A2993" s="89" t="n">
        <v>43759</v>
      </c>
      <c r="D2993" t="n">
        <v>3929.9</v>
      </c>
    </row>
    <row r="2994">
      <c r="A2994" s="89" t="n">
        <v>43766</v>
      </c>
      <c r="D2994" t="n">
        <v>3935.3</v>
      </c>
    </row>
    <row r="2995">
      <c r="A2995" s="89" t="n">
        <v>43770</v>
      </c>
      <c r="B2995" t="n">
        <v>1534.3</v>
      </c>
      <c r="C2995" t="n">
        <v>5915.7</v>
      </c>
      <c r="E2995" t="n">
        <v>15249.9</v>
      </c>
    </row>
    <row r="2996">
      <c r="A2996" s="89" t="n">
        <v>43773</v>
      </c>
      <c r="D2996" t="n">
        <v>3956.2</v>
      </c>
    </row>
    <row r="2997">
      <c r="A2997" s="89" t="n">
        <v>43780</v>
      </c>
      <c r="D2997" t="n">
        <v>3956.4</v>
      </c>
    </row>
    <row r="2998">
      <c r="A2998" s="89" t="n">
        <v>43787</v>
      </c>
      <c r="D2998" t="n">
        <v>3928.9</v>
      </c>
    </row>
    <row r="2999">
      <c r="A2999" s="89" t="n">
        <v>43794</v>
      </c>
      <c r="D2999" t="n">
        <v>3963.3</v>
      </c>
    </row>
    <row r="3000">
      <c r="A3000" s="89" t="n">
        <v>43800</v>
      </c>
      <c r="B3000" t="n">
        <v>1551.6</v>
      </c>
      <c r="C3000" t="n">
        <v>5931.6</v>
      </c>
      <c r="E3000" t="n">
        <v>15319.1</v>
      </c>
    </row>
    <row r="3001">
      <c r="A3001" s="89" t="n">
        <v>43801</v>
      </c>
      <c r="D3001" t="n">
        <v>3954.6</v>
      </c>
    </row>
    <row r="3002">
      <c r="A3002" s="89" t="n">
        <v>43808</v>
      </c>
      <c r="D3002" t="n">
        <v>3979.3</v>
      </c>
    </row>
    <row r="3003">
      <c r="A3003" s="89" t="n">
        <v>43815</v>
      </c>
      <c r="D3003" t="n">
        <v>3992.9</v>
      </c>
    </row>
    <row r="3004">
      <c r="A3004" s="89" t="n">
        <v>43822</v>
      </c>
      <c r="D3004" t="n">
        <v>3999.9</v>
      </c>
    </row>
    <row r="3005">
      <c r="A3005" s="89" t="n">
        <v>43829</v>
      </c>
      <c r="D3005" t="n">
        <v>3964.4</v>
      </c>
    </row>
    <row r="3006">
      <c r="A3006" s="89" t="n">
        <v>43831</v>
      </c>
      <c r="B3006" t="n">
        <v>1543.8</v>
      </c>
      <c r="C3006" t="n">
        <v>5954</v>
      </c>
      <c r="E3006" t="n">
        <v>15401.8</v>
      </c>
      <c r="F3006" t="n">
        <v>1.379</v>
      </c>
    </row>
    <row r="3007">
      <c r="A3007" s="89" t="n">
        <v>43836</v>
      </c>
      <c r="D3007" t="n">
        <v>3948.9</v>
      </c>
    </row>
    <row r="3008">
      <c r="A3008" s="89" t="n">
        <v>43843</v>
      </c>
      <c r="D3008" t="n">
        <v>3950.6</v>
      </c>
    </row>
    <row r="3009">
      <c r="A3009" s="89" t="n">
        <v>43850</v>
      </c>
      <c r="D3009" t="n">
        <v>3978.9</v>
      </c>
    </row>
    <row r="3010">
      <c r="A3010" s="89" t="n">
        <v>43857</v>
      </c>
      <c r="D3010" t="n">
        <v>3963.1</v>
      </c>
    </row>
    <row r="3011">
      <c r="A3011" s="89" t="n">
        <v>43862</v>
      </c>
      <c r="B3011" t="n">
        <v>1545.5</v>
      </c>
      <c r="C3011" t="n">
        <v>5968.4</v>
      </c>
      <c r="E3011" t="n">
        <v>15458.7</v>
      </c>
    </row>
    <row r="3012">
      <c r="A3012" s="89" t="n">
        <v>43864</v>
      </c>
      <c r="D3012" t="n">
        <v>4082.2</v>
      </c>
    </row>
    <row r="3013">
      <c r="A3013" s="89" t="n">
        <v>43871</v>
      </c>
      <c r="D3013" t="n">
        <v>4013.7</v>
      </c>
    </row>
    <row r="3014">
      <c r="A3014" s="89" t="n">
        <v>43878</v>
      </c>
      <c r="D3014" t="n">
        <v>3984.5</v>
      </c>
    </row>
    <row r="3015">
      <c r="A3015" s="89" t="n">
        <v>43885</v>
      </c>
      <c r="D3015" t="n">
        <v>3972.3</v>
      </c>
    </row>
    <row r="3016">
      <c r="A3016" s="89" t="n">
        <v>43891</v>
      </c>
      <c r="B3016" t="n">
        <v>1650.8</v>
      </c>
      <c r="C3016" t="n">
        <v>6193.2</v>
      </c>
      <c r="E3016" t="n">
        <v>15988.6</v>
      </c>
    </row>
    <row r="3017">
      <c r="A3017" s="89" t="n">
        <v>43892</v>
      </c>
      <c r="D3017" t="n">
        <v>4029.1</v>
      </c>
    </row>
    <row r="3018">
      <c r="A3018" s="89" t="n">
        <v>43899</v>
      </c>
      <c r="D3018" t="n">
        <v>4064.6</v>
      </c>
    </row>
    <row r="3019">
      <c r="A3019" s="89" t="n">
        <v>43906</v>
      </c>
      <c r="D3019" t="n">
        <v>4127.7</v>
      </c>
    </row>
    <row r="3020">
      <c r="A3020" s="89" t="n">
        <v>43913</v>
      </c>
      <c r="D3020" t="n">
        <v>4314.5</v>
      </c>
    </row>
    <row r="3021">
      <c r="A3021" s="89" t="n">
        <v>43920</v>
      </c>
      <c r="D3021" t="n">
        <v>4514</v>
      </c>
    </row>
    <row r="3022">
      <c r="A3022" s="89" t="n">
        <v>43922</v>
      </c>
      <c r="B3022" t="n">
        <v>1866.4</v>
      </c>
      <c r="C3022" t="n">
        <v>6639.2</v>
      </c>
      <c r="E3022" t="n">
        <v>17002.5</v>
      </c>
      <c r="F3022" t="n">
        <v>1.112</v>
      </c>
    </row>
    <row r="3023">
      <c r="A3023" s="89" t="n">
        <v>43927</v>
      </c>
      <c r="D3023" t="n">
        <v>4592.2</v>
      </c>
    </row>
    <row r="3024">
      <c r="A3024" s="89" t="n">
        <v>43934</v>
      </c>
      <c r="D3024" t="n">
        <v>4717.8</v>
      </c>
    </row>
    <row r="3025">
      <c r="A3025" s="89" t="n">
        <v>43941</v>
      </c>
      <c r="D3025" t="n">
        <v>4851.2</v>
      </c>
    </row>
    <row r="3026">
      <c r="A3026" s="89" t="n">
        <v>43948</v>
      </c>
      <c r="D3026" t="n">
        <v>4899.4</v>
      </c>
    </row>
    <row r="3027">
      <c r="A3027" s="89" t="n">
        <v>43952</v>
      </c>
      <c r="B3027" t="n">
        <v>6342.4</v>
      </c>
      <c r="C3027" t="n">
        <v>6968.4</v>
      </c>
      <c r="E3027" t="n">
        <v>17835.2</v>
      </c>
    </row>
    <row r="3028">
      <c r="A3028" s="89" t="n">
        <v>43955</v>
      </c>
      <c r="D3028" t="n">
        <v>15982.2</v>
      </c>
    </row>
    <row r="3029">
      <c r="A3029" s="89" t="n">
        <v>43962</v>
      </c>
      <c r="D3029" t="n">
        <v>16201.5</v>
      </c>
    </row>
    <row r="3030">
      <c r="A3030" s="89" t="n">
        <v>43969</v>
      </c>
      <c r="D3030" t="n">
        <v>16292.5</v>
      </c>
    </row>
    <row r="3031">
      <c r="A3031" s="89" t="n">
        <v>43976</v>
      </c>
      <c r="D3031" t="n">
        <v>16319.8</v>
      </c>
    </row>
    <row r="3032">
      <c r="A3032" s="89" t="n">
        <v>43983</v>
      </c>
      <c r="B3032" t="n">
        <v>6439.5</v>
      </c>
      <c r="C3032" t="n">
        <v>7048.3</v>
      </c>
      <c r="D3032" t="n">
        <v>16364</v>
      </c>
      <c r="E3032" t="n">
        <v>18129.3</v>
      </c>
    </row>
    <row r="3033">
      <c r="A3033" s="89" t="n">
        <v>43990</v>
      </c>
      <c r="D3033" t="n">
        <v>16467.2</v>
      </c>
    </row>
    <row r="3034">
      <c r="A3034" s="89" t="n">
        <v>43997</v>
      </c>
      <c r="D3034" t="n">
        <v>16554.6</v>
      </c>
    </row>
    <row r="3035">
      <c r="A3035" s="89" t="n">
        <v>44004</v>
      </c>
      <c r="D3035" t="n">
        <v>16654.9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6484</v>
      </c>
      <c r="C3037" t="n">
        <v>7069.5</v>
      </c>
      <c r="E3037" t="n">
        <v>18277.8</v>
      </c>
      <c r="F3037" t="n">
        <v>1.161</v>
      </c>
    </row>
    <row r="3038">
      <c r="A3038" s="89" t="n">
        <v>44018</v>
      </c>
      <c r="D3038" t="n">
        <v>16763.2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16781.8</v>
      </c>
    </row>
    <row r="3041">
      <c r="A3041" s="89" t="n">
        <v>44039</v>
      </c>
      <c r="D3041" t="n">
        <v>16753.2</v>
      </c>
    </row>
    <row r="3042">
      <c r="A3042" s="89" t="n">
        <v>44044</v>
      </c>
      <c r="B3042" t="n">
        <v>6509.2</v>
      </c>
      <c r="C3042" t="n">
        <v>7072</v>
      </c>
      <c r="E3042" t="n">
        <v>18357.4</v>
      </c>
    </row>
    <row r="3043">
      <c r="A3043" s="89" t="n">
        <v>44046</v>
      </c>
      <c r="D3043" t="n">
        <v>16734.6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16880.5</v>
      </c>
    </row>
    <row r="3047">
      <c r="A3047" s="89" t="n">
        <v>44074</v>
      </c>
      <c r="D3047" t="n">
        <v>16962.7</v>
      </c>
    </row>
    <row r="3048">
      <c r="A3048" s="89" t="n">
        <v>44075</v>
      </c>
      <c r="B3048" t="n">
        <v>6595.8</v>
      </c>
      <c r="C3048" t="n">
        <v>7139.1</v>
      </c>
      <c r="E3048" t="n">
        <v>18575.2</v>
      </c>
    </row>
    <row r="3049">
      <c r="A3049" s="89" t="n">
        <v>44081</v>
      </c>
      <c r="D3049" t="n">
        <v>17087.6</v>
      </c>
    </row>
    <row r="3050">
      <c r="A3050" s="89" t="n">
        <v>44088</v>
      </c>
      <c r="D3050" t="n">
        <v>17214.6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17174.9</v>
      </c>
    </row>
    <row r="3053">
      <c r="A3053" s="89" t="n">
        <v>44105</v>
      </c>
      <c r="B3053" t="n">
        <v>6669.9</v>
      </c>
      <c r="C3053" t="n">
        <v>7196.3</v>
      </c>
      <c r="E3053" t="n">
        <v>18735.7</v>
      </c>
      <c r="F3053" t="n">
        <v>1.146</v>
      </c>
    </row>
    <row r="3054">
      <c r="A3054" s="89" t="n">
        <v>44109</v>
      </c>
      <c r="D3054" t="n">
        <v>17224.2</v>
      </c>
    </row>
    <row r="3055">
      <c r="A3055" s="89" t="n">
        <v>44116</v>
      </c>
      <c r="D3055" t="n">
        <v>17331.8</v>
      </c>
    </row>
    <row r="3056">
      <c r="A3056" s="89" t="n">
        <v>44123</v>
      </c>
      <c r="D3056" t="n">
        <v>17350.6</v>
      </c>
    </row>
    <row r="3057">
      <c r="A3057" s="89" t="n">
        <v>44130</v>
      </c>
      <c r="D3057" t="n">
        <v>17376.1</v>
      </c>
    </row>
    <row r="3058">
      <c r="A3058" s="89" t="n">
        <v>44136</v>
      </c>
      <c r="B3058" t="n">
        <v>6760.8</v>
      </c>
      <c r="C3058" t="n">
        <v>7275.9</v>
      </c>
      <c r="E3058" t="n">
        <v>18969.8</v>
      </c>
    </row>
    <row r="3059">
      <c r="A3059" s="89" t="n">
        <v>44137</v>
      </c>
      <c r="D3059" t="n">
        <v>17431.2</v>
      </c>
    </row>
    <row r="3060">
      <c r="A3060" s="89" t="n">
        <v>44144</v>
      </c>
      <c r="D3060" t="n">
        <v>17593.4</v>
      </c>
    </row>
    <row r="3061">
      <c r="A3061" s="89" t="n">
        <v>44151</v>
      </c>
      <c r="D3061" t="n">
        <v>17638.4</v>
      </c>
    </row>
    <row r="3062">
      <c r="A3062" s="89" t="n">
        <v>44158</v>
      </c>
      <c r="D3062" t="n">
        <v>17657.9</v>
      </c>
    </row>
    <row r="3063">
      <c r="A3063" s="89" t="n">
        <v>44165</v>
      </c>
      <c r="D3063" t="n">
        <v>17547.6</v>
      </c>
    </row>
    <row r="3064">
      <c r="A3064" s="89" t="n">
        <v>44166</v>
      </c>
      <c r="B3064" t="n">
        <v>6818.4</v>
      </c>
      <c r="C3064" t="n">
        <v>7311.7</v>
      </c>
      <c r="E3064" t="n">
        <v>19124.8</v>
      </c>
    </row>
    <row r="3065">
      <c r="A3065" s="89" t="n">
        <v>44172</v>
      </c>
      <c r="D3065" t="n">
        <v>17777.4</v>
      </c>
    </row>
    <row r="3066">
      <c r="A3066" s="89" t="n">
        <v>44179</v>
      </c>
      <c r="D3066" t="n">
        <v>17853.5</v>
      </c>
    </row>
    <row r="3067">
      <c r="A3067" s="89" t="n">
        <v>44186</v>
      </c>
      <c r="D3067" t="n">
        <v>17762.7</v>
      </c>
    </row>
    <row r="3068">
      <c r="A3068" s="89" t="n">
        <v>44193</v>
      </c>
      <c r="D3068" t="n">
        <v>17659.6</v>
      </c>
    </row>
    <row r="3069">
      <c r="A3069" s="89" t="n">
        <v>44197</v>
      </c>
      <c r="B3069" t="n">
        <v>6905.8</v>
      </c>
      <c r="C3069" t="n">
        <v>7388.4</v>
      </c>
      <c r="E3069" t="n">
        <v>19372.5</v>
      </c>
      <c r="F3069" t="n">
        <v>1.138</v>
      </c>
    </row>
    <row r="3070">
      <c r="A3070" s="89" t="n">
        <v>44200</v>
      </c>
      <c r="D3070" t="n">
        <v>17769.8</v>
      </c>
    </row>
    <row r="3071">
      <c r="A3071" s="89" t="n">
        <v>44207</v>
      </c>
      <c r="D3071" t="n">
        <v>18141.9</v>
      </c>
    </row>
    <row r="3072">
      <c r="A3072" s="89" t="n">
        <v>44214</v>
      </c>
      <c r="D3072" t="n">
        <v>18151</v>
      </c>
    </row>
    <row r="3073">
      <c r="A3073" s="89" t="n">
        <v>44221</v>
      </c>
      <c r="D3073" t="n">
        <v>18107.6</v>
      </c>
    </row>
    <row r="3074">
      <c r="A3074" s="89" t="n">
        <v>44228</v>
      </c>
      <c r="B3074" t="n">
        <v>6974.6</v>
      </c>
      <c r="C3074" t="n">
        <v>7448.5</v>
      </c>
      <c r="D3074" t="n">
        <v>18104.6</v>
      </c>
      <c r="E3074" t="n">
        <v>19615.2</v>
      </c>
    </row>
    <row r="3075">
      <c r="A3075" s="89" t="n">
        <v>44256</v>
      </c>
      <c r="B3075" t="n">
        <v>7033.7</v>
      </c>
      <c r="C3075" t="n">
        <v>7491.2</v>
      </c>
      <c r="E3075" t="n">
        <v>19853.8</v>
      </c>
    </row>
    <row r="3076">
      <c r="A3076" s="89" t="n">
        <v>44287</v>
      </c>
      <c r="B3076" t="n">
        <v>7096.2</v>
      </c>
      <c r="C3076" t="n">
        <v>7539.8</v>
      </c>
      <c r="E3076" t="n">
        <v>20110.7</v>
      </c>
      <c r="F3076" t="n">
        <v>1.134</v>
      </c>
    </row>
    <row r="3077">
      <c r="A3077" s="89" t="n">
        <v>44317</v>
      </c>
      <c r="B3077" t="n">
        <v>7170.4</v>
      </c>
      <c r="C3077" t="n">
        <v>7601.9</v>
      </c>
      <c r="E3077" t="n">
        <v>20418.7</v>
      </c>
    </row>
    <row r="3078">
      <c r="A3078" s="89" t="n">
        <v>44348</v>
      </c>
      <c r="B3078" t="n">
        <v>7130.2</v>
      </c>
      <c r="C3078" t="n">
        <v>7551.1</v>
      </c>
      <c r="E3078" t="n">
        <v>20460.1</v>
      </c>
    </row>
    <row r="3079">
      <c r="A3079" s="89" t="n">
        <v>44378</v>
      </c>
      <c r="B3079" t="n">
        <v>7161.3</v>
      </c>
      <c r="C3079" t="n">
        <v>7574</v>
      </c>
      <c r="E3079" t="n">
        <v>20615.3</v>
      </c>
      <c r="F3079" t="n">
        <v>1.132</v>
      </c>
    </row>
    <row r="3080">
      <c r="A3080" s="89" t="n">
        <v>44409</v>
      </c>
      <c r="B3080" t="n">
        <v>7224.2</v>
      </c>
      <c r="C3080" t="n">
        <v>7629.4</v>
      </c>
      <c r="E3080" t="n">
        <v>20835.3</v>
      </c>
    </row>
    <row r="3081">
      <c r="A3081" s="89" t="n">
        <v>44440</v>
      </c>
      <c r="B3081" t="n">
        <v>7247.1</v>
      </c>
      <c r="C3081" t="n">
        <v>7645.7</v>
      </c>
      <c r="E3081" t="n">
        <v>20965.7</v>
      </c>
    </row>
    <row r="3082">
      <c r="A3082" s="89" t="n">
        <v>44470</v>
      </c>
      <c r="B3082" t="n">
        <v>7253.9</v>
      </c>
      <c r="C3082" t="n">
        <v>7644.5</v>
      </c>
      <c r="E3082" t="n">
        <v>21143.9</v>
      </c>
      <c r="F3082" t="n">
        <v>1.142</v>
      </c>
    </row>
    <row r="3083">
      <c r="A3083" s="89" t="n">
        <v>44501</v>
      </c>
      <c r="B3083" t="n">
        <v>7281.1</v>
      </c>
      <c r="C3083" t="n">
        <v>7665.1</v>
      </c>
      <c r="E3083" t="n">
        <v>21349.2</v>
      </c>
    </row>
    <row r="3084">
      <c r="A3084" s="89" t="n">
        <v>44531</v>
      </c>
      <c r="B3084" t="n">
        <v>7293.4</v>
      </c>
      <c r="C3084" t="n">
        <v>7671.5</v>
      </c>
      <c r="E3084" t="n">
        <v>21490</v>
      </c>
    </row>
    <row r="3085">
      <c r="A3085" s="89" t="n">
        <v>44562</v>
      </c>
      <c r="B3085" t="n">
        <v>7301.6</v>
      </c>
      <c r="C3085" t="n">
        <v>7679</v>
      </c>
      <c r="E3085" t="n">
        <v>21649.6</v>
      </c>
      <c r="F3085" t="n">
        <v>1.14</v>
      </c>
    </row>
    <row r="3086">
      <c r="A3086" s="89" t="n">
        <v>44593</v>
      </c>
      <c r="B3086" t="n">
        <v>7270.3</v>
      </c>
      <c r="C3086" t="n">
        <v>7638.9</v>
      </c>
      <c r="E3086" t="n">
        <v>21708.4</v>
      </c>
    </row>
    <row r="3087">
      <c r="A3087" s="89" t="n">
        <v>44621</v>
      </c>
      <c r="B3087" t="n">
        <v>7194.5</v>
      </c>
      <c r="C3087" t="n">
        <v>7556.2</v>
      </c>
      <c r="E3087" t="n">
        <v>21739.7</v>
      </c>
    </row>
    <row r="3088">
      <c r="A3088" s="89" t="n">
        <v>44652</v>
      </c>
      <c r="B3088" t="n">
        <v>7142.4</v>
      </c>
      <c r="C3088" t="n">
        <v>7498.1</v>
      </c>
      <c r="E3088" t="n">
        <v>21644.3</v>
      </c>
      <c r="F3088" t="n">
        <v>1.167</v>
      </c>
    </row>
    <row r="3089">
      <c r="A3089" s="89" t="n">
        <v>44682</v>
      </c>
      <c r="B3089" t="n">
        <v>7077</v>
      </c>
      <c r="C3089" t="n">
        <v>7427.5</v>
      </c>
      <c r="E3089" t="n">
        <v>21649.2</v>
      </c>
    </row>
    <row r="3090">
      <c r="A3090" s="89" t="n">
        <v>44713</v>
      </c>
      <c r="B3090" t="n">
        <v>6960.6</v>
      </c>
      <c r="C3090" t="n">
        <v>7316.4</v>
      </c>
      <c r="E3090" t="n">
        <v>21607.4</v>
      </c>
    </row>
    <row r="3091">
      <c r="A3091" s="89" t="n">
        <v>44743</v>
      </c>
      <c r="B3091" t="n">
        <v>6953.8</v>
      </c>
      <c r="C3091" t="n">
        <v>7327.5</v>
      </c>
      <c r="E3091" t="n">
        <v>21636.1</v>
      </c>
      <c r="F3091" t="n">
        <v>1.191</v>
      </c>
    </row>
    <row r="3092">
      <c r="A3092" s="89" t="n">
        <v>44774</v>
      </c>
      <c r="B3092" t="n">
        <v>6925.2</v>
      </c>
      <c r="C3092" t="n">
        <v>7317.4</v>
      </c>
      <c r="E3092" t="n">
        <v>21631.8</v>
      </c>
    </row>
    <row r="3093">
      <c r="A3093" s="89" t="n">
        <v>44805</v>
      </c>
      <c r="B3093" t="n">
        <v>6834.9</v>
      </c>
      <c r="C3093" t="n">
        <v>7245.9</v>
      </c>
      <c r="E3093" t="n">
        <v>21503.1</v>
      </c>
    </row>
    <row r="3094">
      <c r="A3094" s="89" t="n">
        <v>44835</v>
      </c>
      <c r="B3094" t="n">
        <v>6743.5</v>
      </c>
      <c r="C3094" t="n">
        <v>7184.7</v>
      </c>
      <c r="E3094" t="n">
        <v>21414.8</v>
      </c>
    </row>
    <row r="3095">
      <c r="A3095" s="89" t="n">
        <v>44866</v>
      </c>
      <c r="B3095" t="n">
        <v>6681.2</v>
      </c>
      <c r="C3095" t="n">
        <v>7156.6</v>
      </c>
      <c r="E3095" t="n">
        <v>21351.6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25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8" defaultColWidth="9.1796875" defaultRowHeight="14.5"/>
  <cols>
    <col width="22.6328125" customWidth="1" style="79" min="1" max="1"/>
    <col width="9.1796875" customWidth="1" style="79" min="2" max="3"/>
    <col width="10.6328125" bestFit="1" customWidth="1" style="79" min="4" max="4"/>
    <col width="9.1796875" customWidth="1" style="79" min="5" max="32"/>
    <col width="9.1796875" customWidth="1" style="79" min="33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2.379387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2.400973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2.425879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2.441653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2.450786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2.460748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2.463239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2.461578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2.472371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2.475692</v>
      </c>
      <c r="AE110" t="n">
        <v/>
      </c>
    </row>
    <row r="111">
      <c r="A111" s="89" t="n">
        <v>21947</v>
      </c>
      <c r="B111" t="n">
        <v>0.3945881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2.477353</v>
      </c>
      <c r="AE111" t="n">
        <v/>
      </c>
    </row>
    <row r="112">
      <c r="A112" s="89" t="n">
        <v>21976</v>
      </c>
      <c r="B112" t="n">
        <v>0.397754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2.484824</v>
      </c>
      <c r="AE112" t="n">
        <v/>
      </c>
    </row>
    <row r="113">
      <c r="A113" s="89" t="n">
        <v>22007</v>
      </c>
      <c r="B113" t="n">
        <v>0.4003315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2.491466</v>
      </c>
      <c r="AE113" t="n">
        <v/>
      </c>
    </row>
    <row r="114">
      <c r="A114" s="89" t="n">
        <v>22037</v>
      </c>
      <c r="B114" t="n">
        <v>0.4047862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2.498108</v>
      </c>
      <c r="AE114" t="n">
        <v/>
      </c>
    </row>
    <row r="115">
      <c r="A115" s="89" t="n">
        <v>22068</v>
      </c>
      <c r="B115" t="n">
        <v>0.4070275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2.509731</v>
      </c>
      <c r="AE115" t="n">
        <v/>
      </c>
    </row>
    <row r="116">
      <c r="A116" s="89" t="n">
        <v>22098</v>
      </c>
      <c r="B116" t="n">
        <v>0.4082042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2.524675</v>
      </c>
      <c r="AE116" t="n">
        <v/>
      </c>
    </row>
    <row r="117">
      <c r="A117" s="89" t="n">
        <v>22129</v>
      </c>
      <c r="B117" t="n">
        <v>0.4096891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</v>
      </c>
      <c r="AE117" t="n">
        <v/>
      </c>
    </row>
    <row r="118">
      <c r="A118" s="89" t="n">
        <v>22160</v>
      </c>
      <c r="B118" t="n">
        <v>0.4099693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2.560374</v>
      </c>
      <c r="AE118" t="n">
        <v/>
      </c>
    </row>
    <row r="119">
      <c r="A119" s="89" t="n">
        <v>22190</v>
      </c>
      <c r="B119" t="n">
        <v>0.4107538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2.569506</v>
      </c>
      <c r="AE119" t="n">
        <v/>
      </c>
    </row>
    <row r="120">
      <c r="A120" s="89" t="n">
        <v>22221</v>
      </c>
      <c r="B120" t="n">
        <v>0.4103335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2.581129</v>
      </c>
      <c r="AE120" t="n">
        <v/>
      </c>
    </row>
    <row r="121">
      <c r="A121" s="89" t="n">
        <v>22251</v>
      </c>
      <c r="B121" t="n">
        <v>0.4091848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2.593582</v>
      </c>
      <c r="AE121" t="n">
        <v/>
      </c>
    </row>
    <row r="122">
      <c r="A122" s="89" t="n">
        <v>22282</v>
      </c>
      <c r="B122" t="n">
        <v>0.4078961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2.607696</v>
      </c>
      <c r="AE122" t="n">
        <v/>
      </c>
    </row>
    <row r="123">
      <c r="A123" s="89" t="n">
        <v>22313</v>
      </c>
      <c r="B123" t="n">
        <v>0.4071956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2.627621</v>
      </c>
      <c r="AE123" t="n">
        <v/>
      </c>
    </row>
    <row r="124">
      <c r="A124" s="89" t="n">
        <v>22341</v>
      </c>
      <c r="B124" t="n">
        <v>0.4070275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2.642565</v>
      </c>
      <c r="AE124" t="n">
        <v/>
      </c>
    </row>
    <row r="125">
      <c r="A125" s="89" t="n">
        <v>22372</v>
      </c>
      <c r="B125" t="n">
        <v>0.4090728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2.655848</v>
      </c>
      <c r="AE125" t="n">
        <v/>
      </c>
    </row>
    <row r="126">
      <c r="A126" s="89" t="n">
        <v>22402</v>
      </c>
      <c r="B126" t="n">
        <v>0.4121826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2.674943</v>
      </c>
      <c r="AE126" t="n">
        <v/>
      </c>
    </row>
    <row r="127">
      <c r="A127" s="89" t="n">
        <v>22433</v>
      </c>
      <c r="B127" t="n">
        <v>0.4138076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2.692377</v>
      </c>
      <c r="AE127" t="n">
        <v/>
      </c>
    </row>
    <row r="128">
      <c r="A128" s="89" t="n">
        <v>22463</v>
      </c>
      <c r="B128" t="n">
        <v>0.4156287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</v>
      </c>
      <c r="AE128" t="n">
        <v/>
      </c>
    </row>
    <row r="129">
      <c r="A129" s="89" t="n">
        <v>22494</v>
      </c>
      <c r="B129" t="n">
        <v>0.4170575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2.719774</v>
      </c>
      <c r="AE129" t="n">
        <v/>
      </c>
    </row>
    <row r="130">
      <c r="A130" s="89" t="n">
        <v>22525</v>
      </c>
      <c r="B130" t="n">
        <v>0.4196911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2.735548</v>
      </c>
      <c r="AE130" t="n">
        <v/>
      </c>
    </row>
    <row r="131">
      <c r="A131" s="89" t="n">
        <v>22555</v>
      </c>
      <c r="B131" t="n">
        <v>0.4231372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2.748832</v>
      </c>
      <c r="AE131" t="n">
        <v/>
      </c>
    </row>
    <row r="132">
      <c r="A132" s="89" t="n">
        <v>22586</v>
      </c>
      <c r="B132" t="n">
        <v>0.424454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2.767927</v>
      </c>
      <c r="AE132" t="n">
        <v/>
      </c>
    </row>
    <row r="133">
      <c r="A133" s="89" t="n">
        <v>22616</v>
      </c>
      <c r="B133" t="n">
        <v>0.4264432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2.785361</v>
      </c>
      <c r="AE133" t="n">
        <v/>
      </c>
    </row>
    <row r="134">
      <c r="A134" s="89" t="n">
        <v>22647</v>
      </c>
      <c r="B134" t="n">
        <v>0.4296651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2.801965</v>
      </c>
      <c r="AE134" t="n">
        <v/>
      </c>
    </row>
    <row r="135">
      <c r="A135" s="89" t="n">
        <v>22678</v>
      </c>
      <c r="B135" t="n">
        <v>0.4324387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2.823551</v>
      </c>
      <c r="AE135" t="n">
        <v/>
      </c>
    </row>
    <row r="136">
      <c r="A136" s="89" t="n">
        <v>22706</v>
      </c>
      <c r="B136" t="n">
        <v>0.4358568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2.848457</v>
      </c>
      <c r="AE136" t="n">
        <v/>
      </c>
    </row>
    <row r="137">
      <c r="A137" s="89" t="n">
        <v>22737</v>
      </c>
      <c r="B137" t="n">
        <v>0.4392188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2.868382</v>
      </c>
      <c r="AE137" t="n">
        <v/>
      </c>
    </row>
    <row r="138">
      <c r="A138" s="89" t="n">
        <v>22767</v>
      </c>
      <c r="B138" t="n">
        <v>0.4415442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2.884987</v>
      </c>
      <c r="AE138" t="n">
        <v/>
      </c>
    </row>
    <row r="139">
      <c r="A139" s="89" t="n">
        <v>22798</v>
      </c>
      <c r="B139" t="n">
        <v>0.4440657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</v>
      </c>
      <c r="AE139" t="n">
        <v/>
      </c>
    </row>
    <row r="140">
      <c r="A140" s="89" t="n">
        <v>22828</v>
      </c>
      <c r="B140" t="n">
        <v>0.4482122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2.912384</v>
      </c>
      <c r="AE140" t="n">
        <v/>
      </c>
    </row>
    <row r="141">
      <c r="A141" s="89" t="n">
        <v>22859</v>
      </c>
      <c r="B141" t="n">
        <v>0.4506216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2.928988</v>
      </c>
      <c r="AE141" t="n">
        <v/>
      </c>
    </row>
    <row r="142">
      <c r="A142" s="89" t="n">
        <v>22890</v>
      </c>
      <c r="B142" t="n">
        <v>0.4527509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2.946422</v>
      </c>
      <c r="AE142" t="n">
        <v/>
      </c>
    </row>
    <row r="143">
      <c r="A143" s="89" t="n">
        <v>22920</v>
      </c>
      <c r="B143" t="n">
        <v>0.4560008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2.965517</v>
      </c>
      <c r="AE143" t="n">
        <v/>
      </c>
    </row>
    <row r="144">
      <c r="A144" s="89" t="n">
        <v>22951</v>
      </c>
      <c r="B144" t="n">
        <v>0.4583542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2.987103</v>
      </c>
      <c r="AE144" t="n">
        <v/>
      </c>
    </row>
    <row r="145">
      <c r="A145" s="89" t="n">
        <v>22981</v>
      </c>
      <c r="B145" t="n">
        <v>0.4611279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3.011179</v>
      </c>
      <c r="AE145" t="n">
        <v/>
      </c>
    </row>
    <row r="146">
      <c r="A146" s="89" t="n">
        <v>23012</v>
      </c>
      <c r="B146" t="n">
        <v>0.4639856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3.031934</v>
      </c>
      <c r="AE146" t="n">
        <v/>
      </c>
    </row>
    <row r="147">
      <c r="A147" s="89" t="n">
        <v>23043</v>
      </c>
      <c r="B147" t="n">
        <v>0.4669554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</v>
      </c>
      <c r="AE147" t="n">
        <v/>
      </c>
    </row>
    <row r="148">
      <c r="A148" s="89" t="n">
        <v>23071</v>
      </c>
      <c r="B148" t="n">
        <v>0.4707377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3.077596</v>
      </c>
      <c r="AE148" t="n">
        <v/>
      </c>
    </row>
    <row r="149">
      <c r="A149" s="89" t="n">
        <v>23102</v>
      </c>
      <c r="B149" t="n">
        <v>0.4747721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3.099181</v>
      </c>
      <c r="AE149" t="n">
        <v/>
      </c>
    </row>
    <row r="150">
      <c r="A150" s="89" t="n">
        <v>23132</v>
      </c>
      <c r="B150" t="n">
        <v>0.4778819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3.122427</v>
      </c>
      <c r="AE150" t="n">
        <v/>
      </c>
    </row>
    <row r="151">
      <c r="A151" s="89" t="n">
        <v>23163</v>
      </c>
      <c r="B151" t="n">
        <v>0.4817202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3.141522</v>
      </c>
      <c r="AE151" t="n">
        <v/>
      </c>
    </row>
    <row r="152">
      <c r="A152" s="89" t="n">
        <v>23193</v>
      </c>
      <c r="B152" t="n">
        <v>0.4861469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3.163938</v>
      </c>
      <c r="AE152" t="n">
        <v/>
      </c>
    </row>
    <row r="153">
      <c r="A153" s="89" t="n">
        <v>23224</v>
      </c>
      <c r="B153" t="n">
        <v>0.4900973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3.184693</v>
      </c>
      <c r="AE153" t="n">
        <v/>
      </c>
    </row>
    <row r="154">
      <c r="A154" s="89" t="n">
        <v>23255</v>
      </c>
      <c r="B154" t="n">
        <v>0.4941036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3.204618</v>
      </c>
      <c r="AE154" t="n">
        <v/>
      </c>
    </row>
    <row r="155">
      <c r="A155" s="89" t="n">
        <v>23285</v>
      </c>
      <c r="B155" t="n">
        <v>0.4972695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3.223713</v>
      </c>
      <c r="AE155" t="n">
        <v/>
      </c>
    </row>
    <row r="156">
      <c r="A156" s="89" t="n">
        <v>23316</v>
      </c>
      <c r="B156" t="n">
        <v>0.5021445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</v>
      </c>
      <c r="AE156" t="n">
        <v/>
      </c>
    </row>
    <row r="157">
      <c r="A157" s="89" t="n">
        <v>23346</v>
      </c>
      <c r="B157" t="n">
        <v>0.5085883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3.264394</v>
      </c>
      <c r="AE157" t="n">
        <v/>
      </c>
    </row>
    <row r="158">
      <c r="A158" s="89" t="n">
        <v>23377</v>
      </c>
      <c r="B158" t="n">
        <v>0.5132671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3.280998</v>
      </c>
      <c r="AE158" t="n">
        <v/>
      </c>
    </row>
    <row r="159">
      <c r="A159" s="89" t="n">
        <v>23408</v>
      </c>
      <c r="B159" t="n">
        <v>0.5172175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3.300923</v>
      </c>
      <c r="AE159" t="n">
        <v/>
      </c>
    </row>
    <row r="160">
      <c r="A160" s="89" t="n">
        <v>23437</v>
      </c>
      <c r="B160" t="n">
        <v>0.5236893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3.319187</v>
      </c>
      <c r="AE160" t="n">
        <v/>
      </c>
    </row>
    <row r="161">
      <c r="A161" s="89" t="n">
        <v>23468</v>
      </c>
      <c r="B161" t="n">
        <v>0.5301332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3.334961</v>
      </c>
      <c r="AE161" t="n">
        <v/>
      </c>
    </row>
    <row r="162">
      <c r="A162" s="89" t="n">
        <v>23498</v>
      </c>
      <c r="B162" t="n">
        <v>0.5353163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3.355717</v>
      </c>
      <c r="AE162" t="n">
        <v/>
      </c>
    </row>
    <row r="163">
      <c r="A163" s="89" t="n">
        <v>23529</v>
      </c>
      <c r="B163" t="n">
        <v>0.5410317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3.379793</v>
      </c>
      <c r="AE163" t="n">
        <v/>
      </c>
    </row>
    <row r="164">
      <c r="A164" s="89" t="n">
        <v>23559</v>
      </c>
      <c r="B164" t="n">
        <v>0.5457105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3.404699</v>
      </c>
      <c r="AE164" t="n">
        <v/>
      </c>
    </row>
    <row r="165">
      <c r="A165" s="89" t="n">
        <v>23590</v>
      </c>
      <c r="B165" t="n">
        <v>0.5506975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3.432096</v>
      </c>
      <c r="AE165" t="n">
        <v/>
      </c>
    </row>
    <row r="166">
      <c r="A166" s="89" t="n">
        <v>23621</v>
      </c>
      <c r="B166" t="n">
        <v>0.5552082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3.461154</v>
      </c>
      <c r="AE166" t="n">
        <v/>
      </c>
    </row>
    <row r="167">
      <c r="A167" s="89" t="n">
        <v>23651</v>
      </c>
      <c r="B167" t="n">
        <v>0.5590465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3.479418</v>
      </c>
      <c r="AE167" t="n">
        <v/>
      </c>
    </row>
    <row r="168">
      <c r="A168" s="89" t="n">
        <v>23682</v>
      </c>
      <c r="B168" t="n">
        <v>0.5636693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3.503495</v>
      </c>
      <c r="AE168" t="n">
        <v/>
      </c>
    </row>
    <row r="169">
      <c r="A169" s="89" t="n">
        <v>23712</v>
      </c>
      <c r="B169" t="n">
        <v>0.5669472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</v>
      </c>
      <c r="AE169" t="n">
        <v/>
      </c>
    </row>
    <row r="170">
      <c r="A170" s="89" t="n">
        <v>23743</v>
      </c>
      <c r="B170" t="n">
        <v>0.5694127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3.549156</v>
      </c>
      <c r="AE170" t="n">
        <v/>
      </c>
    </row>
    <row r="171">
      <c r="A171" s="89" t="n">
        <v>23774</v>
      </c>
      <c r="B171" t="n">
        <v>0.573251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3.573232</v>
      </c>
      <c r="AE171" t="n">
        <v/>
      </c>
    </row>
    <row r="172">
      <c r="A172" s="89" t="n">
        <v>23802</v>
      </c>
      <c r="B172" t="n">
        <v>0.5791906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3.596478</v>
      </c>
      <c r="AE172" t="n">
        <v/>
      </c>
    </row>
    <row r="173">
      <c r="A173" s="89" t="n">
        <v>23833</v>
      </c>
      <c r="B173" t="n">
        <v>0.5827487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3.614743</v>
      </c>
      <c r="AE173" t="n">
        <v>0.1688954</v>
      </c>
    </row>
    <row r="174">
      <c r="A174" s="89" t="n">
        <v>23863</v>
      </c>
      <c r="B174" t="n">
        <v>0.5827487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3.628856</v>
      </c>
      <c r="AE174" t="n">
        <v>0.1700497</v>
      </c>
    </row>
    <row r="175">
      <c r="A175" s="89" t="n">
        <v>23894</v>
      </c>
      <c r="B175" t="n">
        <v>0.5855504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3.653763</v>
      </c>
      <c r="AE175" t="n">
        <v>0.1692102</v>
      </c>
    </row>
    <row r="176">
      <c r="A176" s="89" t="n">
        <v>23924</v>
      </c>
      <c r="B176" t="n">
        <v>0.588352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3.677009</v>
      </c>
      <c r="AE176" t="n">
        <v>0.1689828</v>
      </c>
    </row>
    <row r="177">
      <c r="A177" s="89" t="n">
        <v>23955</v>
      </c>
      <c r="B177" t="n">
        <v>0.588352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3.701085</v>
      </c>
      <c r="AE177" t="n">
        <v>0.169455</v>
      </c>
    </row>
    <row r="178">
      <c r="A178" s="89" t="n">
        <v>23986</v>
      </c>
      <c r="B178" t="n">
        <v>0.5911537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3.731803</v>
      </c>
      <c r="AE178" t="n">
        <v>0.1691577</v>
      </c>
    </row>
    <row r="179">
      <c r="A179" s="89" t="n">
        <v>24016</v>
      </c>
      <c r="B179" t="n">
        <v>0.5939554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3.757539</v>
      </c>
      <c r="AE179" t="n">
        <v>0.1697698</v>
      </c>
    </row>
    <row r="180">
      <c r="A180" s="89" t="n">
        <v>24047</v>
      </c>
      <c r="B180" t="n">
        <v>0.5939554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3.783276</v>
      </c>
      <c r="AE180" t="n">
        <v>0.1707143</v>
      </c>
    </row>
    <row r="181">
      <c r="A181" s="89" t="n">
        <v>24077</v>
      </c>
      <c r="B181" t="n">
        <v>0.5967571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3.812333</v>
      </c>
      <c r="AE181" t="n">
        <v>0.171921</v>
      </c>
    </row>
    <row r="182">
      <c r="A182" s="89" t="n">
        <v>24108</v>
      </c>
      <c r="B182" t="n">
        <v>0.5995587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3.835579</v>
      </c>
      <c r="AE182" t="n">
        <v>0.172848</v>
      </c>
    </row>
    <row r="183">
      <c r="A183" s="89" t="n">
        <v>24139</v>
      </c>
      <c r="B183" t="n">
        <v>0.6051621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3.857165</v>
      </c>
      <c r="AE183" t="n">
        <v>0.1734076</v>
      </c>
    </row>
    <row r="184">
      <c r="A184" s="89" t="n">
        <v>24167</v>
      </c>
      <c r="B184" t="n">
        <v>0.6107655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</v>
      </c>
      <c r="AE184" t="n">
        <v>0.1738274</v>
      </c>
    </row>
    <row r="185">
      <c r="A185" s="89" t="n">
        <v>24198</v>
      </c>
      <c r="B185" t="n">
        <v>0.6107655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3.896185</v>
      </c>
      <c r="AE185" t="n">
        <v>0.1750516</v>
      </c>
    </row>
    <row r="186">
      <c r="A186" s="89" t="n">
        <v>24228</v>
      </c>
      <c r="B186" t="n">
        <v>0.6135671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3.902827</v>
      </c>
      <c r="AE186" t="n">
        <v>0.1777275</v>
      </c>
    </row>
    <row r="187">
      <c r="A187" s="89" t="n">
        <v>24259</v>
      </c>
      <c r="B187" t="n">
        <v>0.6191705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3.911959</v>
      </c>
      <c r="AE187" t="n">
        <v>0.1802635</v>
      </c>
    </row>
    <row r="188">
      <c r="A188" s="89" t="n">
        <v>24289</v>
      </c>
      <c r="B188" t="n">
        <v>0.6219721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3.909468</v>
      </c>
      <c r="AE188" t="n">
        <v>0.1830618</v>
      </c>
    </row>
    <row r="189">
      <c r="A189" s="89" t="n">
        <v>24320</v>
      </c>
      <c r="B189" t="n">
        <v>0.6247738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3.923582</v>
      </c>
      <c r="AE189" t="n">
        <v>0.184426</v>
      </c>
    </row>
    <row r="190">
      <c r="A190" s="89" t="n">
        <v>24351</v>
      </c>
      <c r="B190" t="n">
        <v>0.6303772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3.946828</v>
      </c>
      <c r="AE190" t="n">
        <v>0.1855278</v>
      </c>
    </row>
    <row r="191">
      <c r="A191" s="89" t="n">
        <v>24381</v>
      </c>
      <c r="B191" t="n">
        <v>0.6359804999999999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3.949318</v>
      </c>
      <c r="AE191" t="n">
        <v>0.1870319</v>
      </c>
    </row>
    <row r="192">
      <c r="A192" s="89" t="n">
        <v>24412</v>
      </c>
      <c r="B192" t="n">
        <v>0.6415839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3.962602</v>
      </c>
      <c r="AE192" t="n">
        <v>0.1872418</v>
      </c>
    </row>
    <row r="193">
      <c r="A193" s="89" t="n">
        <v>24442</v>
      </c>
      <c r="B193" t="n">
        <v>0.6443856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3.986678</v>
      </c>
      <c r="AE193" t="n">
        <v>0.1880113</v>
      </c>
    </row>
    <row r="194">
      <c r="A194" s="89" t="n">
        <v>24473</v>
      </c>
      <c r="B194" t="n">
        <v>0.6471872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3.998301</v>
      </c>
      <c r="AE194" t="n">
        <v>0.1895154</v>
      </c>
    </row>
    <row r="195">
      <c r="A195" s="89" t="n">
        <v>24504</v>
      </c>
      <c r="B195" t="n">
        <v>0.6527906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4.027358</v>
      </c>
      <c r="AE195" t="n">
        <v>0.190145</v>
      </c>
    </row>
    <row r="196">
      <c r="A196" s="89" t="n">
        <v>24532</v>
      </c>
      <c r="B196" t="n">
        <v>0.6555923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4.065548</v>
      </c>
      <c r="AE196" t="n">
        <v>0.1908971</v>
      </c>
    </row>
    <row r="197">
      <c r="A197" s="89" t="n">
        <v>24563</v>
      </c>
      <c r="B197" t="n">
        <v>0.6583939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4.085473</v>
      </c>
      <c r="AE197" t="n">
        <v>0.1920863</v>
      </c>
    </row>
    <row r="198">
      <c r="A198" s="89" t="n">
        <v>24593</v>
      </c>
      <c r="B198" t="n">
        <v>0.6639973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4.127814</v>
      </c>
      <c r="AE198" t="n">
        <v>0.192716</v>
      </c>
    </row>
    <row r="199">
      <c r="A199" s="89" t="n">
        <v>24624</v>
      </c>
      <c r="B199" t="n">
        <v>0.6696007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4.167664</v>
      </c>
      <c r="AE199" t="n">
        <v>0.1942026</v>
      </c>
    </row>
    <row r="200">
      <c r="A200" s="89" t="n">
        <v>24654</v>
      </c>
      <c r="B200" t="n">
        <v>0.675204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4.203363</v>
      </c>
      <c r="AE200" t="n">
        <v>0.1954793</v>
      </c>
    </row>
    <row r="201">
      <c r="A201" s="89" t="n">
        <v>24685</v>
      </c>
      <c r="B201" t="n">
        <v>0.6808074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4.240723</v>
      </c>
      <c r="AE201" t="n">
        <v>0.1961614</v>
      </c>
    </row>
    <row r="202">
      <c r="A202" s="89" t="n">
        <v>24716</v>
      </c>
      <c r="B202" t="n">
        <v>0.6864107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4.273101</v>
      </c>
      <c r="AE202" t="n">
        <v>0.1964762</v>
      </c>
    </row>
    <row r="203">
      <c r="A203" s="89" t="n">
        <v>24746</v>
      </c>
      <c r="B203" t="n">
        <v>0.6892123999999999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4.302158</v>
      </c>
      <c r="AE203" t="n">
        <v>0.196721</v>
      </c>
    </row>
    <row r="204">
      <c r="A204" s="89" t="n">
        <v>24777</v>
      </c>
      <c r="B204" t="n">
        <v>0.692014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4.327065</v>
      </c>
      <c r="AE204" t="n">
        <v>0.1986624</v>
      </c>
    </row>
    <row r="205">
      <c r="A205" s="89" t="n">
        <v>24807</v>
      </c>
      <c r="B205" t="n">
        <v>0.6976174000000001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4.356952</v>
      </c>
      <c r="AE205" t="n">
        <v>0.2013382</v>
      </c>
    </row>
    <row r="206">
      <c r="A206" s="89" t="n">
        <v>24838</v>
      </c>
      <c r="B206" t="n">
        <v>0.7032208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4.378538</v>
      </c>
      <c r="AE206" t="n">
        <v>0.2036294</v>
      </c>
    </row>
    <row r="207">
      <c r="A207" s="89" t="n">
        <v>24869</v>
      </c>
      <c r="B207" t="n">
        <v>0.7060224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4.403444</v>
      </c>
      <c r="AE207" t="n">
        <v>0.2049935</v>
      </c>
    </row>
    <row r="208">
      <c r="A208" s="89" t="n">
        <v>24898</v>
      </c>
      <c r="B208" t="n">
        <v>0.7088241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</v>
      </c>
      <c r="AE208" t="n">
        <v>0.2060254</v>
      </c>
    </row>
    <row r="209">
      <c r="A209" s="89" t="n">
        <v>24929</v>
      </c>
      <c r="B209" t="n">
        <v>0.7116258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4.447445</v>
      </c>
      <c r="AE209" t="n">
        <v>0.2080892</v>
      </c>
    </row>
    <row r="210">
      <c r="A210" s="89" t="n">
        <v>24959</v>
      </c>
      <c r="B210" t="n">
        <v>0.7144275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4.474012</v>
      </c>
      <c r="AE210" t="n">
        <v>0.2107825</v>
      </c>
    </row>
    <row r="211">
      <c r="A211" s="89" t="n">
        <v>24990</v>
      </c>
      <c r="B211" t="n">
        <v>0.7228325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</v>
      </c>
      <c r="AE211" t="n">
        <v>0.213301</v>
      </c>
    </row>
    <row r="212">
      <c r="A212" s="89" t="n">
        <v>25020</v>
      </c>
      <c r="B212" t="n">
        <v>0.7312375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4.529636</v>
      </c>
      <c r="AE212" t="n">
        <v>0.2157845</v>
      </c>
    </row>
    <row r="213">
      <c r="A213" s="89" t="n">
        <v>25051</v>
      </c>
      <c r="B213" t="n">
        <v>0.7340392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4.561184</v>
      </c>
      <c r="AE213" t="n">
        <v>0.2183729</v>
      </c>
    </row>
    <row r="214">
      <c r="A214" s="89" t="n">
        <v>25082</v>
      </c>
      <c r="B214" t="n">
        <v>0.7368409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4.596054</v>
      </c>
      <c r="AE214" t="n">
        <v>0.2206815</v>
      </c>
    </row>
    <row r="215">
      <c r="A215" s="89" t="n">
        <v>25112</v>
      </c>
      <c r="B215" t="n">
        <v>0.7424442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4.629262</v>
      </c>
      <c r="AE215" t="n">
        <v>0.2229377</v>
      </c>
    </row>
    <row r="216">
      <c r="A216" s="89" t="n">
        <v>25143</v>
      </c>
      <c r="B216" t="n">
        <v>0.7452459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4.669112</v>
      </c>
      <c r="AE216" t="n">
        <v>0.2277822</v>
      </c>
    </row>
    <row r="217">
      <c r="A217" s="89" t="n">
        <v>25173</v>
      </c>
      <c r="B217" t="n">
        <v>0.7480476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4.705641</v>
      </c>
      <c r="AE217" t="n">
        <v>0.2299859</v>
      </c>
    </row>
    <row r="218">
      <c r="A218" s="89" t="n">
        <v>25204</v>
      </c>
      <c r="B218" t="n">
        <v>0.7564526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4.726397</v>
      </c>
      <c r="AE218" t="n">
        <v>0.2295837</v>
      </c>
    </row>
    <row r="219">
      <c r="A219" s="89" t="n">
        <v>25235</v>
      </c>
      <c r="B219" t="n">
        <v>0.7648576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4.747982</v>
      </c>
      <c r="AE219" t="n">
        <v>0.2324869</v>
      </c>
    </row>
    <row r="220">
      <c r="A220" s="89" t="n">
        <v>25263</v>
      </c>
      <c r="B220" t="n">
        <v>0.770461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4.768737</v>
      </c>
      <c r="AE220" t="n">
        <v>0.2356175</v>
      </c>
    </row>
    <row r="221">
      <c r="A221" s="89" t="n">
        <v>25294</v>
      </c>
      <c r="B221" t="n">
        <v>0.7760643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4.779531</v>
      </c>
      <c r="AE221" t="n">
        <v>0.2371566</v>
      </c>
    </row>
    <row r="222">
      <c r="A222" s="89" t="n">
        <v>25324</v>
      </c>
      <c r="B222" t="n">
        <v>0.7816677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4.786172</v>
      </c>
      <c r="AE222" t="n">
        <v>0.2386257</v>
      </c>
    </row>
    <row r="223">
      <c r="A223" s="89" t="n">
        <v>25355</v>
      </c>
      <c r="B223" t="n">
        <v>0.7900727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4.802776</v>
      </c>
      <c r="AE223" t="n">
        <v>0.2386257</v>
      </c>
    </row>
    <row r="224">
      <c r="A224" s="89" t="n">
        <v>25385</v>
      </c>
      <c r="B224" t="n">
        <v>0.7984778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4.811079</v>
      </c>
      <c r="AE224" t="n">
        <v>0.2374539</v>
      </c>
    </row>
    <row r="225">
      <c r="A225" s="89" t="n">
        <v>25416</v>
      </c>
      <c r="B225" t="n">
        <v>0.8040811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</v>
      </c>
      <c r="AE225" t="n">
        <v>0.2387481</v>
      </c>
    </row>
    <row r="226">
      <c r="A226" s="89" t="n">
        <v>25447</v>
      </c>
      <c r="B226" t="n">
        <v>0.8068828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4.832664</v>
      </c>
      <c r="AE226" t="n">
        <v>0.2428406</v>
      </c>
    </row>
    <row r="227">
      <c r="A227" s="89" t="n">
        <v>25477</v>
      </c>
      <c r="B227" t="n">
        <v>0.8096845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4.843457</v>
      </c>
      <c r="AE227" t="n">
        <v>0.2474229</v>
      </c>
    </row>
    <row r="228">
      <c r="A228" s="89" t="n">
        <v>25508</v>
      </c>
      <c r="B228" t="n">
        <v>0.8152878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4.860061</v>
      </c>
      <c r="AE228" t="n">
        <v>0.2506059</v>
      </c>
    </row>
    <row r="229">
      <c r="A229" s="89" t="n">
        <v>25538</v>
      </c>
      <c r="B229" t="n">
        <v>0.8208911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4.880816</v>
      </c>
      <c r="AE229" t="n">
        <v>0.2536141</v>
      </c>
    </row>
    <row r="230">
      <c r="A230" s="89" t="n">
        <v>25569</v>
      </c>
      <c r="B230" t="n">
        <v>0.8236929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</v>
      </c>
      <c r="AE230" t="n">
        <v>0.2541913</v>
      </c>
    </row>
    <row r="231">
      <c r="A231" s="89" t="n">
        <v>25600</v>
      </c>
      <c r="B231" t="n">
        <v>0.8264945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4.867533</v>
      </c>
      <c r="AE231" t="n">
        <v>0.253072</v>
      </c>
    </row>
    <row r="232">
      <c r="A232" s="89" t="n">
        <v>25628</v>
      </c>
      <c r="B232" t="n">
        <v>0.8320978999999999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4.875835</v>
      </c>
      <c r="AE232" t="n">
        <v>0.255468</v>
      </c>
    </row>
    <row r="233">
      <c r="A233" s="89" t="n">
        <v>25659</v>
      </c>
      <c r="B233" t="n">
        <v>0.8377012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4.884967</v>
      </c>
      <c r="AE233" t="n">
        <v>0.2588085</v>
      </c>
    </row>
    <row r="234">
      <c r="A234" s="89" t="n">
        <v>25689</v>
      </c>
      <c r="B234" t="n">
        <v>0.8405029000000001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4.910704</v>
      </c>
      <c r="AE234" t="n">
        <v>0.2605574</v>
      </c>
    </row>
    <row r="235">
      <c r="A235" s="89" t="n">
        <v>25720</v>
      </c>
      <c r="B235" t="n">
        <v>0.8405029000000001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4.941422</v>
      </c>
      <c r="AE235" t="n">
        <v>0.262971</v>
      </c>
    </row>
    <row r="236">
      <c r="A236" s="89" t="n">
        <v>25750</v>
      </c>
      <c r="B236" t="n">
        <v>0.8433046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</v>
      </c>
      <c r="AE236" t="n">
        <v>0.2652621</v>
      </c>
    </row>
    <row r="237">
      <c r="A237" s="89" t="n">
        <v>25781</v>
      </c>
      <c r="B237" t="n">
        <v>0.8461062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5.021952</v>
      </c>
      <c r="AE237" t="n">
        <v>0.266294</v>
      </c>
    </row>
    <row r="238">
      <c r="A238" s="89" t="n">
        <v>25812</v>
      </c>
      <c r="B238" t="n">
        <v>0.8489079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5.074255</v>
      </c>
      <c r="AE238" t="n">
        <v>0.2679904</v>
      </c>
    </row>
    <row r="239">
      <c r="A239" s="89" t="n">
        <v>25842</v>
      </c>
      <c r="B239" t="n">
        <v>0.8517096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5.117426</v>
      </c>
      <c r="AE239" t="n">
        <v>0.2705439</v>
      </c>
    </row>
    <row r="240">
      <c r="A240" s="89" t="n">
        <v>25873</v>
      </c>
      <c r="B240" t="n">
        <v>0.8545113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5.156446</v>
      </c>
      <c r="AE240" t="n">
        <v>0.2720655</v>
      </c>
    </row>
    <row r="241">
      <c r="A241" s="89" t="n">
        <v>25903</v>
      </c>
      <c r="B241" t="n">
        <v>0.8601146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5.201278</v>
      </c>
      <c r="AE241" t="n">
        <v>0.2735346</v>
      </c>
    </row>
    <row r="242">
      <c r="A242" s="89" t="n">
        <v>25934</v>
      </c>
      <c r="B242" t="n">
        <v>0.8629163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5.254412</v>
      </c>
      <c r="AE242" t="n">
        <v>0.2764903</v>
      </c>
    </row>
    <row r="243">
      <c r="A243" s="89" t="n">
        <v>25965</v>
      </c>
      <c r="B243" t="n">
        <v>0.8685197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5.321659</v>
      </c>
      <c r="AE243" t="n">
        <v>0.2787989</v>
      </c>
    </row>
    <row r="244">
      <c r="A244" s="89" t="n">
        <v>25993</v>
      </c>
      <c r="B244" t="n">
        <v>0.8769247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5.395547</v>
      </c>
      <c r="AE244" t="n">
        <v>0.2806353</v>
      </c>
    </row>
    <row r="245">
      <c r="A245" s="89" t="n">
        <v>26024</v>
      </c>
      <c r="B245" t="n">
        <v>0.8825281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5.466115</v>
      </c>
      <c r="AE245" t="n">
        <v>0.2831888</v>
      </c>
    </row>
    <row r="246">
      <c r="A246" s="89" t="n">
        <v>26054</v>
      </c>
      <c r="B246" t="n">
        <v>0.8909331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5.535023</v>
      </c>
      <c r="AE246" t="n">
        <v>0.2858297</v>
      </c>
    </row>
    <row r="247">
      <c r="A247" s="89" t="n">
        <v>26085</v>
      </c>
      <c r="B247" t="n">
        <v>0.8993381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5.587327</v>
      </c>
      <c r="AE247" t="n">
        <v>0.2870889</v>
      </c>
    </row>
    <row r="248">
      <c r="A248" s="89" t="n">
        <v>26115</v>
      </c>
      <c r="B248" t="n">
        <v>0.9021398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</v>
      </c>
      <c r="AE248" t="n">
        <v>0.2871064</v>
      </c>
    </row>
    <row r="249">
      <c r="A249" s="89" t="n">
        <v>26146</v>
      </c>
      <c r="B249" t="n">
        <v>0.9077432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5.691103</v>
      </c>
      <c r="AE249" t="n">
        <v>0.2894675</v>
      </c>
    </row>
    <row r="250">
      <c r="A250" s="89" t="n">
        <v>26177</v>
      </c>
      <c r="B250" t="n">
        <v>0.9189498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5.749218</v>
      </c>
      <c r="AE250" t="n">
        <v>0.2917936</v>
      </c>
    </row>
    <row r="251">
      <c r="A251" s="89" t="n">
        <v>26207</v>
      </c>
      <c r="B251" t="n">
        <v>0.9273549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5.798201</v>
      </c>
      <c r="AE251" t="n">
        <v>0.2930528</v>
      </c>
    </row>
    <row r="252">
      <c r="A252" s="89" t="n">
        <v>26238</v>
      </c>
      <c r="B252" t="n">
        <v>0.9301565000000001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5.849674</v>
      </c>
      <c r="AE252" t="n">
        <v>0.295169</v>
      </c>
    </row>
    <row r="253">
      <c r="A253" s="89" t="n">
        <v>26268</v>
      </c>
      <c r="B253" t="n">
        <v>0.9357599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5.896996</v>
      </c>
      <c r="AE253" t="n">
        <v>0.2974776</v>
      </c>
    </row>
    <row r="254">
      <c r="A254" s="89" t="n">
        <v>26299</v>
      </c>
      <c r="B254" t="n">
        <v>0.9441649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5.958431</v>
      </c>
      <c r="AE254" t="n">
        <v>0.2997512</v>
      </c>
    </row>
    <row r="255">
      <c r="A255" s="89" t="n">
        <v>26330</v>
      </c>
      <c r="B255" t="n">
        <v>0.95257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6.024848</v>
      </c>
      <c r="AE255" t="n">
        <v>0.3028294</v>
      </c>
    </row>
    <row r="256">
      <c r="A256" s="89" t="n">
        <v>26359</v>
      </c>
      <c r="B256" t="n">
        <v>0.960975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6.089605</v>
      </c>
      <c r="AE256" t="n">
        <v>0.3056802</v>
      </c>
    </row>
    <row r="257">
      <c r="A257" s="89" t="n">
        <v>26390</v>
      </c>
      <c r="B257" t="n">
        <v>0.96938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6.130285</v>
      </c>
      <c r="AE257" t="n">
        <v>0.3074116</v>
      </c>
    </row>
    <row r="258">
      <c r="A258" s="89" t="n">
        <v>26420</v>
      </c>
      <c r="B258" t="n">
        <v>0.9805867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6.170966</v>
      </c>
      <c r="AE258" t="n">
        <v>0.3094404</v>
      </c>
    </row>
    <row r="259">
      <c r="A259" s="89" t="n">
        <v>26451</v>
      </c>
      <c r="B259" t="n">
        <v>0.9917934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6.224099</v>
      </c>
      <c r="AE259" t="n">
        <v>0.3136203</v>
      </c>
    </row>
    <row r="260">
      <c r="A260" s="89" t="n">
        <v>26481</v>
      </c>
      <c r="B260" t="n">
        <v>1.008603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</v>
      </c>
      <c r="AE260" t="n">
        <v>0.3195668</v>
      </c>
    </row>
    <row r="261">
      <c r="A261" s="89" t="n">
        <v>26512</v>
      </c>
      <c r="B261" t="n">
        <v>1.031017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6.381839</v>
      </c>
      <c r="AE261" t="n">
        <v>0.325758</v>
      </c>
    </row>
    <row r="262">
      <c r="A262" s="89" t="n">
        <v>26543</v>
      </c>
      <c r="B262" t="n">
        <v>1.050629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</v>
      </c>
      <c r="AE262" t="n">
        <v>0.3313371</v>
      </c>
    </row>
    <row r="263">
      <c r="A263" s="89" t="n">
        <v>26573</v>
      </c>
      <c r="B263" t="n">
        <v>1.07024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6.532938</v>
      </c>
      <c r="AE263" t="n">
        <v>0.3348</v>
      </c>
    </row>
    <row r="264">
      <c r="A264" s="89" t="n">
        <v>26604</v>
      </c>
      <c r="B264" t="n">
        <v>1.089852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6.591053</v>
      </c>
      <c r="AE264" t="n">
        <v>0.3392948</v>
      </c>
    </row>
    <row r="265">
      <c r="A265" s="89" t="n">
        <v>26634</v>
      </c>
      <c r="B265" t="n">
        <v>1.112265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6.66079</v>
      </c>
      <c r="AE265" t="n">
        <v>0.3462381</v>
      </c>
    </row>
    <row r="266">
      <c r="A266" s="89" t="n">
        <v>26665</v>
      </c>
      <c r="B266" t="n">
        <v>1.134679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6.727208</v>
      </c>
      <c r="AE266" t="n">
        <v>0.3502082</v>
      </c>
    </row>
    <row r="267">
      <c r="A267" s="89" t="n">
        <v>26696</v>
      </c>
      <c r="B267" t="n">
        <v>1.154291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6.758756</v>
      </c>
      <c r="AE267" t="n">
        <v>0.353059</v>
      </c>
    </row>
    <row r="268">
      <c r="A268" s="89" t="n">
        <v>26724</v>
      </c>
      <c r="B268" t="n">
        <v>1.173902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6.768718</v>
      </c>
      <c r="AE268" t="n">
        <v>0.3598799</v>
      </c>
    </row>
    <row r="269">
      <c r="A269" s="89" t="n">
        <v>26755</v>
      </c>
      <c r="B269" t="n">
        <v>1.193514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6.805247</v>
      </c>
      <c r="AE269" t="n">
        <v>0.3686596</v>
      </c>
    </row>
    <row r="270">
      <c r="A270" s="89" t="n">
        <v>26785</v>
      </c>
      <c r="B270" t="n">
        <v>1.218729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6.864192</v>
      </c>
      <c r="AE270" t="n">
        <v>0.3780164</v>
      </c>
    </row>
    <row r="271">
      <c r="A271" s="89" t="n">
        <v>26816</v>
      </c>
      <c r="B271" t="n">
        <v>1.243944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6.918156</v>
      </c>
      <c r="AE271" t="n">
        <v>0.386149</v>
      </c>
    </row>
    <row r="272">
      <c r="A272" s="89" t="n">
        <v>26846</v>
      </c>
      <c r="B272" t="n">
        <v>1.269159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6.944723</v>
      </c>
      <c r="AE272" t="n">
        <v>0.3931623</v>
      </c>
    </row>
    <row r="273">
      <c r="A273" s="89" t="n">
        <v>26877</v>
      </c>
      <c r="B273" t="n">
        <v>1.294374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6.963818</v>
      </c>
      <c r="AE273" t="n">
        <v>0.3998782</v>
      </c>
    </row>
    <row r="274">
      <c r="A274" s="89" t="n">
        <v>26908</v>
      </c>
      <c r="B274" t="n">
        <v>1.316788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6.967969</v>
      </c>
      <c r="AE274" t="n">
        <v>0.4068914</v>
      </c>
    </row>
    <row r="275">
      <c r="A275" s="89" t="n">
        <v>26938</v>
      </c>
      <c r="B275" t="n">
        <v>1.333598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6.995366</v>
      </c>
      <c r="AE275" t="n">
        <v>0.4123656</v>
      </c>
    </row>
    <row r="276">
      <c r="A276" s="89" t="n">
        <v>26969</v>
      </c>
      <c r="B276" t="n">
        <v>1.339201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7.047669</v>
      </c>
      <c r="AE276" t="n">
        <v>0.4154438</v>
      </c>
    </row>
    <row r="277">
      <c r="A277" s="89" t="n">
        <v>26999</v>
      </c>
      <c r="B277" t="n">
        <v>1.350408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7.102463</v>
      </c>
      <c r="AE277" t="n">
        <v>0.4191166</v>
      </c>
    </row>
    <row r="278">
      <c r="A278" s="89" t="n">
        <v>27030</v>
      </c>
      <c r="B278" t="n">
        <v>1.367218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7.137332</v>
      </c>
      <c r="AE278" t="n">
        <v>0.4235764</v>
      </c>
    </row>
    <row r="279">
      <c r="A279" s="89" t="n">
        <v>27061</v>
      </c>
      <c r="B279" t="n">
        <v>1.384028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7.174692</v>
      </c>
      <c r="AE279" t="n">
        <v>0.4299075</v>
      </c>
    </row>
    <row r="280">
      <c r="A280" s="89" t="n">
        <v>27089</v>
      </c>
      <c r="B280" t="n">
        <v>1.400838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7.223674</v>
      </c>
      <c r="AE280" t="n">
        <v>0.4375679</v>
      </c>
    </row>
    <row r="281">
      <c r="A281" s="89" t="n">
        <v>27120</v>
      </c>
      <c r="B281" t="n">
        <v>1.412045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7.24692</v>
      </c>
      <c r="AE281" t="n">
        <v>0.4440565</v>
      </c>
    </row>
    <row r="282">
      <c r="A282" s="89" t="n">
        <v>27150</v>
      </c>
      <c r="B282" t="n">
        <v>1.428855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7.261034</v>
      </c>
      <c r="AE282" t="n">
        <v>0.4505275</v>
      </c>
    </row>
    <row r="283">
      <c r="A283" s="89" t="n">
        <v>27181</v>
      </c>
      <c r="B283" t="n">
        <v>1.428855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7.287601</v>
      </c>
      <c r="AE283" t="n">
        <v>0.4575408</v>
      </c>
    </row>
    <row r="284">
      <c r="A284" s="89" t="n">
        <v>27211</v>
      </c>
      <c r="B284" t="n">
        <v>1.409243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7.317488</v>
      </c>
      <c r="AE284" t="n">
        <v>0.4620356</v>
      </c>
    </row>
    <row r="285">
      <c r="A285" s="89" t="n">
        <v>27242</v>
      </c>
      <c r="B285" t="n">
        <v>1.392433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7.339904</v>
      </c>
      <c r="AE285" t="n">
        <v>0.4645541</v>
      </c>
    </row>
    <row r="286">
      <c r="A286" s="89" t="n">
        <v>27273</v>
      </c>
      <c r="B286" t="n">
        <v>1.38683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7.371452</v>
      </c>
      <c r="AE286" t="n">
        <v>0.4669676</v>
      </c>
    </row>
    <row r="287">
      <c r="A287" s="89" t="n">
        <v>27303</v>
      </c>
      <c r="B287" t="n">
        <v>1.40364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7.416284</v>
      </c>
      <c r="AE287" t="n">
        <v>0.4738235</v>
      </c>
    </row>
    <row r="288">
      <c r="A288" s="89" t="n">
        <v>27334</v>
      </c>
      <c r="B288" t="n">
        <v>1.428855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7.460285</v>
      </c>
      <c r="AE288" t="n">
        <v>0.4841073</v>
      </c>
    </row>
    <row r="289">
      <c r="A289" s="89" t="n">
        <v>27364</v>
      </c>
      <c r="B289" t="n">
        <v>1.448467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7.489342</v>
      </c>
      <c r="AE289" t="n">
        <v>0.4919775</v>
      </c>
    </row>
    <row r="290">
      <c r="A290" s="89" t="n">
        <v>27395</v>
      </c>
      <c r="B290" t="n">
        <v>1.473682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7.524211</v>
      </c>
      <c r="AE290" t="n">
        <v>0.5022963</v>
      </c>
    </row>
    <row r="291">
      <c r="A291" s="89" t="n">
        <v>27426</v>
      </c>
      <c r="B291" t="n">
        <v>1.507302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7.588968</v>
      </c>
      <c r="AE291" t="n">
        <v>0.5112858</v>
      </c>
    </row>
    <row r="292">
      <c r="A292" s="89" t="n">
        <v>27454</v>
      </c>
      <c r="B292" t="n">
        <v>1.540922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7.679461</v>
      </c>
      <c r="AE292" t="n">
        <v>0.5191386</v>
      </c>
    </row>
    <row r="293">
      <c r="A293" s="89" t="n">
        <v>27485</v>
      </c>
      <c r="B293" t="n">
        <v>1.574542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7.763312</v>
      </c>
      <c r="AE293" t="n">
        <v>0.526694</v>
      </c>
    </row>
    <row r="294">
      <c r="A294" s="89" t="n">
        <v>27515</v>
      </c>
      <c r="B294" t="n">
        <v>1.602559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7.869579</v>
      </c>
      <c r="AE294" t="n">
        <v>0.5303842</v>
      </c>
    </row>
    <row r="295">
      <c r="A295" s="89" t="n">
        <v>27546</v>
      </c>
      <c r="B295" t="n">
        <v>1.624972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7.994941</v>
      </c>
      <c r="AE295" t="n">
        <v>0.5372401</v>
      </c>
    </row>
    <row r="296">
      <c r="A296" s="89" t="n">
        <v>27576</v>
      </c>
      <c r="B296" t="n">
        <v>1.655791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8.095397</v>
      </c>
      <c r="AE296" t="n">
        <v>0.5477862</v>
      </c>
    </row>
    <row r="297">
      <c r="A297" s="89" t="n">
        <v>27607</v>
      </c>
      <c r="B297" t="n">
        <v>1.686609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8.161814</v>
      </c>
      <c r="AE297" t="n">
        <v>0.5581225</v>
      </c>
    </row>
    <row r="298">
      <c r="A298" s="89" t="n">
        <v>27638</v>
      </c>
      <c r="B298" t="n">
        <v>1.706221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8.231552000000001</v>
      </c>
      <c r="AE298" t="n">
        <v>0.565468</v>
      </c>
    </row>
    <row r="299">
      <c r="A299" s="89" t="n">
        <v>27668</v>
      </c>
      <c r="B299" t="n">
        <v>1.725833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8.283855000000001</v>
      </c>
      <c r="AE299" t="n">
        <v>0.5720441000000001</v>
      </c>
    </row>
    <row r="300">
      <c r="A300" s="89" t="n">
        <v>27699</v>
      </c>
      <c r="B300" t="n">
        <v>1.745444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8.359405000000001</v>
      </c>
      <c r="AE300" t="n">
        <v>0.5820655</v>
      </c>
    </row>
    <row r="301">
      <c r="A301" s="89" t="n">
        <v>27729</v>
      </c>
      <c r="B301" t="n">
        <v>1.765056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8.436614000000001</v>
      </c>
      <c r="AE301" t="n">
        <v>0.5915623</v>
      </c>
    </row>
    <row r="302">
      <c r="A302" s="89" t="n">
        <v>27760</v>
      </c>
      <c r="B302" t="n">
        <v>1.784668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8.522956000000001</v>
      </c>
      <c r="AE302" t="n">
        <v>0.5969141</v>
      </c>
    </row>
    <row r="303">
      <c r="A303" s="89" t="n">
        <v>27791</v>
      </c>
      <c r="B303" t="n">
        <v>1.793073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8.636695</v>
      </c>
      <c r="AE303" t="n">
        <v>0.601094</v>
      </c>
    </row>
    <row r="304">
      <c r="A304" s="89" t="n">
        <v>27820</v>
      </c>
      <c r="B304" t="n">
        <v>1.807081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8.717226</v>
      </c>
      <c r="AE304" t="n">
        <v>0.6048017999999999</v>
      </c>
    </row>
    <row r="305">
      <c r="A305" s="89" t="n">
        <v>27851</v>
      </c>
      <c r="B305" t="n">
        <v>1.829495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8.806889</v>
      </c>
      <c r="AE305" t="n">
        <v>0.6095589</v>
      </c>
    </row>
    <row r="306">
      <c r="A306" s="89" t="n">
        <v>27881</v>
      </c>
      <c r="B306" t="n">
        <v>1.849106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8.900702000000001</v>
      </c>
      <c r="AE306" t="n">
        <v>0.6139662</v>
      </c>
    </row>
    <row r="307">
      <c r="A307" s="89" t="n">
        <v>27912</v>
      </c>
      <c r="B307" t="n">
        <v>1.868718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8.946364000000001</v>
      </c>
      <c r="AE307" t="n">
        <v>0.6198776</v>
      </c>
    </row>
    <row r="308">
      <c r="A308" s="89" t="n">
        <v>27942</v>
      </c>
      <c r="B308" t="n">
        <v>1.88833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9.018592999999999</v>
      </c>
      <c r="AE308" t="n">
        <v>0.6254917</v>
      </c>
    </row>
    <row r="309">
      <c r="A309" s="89" t="n">
        <v>27973</v>
      </c>
      <c r="B309" t="n">
        <v>2.036819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9.121539</v>
      </c>
      <c r="AE309" t="n">
        <v>0.6290246</v>
      </c>
    </row>
    <row r="310">
      <c r="A310" s="89" t="n">
        <v>28004</v>
      </c>
      <c r="B310" t="n">
        <v>2.188109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9.221994</v>
      </c>
      <c r="AE310" t="n">
        <v>0.6350235</v>
      </c>
    </row>
    <row r="311">
      <c r="A311" s="89" t="n">
        <v>28034</v>
      </c>
      <c r="B311" t="n">
        <v>2.207721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9.339885000000001</v>
      </c>
      <c r="AE311" t="n">
        <v>0.6417219</v>
      </c>
    </row>
    <row r="312">
      <c r="A312" s="89" t="n">
        <v>28065</v>
      </c>
      <c r="B312" t="n">
        <v>2.227333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9.449472</v>
      </c>
      <c r="AE312" t="n">
        <v>0.6463391000000001</v>
      </c>
    </row>
    <row r="313">
      <c r="A313" s="89" t="n">
        <v>28095</v>
      </c>
      <c r="B313" t="n">
        <v>2.260953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9.564042000000001</v>
      </c>
      <c r="AE313" t="n">
        <v>0.6489276</v>
      </c>
    </row>
    <row r="314">
      <c r="A314" s="89" t="n">
        <v>28126</v>
      </c>
      <c r="B314" t="n">
        <v>2.291771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9.673629999999999</v>
      </c>
      <c r="AE314" t="n">
        <v>0.651446</v>
      </c>
    </row>
    <row r="315">
      <c r="A315" s="89" t="n">
        <v>28157</v>
      </c>
      <c r="B315" t="n">
        <v>2.319788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9.776576</v>
      </c>
      <c r="AE315" t="n">
        <v>0.6535972</v>
      </c>
    </row>
    <row r="316">
      <c r="A316" s="89" t="n">
        <v>28185</v>
      </c>
      <c r="B316" t="n">
        <v>2.347805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9.867069000000001</v>
      </c>
      <c r="AE316" t="n">
        <v>0.6577247000000001</v>
      </c>
    </row>
    <row r="317">
      <c r="A317" s="89" t="n">
        <v>28216</v>
      </c>
      <c r="B317" t="n">
        <v>2.359011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9.959223</v>
      </c>
      <c r="AE317" t="n">
        <v>0.6643707</v>
      </c>
    </row>
    <row r="318">
      <c r="A318" s="89" t="n">
        <v>28246</v>
      </c>
      <c r="B318" t="n">
        <v>2.37302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10.03726</v>
      </c>
      <c r="AE318" t="n">
        <v>0.6734127</v>
      </c>
    </row>
    <row r="319">
      <c r="A319" s="89" t="n">
        <v>28277</v>
      </c>
      <c r="B319" t="n">
        <v>2.395433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10.11032</v>
      </c>
      <c r="AE319" t="n">
        <v>0.6838015</v>
      </c>
    </row>
    <row r="320">
      <c r="A320" s="89" t="n">
        <v>28307</v>
      </c>
      <c r="B320" t="n">
        <v>2.40664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10.18421</v>
      </c>
      <c r="AE320" t="n">
        <v>0.6873518</v>
      </c>
    </row>
    <row r="321">
      <c r="A321" s="89" t="n">
        <v>28338</v>
      </c>
      <c r="B321" t="n">
        <v>2.412243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10.26972</v>
      </c>
      <c r="AE321" t="n">
        <v>0.688786</v>
      </c>
    </row>
    <row r="322">
      <c r="A322" s="89" t="n">
        <v>28369</v>
      </c>
      <c r="B322" t="n">
        <v>2.417847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</v>
      </c>
      <c r="AE322" t="n">
        <v>0.6941028</v>
      </c>
    </row>
    <row r="323">
      <c r="A323" s="89" t="n">
        <v>28399</v>
      </c>
      <c r="B323" t="n">
        <v>2.426252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10.41086</v>
      </c>
      <c r="AE323" t="n">
        <v>0.6980204</v>
      </c>
    </row>
    <row r="324">
      <c r="A324" s="89" t="n">
        <v>28430</v>
      </c>
      <c r="B324" t="n">
        <v>2.443062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</v>
      </c>
      <c r="AE324" t="n">
        <v>0.7027425</v>
      </c>
    </row>
    <row r="325">
      <c r="A325" s="89" t="n">
        <v>28460</v>
      </c>
      <c r="B325" t="n">
        <v>2.465475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10.54618</v>
      </c>
      <c r="AE325" t="n">
        <v>0.7105428</v>
      </c>
    </row>
    <row r="326">
      <c r="A326" s="89" t="n">
        <v>28491</v>
      </c>
      <c r="B326" t="n">
        <v>2.485087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10.62422</v>
      </c>
      <c r="AE326" t="n">
        <v>0.7260209</v>
      </c>
    </row>
    <row r="327">
      <c r="A327" s="89" t="n">
        <v>28522</v>
      </c>
      <c r="B327" t="n">
        <v>2.5075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10.67237</v>
      </c>
      <c r="AE327" t="n">
        <v>0.739278</v>
      </c>
    </row>
    <row r="328">
      <c r="A328" s="89" t="n">
        <v>28550</v>
      </c>
      <c r="B328" t="n">
        <v>2.538319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</v>
      </c>
      <c r="AE328" t="n">
        <v>0.7458714</v>
      </c>
    </row>
    <row r="329">
      <c r="A329" s="89" t="n">
        <v>28581</v>
      </c>
      <c r="B329" t="n">
        <v>2.569137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10.79608</v>
      </c>
      <c r="AE329" t="n">
        <v>0.7577118</v>
      </c>
    </row>
    <row r="330">
      <c r="A330" s="89" t="n">
        <v>28611</v>
      </c>
      <c r="B330" t="n">
        <v>2.599956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10.87993</v>
      </c>
      <c r="AE330" t="n">
        <v>0.7710912</v>
      </c>
    </row>
    <row r="331">
      <c r="A331" s="89" t="n">
        <v>28642</v>
      </c>
      <c r="B331" t="n">
        <v>2.625171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10.94634</v>
      </c>
      <c r="AE331" t="n">
        <v>0.782127</v>
      </c>
    </row>
    <row r="332">
      <c r="A332" s="89" t="n">
        <v>28672</v>
      </c>
      <c r="B332" t="n">
        <v>2.647584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10.99284</v>
      </c>
      <c r="AE332" t="n">
        <v>0.794597</v>
      </c>
    </row>
    <row r="333">
      <c r="A333" s="89" t="n">
        <v>28703</v>
      </c>
      <c r="B333" t="n">
        <v>2.675601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11.07088</v>
      </c>
      <c r="AE333" t="n">
        <v>0.8112994</v>
      </c>
    </row>
    <row r="334">
      <c r="A334" s="89" t="n">
        <v>28734</v>
      </c>
      <c r="B334" t="n">
        <v>2.703618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11.16635</v>
      </c>
      <c r="AE334" t="n">
        <v>0.8056678</v>
      </c>
    </row>
    <row r="335">
      <c r="A335" s="89" t="n">
        <v>28764</v>
      </c>
      <c r="B335" t="n">
        <v>2.726031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11.22696</v>
      </c>
      <c r="AE335" t="n">
        <v>0.8108621</v>
      </c>
    </row>
    <row r="336">
      <c r="A336" s="89" t="n">
        <v>28795</v>
      </c>
      <c r="B336" t="n">
        <v>2.748445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11.28341</v>
      </c>
      <c r="AE336" t="n">
        <v>0.8378483</v>
      </c>
    </row>
    <row r="337">
      <c r="A337" s="89" t="n">
        <v>28825</v>
      </c>
      <c r="B337" t="n">
        <v>2.773659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</v>
      </c>
      <c r="AE337" t="n">
        <v>0.8464706</v>
      </c>
    </row>
    <row r="338">
      <c r="A338" s="89" t="n">
        <v>28856</v>
      </c>
      <c r="B338" t="n">
        <v>2.80728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11.38719</v>
      </c>
      <c r="AE338" t="n">
        <v>0.8501434</v>
      </c>
    </row>
    <row r="339">
      <c r="A339" s="89" t="n">
        <v>28887</v>
      </c>
      <c r="B339" t="n">
        <v>2.849305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11.43866</v>
      </c>
      <c r="AE339" t="n">
        <v>0.8580835999999999</v>
      </c>
    </row>
    <row r="340">
      <c r="A340" s="89" t="n">
        <v>28915</v>
      </c>
      <c r="B340" t="n">
        <v>2.885727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11.52168</v>
      </c>
      <c r="AE340" t="n">
        <v>0.8688221</v>
      </c>
    </row>
    <row r="341">
      <c r="A341" s="89" t="n">
        <v>28946</v>
      </c>
      <c r="B341" t="n">
        <v>2.919347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</v>
      </c>
      <c r="AE341" t="n">
        <v>0.8765174</v>
      </c>
    </row>
    <row r="342">
      <c r="A342" s="89" t="n">
        <v>28976</v>
      </c>
      <c r="B342" t="n">
        <v>2.950165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11.70765</v>
      </c>
      <c r="AE342" t="n">
        <v>0.8841778</v>
      </c>
    </row>
    <row r="343">
      <c r="A343" s="89" t="n">
        <v>29007</v>
      </c>
      <c r="B343" t="n">
        <v>2.972579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11.81392</v>
      </c>
      <c r="AE343" t="n">
        <v>0.8909462</v>
      </c>
    </row>
    <row r="344">
      <c r="A344" s="89" t="n">
        <v>29037</v>
      </c>
      <c r="B344" t="n">
        <v>2.989389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11.91188</v>
      </c>
      <c r="AE344" t="n">
        <v>0.8980644</v>
      </c>
    </row>
    <row r="345">
      <c r="A345" s="89" t="n">
        <v>29068</v>
      </c>
      <c r="B345" t="n">
        <v>3.011802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12.00985</v>
      </c>
      <c r="AE345" t="n">
        <v>0.9114788</v>
      </c>
    </row>
    <row r="346">
      <c r="A346" s="89" t="n">
        <v>29099</v>
      </c>
      <c r="B346" t="n">
        <v>3.037017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12.07211</v>
      </c>
      <c r="AE346" t="n">
        <v>0.9245259</v>
      </c>
    </row>
    <row r="347">
      <c r="A347" s="89" t="n">
        <v>29129</v>
      </c>
      <c r="B347" t="n">
        <v>3.062232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12.12442</v>
      </c>
      <c r="AE347" t="n">
        <v>0.9387798000000001</v>
      </c>
    </row>
    <row r="348">
      <c r="A348" s="89" t="n">
        <v>29160</v>
      </c>
      <c r="B348" t="n">
        <v>3.098654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12.17008</v>
      </c>
      <c r="AE348" t="n">
        <v>0.9564791</v>
      </c>
    </row>
    <row r="349">
      <c r="A349" s="89" t="n">
        <v>29190</v>
      </c>
      <c r="B349" t="n">
        <v>3.137877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12.23483</v>
      </c>
      <c r="AE349" t="n">
        <v>0.9732165</v>
      </c>
    </row>
    <row r="350">
      <c r="A350" s="89" t="n">
        <v>29221</v>
      </c>
      <c r="B350" t="n">
        <v>3.191109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3.117779</v>
      </c>
      <c r="Y350" t="n">
        <v>0.263348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12.30955</v>
      </c>
      <c r="AE350" t="n">
        <v>0.9873304000000001</v>
      </c>
    </row>
    <row r="351">
      <c r="A351" s="89" t="n">
        <v>29252</v>
      </c>
      <c r="B351" t="n">
        <v>3.247143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3.152512</v>
      </c>
      <c r="Y351" t="n">
        <v>0.269266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12.40835</v>
      </c>
      <c r="AE351" t="n">
        <v>0.9988385</v>
      </c>
    </row>
    <row r="352">
      <c r="A352" s="89" t="n">
        <v>29281</v>
      </c>
      <c r="B352" t="n">
        <v>3.27516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3.17505</v>
      </c>
      <c r="Y352" t="n">
        <v>0.2716184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12.45152</v>
      </c>
      <c r="AE352" t="n">
        <v>1.018881</v>
      </c>
    </row>
    <row r="353">
      <c r="A353" s="89" t="n">
        <v>29312</v>
      </c>
      <c r="B353" t="n">
        <v>3.294771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3.195561</v>
      </c>
      <c r="Y353" t="n">
        <v>0.2751408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12.47144</v>
      </c>
      <c r="AE353" t="n">
        <v>1.02948</v>
      </c>
    </row>
    <row r="354">
      <c r="A354" s="89" t="n">
        <v>29342</v>
      </c>
      <c r="B354" t="n">
        <v>3.322788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3.226929</v>
      </c>
      <c r="Y354" t="n">
        <v>0.2789933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</v>
      </c>
      <c r="AE354" t="n">
        <v>1.033555</v>
      </c>
    </row>
    <row r="355">
      <c r="A355" s="89" t="n">
        <v>29373</v>
      </c>
      <c r="B355" t="n">
        <v>3.356408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3.265894</v>
      </c>
      <c r="Y355" t="n">
        <v>0.2825916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</v>
      </c>
      <c r="AE355" t="n">
        <v>1.053668</v>
      </c>
    </row>
    <row r="356">
      <c r="A356" s="89" t="n">
        <v>29403</v>
      </c>
      <c r="B356" t="n">
        <v>3.398433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3.311514</v>
      </c>
      <c r="Y356" t="n">
        <v>0.2940181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12.83093</v>
      </c>
      <c r="AE356" t="n">
        <v>1.082648</v>
      </c>
    </row>
    <row r="357">
      <c r="A357" s="89" t="n">
        <v>29434</v>
      </c>
      <c r="B357" t="n">
        <v>3.440459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3.354458</v>
      </c>
      <c r="Y357" t="n">
        <v>0.3062004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12.96376</v>
      </c>
      <c r="AE357" t="n">
        <v>1.107028</v>
      </c>
    </row>
    <row r="358">
      <c r="A358" s="89" t="n">
        <v>29465</v>
      </c>
      <c r="B358" t="n">
        <v>3.471277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3.390518</v>
      </c>
      <c r="Y358" t="n">
        <v>0.3137157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13.06754</v>
      </c>
      <c r="AE358" t="n">
        <v>1.130271</v>
      </c>
    </row>
    <row r="359">
      <c r="A359" s="89" t="n">
        <v>29495</v>
      </c>
      <c r="B359" t="n">
        <v>3.5105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3.429167</v>
      </c>
      <c r="Y359" t="n">
        <v>0.3232996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</v>
      </c>
      <c r="AE359" t="n">
        <v>1.158919</v>
      </c>
    </row>
    <row r="360">
      <c r="A360" s="89" t="n">
        <v>29526</v>
      </c>
      <c r="B360" t="n">
        <v>3.555327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3.469318</v>
      </c>
      <c r="Y360" t="n">
        <v>0.330852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13.24852</v>
      </c>
      <c r="AE360" t="n">
        <v>1.180291</v>
      </c>
    </row>
    <row r="361">
      <c r="A361" s="89" t="n">
        <v>29556</v>
      </c>
      <c r="B361" t="n">
        <v>3.594551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3.501651</v>
      </c>
      <c r="Y361" t="n">
        <v>0.3367367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13.28173</v>
      </c>
      <c r="AE361" t="n">
        <v>1.198515</v>
      </c>
    </row>
    <row r="362">
      <c r="A362" s="89" t="n">
        <v>29587</v>
      </c>
      <c r="B362" t="n">
        <v>3.628171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3.537557</v>
      </c>
      <c r="Y362" t="n">
        <v>0.3422842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13.34068</v>
      </c>
      <c r="AE362" t="n">
        <v>1.220639</v>
      </c>
    </row>
    <row r="363">
      <c r="A363" s="89" t="n">
        <v>29618</v>
      </c>
      <c r="B363" t="n">
        <v>3.656188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3.575448</v>
      </c>
      <c r="Y363" t="n">
        <v>0.3472529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13.43864</v>
      </c>
      <c r="AE363" t="n">
        <v>1.244722</v>
      </c>
    </row>
    <row r="364">
      <c r="A364" s="89" t="n">
        <v>29646</v>
      </c>
      <c r="B364" t="n">
        <v>3.687006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3.61832</v>
      </c>
      <c r="Y364" t="n">
        <v>0.3524105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13.58725</v>
      </c>
      <c r="AE364" t="n">
        <v>1.272758</v>
      </c>
    </row>
    <row r="365">
      <c r="A365" s="89" t="n">
        <v>29677</v>
      </c>
      <c r="B365" t="n">
        <v>3.720626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3.680052</v>
      </c>
      <c r="Y365" t="n">
        <v>0.3641031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13.77488</v>
      </c>
      <c r="AE365" t="n">
        <v>1.307352</v>
      </c>
    </row>
    <row r="366">
      <c r="A366" s="89" t="n">
        <v>29707</v>
      </c>
      <c r="B366" t="n">
        <v>3.75985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3.719073</v>
      </c>
      <c r="Y366" t="n">
        <v>0.3776554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13.81639</v>
      </c>
      <c r="AE366" t="n">
        <v>1.334723</v>
      </c>
    </row>
    <row r="367">
      <c r="A367" s="89" t="n">
        <v>29738</v>
      </c>
      <c r="B367" t="n">
        <v>3.804677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3.759225</v>
      </c>
      <c r="Y367" t="n">
        <v>0.3853359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13.86703</v>
      </c>
      <c r="AE367" t="n">
        <v>1.348942</v>
      </c>
    </row>
    <row r="368">
      <c r="A368" s="89" t="n">
        <v>29768</v>
      </c>
      <c r="B368" t="n">
        <v>3.841098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3.80686</v>
      </c>
      <c r="Y368" t="n">
        <v>0.3985096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13.96334</v>
      </c>
      <c r="AE368" t="n">
        <v>1.366011</v>
      </c>
    </row>
    <row r="369">
      <c r="A369" s="89" t="n">
        <v>29799</v>
      </c>
      <c r="B369" t="n">
        <v>3.869115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3.855811</v>
      </c>
      <c r="Y369" t="n">
        <v>0.4104799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14.06628</v>
      </c>
      <c r="AE369" t="n">
        <v>1.381507</v>
      </c>
    </row>
    <row r="370">
      <c r="A370" s="89" t="n">
        <v>29830</v>
      </c>
      <c r="B370" t="n">
        <v>3.899934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3.89554</v>
      </c>
      <c r="Y370" t="n">
        <v>0.41505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14.16342</v>
      </c>
      <c r="AE370" t="n">
        <v>1.38121</v>
      </c>
    </row>
    <row r="371">
      <c r="A371" s="89" t="n">
        <v>29860</v>
      </c>
      <c r="B371" t="n">
        <v>3.936355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3.948992</v>
      </c>
      <c r="Y371" t="n">
        <v>0.4289715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14.29459</v>
      </c>
      <c r="AE371" t="n">
        <v>1.388153</v>
      </c>
    </row>
    <row r="372">
      <c r="A372" s="89" t="n">
        <v>29891</v>
      </c>
      <c r="B372" t="n">
        <v>3.972777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3.995938</v>
      </c>
      <c r="Y372" t="n">
        <v>0.4446659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14.41331</v>
      </c>
      <c r="AE372" t="n">
        <v>1.409927</v>
      </c>
    </row>
    <row r="373">
      <c r="A373" s="89" t="n">
        <v>29921</v>
      </c>
      <c r="B373" t="n">
        <v>4.003595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4.05489</v>
      </c>
      <c r="Y373" t="n">
        <v>0.4595231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14.57437</v>
      </c>
      <c r="AE373" t="n">
        <v>1.422747</v>
      </c>
    </row>
    <row r="374">
      <c r="A374" s="89" t="n">
        <v>29952</v>
      </c>
      <c r="B374" t="n">
        <v>4.037216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4.105584</v>
      </c>
      <c r="Y374" t="n">
        <v>0.472383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14.69807</v>
      </c>
      <c r="AE374" t="n">
        <v>1.428186</v>
      </c>
    </row>
    <row r="375">
      <c r="A375" s="89" t="n">
        <v>29983</v>
      </c>
      <c r="B375" t="n">
        <v>4.073637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0.1771606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4.154861</v>
      </c>
      <c r="Y375" t="n">
        <v>0.4777145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14.73211</v>
      </c>
      <c r="AE375" t="n">
        <v>1.436022</v>
      </c>
    </row>
    <row r="376">
      <c r="A376" s="89" t="n">
        <v>30011</v>
      </c>
      <c r="B376" t="n">
        <v>4.107257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0.1804302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4.213228</v>
      </c>
      <c r="Y376" t="n">
        <v>0.4833249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14.83174</v>
      </c>
      <c r="AE376" t="n">
        <v>1.458408</v>
      </c>
    </row>
    <row r="377">
      <c r="A377" s="89" t="n">
        <v>30042</v>
      </c>
      <c r="B377" t="n">
        <v>4.146481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0.1843366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4.252329</v>
      </c>
      <c r="Y377" t="n">
        <v>0.4923975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14.97619</v>
      </c>
      <c r="AE377" t="n">
        <v>1.469741</v>
      </c>
    </row>
    <row r="378">
      <c r="A378" s="89" t="n">
        <v>30072</v>
      </c>
      <c r="B378" t="n">
        <v>4.208118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0.1894799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4.286412</v>
      </c>
      <c r="Y378" t="n">
        <v>0.5007653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15.07167</v>
      </c>
      <c r="AE378" t="n">
        <v>1.465456</v>
      </c>
    </row>
    <row r="379">
      <c r="A379" s="89" t="n">
        <v>30103</v>
      </c>
      <c r="B379" t="n">
        <v>4.252944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0.1929929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4.322196</v>
      </c>
      <c r="Y379" t="n">
        <v>0.5065229999999999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15.15967</v>
      </c>
      <c r="AE379" t="n">
        <v>1.478084</v>
      </c>
    </row>
    <row r="380">
      <c r="A380" s="89" t="n">
        <v>30133</v>
      </c>
      <c r="B380" t="n">
        <v>4.269755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0.1952646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4.360378</v>
      </c>
      <c r="Y380" t="n">
        <v>0.515835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15.20533</v>
      </c>
      <c r="AE380" t="n">
        <v>1.498127</v>
      </c>
    </row>
    <row r="381">
      <c r="A381" s="89" t="n">
        <v>30164</v>
      </c>
      <c r="B381" t="n">
        <v>4.292168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0.1968189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4.432129</v>
      </c>
      <c r="Y381" t="n">
        <v>0.5258890000000001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15.31907</v>
      </c>
      <c r="AE381" t="n">
        <v>1.520338</v>
      </c>
    </row>
    <row r="382">
      <c r="A382" s="89" t="n">
        <v>30195</v>
      </c>
      <c r="B382" t="n">
        <v>4.32859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0.1985213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4.50364</v>
      </c>
      <c r="Y382" t="n">
        <v>0.5356346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15.42866</v>
      </c>
      <c r="AE382" t="n">
        <v>1.548339</v>
      </c>
    </row>
    <row r="383">
      <c r="A383" s="89" t="n">
        <v>30225</v>
      </c>
      <c r="B383" t="n">
        <v>4.36221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0.1996785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4.552255</v>
      </c>
      <c r="Y383" t="n">
        <v>0.5442787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15.52247</v>
      </c>
      <c r="AE383" t="n">
        <v>1.5716</v>
      </c>
    </row>
    <row r="384">
      <c r="A384" s="89" t="n">
        <v>30256</v>
      </c>
      <c r="B384" t="n">
        <v>4.39583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0.2011373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4.603971</v>
      </c>
      <c r="Y384" t="n">
        <v>0.5519471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</v>
      </c>
      <c r="AE384" t="n">
        <v>1.597816</v>
      </c>
    </row>
    <row r="385">
      <c r="A385" s="89" t="n">
        <v>30286</v>
      </c>
      <c r="B385" t="n">
        <v>4.449062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0.2044391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4.668331</v>
      </c>
      <c r="Y385" t="n">
        <v>0.5634283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15.82301</v>
      </c>
      <c r="AE385" t="n">
        <v>1.62942</v>
      </c>
    </row>
    <row r="386">
      <c r="A386" s="89" t="n">
        <v>30317</v>
      </c>
      <c r="B386" t="n">
        <v>4.493889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0.2080072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0.02095638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4.768936</v>
      </c>
      <c r="Y386" t="n">
        <v>0.5712999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16.26717</v>
      </c>
      <c r="AE386" t="n">
        <v>1.660463</v>
      </c>
    </row>
    <row r="387">
      <c r="A387" s="89" t="n">
        <v>30348</v>
      </c>
      <c r="B387" t="n">
        <v>4.535914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0.2107543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0.02273102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4.842896</v>
      </c>
      <c r="Y387" t="n">
        <v>0.5751027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16.57767</v>
      </c>
      <c r="AE387" t="n">
        <v>1.689741</v>
      </c>
    </row>
    <row r="388">
      <c r="A388" s="89" t="n">
        <v>30376</v>
      </c>
      <c r="B388" t="n">
        <v>4.605956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0.2120939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0.02456616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4.894414</v>
      </c>
      <c r="Y388" t="n">
        <v>0.5837477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16.73043</v>
      </c>
      <c r="AE388" t="n">
        <v>1.72033</v>
      </c>
    </row>
    <row r="389">
      <c r="A389" s="89" t="n">
        <v>30407</v>
      </c>
      <c r="B389" t="n">
        <v>4.670394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0.2164141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0.02604945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4.942708</v>
      </c>
      <c r="Y389" t="n">
        <v>0.5919733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16.84168</v>
      </c>
      <c r="AE389" t="n">
        <v>1.74938</v>
      </c>
    </row>
    <row r="390">
      <c r="A390" s="89" t="n">
        <v>30437</v>
      </c>
      <c r="B390" t="n">
        <v>4.720825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0.2240004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0.02811953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4.997501</v>
      </c>
      <c r="Y390" t="n">
        <v>0.6000259999999999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16.96206</v>
      </c>
      <c r="AE390" t="n">
        <v>1.775736</v>
      </c>
    </row>
    <row r="391">
      <c r="A391" s="89" t="n">
        <v>30468</v>
      </c>
      <c r="B391" t="n">
        <v>4.776858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0.2301084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0.03042492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5.052961</v>
      </c>
      <c r="Y391" t="n">
        <v>0.6099887000000001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</v>
      </c>
      <c r="AE391" t="n">
        <v>1.80309</v>
      </c>
    </row>
    <row r="392">
      <c r="A392" s="89" t="n">
        <v>30498</v>
      </c>
      <c r="B392" t="n">
        <v>4.824487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0.2363062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0.03285186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5.111828</v>
      </c>
      <c r="Y392" t="n">
        <v>0.6191575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17.14222</v>
      </c>
      <c r="AE392" t="n">
        <v>1.815157</v>
      </c>
    </row>
    <row r="393">
      <c r="A393" s="89" t="n">
        <v>30529</v>
      </c>
      <c r="B393" t="n">
        <v>4.872115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0.2426295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0.03660587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5.169285</v>
      </c>
      <c r="Y393" t="n">
        <v>0.6247395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</v>
      </c>
      <c r="AE393" t="n">
        <v>1.826438</v>
      </c>
    </row>
    <row r="394">
      <c r="A394" s="89" t="n">
        <v>30560</v>
      </c>
      <c r="B394" t="n">
        <v>4.922545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0.04088387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5.224259</v>
      </c>
      <c r="Y394" t="n">
        <v>0.6296608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17.29498</v>
      </c>
      <c r="AE394" t="n">
        <v>1.857814</v>
      </c>
    </row>
    <row r="395">
      <c r="A395" s="89" t="n">
        <v>30590</v>
      </c>
      <c r="B395" t="n">
        <v>4.970174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0.2550704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0.04735094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5.294352</v>
      </c>
      <c r="Y395" t="n">
        <v>0.6383377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17.42781</v>
      </c>
      <c r="AE395" t="n">
        <v>1.873117</v>
      </c>
    </row>
    <row r="396">
      <c r="A396" s="89" t="n">
        <v>30621</v>
      </c>
      <c r="B396" t="n">
        <v>5.020604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0.2631034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0.05619404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5.365129</v>
      </c>
      <c r="Y396" t="n">
        <v>0.648473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17.53657</v>
      </c>
      <c r="AE396" t="n">
        <v>1.880008</v>
      </c>
    </row>
    <row r="397">
      <c r="A397" s="89" t="n">
        <v>30651</v>
      </c>
      <c r="B397" t="n">
        <v>5.082241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0.2669082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0.06447954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5.438718</v>
      </c>
      <c r="Y397" t="n">
        <v>0.6589438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17.62955</v>
      </c>
      <c r="AE397" t="n">
        <v>1.902167</v>
      </c>
    </row>
    <row r="398">
      <c r="A398" s="89" t="n">
        <v>30682</v>
      </c>
      <c r="B398" t="n">
        <v>5.146679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0.2689412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0.07366810999999999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5.512291</v>
      </c>
      <c r="Y398" t="n">
        <v>0.667309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17.75159</v>
      </c>
      <c r="AE398" t="n">
        <v>1.932459</v>
      </c>
    </row>
    <row r="399">
      <c r="A399" s="89" t="n">
        <v>30713</v>
      </c>
      <c r="B399" t="n">
        <v>5.21392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0.2721794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0.08497535000000001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5.580715</v>
      </c>
      <c r="Y399" t="n">
        <v>0.6763849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17.91763</v>
      </c>
      <c r="AE399" t="n">
        <v>1.963817</v>
      </c>
    </row>
    <row r="400">
      <c r="A400" s="89" t="n">
        <v>30742</v>
      </c>
      <c r="B400" t="n">
        <v>5.272755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0.2759514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0.0976125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5.653656</v>
      </c>
      <c r="Y400" t="n">
        <v>0.6902862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18.05877</v>
      </c>
      <c r="AE400" t="n">
        <v>1.979593</v>
      </c>
    </row>
    <row r="401">
      <c r="A401" s="89" t="n">
        <v>30773</v>
      </c>
      <c r="B401" t="n">
        <v>5.306375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0.2804764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0.1130177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5.718881</v>
      </c>
      <c r="Y401" t="n">
        <v>0.7026117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18.19576</v>
      </c>
      <c r="AE401" t="n">
        <v>2.003431</v>
      </c>
    </row>
    <row r="402">
      <c r="A402" s="89" t="n">
        <v>30803</v>
      </c>
      <c r="B402" t="n">
        <v>5.337193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0.2839654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0.129933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5.784257</v>
      </c>
      <c r="Y402" t="n">
        <v>0.712903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</v>
      </c>
      <c r="AE402" t="n">
        <v>2.03395</v>
      </c>
    </row>
    <row r="403">
      <c r="A403" s="89" t="n">
        <v>30834</v>
      </c>
      <c r="B403" t="n">
        <v>5.379219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0.2875643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0.1477882</v>
      </c>
      <c r="S403" t="n">
        <v>34.20883</v>
      </c>
      <c r="T403" t="n">
        <v>1.354109</v>
      </c>
      <c r="U403" t="n">
        <v>0.05764966</v>
      </c>
      <c r="V403" t="n">
        <v>11.12586</v>
      </c>
      <c r="W403" t="n">
        <v>5.851186</v>
      </c>
      <c r="X403" t="n">
        <v>5.853253</v>
      </c>
      <c r="Y403" t="n">
        <v>0.7271919999999999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18.39003</v>
      </c>
      <c r="AE403" t="n">
        <v>2.056704</v>
      </c>
    </row>
    <row r="404">
      <c r="A404" s="89" t="n">
        <v>30864</v>
      </c>
      <c r="B404" t="n">
        <v>5.435252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0.2922293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0.1693428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5.91735</v>
      </c>
      <c r="Y404" t="n">
        <v>0.7385052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18.45976</v>
      </c>
      <c r="AE404" t="n">
        <v>2.087065</v>
      </c>
    </row>
    <row r="405">
      <c r="A405" s="89" t="n">
        <v>30895</v>
      </c>
      <c r="B405" t="n">
        <v>5.508096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0.2978002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0.1977101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5.982546</v>
      </c>
      <c r="Y405" t="n">
        <v>0.7501175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18.51705</v>
      </c>
      <c r="AE405" t="n">
        <v>2.115276</v>
      </c>
    </row>
    <row r="406">
      <c r="A406" s="89" t="n">
        <v>30926</v>
      </c>
      <c r="B406" t="n">
        <v>5.575336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0.3064975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0.2353674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6.066154</v>
      </c>
      <c r="Y406" t="n">
        <v>0.7657433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18.63328</v>
      </c>
      <c r="AE406" t="n">
        <v>2.145533</v>
      </c>
    </row>
    <row r="407">
      <c r="A407" s="89" t="n">
        <v>30956</v>
      </c>
      <c r="B407" t="n">
        <v>5.634171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0.3144134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0.2814284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6.149342</v>
      </c>
      <c r="Y407" t="n">
        <v>0.7783647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18.75366</v>
      </c>
      <c r="AE407" t="n">
        <v>2.185916</v>
      </c>
    </row>
    <row r="408">
      <c r="A408" s="89" t="n">
        <v>30987</v>
      </c>
      <c r="B408" t="n">
        <v>5.709816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0.3203244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0.3354055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6.252701</v>
      </c>
      <c r="Y408" t="n">
        <v>0.7964846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18.94046</v>
      </c>
      <c r="AE408" t="n">
        <v>2.232647</v>
      </c>
    </row>
    <row r="409">
      <c r="A409" s="89" t="n">
        <v>31017</v>
      </c>
      <c r="B409" t="n">
        <v>5.793867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0.3286082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0.3871072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6.374649</v>
      </c>
      <c r="Y409" t="n">
        <v>0.8186911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19.14801</v>
      </c>
      <c r="AE409" t="n">
        <v>2.256573</v>
      </c>
    </row>
    <row r="410">
      <c r="A410" s="89" t="n">
        <v>31048</v>
      </c>
      <c r="B410" t="n">
        <v>5.886322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0.3373971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0.4360051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6.486273</v>
      </c>
      <c r="Y410" t="n">
        <v>0.8315333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19.36386</v>
      </c>
      <c r="AE410" t="n">
        <v>2.268588</v>
      </c>
    </row>
    <row r="411">
      <c r="A411" s="89" t="n">
        <v>31079</v>
      </c>
      <c r="B411" t="n">
        <v>5.975976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0.3438244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0.4852705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6.560225</v>
      </c>
      <c r="Y411" t="n">
        <v>0.8437869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19.54402</v>
      </c>
      <c r="AE411" t="n">
        <v>2.293161</v>
      </c>
    </row>
    <row r="412">
      <c r="A412" s="89" t="n">
        <v>31107</v>
      </c>
      <c r="B412" t="n">
        <v>6.054422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0.3510447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0.5413556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6.627061</v>
      </c>
      <c r="Y412" t="n">
        <v>0.8611779000000001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19.64448</v>
      </c>
      <c r="AE412" t="n">
        <v>2.305578</v>
      </c>
    </row>
    <row r="413">
      <c r="A413" s="89" t="n">
        <v>31138</v>
      </c>
      <c r="B413" t="n">
        <v>6.127266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0.3577813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0.6177174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6.695511</v>
      </c>
      <c r="Y413" t="n">
        <v>0.877127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19.72086</v>
      </c>
      <c r="AE413" t="n">
        <v>2.322298</v>
      </c>
    </row>
    <row r="414">
      <c r="A414" s="89" t="n">
        <v>31168</v>
      </c>
      <c r="B414" t="n">
        <v>6.20011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0.3643521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0.6879233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6.770533</v>
      </c>
      <c r="Y414" t="n">
        <v>0.8935128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19.83792</v>
      </c>
      <c r="AE414" t="n">
        <v>2.353272</v>
      </c>
    </row>
    <row r="415">
      <c r="A415" s="89" t="n">
        <v>31199</v>
      </c>
      <c r="B415" t="n">
        <v>6.244936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0.3732326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0.7561027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6.854901</v>
      </c>
      <c r="Y415" t="n">
        <v>0.9099079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20.02969</v>
      </c>
      <c r="AE415" t="n">
        <v>2.389038</v>
      </c>
    </row>
    <row r="416">
      <c r="A416" s="89" t="n">
        <v>31229</v>
      </c>
      <c r="B416" t="n">
        <v>6.328987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0.3834633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0.9078448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6.943835</v>
      </c>
      <c r="Y416" t="n">
        <v>0.9280739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</v>
      </c>
      <c r="AE416" t="n">
        <v>2.417528</v>
      </c>
    </row>
    <row r="417">
      <c r="A417" s="89" t="n">
        <v>31260</v>
      </c>
      <c r="B417" t="n">
        <v>6.446657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0.3955108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1.02495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7.035711</v>
      </c>
      <c r="Y417" t="n">
        <v>0.9513676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20.29038</v>
      </c>
      <c r="AE417" t="n">
        <v>2.441996</v>
      </c>
    </row>
    <row r="418">
      <c r="A418" s="89" t="n">
        <v>31291</v>
      </c>
      <c r="B418" t="n">
        <v>6.525104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0.4043911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1.04713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7.112349</v>
      </c>
      <c r="Y418" t="n">
        <v>0.9719950000000001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20.39333</v>
      </c>
      <c r="AE418" t="n">
        <v>2.448309</v>
      </c>
    </row>
    <row r="419">
      <c r="A419" s="89" t="n">
        <v>31321</v>
      </c>
      <c r="B419" t="n">
        <v>6.586741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0.4145196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1.076969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7.176833</v>
      </c>
      <c r="Y419" t="n">
        <v>0.9839631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20.48963</v>
      </c>
      <c r="AE419" t="n">
        <v>2.461024</v>
      </c>
    </row>
    <row r="420">
      <c r="A420" s="89" t="n">
        <v>31352</v>
      </c>
      <c r="B420" t="n">
        <v>6.634369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0.4281413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1.115038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7.239048</v>
      </c>
      <c r="Y420" t="n">
        <v>0.9956083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20.57099</v>
      </c>
      <c r="AE420" t="n">
        <v>2.486017</v>
      </c>
    </row>
    <row r="421">
      <c r="A421" s="89" t="n">
        <v>31382</v>
      </c>
      <c r="B421" t="n">
        <v>6.673593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0.4399317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1.142666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7.482771</v>
      </c>
      <c r="Y421" t="n">
        <v>1.017567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20.68971</v>
      </c>
      <c r="AE421" t="n">
        <v>2.508438</v>
      </c>
    </row>
    <row r="422">
      <c r="A422" s="89" t="n">
        <v>31413</v>
      </c>
      <c r="B422" t="n">
        <v>6.693205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0.4526629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1.149873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7.71386</v>
      </c>
      <c r="Y422" t="n">
        <v>1.04231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20.77273</v>
      </c>
      <c r="AE422" t="n">
        <v>2.528009</v>
      </c>
    </row>
    <row r="423">
      <c r="A423" s="89" t="n">
        <v>31444</v>
      </c>
      <c r="B423" t="n">
        <v>6.707213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0.4650052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1.17231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7.766685</v>
      </c>
      <c r="Y423" t="n">
        <v>1.058908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</v>
      </c>
      <c r="AE423" t="n">
        <v>2.566031</v>
      </c>
    </row>
    <row r="424">
      <c r="A424" s="89" t="n">
        <v>31472</v>
      </c>
      <c r="B424" t="n">
        <v>6.763247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0.476034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1.195892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7.842405</v>
      </c>
      <c r="Y424" t="n">
        <v>1.084804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</v>
      </c>
      <c r="AE424" t="n">
        <v>2.581352</v>
      </c>
    </row>
    <row r="425">
      <c r="A425" s="89" t="n">
        <v>31503</v>
      </c>
      <c r="B425" t="n">
        <v>6.875314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0.4847513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1.199049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7.922684</v>
      </c>
      <c r="Y425" t="n">
        <v>1.109841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21.23516</v>
      </c>
      <c r="AE425" t="n">
        <v>2.586581</v>
      </c>
    </row>
    <row r="426">
      <c r="A426" s="89" t="n">
        <v>31533</v>
      </c>
      <c r="B426" t="n">
        <v>6.967769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0.4945091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1.187813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7.999801</v>
      </c>
      <c r="Y426" t="n">
        <v>1.134269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21.45932</v>
      </c>
      <c r="AE426" t="n">
        <v>2.62135</v>
      </c>
    </row>
    <row r="427">
      <c r="A427" s="89" t="n">
        <v>31564</v>
      </c>
      <c r="B427" t="n">
        <v>7.015398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0.506947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1.17525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8.073278</v>
      </c>
      <c r="Y427" t="n">
        <v>1.160485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21.62702</v>
      </c>
      <c r="AE427" t="n">
        <v>2.638017</v>
      </c>
    </row>
    <row r="428">
      <c r="A428" s="89" t="n">
        <v>31594</v>
      </c>
      <c r="B428" t="n">
        <v>7.054621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0.5173849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1.184665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8.145624</v>
      </c>
      <c r="Y428" t="n">
        <v>1.180677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21.80635</v>
      </c>
      <c r="AE428" t="n">
        <v>2.653076</v>
      </c>
    </row>
    <row r="429">
      <c r="A429" s="89" t="n">
        <v>31625</v>
      </c>
      <c r="B429" t="n">
        <v>7.10225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0.5252483999999999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1.219658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8.232488</v>
      </c>
      <c r="Y429" t="n">
        <v>1.197172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21.97156</v>
      </c>
      <c r="AE429" t="n">
        <v>2.673678</v>
      </c>
    </row>
    <row r="430">
      <c r="A430" s="89" t="n">
        <v>31656</v>
      </c>
      <c r="B430" t="n">
        <v>7.138671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0.5320991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1.256735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8.336639999999999</v>
      </c>
      <c r="Y430" t="n">
        <v>1.211986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</v>
      </c>
      <c r="AE430" t="n">
        <v>2.6947</v>
      </c>
    </row>
    <row r="431">
      <c r="A431" s="89" t="n">
        <v>31686</v>
      </c>
      <c r="B431" t="n">
        <v>7.180696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0.5419043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1.292036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8.446826</v>
      </c>
      <c r="Y431" t="n">
        <v>1.230241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22.31112</v>
      </c>
      <c r="AE431" t="n">
        <v>2.718853</v>
      </c>
    </row>
    <row r="432">
      <c r="A432" s="89" t="n">
        <v>31717</v>
      </c>
      <c r="B432" t="n">
        <v>7.211515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0.5543413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1.321336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8.556578</v>
      </c>
      <c r="Y432" t="n">
        <v>1.251369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22.42652</v>
      </c>
      <c r="AE432" t="n">
        <v>2.739911</v>
      </c>
    </row>
    <row r="433">
      <c r="A433" s="89" t="n">
        <v>31747</v>
      </c>
      <c r="B433" t="n">
        <v>7.25354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0.5672242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1.351372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8.696650999999999</v>
      </c>
      <c r="Y433" t="n">
        <v>1.27509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22.64818</v>
      </c>
      <c r="AE433" t="n">
        <v>2.751034</v>
      </c>
    </row>
    <row r="434">
      <c r="A434" s="89" t="n">
        <v>31778</v>
      </c>
      <c r="B434" t="n">
        <v>7.343194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0.5793123999999999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9.223356000000001</v>
      </c>
      <c r="N434" t="n">
        <v/>
      </c>
      <c r="O434" t="n">
        <v/>
      </c>
      <c r="P434" t="n">
        <v>1.260513</v>
      </c>
      <c r="Q434" t="n">
        <v>3.097813</v>
      </c>
      <c r="R434" t="n">
        <v>1.402272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8.815106999999999</v>
      </c>
      <c r="Y434" t="n">
        <v>1.298034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22.78019</v>
      </c>
      <c r="AE434" t="n">
        <v>2.747693</v>
      </c>
    </row>
    <row r="435">
      <c r="A435" s="89" t="n">
        <v>31809</v>
      </c>
      <c r="B435" t="n">
        <v>7.42164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0.5926065</v>
      </c>
      <c r="I435" t="n">
        <v/>
      </c>
      <c r="J435" t="n">
        <v/>
      </c>
      <c r="K435" t="n">
        <v>22.56106</v>
      </c>
      <c r="L435" t="n">
        <v>19.25452</v>
      </c>
      <c r="M435" t="n">
        <v>11.16498</v>
      </c>
      <c r="N435" t="n">
        <v/>
      </c>
      <c r="O435" t="n">
        <v/>
      </c>
      <c r="P435" t="n">
        <v>1.280062</v>
      </c>
      <c r="Q435" t="n">
        <v>3.176628</v>
      </c>
      <c r="R435" t="n">
        <v>1.451147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9.047924999999999</v>
      </c>
      <c r="Y435" t="n">
        <v>1.44243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22.81007</v>
      </c>
      <c r="AE435" t="n">
        <v>2.765358</v>
      </c>
    </row>
    <row r="436">
      <c r="A436" s="89" t="n">
        <v>31837</v>
      </c>
      <c r="B436" t="n">
        <v>7.460864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0.6074641</v>
      </c>
      <c r="I436" t="n">
        <v/>
      </c>
      <c r="J436" t="n">
        <v/>
      </c>
      <c r="K436" t="n">
        <v>22.76226</v>
      </c>
      <c r="L436" t="n">
        <v>19.28458</v>
      </c>
      <c r="M436" t="n">
        <v>11.32883</v>
      </c>
      <c r="N436" t="n">
        <v/>
      </c>
      <c r="O436" t="n">
        <v/>
      </c>
      <c r="P436" t="n">
        <v>1.295625</v>
      </c>
      <c r="Q436" t="n">
        <v>3.294622</v>
      </c>
      <c r="R436" t="n">
        <v>1.499289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9.153639999999999</v>
      </c>
      <c r="Y436" t="n">
        <v>1.46107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22.86155</v>
      </c>
      <c r="AE436" t="n">
        <v>2.803502</v>
      </c>
    </row>
    <row r="437">
      <c r="A437" s="89" t="n">
        <v>31868</v>
      </c>
      <c r="B437" t="n">
        <v>7.483277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0.6240956</v>
      </c>
      <c r="I437" t="n">
        <v/>
      </c>
      <c r="J437" t="n">
        <v/>
      </c>
      <c r="K437" t="n">
        <v>22.9657</v>
      </c>
      <c r="L437" t="n">
        <v>19.39494</v>
      </c>
      <c r="M437" t="n">
        <v>11.51293</v>
      </c>
      <c r="N437" t="n">
        <v/>
      </c>
      <c r="O437" t="n">
        <v/>
      </c>
      <c r="P437" t="n">
        <v>1.311164</v>
      </c>
      <c r="Q437" t="n">
        <v>3.401168</v>
      </c>
      <c r="R437" t="n">
        <v>1.557045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9.286155000000001</v>
      </c>
      <c r="Y437" t="n">
        <v>1.4848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22.97778</v>
      </c>
      <c r="AE437" t="n">
        <v>2.84357</v>
      </c>
    </row>
    <row r="438">
      <c r="A438" s="89" t="n">
        <v>31898</v>
      </c>
      <c r="B438" t="n">
        <v>7.558923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0.6405298</v>
      </c>
      <c r="I438" t="n">
        <v/>
      </c>
      <c r="J438" t="n">
        <v/>
      </c>
      <c r="K438" t="n">
        <v>23.04919</v>
      </c>
      <c r="L438" t="n">
        <v>19.5495</v>
      </c>
      <c r="M438" t="n">
        <v>11.67349</v>
      </c>
      <c r="N438" t="n">
        <v/>
      </c>
      <c r="O438" t="n">
        <v/>
      </c>
      <c r="P438" t="n">
        <v>1.32282</v>
      </c>
      <c r="Q438" t="n">
        <v>3.530192</v>
      </c>
      <c r="R438" t="n">
        <v>1.606656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9.409027</v>
      </c>
      <c r="Y438" t="n">
        <v>1.508523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23.02095</v>
      </c>
      <c r="AE438" t="n">
        <v>2.881418</v>
      </c>
    </row>
    <row r="439">
      <c r="A439" s="89" t="n">
        <v>31929</v>
      </c>
      <c r="B439" t="n">
        <v>7.662585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0.6531713</v>
      </c>
      <c r="I439" t="n">
        <v/>
      </c>
      <c r="J439" t="n">
        <v/>
      </c>
      <c r="K439" t="n">
        <v>23.31146</v>
      </c>
      <c r="L439" t="n">
        <v>19.7154</v>
      </c>
      <c r="M439" t="n">
        <v>11.78806</v>
      </c>
      <c r="N439" t="n">
        <v/>
      </c>
      <c r="O439" t="n">
        <v/>
      </c>
      <c r="P439" t="n">
        <v>1.336125</v>
      </c>
      <c r="Q439" t="n">
        <v>3.6236</v>
      </c>
      <c r="R439" t="n">
        <v>1.648812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9.527298</v>
      </c>
      <c r="Y439" t="n">
        <v>1.528866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23.03506</v>
      </c>
      <c r="AE439" t="n">
        <v>2.90209</v>
      </c>
    </row>
    <row r="440">
      <c r="A440" s="89" t="n">
        <v>31959</v>
      </c>
      <c r="B440" t="n">
        <v>7.757842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0.6665518</v>
      </c>
      <c r="I440" t="n">
        <v/>
      </c>
      <c r="J440" t="n">
        <v/>
      </c>
      <c r="K440" t="n">
        <v>23.43208</v>
      </c>
      <c r="L440" t="n">
        <v>19.81458</v>
      </c>
      <c r="M440" t="n">
        <v>11.95062</v>
      </c>
      <c r="N440" t="n">
        <v/>
      </c>
      <c r="O440" t="n">
        <v/>
      </c>
      <c r="P440" t="n">
        <v>1.355901</v>
      </c>
      <c r="Q440" t="n">
        <v>3.749668</v>
      </c>
      <c r="R440" t="n">
        <v>1.683814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9.664531</v>
      </c>
      <c r="Y440" t="n">
        <v>1.556716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23.07159</v>
      </c>
      <c r="AE440" t="n">
        <v>2.945884</v>
      </c>
    </row>
    <row r="441">
      <c r="A441" s="89" t="n">
        <v>31990</v>
      </c>
      <c r="B441" t="n">
        <v>7.847496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0.682384</v>
      </c>
      <c r="I441" t="n">
        <v/>
      </c>
      <c r="J441" t="n">
        <v/>
      </c>
      <c r="K441" t="n">
        <v>23.48534</v>
      </c>
      <c r="L441" t="n">
        <v>19.86186</v>
      </c>
      <c r="M441" t="n">
        <v>12.12979</v>
      </c>
      <c r="N441" t="n">
        <v/>
      </c>
      <c r="O441" t="n">
        <v/>
      </c>
      <c r="P441" t="n">
        <v>1.376741</v>
      </c>
      <c r="Q441" t="n">
        <v>3.866318</v>
      </c>
      <c r="R441" t="n">
        <v>1.701846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9.809701</v>
      </c>
      <c r="Y441" t="n">
        <v>1.585229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23.14797</v>
      </c>
      <c r="AE441" t="n">
        <v>2.977784</v>
      </c>
    </row>
    <row r="442">
      <c r="A442" s="89" t="n">
        <v>32021</v>
      </c>
      <c r="B442" t="n">
        <v>7.925942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0.7040823</v>
      </c>
      <c r="I442" t="n">
        <v/>
      </c>
      <c r="J442" t="n">
        <v/>
      </c>
      <c r="K442" t="n">
        <v>23.4671</v>
      </c>
      <c r="L442" t="n">
        <v>19.96626</v>
      </c>
      <c r="M442" t="n">
        <v>12.21367</v>
      </c>
      <c r="N442" t="n">
        <v/>
      </c>
      <c r="O442" t="n">
        <v/>
      </c>
      <c r="P442" t="n">
        <v>1.397702</v>
      </c>
      <c r="Q442" t="n">
        <v>3.924559</v>
      </c>
      <c r="R442" t="n">
        <v>1.710503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9.9512</v>
      </c>
      <c r="Y442" t="n">
        <v>1.605058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23.24178</v>
      </c>
      <c r="AE442" t="n">
        <v>3.026895</v>
      </c>
    </row>
    <row r="443">
      <c r="A443" s="89" t="n">
        <v>32051</v>
      </c>
      <c r="B443" t="n">
        <v>8.015596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0.7225022</v>
      </c>
      <c r="I443" t="n">
        <v/>
      </c>
      <c r="J443" t="n">
        <v/>
      </c>
      <c r="K443" t="n">
        <v>23.46243</v>
      </c>
      <c r="L443" t="n">
        <v>20.09507</v>
      </c>
      <c r="M443" t="n">
        <v>12.35505</v>
      </c>
      <c r="N443" t="n">
        <v/>
      </c>
      <c r="O443" t="n">
        <v/>
      </c>
      <c r="P443" t="n">
        <v>1.417164</v>
      </c>
      <c r="Q443" t="n">
        <v>3.984225</v>
      </c>
      <c r="R443" t="n">
        <v>1.713331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10.1055</v>
      </c>
      <c r="Y443" t="n">
        <v>1.630695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23.36881</v>
      </c>
      <c r="AE443" t="n">
        <v>3.092935</v>
      </c>
    </row>
    <row r="444">
      <c r="A444" s="89" t="n">
        <v>32082</v>
      </c>
      <c r="B444" t="n">
        <v>8.119258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0.7300151</v>
      </c>
      <c r="I444" t="n">
        <v/>
      </c>
      <c r="J444" t="n">
        <v/>
      </c>
      <c r="K444" t="n">
        <v>23.59049</v>
      </c>
      <c r="L444" t="n">
        <v>20.2728</v>
      </c>
      <c r="M444" t="n">
        <v>12.50268</v>
      </c>
      <c r="N444" t="n">
        <v/>
      </c>
      <c r="O444" t="n">
        <v/>
      </c>
      <c r="P444" t="n">
        <v>1.432946</v>
      </c>
      <c r="Q444" t="n">
        <v>4.059226</v>
      </c>
      <c r="R444" t="n">
        <v>1.736834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10.23136</v>
      </c>
      <c r="Y444" t="n">
        <v>1.657085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23.40285</v>
      </c>
      <c r="AE444" t="n">
        <v>3.167667</v>
      </c>
    </row>
    <row r="445">
      <c r="A445" s="89" t="n">
        <v>32112</v>
      </c>
      <c r="B445" t="n">
        <v>8.194903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0.7393219</v>
      </c>
      <c r="I445" t="n">
        <v/>
      </c>
      <c r="J445" t="n">
        <v/>
      </c>
      <c r="K445" t="n">
        <v>23.6166</v>
      </c>
      <c r="L445" t="n">
        <v>20.67437</v>
      </c>
      <c r="M445" t="n">
        <v>12.61754</v>
      </c>
      <c r="N445" t="n">
        <v/>
      </c>
      <c r="O445" t="n">
        <v/>
      </c>
      <c r="P445" t="n">
        <v>1.450064</v>
      </c>
      <c r="Q445" t="n">
        <v>4.14712</v>
      </c>
      <c r="R445" t="n">
        <v>1.7695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10.36311</v>
      </c>
      <c r="Y445" t="n">
        <v>1.686138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23.46511</v>
      </c>
      <c r="AE445" t="n">
        <v>3.231976</v>
      </c>
    </row>
    <row r="446">
      <c r="A446" s="89" t="n">
        <v>32143</v>
      </c>
      <c r="B446" t="n">
        <v>8.234127000000001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0.7532778</v>
      </c>
      <c r="I446" t="n">
        <v/>
      </c>
      <c r="J446" t="n">
        <v/>
      </c>
      <c r="K446" t="n">
        <v>23.64436</v>
      </c>
      <c r="L446" t="n">
        <v>20.89334</v>
      </c>
      <c r="M446" t="n">
        <v>12.78177</v>
      </c>
      <c r="N446" t="n">
        <v/>
      </c>
      <c r="O446" t="n">
        <v/>
      </c>
      <c r="P446" t="n">
        <v>1.470109</v>
      </c>
      <c r="Q446" t="n">
        <v>4.252719</v>
      </c>
      <c r="R446" t="n">
        <v>1.785428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10.52823</v>
      </c>
      <c r="Y446" t="n">
        <v>1.717462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23.63946</v>
      </c>
      <c r="AE446" t="n">
        <v>3.270907</v>
      </c>
    </row>
    <row r="447">
      <c r="A447" s="89" t="n">
        <v>32174</v>
      </c>
      <c r="B447" t="n">
        <v>8.278954000000001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0.7677756999999999</v>
      </c>
      <c r="I447" t="n">
        <v/>
      </c>
      <c r="J447" t="n">
        <v/>
      </c>
      <c r="K447" t="n">
        <v>23.62288</v>
      </c>
      <c r="L447" t="n">
        <v>20.8135</v>
      </c>
      <c r="M447" t="n">
        <v>12.90568</v>
      </c>
      <c r="N447" t="n">
        <v/>
      </c>
      <c r="O447" t="n">
        <v/>
      </c>
      <c r="P447" t="n">
        <v>1.48905</v>
      </c>
      <c r="Q447" t="n">
        <v>4.319077</v>
      </c>
      <c r="R447" t="n">
        <v>1.811573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10.66512</v>
      </c>
      <c r="Y447" t="n">
        <v>1.734372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</v>
      </c>
      <c r="AE447" t="n">
        <v>3.330109</v>
      </c>
    </row>
    <row r="448">
      <c r="A448" s="89" t="n">
        <v>32203</v>
      </c>
      <c r="B448" t="n">
        <v>8.357400999999999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0.7795659</v>
      </c>
      <c r="I448" t="n">
        <v/>
      </c>
      <c r="J448" t="n">
        <v/>
      </c>
      <c r="K448" t="n">
        <v>23.45168</v>
      </c>
      <c r="L448" t="n">
        <v>20.78639</v>
      </c>
      <c r="M448" t="n">
        <v>13.08586</v>
      </c>
      <c r="N448" t="n">
        <v/>
      </c>
      <c r="O448" t="n">
        <v/>
      </c>
      <c r="P448" t="n">
        <v>1.505517</v>
      </c>
      <c r="Q448" t="n">
        <v>4.396917</v>
      </c>
      <c r="R448" t="n">
        <v>1.852949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10.81493</v>
      </c>
      <c r="Y448" t="n">
        <v>1.754699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23.99894</v>
      </c>
      <c r="AE448" t="n">
        <v>3.403862</v>
      </c>
    </row>
    <row r="449">
      <c r="A449" s="89" t="n">
        <v>32234</v>
      </c>
      <c r="B449" t="n">
        <v>8.447054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0.7908545</v>
      </c>
      <c r="I449" t="n">
        <v/>
      </c>
      <c r="J449" t="n">
        <v/>
      </c>
      <c r="K449" t="n">
        <v>23.48208</v>
      </c>
      <c r="L449" t="n">
        <v>20.90091</v>
      </c>
      <c r="M449" t="n">
        <v>13.25296</v>
      </c>
      <c r="N449" t="n">
        <v/>
      </c>
      <c r="O449" t="n">
        <v/>
      </c>
      <c r="P449" t="n">
        <v>1.522268</v>
      </c>
      <c r="Q449" t="n">
        <v>4.450884</v>
      </c>
      <c r="R449" t="n">
        <v>1.892324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10.9509</v>
      </c>
      <c r="Y449" t="n">
        <v>1.777012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24.16498</v>
      </c>
      <c r="AE449" t="n">
        <v>3.465232</v>
      </c>
    </row>
    <row r="450">
      <c r="A450" s="89" t="n">
        <v>32264</v>
      </c>
      <c r="B450" t="n">
        <v>8.522698999999999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0.8049706</v>
      </c>
      <c r="I450" t="n">
        <v/>
      </c>
      <c r="J450" t="n">
        <v/>
      </c>
      <c r="K450" t="n">
        <v>23.74325</v>
      </c>
      <c r="L450" t="n">
        <v>21.10526</v>
      </c>
      <c r="M450" t="n">
        <v>13.34984</v>
      </c>
      <c r="N450" t="n">
        <v/>
      </c>
      <c r="O450" t="n">
        <v/>
      </c>
      <c r="P450" t="n">
        <v>1.542621</v>
      </c>
      <c r="Q450" t="n">
        <v>4.491276</v>
      </c>
      <c r="R450" t="n">
        <v>1.918462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11.07215</v>
      </c>
      <c r="Y450" t="n">
        <v>1.802525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</v>
      </c>
      <c r="AE450" t="n">
        <v>3.521758</v>
      </c>
    </row>
    <row r="451">
      <c r="A451" s="89" t="n">
        <v>32295</v>
      </c>
      <c r="B451" t="n">
        <v>8.629163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0.8258475</v>
      </c>
      <c r="I451" t="n">
        <v/>
      </c>
      <c r="J451" t="n">
        <v/>
      </c>
      <c r="K451" t="n">
        <v>24.00524</v>
      </c>
      <c r="L451" t="n">
        <v>21.27416</v>
      </c>
      <c r="M451" t="n">
        <v>13.54971</v>
      </c>
      <c r="N451" t="n">
        <v/>
      </c>
      <c r="O451" t="n">
        <v/>
      </c>
      <c r="P451" t="n">
        <v>1.548043</v>
      </c>
      <c r="Q451" t="n">
        <v>4.611727</v>
      </c>
      <c r="R451" t="n">
        <v>1.947173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11.18781</v>
      </c>
      <c r="Y451" t="n">
        <v>1.833058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24.39495</v>
      </c>
      <c r="AE451" t="n">
        <v>3.602122</v>
      </c>
    </row>
    <row r="452">
      <c r="A452" s="89" t="n">
        <v>32325</v>
      </c>
      <c r="B452" t="n">
        <v>8.724421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0.841679</v>
      </c>
      <c r="I452" t="n">
        <v/>
      </c>
      <c r="J452" t="n">
        <v/>
      </c>
      <c r="K452" t="n">
        <v>24.33787</v>
      </c>
      <c r="L452" t="n">
        <v>21.45646</v>
      </c>
      <c r="M452" t="n">
        <v>13.82047</v>
      </c>
      <c r="N452" t="n">
        <v/>
      </c>
      <c r="O452" t="n">
        <v/>
      </c>
      <c r="P452" t="n">
        <v>1.580273</v>
      </c>
      <c r="Q452" t="n">
        <v>4.739569</v>
      </c>
      <c r="R452" t="n">
        <v>1.990702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11.28334</v>
      </c>
      <c r="Y452" t="n">
        <v>1.867491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24.46801</v>
      </c>
      <c r="AE452" t="n">
        <v>3.671939</v>
      </c>
    </row>
    <row r="453">
      <c r="A453" s="89" t="n">
        <v>32356</v>
      </c>
      <c r="B453" t="n">
        <v>8.800065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0.8551183999999999</v>
      </c>
      <c r="I453" t="n">
        <v/>
      </c>
      <c r="J453" t="n">
        <v/>
      </c>
      <c r="K453" t="n">
        <v>24.46678</v>
      </c>
      <c r="L453" t="n">
        <v>21.5388</v>
      </c>
      <c r="M453" t="n">
        <v>14.05592</v>
      </c>
      <c r="N453" t="n">
        <v/>
      </c>
      <c r="O453" t="n">
        <v/>
      </c>
      <c r="P453" t="n">
        <v>1.624457</v>
      </c>
      <c r="Q453" t="n">
        <v>4.820896</v>
      </c>
      <c r="R453" t="n">
        <v>2.034314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11.37558</v>
      </c>
      <c r="Y453" t="n">
        <v>1.906153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24.50786</v>
      </c>
      <c r="AE453" t="n">
        <v>3.750449</v>
      </c>
    </row>
    <row r="454">
      <c r="A454" s="89" t="n">
        <v>32387</v>
      </c>
      <c r="B454" t="n">
        <v>8.917736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0.8723933</v>
      </c>
      <c r="I454" t="n">
        <v/>
      </c>
      <c r="J454" t="n">
        <v/>
      </c>
      <c r="K454" t="n">
        <v>24.49899</v>
      </c>
      <c r="L454" t="n">
        <v>21.58034</v>
      </c>
      <c r="M454" t="n">
        <v>14.26284</v>
      </c>
      <c r="N454" t="n">
        <v/>
      </c>
      <c r="O454" t="n">
        <v/>
      </c>
      <c r="P454" t="n">
        <v>1.635664</v>
      </c>
      <c r="Q454" t="n">
        <v>4.942592</v>
      </c>
      <c r="R454" t="n">
        <v>2.0661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11.47114</v>
      </c>
      <c r="Y454" t="n">
        <v>1.944003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24.54854</v>
      </c>
      <c r="AE454" t="n">
        <v>3.850069</v>
      </c>
    </row>
    <row r="455">
      <c r="A455" s="89" t="n">
        <v>32417</v>
      </c>
      <c r="B455" t="n">
        <v>9.088638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0.8864517</v>
      </c>
      <c r="I455" t="n">
        <v/>
      </c>
      <c r="J455" t="n">
        <v/>
      </c>
      <c r="K455" t="n">
        <v>24.56776</v>
      </c>
      <c r="L455" t="n">
        <v>21.7571</v>
      </c>
      <c r="M455" t="n">
        <v>14.42647</v>
      </c>
      <c r="N455" t="n">
        <v/>
      </c>
      <c r="O455" t="n">
        <v/>
      </c>
      <c r="P455" t="n">
        <v>1.650658</v>
      </c>
      <c r="Q455" t="n">
        <v>5.047574</v>
      </c>
      <c r="R455" t="n">
        <v>2.052324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11.5708</v>
      </c>
      <c r="Y455" t="n">
        <v>1.979131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24.61827</v>
      </c>
      <c r="AE455" t="n">
        <v>3.933564</v>
      </c>
    </row>
    <row r="456">
      <c r="A456" s="89" t="n">
        <v>32448</v>
      </c>
      <c r="B456" t="n">
        <v>9.276350000000001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0.9108446</v>
      </c>
      <c r="I456" t="n">
        <v/>
      </c>
      <c r="J456" t="n">
        <v/>
      </c>
      <c r="K456" t="n">
        <v>24.49643</v>
      </c>
      <c r="L456" t="n">
        <v>21.98185</v>
      </c>
      <c r="M456" t="n">
        <v>14.54302</v>
      </c>
      <c r="N456" t="n">
        <v/>
      </c>
      <c r="O456" t="n">
        <v/>
      </c>
      <c r="P456" t="n">
        <v>1.672618</v>
      </c>
      <c r="Q456" t="n">
        <v>5.072921</v>
      </c>
      <c r="R456" t="n">
        <v>2.003029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11.68291</v>
      </c>
      <c r="Y456" t="n">
        <v>2.014352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24.74198</v>
      </c>
      <c r="AE456" t="n">
        <v>3.994567</v>
      </c>
    </row>
    <row r="457">
      <c r="A457" s="89" t="n">
        <v>32478</v>
      </c>
      <c r="B457" t="n">
        <v>9.475269000000001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0.9283687</v>
      </c>
      <c r="I457" t="n">
        <v/>
      </c>
      <c r="J457" t="n">
        <v/>
      </c>
      <c r="K457" t="n">
        <v>24.75491</v>
      </c>
      <c r="L457" t="n">
        <v>22.4078</v>
      </c>
      <c r="M457" t="n">
        <v>14.72145</v>
      </c>
      <c r="N457" t="n">
        <v/>
      </c>
      <c r="O457" t="n">
        <v/>
      </c>
      <c r="P457" t="n">
        <v>1.723676</v>
      </c>
      <c r="Q457" t="n">
        <v>5.142262</v>
      </c>
      <c r="R457" t="n">
        <v>1.9691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11.79102</v>
      </c>
      <c r="Y457" t="n">
        <v>2.053102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24.80839</v>
      </c>
      <c r="AE457" t="n">
        <v>4.072412</v>
      </c>
    </row>
    <row r="458">
      <c r="A458" s="89" t="n">
        <v>32509</v>
      </c>
      <c r="B458" t="n">
        <v>9.699403999999999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0.9395235</v>
      </c>
      <c r="I458" t="n">
        <v/>
      </c>
      <c r="J458" t="n">
        <v/>
      </c>
      <c r="K458" t="n">
        <v>22.49386</v>
      </c>
      <c r="L458" t="n">
        <v>22.64933</v>
      </c>
      <c r="M458" t="n">
        <v>14.93182</v>
      </c>
      <c r="N458" t="n">
        <v/>
      </c>
      <c r="O458" t="n">
        <v/>
      </c>
      <c r="P458" t="n">
        <v>1.751553</v>
      </c>
      <c r="Q458" t="n">
        <v>5.248433</v>
      </c>
      <c r="R458" t="n">
        <v>2.019794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11.8784</v>
      </c>
      <c r="Y458" t="n">
        <v>2.075884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24.83745</v>
      </c>
      <c r="AE458" t="n">
        <v>4.157743</v>
      </c>
    </row>
    <row r="459">
      <c r="A459" s="89" t="n">
        <v>32540</v>
      </c>
      <c r="B459" t="n">
        <v>9.915133000000001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0.9619240999999999</v>
      </c>
      <c r="I459" t="n">
        <v/>
      </c>
      <c r="J459" t="n">
        <v/>
      </c>
      <c r="K459" t="n">
        <v>20.39935</v>
      </c>
      <c r="L459" t="n">
        <v>22.59151</v>
      </c>
      <c r="M459" t="n">
        <v>15.15625</v>
      </c>
      <c r="N459" t="n">
        <v/>
      </c>
      <c r="O459" t="n">
        <v/>
      </c>
      <c r="P459" t="n">
        <v>1.747706</v>
      </c>
      <c r="Q459" t="n">
        <v>5.357343</v>
      </c>
      <c r="R459" t="n">
        <v>2.121248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11.98956</v>
      </c>
      <c r="Y459" t="n">
        <v>2.106458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</v>
      </c>
      <c r="AE459" t="n">
        <v>4.231181</v>
      </c>
    </row>
    <row r="460">
      <c r="A460" s="89" t="n">
        <v>32568</v>
      </c>
      <c r="B460" t="n">
        <v>10.11125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0.987339</v>
      </c>
      <c r="I460" t="n">
        <v/>
      </c>
      <c r="J460" t="n">
        <v/>
      </c>
      <c r="K460" t="n">
        <v>20.56858</v>
      </c>
      <c r="L460" t="n">
        <v>22.67284</v>
      </c>
      <c r="M460" t="n">
        <v>15.40814</v>
      </c>
      <c r="N460" t="n">
        <v/>
      </c>
      <c r="O460" t="n">
        <v/>
      </c>
      <c r="P460" t="n">
        <v>1.769631</v>
      </c>
      <c r="Q460" t="n">
        <v>5.43048</v>
      </c>
      <c r="R460" t="n">
        <v>2.190842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12.10826</v>
      </c>
      <c r="Y460" t="n">
        <v>2.150653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24.90387</v>
      </c>
      <c r="AE460" t="n">
        <v>4.313399</v>
      </c>
    </row>
    <row r="461">
      <c r="A461" s="89" t="n">
        <v>32599</v>
      </c>
      <c r="B461" t="n">
        <v>10.29616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1.006977</v>
      </c>
      <c r="I461" t="n">
        <v/>
      </c>
      <c r="J461" t="n">
        <v/>
      </c>
      <c r="K461" t="n">
        <v>20.10524</v>
      </c>
      <c r="L461" t="n">
        <v>22.84181</v>
      </c>
      <c r="M461" t="n">
        <v>15.5964</v>
      </c>
      <c r="N461" t="n">
        <v/>
      </c>
      <c r="O461" t="n">
        <v/>
      </c>
      <c r="P461" t="n">
        <v>1.800939</v>
      </c>
      <c r="Q461" t="n">
        <v>5.563546</v>
      </c>
      <c r="R461" t="n">
        <v>2.250241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12.21288</v>
      </c>
      <c r="Y461" t="n">
        <v>2.181817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24.95617</v>
      </c>
      <c r="AE461" t="n">
        <v>4.351036</v>
      </c>
    </row>
    <row r="462">
      <c r="A462" s="89" t="n">
        <v>32629</v>
      </c>
      <c r="B462" t="n">
        <v>10.45866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1.036175</v>
      </c>
      <c r="I462" t="n">
        <v/>
      </c>
      <c r="J462" t="n">
        <v/>
      </c>
      <c r="K462" t="n">
        <v>19.84241</v>
      </c>
      <c r="L462" t="n">
        <v>23.01213</v>
      </c>
      <c r="M462" t="n">
        <v>15.78399</v>
      </c>
      <c r="N462" t="n">
        <v/>
      </c>
      <c r="O462" t="n">
        <v/>
      </c>
      <c r="P462" t="n">
        <v>1.829601</v>
      </c>
      <c r="Q462" t="n">
        <v>5.669227</v>
      </c>
      <c r="R462" t="n">
        <v>2.305706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12.31754</v>
      </c>
      <c r="Y462" t="n">
        <v>2.215317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25.00266</v>
      </c>
      <c r="AE462" t="n">
        <v>4.421536</v>
      </c>
    </row>
    <row r="463">
      <c r="A463" s="89" t="n">
        <v>32660</v>
      </c>
      <c r="B463" t="n">
        <v>10.66878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1.075357</v>
      </c>
      <c r="I463" t="n">
        <v/>
      </c>
      <c r="J463" t="n">
        <v/>
      </c>
      <c r="K463" t="n">
        <v>20.02153</v>
      </c>
      <c r="L463" t="n">
        <v>23.22037</v>
      </c>
      <c r="M463" t="n">
        <v>16.19068</v>
      </c>
      <c r="N463" t="n">
        <v/>
      </c>
      <c r="O463" t="n">
        <v/>
      </c>
      <c r="P463" t="n">
        <v>1.857993</v>
      </c>
      <c r="Q463" t="n">
        <v>5.760977</v>
      </c>
      <c r="R463" t="n">
        <v>2.348839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12.46906</v>
      </c>
      <c r="Y463" t="n">
        <v>2.264822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25.13799</v>
      </c>
      <c r="AE463" t="n">
        <v>4.548142</v>
      </c>
    </row>
    <row r="464">
      <c r="A464" s="89" t="n">
        <v>32690</v>
      </c>
      <c r="B464" t="n">
        <v>10.89852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1.109029</v>
      </c>
      <c r="I464" t="n">
        <v/>
      </c>
      <c r="J464" t="n">
        <v/>
      </c>
      <c r="K464" t="n">
        <v>20.13582</v>
      </c>
      <c r="L464" t="n">
        <v>23.49319</v>
      </c>
      <c r="M464" t="n">
        <v>16.51608</v>
      </c>
      <c r="N464" t="n">
        <v/>
      </c>
      <c r="O464" t="n">
        <v/>
      </c>
      <c r="P464" t="n">
        <v>1.8845</v>
      </c>
      <c r="Q464" t="n">
        <v>5.854302</v>
      </c>
      <c r="R464" t="n">
        <v>2.383199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12.65115</v>
      </c>
      <c r="Y464" t="n">
        <v>2.310024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25.34139</v>
      </c>
      <c r="AE464" t="n">
        <v>4.635012</v>
      </c>
    </row>
    <row r="465">
      <c r="A465" s="89" t="n">
        <v>32721</v>
      </c>
      <c r="B465" t="n">
        <v>11.09464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1.14525</v>
      </c>
      <c r="I465" t="n">
        <v/>
      </c>
      <c r="J465" t="n">
        <v/>
      </c>
      <c r="K465" t="n">
        <v>19.95938</v>
      </c>
      <c r="L465" t="n">
        <v>23.58496</v>
      </c>
      <c r="M465" t="n">
        <v>16.71388</v>
      </c>
      <c r="N465" t="n">
        <v/>
      </c>
      <c r="O465" t="n">
        <v/>
      </c>
      <c r="P465" t="n">
        <v>1.912364</v>
      </c>
      <c r="Q465" t="n">
        <v>5.940197</v>
      </c>
      <c r="R465" t="n">
        <v>2.404618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12.80965</v>
      </c>
      <c r="Y465" t="n">
        <v>2.345431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25.52404</v>
      </c>
      <c r="AE465" t="n">
        <v>4.719923</v>
      </c>
    </row>
    <row r="466">
      <c r="A466" s="89" t="n">
        <v>32752</v>
      </c>
      <c r="B466" t="n">
        <v>11.20671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1.166668</v>
      </c>
      <c r="I466" t="n">
        <v/>
      </c>
      <c r="J466" t="n">
        <v/>
      </c>
      <c r="K466" t="n">
        <v>20.14634</v>
      </c>
      <c r="L466" t="n">
        <v>23.63899</v>
      </c>
      <c r="M466" t="n">
        <v>16.97457</v>
      </c>
      <c r="N466" t="n">
        <v/>
      </c>
      <c r="O466" t="n">
        <v/>
      </c>
      <c r="P466" t="n">
        <v>1.942242</v>
      </c>
      <c r="Q466" t="n">
        <v>6.058738</v>
      </c>
      <c r="R466" t="n">
        <v>2.452028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12.9474</v>
      </c>
      <c r="Y466" t="n">
        <v>2.389821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</v>
      </c>
      <c r="AE466" t="n">
        <v>4.778425</v>
      </c>
    </row>
    <row r="467">
      <c r="A467" s="89" t="n">
        <v>32782</v>
      </c>
      <c r="B467" t="n">
        <v>11.26274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1.180012</v>
      </c>
      <c r="I467" t="n">
        <v/>
      </c>
      <c r="J467" t="n">
        <v/>
      </c>
      <c r="K467" t="n">
        <v>20.29394</v>
      </c>
      <c r="L467" t="n">
        <v>23.79332</v>
      </c>
      <c r="M467" t="n">
        <v>17.22872</v>
      </c>
      <c r="N467" t="n">
        <v/>
      </c>
      <c r="O467" t="n">
        <v/>
      </c>
      <c r="P467" t="n">
        <v>1.97581</v>
      </c>
      <c r="Q467" t="n">
        <v>6.180325</v>
      </c>
      <c r="R467" t="n">
        <v>2.50071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13.10245</v>
      </c>
      <c r="Y467" t="n">
        <v>2.44234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25.85363</v>
      </c>
      <c r="AE467" t="n">
        <v>4.86164</v>
      </c>
    </row>
    <row r="468">
      <c r="A468" s="89" t="n">
        <v>32813</v>
      </c>
      <c r="B468" t="n">
        <v>11.35519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1.208206</v>
      </c>
      <c r="I468" t="n">
        <v/>
      </c>
      <c r="J468" t="n">
        <v/>
      </c>
      <c r="K468" t="n">
        <v>20.40583</v>
      </c>
      <c r="L468" t="n">
        <v>23.99078</v>
      </c>
      <c r="M468" t="n">
        <v>17.43819</v>
      </c>
      <c r="N468" t="n">
        <v/>
      </c>
      <c r="O468" t="n">
        <v/>
      </c>
      <c r="P468" t="n">
        <v>2.008104</v>
      </c>
      <c r="Q468" t="n">
        <v>6.34579</v>
      </c>
      <c r="R468" t="n">
        <v>2.528971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13.26554</v>
      </c>
      <c r="Y468" t="n">
        <v>2.494096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26.01303</v>
      </c>
      <c r="AE468" t="n">
        <v>4.952183</v>
      </c>
    </row>
    <row r="469">
      <c r="A469" s="89" t="n">
        <v>32843</v>
      </c>
      <c r="B469" t="n">
        <v>11.44765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1.236186</v>
      </c>
      <c r="I469" t="n">
        <v/>
      </c>
      <c r="J469" t="n">
        <v/>
      </c>
      <c r="K469" t="n">
        <v>20.75683</v>
      </c>
      <c r="L469" t="n">
        <v>24.60379</v>
      </c>
      <c r="M469" t="n">
        <v>17.6548</v>
      </c>
      <c r="N469" t="n">
        <v/>
      </c>
      <c r="O469" t="n">
        <v/>
      </c>
      <c r="P469" t="n">
        <v>2.035583</v>
      </c>
      <c r="Q469" t="n">
        <v>6.499479</v>
      </c>
      <c r="R469" t="n">
        <v>2.555822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13.43833</v>
      </c>
      <c r="Y469" t="n">
        <v>2.532146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26.17243</v>
      </c>
      <c r="AE469" t="n">
        <v>5.006628</v>
      </c>
    </row>
    <row r="470">
      <c r="A470" s="89" t="n">
        <v>32874</v>
      </c>
      <c r="B470" t="n">
        <v>11.55131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1.262647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17.93727</v>
      </c>
      <c r="N470" t="n">
        <v>3.722154</v>
      </c>
      <c r="O470" t="n">
        <v/>
      </c>
      <c r="P470" t="n">
        <v>2.062484</v>
      </c>
      <c r="Q470" t="n">
        <v>6.589669</v>
      </c>
      <c r="R470" t="n">
        <v>2.586482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13.60038</v>
      </c>
      <c r="Y470" t="n">
        <v>2.589138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26.29115</v>
      </c>
      <c r="AE470" t="n">
        <v>5.114625</v>
      </c>
    </row>
    <row r="471">
      <c r="A471" s="89" t="n">
        <v>32905</v>
      </c>
      <c r="B471" t="n">
        <v>11.67459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1.300543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18.13566</v>
      </c>
      <c r="N471" t="n">
        <v>3.847608</v>
      </c>
      <c r="O471" t="n">
        <v>1.361583</v>
      </c>
      <c r="P471" t="n">
        <v>2.089263</v>
      </c>
      <c r="Q471" t="n">
        <v>6.712185</v>
      </c>
      <c r="R471" t="n">
        <v>2.632573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13.75147</v>
      </c>
      <c r="Y471" t="n">
        <v>2.629997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</v>
      </c>
      <c r="AE471" t="n">
        <v>5.184302</v>
      </c>
    </row>
    <row r="472">
      <c r="A472" s="89" t="n">
        <v>32933</v>
      </c>
      <c r="B472" t="n">
        <v>11.80346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1.337725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18.36306</v>
      </c>
      <c r="N472" t="n">
        <v>3.973869</v>
      </c>
      <c r="O472" t="n">
        <v>1.438037</v>
      </c>
      <c r="P472" t="n">
        <v>2.118918</v>
      </c>
      <c r="Q472" t="n">
        <v>6.892989</v>
      </c>
      <c r="R472" t="n">
        <v>2.696089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13.86366</v>
      </c>
      <c r="Y472" t="n">
        <v>2.66086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26.48459</v>
      </c>
      <c r="AE472" t="n">
        <v>5.208053</v>
      </c>
    </row>
    <row r="473">
      <c r="A473" s="89" t="n">
        <v>32964</v>
      </c>
      <c r="B473" t="n">
        <v>11.92954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1.371767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18.58252</v>
      </c>
      <c r="N473" t="n">
        <v>4.100938</v>
      </c>
      <c r="O473" t="n">
        <v>1.5416</v>
      </c>
      <c r="P473" t="n">
        <v>2.155439</v>
      </c>
      <c r="Q473" t="n">
        <v>6.972162</v>
      </c>
      <c r="R473" t="n">
        <v>2.779199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14.0197</v>
      </c>
      <c r="Y473" t="n">
        <v>2.701922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26.58007</v>
      </c>
      <c r="AE473" t="n">
        <v>5.27035</v>
      </c>
    </row>
    <row r="474">
      <c r="A474" s="89" t="n">
        <v>32994</v>
      </c>
      <c r="B474" t="n">
        <v>12.02199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1.387668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18.71502</v>
      </c>
      <c r="N474" t="n">
        <v>4.228815</v>
      </c>
      <c r="O474" t="n">
        <v>1.569356</v>
      </c>
      <c r="P474" t="n">
        <v>2.18222</v>
      </c>
      <c r="Q474" t="n">
        <v>7.055731</v>
      </c>
      <c r="R474" t="n">
        <v>2.851379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14.10608</v>
      </c>
      <c r="Y474" t="n">
        <v>2.734521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26.57176</v>
      </c>
      <c r="AE474" t="n">
        <v>5.337177</v>
      </c>
    </row>
    <row r="475">
      <c r="A475" s="89" t="n">
        <v>33025</v>
      </c>
      <c r="B475" t="n">
        <v>12.09204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1.406354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18.87748</v>
      </c>
      <c r="N475" t="n">
        <v>4.35723</v>
      </c>
      <c r="O475" t="n">
        <v>1.590602</v>
      </c>
      <c r="P475" t="n">
        <v>2.198584</v>
      </c>
      <c r="Q475" t="n">
        <v>7.166275</v>
      </c>
      <c r="R475" t="n">
        <v>2.91584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14.22019</v>
      </c>
      <c r="Y475" t="n">
        <v>2.771168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26.68052</v>
      </c>
      <c r="AE475" t="n">
        <v>5.36161</v>
      </c>
    </row>
    <row r="476">
      <c r="A476" s="89" t="n">
        <v>33055</v>
      </c>
      <c r="B476" t="n">
        <v>12.14527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1.445056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18.9851</v>
      </c>
      <c r="N476" t="n">
        <v>4.486453</v>
      </c>
      <c r="O476" t="n">
        <v>1.648504</v>
      </c>
      <c r="P476" t="n">
        <v>2.222058</v>
      </c>
      <c r="Q476" t="n">
        <v>7.212004</v>
      </c>
      <c r="R476" t="n">
        <v>2.975262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14.33988</v>
      </c>
      <c r="Y476" t="n">
        <v>2.805599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26.77019</v>
      </c>
      <c r="AE476" t="n">
        <v>5.374255</v>
      </c>
    </row>
    <row r="477">
      <c r="A477" s="89" t="n">
        <v>33086</v>
      </c>
      <c r="B477" t="n">
        <v>12.21531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1.480583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19.07312</v>
      </c>
      <c r="N477" t="n">
        <v>4.616484</v>
      </c>
      <c r="O477" t="n">
        <v>1.686617</v>
      </c>
      <c r="P477" t="n">
        <v>2.241195</v>
      </c>
      <c r="Q477" t="n">
        <v>7.277062</v>
      </c>
      <c r="R477" t="n">
        <v>3.048371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14.46603</v>
      </c>
      <c r="Y477" t="n">
        <v>2.832299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26.91547</v>
      </c>
      <c r="AE477" t="n">
        <v>5.404984</v>
      </c>
    </row>
    <row r="478">
      <c r="A478" s="89" t="n">
        <v>33117</v>
      </c>
      <c r="B478" t="n">
        <v>12.34699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1.520689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19.25332</v>
      </c>
      <c r="N478" t="n">
        <v>4.747322</v>
      </c>
      <c r="O478" t="n">
        <v>1.730471</v>
      </c>
      <c r="P478" t="n">
        <v>2.266864</v>
      </c>
      <c r="Q478" t="n">
        <v>7.382695</v>
      </c>
      <c r="R478" t="n">
        <v>3.108604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14.59028</v>
      </c>
      <c r="Y478" t="n">
        <v>2.865374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27.02008</v>
      </c>
      <c r="AE478" t="n">
        <v>5.403585</v>
      </c>
    </row>
    <row r="479">
      <c r="A479" s="89" t="n">
        <v>33147</v>
      </c>
      <c r="B479" t="n">
        <v>12.45345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1.563632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19.38209</v>
      </c>
      <c r="N479" t="n">
        <v>4.879237</v>
      </c>
      <c r="O479" t="n">
        <v>1.766847</v>
      </c>
      <c r="P479" t="n">
        <v>2.295778</v>
      </c>
      <c r="Q479" t="n">
        <v>7.495289</v>
      </c>
      <c r="R479" t="n">
        <v>3.142874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14.69114</v>
      </c>
      <c r="Y479" t="n">
        <v>2.892632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</v>
      </c>
      <c r="AE479" t="n">
        <v>5.411438</v>
      </c>
    </row>
    <row r="480">
      <c r="A480" s="89" t="n">
        <v>33178</v>
      </c>
      <c r="B480" t="n">
        <v>12.55431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1.595487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19.50471</v>
      </c>
      <c r="N480" t="n">
        <v>5.011959</v>
      </c>
      <c r="O480" t="n">
        <v>1.810111</v>
      </c>
      <c r="P480" t="n">
        <v>2.324341</v>
      </c>
      <c r="Q480" t="n">
        <v>7.585234</v>
      </c>
      <c r="R480" t="n">
        <v>3.194196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14.77376</v>
      </c>
      <c r="Y480" t="n">
        <v>2.924894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</v>
      </c>
      <c r="AE480" t="n">
        <v>5.52358</v>
      </c>
    </row>
    <row r="481">
      <c r="A481" s="89" t="n">
        <v>33208</v>
      </c>
      <c r="B481" t="n">
        <v>12.67198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1.627683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19.60096</v>
      </c>
      <c r="N481" t="n">
        <v>5.160901</v>
      </c>
      <c r="O481" t="n">
        <v>1.869222</v>
      </c>
      <c r="P481" t="n">
        <v>2.354901</v>
      </c>
      <c r="Q481" t="n">
        <v>7.566935</v>
      </c>
      <c r="R481" t="n">
        <v>3.279618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14.89971</v>
      </c>
      <c r="Y481" t="n">
        <v>2.965944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27.16287</v>
      </c>
      <c r="AE481" t="n">
        <v>5.62981</v>
      </c>
    </row>
    <row r="482">
      <c r="A482" s="89" t="n">
        <v>33239</v>
      </c>
      <c r="B482" t="n">
        <v>12.66358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1.660728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19.65841</v>
      </c>
      <c r="N482" t="n">
        <v>5.276538</v>
      </c>
      <c r="O482" t="n">
        <v>1.913423</v>
      </c>
      <c r="P482" t="n">
        <v>2.378565</v>
      </c>
      <c r="Q482" t="n">
        <v>7.50345</v>
      </c>
      <c r="R482" t="n">
        <v>3.438817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15.00603</v>
      </c>
      <c r="Y482" t="n">
        <v>2.991823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27.29488</v>
      </c>
      <c r="AE482" t="n">
        <v>5.667762</v>
      </c>
    </row>
    <row r="483">
      <c r="A483" s="89" t="n">
        <v>33270</v>
      </c>
      <c r="B483" t="n">
        <v>12.59634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1.684311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19.72369</v>
      </c>
      <c r="N483" t="n">
        <v>5.37128</v>
      </c>
      <c r="O483" t="n">
        <v>1.934546</v>
      </c>
      <c r="P483" t="n">
        <v>2.411737</v>
      </c>
      <c r="Q483" t="n">
        <v>7.583294</v>
      </c>
      <c r="R483" t="n">
        <v>3.565749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15.10006</v>
      </c>
      <c r="Y483" t="n">
        <v>3.012712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27.43435</v>
      </c>
      <c r="AE483" t="n">
        <v>5.837497</v>
      </c>
    </row>
    <row r="484">
      <c r="A484" s="89" t="n">
        <v>33298</v>
      </c>
      <c r="B484" t="n">
        <v>12.61595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1.704038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19.79834</v>
      </c>
      <c r="N484" t="n">
        <v>5.48878</v>
      </c>
      <c r="O484" t="n">
        <v>1.911813</v>
      </c>
      <c r="P484" t="n">
        <v>2.445956</v>
      </c>
      <c r="Q484" t="n">
        <v>7.735173</v>
      </c>
      <c r="R484" t="n">
        <v>3.632843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15.21497</v>
      </c>
      <c r="Y484" t="n">
        <v>3.048617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27.57881</v>
      </c>
      <c r="AE484" t="n">
        <v>5.976031</v>
      </c>
    </row>
    <row r="485">
      <c r="A485" s="89" t="n">
        <v>33329</v>
      </c>
      <c r="B485" t="n">
        <v>12.65237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1.740009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19.91039</v>
      </c>
      <c r="N485" t="n">
        <v>5.598561</v>
      </c>
      <c r="O485" t="n">
        <v>1.918892</v>
      </c>
      <c r="P485" t="n">
        <v>2.474186</v>
      </c>
      <c r="Q485" t="n">
        <v>7.842461</v>
      </c>
      <c r="R485" t="n">
        <v>3.695171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15.32826</v>
      </c>
      <c r="Y485" t="n">
        <v>3.09426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27.66598</v>
      </c>
      <c r="AE485" t="n">
        <v>6.004189</v>
      </c>
    </row>
    <row r="486">
      <c r="A486" s="89" t="n">
        <v>33359</v>
      </c>
      <c r="B486" t="n">
        <v>12.7028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1.786227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19.98453</v>
      </c>
      <c r="N486" t="n">
        <v>5.755978</v>
      </c>
      <c r="O486" t="n">
        <v>1.973093</v>
      </c>
      <c r="P486" t="n">
        <v>2.513268</v>
      </c>
      <c r="Q486" t="n">
        <v>7.930514</v>
      </c>
      <c r="R486" t="n">
        <v>3.759888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15.44558</v>
      </c>
      <c r="Y486" t="n">
        <v>3.141407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27.75399</v>
      </c>
      <c r="AE486" t="n">
        <v>6.117731</v>
      </c>
    </row>
    <row r="487">
      <c r="A487" s="89" t="n">
        <v>33390</v>
      </c>
      <c r="B487" t="n">
        <v>12.76724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1.814202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20.02437</v>
      </c>
      <c r="N487" t="n">
        <v>5.897116</v>
      </c>
      <c r="O487" t="n">
        <v>2.016941</v>
      </c>
      <c r="P487" t="n">
        <v>2.543087</v>
      </c>
      <c r="Q487" t="n">
        <v>7.988161</v>
      </c>
      <c r="R487" t="n">
        <v>3.792033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15.54162</v>
      </c>
      <c r="Y487" t="n">
        <v>3.184794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27.82788</v>
      </c>
      <c r="AE487" t="n">
        <v>6.19645</v>
      </c>
    </row>
    <row r="488">
      <c r="A488" s="89" t="n">
        <v>33420</v>
      </c>
      <c r="B488" t="n">
        <v>12.80926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1.814978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20.03494</v>
      </c>
      <c r="N488" t="n">
        <v>6.010414</v>
      </c>
      <c r="O488" t="n">
        <v>2.091114</v>
      </c>
      <c r="P488" t="n">
        <v>2.562158</v>
      </c>
      <c r="Q488" t="n">
        <v>8.067864</v>
      </c>
      <c r="R488" t="n">
        <v>3.782996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15.62274</v>
      </c>
      <c r="Y488" t="n">
        <v>3.226317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27.86274</v>
      </c>
      <c r="AE488" t="n">
        <v>6.178366</v>
      </c>
    </row>
    <row r="489">
      <c r="A489" s="89" t="n">
        <v>33451</v>
      </c>
      <c r="B489" t="n">
        <v>12.85129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1.812275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20.04698</v>
      </c>
      <c r="N489" t="n">
        <v>6.135763</v>
      </c>
      <c r="O489" t="n">
        <v>2.120657</v>
      </c>
      <c r="P489" t="n">
        <v>2.593009</v>
      </c>
      <c r="Q489" t="n">
        <v>8.189533000000001</v>
      </c>
      <c r="R489" t="n">
        <v>3.848685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15.69078</v>
      </c>
      <c r="Y489" t="n">
        <v>3.269881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27.85361</v>
      </c>
      <c r="AE489" t="n">
        <v>6.189105</v>
      </c>
    </row>
    <row r="490">
      <c r="A490" s="89" t="n">
        <v>33482</v>
      </c>
      <c r="B490" t="n">
        <v>12.91293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1.865264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20.08513</v>
      </c>
      <c r="N490" t="n">
        <v>6.266966</v>
      </c>
      <c r="O490" t="n">
        <v>2.114997</v>
      </c>
      <c r="P490" t="n">
        <v>2.631315</v>
      </c>
      <c r="Q490" t="n">
        <v>8.287991</v>
      </c>
      <c r="R490" t="n">
        <v>3.876221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15.78297</v>
      </c>
      <c r="Y490" t="n">
        <v>3.331727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27.85278</v>
      </c>
      <c r="AE490" t="n">
        <v>6.246452</v>
      </c>
    </row>
    <row r="491">
      <c r="A491" s="89" t="n">
        <v>33512</v>
      </c>
      <c r="B491" t="n">
        <v>12.93534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1.966899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20.11441</v>
      </c>
      <c r="N491" t="n">
        <v>6.415795</v>
      </c>
      <c r="O491" t="n">
        <v>2.149671</v>
      </c>
      <c r="P491" t="n">
        <v>2.680513</v>
      </c>
      <c r="Q491" t="n">
        <v>8.353813000000001</v>
      </c>
      <c r="R491" t="n">
        <v>3.871753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15.90135</v>
      </c>
      <c r="Y491" t="n">
        <v>3.399037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27.89595</v>
      </c>
      <c r="AE491" t="n">
        <v>6.298694</v>
      </c>
    </row>
    <row r="492">
      <c r="A492" s="89" t="n">
        <v>33543</v>
      </c>
      <c r="B492" t="n">
        <v>12.91012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2.067242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20.13515</v>
      </c>
      <c r="N492" t="n">
        <v>6.608016</v>
      </c>
      <c r="O492" t="n">
        <v>2.17834</v>
      </c>
      <c r="P492" t="n">
        <v>2.743272</v>
      </c>
      <c r="Q492" t="n">
        <v>8.412444000000001</v>
      </c>
      <c r="R492" t="n">
        <v>4.015499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16.01242</v>
      </c>
      <c r="Y492" t="n">
        <v>3.453018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27.94078</v>
      </c>
      <c r="AE492" t="n">
        <v>6.347524</v>
      </c>
    </row>
    <row r="493">
      <c r="A493" s="89" t="n">
        <v>33573</v>
      </c>
      <c r="B493" t="n">
        <v>12.94094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2.150639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20.18353</v>
      </c>
      <c r="N493" t="n">
        <v>6.923165</v>
      </c>
      <c r="O493" t="n">
        <v>2.204942</v>
      </c>
      <c r="P493" t="n">
        <v>2.792468</v>
      </c>
      <c r="Q493" t="n">
        <v>8.500567</v>
      </c>
      <c r="R493" t="n">
        <v>4.476471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16.11829</v>
      </c>
      <c r="Y493" t="n">
        <v>3.507232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27.99641</v>
      </c>
      <c r="AE493" t="n">
        <v>6.364489</v>
      </c>
    </row>
    <row r="494">
      <c r="A494" s="89" t="n">
        <v>33604</v>
      </c>
      <c r="B494" t="n">
        <v>12.98857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2.236678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20.29472</v>
      </c>
      <c r="N494" t="n">
        <v>7.224803</v>
      </c>
      <c r="O494" t="n">
        <v>2.239434</v>
      </c>
      <c r="P494" t="n">
        <v>2.831384</v>
      </c>
      <c r="Q494" t="n">
        <v>8.575295000000001</v>
      </c>
      <c r="R494" t="n">
        <v>4.97033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16.23286</v>
      </c>
      <c r="Y494" t="n">
        <v>3.571581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28.07113</v>
      </c>
      <c r="AE494" t="n">
        <v>6.435811</v>
      </c>
    </row>
    <row r="495">
      <c r="A495" s="89" t="n">
        <v>33635</v>
      </c>
      <c r="B495" t="n">
        <v>13.01939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2.312165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20.41526</v>
      </c>
      <c r="N495" t="n">
        <v>7.372245</v>
      </c>
      <c r="O495" t="n">
        <v>2.263876</v>
      </c>
      <c r="P495" t="n">
        <v>2.877242</v>
      </c>
      <c r="Q495" t="n">
        <v>8.598919</v>
      </c>
      <c r="R495" t="n">
        <v>5.252357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16.34776</v>
      </c>
      <c r="Y495" t="n">
        <v>3.624288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28.22721</v>
      </c>
      <c r="AE495" t="n">
        <v>6.525461</v>
      </c>
    </row>
    <row r="496">
      <c r="A496" s="89" t="n">
        <v>33664</v>
      </c>
      <c r="B496" t="n">
        <v>13.01659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2.391197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20.49102</v>
      </c>
      <c r="N496" t="n">
        <v>7.50879</v>
      </c>
      <c r="O496" t="n">
        <v>2.305664</v>
      </c>
      <c r="P496" t="n">
        <v>2.916583</v>
      </c>
      <c r="Q496" t="n">
        <v>8.602059000000001</v>
      </c>
      <c r="R496" t="n">
        <v>5.402404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16.4415</v>
      </c>
      <c r="Y496" t="n">
        <v>3.677093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28.25958</v>
      </c>
      <c r="AE496" t="n">
        <v>6.527053</v>
      </c>
    </row>
    <row r="497">
      <c r="A497" s="89" t="n">
        <v>33695</v>
      </c>
      <c r="B497" t="n">
        <v>13.0334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2.478049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20.53951</v>
      </c>
      <c r="N497" t="n">
        <v>7.75811</v>
      </c>
      <c r="O497" t="n">
        <v>2.370161</v>
      </c>
      <c r="P497" t="n">
        <v>2.947616</v>
      </c>
      <c r="Q497" t="n">
        <v>8.637072</v>
      </c>
      <c r="R497" t="n">
        <v>5.514459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16.49656</v>
      </c>
      <c r="Y497" t="n">
        <v>3.729202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28.22472</v>
      </c>
      <c r="AE497" t="n">
        <v>6.571196</v>
      </c>
    </row>
    <row r="498">
      <c r="A498" s="89" t="n">
        <v>33725</v>
      </c>
      <c r="B498" t="n">
        <v>13.11185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2.542721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20.5025</v>
      </c>
      <c r="N498" t="n">
        <v>7.951936</v>
      </c>
      <c r="O498" t="n">
        <v>2.439597</v>
      </c>
      <c r="P498" t="n">
        <v>2.993605</v>
      </c>
      <c r="Q498" t="n">
        <v>8.687632000000001</v>
      </c>
      <c r="R498" t="n">
        <v>5.588897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16.55882</v>
      </c>
      <c r="Y498" t="n">
        <v>3.778886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28.21558</v>
      </c>
      <c r="AE498" t="n">
        <v>6.58991</v>
      </c>
    </row>
    <row r="499">
      <c r="A499" s="89" t="n">
        <v>33756</v>
      </c>
      <c r="B499" t="n">
        <v>13.15387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2.618668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20.50659</v>
      </c>
      <c r="N499" t="n">
        <v>8.118306</v>
      </c>
      <c r="O499" t="n">
        <v>2.483678</v>
      </c>
      <c r="P499" t="n">
        <v>3.044239</v>
      </c>
      <c r="Q499" t="n">
        <v>8.666492</v>
      </c>
      <c r="R499" t="n">
        <v>5.665667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16.62346</v>
      </c>
      <c r="Y499" t="n">
        <v>3.832722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28.17241</v>
      </c>
      <c r="AE499" t="n">
        <v>6.594212</v>
      </c>
    </row>
    <row r="500">
      <c r="A500" s="89" t="n">
        <v>33786</v>
      </c>
      <c r="B500" t="n">
        <v>13.21271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2.667947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20.58721</v>
      </c>
      <c r="N500" t="n">
        <v>8.324614</v>
      </c>
      <c r="O500" t="n">
        <v>2.503967</v>
      </c>
      <c r="P500" t="n">
        <v>3.087719</v>
      </c>
      <c r="Q500" t="n">
        <v>8.76732</v>
      </c>
      <c r="R500" t="n">
        <v>5.753461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16.70267</v>
      </c>
      <c r="Y500" t="n">
        <v>3.887821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28.17656</v>
      </c>
      <c r="AE500" t="n">
        <v>6.69231</v>
      </c>
    </row>
    <row r="501">
      <c r="A501" s="89" t="n">
        <v>33817</v>
      </c>
      <c r="B501" t="n">
        <v>13.32477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2.67383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20.61322</v>
      </c>
      <c r="N501" t="n">
        <v>8.517303999999999</v>
      </c>
      <c r="O501" t="n">
        <v>2.5298</v>
      </c>
      <c r="P501" t="n">
        <v>3.125258</v>
      </c>
      <c r="Q501" t="n">
        <v>8.794103</v>
      </c>
      <c r="R501" t="n">
        <v>5.759396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16.78751</v>
      </c>
      <c r="Y501" t="n">
        <v>3.943889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28.21725</v>
      </c>
      <c r="AE501" t="n">
        <v>6.749606</v>
      </c>
    </row>
    <row r="502">
      <c r="A502" s="89" t="n">
        <v>33848</v>
      </c>
      <c r="B502" t="n">
        <v>13.38081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2.722707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20.69831</v>
      </c>
      <c r="N502" t="n">
        <v>8.685389000000001</v>
      </c>
      <c r="O502" t="n">
        <v>2.566596</v>
      </c>
      <c r="P502" t="n">
        <v>3.144758</v>
      </c>
      <c r="Q502" t="n">
        <v>8.722004</v>
      </c>
      <c r="R502" t="n">
        <v>5.969265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16.87661</v>
      </c>
      <c r="Y502" t="n">
        <v>3.998798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28.31272</v>
      </c>
      <c r="AE502" t="n">
        <v>6.782853</v>
      </c>
    </row>
    <row r="503">
      <c r="A503" s="89" t="n">
        <v>33878</v>
      </c>
      <c r="B503" t="n">
        <v>13.378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2.813922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20.91179</v>
      </c>
      <c r="N503" t="n">
        <v>8.804555000000001</v>
      </c>
      <c r="O503" t="n">
        <v>2.618265</v>
      </c>
      <c r="P503" t="n">
        <v>3.181611</v>
      </c>
      <c r="Q503" t="n">
        <v>8.752135000000001</v>
      </c>
      <c r="R503" t="n">
        <v>6.119885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16.99741</v>
      </c>
      <c r="Y503" t="n">
        <v>4.052673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</v>
      </c>
      <c r="AE503" t="n">
        <v>6.843244</v>
      </c>
    </row>
    <row r="504">
      <c r="A504" s="89" t="n">
        <v>33909</v>
      </c>
      <c r="B504" t="n">
        <v>13.41443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2.893703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21.02538</v>
      </c>
      <c r="N504" t="n">
        <v>8.926258000000001</v>
      </c>
      <c r="O504" t="n">
        <v>2.674046</v>
      </c>
      <c r="P504" t="n">
        <v>3.22471</v>
      </c>
      <c r="Q504" t="n">
        <v>8.777243</v>
      </c>
      <c r="R504" t="n">
        <v>6.122407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17.09689</v>
      </c>
      <c r="Y504" t="n">
        <v>4.109074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28.44721</v>
      </c>
      <c r="AE504" t="n">
        <v>6.898283</v>
      </c>
    </row>
    <row r="505">
      <c r="A505" s="89" t="n">
        <v>33939</v>
      </c>
      <c r="B505" t="n">
        <v>13.47606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2.989674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20.98213</v>
      </c>
      <c r="N505" t="n">
        <v>9.020161999999999</v>
      </c>
      <c r="O505" t="n">
        <v>2.690278</v>
      </c>
      <c r="P505" t="n">
        <v>3.246403</v>
      </c>
      <c r="Q505" t="n">
        <v>8.829141999999999</v>
      </c>
      <c r="R505" t="n">
        <v>6.244242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17.17857</v>
      </c>
      <c r="Y505" t="n">
        <v>4.160335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28.43227</v>
      </c>
      <c r="AE505" t="n">
        <v>6.89573</v>
      </c>
    </row>
    <row r="506">
      <c r="A506" s="89" t="n">
        <v>33970</v>
      </c>
      <c r="B506" t="n">
        <v>13.55731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3.070405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20.95662</v>
      </c>
      <c r="N506" t="n">
        <v>9.139138000000001</v>
      </c>
      <c r="O506" t="n">
        <v>2.701066</v>
      </c>
      <c r="P506" t="n">
        <v>3.275181</v>
      </c>
      <c r="Q506" t="n">
        <v>8.854608000000001</v>
      </c>
      <c r="R506" t="n">
        <v>6.43188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17.26302</v>
      </c>
      <c r="Y506" t="n">
        <v>4.215776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28.38578</v>
      </c>
      <c r="AE506" t="n">
        <v>6.865018</v>
      </c>
    </row>
    <row r="507">
      <c r="A507" s="89" t="n">
        <v>34001</v>
      </c>
      <c r="B507" t="n">
        <v>13.65537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3.140606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21.02747</v>
      </c>
      <c r="N507" t="n">
        <v>9.307603</v>
      </c>
      <c r="O507" t="n">
        <v>2.753246</v>
      </c>
      <c r="P507" t="n">
        <v>3.306375</v>
      </c>
      <c r="Q507" t="n">
        <v>8.875814</v>
      </c>
      <c r="R507" t="n">
        <v>6.573858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17.34441</v>
      </c>
      <c r="Y507" t="n">
        <v>4.266389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28.34759</v>
      </c>
      <c r="AE507" t="n">
        <v>6.868097</v>
      </c>
    </row>
    <row r="508">
      <c r="A508" s="89" t="n">
        <v>34029</v>
      </c>
      <c r="B508" t="n">
        <v>13.73942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3.226211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21.10279</v>
      </c>
      <c r="N508" t="n">
        <v>9.434618</v>
      </c>
      <c r="O508" t="n">
        <v>2.818631</v>
      </c>
      <c r="P508" t="n">
        <v>3.342468</v>
      </c>
      <c r="Q508" t="n">
        <v>8.860041000000001</v>
      </c>
      <c r="R508" t="n">
        <v>6.675957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17.40641</v>
      </c>
      <c r="Y508" t="n">
        <v>4.318403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28.32434</v>
      </c>
      <c r="AE508" t="n">
        <v>6.876737</v>
      </c>
    </row>
    <row r="509">
      <c r="A509" s="89" t="n">
        <v>34060</v>
      </c>
      <c r="B509" t="n">
        <v>13.77584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3.300764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21.11707</v>
      </c>
      <c r="N509" t="n">
        <v>9.563919</v>
      </c>
      <c r="O509" t="n">
        <v>2.844302</v>
      </c>
      <c r="P509" t="n">
        <v>3.411236</v>
      </c>
      <c r="Q509" t="n">
        <v>8.862294</v>
      </c>
      <c r="R509" t="n">
        <v>6.77851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17.48851</v>
      </c>
      <c r="Y509" t="n">
        <v>4.360435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28.32102</v>
      </c>
      <c r="AE509" t="n">
        <v>6.868569</v>
      </c>
    </row>
    <row r="510">
      <c r="A510" s="89" t="n">
        <v>34090</v>
      </c>
      <c r="B510" t="n">
        <v>13.79265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3.395702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21.13167</v>
      </c>
      <c r="N510" t="n">
        <v>9.679988</v>
      </c>
      <c r="O510" t="n">
        <v>2.843684</v>
      </c>
      <c r="P510" t="n">
        <v>3.466968</v>
      </c>
      <c r="Q510" t="n">
        <v>8.869861999999999</v>
      </c>
      <c r="R510" t="n">
        <v>6.838104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17.6415</v>
      </c>
      <c r="Y510" t="n">
        <v>4.411502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28.53356</v>
      </c>
      <c r="AE510" t="n">
        <v>6.856921</v>
      </c>
    </row>
    <row r="511">
      <c r="A511" s="89" t="n">
        <v>34121</v>
      </c>
      <c r="B511" t="n">
        <v>13.90472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3.521683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21.20313</v>
      </c>
      <c r="N511" t="n">
        <v>9.747705</v>
      </c>
      <c r="O511" t="n">
        <v>2.875759</v>
      </c>
      <c r="P511" t="n">
        <v>3.490485</v>
      </c>
      <c r="Q511" t="n">
        <v>8.937452</v>
      </c>
      <c r="R511" t="n">
        <v>6.920106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17.74027</v>
      </c>
      <c r="Y511" t="n">
        <v>4.451532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28.57922</v>
      </c>
      <c r="AE511" t="n">
        <v>6.854595</v>
      </c>
    </row>
    <row r="512">
      <c r="A512" s="89" t="n">
        <v>34151</v>
      </c>
      <c r="B512" t="n">
        <v>14.02519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3.673394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21.34289</v>
      </c>
      <c r="N512" t="n">
        <v>9.881346000000001</v>
      </c>
      <c r="O512" t="n">
        <v>2.93056</v>
      </c>
      <c r="P512" t="n">
        <v>3.526952</v>
      </c>
      <c r="Q512" t="n">
        <v>9.141386000000001</v>
      </c>
      <c r="R512" t="n">
        <v>7.064507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17.82476</v>
      </c>
      <c r="Y512" t="n">
        <v>4.495737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</v>
      </c>
      <c r="AE512" t="n">
        <v>6.868499</v>
      </c>
    </row>
    <row r="513">
      <c r="A513" s="89" t="n">
        <v>34182</v>
      </c>
      <c r="B513" t="n">
        <v>14.0364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3.809714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21.45731</v>
      </c>
      <c r="N513" t="n">
        <v>9.994808000000001</v>
      </c>
      <c r="O513" t="n">
        <v>3.009543</v>
      </c>
      <c r="P513" t="n">
        <v>3.577121</v>
      </c>
      <c r="Q513" t="n">
        <v>9.220406000000001</v>
      </c>
      <c r="R513" t="n">
        <v>7.228383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17.92745</v>
      </c>
      <c r="Y513" t="n">
        <v>4.563675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28.60661</v>
      </c>
      <c r="AE513" t="n">
        <v>6.964551</v>
      </c>
    </row>
    <row r="514">
      <c r="A514" s="89" t="n">
        <v>34213</v>
      </c>
      <c r="B514" t="n">
        <v>14.07282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3.906959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21.50609</v>
      </c>
      <c r="N514" t="n">
        <v>10.09271</v>
      </c>
      <c r="O514" t="n">
        <v>3.087968</v>
      </c>
      <c r="P514" t="n">
        <v>3.615468</v>
      </c>
      <c r="Q514" t="n">
        <v>9.144838</v>
      </c>
      <c r="R514" t="n">
        <v>7.374523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18.02566</v>
      </c>
      <c r="Y514" t="n">
        <v>4.621213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28.66058</v>
      </c>
      <c r="AE514" t="n">
        <v>7.072461</v>
      </c>
    </row>
    <row r="515">
      <c r="A515" s="89" t="n">
        <v>34243</v>
      </c>
      <c r="B515" t="n">
        <v>14.16247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4.022398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21.60708</v>
      </c>
      <c r="N515" t="n">
        <v>10.19198</v>
      </c>
      <c r="O515" t="n">
        <v>3.138422</v>
      </c>
      <c r="P515" t="n">
        <v>3.646096</v>
      </c>
      <c r="Q515" t="n">
        <v>9.119567</v>
      </c>
      <c r="R515" t="n">
        <v>7.557895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18.13046</v>
      </c>
      <c r="Y515" t="n">
        <v>4.690186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28.69794</v>
      </c>
      <c r="AE515" t="n">
        <v>7.151006</v>
      </c>
    </row>
    <row r="516">
      <c r="A516" s="89" t="n">
        <v>34274</v>
      </c>
      <c r="B516" t="n">
        <v>14.22971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4.176909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21.77119</v>
      </c>
      <c r="N516" t="n">
        <v>10.26217</v>
      </c>
      <c r="O516" t="n">
        <v>3.190482</v>
      </c>
      <c r="P516" t="n">
        <v>3.698002</v>
      </c>
      <c r="Q516" t="n">
        <v>9.179973</v>
      </c>
      <c r="R516" t="n">
        <v>7.87938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18.24311</v>
      </c>
      <c r="Y516" t="n">
        <v>4.775462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28.80919</v>
      </c>
      <c r="AE516" t="n">
        <v>7.262028</v>
      </c>
    </row>
    <row r="517">
      <c r="A517" s="89" t="n">
        <v>34304</v>
      </c>
      <c r="B517" t="n">
        <v>14.29135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4.319415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21.9409</v>
      </c>
      <c r="N517" t="n">
        <v>10.39157</v>
      </c>
      <c r="O517" t="n">
        <v>3.248032</v>
      </c>
      <c r="P517" t="n">
        <v>3.765539</v>
      </c>
      <c r="Q517" t="n">
        <v>9.312113999999999</v>
      </c>
      <c r="R517" t="n">
        <v>8.127268000000001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18.35326</v>
      </c>
      <c r="Y517" t="n">
        <v>4.849176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28.84571</v>
      </c>
      <c r="AE517" t="n">
        <v>7.332563</v>
      </c>
    </row>
    <row r="518">
      <c r="A518" s="89" t="n">
        <v>34335</v>
      </c>
      <c r="B518" t="n">
        <v>14.40342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4.476164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22.06296</v>
      </c>
      <c r="N518" t="n">
        <v>10.5192</v>
      </c>
      <c r="O518" t="n">
        <v>3.306293</v>
      </c>
      <c r="P518" t="n">
        <v>3.836406</v>
      </c>
      <c r="Q518" t="n">
        <v>9.396003</v>
      </c>
      <c r="R518" t="n">
        <v>8.242571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18.49364</v>
      </c>
      <c r="Y518" t="n">
        <v>4.962587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28.84904</v>
      </c>
      <c r="AE518" t="n">
        <v>7.422616</v>
      </c>
    </row>
    <row r="519">
      <c r="A519" s="89" t="n">
        <v>34366</v>
      </c>
      <c r="B519" t="n">
        <v>14.52389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4.628312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22.18214</v>
      </c>
      <c r="N519" t="n">
        <v>10.6109</v>
      </c>
      <c r="O519" t="n">
        <v>3.404782</v>
      </c>
      <c r="P519" t="n">
        <v>3.905887</v>
      </c>
      <c r="Q519" t="n">
        <v>9.383606</v>
      </c>
      <c r="R519" t="n">
        <v>8.448172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18.62408</v>
      </c>
      <c r="Y519" t="n">
        <v>5.079628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28.85568</v>
      </c>
      <c r="AE519" t="n">
        <v>7.577398</v>
      </c>
    </row>
    <row r="520">
      <c r="A520" s="89" t="n">
        <v>34394</v>
      </c>
      <c r="B520" t="n">
        <v>14.64716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4.747718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22.3277</v>
      </c>
      <c r="N520" t="n">
        <v>10.72477</v>
      </c>
      <c r="O520" t="n">
        <v>3.459284</v>
      </c>
      <c r="P520" t="n">
        <v>3.960797</v>
      </c>
      <c r="Q520" t="n">
        <v>9.502678</v>
      </c>
      <c r="R520" t="n">
        <v>8.850474999999999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18.75044</v>
      </c>
      <c r="Y520" t="n">
        <v>5.169787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28.89221</v>
      </c>
      <c r="AE520" t="n">
        <v>7.674779</v>
      </c>
    </row>
    <row r="521">
      <c r="A521" s="89" t="n">
        <v>34425</v>
      </c>
      <c r="B521" t="n">
        <v>14.79285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4.888057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22.36528</v>
      </c>
      <c r="N521" t="n">
        <v>10.89165</v>
      </c>
      <c r="O521" t="n">
        <v>3.476745</v>
      </c>
      <c r="P521" t="n">
        <v>4.026421</v>
      </c>
      <c r="Q521" t="n">
        <v>9.546569999999999</v>
      </c>
      <c r="R521" t="n">
        <v>9.035351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18.89532</v>
      </c>
      <c r="Y521" t="n">
        <v>5.349845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28.90217</v>
      </c>
      <c r="AE521" t="n">
        <v>7.744037</v>
      </c>
    </row>
    <row r="522">
      <c r="A522" s="89" t="n">
        <v>34455</v>
      </c>
      <c r="B522" t="n">
        <v>14.90212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5.068704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22.4383</v>
      </c>
      <c r="N522" t="n">
        <v>11.04293</v>
      </c>
      <c r="O522" t="n">
        <v>3.518213</v>
      </c>
      <c r="P522" t="n">
        <v>4.093244</v>
      </c>
      <c r="Q522" t="n">
        <v>9.437055000000001</v>
      </c>
      <c r="R522" t="n">
        <v>9.070301000000001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19.06988</v>
      </c>
      <c r="Y522" t="n">
        <v>5.560563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28.98104</v>
      </c>
      <c r="AE522" t="n">
        <v>7.865991</v>
      </c>
    </row>
    <row r="523">
      <c r="A523" s="89" t="n">
        <v>34486</v>
      </c>
      <c r="B523" t="n">
        <v>14.97776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5.215237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22.52292</v>
      </c>
      <c r="N523" t="n">
        <v>11.18499</v>
      </c>
      <c r="O523" t="n">
        <v>3.540255</v>
      </c>
      <c r="P523" t="n">
        <v>4.142064</v>
      </c>
      <c r="Q523" t="n">
        <v>9.433172000000001</v>
      </c>
      <c r="R523" t="n">
        <v>9.303438999999999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19.2019</v>
      </c>
      <c r="Y523" t="n">
        <v>5.730753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28.88723</v>
      </c>
      <c r="AE523" t="n">
        <v>7.900725</v>
      </c>
    </row>
    <row r="524">
      <c r="A524" s="89" t="n">
        <v>34516</v>
      </c>
      <c r="B524" t="n">
        <v>15.0422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5.348249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22.52921</v>
      </c>
      <c r="N524" t="n">
        <v>11.27493</v>
      </c>
      <c r="O524" t="n">
        <v>3.572779</v>
      </c>
      <c r="P524" t="n">
        <v>4.208702</v>
      </c>
      <c r="Q524" t="n">
        <v>9.449413</v>
      </c>
      <c r="R524" t="n">
        <v>9.499511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19.4074</v>
      </c>
      <c r="Y524" t="n">
        <v>5.918476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28.95945</v>
      </c>
      <c r="AE524" t="n">
        <v>7.940653</v>
      </c>
    </row>
    <row r="525">
      <c r="A525" s="89" t="n">
        <v>34547</v>
      </c>
      <c r="B525" t="n">
        <v>15.14306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5.514256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22.58628</v>
      </c>
      <c r="N525" t="n">
        <v>11.39019</v>
      </c>
      <c r="O525" t="n">
        <v>3.630134</v>
      </c>
      <c r="P525" t="n">
        <v>4.264457</v>
      </c>
      <c r="Q525" t="n">
        <v>9.451738000000001</v>
      </c>
      <c r="R525" t="n">
        <v>9.713329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19.54457</v>
      </c>
      <c r="Y525" t="n">
        <v>6.04548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</v>
      </c>
      <c r="AE525" t="n">
        <v>8.064111</v>
      </c>
    </row>
    <row r="526">
      <c r="A526" s="89" t="n">
        <v>34578</v>
      </c>
      <c r="B526" t="n">
        <v>15.19909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5.684293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22.70097</v>
      </c>
      <c r="N526" t="n">
        <v>11.53682</v>
      </c>
      <c r="O526" t="n">
        <v>3.699441</v>
      </c>
      <c r="P526" t="n">
        <v>4.337437</v>
      </c>
      <c r="Q526" t="n">
        <v>9.486117</v>
      </c>
      <c r="R526" t="n">
        <v>9.902844999999999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19.68986</v>
      </c>
      <c r="Y526" t="n">
        <v>6.164355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28.94202</v>
      </c>
      <c r="AE526" t="n">
        <v>8.107485</v>
      </c>
    </row>
    <row r="527">
      <c r="A527" s="89" t="n">
        <v>34608</v>
      </c>
      <c r="B527" t="n">
        <v>15.29715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5.849627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22.77098</v>
      </c>
      <c r="N527" t="n">
        <v>11.66631</v>
      </c>
      <c r="O527" t="n">
        <v>3.757281</v>
      </c>
      <c r="P527" t="n">
        <v>4.435031</v>
      </c>
      <c r="Q527" t="n">
        <v>9.530014</v>
      </c>
      <c r="R527" t="n">
        <v>10.01016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19.82405</v>
      </c>
      <c r="Y527" t="n">
        <v>6.301276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28.92708</v>
      </c>
      <c r="AE527" t="n">
        <v>8.187393999999999</v>
      </c>
    </row>
    <row r="528">
      <c r="A528" s="89" t="n">
        <v>34639</v>
      </c>
      <c r="B528" t="n">
        <v>15.49047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6.007717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22.87212</v>
      </c>
      <c r="N528" t="n">
        <v>11.86833</v>
      </c>
      <c r="O528" t="n">
        <v>3.814572</v>
      </c>
      <c r="P528" t="n">
        <v>4.49903</v>
      </c>
      <c r="Q528" t="n">
        <v>9.559862000000001</v>
      </c>
      <c r="R528" t="n">
        <v>10.15385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19.94717</v>
      </c>
      <c r="Y528" t="n">
        <v>6.424466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28.95115</v>
      </c>
      <c r="AE528" t="n">
        <v>8.335074000000001</v>
      </c>
    </row>
    <row r="529">
      <c r="A529" s="89" t="n">
        <v>34669</v>
      </c>
      <c r="B529" t="n">
        <v>15.65016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6.173754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23.01179</v>
      </c>
      <c r="N529" t="n">
        <v>11.90052</v>
      </c>
      <c r="O529" t="n">
        <v>3.893908</v>
      </c>
      <c r="P529" t="n">
        <v>4.548928</v>
      </c>
      <c r="Q529" t="n">
        <v>9.590674999999999</v>
      </c>
      <c r="R529" t="n">
        <v>10.23057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20.07496</v>
      </c>
      <c r="Y529" t="n">
        <v>6.524908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28.94451</v>
      </c>
      <c r="AE529" t="n">
        <v>8.44685</v>
      </c>
    </row>
    <row r="530">
      <c r="A530" s="89" t="n">
        <v>34700</v>
      </c>
      <c r="B530" t="n">
        <v>15.7174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6.332568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23.10783</v>
      </c>
      <c r="N530" t="n">
        <v>11.92524</v>
      </c>
      <c r="O530" t="n">
        <v>3.986418</v>
      </c>
      <c r="P530" t="n">
        <v>4.585485</v>
      </c>
      <c r="Q530" t="n">
        <v>9.585978000000001</v>
      </c>
      <c r="R530" t="n">
        <v>10.24622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20.24015</v>
      </c>
      <c r="Y530" t="n">
        <v>6.659363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28.99432</v>
      </c>
      <c r="AE530" t="n">
        <v>8.474308000000001</v>
      </c>
    </row>
    <row r="531">
      <c r="A531" s="89" t="n">
        <v>34731</v>
      </c>
      <c r="B531" t="n">
        <v>15.75102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6.478182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23.2536</v>
      </c>
      <c r="N531" t="n">
        <v>12.09278</v>
      </c>
      <c r="O531" t="n">
        <v>4.085904</v>
      </c>
      <c r="P531" t="n">
        <v>4.628234</v>
      </c>
      <c r="Q531" t="n">
        <v>9.587081</v>
      </c>
      <c r="R531" t="n">
        <v>10.37191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20.33817</v>
      </c>
      <c r="Y531" t="n">
        <v>6.780727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28.97357</v>
      </c>
      <c r="AE531" t="n">
        <v>8.466595</v>
      </c>
    </row>
    <row r="532">
      <c r="A532" s="89" t="n">
        <v>34759</v>
      </c>
      <c r="B532" t="n">
        <v>15.88831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6.668722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23.5314</v>
      </c>
      <c r="N532" t="n">
        <v>12.26578</v>
      </c>
      <c r="O532" t="n">
        <v>4.17741</v>
      </c>
      <c r="P532" t="n">
        <v>4.764046</v>
      </c>
      <c r="Q532" t="n">
        <v>9.615411</v>
      </c>
      <c r="R532" t="n">
        <v>10.54703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20.47943</v>
      </c>
      <c r="Y532" t="n">
        <v>6.929564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28.98353</v>
      </c>
      <c r="AE532" t="n">
        <v>8.575642</v>
      </c>
    </row>
    <row r="533">
      <c r="A533" s="89" t="n">
        <v>34790</v>
      </c>
      <c r="B533" t="n">
        <v>16.01438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6.867705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23.72349</v>
      </c>
      <c r="N533" t="n">
        <v>12.4114</v>
      </c>
      <c r="O533" t="n">
        <v>4.238122</v>
      </c>
      <c r="P533" t="n">
        <v>4.822098</v>
      </c>
      <c r="Q533" t="n">
        <v>9.597218</v>
      </c>
      <c r="R533" t="n">
        <v>10.75062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20.62458</v>
      </c>
      <c r="Y533" t="n">
        <v>7.067925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29.05078</v>
      </c>
      <c r="AE533" t="n">
        <v>8.777241999999999</v>
      </c>
    </row>
    <row r="534">
      <c r="A534" s="89" t="n">
        <v>34820</v>
      </c>
      <c r="B534" t="n">
        <v>16.09003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7.038519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23.82275</v>
      </c>
      <c r="N534" t="n">
        <v>12.52536</v>
      </c>
      <c r="O534" t="n">
        <v>4.291777</v>
      </c>
      <c r="P534" t="n">
        <v>4.806061</v>
      </c>
      <c r="Q534" t="n">
        <v>9.601129999999999</v>
      </c>
      <c r="R534" t="n">
        <v>11.01049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20.79697</v>
      </c>
      <c r="Y534" t="n">
        <v>7.190988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29.25833</v>
      </c>
      <c r="AE534" t="n">
        <v>9.033811999999999</v>
      </c>
    </row>
    <row r="535">
      <c r="A535" s="89" t="n">
        <v>34851</v>
      </c>
      <c r="B535" t="n">
        <v>16.14326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7.205781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23.99681</v>
      </c>
      <c r="N535" t="n">
        <v>12.70834</v>
      </c>
      <c r="O535" t="n">
        <v>4.383917</v>
      </c>
      <c r="P535" t="n">
        <v>4.858943</v>
      </c>
      <c r="Q535" t="n">
        <v>9.658422</v>
      </c>
      <c r="R535" t="n">
        <v>11.23633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20.98575</v>
      </c>
      <c r="Y535" t="n">
        <v>7.315363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29.46339</v>
      </c>
      <c r="AE535" t="n">
        <v>9.194837</v>
      </c>
    </row>
    <row r="536">
      <c r="A536" s="89" t="n">
        <v>34881</v>
      </c>
      <c r="B536" t="n">
        <v>16.2077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7.330564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24.23409</v>
      </c>
      <c r="N536" t="n">
        <v>12.91944</v>
      </c>
      <c r="O536" t="n">
        <v>4.495667</v>
      </c>
      <c r="P536" t="n">
        <v>4.904411</v>
      </c>
      <c r="Q536" t="n">
        <v>9.660066</v>
      </c>
      <c r="R536" t="n">
        <v>11.41498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21.15564</v>
      </c>
      <c r="Y536" t="n">
        <v>7.460538</v>
      </c>
      <c r="Z536" t="n">
        <v>8.576559</v>
      </c>
      <c r="AA536" t="n">
        <v>0.4704401</v>
      </c>
      <c r="AB536" t="n">
        <v>26.57784</v>
      </c>
      <c r="AC536" t="n">
        <v>0.1642164</v>
      </c>
      <c r="AD536" t="n">
        <v>29.61698</v>
      </c>
      <c r="AE536" t="n">
        <v>9.256522</v>
      </c>
    </row>
    <row r="537">
      <c r="A537" s="89" t="n">
        <v>34912</v>
      </c>
      <c r="B537" t="n">
        <v>16.33938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7.42067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24.52662</v>
      </c>
      <c r="N537" t="n">
        <v>13.09746</v>
      </c>
      <c r="O537" t="n">
        <v>4.601474</v>
      </c>
      <c r="P537" t="n">
        <v>4.962574</v>
      </c>
      <c r="Q537" t="n">
        <v>9.686919</v>
      </c>
      <c r="R537" t="n">
        <v>11.62752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21.35485</v>
      </c>
      <c r="Y537" t="n">
        <v>7.6228</v>
      </c>
      <c r="Z537" t="n">
        <v>8.815132999999999</v>
      </c>
      <c r="AA537" t="n">
        <v>0.4819394</v>
      </c>
      <c r="AB537" t="n">
        <v>26.74956</v>
      </c>
      <c r="AC537" t="n">
        <v>0.1726184</v>
      </c>
      <c r="AD537" t="n">
        <v>29.79631</v>
      </c>
      <c r="AE537" t="n">
        <v>9.321425</v>
      </c>
    </row>
    <row r="538">
      <c r="A538" s="89" t="n">
        <v>34943</v>
      </c>
      <c r="B538" t="n">
        <v>16.50748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7.613451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24.73672</v>
      </c>
      <c r="N538" t="n">
        <v>13.34954</v>
      </c>
      <c r="O538" t="n">
        <v>4.694549</v>
      </c>
      <c r="P538" t="n">
        <v>5.037403</v>
      </c>
      <c r="Q538" t="n">
        <v>9.764265</v>
      </c>
      <c r="R538" t="n">
        <v>11.84519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21.53448</v>
      </c>
      <c r="Y538" t="n">
        <v>7.757835</v>
      </c>
      <c r="Z538" t="n">
        <v>9.037318000000001</v>
      </c>
      <c r="AA538" t="n">
        <v>0.5115801</v>
      </c>
      <c r="AB538" t="n">
        <v>26.98697</v>
      </c>
      <c r="AC538" t="n">
        <v>0.1798101</v>
      </c>
      <c r="AD538" t="n">
        <v>29.90507</v>
      </c>
      <c r="AE538" t="n">
        <v>9.364572000000001</v>
      </c>
    </row>
    <row r="539">
      <c r="A539" s="89" t="n">
        <v>34973</v>
      </c>
      <c r="B539" t="n">
        <v>16.68398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7.881932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24.93884</v>
      </c>
      <c r="N539" t="n">
        <v>13.59315</v>
      </c>
      <c r="O539" t="n">
        <v>4.788361</v>
      </c>
      <c r="P539" t="n">
        <v>5.1109</v>
      </c>
      <c r="Q539" t="n">
        <v>9.77097</v>
      </c>
      <c r="R539" t="n">
        <v>12.06084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21.69999</v>
      </c>
      <c r="Y539" t="n">
        <v>7.885383</v>
      </c>
      <c r="Z539" t="n">
        <v>9.24896</v>
      </c>
      <c r="AA539" t="n">
        <v>0.5339732</v>
      </c>
      <c r="AB539" t="n">
        <v>27.17811</v>
      </c>
      <c r="AC539" t="n">
        <v>0.1863189</v>
      </c>
      <c r="AD539" t="n">
        <v>29.99888</v>
      </c>
      <c r="AE539" t="n">
        <v>9.420661000000001</v>
      </c>
    </row>
    <row r="540">
      <c r="A540" s="89" t="n">
        <v>35004</v>
      </c>
      <c r="B540" t="n">
        <v>16.83247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7.999531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25.13885</v>
      </c>
      <c r="N540" t="n">
        <v>13.78575</v>
      </c>
      <c r="O540" t="n">
        <v>4.893164</v>
      </c>
      <c r="P540" t="n">
        <v>5.158834</v>
      </c>
      <c r="Q540" t="n">
        <v>9.727136</v>
      </c>
      <c r="R540" t="n">
        <v>12.29097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21.91468</v>
      </c>
      <c r="Y540" t="n">
        <v>8.066492</v>
      </c>
      <c r="Z540" t="n">
        <v>9.498862000000001</v>
      </c>
      <c r="AA540" t="n">
        <v>0.5498039</v>
      </c>
      <c r="AB540" t="n">
        <v>27.28294</v>
      </c>
      <c r="AC540" t="n">
        <v>0.1980051</v>
      </c>
      <c r="AD540" t="n">
        <v>30.05284</v>
      </c>
      <c r="AE540" t="n">
        <v>9.505239</v>
      </c>
    </row>
    <row r="541">
      <c r="A541" s="89" t="n">
        <v>35034</v>
      </c>
      <c r="B541" t="n">
        <v>17.02018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8.049128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25.62259</v>
      </c>
      <c r="N541" t="n">
        <v>14.04978</v>
      </c>
      <c r="O541" t="n">
        <v>4.987531</v>
      </c>
      <c r="P541" t="n">
        <v>5.206399</v>
      </c>
      <c r="Q541" t="n">
        <v>9.769175000000001</v>
      </c>
      <c r="R541" t="n">
        <v>12.43968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22.15829</v>
      </c>
      <c r="Y541" t="n">
        <v>8.32287</v>
      </c>
      <c r="Z541" t="n">
        <v>9.720267</v>
      </c>
      <c r="AA541" t="n">
        <v>0.5677819</v>
      </c>
      <c r="AB541" t="n">
        <v>27.32328</v>
      </c>
      <c r="AC541" t="n">
        <v>0.2145036</v>
      </c>
      <c r="AD541" t="n">
        <v>30.13254</v>
      </c>
      <c r="AE541" t="n">
        <v>9.668521</v>
      </c>
    </row>
    <row r="542">
      <c r="A542" s="89" t="n">
        <v>35065</v>
      </c>
      <c r="B542" t="n">
        <v>17.17147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8.161947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26.42813</v>
      </c>
      <c r="N542" t="n">
        <v>14.33192</v>
      </c>
      <c r="O542" t="n">
        <v>5.067066</v>
      </c>
      <c r="P542" t="n">
        <v>5.27354</v>
      </c>
      <c r="Q542" t="n">
        <v>9.899778</v>
      </c>
      <c r="R542" t="n">
        <v>12.65368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22.44863</v>
      </c>
      <c r="Y542" t="n">
        <v>8.628018000000001</v>
      </c>
      <c r="Z542" t="n">
        <v>9.970124</v>
      </c>
      <c r="AA542" t="n">
        <v>0.5897741</v>
      </c>
      <c r="AB542" t="n">
        <v>27.48259</v>
      </c>
      <c r="AC542" t="n">
        <v>0.2313573</v>
      </c>
      <c r="AD542" t="n">
        <v>30.2853</v>
      </c>
      <c r="AE542" t="n">
        <v>9.828846</v>
      </c>
    </row>
    <row r="543">
      <c r="A543" s="89" t="n">
        <v>35096</v>
      </c>
      <c r="B543" t="n">
        <v>17.26393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8.321161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26.92259</v>
      </c>
      <c r="N543" t="n">
        <v>14.65201</v>
      </c>
      <c r="O543" t="n">
        <v>5.178958</v>
      </c>
      <c r="P543" t="n">
        <v>5.337564</v>
      </c>
      <c r="Q543" t="n">
        <v>9.973144</v>
      </c>
      <c r="R543" t="n">
        <v>12.974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22.65918</v>
      </c>
      <c r="Y543" t="n">
        <v>8.850482</v>
      </c>
      <c r="Z543" t="n">
        <v>10.26811</v>
      </c>
      <c r="AA543" t="n">
        <v>0.6153263</v>
      </c>
      <c r="AB543" t="n">
        <v>27.82173</v>
      </c>
      <c r="AC543" t="n">
        <v>0.2465764</v>
      </c>
      <c r="AD543" t="n">
        <v>30.4007</v>
      </c>
      <c r="AE543" t="n">
        <v>10.02116</v>
      </c>
    </row>
    <row r="544">
      <c r="A544" s="89" t="n">
        <v>35125</v>
      </c>
      <c r="B544" t="n">
        <v>17.376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8.510621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27.12748</v>
      </c>
      <c r="N544" t="n">
        <v>14.93524</v>
      </c>
      <c r="O544" t="n">
        <v>5.332672</v>
      </c>
      <c r="P544" t="n">
        <v>5.44497</v>
      </c>
      <c r="Q544" t="n">
        <v>10.02459</v>
      </c>
      <c r="R544" t="n">
        <v>13.22138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22.88688</v>
      </c>
      <c r="Y544" t="n">
        <v>9.015931</v>
      </c>
      <c r="Z544" t="n">
        <v>10.51237</v>
      </c>
      <c r="AA544" t="n">
        <v>0.6371533</v>
      </c>
      <c r="AB544" t="n">
        <v>28.34458</v>
      </c>
      <c r="AC544" t="n">
        <v>0.2598142</v>
      </c>
      <c r="AD544" t="n">
        <v>30.60909</v>
      </c>
      <c r="AE544" t="n">
        <v>10.24996</v>
      </c>
    </row>
    <row r="545">
      <c r="A545" s="89" t="n">
        <v>35156</v>
      </c>
      <c r="B545" t="n">
        <v>17.47125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8.680282999999999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27.37834</v>
      </c>
      <c r="N545" t="n">
        <v>15.169</v>
      </c>
      <c r="O545" t="n">
        <v>5.475049</v>
      </c>
      <c r="P545" t="n">
        <v>5.532153</v>
      </c>
      <c r="Q545" t="n">
        <v>10.10721</v>
      </c>
      <c r="R545" t="n">
        <v>13.49306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23.08481</v>
      </c>
      <c r="Y545" t="n">
        <v>9.216727000000001</v>
      </c>
      <c r="Z545" t="n">
        <v>10.78925</v>
      </c>
      <c r="AA545" t="n">
        <v>0.6554801</v>
      </c>
      <c r="AB545" t="n">
        <v>28.80081</v>
      </c>
      <c r="AC545" t="n">
        <v>0.2777974</v>
      </c>
      <c r="AD545" t="n">
        <v>30.69875</v>
      </c>
      <c r="AE545" t="n">
        <v>10.39089</v>
      </c>
    </row>
    <row r="546">
      <c r="A546" s="89" t="n">
        <v>35186</v>
      </c>
      <c r="B546" t="n">
        <v>17.51608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8.818792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27.53253</v>
      </c>
      <c r="N546" t="n">
        <v>15.45133</v>
      </c>
      <c r="O546" t="n">
        <v>5.58922</v>
      </c>
      <c r="P546" t="n">
        <v>5.561161</v>
      </c>
      <c r="Q546" t="n">
        <v>10.17305</v>
      </c>
      <c r="R546" t="n">
        <v>13.8448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23.30012</v>
      </c>
      <c r="Y546" t="n">
        <v>9.418744999999999</v>
      </c>
      <c r="Z546" t="n">
        <v>11.04136</v>
      </c>
      <c r="AA546" t="n">
        <v>0.6705449999999999</v>
      </c>
      <c r="AB546" t="n">
        <v>29.15482</v>
      </c>
      <c r="AC546" t="n">
        <v>0.2990035</v>
      </c>
      <c r="AD546" t="n">
        <v>30.79754</v>
      </c>
      <c r="AE546" t="n">
        <v>10.55749</v>
      </c>
    </row>
    <row r="547">
      <c r="A547" s="89" t="n">
        <v>35217</v>
      </c>
      <c r="B547" t="n">
        <v>17.61134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8.96766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27.78541</v>
      </c>
      <c r="N547" t="n">
        <v>15.7359</v>
      </c>
      <c r="O547" t="n">
        <v>5.691286</v>
      </c>
      <c r="P547" t="n">
        <v>5.631154</v>
      </c>
      <c r="Q547" t="n">
        <v>10.18427</v>
      </c>
      <c r="R547" t="n">
        <v>14.12321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23.49446</v>
      </c>
      <c r="Y547" t="n">
        <v>9.598478999999999</v>
      </c>
      <c r="Z547" t="n">
        <v>11.21425</v>
      </c>
      <c r="AA547" t="n">
        <v>0.685908</v>
      </c>
      <c r="AB547" t="n">
        <v>29.31986</v>
      </c>
      <c r="AC547" t="n">
        <v>0.3173686</v>
      </c>
      <c r="AD547" t="n">
        <v>30.90464</v>
      </c>
      <c r="AE547" t="n">
        <v>10.81014</v>
      </c>
    </row>
    <row r="548">
      <c r="A548" s="89" t="n">
        <v>35247</v>
      </c>
      <c r="B548" t="n">
        <v>17.80465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9.163519000000001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28.16911</v>
      </c>
      <c r="N548" t="n">
        <v>15.98207</v>
      </c>
      <c r="O548" t="n">
        <v>5.784675</v>
      </c>
      <c r="P548" t="n">
        <v>5.713132</v>
      </c>
      <c r="Q548" t="n">
        <v>10.17818</v>
      </c>
      <c r="R548" t="n">
        <v>14.39812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23.68824</v>
      </c>
      <c r="Y548" t="n">
        <v>9.783583999999999</v>
      </c>
      <c r="Z548" t="n">
        <v>11.39647</v>
      </c>
      <c r="AA548" t="n">
        <v>0.7081499</v>
      </c>
      <c r="AB548" t="n">
        <v>29.48055</v>
      </c>
      <c r="AC548" t="n">
        <v>0.3336817</v>
      </c>
      <c r="AD548" t="n">
        <v>31.02585</v>
      </c>
      <c r="AE548" t="n">
        <v>10.99221</v>
      </c>
    </row>
    <row r="549">
      <c r="A549" s="89" t="n">
        <v>35278</v>
      </c>
      <c r="B549" t="n">
        <v>17.95034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9.350923999999999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28.41341</v>
      </c>
      <c r="N549" t="n">
        <v>16.27163</v>
      </c>
      <c r="O549" t="n">
        <v>5.848485</v>
      </c>
      <c r="P549" t="n">
        <v>5.774502</v>
      </c>
      <c r="Q549" t="n">
        <v>10.22822</v>
      </c>
      <c r="R549" t="n">
        <v>14.78978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23.88257</v>
      </c>
      <c r="Y549" t="n">
        <v>10.00433</v>
      </c>
      <c r="Z549" t="n">
        <v>11.57491</v>
      </c>
      <c r="AA549" t="n">
        <v>0.7318665</v>
      </c>
      <c r="AB549" t="n">
        <v>29.68313</v>
      </c>
      <c r="AC549" t="n">
        <v>0.3579074</v>
      </c>
      <c r="AD549" t="n">
        <v>31.08314</v>
      </c>
      <c r="AE549" t="n">
        <v>11.10687</v>
      </c>
    </row>
    <row r="550">
      <c r="A550" s="89" t="n">
        <v>35309</v>
      </c>
      <c r="B550" t="n">
        <v>17.96715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9.542074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28.66131</v>
      </c>
      <c r="N550" t="n">
        <v>16.53499</v>
      </c>
      <c r="O550" t="n">
        <v>5.923763</v>
      </c>
      <c r="P550" t="n">
        <v>5.842963</v>
      </c>
      <c r="Q550" t="n">
        <v>10.28307</v>
      </c>
      <c r="R550" t="n">
        <v>15.04405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24.09977</v>
      </c>
      <c r="Y550" t="n">
        <v>10.26101</v>
      </c>
      <c r="Z550" t="n">
        <v>11.78214</v>
      </c>
      <c r="AA550" t="n">
        <v>0.7501377</v>
      </c>
      <c r="AB550" t="n">
        <v>29.86357</v>
      </c>
      <c r="AC550" t="n">
        <v>0.3877662</v>
      </c>
      <c r="AD550" t="n">
        <v>31.16118</v>
      </c>
      <c r="AE550" t="n">
        <v>11.16726</v>
      </c>
    </row>
    <row r="551">
      <c r="A551" s="89" t="n">
        <v>35339</v>
      </c>
      <c r="B551" t="n">
        <v>18.12404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9.723115999999999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28.87128</v>
      </c>
      <c r="N551" t="n">
        <v>16.77691</v>
      </c>
      <c r="O551" t="n">
        <v>6.077827</v>
      </c>
      <c r="P551" t="n">
        <v>5.897906</v>
      </c>
      <c r="Q551" t="n">
        <v>10.27889</v>
      </c>
      <c r="R551" t="n">
        <v>15.27562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24.36073</v>
      </c>
      <c r="Y551" t="n">
        <v>10.50382</v>
      </c>
      <c r="Z551" t="n">
        <v>12.01356</v>
      </c>
      <c r="AA551" t="n">
        <v>0.7628026999999999</v>
      </c>
      <c r="AB551" t="n">
        <v>29.99244</v>
      </c>
      <c r="AC551" t="n">
        <v>0.4158096</v>
      </c>
      <c r="AD551" t="n">
        <v>31.32224</v>
      </c>
      <c r="AE551" t="n">
        <v>11.28853</v>
      </c>
    </row>
    <row r="552">
      <c r="A552" s="89" t="n">
        <v>35370</v>
      </c>
      <c r="B552" t="n">
        <v>18.40701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9.843119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29.27384</v>
      </c>
      <c r="N552" t="n">
        <v>17.05245</v>
      </c>
      <c r="O552" t="n">
        <v>6.27933</v>
      </c>
      <c r="P552" t="n">
        <v>5.962363</v>
      </c>
      <c r="Q552" t="n">
        <v>10.31674</v>
      </c>
      <c r="R552" t="n">
        <v>15.55086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24.62228</v>
      </c>
      <c r="Y552" t="n">
        <v>10.79382</v>
      </c>
      <c r="Z552" t="n">
        <v>12.23526</v>
      </c>
      <c r="AA552" t="n">
        <v>0.7750648999999999</v>
      </c>
      <c r="AB552" t="n">
        <v>30.18898</v>
      </c>
      <c r="AC552" t="n">
        <v>0.4461176</v>
      </c>
      <c r="AD552" t="n">
        <v>31.50737</v>
      </c>
      <c r="AE552" t="n">
        <v>11.40053</v>
      </c>
    </row>
    <row r="553">
      <c r="A553" s="89" t="n">
        <v>35400</v>
      </c>
      <c r="B553" t="n">
        <v>18.5583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10.1825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29.53937</v>
      </c>
      <c r="N553" t="n">
        <v>17.27211</v>
      </c>
      <c r="O553" t="n">
        <v>6.4574</v>
      </c>
      <c r="P553" t="n">
        <v>6.050006</v>
      </c>
      <c r="Q553" t="n">
        <v>10.45908</v>
      </c>
      <c r="R553" t="n">
        <v>15.76498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24.90146</v>
      </c>
      <c r="Y553" t="n">
        <v>11.10437</v>
      </c>
      <c r="Z553" t="n">
        <v>12.51805</v>
      </c>
      <c r="AA553" t="n">
        <v>0.7881104</v>
      </c>
      <c r="AB553" t="n">
        <v>30.45578</v>
      </c>
      <c r="AC553" t="n">
        <v>0.4823274</v>
      </c>
      <c r="AD553" t="n">
        <v>31.70247</v>
      </c>
      <c r="AE553" t="n">
        <v>11.43084</v>
      </c>
    </row>
    <row r="554">
      <c r="A554" s="89" t="n">
        <v>35431</v>
      </c>
      <c r="B554" t="n">
        <v>18.66757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10.51252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29.8267</v>
      </c>
      <c r="N554" t="n">
        <v>17.44374</v>
      </c>
      <c r="O554" t="n">
        <v>6.598531</v>
      </c>
      <c r="P554" t="n">
        <v>6.157489</v>
      </c>
      <c r="Q554" t="n">
        <v>10.50854</v>
      </c>
      <c r="R554" t="n">
        <v>16.07568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25.15714</v>
      </c>
      <c r="Y554" t="n">
        <v>11.38494</v>
      </c>
      <c r="Z554" t="n">
        <v>12.78282</v>
      </c>
      <c r="AA554" t="n">
        <v>0.7873362</v>
      </c>
      <c r="AB554" t="n">
        <v>30.09051</v>
      </c>
      <c r="AC554" t="n">
        <v>0.5164651</v>
      </c>
      <c r="AD554" t="n">
        <v>31.83531</v>
      </c>
      <c r="AE554" t="n">
        <v>11.59725</v>
      </c>
    </row>
    <row r="555">
      <c r="A555" s="89" t="n">
        <v>35462</v>
      </c>
      <c r="B555" t="n">
        <v>18.79925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10.60057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30.31391</v>
      </c>
      <c r="N555" t="n">
        <v>17.61115</v>
      </c>
      <c r="O555" t="n">
        <v>6.718781</v>
      </c>
      <c r="P555" t="n">
        <v>6.260836</v>
      </c>
      <c r="Q555" t="n">
        <v>10.57753</v>
      </c>
      <c r="R555" t="n">
        <v>16.39139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25.34527</v>
      </c>
      <c r="Y555" t="n">
        <v>11.59931</v>
      </c>
      <c r="Z555" t="n">
        <v>12.98265</v>
      </c>
      <c r="AA555" t="n">
        <v>0.7975748</v>
      </c>
      <c r="AB555" t="n">
        <v>29.95451</v>
      </c>
      <c r="AC555" t="n">
        <v>0.5456225</v>
      </c>
      <c r="AD555" t="n">
        <v>31.93244</v>
      </c>
      <c r="AE555" t="n">
        <v>11.78413</v>
      </c>
    </row>
    <row r="556">
      <c r="A556" s="89" t="n">
        <v>35490</v>
      </c>
      <c r="B556" t="n">
        <v>18.90851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10.71258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30.54688</v>
      </c>
      <c r="N556" t="n">
        <v>17.76644</v>
      </c>
      <c r="O556" t="n">
        <v>6.824524</v>
      </c>
      <c r="P556" t="n">
        <v>6.354182</v>
      </c>
      <c r="Q556" t="n">
        <v>10.64474</v>
      </c>
      <c r="R556" t="n">
        <v>16.61296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25.55194</v>
      </c>
      <c r="Y556" t="n">
        <v>11.79254</v>
      </c>
      <c r="Z556" t="n">
        <v>13.22568</v>
      </c>
      <c r="AA556" t="n">
        <v>0.8230659</v>
      </c>
      <c r="AB556" t="n">
        <v>30.3448</v>
      </c>
      <c r="AC556" t="n">
        <v>0.5767538</v>
      </c>
      <c r="AD556" t="n">
        <v>32.05614</v>
      </c>
      <c r="AE556" t="n">
        <v>11.95953</v>
      </c>
    </row>
    <row r="557">
      <c r="A557" s="89" t="n">
        <v>35521</v>
      </c>
      <c r="B557" t="n">
        <v>19.03179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10.92679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30.65022</v>
      </c>
      <c r="N557" t="n">
        <v>17.94182</v>
      </c>
      <c r="O557" t="n">
        <v>6.913844</v>
      </c>
      <c r="P557" t="n">
        <v>6.42922</v>
      </c>
      <c r="Q557" t="n">
        <v>10.74691</v>
      </c>
      <c r="R557" t="n">
        <v>16.84559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25.75869</v>
      </c>
      <c r="Y557" t="n">
        <v>11.95818</v>
      </c>
      <c r="Z557" t="n">
        <v>13.53003</v>
      </c>
      <c r="AA557" t="n">
        <v>0.8416177</v>
      </c>
      <c r="AB557" t="n">
        <v>30.32062</v>
      </c>
      <c r="AC557" t="n">
        <v>0.606689</v>
      </c>
      <c r="AD557" t="n">
        <v>32.18732</v>
      </c>
      <c r="AE557" t="n">
        <v>12.14758</v>
      </c>
    </row>
    <row r="558">
      <c r="A558" s="89" t="n">
        <v>35551</v>
      </c>
      <c r="B558" t="n">
        <v>19.18308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11.12399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30.79848</v>
      </c>
      <c r="N558" t="n">
        <v>18.25892</v>
      </c>
      <c r="O558" t="n">
        <v>6.994459</v>
      </c>
      <c r="P558" t="n">
        <v>6.495253</v>
      </c>
      <c r="Q558" t="n">
        <v>10.86526</v>
      </c>
      <c r="R558" t="n">
        <v>17.10498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25.94034</v>
      </c>
      <c r="Y558" t="n">
        <v>12.14334</v>
      </c>
      <c r="Z558" t="n">
        <v>13.86675</v>
      </c>
      <c r="AA558" t="n">
        <v>0.864831</v>
      </c>
      <c r="AB558" t="n">
        <v>30.32071</v>
      </c>
      <c r="AC558" t="n">
        <v>0.6342878</v>
      </c>
      <c r="AD558" t="n">
        <v>32.2886</v>
      </c>
      <c r="AE558" t="n">
        <v>12.33896</v>
      </c>
    </row>
    <row r="559">
      <c r="A559" s="89" t="n">
        <v>35582</v>
      </c>
      <c r="B559" t="n">
        <v>19.28954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11.35061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31.35883</v>
      </c>
      <c r="N559" t="n">
        <v>18.56122</v>
      </c>
      <c r="O559" t="n">
        <v>7.104663</v>
      </c>
      <c r="P559" t="n">
        <v>6.591904</v>
      </c>
      <c r="Q559" t="n">
        <v>10.84021</v>
      </c>
      <c r="R559" t="n">
        <v>17.421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26.19007</v>
      </c>
      <c r="Y559" t="n">
        <v>12.41804</v>
      </c>
      <c r="Z559" t="n">
        <v>14.18745</v>
      </c>
      <c r="AA559" t="n">
        <v>0.8869088000000001</v>
      </c>
      <c r="AB559" t="n">
        <v>30.60115</v>
      </c>
      <c r="AC559" t="n">
        <v>0.6678741</v>
      </c>
      <c r="AD559" t="n">
        <v>32.42808</v>
      </c>
      <c r="AE559" t="n">
        <v>12.46331</v>
      </c>
    </row>
    <row r="560">
      <c r="A560" s="89" t="n">
        <v>35612</v>
      </c>
      <c r="B560" t="n">
        <v>19.36519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11.64692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32.0341</v>
      </c>
      <c r="N560" t="n">
        <v>18.89875</v>
      </c>
      <c r="O560" t="n">
        <v>7.220211</v>
      </c>
      <c r="P560" t="n">
        <v>6.673553</v>
      </c>
      <c r="Q560" t="n">
        <v>10.92542</v>
      </c>
      <c r="R560" t="n">
        <v>17.69846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26.46408</v>
      </c>
      <c r="Y560" t="n">
        <v>12.755</v>
      </c>
      <c r="Z560" t="n">
        <v>14.56986</v>
      </c>
      <c r="AA560" t="n">
        <v>0.9112382</v>
      </c>
      <c r="AB560" t="n">
        <v>30.65915</v>
      </c>
      <c r="AC560" t="n">
        <v>0.7129062</v>
      </c>
      <c r="AD560" t="n">
        <v>32.57669</v>
      </c>
      <c r="AE560" t="n">
        <v>12.56515</v>
      </c>
    </row>
    <row r="561">
      <c r="A561" s="89" t="n">
        <v>35643</v>
      </c>
      <c r="B561" t="n">
        <v>19.43243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11.84523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32.39708</v>
      </c>
      <c r="N561" t="n">
        <v>19.21557</v>
      </c>
      <c r="O561" t="n">
        <v>7.380085</v>
      </c>
      <c r="P561" t="n">
        <v>6.733028</v>
      </c>
      <c r="Q561" t="n">
        <v>11.01565</v>
      </c>
      <c r="R561" t="n">
        <v>17.87684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26.77392</v>
      </c>
      <c r="Y561" t="n">
        <v>13.06739</v>
      </c>
      <c r="Z561" t="n">
        <v>14.87917</v>
      </c>
      <c r="AA561" t="n">
        <v>0.9424809</v>
      </c>
      <c r="AB561" t="n">
        <v>30.73143</v>
      </c>
      <c r="AC561" t="n">
        <v>0.7659566</v>
      </c>
      <c r="AD561" t="n">
        <v>32.85481</v>
      </c>
      <c r="AE561" t="n">
        <v>12.74657</v>
      </c>
    </row>
    <row r="562">
      <c r="A562" s="89" t="n">
        <v>35674</v>
      </c>
      <c r="B562" t="n">
        <v>19.46605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12.07903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31.63625</v>
      </c>
      <c r="N562" t="n">
        <v>19.45389</v>
      </c>
      <c r="O562" t="n">
        <v>7.535261</v>
      </c>
      <c r="P562" t="n">
        <v>6.807507</v>
      </c>
      <c r="Q562" t="n">
        <v>11.09088</v>
      </c>
      <c r="R562" t="n">
        <v>18.12867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26.946</v>
      </c>
      <c r="Y562" t="n">
        <v>13.19859</v>
      </c>
      <c r="Z562" t="n">
        <v>15.12022</v>
      </c>
      <c r="AA562" t="n">
        <v>0.97084</v>
      </c>
      <c r="AB562" t="n">
        <v>30.76234</v>
      </c>
      <c r="AC562" t="n">
        <v>0.8213317</v>
      </c>
      <c r="AD562" t="n">
        <v>32.98515</v>
      </c>
      <c r="AE562" t="n">
        <v>13.00673</v>
      </c>
    </row>
    <row r="563">
      <c r="A563" s="89" t="n">
        <v>35704</v>
      </c>
      <c r="B563" t="n">
        <v>19.5501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12.39381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31.33524</v>
      </c>
      <c r="N563" t="n">
        <v>19.87747</v>
      </c>
      <c r="O563" t="n">
        <v>7.729321</v>
      </c>
      <c r="P563" t="n">
        <v>6.900248</v>
      </c>
      <c r="Q563" t="n">
        <v>11.21893</v>
      </c>
      <c r="R563" t="n">
        <v>18.38529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27.18094</v>
      </c>
      <c r="Y563" t="n">
        <v>13.43593</v>
      </c>
      <c r="Z563" t="n">
        <v>15.49076</v>
      </c>
      <c r="AA563" t="n">
        <v>0.9902111</v>
      </c>
      <c r="AB563" t="n">
        <v>30.71762</v>
      </c>
      <c r="AC563" t="n">
        <v>0.8797743</v>
      </c>
      <c r="AD563" t="n">
        <v>33.14455</v>
      </c>
      <c r="AE563" t="n">
        <v>13.30422</v>
      </c>
    </row>
    <row r="564">
      <c r="A564" s="89" t="n">
        <v>35735</v>
      </c>
      <c r="B564" t="n">
        <v>19.67617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12.71945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32.01271</v>
      </c>
      <c r="N564" t="n">
        <v>20.149</v>
      </c>
      <c r="O564" t="n">
        <v>7.756963</v>
      </c>
      <c r="P564" t="n">
        <v>7.008625</v>
      </c>
      <c r="Q564" t="n">
        <v>11.31841</v>
      </c>
      <c r="R564" t="n">
        <v>18.62073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27.48242</v>
      </c>
      <c r="Y564" t="n">
        <v>13.81271</v>
      </c>
      <c r="Z564" t="n">
        <v>15.87218</v>
      </c>
      <c r="AA564" t="n">
        <v>1.013776</v>
      </c>
      <c r="AB564" t="n">
        <v>30.77787</v>
      </c>
      <c r="AC564" t="n">
        <v>0.9361539</v>
      </c>
      <c r="AD564" t="n">
        <v>33.33135</v>
      </c>
      <c r="AE564" t="n">
        <v>13.45251</v>
      </c>
    </row>
    <row r="565">
      <c r="A565" s="89" t="n">
        <v>35765</v>
      </c>
      <c r="B565" t="n">
        <v>19.77703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13.07164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32.38588</v>
      </c>
      <c r="N565" t="n">
        <v>20.48281</v>
      </c>
      <c r="O565" t="n">
        <v>7.851746</v>
      </c>
      <c r="P565" t="n">
        <v>7.115165</v>
      </c>
      <c r="Q565" t="n">
        <v>11.43372</v>
      </c>
      <c r="R565" t="n">
        <v>18.92972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27.7544</v>
      </c>
      <c r="Y565" t="n">
        <v>14.09113</v>
      </c>
      <c r="Z565" t="n">
        <v>16.14701</v>
      </c>
      <c r="AA565" t="n">
        <v>1.017778</v>
      </c>
      <c r="AB565" t="n">
        <v>30.84664</v>
      </c>
      <c r="AC565" t="n">
        <v>0.9816454999999999</v>
      </c>
      <c r="AD565" t="n">
        <v>33.48162</v>
      </c>
      <c r="AE565" t="n">
        <v>13.46523</v>
      </c>
    </row>
    <row r="566">
      <c r="A566" s="89" t="n">
        <v>35796</v>
      </c>
      <c r="B566" t="n">
        <v>19.8863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13.28345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32.79852</v>
      </c>
      <c r="N566" t="n">
        <v>20.51326</v>
      </c>
      <c r="O566" t="n">
        <v>9.1999</v>
      </c>
      <c r="P566" t="n">
        <v>7.197979</v>
      </c>
      <c r="Q566" t="n">
        <v>11.57543</v>
      </c>
      <c r="R566" t="n">
        <v>19.19859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28.03069</v>
      </c>
      <c r="Y566" t="n">
        <v>14.37623</v>
      </c>
      <c r="Z566" t="n">
        <v>16.36671</v>
      </c>
      <c r="AA566" t="n">
        <v>1.005227</v>
      </c>
      <c r="AB566" t="n">
        <v>30.87088</v>
      </c>
      <c r="AC566" t="n">
        <v>1.032217</v>
      </c>
      <c r="AD566" t="n">
        <v>33.67506</v>
      </c>
      <c r="AE566" t="n">
        <v>13.59867</v>
      </c>
    </row>
    <row r="567">
      <c r="A567" s="89" t="n">
        <v>35827</v>
      </c>
      <c r="B567" t="n">
        <v>19.98156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13.38235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33.08459</v>
      </c>
      <c r="N567" t="n">
        <v>20.42136</v>
      </c>
      <c r="O567" t="n">
        <v>10.13579</v>
      </c>
      <c r="P567" t="n">
        <v>7.301435</v>
      </c>
      <c r="Q567" t="n">
        <v>11.71373</v>
      </c>
      <c r="R567" t="n">
        <v>19.41039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28.28362</v>
      </c>
      <c r="Y567" t="n">
        <v>14.5752</v>
      </c>
      <c r="Z567" t="n">
        <v>16.59349</v>
      </c>
      <c r="AA567" t="n">
        <v>0.9918361999999999</v>
      </c>
      <c r="AB567" t="n">
        <v>30.91277</v>
      </c>
      <c r="AC567" t="n">
        <v>1.08533</v>
      </c>
      <c r="AD567" t="n">
        <v>33.94654</v>
      </c>
      <c r="AE567" t="n">
        <v>13.90754</v>
      </c>
    </row>
    <row r="568">
      <c r="A568" s="89" t="n">
        <v>35855</v>
      </c>
      <c r="B568" t="n">
        <v>20.06281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13.57977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33.26144</v>
      </c>
      <c r="N568" t="n">
        <v>20.99408</v>
      </c>
      <c r="O568" t="n">
        <v>10.21984</v>
      </c>
      <c r="P568" t="n">
        <v>7.467092</v>
      </c>
      <c r="Q568" t="n">
        <v>11.86561</v>
      </c>
      <c r="R568" t="n">
        <v>19.38817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28.50292</v>
      </c>
      <c r="Y568" t="n">
        <v>14.80141</v>
      </c>
      <c r="Z568" t="n">
        <v>16.7987</v>
      </c>
      <c r="AA568" t="n">
        <v>0.982036</v>
      </c>
      <c r="AB568" t="n">
        <v>30.70568</v>
      </c>
      <c r="AC568" t="n">
        <v>1.149293</v>
      </c>
      <c r="AD568" t="n">
        <v>34.15741</v>
      </c>
      <c r="AE568" t="n">
        <v>14.02958</v>
      </c>
    </row>
    <row r="569">
      <c r="A569" s="89" t="n">
        <v>35886</v>
      </c>
      <c r="B569" t="n">
        <v>20.16086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13.74267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33.41075</v>
      </c>
      <c r="N569" t="n">
        <v>21.54143</v>
      </c>
      <c r="O569" t="n">
        <v>10.50697</v>
      </c>
      <c r="P569" t="n">
        <v>7.595877</v>
      </c>
      <c r="Q569" t="n">
        <v>12.02549</v>
      </c>
      <c r="R569" t="n">
        <v>19.55833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28.75533</v>
      </c>
      <c r="Y569" t="n">
        <v>15.09071</v>
      </c>
      <c r="Z569" t="n">
        <v>17.05557</v>
      </c>
      <c r="AA569" t="n">
        <v>0.9895749</v>
      </c>
      <c r="AB569" t="n">
        <v>30.61753</v>
      </c>
      <c r="AC569" t="n">
        <v>1.236946</v>
      </c>
      <c r="AD569" t="n">
        <v>34.37244</v>
      </c>
      <c r="AE569" t="n">
        <v>14.13859</v>
      </c>
    </row>
    <row r="570">
      <c r="A570" s="89" t="n">
        <v>35916</v>
      </c>
      <c r="B570" t="n">
        <v>20.27573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13.94118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33.69229</v>
      </c>
      <c r="N570" t="n">
        <v>21.88202</v>
      </c>
      <c r="O570" t="n">
        <v>10.94937</v>
      </c>
      <c r="P570" t="n">
        <v>7.678203</v>
      </c>
      <c r="Q570" t="n">
        <v>12.19087</v>
      </c>
      <c r="R570" t="n">
        <v>19.92869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29.0464</v>
      </c>
      <c r="Y570" t="n">
        <v>15.4348</v>
      </c>
      <c r="Z570" t="n">
        <v>17.44366</v>
      </c>
      <c r="AA570" t="n">
        <v>1.000055</v>
      </c>
      <c r="AB570" t="n">
        <v>31.0512</v>
      </c>
      <c r="AC570" t="n">
        <v>1.326741</v>
      </c>
      <c r="AD570" t="n">
        <v>34.57335</v>
      </c>
      <c r="AE570" t="n">
        <v>14.32534</v>
      </c>
    </row>
    <row r="571">
      <c r="A571" s="89" t="n">
        <v>35947</v>
      </c>
      <c r="B571" t="n">
        <v>20.42142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14.14616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33.97705</v>
      </c>
      <c r="N571" t="n">
        <v>22.18554</v>
      </c>
      <c r="O571" t="n">
        <v>12.16559</v>
      </c>
      <c r="P571" t="n">
        <v>7.781397</v>
      </c>
      <c r="Q571" t="n">
        <v>12.35153</v>
      </c>
      <c r="R571" t="n">
        <v>20.18773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29.30587</v>
      </c>
      <c r="Y571" t="n">
        <v>15.78646</v>
      </c>
      <c r="Z571" t="n">
        <v>17.88143</v>
      </c>
      <c r="AA571" t="n">
        <v>1.013685</v>
      </c>
      <c r="AB571" t="n">
        <v>31.50948</v>
      </c>
      <c r="AC571" t="n">
        <v>1.417856</v>
      </c>
      <c r="AD571" t="n">
        <v>34.7369</v>
      </c>
      <c r="AE571" t="n">
        <v>14.47538</v>
      </c>
    </row>
    <row r="572">
      <c r="A572" s="89" t="n">
        <v>35977</v>
      </c>
      <c r="B572" t="n">
        <v>20.65956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14.22248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34.30406</v>
      </c>
      <c r="N572" t="n">
        <v>22.52082</v>
      </c>
      <c r="O572" t="n">
        <v>12.83269</v>
      </c>
      <c r="P572" t="n">
        <v>7.901356</v>
      </c>
      <c r="Q572" t="n">
        <v>12.49437</v>
      </c>
      <c r="R572" t="n">
        <v>20.5465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29.58268</v>
      </c>
      <c r="Y572" t="n">
        <v>16.14965</v>
      </c>
      <c r="Z572" t="n">
        <v>18.25863</v>
      </c>
      <c r="AA572" t="n">
        <v>1.007955</v>
      </c>
      <c r="AB572" t="n">
        <v>32.07583</v>
      </c>
      <c r="AC572" t="n">
        <v>1.511153</v>
      </c>
      <c r="AD572" t="n">
        <v>34.90045</v>
      </c>
      <c r="AE572" t="n">
        <v>14.60594</v>
      </c>
    </row>
    <row r="573">
      <c r="A573" s="89" t="n">
        <v>36008</v>
      </c>
      <c r="B573" t="n">
        <v>20.87529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14.33696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34.56439</v>
      </c>
      <c r="N573" t="n">
        <v>22.89418</v>
      </c>
      <c r="O573" t="n">
        <v>12.58121</v>
      </c>
      <c r="P573" t="n">
        <v>8.079919</v>
      </c>
      <c r="Q573" t="n">
        <v>12.626</v>
      </c>
      <c r="R573" t="n">
        <v>20.8479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29.83918</v>
      </c>
      <c r="Y573" t="n">
        <v>16.40999</v>
      </c>
      <c r="Z573" t="n">
        <v>18.67018</v>
      </c>
      <c r="AA573" t="n">
        <v>0.993524</v>
      </c>
      <c r="AB573" t="n">
        <v>32.28146</v>
      </c>
      <c r="AC573" t="n">
        <v>1.569285</v>
      </c>
      <c r="AD573" t="n">
        <v>35.10717</v>
      </c>
      <c r="AE573" t="n">
        <v>14.72963</v>
      </c>
    </row>
    <row r="574">
      <c r="A574" s="89" t="n">
        <v>36039</v>
      </c>
      <c r="B574" t="n">
        <v>21.01538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14.34129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34.71761</v>
      </c>
      <c r="N574" t="n">
        <v>23.13154</v>
      </c>
      <c r="O574" t="n">
        <v>12.57286</v>
      </c>
      <c r="P574" t="n">
        <v>8.246589</v>
      </c>
      <c r="Q574" t="n">
        <v>12.78166</v>
      </c>
      <c r="R574" t="n">
        <v>21.15269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30.17335</v>
      </c>
      <c r="Y574" t="n">
        <v>16.82302</v>
      </c>
      <c r="Z574" t="n">
        <v>19.01336</v>
      </c>
      <c r="AA574" t="n">
        <v>0.9971866</v>
      </c>
      <c r="AB574" t="n">
        <v>32.20287</v>
      </c>
      <c r="AC574" t="n">
        <v>1.706612</v>
      </c>
      <c r="AD574" t="n">
        <v>35.43013</v>
      </c>
      <c r="AE574" t="n">
        <v>14.85265</v>
      </c>
    </row>
    <row r="575">
      <c r="A575" s="89" t="n">
        <v>36069</v>
      </c>
      <c r="B575" t="n">
        <v>21.12184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14.24599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34.88285</v>
      </c>
      <c r="N575" t="n">
        <v>23.2699</v>
      </c>
      <c r="O575" t="n">
        <v>12.519</v>
      </c>
      <c r="P575" t="n">
        <v>8.376474999999999</v>
      </c>
      <c r="Q575" t="n">
        <v>12.97385</v>
      </c>
      <c r="R575" t="n">
        <v>21.62841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30.43965</v>
      </c>
      <c r="Y575" t="n">
        <v>17.03778</v>
      </c>
      <c r="Z575" t="n">
        <v>19.11622</v>
      </c>
      <c r="AA575" t="n">
        <v>1.106459</v>
      </c>
      <c r="AB575" t="n">
        <v>32.41929</v>
      </c>
      <c r="AC575" t="n">
        <v>1.77298</v>
      </c>
      <c r="AD575" t="n">
        <v>35.76304</v>
      </c>
      <c r="AE575" t="n">
        <v>14.87621</v>
      </c>
    </row>
    <row r="576">
      <c r="A576" s="89" t="n">
        <v>36100</v>
      </c>
      <c r="B576" t="n">
        <v>21.19468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14.23282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34.95134</v>
      </c>
      <c r="N576" t="n">
        <v>23.5286</v>
      </c>
      <c r="O576" t="n">
        <v>12.54263</v>
      </c>
      <c r="P576" t="n">
        <v>8.477225000000001</v>
      </c>
      <c r="Q576" t="n">
        <v>13.17164</v>
      </c>
      <c r="R576" t="n">
        <v>21.9509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30.64303</v>
      </c>
      <c r="Y576" t="n">
        <v>17.04267</v>
      </c>
      <c r="Z576" t="n">
        <v>19.29577</v>
      </c>
      <c r="AA576" t="n">
        <v>1.214591</v>
      </c>
      <c r="AB576" t="n">
        <v>32.5724</v>
      </c>
      <c r="AC576" t="n">
        <v>1.756922</v>
      </c>
      <c r="AD576" t="n">
        <v>36.08433</v>
      </c>
      <c r="AE576" t="n">
        <v>15.02679</v>
      </c>
    </row>
    <row r="577">
      <c r="A577" s="89" t="n">
        <v>36130</v>
      </c>
      <c r="B577" t="n">
        <v>21.31796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14.25682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35.10295</v>
      </c>
      <c r="N577" t="n">
        <v>23.83756</v>
      </c>
      <c r="O577" t="n">
        <v>12.93419</v>
      </c>
      <c r="P577" t="n">
        <v>8.552349</v>
      </c>
      <c r="Q577" t="n">
        <v>13.36471</v>
      </c>
      <c r="R577" t="n">
        <v>22.17666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30.93262</v>
      </c>
      <c r="Y577" t="n">
        <v>17.34285</v>
      </c>
      <c r="Z577" t="n">
        <v>19.88132</v>
      </c>
      <c r="AA577" t="n">
        <v>1.256824</v>
      </c>
      <c r="AB577" t="n">
        <v>32.1797</v>
      </c>
      <c r="AC577" t="n">
        <v>1.83922</v>
      </c>
      <c r="AD577" t="n">
        <v>36.32343</v>
      </c>
      <c r="AE577" t="n">
        <v>15.21242</v>
      </c>
    </row>
    <row r="578">
      <c r="A578" s="89" t="n">
        <v>36161</v>
      </c>
      <c r="B578" t="n">
        <v>21.49446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14.37057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35.1212</v>
      </c>
      <c r="N578" t="n">
        <v>24.15362</v>
      </c>
      <c r="O578" t="n">
        <v>13.39988</v>
      </c>
      <c r="P578" t="n">
        <v>8.667878999999999</v>
      </c>
      <c r="Q578" t="n">
        <v>13.55872</v>
      </c>
      <c r="R578" t="n">
        <v>22.51902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31.22075</v>
      </c>
      <c r="Y578" t="n">
        <v>17.72414</v>
      </c>
      <c r="Z578" t="n">
        <v>20.62853</v>
      </c>
      <c r="AA578" t="n">
        <v>1.33908</v>
      </c>
      <c r="AB578" t="n">
        <v>34.83103</v>
      </c>
      <c r="AC578" t="n">
        <v>1.921589</v>
      </c>
      <c r="AD578" t="n">
        <v>36.55091</v>
      </c>
      <c r="AE578" t="n">
        <v>15.26563</v>
      </c>
    </row>
    <row r="579">
      <c r="A579" s="89" t="n">
        <v>36192</v>
      </c>
      <c r="B579" t="n">
        <v>21.64575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14.56325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35.01522</v>
      </c>
      <c r="N579" t="n">
        <v>24.53649</v>
      </c>
      <c r="O579" t="n">
        <v>13.79843</v>
      </c>
      <c r="P579" t="n">
        <v>8.793066</v>
      </c>
      <c r="Q579" t="n">
        <v>13.74295</v>
      </c>
      <c r="R579" t="n">
        <v>22.75113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31.49392</v>
      </c>
      <c r="Y579" t="n">
        <v>18.05683</v>
      </c>
      <c r="Z579" t="n">
        <v>21.26293</v>
      </c>
      <c r="AA579" t="n">
        <v>1.420597</v>
      </c>
      <c r="AB579" t="n">
        <v>37.86425</v>
      </c>
      <c r="AC579" t="n">
        <v>2.024119</v>
      </c>
      <c r="AD579" t="n">
        <v>36.73937</v>
      </c>
      <c r="AE579" t="n">
        <v>15.07998</v>
      </c>
    </row>
    <row r="580">
      <c r="A580" s="89" t="n">
        <v>36220</v>
      </c>
      <c r="B580" t="n">
        <v>21.81946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14.63431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35.01619</v>
      </c>
      <c r="N580" t="n">
        <v>24.72243</v>
      </c>
      <c r="O580" t="n">
        <v>13.98854</v>
      </c>
      <c r="P580" t="n">
        <v>8.949646</v>
      </c>
      <c r="Q580" t="n">
        <v>13.91555</v>
      </c>
      <c r="R580" t="n">
        <v>23.07887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31.70349</v>
      </c>
      <c r="Y580" t="n">
        <v>18.34523</v>
      </c>
      <c r="Z580" t="n">
        <v>21.69757</v>
      </c>
      <c r="AA580" t="n">
        <v>1.474064</v>
      </c>
      <c r="AB580" t="n">
        <v>37.776</v>
      </c>
      <c r="AC580" t="n">
        <v>2.162853</v>
      </c>
      <c r="AD580" t="n">
        <v>36.79583</v>
      </c>
      <c r="AE580" t="n">
        <v>15.07489</v>
      </c>
    </row>
    <row r="581">
      <c r="A581" s="89" t="n">
        <v>36251</v>
      </c>
      <c r="B581" t="n">
        <v>22.0604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14.70115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35.07263</v>
      </c>
      <c r="N581" t="n">
        <v>24.73622</v>
      </c>
      <c r="O581" t="n">
        <v>14.12927</v>
      </c>
      <c r="P581" t="n">
        <v>9.056244</v>
      </c>
      <c r="Q581" t="n">
        <v>14.08532</v>
      </c>
      <c r="R581" t="n">
        <v>23.53089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31.95406</v>
      </c>
      <c r="Y581" t="n">
        <v>18.62777</v>
      </c>
      <c r="Z581" t="n">
        <v>21.89099</v>
      </c>
      <c r="AA581" t="n">
        <v>1.516542</v>
      </c>
      <c r="AB581" t="n">
        <v>38.03074</v>
      </c>
      <c r="AC581" t="n">
        <v>2.301165</v>
      </c>
      <c r="AD581" t="n">
        <v>37.03326</v>
      </c>
      <c r="AE581" t="n">
        <v>15.32682</v>
      </c>
    </row>
    <row r="582">
      <c r="A582" s="89" t="n">
        <v>36281</v>
      </c>
      <c r="B582" t="n">
        <v>22.30134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14.78389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35.16445</v>
      </c>
      <c r="N582" t="n">
        <v>24.97791</v>
      </c>
      <c r="O582" t="n">
        <v>14.31181</v>
      </c>
      <c r="P582" t="n">
        <v>9.122043</v>
      </c>
      <c r="Q582" t="n">
        <v>14.26329</v>
      </c>
      <c r="R582" t="n">
        <v>23.82329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32.22779</v>
      </c>
      <c r="Y582" t="n">
        <v>18.97983</v>
      </c>
      <c r="Z582" t="n">
        <v>22.07282</v>
      </c>
      <c r="AA582" t="n">
        <v>1.58744</v>
      </c>
      <c r="AB582" t="n">
        <v>39.18481</v>
      </c>
      <c r="AC582" t="n">
        <v>2.457563</v>
      </c>
      <c r="AD582" t="n">
        <v>37.2375</v>
      </c>
      <c r="AE582" t="n">
        <v>15.41033</v>
      </c>
    </row>
    <row r="583">
      <c r="A583" s="89" t="n">
        <v>36312</v>
      </c>
      <c r="B583" t="n">
        <v>22.49746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14.82196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35.2452</v>
      </c>
      <c r="N583" t="n">
        <v>25.17285</v>
      </c>
      <c r="O583" t="n">
        <v>14.2508</v>
      </c>
      <c r="P583" t="n">
        <v>9.221332</v>
      </c>
      <c r="Q583" t="n">
        <v>14.45124</v>
      </c>
      <c r="R583" t="n">
        <v>24.03595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32.48419</v>
      </c>
      <c r="Y583" t="n">
        <v>19.29782</v>
      </c>
      <c r="Z583" t="n">
        <v>22.32683</v>
      </c>
      <c r="AA583" t="n">
        <v>1.675916</v>
      </c>
      <c r="AB583" t="n">
        <v>39.97429</v>
      </c>
      <c r="AC583" t="n">
        <v>2.598006</v>
      </c>
      <c r="AD583" t="n">
        <v>37.41932</v>
      </c>
      <c r="AE583" t="n">
        <v>15.61409</v>
      </c>
    </row>
    <row r="584">
      <c r="A584" s="89" t="n">
        <v>36342</v>
      </c>
      <c r="B584" t="n">
        <v>22.65435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14.8373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35.31699</v>
      </c>
      <c r="N584" t="n">
        <v>25.29454</v>
      </c>
      <c r="O584" t="n">
        <v>14.20318</v>
      </c>
      <c r="P584" t="n">
        <v>9.353161999999999</v>
      </c>
      <c r="Q584" t="n">
        <v>14.64447</v>
      </c>
      <c r="R584" t="n">
        <v>24.42227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32.71854</v>
      </c>
      <c r="Y584" t="n">
        <v>19.52933</v>
      </c>
      <c r="Z584" t="n">
        <v>22.48635</v>
      </c>
      <c r="AA584" t="n">
        <v>1.737838</v>
      </c>
      <c r="AB584" t="n">
        <v>40.1792</v>
      </c>
      <c r="AC584" t="n">
        <v>2.701561</v>
      </c>
      <c r="AD584" t="n">
        <v>37.64596</v>
      </c>
      <c r="AE584" t="n">
        <v>15.79736</v>
      </c>
    </row>
    <row r="585">
      <c r="A585" s="89" t="n">
        <v>36373</v>
      </c>
      <c r="B585" t="n">
        <v>22.78884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14.89211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35.42229</v>
      </c>
      <c r="N585" t="n">
        <v>25.60938</v>
      </c>
      <c r="O585" t="n">
        <v>14.50525</v>
      </c>
      <c r="P585" t="n">
        <v>9.500515</v>
      </c>
      <c r="Q585" t="n">
        <v>14.83462</v>
      </c>
      <c r="R585" t="n">
        <v>24.8702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32.94977</v>
      </c>
      <c r="Y585" t="n">
        <v>19.84969</v>
      </c>
      <c r="Z585" t="n">
        <v>22.67171</v>
      </c>
      <c r="AA585" t="n">
        <v>1.773913</v>
      </c>
      <c r="AB585" t="n">
        <v>40.64315</v>
      </c>
      <c r="AC585" t="n">
        <v>2.845474</v>
      </c>
      <c r="AD585" t="n">
        <v>37.78876</v>
      </c>
      <c r="AE585" t="n">
        <v>15.79071</v>
      </c>
    </row>
    <row r="586">
      <c r="A586" s="89" t="n">
        <v>36404</v>
      </c>
      <c r="B586" t="n">
        <v>22.94293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14.98096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35.42472</v>
      </c>
      <c r="N586" t="n">
        <v>25.90838</v>
      </c>
      <c r="O586" t="n">
        <v>14.88413</v>
      </c>
      <c r="P586" t="n">
        <v>9.623896999999999</v>
      </c>
      <c r="Q586" t="n">
        <v>15.01057</v>
      </c>
      <c r="R586" t="n">
        <v>25.20211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33.15898</v>
      </c>
      <c r="Y586" t="n">
        <v>20.17252</v>
      </c>
      <c r="Z586" t="n">
        <v>23.05414</v>
      </c>
      <c r="AA586" t="n">
        <v>1.83364</v>
      </c>
      <c r="AB586" t="n">
        <v>40.8618</v>
      </c>
      <c r="AC586" t="n">
        <v>3.007553</v>
      </c>
      <c r="AD586" t="n">
        <v>37.92159</v>
      </c>
      <c r="AE586" t="n">
        <v>15.98155</v>
      </c>
    </row>
    <row r="587">
      <c r="A587" s="89" t="n">
        <v>36434</v>
      </c>
      <c r="B587" t="n">
        <v>23.12784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15.0284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35.37805</v>
      </c>
      <c r="N587" t="n">
        <v>26.1248</v>
      </c>
      <c r="O587" t="n">
        <v>14.84825</v>
      </c>
      <c r="P587" t="n">
        <v>9.752648000000001</v>
      </c>
      <c r="Q587" t="n">
        <v>15.17673</v>
      </c>
      <c r="R587" t="n">
        <v>25.52386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33.42725</v>
      </c>
      <c r="Y587" t="n">
        <v>20.51194</v>
      </c>
      <c r="Z587" t="n">
        <v>23.45243</v>
      </c>
      <c r="AA587" t="n">
        <v>1.891346</v>
      </c>
      <c r="AB587" t="n">
        <v>41.27076</v>
      </c>
      <c r="AC587" t="n">
        <v>3.180906</v>
      </c>
      <c r="AD587" t="n">
        <v>38.11918</v>
      </c>
      <c r="AE587" t="n">
        <v>16.26009</v>
      </c>
    </row>
    <row r="588">
      <c r="A588" s="89" t="n">
        <v>36465</v>
      </c>
      <c r="B588" t="n">
        <v>23.31835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15.08511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35.70234</v>
      </c>
      <c r="N588" t="n">
        <v>26.39337</v>
      </c>
      <c r="O588" t="n">
        <v>14.70467</v>
      </c>
      <c r="P588" t="n">
        <v>9.855180000000001</v>
      </c>
      <c r="Q588" t="n">
        <v>15.34073</v>
      </c>
      <c r="R588" t="n">
        <v>25.85019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33.71564</v>
      </c>
      <c r="Y588" t="n">
        <v>21.01713</v>
      </c>
      <c r="Z588" t="n">
        <v>23.88944</v>
      </c>
      <c r="AA588" t="n">
        <v>1.965065</v>
      </c>
      <c r="AB588" t="n">
        <v>41.62099</v>
      </c>
      <c r="AC588" t="n">
        <v>3.397039</v>
      </c>
      <c r="AD588" t="n">
        <v>38.27692</v>
      </c>
      <c r="AE588" t="n">
        <v>16.52212</v>
      </c>
    </row>
    <row r="589">
      <c r="A589" s="89" t="n">
        <v>36495</v>
      </c>
      <c r="B589" t="n">
        <v>23.41081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15.17111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35.99007</v>
      </c>
      <c r="N589" t="n">
        <v>26.85606</v>
      </c>
      <c r="O589" t="n">
        <v>14.74371</v>
      </c>
      <c r="P589" t="n">
        <v>10.04146</v>
      </c>
      <c r="Q589" t="n">
        <v>15.50191</v>
      </c>
      <c r="R589" t="n">
        <v>26.15453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34.03519</v>
      </c>
      <c r="Y589" t="n">
        <v>21.52405</v>
      </c>
      <c r="Z589" t="n">
        <v>24.29217</v>
      </c>
      <c r="AA589" t="n">
        <v>2.070705</v>
      </c>
      <c r="AB589" t="n">
        <v>41.1742</v>
      </c>
      <c r="AC589" t="n">
        <v>3.633562</v>
      </c>
      <c r="AD589" t="n">
        <v>38.50523</v>
      </c>
      <c r="AE589" t="n">
        <v>16.78068</v>
      </c>
    </row>
    <row r="590">
      <c r="A590" s="89" t="n">
        <v>36526</v>
      </c>
      <c r="B590" t="n">
        <v>23.43882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15.33662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35.93199</v>
      </c>
      <c r="N590" t="n">
        <v>27.25714</v>
      </c>
      <c r="O590" t="n">
        <v>14.80523</v>
      </c>
      <c r="P590" t="n">
        <v>10.1776</v>
      </c>
      <c r="Q590" t="n">
        <v>15.6591</v>
      </c>
      <c r="R590" t="n">
        <v>26.58291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34.30423</v>
      </c>
      <c r="Y590" t="n">
        <v>21.91314</v>
      </c>
      <c r="Z590" t="n">
        <v>24.32207</v>
      </c>
      <c r="AA590" t="n">
        <v>2.142438</v>
      </c>
      <c r="AB590" t="n">
        <v>41.58322</v>
      </c>
      <c r="AC590" t="n">
        <v>3.858876</v>
      </c>
      <c r="AD590" t="n">
        <v>38.73935</v>
      </c>
      <c r="AE590" t="n">
        <v>16.80903</v>
      </c>
    </row>
    <row r="591">
      <c r="A591" s="89" t="n">
        <v>36557</v>
      </c>
      <c r="B591" t="n">
        <v>23.51727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15.20106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36.16658</v>
      </c>
      <c r="N591" t="n">
        <v>27.64157</v>
      </c>
      <c r="O591" t="n">
        <v>14.98777</v>
      </c>
      <c r="P591" t="n">
        <v>10.25099</v>
      </c>
      <c r="Q591" t="n">
        <v>15.81323</v>
      </c>
      <c r="R591" t="n">
        <v>27.02077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34.50819</v>
      </c>
      <c r="Y591" t="n">
        <v>22.20734</v>
      </c>
      <c r="Z591" t="n">
        <v>24.3294</v>
      </c>
      <c r="AA591" t="n">
        <v>2.22862</v>
      </c>
      <c r="AB591" t="n">
        <v>42.87687</v>
      </c>
      <c r="AC591" t="n">
        <v>4.045871</v>
      </c>
      <c r="AD591" t="n">
        <v>38.84894</v>
      </c>
      <c r="AE591" t="n">
        <v>16.79705</v>
      </c>
    </row>
    <row r="592">
      <c r="A592" s="89" t="n">
        <v>36586</v>
      </c>
      <c r="B592" t="n">
        <v>23.62934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15.01366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36.82753</v>
      </c>
      <c r="N592" t="n">
        <v>28.24763</v>
      </c>
      <c r="O592" t="n">
        <v>15.15074</v>
      </c>
      <c r="P592" t="n">
        <v>10.35824</v>
      </c>
      <c r="Q592" t="n">
        <v>15.96292</v>
      </c>
      <c r="R592" t="n">
        <v>27.46906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34.78434</v>
      </c>
      <c r="Y592" t="n">
        <v>22.59625</v>
      </c>
      <c r="Z592" t="n">
        <v>24.66117</v>
      </c>
      <c r="AA592" t="n">
        <v>2.350161</v>
      </c>
      <c r="AB592" t="n">
        <v>43.52835</v>
      </c>
      <c r="AC592" t="n">
        <v>4.182989</v>
      </c>
      <c r="AD592" t="n">
        <v>39.10464</v>
      </c>
      <c r="AE592" t="n">
        <v>16.77211</v>
      </c>
    </row>
    <row r="593">
      <c r="A593" s="89" t="n">
        <v>36617</v>
      </c>
      <c r="B593" t="n">
        <v>23.78903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15.07332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37.29132</v>
      </c>
      <c r="N593" t="n">
        <v>28.83681</v>
      </c>
      <c r="O593" t="n">
        <v>15.32567</v>
      </c>
      <c r="P593" t="n">
        <v>10.45477</v>
      </c>
      <c r="Q593" t="n">
        <v>16.10706</v>
      </c>
      <c r="R593" t="n">
        <v>27.84183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35.13895</v>
      </c>
      <c r="Y593" t="n">
        <v>22.9046</v>
      </c>
      <c r="Z593" t="n">
        <v>25.1083</v>
      </c>
      <c r="AA593" t="n">
        <v>2.447946</v>
      </c>
      <c r="AB593" t="n">
        <v>43.80904</v>
      </c>
      <c r="AC593" t="n">
        <v>4.311923</v>
      </c>
      <c r="AD593" t="n">
        <v>39.56873</v>
      </c>
      <c r="AE593" t="n">
        <v>16.78719</v>
      </c>
    </row>
    <row r="594">
      <c r="A594" s="89" t="n">
        <v>36647</v>
      </c>
      <c r="B594" t="n">
        <v>23.97955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15.11663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37.75306</v>
      </c>
      <c r="N594" t="n">
        <v>29.26157</v>
      </c>
      <c r="O594" t="n">
        <v>15.53429</v>
      </c>
      <c r="P594" t="n">
        <v>10.57086</v>
      </c>
      <c r="Q594" t="n">
        <v>16.24347</v>
      </c>
      <c r="R594" t="n">
        <v>28.13534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35.24404</v>
      </c>
      <c r="Y594" t="n">
        <v>23.24371</v>
      </c>
      <c r="Z594" t="n">
        <v>25.4723</v>
      </c>
      <c r="AA594" t="n">
        <v>2.519451</v>
      </c>
      <c r="AB594" t="n">
        <v>43.85705</v>
      </c>
      <c r="AC594" t="n">
        <v>4.472923</v>
      </c>
      <c r="AD594" t="n">
        <v>39.46745</v>
      </c>
      <c r="AE594" t="n">
        <v>16.86239</v>
      </c>
    </row>
    <row r="595">
      <c r="A595" s="89" t="n">
        <v>36678</v>
      </c>
      <c r="B595" t="n">
        <v>24.13924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15.14028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38.31921</v>
      </c>
      <c r="N595" t="n">
        <v>29.55843</v>
      </c>
      <c r="O595" t="n">
        <v>15.67749</v>
      </c>
      <c r="P595" t="n">
        <v>10.70087</v>
      </c>
      <c r="Q595" t="n">
        <v>16.37674</v>
      </c>
      <c r="R595" t="n">
        <v>28.4722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35.47195</v>
      </c>
      <c r="Y595" t="n">
        <v>23.63582</v>
      </c>
      <c r="Z595" t="n">
        <v>26.30262</v>
      </c>
      <c r="AA595" t="n">
        <v>2.604004</v>
      </c>
      <c r="AB595" t="n">
        <v>43.66156</v>
      </c>
      <c r="AC595" t="n">
        <v>4.62368</v>
      </c>
      <c r="AD595" t="n">
        <v>39.61605</v>
      </c>
      <c r="AE595" t="n">
        <v>16.92791</v>
      </c>
    </row>
    <row r="596">
      <c r="A596" s="89" t="n">
        <v>36708</v>
      </c>
      <c r="B596" t="n">
        <v>24.29053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15.24123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38.47601</v>
      </c>
      <c r="N596" t="n">
        <v>29.8429</v>
      </c>
      <c r="O596" t="n">
        <v>15.74661</v>
      </c>
      <c r="P596" t="n">
        <v>10.82681</v>
      </c>
      <c r="Q596" t="n">
        <v>16.5167</v>
      </c>
      <c r="R596" t="n">
        <v>28.79924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35.66853</v>
      </c>
      <c r="Y596" t="n">
        <v>23.83818</v>
      </c>
      <c r="Z596" t="n">
        <v>26.60752</v>
      </c>
      <c r="AA596" t="n">
        <v>2.714358</v>
      </c>
      <c r="AB596" t="n">
        <v>43.49865</v>
      </c>
      <c r="AC596" t="n">
        <v>4.796945</v>
      </c>
      <c r="AD596" t="n">
        <v>39.76217</v>
      </c>
      <c r="AE596" t="n">
        <v>16.90157</v>
      </c>
    </row>
    <row r="597">
      <c r="A597" s="89" t="n">
        <v>36739</v>
      </c>
      <c r="B597" t="n">
        <v>24.46704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15.29619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38.63879</v>
      </c>
      <c r="N597" t="n">
        <v>30.47947</v>
      </c>
      <c r="O597" t="n">
        <v>15.82709</v>
      </c>
      <c r="P597" t="n">
        <v>10.91949</v>
      </c>
      <c r="Q597" t="n">
        <v>16.66068</v>
      </c>
      <c r="R597" t="n">
        <v>29.1166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35.88143</v>
      </c>
      <c r="Y597" t="n">
        <v>23.96667</v>
      </c>
      <c r="Z597" t="n">
        <v>26.25238</v>
      </c>
      <c r="AA597" t="n">
        <v>2.852458</v>
      </c>
      <c r="AB597" t="n">
        <v>43.4716</v>
      </c>
      <c r="AC597" t="n">
        <v>4.900766</v>
      </c>
      <c r="AD597" t="n">
        <v>39.99546</v>
      </c>
      <c r="AE597" t="n">
        <v>16.96478</v>
      </c>
    </row>
    <row r="598">
      <c r="A598" s="89" t="n">
        <v>36770</v>
      </c>
      <c r="B598" t="n">
        <v>24.60432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15.34715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38.77399</v>
      </c>
      <c r="N598" t="n">
        <v>31.28286</v>
      </c>
      <c r="O598" t="n">
        <v>15.87884</v>
      </c>
      <c r="P598" t="n">
        <v>11.04442</v>
      </c>
      <c r="Q598" t="n">
        <v>16.81042</v>
      </c>
      <c r="R598" t="n">
        <v>29.37061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36.11785</v>
      </c>
      <c r="Y598" t="n">
        <v>24.13497</v>
      </c>
      <c r="Z598" t="n">
        <v>26.47404</v>
      </c>
      <c r="AA598" t="n">
        <v>2.98524</v>
      </c>
      <c r="AB598" t="n">
        <v>43.46398</v>
      </c>
      <c r="AC598" t="n">
        <v>4.953609</v>
      </c>
      <c r="AD598" t="n">
        <v>40.29185</v>
      </c>
      <c r="AE598" t="n">
        <v>17.29512</v>
      </c>
    </row>
    <row r="599">
      <c r="A599" s="89" t="n">
        <v>36800</v>
      </c>
      <c r="B599" t="n">
        <v>24.71639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15.54085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38.99004</v>
      </c>
      <c r="N599" t="n">
        <v>31.75614</v>
      </c>
      <c r="O599" t="n">
        <v>16.16258</v>
      </c>
      <c r="P599" t="n">
        <v>11.21075</v>
      </c>
      <c r="Q599" t="n">
        <v>16.98198</v>
      </c>
      <c r="R599" t="n">
        <v>29.66566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36.29464</v>
      </c>
      <c r="Y599" t="n">
        <v>24.3295</v>
      </c>
      <c r="Z599" t="n">
        <v>26.90085</v>
      </c>
      <c r="AA599" t="n">
        <v>3.110444</v>
      </c>
      <c r="AB599" t="n">
        <v>43.27105</v>
      </c>
      <c r="AC599" t="n">
        <v>5.050842</v>
      </c>
      <c r="AD599" t="n">
        <v>40.42468</v>
      </c>
      <c r="AE599" t="n">
        <v>17.51263</v>
      </c>
    </row>
    <row r="600">
      <c r="A600" s="89" t="n">
        <v>36831</v>
      </c>
      <c r="B600" t="n">
        <v>24.62393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15.73139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39.4342</v>
      </c>
      <c r="N600" t="n">
        <v>32.086</v>
      </c>
      <c r="O600" t="n">
        <v>16.52472</v>
      </c>
      <c r="P600" t="n">
        <v>11.44868</v>
      </c>
      <c r="Q600" t="n">
        <v>17.17207</v>
      </c>
      <c r="R600" t="n">
        <v>30.16907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36.45712</v>
      </c>
      <c r="Y600" t="n">
        <v>24.61707</v>
      </c>
      <c r="Z600" t="n">
        <v>27.37924</v>
      </c>
      <c r="AA600" t="n">
        <v>3.227493</v>
      </c>
      <c r="AB600" t="n">
        <v>43.38767</v>
      </c>
      <c r="AC600" t="n">
        <v>5.158082</v>
      </c>
      <c r="AD600" t="n">
        <v>40.51683</v>
      </c>
      <c r="AE600" t="n">
        <v>17.61206</v>
      </c>
    </row>
    <row r="601">
      <c r="A601" s="89" t="n">
        <v>36861</v>
      </c>
      <c r="B601" t="n">
        <v>24.51467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15.79486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39.8361</v>
      </c>
      <c r="N601" t="n">
        <v>32.16827</v>
      </c>
      <c r="O601" t="n">
        <v>16.79229</v>
      </c>
      <c r="P601" t="n">
        <v>11.70729</v>
      </c>
      <c r="Q601" t="n">
        <v>17.35549</v>
      </c>
      <c r="R601" t="n">
        <v>30.67809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36.89209</v>
      </c>
      <c r="Y601" t="n">
        <v>24.86341</v>
      </c>
      <c r="Z601" t="n">
        <v>27.5067</v>
      </c>
      <c r="AA601" t="n">
        <v>3.318488</v>
      </c>
      <c r="AB601" t="n">
        <v>43.33724</v>
      </c>
      <c r="AC601" t="n">
        <v>5.268686</v>
      </c>
      <c r="AD601" t="n">
        <v>40.88794</v>
      </c>
      <c r="AE601" t="n">
        <v>17.87615</v>
      </c>
    </row>
    <row r="602">
      <c r="A602" s="89" t="n">
        <v>36892</v>
      </c>
      <c r="B602" t="n">
        <v>24.70238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15.82276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40.34059</v>
      </c>
      <c r="N602" t="n">
        <v>32.30059</v>
      </c>
      <c r="O602" t="n">
        <v>16.95087</v>
      </c>
      <c r="P602" t="n">
        <v>11.84291</v>
      </c>
      <c r="Q602" t="n">
        <v>17.52728</v>
      </c>
      <c r="R602" t="n">
        <v>31.09717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37.35153</v>
      </c>
      <c r="Y602" t="n">
        <v>25.15333</v>
      </c>
      <c r="Z602" t="n">
        <v>27.60328</v>
      </c>
      <c r="AA602" t="n">
        <v>3.397426</v>
      </c>
      <c r="AB602" t="n">
        <v>43.14142</v>
      </c>
      <c r="AC602" t="n">
        <v>5.389837</v>
      </c>
      <c r="AD602" t="n">
        <v>41.30886</v>
      </c>
      <c r="AE602" t="n">
        <v>18.21088</v>
      </c>
    </row>
    <row r="603">
      <c r="A603" s="89" t="n">
        <v>36923</v>
      </c>
      <c r="B603" t="n">
        <v>24.99095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15.95625</v>
      </c>
      <c r="I603" t="n">
        <v>12.03452</v>
      </c>
      <c r="J603" t="n">
        <v>42.09893</v>
      </c>
      <c r="K603" t="n">
        <v>36.69334</v>
      </c>
      <c r="L603" t="n">
        <v>47.50601</v>
      </c>
      <c r="M603" t="n">
        <v>40.51271</v>
      </c>
      <c r="N603" t="n">
        <v>32.78435</v>
      </c>
      <c r="O603" t="n">
        <v>17.17239</v>
      </c>
      <c r="P603" t="n">
        <v>11.93126</v>
      </c>
      <c r="Q603" t="n">
        <v>17.70635</v>
      </c>
      <c r="R603" t="n">
        <v>31.8405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37.6849</v>
      </c>
      <c r="Y603" t="n">
        <v>25.67378</v>
      </c>
      <c r="Z603" t="n">
        <v>27.94683</v>
      </c>
      <c r="AA603" t="n">
        <v>3.473006</v>
      </c>
      <c r="AB603" t="n">
        <v>42.77682</v>
      </c>
      <c r="AC603" t="n">
        <v>5.858421</v>
      </c>
      <c r="AD603" t="n">
        <v>41.62766</v>
      </c>
      <c r="AE603" t="n">
        <v>18.42743</v>
      </c>
    </row>
    <row r="604">
      <c r="A604" s="89" t="n">
        <v>36951</v>
      </c>
      <c r="B604" t="n">
        <v>25.27953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16.03378</v>
      </c>
      <c r="I604" t="n">
        <v>12.41537</v>
      </c>
      <c r="J604" t="n">
        <v>42.22361</v>
      </c>
      <c r="K604" t="n">
        <v>37.14583</v>
      </c>
      <c r="L604" t="n">
        <v>47.80643</v>
      </c>
      <c r="M604" t="n">
        <v>40.8611</v>
      </c>
      <c r="N604" t="n">
        <v>33.27316</v>
      </c>
      <c r="O604" t="n">
        <v>17.58521</v>
      </c>
      <c r="P604" t="n">
        <v>12.06677</v>
      </c>
      <c r="Q604" t="n">
        <v>17.90319</v>
      </c>
      <c r="R604" t="n">
        <v>32.40323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38.17263</v>
      </c>
      <c r="Y604" t="n">
        <v>26.47127</v>
      </c>
      <c r="Z604" t="n">
        <v>28.32005</v>
      </c>
      <c r="AA604" t="n">
        <v>3.585397</v>
      </c>
      <c r="AB604" t="n">
        <v>42.64083</v>
      </c>
      <c r="AC604" t="n">
        <v>6.641609</v>
      </c>
      <c r="AD604" t="n">
        <v>42.10835</v>
      </c>
      <c r="AE604" t="n">
        <v>18.68355</v>
      </c>
    </row>
    <row r="605">
      <c r="A605" s="89" t="n">
        <v>36982</v>
      </c>
      <c r="B605" t="n">
        <v>25.54008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16.03562</v>
      </c>
      <c r="I605" t="n">
        <v>12.47053</v>
      </c>
      <c r="J605" t="n">
        <v>42.64311</v>
      </c>
      <c r="K605" t="n">
        <v>37.22532</v>
      </c>
      <c r="L605" t="n">
        <v>48.22163</v>
      </c>
      <c r="M605" t="n">
        <v>41.39331</v>
      </c>
      <c r="N605" t="n">
        <v>33.70138</v>
      </c>
      <c r="O605" t="n">
        <v>18.05528</v>
      </c>
      <c r="P605" t="n">
        <v>12.22381</v>
      </c>
      <c r="Q605" t="n">
        <v>18.10699</v>
      </c>
      <c r="R605" t="n">
        <v>32.52715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38.63897</v>
      </c>
      <c r="Y605" t="n">
        <v>27.15695</v>
      </c>
      <c r="Z605" t="n">
        <v>28.68064</v>
      </c>
      <c r="AA605" t="n">
        <v>3.691728</v>
      </c>
      <c r="AB605" t="n">
        <v>43.09443</v>
      </c>
      <c r="AC605" t="n">
        <v>7.212993</v>
      </c>
      <c r="AD605" t="n">
        <v>42.63885</v>
      </c>
      <c r="AE605" t="n">
        <v>18.89666</v>
      </c>
    </row>
    <row r="606">
      <c r="A606" s="89" t="n">
        <v>37012</v>
      </c>
      <c r="B606" t="n">
        <v>25.82025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16.11858</v>
      </c>
      <c r="I606" t="n">
        <v>12.50014</v>
      </c>
      <c r="J606" t="n">
        <v>43.69921</v>
      </c>
      <c r="K606" t="n">
        <v>37.1704</v>
      </c>
      <c r="L606" t="n">
        <v>48.61637</v>
      </c>
      <c r="M606" t="n">
        <v>41.46114</v>
      </c>
      <c r="N606" t="n">
        <v>34.19304</v>
      </c>
      <c r="O606" t="n">
        <v>18.21256</v>
      </c>
      <c r="P606" t="n">
        <v>12.41516</v>
      </c>
      <c r="Q606" t="n">
        <v>18.31321</v>
      </c>
      <c r="R606" t="n">
        <v>32.82201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38.81749</v>
      </c>
      <c r="Y606" t="n">
        <v>27.54985</v>
      </c>
      <c r="Z606" t="n">
        <v>28.87013</v>
      </c>
      <c r="AA606" t="n">
        <v>3.785321</v>
      </c>
      <c r="AB606" t="n">
        <v>43.39737</v>
      </c>
      <c r="AC606" t="n">
        <v>7.556115</v>
      </c>
      <c r="AD606" t="n">
        <v>42.61478</v>
      </c>
      <c r="AE606" t="n">
        <v>19.06471</v>
      </c>
    </row>
    <row r="607">
      <c r="A607" s="89" t="n">
        <v>37043</v>
      </c>
      <c r="B607" t="n">
        <v>26.11443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16.26774</v>
      </c>
      <c r="I607" t="n">
        <v>12.60956</v>
      </c>
      <c r="J607" t="n">
        <v>44.39595</v>
      </c>
      <c r="K607" t="n">
        <v>37.57505</v>
      </c>
      <c r="L607" t="n">
        <v>48.9962</v>
      </c>
      <c r="M607" t="n">
        <v>41.5676</v>
      </c>
      <c r="N607" t="n">
        <v>34.52384</v>
      </c>
      <c r="O607" t="n">
        <v>18.19463</v>
      </c>
      <c r="P607" t="n">
        <v>12.59801</v>
      </c>
      <c r="Q607" t="n">
        <v>18.52725</v>
      </c>
      <c r="R607" t="n">
        <v>33.18924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39.15277</v>
      </c>
      <c r="Y607" t="n">
        <v>27.98258</v>
      </c>
      <c r="Z607" t="n">
        <v>29.0166</v>
      </c>
      <c r="AA607" t="n">
        <v>3.885535</v>
      </c>
      <c r="AB607" t="n">
        <v>44.47362</v>
      </c>
      <c r="AC607" t="n">
        <v>7.915514</v>
      </c>
      <c r="AD607" t="n">
        <v>42.95102</v>
      </c>
      <c r="AE607" t="n">
        <v>19.31936</v>
      </c>
    </row>
    <row r="608">
      <c r="A608" s="89" t="n">
        <v>37073</v>
      </c>
      <c r="B608" t="n">
        <v>26.20408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16.37709</v>
      </c>
      <c r="I608" t="n">
        <v>12.68941</v>
      </c>
      <c r="J608" t="n">
        <v>44.63211</v>
      </c>
      <c r="K608" t="n">
        <v>37.82822</v>
      </c>
      <c r="L608" t="n">
        <v>49.16439</v>
      </c>
      <c r="M608" t="n">
        <v>41.96082</v>
      </c>
      <c r="N608" t="n">
        <v>34.71345</v>
      </c>
      <c r="O608" t="n">
        <v>18.00674</v>
      </c>
      <c r="P608" t="n">
        <v>12.73767</v>
      </c>
      <c r="Q608" t="n">
        <v>18.74914</v>
      </c>
      <c r="R608" t="n">
        <v>33.43453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39.42885</v>
      </c>
      <c r="Y608" t="n">
        <v>28.37138</v>
      </c>
      <c r="Z608" t="n">
        <v>29.33099</v>
      </c>
      <c r="AA608" t="n">
        <v>3.97285</v>
      </c>
      <c r="AB608" t="n">
        <v>44.76649</v>
      </c>
      <c r="AC608" t="n">
        <v>8.193991</v>
      </c>
      <c r="AD608" t="n">
        <v>43.19925</v>
      </c>
      <c r="AE608" t="n">
        <v>19.63998</v>
      </c>
    </row>
    <row r="609">
      <c r="A609" s="89" t="n">
        <v>37104</v>
      </c>
      <c r="B609" t="n">
        <v>26.36658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16.50529</v>
      </c>
      <c r="I609" t="n">
        <v>12.82344</v>
      </c>
      <c r="J609" t="n">
        <v>45.12789</v>
      </c>
      <c r="K609" t="n">
        <v>38.18191</v>
      </c>
      <c r="L609" t="n">
        <v>49.14432</v>
      </c>
      <c r="M609" t="n">
        <v>42.4596</v>
      </c>
      <c r="N609" t="n">
        <v>35.27348</v>
      </c>
      <c r="O609" t="n">
        <v>17.81949</v>
      </c>
      <c r="P609" t="n">
        <v>12.86392</v>
      </c>
      <c r="Q609" t="n">
        <v>18.98635</v>
      </c>
      <c r="R609" t="n">
        <v>33.69766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39.78669</v>
      </c>
      <c r="Y609" t="n">
        <v>28.94169</v>
      </c>
      <c r="Z609" t="n">
        <v>29.75009</v>
      </c>
      <c r="AA609" t="n">
        <v>4.085084</v>
      </c>
      <c r="AB609" t="n">
        <v>44.34686</v>
      </c>
      <c r="AC609" t="n">
        <v>8.651270999999999</v>
      </c>
      <c r="AD609" t="n">
        <v>43.47986</v>
      </c>
      <c r="AE609" t="n">
        <v>20.06903</v>
      </c>
    </row>
    <row r="610">
      <c r="A610" s="89" t="n">
        <v>37135</v>
      </c>
      <c r="B610" t="n">
        <v>26.76441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16.64548</v>
      </c>
      <c r="I610" t="n">
        <v>13.32555</v>
      </c>
      <c r="J610" t="n">
        <v>45.18363</v>
      </c>
      <c r="K610" t="n">
        <v>38.84314</v>
      </c>
      <c r="L610" t="n">
        <v>49.39537</v>
      </c>
      <c r="M610" t="n">
        <v>42.75971</v>
      </c>
      <c r="N610" t="n">
        <v>35.87106</v>
      </c>
      <c r="O610" t="n">
        <v>18.04943</v>
      </c>
      <c r="P610" t="n">
        <v>12.97775</v>
      </c>
      <c r="Q610" t="n">
        <v>19.23208</v>
      </c>
      <c r="R610" t="n">
        <v>34.18702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40.50047</v>
      </c>
      <c r="Y610" t="n">
        <v>29.65342</v>
      </c>
      <c r="Z610" t="n">
        <v>30.04326</v>
      </c>
      <c r="AA610" t="n">
        <v>4.218205</v>
      </c>
      <c r="AB610" t="n">
        <v>45.01808</v>
      </c>
      <c r="AC610" t="n">
        <v>9.299973</v>
      </c>
      <c r="AD610" t="n">
        <v>44.40306</v>
      </c>
      <c r="AE610" t="n">
        <v>20.20994</v>
      </c>
    </row>
    <row r="611">
      <c r="A611" s="89" t="n">
        <v>37165</v>
      </c>
      <c r="B611" t="n">
        <v>27.15665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16.89522</v>
      </c>
      <c r="I611" t="n">
        <v>13.83937</v>
      </c>
      <c r="J611" t="n">
        <v>45.07508</v>
      </c>
      <c r="K611" t="n">
        <v>39.073</v>
      </c>
      <c r="L611" t="n">
        <v>49.76244</v>
      </c>
      <c r="M611" t="n">
        <v>43.10547</v>
      </c>
      <c r="N611" t="n">
        <v>36.38918</v>
      </c>
      <c r="O611" t="n">
        <v>18.43945</v>
      </c>
      <c r="P611" t="n">
        <v>13.08113</v>
      </c>
      <c r="Q611" t="n">
        <v>19.45749</v>
      </c>
      <c r="R611" t="n">
        <v>34.579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40.68135</v>
      </c>
      <c r="Y611" t="n">
        <v>30.158</v>
      </c>
      <c r="Z611" t="n">
        <v>30.26114</v>
      </c>
      <c r="AA611" t="n">
        <v>4.347397</v>
      </c>
      <c r="AB611" t="n">
        <v>45.61308</v>
      </c>
      <c r="AC611" t="n">
        <v>9.709228</v>
      </c>
      <c r="AD611" t="n">
        <v>44.30924</v>
      </c>
      <c r="AE611" t="n">
        <v>20.20008</v>
      </c>
    </row>
    <row r="612">
      <c r="A612" s="89" t="n">
        <v>37196</v>
      </c>
      <c r="B612" t="n">
        <v>27.52087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17.08312</v>
      </c>
      <c r="I612" t="n">
        <v>14.12193</v>
      </c>
      <c r="J612" t="n">
        <v>45.54887</v>
      </c>
      <c r="K612" t="n">
        <v>39.37552</v>
      </c>
      <c r="L612" t="n">
        <v>50.14284</v>
      </c>
      <c r="M612" t="n">
        <v>43.5299</v>
      </c>
      <c r="N612" t="n">
        <v>36.70445</v>
      </c>
      <c r="O612" t="n">
        <v>18.80783</v>
      </c>
      <c r="P612" t="n">
        <v>13.23063</v>
      </c>
      <c r="Q612" t="n">
        <v>19.65967</v>
      </c>
      <c r="R612" t="n">
        <v>34.74297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40.97754</v>
      </c>
      <c r="Y612" t="n">
        <v>30.39603</v>
      </c>
      <c r="Z612" t="n">
        <v>30.09591</v>
      </c>
      <c r="AA612" t="n">
        <v>4.489439</v>
      </c>
      <c r="AB612" t="n">
        <v>45.84876</v>
      </c>
      <c r="AC612" t="n">
        <v>9.810295</v>
      </c>
      <c r="AD612" t="n">
        <v>44.67205</v>
      </c>
      <c r="AE612" t="n">
        <v>20.48094</v>
      </c>
    </row>
    <row r="613">
      <c r="A613" s="89" t="n">
        <v>37226</v>
      </c>
      <c r="B613" t="n">
        <v>27.80664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17.13858</v>
      </c>
      <c r="I613" t="n">
        <v>14.4059</v>
      </c>
      <c r="J613" t="n">
        <v>46.36295</v>
      </c>
      <c r="K613" t="n">
        <v>38.89782</v>
      </c>
      <c r="L613" t="n">
        <v>50.88321</v>
      </c>
      <c r="M613" t="n">
        <v>43.70447</v>
      </c>
      <c r="N613" t="n">
        <v>37.13822</v>
      </c>
      <c r="O613" t="n">
        <v>19.00094</v>
      </c>
      <c r="P613" t="n">
        <v>13.40002</v>
      </c>
      <c r="Q613" t="n">
        <v>19.863</v>
      </c>
      <c r="R613" t="n">
        <v>34.85701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41.2159</v>
      </c>
      <c r="Y613" t="n">
        <v>30.43776</v>
      </c>
      <c r="Z613" t="n">
        <v>29.9631</v>
      </c>
      <c r="AA613" t="n">
        <v>4.58225</v>
      </c>
      <c r="AB613" t="n">
        <v>44.45295</v>
      </c>
      <c r="AC613" t="n">
        <v>9.840127000000001</v>
      </c>
      <c r="AD613" t="n">
        <v>45.11206</v>
      </c>
      <c r="AE613" t="n">
        <v>20.87074</v>
      </c>
    </row>
    <row r="614">
      <c r="A614" s="89" t="n">
        <v>37257</v>
      </c>
      <c r="B614" t="n">
        <v>28.0728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17.14338</v>
      </c>
      <c r="I614" t="n">
        <v>14.61114</v>
      </c>
      <c r="J614" t="n">
        <v>43.05083</v>
      </c>
      <c r="K614" t="n">
        <v>37.96696</v>
      </c>
      <c r="L614" t="n">
        <v>51.29074</v>
      </c>
      <c r="M614" t="n">
        <v>43.44427</v>
      </c>
      <c r="N614" t="n">
        <v>37.61102</v>
      </c>
      <c r="O614" t="n">
        <v>19.16421</v>
      </c>
      <c r="P614" t="n">
        <v>13.51709</v>
      </c>
      <c r="Q614" t="n">
        <v>20.07222</v>
      </c>
      <c r="R614" t="n">
        <v>34.70692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41.2328</v>
      </c>
      <c r="Y614" t="n">
        <v>30.08824</v>
      </c>
      <c r="Z614" t="n">
        <v>30.11077</v>
      </c>
      <c r="AA614" t="n">
        <v>4.626133</v>
      </c>
      <c r="AB614" t="n">
        <v>43.03252</v>
      </c>
      <c r="AC614" t="n">
        <v>9.646126000000001</v>
      </c>
      <c r="AD614" t="n">
        <v>45.28059</v>
      </c>
      <c r="AE614" t="n">
        <v>21.56528</v>
      </c>
    </row>
    <row r="615">
      <c r="A615" s="89" t="n">
        <v>37288</v>
      </c>
      <c r="B615" t="n">
        <v>28.29133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17.14563</v>
      </c>
      <c r="I615" t="n">
        <v>14.82305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37.22915</v>
      </c>
      <c r="O615" t="n">
        <v>19.25138</v>
      </c>
      <c r="P615" t="n">
        <v>13.6293</v>
      </c>
      <c r="Q615" t="n">
        <v>20.27951</v>
      </c>
      <c r="R615" t="n">
        <v>34.48629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41.37038</v>
      </c>
      <c r="Y615" t="n">
        <v>29.96478</v>
      </c>
      <c r="Z615" t="n">
        <v>30.14452</v>
      </c>
      <c r="AA615" t="n">
        <v>4.685274</v>
      </c>
      <c r="AB615" t="n">
        <v>42.95807</v>
      </c>
      <c r="AC615" t="n">
        <v>9.743899000000001</v>
      </c>
      <c r="AD615" t="n">
        <v>45.52384</v>
      </c>
      <c r="AE615" t="n">
        <v>22.21115</v>
      </c>
    </row>
    <row r="616">
      <c r="A616" s="89" t="n">
        <v>37316</v>
      </c>
      <c r="B616" t="n">
        <v>28.54348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17.25204</v>
      </c>
      <c r="I616" t="n">
        <v>15.02411</v>
      </c>
      <c r="J616" t="n">
        <v>39.22802</v>
      </c>
      <c r="K616" t="n">
        <v>37.69255</v>
      </c>
      <c r="L616" t="n">
        <v>51.39721</v>
      </c>
      <c r="M616" t="n">
        <v>43.54476</v>
      </c>
      <c r="N616" t="n">
        <v>36.79562</v>
      </c>
      <c r="O616" t="n">
        <v>19.26405</v>
      </c>
      <c r="P616" t="n">
        <v>13.76843</v>
      </c>
      <c r="Q616" t="n">
        <v>20.49522</v>
      </c>
      <c r="R616" t="n">
        <v>34.58804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41.55078</v>
      </c>
      <c r="Y616" t="n">
        <v>30.18804</v>
      </c>
      <c r="Z616" t="n">
        <v>29.91855</v>
      </c>
      <c r="AA616" t="n">
        <v>4.741384</v>
      </c>
      <c r="AB616" t="n">
        <v>43.35147</v>
      </c>
      <c r="AC616" t="n">
        <v>10.06746</v>
      </c>
      <c r="AD616" t="n">
        <v>45.62181</v>
      </c>
      <c r="AE616" t="n">
        <v>22.4705</v>
      </c>
    </row>
    <row r="617">
      <c r="A617" s="89" t="n">
        <v>37347</v>
      </c>
      <c r="B617" t="n">
        <v>28.37258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17.41848</v>
      </c>
      <c r="I617" t="n">
        <v>15.15088</v>
      </c>
      <c r="J617" t="n">
        <v>39.3511</v>
      </c>
      <c r="K617" t="n">
        <v>37.92851</v>
      </c>
      <c r="L617" t="n">
        <v>51.7527</v>
      </c>
      <c r="M617" t="n">
        <v>43.66652</v>
      </c>
      <c r="N617" t="n">
        <v>37.14535</v>
      </c>
      <c r="O617" t="n">
        <v>19.22424</v>
      </c>
      <c r="P617" t="n">
        <v>13.94097</v>
      </c>
      <c r="Q617" t="n">
        <v>20.7202</v>
      </c>
      <c r="R617" t="n">
        <v>34.93269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41.64258</v>
      </c>
      <c r="Y617" t="n">
        <v>30.32133</v>
      </c>
      <c r="Z617" t="n">
        <v>29.65802</v>
      </c>
      <c r="AA617" t="n">
        <v>4.823774</v>
      </c>
      <c r="AB617" t="n">
        <v>44.17275</v>
      </c>
      <c r="AC617" t="n">
        <v>10.1795</v>
      </c>
      <c r="AD617" t="n">
        <v>45.62347</v>
      </c>
      <c r="AE617" t="n">
        <v>22.73349</v>
      </c>
    </row>
    <row r="618">
      <c r="A618" s="89" t="n">
        <v>37377</v>
      </c>
      <c r="B618" t="n">
        <v>28.10081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17.58136</v>
      </c>
      <c r="I618" t="n">
        <v>15.33922</v>
      </c>
      <c r="J618" t="n">
        <v>39.91948</v>
      </c>
      <c r="K618" t="n">
        <v>38.17521</v>
      </c>
      <c r="L618" t="n">
        <v>52.13582</v>
      </c>
      <c r="M618" t="n">
        <v>43.86567</v>
      </c>
      <c r="N618" t="n">
        <v>37.55087</v>
      </c>
      <c r="O618" t="n">
        <v>19.1845</v>
      </c>
      <c r="P618" t="n">
        <v>14.35914</v>
      </c>
      <c r="Q618" t="n">
        <v>20.94656</v>
      </c>
      <c r="R618" t="n">
        <v>35.26976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41.8484</v>
      </c>
      <c r="Y618" t="n">
        <v>30.64669</v>
      </c>
      <c r="Z618" t="n">
        <v>29.83765</v>
      </c>
      <c r="AA618" t="n">
        <v>4.959793</v>
      </c>
      <c r="AB618" t="n">
        <v>44.46016</v>
      </c>
      <c r="AC618" t="n">
        <v>10.56251</v>
      </c>
      <c r="AD618" t="n">
        <v>45.84015</v>
      </c>
      <c r="AE618" t="n">
        <v>23.25072</v>
      </c>
    </row>
    <row r="619">
      <c r="A619" s="89" t="n">
        <v>37408</v>
      </c>
      <c r="B619" t="n">
        <v>27.98875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17.6274</v>
      </c>
      <c r="I619" t="n">
        <v>15.39474</v>
      </c>
      <c r="J619" t="n">
        <v>39.55446</v>
      </c>
      <c r="K619" t="n">
        <v>38.42575</v>
      </c>
      <c r="L619" t="n">
        <v>52.43296</v>
      </c>
      <c r="M619" t="n">
        <v>43.99327</v>
      </c>
      <c r="N619" t="n">
        <v>37.65265</v>
      </c>
      <c r="O619" t="n">
        <v>19.24552</v>
      </c>
      <c r="P619" t="n">
        <v>14.70696</v>
      </c>
      <c r="Q619" t="n">
        <v>21.18389</v>
      </c>
      <c r="R619" t="n">
        <v>35.429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42.05946</v>
      </c>
      <c r="Y619" t="n">
        <v>31.00048</v>
      </c>
      <c r="Z619" t="n">
        <v>30.00146</v>
      </c>
      <c r="AA619" t="n">
        <v>5.116888</v>
      </c>
      <c r="AB619" t="n">
        <v>44.82401</v>
      </c>
      <c r="AC619" t="n">
        <v>11.05595</v>
      </c>
      <c r="AD619" t="n">
        <v>46.04771</v>
      </c>
      <c r="AE619" t="n">
        <v>23.46189</v>
      </c>
    </row>
    <row r="620">
      <c r="A620" s="89" t="n">
        <v>37438</v>
      </c>
      <c r="B620" t="n">
        <v>28.084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17.72617</v>
      </c>
      <c r="I620" t="n">
        <v>15.51408</v>
      </c>
      <c r="J620" t="n">
        <v>39.25058</v>
      </c>
      <c r="K620" t="n">
        <v>38.91029</v>
      </c>
      <c r="L620" t="n">
        <v>52.49494</v>
      </c>
      <c r="M620" t="n">
        <v>43.96651</v>
      </c>
      <c r="N620" t="n">
        <v>37.86114</v>
      </c>
      <c r="O620" t="n">
        <v>19.48093</v>
      </c>
      <c r="P620" t="n">
        <v>14.81467</v>
      </c>
      <c r="Q620" t="n">
        <v>21.42385</v>
      </c>
      <c r="R620" t="n">
        <v>35.24886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42.36749</v>
      </c>
      <c r="Y620" t="n">
        <v>31.37121</v>
      </c>
      <c r="Z620" t="n">
        <v>30.06733</v>
      </c>
      <c r="AA620" t="n">
        <v>5.229802</v>
      </c>
      <c r="AB620" t="n">
        <v>45.34597</v>
      </c>
      <c r="AC620" t="n">
        <v>11.63259</v>
      </c>
      <c r="AD620" t="n">
        <v>46.40138</v>
      </c>
      <c r="AE620" t="n">
        <v>23.42544</v>
      </c>
    </row>
    <row r="621">
      <c r="A621" s="89" t="n">
        <v>37469</v>
      </c>
      <c r="B621" t="n">
        <v>28.55749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17.87833</v>
      </c>
      <c r="I621" t="n">
        <v>15.91788</v>
      </c>
      <c r="J621" t="n">
        <v>39.98293</v>
      </c>
      <c r="K621" t="n">
        <v>39.31642</v>
      </c>
      <c r="L621" t="n">
        <v>52.52822</v>
      </c>
      <c r="M621" t="n">
        <v>44.24301</v>
      </c>
      <c r="N621" t="n">
        <v>38.40352</v>
      </c>
      <c r="O621" t="n">
        <v>19.75081</v>
      </c>
      <c r="P621" t="n">
        <v>14.97889</v>
      </c>
      <c r="Q621" t="n">
        <v>21.64597</v>
      </c>
      <c r="R621" t="n">
        <v>35.26358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42.6688</v>
      </c>
      <c r="Y621" t="n">
        <v>31.68518</v>
      </c>
      <c r="Z621" t="n">
        <v>30.10386</v>
      </c>
      <c r="AA621" t="n">
        <v>5.33934</v>
      </c>
      <c r="AB621" t="n">
        <v>46.31201</v>
      </c>
      <c r="AC621" t="n">
        <v>11.87934</v>
      </c>
      <c r="AD621" t="n">
        <v>46.75422</v>
      </c>
      <c r="AE621" t="n">
        <v>23.71424</v>
      </c>
    </row>
    <row r="622">
      <c r="A622" s="89" t="n">
        <v>37500</v>
      </c>
      <c r="B622" t="n">
        <v>28.82925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18.05277</v>
      </c>
      <c r="I622" t="n">
        <v>16.32835</v>
      </c>
      <c r="J622" t="n">
        <v>40.28891</v>
      </c>
      <c r="K622" t="n">
        <v>39.81149</v>
      </c>
      <c r="L622" t="n">
        <v>52.81079</v>
      </c>
      <c r="M622" t="n">
        <v>44.66985</v>
      </c>
      <c r="N622" t="n">
        <v>38.71</v>
      </c>
      <c r="O622" t="n">
        <v>19.89742</v>
      </c>
      <c r="P622" t="n">
        <v>15.12812</v>
      </c>
      <c r="Q622" t="n">
        <v>21.85909</v>
      </c>
      <c r="R622" t="n">
        <v>35.64092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42.85281</v>
      </c>
      <c r="Y622" t="n">
        <v>31.83242</v>
      </c>
      <c r="Z622" t="n">
        <v>29.9701</v>
      </c>
      <c r="AA622" t="n">
        <v>5.494407</v>
      </c>
      <c r="AB622" t="n">
        <v>46.52808</v>
      </c>
      <c r="AC622" t="n">
        <v>11.87021</v>
      </c>
      <c r="AD622" t="n">
        <v>46.95679</v>
      </c>
      <c r="AE622" t="n">
        <v>23.86351</v>
      </c>
    </row>
    <row r="623">
      <c r="A623" s="89" t="n">
        <v>37530</v>
      </c>
      <c r="B623" t="n">
        <v>29.00295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18.20345</v>
      </c>
      <c r="I623" t="n">
        <v>16.69778</v>
      </c>
      <c r="J623" t="n">
        <v>40.7126</v>
      </c>
      <c r="K623" t="n">
        <v>40.35091</v>
      </c>
      <c r="L623" t="n">
        <v>53.12784</v>
      </c>
      <c r="M623" t="n">
        <v>45.03983</v>
      </c>
      <c r="N623" t="n">
        <v>39.1168</v>
      </c>
      <c r="O623" t="n">
        <v>19.90388</v>
      </c>
      <c r="P623" t="n">
        <v>15.26559</v>
      </c>
      <c r="Q623" t="n">
        <v>22.08961</v>
      </c>
      <c r="R623" t="n">
        <v>35.90813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43.11503</v>
      </c>
      <c r="Y623" t="n">
        <v>32.04509</v>
      </c>
      <c r="Z623" t="n">
        <v>29.83474</v>
      </c>
      <c r="AA623" t="n">
        <v>5.633698</v>
      </c>
      <c r="AB623" t="n">
        <v>46.15462</v>
      </c>
      <c r="AC623" t="n">
        <v>12.01448</v>
      </c>
      <c r="AD623" t="n">
        <v>47.3254</v>
      </c>
      <c r="AE623" t="n">
        <v>24.15258</v>
      </c>
    </row>
    <row r="624">
      <c r="A624" s="89" t="n">
        <v>37561</v>
      </c>
      <c r="B624" t="n">
        <v>29.28872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18.30544</v>
      </c>
      <c r="I624" t="n">
        <v>17.01289</v>
      </c>
      <c r="J624" t="n">
        <v>41.34471</v>
      </c>
      <c r="K624" t="n">
        <v>41.04187</v>
      </c>
      <c r="L624" t="n">
        <v>53.56094</v>
      </c>
      <c r="M624" t="n">
        <v>45.33238</v>
      </c>
      <c r="N624" t="n">
        <v>39.9598</v>
      </c>
      <c r="O624" t="n">
        <v>19.9094</v>
      </c>
      <c r="P624" t="n">
        <v>15.42774</v>
      </c>
      <c r="Q624" t="n">
        <v>22.36234</v>
      </c>
      <c r="R624" t="n">
        <v>36.04206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43.45727</v>
      </c>
      <c r="Y624" t="n">
        <v>32.2366</v>
      </c>
      <c r="Z624" t="n">
        <v>29.79882</v>
      </c>
      <c r="AA624" t="n">
        <v>5.776512</v>
      </c>
      <c r="AB624" t="n">
        <v>46.08729</v>
      </c>
      <c r="AC624" t="n">
        <v>12.05636</v>
      </c>
      <c r="AD624" t="n">
        <v>47.74217</v>
      </c>
      <c r="AE624" t="n">
        <v>24.61349</v>
      </c>
    </row>
    <row r="625">
      <c r="A625" s="89" t="n">
        <v>37591</v>
      </c>
      <c r="B625" t="n">
        <v>29.63053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18.48118</v>
      </c>
      <c r="I625" t="n">
        <v>17.25681</v>
      </c>
      <c r="J625" t="n">
        <v>41.41206</v>
      </c>
      <c r="K625" t="n">
        <v>42.05749</v>
      </c>
      <c r="L625" t="n">
        <v>54.33383</v>
      </c>
      <c r="M625" t="n">
        <v>45.44625</v>
      </c>
      <c r="N625" t="n">
        <v>40.74359</v>
      </c>
      <c r="O625" t="n">
        <v>19.9397</v>
      </c>
      <c r="P625" t="n">
        <v>15.57108</v>
      </c>
      <c r="Q625" t="n">
        <v>22.68001</v>
      </c>
      <c r="R625" t="n">
        <v>36.36617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43.65303</v>
      </c>
      <c r="Y625" t="n">
        <v>32.45815</v>
      </c>
      <c r="Z625" t="n">
        <v>29.822</v>
      </c>
      <c r="AA625" t="n">
        <v>5.940103</v>
      </c>
      <c r="AB625" t="n">
        <v>46.08027</v>
      </c>
      <c r="AC625" t="n">
        <v>12.24594</v>
      </c>
      <c r="AD625" t="n">
        <v>47.91983</v>
      </c>
      <c r="AE625" t="n">
        <v>24.82865</v>
      </c>
    </row>
    <row r="626">
      <c r="A626" s="89" t="n">
        <v>37622</v>
      </c>
      <c r="B626" t="n">
        <v>29.94992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18.67061</v>
      </c>
      <c r="I626" t="n">
        <v>17.63545</v>
      </c>
      <c r="J626" t="n">
        <v>41.43931</v>
      </c>
      <c r="K626" t="n">
        <v>43.41941</v>
      </c>
      <c r="L626" t="n">
        <v>54.76493</v>
      </c>
      <c r="M626" t="n">
        <v>45.36909</v>
      </c>
      <c r="N626" t="n">
        <v>41.50998</v>
      </c>
      <c r="O626" t="n">
        <v>19.98559</v>
      </c>
      <c r="P626" t="n">
        <v>15.69335</v>
      </c>
      <c r="Q626" t="n">
        <v>22.99959</v>
      </c>
      <c r="R626" t="n">
        <v>36.8114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43.88906</v>
      </c>
      <c r="Y626" t="n">
        <v>32.75072</v>
      </c>
      <c r="Z626" t="n">
        <v>29.90573</v>
      </c>
      <c r="AA626" t="n">
        <v>6.11818</v>
      </c>
      <c r="AB626" t="n">
        <v>46.36288</v>
      </c>
      <c r="AC626" t="n">
        <v>12.61259</v>
      </c>
      <c r="AD626" t="n">
        <v>48.19048</v>
      </c>
      <c r="AE626" t="n">
        <v>25.11056</v>
      </c>
    </row>
    <row r="627">
      <c r="A627" s="89" t="n">
        <v>37653</v>
      </c>
      <c r="B627" t="n">
        <v>30.20487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18.89328</v>
      </c>
      <c r="I627" t="n">
        <v>18.00921</v>
      </c>
      <c r="J627" t="n">
        <v>41.54031</v>
      </c>
      <c r="K627" t="n">
        <v>44.778</v>
      </c>
      <c r="L627" t="n">
        <v>54.94232</v>
      </c>
      <c r="M627" t="n">
        <v>45.65673</v>
      </c>
      <c r="N627" t="n">
        <v>41.99254</v>
      </c>
      <c r="O627" t="n">
        <v>20.18415</v>
      </c>
      <c r="P627" t="n">
        <v>15.80506</v>
      </c>
      <c r="Q627" t="n">
        <v>23.30667</v>
      </c>
      <c r="R627" t="n">
        <v>37.20923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44.13589</v>
      </c>
      <c r="Y627" t="n">
        <v>33.0526</v>
      </c>
      <c r="Z627" t="n">
        <v>30.04069</v>
      </c>
      <c r="AA627" t="n">
        <v>6.272846</v>
      </c>
      <c r="AB627" t="n">
        <v>46.68241</v>
      </c>
      <c r="AC627" t="n">
        <v>12.84485</v>
      </c>
      <c r="AD627" t="n">
        <v>48.49019</v>
      </c>
      <c r="AE627" t="n">
        <v>25.39422</v>
      </c>
    </row>
    <row r="628">
      <c r="A628" s="89" t="n">
        <v>37681</v>
      </c>
      <c r="B628" t="n">
        <v>30.49064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19.11164</v>
      </c>
      <c r="I628" t="n">
        <v>18.27651</v>
      </c>
      <c r="J628" t="n">
        <v>41.47478</v>
      </c>
      <c r="K628" t="n">
        <v>44.75307</v>
      </c>
      <c r="L628" t="n">
        <v>55.33726</v>
      </c>
      <c r="M628" t="n">
        <v>45.8805</v>
      </c>
      <c r="N628" t="n">
        <v>42.06824</v>
      </c>
      <c r="O628" t="n">
        <v>20.35237</v>
      </c>
      <c r="P628" t="n">
        <v>15.84547</v>
      </c>
      <c r="Q628" t="n">
        <v>23.65201</v>
      </c>
      <c r="R628" t="n">
        <v>37.31412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44.29208</v>
      </c>
      <c r="Y628" t="n">
        <v>33.21762</v>
      </c>
      <c r="Z628" t="n">
        <v>30.09305</v>
      </c>
      <c r="AA628" t="n">
        <v>6.453861</v>
      </c>
      <c r="AB628" t="n">
        <v>47.05596</v>
      </c>
      <c r="AC628" t="n">
        <v>12.9497</v>
      </c>
      <c r="AD628" t="n">
        <v>48.66204</v>
      </c>
      <c r="AE628" t="n">
        <v>25.57473</v>
      </c>
    </row>
    <row r="629">
      <c r="A629" s="89" t="n">
        <v>37712</v>
      </c>
      <c r="B629" t="n">
        <v>30.84085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19.21272</v>
      </c>
      <c r="I629" t="n">
        <v>18.59538</v>
      </c>
      <c r="J629" t="n">
        <v>41.77652</v>
      </c>
      <c r="K629" t="n">
        <v>44.90879</v>
      </c>
      <c r="L629" t="n">
        <v>55.96</v>
      </c>
      <c r="M629" t="n">
        <v>45.97112</v>
      </c>
      <c r="N629" t="n">
        <v>42.31966</v>
      </c>
      <c r="O629" t="n">
        <v>20.43513</v>
      </c>
      <c r="P629" t="n">
        <v>15.96908</v>
      </c>
      <c r="Q629" t="n">
        <v>24.04226</v>
      </c>
      <c r="R629" t="n">
        <v>37.17942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44.47247</v>
      </c>
      <c r="Y629" t="n">
        <v>33.27011</v>
      </c>
      <c r="Z629" t="n">
        <v>30.09495</v>
      </c>
      <c r="AA629" t="n">
        <v>6.679556</v>
      </c>
      <c r="AB629" t="n">
        <v>47.02227</v>
      </c>
      <c r="AC629" t="n">
        <v>12.86963</v>
      </c>
      <c r="AD629" t="n">
        <v>48.97254</v>
      </c>
      <c r="AE629" t="n">
        <v>26.02059</v>
      </c>
    </row>
    <row r="630">
      <c r="A630" s="89" t="n">
        <v>37742</v>
      </c>
      <c r="B630" t="n">
        <v>31.28632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19.42826</v>
      </c>
      <c r="I630" t="n">
        <v>18.9321</v>
      </c>
      <c r="J630" t="n">
        <v>42.11084</v>
      </c>
      <c r="K630" t="n">
        <v>46.08746</v>
      </c>
      <c r="L630" t="n">
        <v>56.57998</v>
      </c>
      <c r="M630" t="n">
        <v>46.06001</v>
      </c>
      <c r="N630" t="n">
        <v>42.87053</v>
      </c>
      <c r="O630" t="n">
        <v>20.57022</v>
      </c>
      <c r="P630" t="n">
        <v>16.21034</v>
      </c>
      <c r="Q630" t="n">
        <v>24.43196</v>
      </c>
      <c r="R630" t="n">
        <v>37.24537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44.78402</v>
      </c>
      <c r="Y630" t="n">
        <v>33.34044</v>
      </c>
      <c r="Z630" t="n">
        <v>30.1843</v>
      </c>
      <c r="AA630" t="n">
        <v>6.858319</v>
      </c>
      <c r="AB630" t="n">
        <v>46.99745</v>
      </c>
      <c r="AC630" t="n">
        <v>12.73953</v>
      </c>
      <c r="AD630" t="n">
        <v>49.47482</v>
      </c>
      <c r="AE630" t="n">
        <v>26.53006</v>
      </c>
    </row>
    <row r="631">
      <c r="A631" s="89" t="n">
        <v>37773</v>
      </c>
      <c r="B631" t="n">
        <v>31.60291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19.80628</v>
      </c>
      <c r="I631" t="n">
        <v>19.33538</v>
      </c>
      <c r="J631" t="n">
        <v>41.89084</v>
      </c>
      <c r="K631" t="n">
        <v>46.46999</v>
      </c>
      <c r="L631" t="n">
        <v>56.7838</v>
      </c>
      <c r="M631" t="n">
        <v>46.30641</v>
      </c>
      <c r="N631" t="n">
        <v>43.55558</v>
      </c>
      <c r="O631" t="n">
        <v>20.6298</v>
      </c>
      <c r="P631" t="n">
        <v>16.42286</v>
      </c>
      <c r="Q631" t="n">
        <v>24.79387</v>
      </c>
      <c r="R631" t="n">
        <v>37.31356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44.99426</v>
      </c>
      <c r="Y631" t="n">
        <v>33.46717</v>
      </c>
      <c r="Z631" t="n">
        <v>30.39019</v>
      </c>
      <c r="AA631" t="n">
        <v>7.044024</v>
      </c>
      <c r="AB631" t="n">
        <v>46.92306</v>
      </c>
      <c r="AC631" t="n">
        <v>12.741</v>
      </c>
      <c r="AD631" t="n">
        <v>49.77951</v>
      </c>
      <c r="AE631" t="n">
        <v>26.8115</v>
      </c>
    </row>
    <row r="632">
      <c r="A632" s="89" t="n">
        <v>37803</v>
      </c>
      <c r="B632" t="n">
        <v>31.44321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20.02837</v>
      </c>
      <c r="I632" t="n">
        <v>19.69591</v>
      </c>
      <c r="J632" t="n">
        <v>42.33925</v>
      </c>
      <c r="K632" t="n">
        <v>46.59403</v>
      </c>
      <c r="L632" t="n">
        <v>56.81773</v>
      </c>
      <c r="M632" t="n">
        <v>46.84993</v>
      </c>
      <c r="N632" t="n">
        <v>44.10311</v>
      </c>
      <c r="O632" t="n">
        <v>20.7093</v>
      </c>
      <c r="P632" t="n">
        <v>16.60148</v>
      </c>
      <c r="Q632" t="n">
        <v>25.14957</v>
      </c>
      <c r="R632" t="n">
        <v>37.49944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45.28107</v>
      </c>
      <c r="Y632" t="n">
        <v>33.74665</v>
      </c>
      <c r="Z632" t="n">
        <v>30.54515</v>
      </c>
      <c r="AA632" t="n">
        <v>7.284465</v>
      </c>
      <c r="AB632" t="n">
        <v>46.69656</v>
      </c>
      <c r="AC632" t="n">
        <v>12.88372</v>
      </c>
      <c r="AD632" t="n">
        <v>50.16722</v>
      </c>
      <c r="AE632" t="n">
        <v>27.04328</v>
      </c>
    </row>
    <row r="633">
      <c r="A633" s="89" t="n">
        <v>37834</v>
      </c>
      <c r="B633" t="n">
        <v>31.62252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20.17429</v>
      </c>
      <c r="I633" t="n">
        <v>19.83928</v>
      </c>
      <c r="J633" t="n">
        <v>43.22275</v>
      </c>
      <c r="K633" t="n">
        <v>46.80818</v>
      </c>
      <c r="L633" t="n">
        <v>56.84973</v>
      </c>
      <c r="M633" t="n">
        <v>47.12853</v>
      </c>
      <c r="N633" t="n">
        <v>44.12305</v>
      </c>
      <c r="O633" t="n">
        <v>20.88194</v>
      </c>
      <c r="P633" t="n">
        <v>16.7388</v>
      </c>
      <c r="Q633" t="n">
        <v>25.53171</v>
      </c>
      <c r="R633" t="n">
        <v>37.83708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45.61572</v>
      </c>
      <c r="Y633" t="n">
        <v>33.93748</v>
      </c>
      <c r="Z633" t="n">
        <v>30.65388</v>
      </c>
      <c r="AA633" t="n">
        <v>7.52268</v>
      </c>
      <c r="AB633" t="n">
        <v>46.54638</v>
      </c>
      <c r="AC633" t="n">
        <v>12.96383</v>
      </c>
      <c r="AD633" t="n">
        <v>50.64957</v>
      </c>
      <c r="AE633" t="n">
        <v>27.04227</v>
      </c>
    </row>
    <row r="634">
      <c r="A634" s="89" t="n">
        <v>37865</v>
      </c>
      <c r="B634" t="n">
        <v>32.18005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20.29451</v>
      </c>
      <c r="I634" t="n">
        <v>20.00942</v>
      </c>
      <c r="J634" t="n">
        <v>43.41062</v>
      </c>
      <c r="K634" t="n">
        <v>46.55619</v>
      </c>
      <c r="L634" t="n">
        <v>56.80082</v>
      </c>
      <c r="M634" t="n">
        <v>47.42828</v>
      </c>
      <c r="N634" t="n">
        <v>44.42924</v>
      </c>
      <c r="O634" t="n">
        <v>21.01863</v>
      </c>
      <c r="P634" t="n">
        <v>16.87585</v>
      </c>
      <c r="Q634" t="n">
        <v>25.94106</v>
      </c>
      <c r="R634" t="n">
        <v>38.17681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45.63301</v>
      </c>
      <c r="Y634" t="n">
        <v>34.15568</v>
      </c>
      <c r="Z634" t="n">
        <v>30.86336</v>
      </c>
      <c r="AA634" t="n">
        <v>7.726106</v>
      </c>
      <c r="AB634" t="n">
        <v>46.79406</v>
      </c>
      <c r="AC634" t="n">
        <v>13.10701</v>
      </c>
      <c r="AD634" t="n">
        <v>50.41711</v>
      </c>
      <c r="AE634" t="n">
        <v>27.12006</v>
      </c>
    </row>
    <row r="635">
      <c r="A635" s="89" t="n">
        <v>37895</v>
      </c>
      <c r="B635" t="n">
        <v>32.50505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20.28055</v>
      </c>
      <c r="I635" t="n">
        <v>20.17447</v>
      </c>
      <c r="J635" t="n">
        <v>43.43303</v>
      </c>
      <c r="K635" t="n">
        <v>47.45485</v>
      </c>
      <c r="L635" t="n">
        <v>56.99654</v>
      </c>
      <c r="M635" t="n">
        <v>47.78843</v>
      </c>
      <c r="N635" t="n">
        <v>45.19537</v>
      </c>
      <c r="O635" t="n">
        <v>21.15718</v>
      </c>
      <c r="P635" t="n">
        <v>17.10302</v>
      </c>
      <c r="Q635" t="n">
        <v>26.35884</v>
      </c>
      <c r="R635" t="n">
        <v>38.43875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45.75444</v>
      </c>
      <c r="Y635" t="n">
        <v>34.59221</v>
      </c>
      <c r="Z635" t="n">
        <v>31.17385</v>
      </c>
      <c r="AA635" t="n">
        <v>7.973096</v>
      </c>
      <c r="AB635" t="n">
        <v>47.16284</v>
      </c>
      <c r="AC635" t="n">
        <v>13.56899</v>
      </c>
      <c r="AD635" t="n">
        <v>50.34073</v>
      </c>
      <c r="AE635" t="n">
        <v>27.49161</v>
      </c>
    </row>
    <row r="636">
      <c r="A636" s="89" t="n">
        <v>37926</v>
      </c>
      <c r="B636" t="n">
        <v>32.76841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20.38205</v>
      </c>
      <c r="I636" t="n">
        <v>20.48772</v>
      </c>
      <c r="J636" t="n">
        <v>43.70603</v>
      </c>
      <c r="K636" t="n">
        <v>48.99732</v>
      </c>
      <c r="L636" t="n">
        <v>57.47627</v>
      </c>
      <c r="M636" t="n">
        <v>48.20326</v>
      </c>
      <c r="N636" t="n">
        <v>45.8162</v>
      </c>
      <c r="O636" t="n">
        <v>21.42836</v>
      </c>
      <c r="P636" t="n">
        <v>17.32626</v>
      </c>
      <c r="Q636" t="n">
        <v>26.74733</v>
      </c>
      <c r="R636" t="n">
        <v>38.57797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45.92126</v>
      </c>
      <c r="Y636" t="n">
        <v>35.05994</v>
      </c>
      <c r="Z636" t="n">
        <v>31.47654</v>
      </c>
      <c r="AA636" t="n">
        <v>8.138855</v>
      </c>
      <c r="AB636" t="n">
        <v>47.45575</v>
      </c>
      <c r="AC636" t="n">
        <v>14.05024</v>
      </c>
      <c r="AD636" t="n">
        <v>50.38639</v>
      </c>
      <c r="AE636" t="n">
        <v>27.81684</v>
      </c>
    </row>
    <row r="637">
      <c r="A637" s="89" t="n">
        <v>37956</v>
      </c>
      <c r="B637" t="n">
        <v>33.099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20.72441</v>
      </c>
      <c r="I637" t="n">
        <v>21.25383</v>
      </c>
      <c r="J637" t="n">
        <v>44.10286</v>
      </c>
      <c r="K637" t="n">
        <v>48.28476</v>
      </c>
      <c r="L637" t="n">
        <v>58.00396</v>
      </c>
      <c r="M637" t="n">
        <v>48.83907</v>
      </c>
      <c r="N637" t="n">
        <v>46.07851</v>
      </c>
      <c r="O637" t="n">
        <v>21.55904</v>
      </c>
      <c r="P637" t="n">
        <v>17.51785</v>
      </c>
      <c r="Q637" t="n">
        <v>27.09871</v>
      </c>
      <c r="R637" t="n">
        <v>38.6391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46.06605</v>
      </c>
      <c r="Y637" t="n">
        <v>35.3636</v>
      </c>
      <c r="Z637" t="n">
        <v>31.60649</v>
      </c>
      <c r="AA637" t="n">
        <v>8.25263</v>
      </c>
      <c r="AB637" t="n">
        <v>47.75187</v>
      </c>
      <c r="AC637" t="n">
        <v>14.27344</v>
      </c>
      <c r="AD637" t="n">
        <v>50.37145</v>
      </c>
      <c r="AE637" t="n">
        <v>28.04887</v>
      </c>
    </row>
    <row r="638">
      <c r="A638" s="89" t="n">
        <v>37987</v>
      </c>
      <c r="B638" t="n">
        <v>33.32874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21.05408</v>
      </c>
      <c r="I638" t="n">
        <v>21.81728</v>
      </c>
      <c r="J638" t="n">
        <v>44.23612</v>
      </c>
      <c r="K638" t="n">
        <v>49.14007</v>
      </c>
      <c r="L638" t="n">
        <v>58.25239</v>
      </c>
      <c r="M638" t="n">
        <v>49.91553</v>
      </c>
      <c r="N638" t="n">
        <v>46.69582</v>
      </c>
      <c r="O638" t="n">
        <v>21.51542</v>
      </c>
      <c r="P638" t="n">
        <v>17.76559</v>
      </c>
      <c r="Q638" t="n">
        <v>27.46705</v>
      </c>
      <c r="R638" t="n">
        <v>38.83389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46.34246</v>
      </c>
      <c r="Y638" t="n">
        <v>35.86343</v>
      </c>
      <c r="Z638" t="n">
        <v>31.6207</v>
      </c>
      <c r="AA638" t="n">
        <v>8.463576</v>
      </c>
      <c r="AB638" t="n">
        <v>47.78617</v>
      </c>
      <c r="AC638" t="n">
        <v>14.53837</v>
      </c>
      <c r="AD638" t="n">
        <v>50.43953</v>
      </c>
      <c r="AE638" t="n">
        <v>28.6674</v>
      </c>
    </row>
    <row r="639">
      <c r="A639" s="89" t="n">
        <v>38018</v>
      </c>
      <c r="B639" t="n">
        <v>33.5977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21.28084</v>
      </c>
      <c r="I639" t="n">
        <v>21.79004</v>
      </c>
      <c r="J639" t="n">
        <v>44.22281</v>
      </c>
      <c r="K639" t="n">
        <v>51.41348</v>
      </c>
      <c r="L639" t="n">
        <v>58.33032</v>
      </c>
      <c r="M639" t="n">
        <v>50.38908</v>
      </c>
      <c r="N639" t="n">
        <v>47.23204</v>
      </c>
      <c r="O639" t="n">
        <v>21.48142</v>
      </c>
      <c r="P639" t="n">
        <v>18.03639</v>
      </c>
      <c r="Q639" t="n">
        <v>27.84657</v>
      </c>
      <c r="R639" t="n">
        <v>39.0004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46.64104</v>
      </c>
      <c r="Y639" t="n">
        <v>36.2642</v>
      </c>
      <c r="Z639" t="n">
        <v>31.67077</v>
      </c>
      <c r="AA639" t="n">
        <v>8.747824</v>
      </c>
      <c r="AB639" t="n">
        <v>47.80943</v>
      </c>
      <c r="AC639" t="n">
        <v>14.88588</v>
      </c>
      <c r="AD639" t="n">
        <v>50.76165</v>
      </c>
      <c r="AE639" t="n">
        <v>29.81039</v>
      </c>
    </row>
    <row r="640">
      <c r="A640" s="89" t="n">
        <v>38047</v>
      </c>
      <c r="B640" t="n">
        <v>34.02636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21.53785</v>
      </c>
      <c r="I640" t="n">
        <v>21.79338</v>
      </c>
      <c r="J640" t="n">
        <v>44.32655</v>
      </c>
      <c r="K640" t="n">
        <v>51.95177</v>
      </c>
      <c r="L640" t="n">
        <v>58.58255</v>
      </c>
      <c r="M640" t="n">
        <v>50.39895</v>
      </c>
      <c r="N640" t="n">
        <v>47.10162</v>
      </c>
      <c r="O640" t="n">
        <v>21.5072</v>
      </c>
      <c r="P640" t="n">
        <v>18.31292</v>
      </c>
      <c r="Q640" t="n">
        <v>28.19962</v>
      </c>
      <c r="R640" t="n">
        <v>39.12058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46.87843</v>
      </c>
      <c r="Y640" t="n">
        <v>36.40438</v>
      </c>
      <c r="Z640" t="n">
        <v>31.83132</v>
      </c>
      <c r="AA640" t="n">
        <v>9.054568</v>
      </c>
      <c r="AB640" t="n">
        <v>47.71036</v>
      </c>
      <c r="AC640" t="n">
        <v>15.10175</v>
      </c>
      <c r="AD640" t="n">
        <v>51.05886</v>
      </c>
      <c r="AE640" t="n">
        <v>29.9523</v>
      </c>
    </row>
    <row r="641">
      <c r="A641" s="89" t="n">
        <v>38078</v>
      </c>
      <c r="B641" t="n">
        <v>34.36536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21.70022</v>
      </c>
      <c r="I641" t="n">
        <v>22.22815</v>
      </c>
      <c r="J641" t="n">
        <v>44.8116</v>
      </c>
      <c r="K641" t="n">
        <v>52.45382</v>
      </c>
      <c r="L641" t="n">
        <v>58.97062</v>
      </c>
      <c r="M641" t="n">
        <v>50.84042</v>
      </c>
      <c r="N641" t="n">
        <v>47.32878</v>
      </c>
      <c r="O641" t="n">
        <v>21.58955</v>
      </c>
      <c r="P641" t="n">
        <v>18.57175</v>
      </c>
      <c r="Q641" t="n">
        <v>28.57566</v>
      </c>
      <c r="R641" t="n">
        <v>39.48978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47.1842</v>
      </c>
      <c r="Y641" t="n">
        <v>36.81119</v>
      </c>
      <c r="Z641" t="n">
        <v>32.35956</v>
      </c>
      <c r="AA641" t="n">
        <v>9.309381999999999</v>
      </c>
      <c r="AB641" t="n">
        <v>47.5995</v>
      </c>
      <c r="AC641" t="n">
        <v>15.48062</v>
      </c>
      <c r="AD641" t="n">
        <v>51.40008</v>
      </c>
      <c r="AE641" t="n">
        <v>29.70589</v>
      </c>
    </row>
    <row r="642">
      <c r="A642" s="89" t="n">
        <v>38108</v>
      </c>
      <c r="B642" t="n">
        <v>34.52786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21.71339</v>
      </c>
      <c r="I642" t="n">
        <v>23.43065</v>
      </c>
      <c r="J642" t="n">
        <v>45.35804</v>
      </c>
      <c r="K642" t="n">
        <v>52.95974</v>
      </c>
      <c r="L642" t="n">
        <v>59.33781</v>
      </c>
      <c r="M642" t="n">
        <v>50.9957</v>
      </c>
      <c r="N642" t="n">
        <v>47.7937</v>
      </c>
      <c r="O642" t="n">
        <v>21.84179</v>
      </c>
      <c r="P642" t="n">
        <v>18.75677</v>
      </c>
      <c r="Q642" t="n">
        <v>28.97564</v>
      </c>
      <c r="R642" t="n">
        <v>39.84063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47.62652</v>
      </c>
      <c r="Y642" t="n">
        <v>37.21904</v>
      </c>
      <c r="Z642" t="n">
        <v>32.51569</v>
      </c>
      <c r="AA642" t="n">
        <v>9.601253</v>
      </c>
      <c r="AB642" t="n">
        <v>47.63603</v>
      </c>
      <c r="AC642" t="n">
        <v>16.11405</v>
      </c>
      <c r="AD642" t="n">
        <v>52.03852</v>
      </c>
      <c r="AE642" t="n">
        <v>29.70727</v>
      </c>
    </row>
    <row r="643">
      <c r="A643" s="89" t="n">
        <v>38139</v>
      </c>
      <c r="B643" t="n">
        <v>34.67915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22.16979</v>
      </c>
      <c r="I643" t="n">
        <v>24.30405</v>
      </c>
      <c r="J643" t="n">
        <v>45.50792</v>
      </c>
      <c r="K643" t="n">
        <v>52.73102</v>
      </c>
      <c r="L643" t="n">
        <v>59.5944</v>
      </c>
      <c r="M643" t="n">
        <v>51.33218</v>
      </c>
      <c r="N643" t="n">
        <v>48.26739</v>
      </c>
      <c r="O643" t="n">
        <v>22.27279</v>
      </c>
      <c r="P643" t="n">
        <v>18.88158</v>
      </c>
      <c r="Q643" t="n">
        <v>29.34883</v>
      </c>
      <c r="R643" t="n">
        <v>40.15097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47.7407</v>
      </c>
      <c r="Y643" t="n">
        <v>37.42558</v>
      </c>
      <c r="Z643" t="n">
        <v>32.52868</v>
      </c>
      <c r="AA643" t="n">
        <v>9.795092</v>
      </c>
      <c r="AB643" t="n">
        <v>47.32349</v>
      </c>
      <c r="AC643" t="n">
        <v>16.34474</v>
      </c>
      <c r="AD643" t="n">
        <v>52.05844</v>
      </c>
      <c r="AE643" t="n">
        <v>29.8815</v>
      </c>
    </row>
    <row r="644">
      <c r="A644" s="89" t="n">
        <v>38169</v>
      </c>
      <c r="B644" t="n">
        <v>35.00975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22.60477</v>
      </c>
      <c r="I644" t="n">
        <v>24.54325</v>
      </c>
      <c r="J644" t="n">
        <v>45.77584</v>
      </c>
      <c r="K644" t="n">
        <v>52.73014</v>
      </c>
      <c r="L644" t="n">
        <v>59.87024</v>
      </c>
      <c r="M644" t="n">
        <v>51.74906</v>
      </c>
      <c r="N644" t="n">
        <v>48.93632</v>
      </c>
      <c r="O644" t="n">
        <v>22.48644</v>
      </c>
      <c r="P644" t="n">
        <v>18.9977</v>
      </c>
      <c r="Q644" t="n">
        <v>29.70762</v>
      </c>
      <c r="R644" t="n">
        <v>40.49987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47.91104</v>
      </c>
      <c r="Y644" t="n">
        <v>37.58749</v>
      </c>
      <c r="Z644" t="n">
        <v>32.83386</v>
      </c>
      <c r="AA644" t="n">
        <v>9.921867000000001</v>
      </c>
      <c r="AB644" t="n">
        <v>47.42359</v>
      </c>
      <c r="AC644" t="n">
        <v>16.2727</v>
      </c>
      <c r="AD644" t="n">
        <v>52.17301</v>
      </c>
      <c r="AE644" t="n">
        <v>29.97435</v>
      </c>
    </row>
    <row r="645">
      <c r="A645" s="89" t="n">
        <v>38200</v>
      </c>
      <c r="B645" t="n">
        <v>35.30112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22.71761</v>
      </c>
      <c r="I645" t="n">
        <v>25.02805</v>
      </c>
      <c r="J645" t="n">
        <v>46.17813</v>
      </c>
      <c r="K645" t="n">
        <v>53.28978</v>
      </c>
      <c r="L645" t="n">
        <v>59.92378</v>
      </c>
      <c r="M645" t="n">
        <v>52.08248</v>
      </c>
      <c r="N645" t="n">
        <v>49.58389</v>
      </c>
      <c r="O645" t="n">
        <v>22.61004</v>
      </c>
      <c r="P645" t="n">
        <v>19.14314</v>
      </c>
      <c r="Q645" t="n">
        <v>30.0749</v>
      </c>
      <c r="R645" t="n">
        <v>40.85028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48.14742</v>
      </c>
      <c r="Y645" t="n">
        <v>37.90593</v>
      </c>
      <c r="Z645" t="n">
        <v>33.0296</v>
      </c>
      <c r="AA645" t="n">
        <v>10.10758</v>
      </c>
      <c r="AB645" t="n">
        <v>47.90796</v>
      </c>
      <c r="AC645" t="n">
        <v>16.54558</v>
      </c>
      <c r="AD645" t="n">
        <v>52.39136</v>
      </c>
      <c r="AE645" t="n">
        <v>29.90009</v>
      </c>
    </row>
    <row r="646">
      <c r="A646" s="89" t="n">
        <v>38231</v>
      </c>
      <c r="B646" t="n">
        <v>35.40198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23.05392</v>
      </c>
      <c r="I646" t="n">
        <v>25.38822</v>
      </c>
      <c r="J646" t="n">
        <v>46.40273</v>
      </c>
      <c r="K646" t="n">
        <v>53.2958</v>
      </c>
      <c r="L646" t="n">
        <v>59.99165</v>
      </c>
      <c r="M646" t="n">
        <v>52.3522</v>
      </c>
      <c r="N646" t="n">
        <v>50.01952</v>
      </c>
      <c r="O646" t="n">
        <v>22.74047</v>
      </c>
      <c r="P646" t="n">
        <v>19.27585</v>
      </c>
      <c r="Q646" t="n">
        <v>30.43938</v>
      </c>
      <c r="R646" t="n">
        <v>41.08779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48.37944</v>
      </c>
      <c r="Y646" t="n">
        <v>38.21112</v>
      </c>
      <c r="Z646" t="n">
        <v>33.24492</v>
      </c>
      <c r="AA646" t="n">
        <v>10.24947</v>
      </c>
      <c r="AB646" t="n">
        <v>48.42654</v>
      </c>
      <c r="AC646" t="n">
        <v>16.8805</v>
      </c>
      <c r="AD646" t="n">
        <v>52.67944</v>
      </c>
      <c r="AE646" t="n">
        <v>30.52113</v>
      </c>
    </row>
    <row r="647">
      <c r="A647" s="89" t="n">
        <v>38261</v>
      </c>
      <c r="B647" t="n">
        <v>35.53926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23.35353</v>
      </c>
      <c r="I647" t="n">
        <v>25.75088</v>
      </c>
      <c r="J647" t="n">
        <v>46.63136</v>
      </c>
      <c r="K647" t="n">
        <v>53.30204</v>
      </c>
      <c r="L647" t="n">
        <v>60.41854</v>
      </c>
      <c r="M647" t="n">
        <v>52.55713</v>
      </c>
      <c r="N647" t="n">
        <v>50.3553</v>
      </c>
      <c r="O647" t="n">
        <v>22.79824</v>
      </c>
      <c r="P647" t="n">
        <v>19.43704</v>
      </c>
      <c r="Q647" t="n">
        <v>30.81153</v>
      </c>
      <c r="R647" t="n">
        <v>41.41624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48.63221</v>
      </c>
      <c r="Y647" t="n">
        <v>38.51818</v>
      </c>
      <c r="Z647" t="n">
        <v>34.12419</v>
      </c>
      <c r="AA647" t="n">
        <v>10.39496</v>
      </c>
      <c r="AB647" t="n">
        <v>48.99923</v>
      </c>
      <c r="AC647" t="n">
        <v>17.07384</v>
      </c>
      <c r="AD647" t="n">
        <v>52.9119</v>
      </c>
      <c r="AE647" t="n">
        <v>31.25815</v>
      </c>
    </row>
    <row r="648">
      <c r="A648" s="89" t="n">
        <v>38292</v>
      </c>
      <c r="B648" t="n">
        <v>35.86706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23.56967</v>
      </c>
      <c r="I648" t="n">
        <v>26.16035</v>
      </c>
      <c r="J648" t="n">
        <v>46.74953</v>
      </c>
      <c r="K648" t="n">
        <v>53.7118</v>
      </c>
      <c r="L648" t="n">
        <v>60.85713</v>
      </c>
      <c r="M648" t="n">
        <v>53.10984</v>
      </c>
      <c r="N648" t="n">
        <v>50.91353</v>
      </c>
      <c r="O648" t="n">
        <v>22.85875</v>
      </c>
      <c r="P648" t="n">
        <v>19.62199</v>
      </c>
      <c r="Q648" t="n">
        <v>31.2238</v>
      </c>
      <c r="R648" t="n">
        <v>41.92152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48.9102</v>
      </c>
      <c r="Y648" t="n">
        <v>38.94187</v>
      </c>
      <c r="Z648" t="n">
        <v>34.41983</v>
      </c>
      <c r="AA648" t="n">
        <v>10.66232</v>
      </c>
      <c r="AB648" t="n">
        <v>49.32876</v>
      </c>
      <c r="AC648" t="n">
        <v>17.3736</v>
      </c>
      <c r="AD648" t="n">
        <v>53.1319</v>
      </c>
      <c r="AE648" t="n">
        <v>31.43836</v>
      </c>
    </row>
    <row r="649">
      <c r="A649" s="89" t="n">
        <v>38322</v>
      </c>
      <c r="B649" t="n">
        <v>36.16124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24.08914</v>
      </c>
      <c r="I649" t="n">
        <v>26.54036</v>
      </c>
      <c r="J649" t="n">
        <v>46.48536</v>
      </c>
      <c r="K649" t="n">
        <v>51.11067</v>
      </c>
      <c r="L649" t="n">
        <v>61.48021</v>
      </c>
      <c r="M649" t="n">
        <v>53.57639</v>
      </c>
      <c r="N649" t="n">
        <v>51.4011</v>
      </c>
      <c r="O649" t="n">
        <v>23.06058</v>
      </c>
      <c r="P649" t="n">
        <v>19.82857</v>
      </c>
      <c r="Q649" t="n">
        <v>31.68365</v>
      </c>
      <c r="R649" t="n">
        <v>42.32251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49.10168</v>
      </c>
      <c r="Y649" t="n">
        <v>39.11102</v>
      </c>
      <c r="Z649" t="n">
        <v>34.24634</v>
      </c>
      <c r="AA649" t="n">
        <v>11.0095</v>
      </c>
      <c r="AB649" t="n">
        <v>49.59037</v>
      </c>
      <c r="AC649" t="n">
        <v>17.58027</v>
      </c>
      <c r="AD649" t="n">
        <v>53.2855</v>
      </c>
      <c r="AE649" t="n">
        <v>31.62219</v>
      </c>
    </row>
    <row r="650">
      <c r="A650" s="89" t="n">
        <v>38353</v>
      </c>
      <c r="B650" t="n">
        <v>36.39658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24.66479</v>
      </c>
      <c r="I650" t="n">
        <v>27.01543</v>
      </c>
      <c r="J650" t="n">
        <v>46.21528</v>
      </c>
      <c r="K650" t="n">
        <v>48.13997</v>
      </c>
      <c r="L650" t="n">
        <v>62.00828</v>
      </c>
      <c r="M650" t="n">
        <v>54.07225</v>
      </c>
      <c r="N650" t="n">
        <v>51.75667</v>
      </c>
      <c r="O650" t="n">
        <v>23.27019</v>
      </c>
      <c r="P650" t="n">
        <v>20.25499</v>
      </c>
      <c r="Q650" t="n">
        <v>32.17133</v>
      </c>
      <c r="R650" t="n">
        <v>42.70789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49.2372</v>
      </c>
      <c r="Y650" t="n">
        <v>39.23933</v>
      </c>
      <c r="Z650" t="n">
        <v>34.80701</v>
      </c>
      <c r="AA650" t="n">
        <v>11.30877</v>
      </c>
      <c r="AB650" t="n">
        <v>49.6881</v>
      </c>
      <c r="AC650" t="n">
        <v>17.55759</v>
      </c>
      <c r="AD650" t="n">
        <v>53.33697</v>
      </c>
      <c r="AE650" t="n">
        <v>32.42759</v>
      </c>
    </row>
    <row r="651">
      <c r="A651" s="89" t="n">
        <v>38384</v>
      </c>
      <c r="B651" t="n">
        <v>36.63752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24.90396</v>
      </c>
      <c r="I651" t="n">
        <v>27.73107</v>
      </c>
      <c r="J651" t="n">
        <v>46.43981</v>
      </c>
      <c r="K651" t="n">
        <v>48.1693</v>
      </c>
      <c r="L651" t="n">
        <v>62.15745</v>
      </c>
      <c r="M651" t="n">
        <v>54.45554</v>
      </c>
      <c r="N651" t="n">
        <v>52.31371</v>
      </c>
      <c r="O651" t="n">
        <v>23.4021</v>
      </c>
      <c r="P651" t="n">
        <v>20.53226</v>
      </c>
      <c r="Q651" t="n">
        <v>32.66627</v>
      </c>
      <c r="R651" t="n">
        <v>43.14961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49.40975</v>
      </c>
      <c r="Y651" t="n">
        <v>39.48902</v>
      </c>
      <c r="Z651" t="n">
        <v>35.11959</v>
      </c>
      <c r="AA651" t="n">
        <v>11.57603</v>
      </c>
      <c r="AB651" t="n">
        <v>50.08786</v>
      </c>
      <c r="AC651" t="n">
        <v>17.60101</v>
      </c>
      <c r="AD651" t="n">
        <v>53.40588</v>
      </c>
      <c r="AE651" t="n">
        <v>33.50932</v>
      </c>
    </row>
    <row r="652">
      <c r="A652" s="89" t="n">
        <v>38412</v>
      </c>
      <c r="B652" t="n">
        <v>36.79161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25.19961</v>
      </c>
      <c r="I652" t="n">
        <v>28.39303</v>
      </c>
      <c r="J652" t="n">
        <v>46.68879</v>
      </c>
      <c r="K652" t="n">
        <v>48.04032</v>
      </c>
      <c r="L652" t="n">
        <v>62.37503</v>
      </c>
      <c r="M652" t="n">
        <v>54.78073</v>
      </c>
      <c r="N652" t="n">
        <v>53.19344</v>
      </c>
      <c r="O652" t="n">
        <v>23.67588</v>
      </c>
      <c r="P652" t="n">
        <v>20.56539</v>
      </c>
      <c r="Q652" t="n">
        <v>33.13094</v>
      </c>
      <c r="R652" t="n">
        <v>43.39953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49.60223</v>
      </c>
      <c r="Y652" t="n">
        <v>39.88857</v>
      </c>
      <c r="Z652" t="n">
        <v>35.67332</v>
      </c>
      <c r="AA652" t="n">
        <v>11.86582</v>
      </c>
      <c r="AB652" t="n">
        <v>50.5237</v>
      </c>
      <c r="AC652" t="n">
        <v>17.97128</v>
      </c>
      <c r="AD652" t="n">
        <v>53.48143</v>
      </c>
      <c r="AE652" t="n">
        <v>33.69831</v>
      </c>
    </row>
    <row r="653">
      <c r="A653" s="89" t="n">
        <v>38443</v>
      </c>
      <c r="B653" t="n">
        <v>37.01295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25.58145</v>
      </c>
      <c r="I653" t="n">
        <v>28.9515</v>
      </c>
      <c r="J653" t="n">
        <v>47.15639</v>
      </c>
      <c r="K653" t="n">
        <v>48.85154</v>
      </c>
      <c r="L653" t="n">
        <v>62.91018</v>
      </c>
      <c r="M653" t="n">
        <v>55.31243</v>
      </c>
      <c r="N653" t="n">
        <v>54.32483</v>
      </c>
      <c r="O653" t="n">
        <v>24.12606</v>
      </c>
      <c r="P653" t="n">
        <v>20.8876</v>
      </c>
      <c r="Q653" t="n">
        <v>33.56136</v>
      </c>
      <c r="R653" t="n">
        <v>43.71733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49.8462</v>
      </c>
      <c r="Y653" t="n">
        <v>40.4776</v>
      </c>
      <c r="Z653" t="n">
        <v>36.41202</v>
      </c>
      <c r="AA653" t="n">
        <v>12.19579</v>
      </c>
      <c r="AB653" t="n">
        <v>50.49871</v>
      </c>
      <c r="AC653" t="n">
        <v>18.56349</v>
      </c>
      <c r="AD653" t="n">
        <v>53.59766</v>
      </c>
      <c r="AE653" t="n">
        <v>33.74707</v>
      </c>
    </row>
    <row r="654">
      <c r="A654" s="89" t="n">
        <v>38473</v>
      </c>
      <c r="B654" t="n">
        <v>37.36876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25.94513</v>
      </c>
      <c r="I654" t="n">
        <v>29.52913</v>
      </c>
      <c r="J654" t="n">
        <v>48.07209</v>
      </c>
      <c r="K654" t="n">
        <v>49.72163</v>
      </c>
      <c r="L654" t="n">
        <v>63.56118</v>
      </c>
      <c r="M654" t="n">
        <v>55.9817</v>
      </c>
      <c r="N654" t="n">
        <v>55.23359</v>
      </c>
      <c r="O654" t="n">
        <v>24.40152</v>
      </c>
      <c r="P654" t="n">
        <v>21.25314</v>
      </c>
      <c r="Q654" t="n">
        <v>34.08271</v>
      </c>
      <c r="R654" t="n">
        <v>44.36804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50.1194</v>
      </c>
      <c r="Y654" t="n">
        <v>41.05465</v>
      </c>
      <c r="Z654" t="n">
        <v>36.96402</v>
      </c>
      <c r="AA654" t="n">
        <v>12.50533</v>
      </c>
      <c r="AB654" t="n">
        <v>50.85361</v>
      </c>
      <c r="AC654" t="n">
        <v>19.01084</v>
      </c>
      <c r="AD654" t="n">
        <v>53.74211</v>
      </c>
      <c r="AE654" t="n">
        <v>34.26419</v>
      </c>
    </row>
    <row r="655">
      <c r="A655" s="89" t="n">
        <v>38504</v>
      </c>
      <c r="B655" t="n">
        <v>37.74418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26.30389</v>
      </c>
      <c r="I655" t="n">
        <v>30.02948</v>
      </c>
      <c r="J655" t="n">
        <v>48.51795</v>
      </c>
      <c r="K655" t="n">
        <v>51.22858</v>
      </c>
      <c r="L655" t="n">
        <v>64.14462</v>
      </c>
      <c r="M655" t="n">
        <v>56.65811</v>
      </c>
      <c r="N655" t="n">
        <v>55.61333</v>
      </c>
      <c r="O655" t="n">
        <v>24.61522</v>
      </c>
      <c r="P655" t="n">
        <v>21.45936</v>
      </c>
      <c r="Q655" t="n">
        <v>34.71707</v>
      </c>
      <c r="R655" t="n">
        <v>44.96719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50.45088</v>
      </c>
      <c r="Y655" t="n">
        <v>41.62246</v>
      </c>
      <c r="Z655" t="n">
        <v>37.22631</v>
      </c>
      <c r="AA655" t="n">
        <v>12.77731</v>
      </c>
      <c r="AB655" t="n">
        <v>52.07392</v>
      </c>
      <c r="AC655" t="n">
        <v>19.37633</v>
      </c>
      <c r="AD655" t="n">
        <v>54.01193</v>
      </c>
      <c r="AE655" t="n">
        <v>34.84026</v>
      </c>
    </row>
    <row r="656">
      <c r="A656" s="89" t="n">
        <v>38534</v>
      </c>
      <c r="B656" t="n">
        <v>37.97672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26.47299</v>
      </c>
      <c r="I656" t="n">
        <v>30.68645</v>
      </c>
      <c r="J656" t="n">
        <v>48.81116</v>
      </c>
      <c r="K656" t="n">
        <v>52.99106</v>
      </c>
      <c r="L656" t="n">
        <v>64.72659</v>
      </c>
      <c r="M656" t="n">
        <v>57.27878</v>
      </c>
      <c r="N656" t="n">
        <v>55.9426</v>
      </c>
      <c r="O656" t="n">
        <v>25.0488</v>
      </c>
      <c r="P656" t="n">
        <v>21.68746</v>
      </c>
      <c r="Q656" t="n">
        <v>35.31264</v>
      </c>
      <c r="R656" t="n">
        <v>45.31483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50.81009</v>
      </c>
      <c r="Y656" t="n">
        <v>42.16332</v>
      </c>
      <c r="Z656" t="n">
        <v>37.25824</v>
      </c>
      <c r="AA656" t="n">
        <v>13.09421</v>
      </c>
      <c r="AB656" t="n">
        <v>52.96393</v>
      </c>
      <c r="AC656" t="n">
        <v>19.78846</v>
      </c>
      <c r="AD656" t="n">
        <v>54.27428</v>
      </c>
      <c r="AE656" t="n">
        <v>35.50486</v>
      </c>
    </row>
    <row r="657">
      <c r="A657" s="89" t="n">
        <v>38565</v>
      </c>
      <c r="B657" t="n">
        <v>38.09439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26.61085</v>
      </c>
      <c r="I657" t="n">
        <v>31.30913</v>
      </c>
      <c r="J657" t="n">
        <v>49.08056</v>
      </c>
      <c r="K657" t="n">
        <v>53.33559</v>
      </c>
      <c r="L657" t="n">
        <v>64.87823</v>
      </c>
      <c r="M657" t="n">
        <v>57.45025</v>
      </c>
      <c r="N657" t="n">
        <v>56.34964</v>
      </c>
      <c r="O657" t="n">
        <v>25.55486</v>
      </c>
      <c r="P657" t="n">
        <v>21.91241</v>
      </c>
      <c r="Q657" t="n">
        <v>35.83746</v>
      </c>
      <c r="R657" t="n">
        <v>45.50585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51.09975</v>
      </c>
      <c r="Y657" t="n">
        <v>42.53148</v>
      </c>
      <c r="Z657" t="n">
        <v>37.54126</v>
      </c>
      <c r="AA657" t="n">
        <v>13.46325</v>
      </c>
      <c r="AB657" t="n">
        <v>53.25996</v>
      </c>
      <c r="AC657" t="n">
        <v>20.28823</v>
      </c>
      <c r="AD657" t="n">
        <v>54.54659</v>
      </c>
      <c r="AE657" t="n">
        <v>35.78051</v>
      </c>
    </row>
    <row r="658">
      <c r="A658" s="89" t="n">
        <v>38596</v>
      </c>
      <c r="B658" t="n">
        <v>38.41939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27.02948</v>
      </c>
      <c r="I658" t="n">
        <v>31.81762</v>
      </c>
      <c r="J658" t="n">
        <v>49.10284</v>
      </c>
      <c r="K658" t="n">
        <v>53.76122</v>
      </c>
      <c r="L658" t="n">
        <v>65.04797000000001</v>
      </c>
      <c r="M658" t="n">
        <v>57.92984</v>
      </c>
      <c r="N658" t="n">
        <v>56.99247</v>
      </c>
      <c r="O658" t="n">
        <v>26.18155</v>
      </c>
      <c r="P658" t="n">
        <v>22.41583</v>
      </c>
      <c r="Q658" t="n">
        <v>36.41407</v>
      </c>
      <c r="R658" t="n">
        <v>45.48978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51.42155</v>
      </c>
      <c r="Y658" t="n">
        <v>42.98265</v>
      </c>
      <c r="Z658" t="n">
        <v>38.0673</v>
      </c>
      <c r="AA658" t="n">
        <v>13.91869</v>
      </c>
      <c r="AB658" t="n">
        <v>53.30558</v>
      </c>
      <c r="AC658" t="n">
        <v>20.74949</v>
      </c>
      <c r="AD658" t="n">
        <v>54.82969</v>
      </c>
      <c r="AE658" t="n">
        <v>36.14791</v>
      </c>
    </row>
    <row r="659">
      <c r="A659" s="89" t="n">
        <v>38626</v>
      </c>
      <c r="B659" t="n">
        <v>38.61551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27.57967</v>
      </c>
      <c r="I659" t="n">
        <v>32.44872</v>
      </c>
      <c r="J659" t="n">
        <v>49.49739</v>
      </c>
      <c r="K659" t="n">
        <v>54.01084</v>
      </c>
      <c r="L659" t="n">
        <v>65.51672000000001</v>
      </c>
      <c r="M659" t="n">
        <v>58.85485</v>
      </c>
      <c r="N659" t="n">
        <v>57.60753</v>
      </c>
      <c r="O659" t="n">
        <v>26.61066</v>
      </c>
      <c r="P659" t="n">
        <v>22.83817</v>
      </c>
      <c r="Q659" t="n">
        <v>37.10153</v>
      </c>
      <c r="R659" t="n">
        <v>45.54618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51.77122</v>
      </c>
      <c r="Y659" t="n">
        <v>43.5502</v>
      </c>
      <c r="Z659" t="n">
        <v>38.6686</v>
      </c>
      <c r="AA659" t="n">
        <v>14.38303</v>
      </c>
      <c r="AB659" t="n">
        <v>54.3091</v>
      </c>
      <c r="AC659" t="n">
        <v>21.01513</v>
      </c>
      <c r="AD659" t="n">
        <v>55.11445</v>
      </c>
      <c r="AE659" t="n">
        <v>36.60409</v>
      </c>
    </row>
    <row r="660">
      <c r="A660" s="89" t="n">
        <v>38657</v>
      </c>
      <c r="B660" t="n">
        <v>38.67714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28.22039</v>
      </c>
      <c r="I660" t="n">
        <v>33.22792</v>
      </c>
      <c r="J660" t="n">
        <v>50.38005</v>
      </c>
      <c r="K660" t="n">
        <v>54.43851</v>
      </c>
      <c r="L660" t="n">
        <v>65.87474</v>
      </c>
      <c r="M660" t="n">
        <v>59.21534</v>
      </c>
      <c r="N660" t="n">
        <v>58.18877</v>
      </c>
      <c r="O660" t="n">
        <v>26.69896</v>
      </c>
      <c r="P660" t="n">
        <v>23.00184</v>
      </c>
      <c r="Q660" t="n">
        <v>37.81456</v>
      </c>
      <c r="R660" t="n">
        <v>45.92287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51.99937</v>
      </c>
      <c r="Y660" t="n">
        <v>43.95715</v>
      </c>
      <c r="Z660" t="n">
        <v>39.0327</v>
      </c>
      <c r="AA660" t="n">
        <v>14.73689</v>
      </c>
      <c r="AB660" t="n">
        <v>54.96763</v>
      </c>
      <c r="AC660" t="n">
        <v>21.32644</v>
      </c>
      <c r="AD660" t="n">
        <v>55.25061</v>
      </c>
      <c r="AE660" t="n">
        <v>36.77312</v>
      </c>
    </row>
    <row r="661">
      <c r="A661" s="89" t="n">
        <v>38687</v>
      </c>
      <c r="B661" t="n">
        <v>39.01054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28.51999</v>
      </c>
      <c r="I661" t="n">
        <v>33.95321</v>
      </c>
      <c r="J661" t="n">
        <v>51.03147</v>
      </c>
      <c r="K661" t="n">
        <v>54.92216</v>
      </c>
      <c r="L661" t="n">
        <v>66.63905</v>
      </c>
      <c r="M661" t="n">
        <v>59.92864</v>
      </c>
      <c r="N661" t="n">
        <v>58.91221</v>
      </c>
      <c r="O661" t="n">
        <v>26.84932</v>
      </c>
      <c r="P661" t="n">
        <v>23.29244</v>
      </c>
      <c r="Q661" t="n">
        <v>38.46975</v>
      </c>
      <c r="R661" t="n">
        <v>46.07317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52.28476</v>
      </c>
      <c r="Y661" t="n">
        <v>44.45793</v>
      </c>
      <c r="Z661" t="n">
        <v>39.10976</v>
      </c>
      <c r="AA661" t="n">
        <v>15.03363</v>
      </c>
      <c r="AB661" t="n">
        <v>55.21341</v>
      </c>
      <c r="AC661" t="n">
        <v>21.79631</v>
      </c>
      <c r="AD661" t="n">
        <v>55.47393</v>
      </c>
      <c r="AE661" t="n">
        <v>37.60492</v>
      </c>
    </row>
    <row r="662">
      <c r="A662" s="89" t="n">
        <v>38718</v>
      </c>
      <c r="B662" t="n">
        <v>39.45601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28.55886</v>
      </c>
      <c r="I662" t="n">
        <v>34.36285</v>
      </c>
      <c r="J662" t="n">
        <v>51.51576</v>
      </c>
      <c r="K662" t="n">
        <v>57.20307</v>
      </c>
      <c r="L662" t="n">
        <v>67.20077000000001</v>
      </c>
      <c r="M662" t="n">
        <v>60.39901</v>
      </c>
      <c r="N662" t="n">
        <v>59.78686</v>
      </c>
      <c r="O662" t="n">
        <v>27.19197</v>
      </c>
      <c r="P662" t="n">
        <v>23.46516</v>
      </c>
      <c r="Q662" t="n">
        <v>39.08581</v>
      </c>
      <c r="R662" t="n">
        <v>45.79615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52.5924</v>
      </c>
      <c r="Y662" t="n">
        <v>44.83909</v>
      </c>
      <c r="Z662" t="n">
        <v>39.11385</v>
      </c>
      <c r="AA662" t="n">
        <v>15.37637</v>
      </c>
      <c r="AB662" t="n">
        <v>56.2474</v>
      </c>
      <c r="AC662" t="n">
        <v>22.00918</v>
      </c>
      <c r="AD662" t="n">
        <v>55.82594</v>
      </c>
      <c r="AE662" t="n">
        <v>38.94925</v>
      </c>
    </row>
    <row r="663">
      <c r="A663" s="89" t="n">
        <v>38749</v>
      </c>
      <c r="B663" t="n">
        <v>39.76979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28.83853</v>
      </c>
      <c r="I663" t="n">
        <v>34.69572</v>
      </c>
      <c r="J663" t="n">
        <v>52.03088</v>
      </c>
      <c r="K663" t="n">
        <v>57.46348</v>
      </c>
      <c r="L663" t="n">
        <v>67.30381</v>
      </c>
      <c r="M663" t="n">
        <v>60.79145</v>
      </c>
      <c r="N663" t="n">
        <v>60.89386</v>
      </c>
      <c r="O663" t="n">
        <v>27.56912</v>
      </c>
      <c r="P663" t="n">
        <v>23.62107</v>
      </c>
      <c r="Q663" t="n">
        <v>39.6841</v>
      </c>
      <c r="R663" t="n">
        <v>45.85913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52.86169</v>
      </c>
      <c r="Y663" t="n">
        <v>45.18888</v>
      </c>
      <c r="Z663" t="n">
        <v>39.38215</v>
      </c>
      <c r="AA663" t="n">
        <v>15.71363</v>
      </c>
      <c r="AB663" t="n">
        <v>56.631</v>
      </c>
      <c r="AC663" t="n">
        <v>22.30262</v>
      </c>
      <c r="AD663" t="n">
        <v>56.02768</v>
      </c>
      <c r="AE663" t="n">
        <v>40.33769</v>
      </c>
    </row>
    <row r="664">
      <c r="A664" s="89" t="n">
        <v>38777</v>
      </c>
      <c r="B664" t="n">
        <v>40.15923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28.85612</v>
      </c>
      <c r="I664" t="n">
        <v>35.54024</v>
      </c>
      <c r="J664" t="n">
        <v>52.26886</v>
      </c>
      <c r="K664" t="n">
        <v>56.268</v>
      </c>
      <c r="L664" t="n">
        <v>67.73877</v>
      </c>
      <c r="M664" t="n">
        <v>62.09755</v>
      </c>
      <c r="N664" t="n">
        <v>62.83893</v>
      </c>
      <c r="O664" t="n">
        <v>27.86011</v>
      </c>
      <c r="P664" t="n">
        <v>24.33838</v>
      </c>
      <c r="Q664" t="n">
        <v>40.24675</v>
      </c>
      <c r="R664" t="n">
        <v>46.66678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53.24395</v>
      </c>
      <c r="Y664" t="n">
        <v>45.97793</v>
      </c>
      <c r="Z664" t="n">
        <v>39.84482</v>
      </c>
      <c r="AA664" t="n">
        <v>15.96418</v>
      </c>
      <c r="AB664" t="n">
        <v>57.35555</v>
      </c>
      <c r="AC664" t="n">
        <v>22.95119</v>
      </c>
      <c r="AD664" t="n">
        <v>56.1464</v>
      </c>
      <c r="AE664" t="n">
        <v>41.67495</v>
      </c>
    </row>
    <row r="665">
      <c r="A665" s="89" t="n">
        <v>38808</v>
      </c>
      <c r="B665" t="n">
        <v>40.85685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29.40672</v>
      </c>
      <c r="I665" t="n">
        <v>36.28638</v>
      </c>
      <c r="J665" t="n">
        <v>53.00813</v>
      </c>
      <c r="K665" t="n">
        <v>56.88713</v>
      </c>
      <c r="L665" t="n">
        <v>68.62699000000001</v>
      </c>
      <c r="M665" t="n">
        <v>62.9559</v>
      </c>
      <c r="N665" t="n">
        <v>63.93609</v>
      </c>
      <c r="O665" t="n">
        <v>27.95644</v>
      </c>
      <c r="P665" t="n">
        <v>25.00314</v>
      </c>
      <c r="Q665" t="n">
        <v>40.80737</v>
      </c>
      <c r="R665" t="n">
        <v>47.2551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53.69211</v>
      </c>
      <c r="Y665" t="n">
        <v>46.66031</v>
      </c>
      <c r="Z665" t="n">
        <v>40.2368</v>
      </c>
      <c r="AA665" t="n">
        <v>16.34115</v>
      </c>
      <c r="AB665" t="n">
        <v>58.52439</v>
      </c>
      <c r="AC665" t="n">
        <v>23.47533</v>
      </c>
      <c r="AD665" t="n">
        <v>56.45524</v>
      </c>
      <c r="AE665" t="n">
        <v>42.27647</v>
      </c>
    </row>
    <row r="666">
      <c r="A666" s="89" t="n">
        <v>38838</v>
      </c>
      <c r="B666" t="n">
        <v>41.36395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30.19631</v>
      </c>
      <c r="I666" t="n">
        <v>36.59255</v>
      </c>
      <c r="J666" t="n">
        <v>53.80474</v>
      </c>
      <c r="K666" t="n">
        <v>57.15881</v>
      </c>
      <c r="L666" t="n">
        <v>69.3781</v>
      </c>
      <c r="M666" t="n">
        <v>62.97362</v>
      </c>
      <c r="N666" t="n">
        <v>63.55606</v>
      </c>
      <c r="O666" t="n">
        <v>28.43944</v>
      </c>
      <c r="P666" t="n">
        <v>25.23626</v>
      </c>
      <c r="Q666" t="n">
        <v>41.33091</v>
      </c>
      <c r="R666" t="n">
        <v>47.53238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53.98907</v>
      </c>
      <c r="Y666" t="n">
        <v>47.35769</v>
      </c>
      <c r="Z666" t="n">
        <v>40.86657</v>
      </c>
      <c r="AA666" t="n">
        <v>16.80084</v>
      </c>
      <c r="AB666" t="n">
        <v>59.33286</v>
      </c>
      <c r="AC666" t="n">
        <v>24.80253</v>
      </c>
      <c r="AD666" t="n">
        <v>56.5117</v>
      </c>
      <c r="AE666" t="n">
        <v>42.60885</v>
      </c>
    </row>
    <row r="667">
      <c r="A667" s="89" t="n">
        <v>38869</v>
      </c>
      <c r="B667" t="n">
        <v>41.64692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30.60687</v>
      </c>
      <c r="I667" t="n">
        <v>37.03216</v>
      </c>
      <c r="J667" t="n">
        <v>54.12254</v>
      </c>
      <c r="K667" t="n">
        <v>57.8941</v>
      </c>
      <c r="L667" t="n">
        <v>69.69190999999999</v>
      </c>
      <c r="M667" t="n">
        <v>63.35038</v>
      </c>
      <c r="N667" t="n">
        <v>64.65788000000001</v>
      </c>
      <c r="O667" t="n">
        <v>28.94695</v>
      </c>
      <c r="P667" t="n">
        <v>25.46471</v>
      </c>
      <c r="Q667" t="n">
        <v>41.79917</v>
      </c>
      <c r="R667" t="n">
        <v>47.80965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54.39015</v>
      </c>
      <c r="Y667" t="n">
        <v>48.16973</v>
      </c>
      <c r="Z667" t="n">
        <v>41.54684</v>
      </c>
      <c r="AA667" t="n">
        <v>17.35095</v>
      </c>
      <c r="AB667" t="n">
        <v>60.55233</v>
      </c>
      <c r="AC667" t="n">
        <v>25.97089</v>
      </c>
      <c r="AD667" t="n">
        <v>56.82718</v>
      </c>
      <c r="AE667" t="n">
        <v>43.13976</v>
      </c>
    </row>
    <row r="668">
      <c r="A668" s="89" t="n">
        <v>38899</v>
      </c>
      <c r="B668" t="n">
        <v>42.00554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31.30396</v>
      </c>
      <c r="I668" t="n">
        <v>37.62827</v>
      </c>
      <c r="J668" t="n">
        <v>54.62064</v>
      </c>
      <c r="K668" t="n">
        <v>58.16055</v>
      </c>
      <c r="L668" t="n">
        <v>69.90903</v>
      </c>
      <c r="M668" t="n">
        <v>64.0912</v>
      </c>
      <c r="N668" t="n">
        <v>65.94444</v>
      </c>
      <c r="O668" t="n">
        <v>28.99599</v>
      </c>
      <c r="P668" t="n">
        <v>25.83794</v>
      </c>
      <c r="Q668" t="n">
        <v>42.30915</v>
      </c>
      <c r="R668" t="n">
        <v>48.18337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54.67057</v>
      </c>
      <c r="Y668" t="n">
        <v>48.50138</v>
      </c>
      <c r="Z668" t="n">
        <v>42.04191</v>
      </c>
      <c r="AA668" t="n">
        <v>18.00585</v>
      </c>
      <c r="AB668" t="n">
        <v>61.83969</v>
      </c>
      <c r="AC668" t="n">
        <v>25.64908</v>
      </c>
      <c r="AD668" t="n">
        <v>57.17089</v>
      </c>
      <c r="AE668" t="n">
        <v>43.42157</v>
      </c>
    </row>
    <row r="669">
      <c r="A669" s="89" t="n">
        <v>38930</v>
      </c>
      <c r="B669" t="n">
        <v>42.42579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31.90463</v>
      </c>
      <c r="I669" t="n">
        <v>38.41827</v>
      </c>
      <c r="J669" t="n">
        <v>55.3434</v>
      </c>
      <c r="K669" t="n">
        <v>58.29176</v>
      </c>
      <c r="L669" t="n">
        <v>70.06609</v>
      </c>
      <c r="M669" t="n">
        <v>64.67292999999999</v>
      </c>
      <c r="N669" t="n">
        <v>66.09155</v>
      </c>
      <c r="O669" t="n">
        <v>29.22624</v>
      </c>
      <c r="P669" t="n">
        <v>26.39097</v>
      </c>
      <c r="Q669" t="n">
        <v>42.84776</v>
      </c>
      <c r="R669" t="n">
        <v>48.83673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54.89332</v>
      </c>
      <c r="Y669" t="n">
        <v>48.71218</v>
      </c>
      <c r="Z669" t="n">
        <v>42.4836</v>
      </c>
      <c r="AA669" t="n">
        <v>18.59041</v>
      </c>
      <c r="AB669" t="n">
        <v>62.5967</v>
      </c>
      <c r="AC669" t="n">
        <v>25.31731</v>
      </c>
      <c r="AD669" t="n">
        <v>57.42659</v>
      </c>
      <c r="AE669" t="n">
        <v>43.56565</v>
      </c>
    </row>
    <row r="670">
      <c r="A670" s="89" t="n">
        <v>38961</v>
      </c>
      <c r="B670" t="n">
        <v>42.82923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32.01347</v>
      </c>
      <c r="I670" t="n">
        <v>39.43589</v>
      </c>
      <c r="J670" t="n">
        <v>55.63648</v>
      </c>
      <c r="K670" t="n">
        <v>59.13096</v>
      </c>
      <c r="L670" t="n">
        <v>70.66681</v>
      </c>
      <c r="M670" t="n">
        <v>65.56647</v>
      </c>
      <c r="N670" t="n">
        <v>66.29961</v>
      </c>
      <c r="O670" t="n">
        <v>29.57489</v>
      </c>
      <c r="P670" t="n">
        <v>26.89985</v>
      </c>
      <c r="Q670" t="n">
        <v>43.38371</v>
      </c>
      <c r="R670" t="n">
        <v>49.41191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55.23471</v>
      </c>
      <c r="Y670" t="n">
        <v>49.2692</v>
      </c>
      <c r="Z670" t="n">
        <v>43.12127</v>
      </c>
      <c r="AA670" t="n">
        <v>19.10063</v>
      </c>
      <c r="AB670" t="n">
        <v>63.12055</v>
      </c>
      <c r="AC670" t="n">
        <v>25.60769</v>
      </c>
      <c r="AD670" t="n">
        <v>57.65158</v>
      </c>
      <c r="AE670" t="n">
        <v>44.14301</v>
      </c>
    </row>
    <row r="671">
      <c r="A671" s="89" t="n">
        <v>38991</v>
      </c>
      <c r="B671" t="n">
        <v>43.25788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32.18122</v>
      </c>
      <c r="I671" t="n">
        <v>40.38157</v>
      </c>
      <c r="J671" t="n">
        <v>56.0471</v>
      </c>
      <c r="K671" t="n">
        <v>60.1908</v>
      </c>
      <c r="L671" t="n">
        <v>71.26898</v>
      </c>
      <c r="M671" t="n">
        <v>66.5836</v>
      </c>
      <c r="N671" t="n">
        <v>66.35123</v>
      </c>
      <c r="O671" t="n">
        <v>30.05068</v>
      </c>
      <c r="P671" t="n">
        <v>27.16799</v>
      </c>
      <c r="Q671" t="n">
        <v>44.0172</v>
      </c>
      <c r="R671" t="n">
        <v>49.87757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55.60638</v>
      </c>
      <c r="Y671" t="n">
        <v>49.86953</v>
      </c>
      <c r="Z671" t="n">
        <v>43.80297</v>
      </c>
      <c r="AA671" t="n">
        <v>19.7167</v>
      </c>
      <c r="AB671" t="n">
        <v>63.23695</v>
      </c>
      <c r="AC671" t="n">
        <v>25.93095</v>
      </c>
      <c r="AD671" t="n">
        <v>58.05921</v>
      </c>
      <c r="AE671" t="n">
        <v>45.04007</v>
      </c>
    </row>
    <row r="672">
      <c r="A672" s="89" t="n">
        <v>39022</v>
      </c>
      <c r="B672" t="n">
        <v>43.66132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32.87668</v>
      </c>
      <c r="I672" t="n">
        <v>41.33211</v>
      </c>
      <c r="J672" t="n">
        <v>56.87092</v>
      </c>
      <c r="K672" t="n">
        <v>60.92974</v>
      </c>
      <c r="L672" t="n">
        <v>71.66408</v>
      </c>
      <c r="M672" t="n">
        <v>67.15539</v>
      </c>
      <c r="N672" t="n">
        <v>66.58074000000001</v>
      </c>
      <c r="O672" t="n">
        <v>30.50355</v>
      </c>
      <c r="P672" t="n">
        <v>27.4556</v>
      </c>
      <c r="Q672" t="n">
        <v>44.85639</v>
      </c>
      <c r="R672" t="n">
        <v>50.37373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55.92817</v>
      </c>
      <c r="Y672" t="n">
        <v>50.30329</v>
      </c>
      <c r="Z672" t="n">
        <v>44.4305</v>
      </c>
      <c r="AA672" t="n">
        <v>20.38812</v>
      </c>
      <c r="AB672" t="n">
        <v>63.32087</v>
      </c>
      <c r="AC672" t="n">
        <v>26.16482</v>
      </c>
      <c r="AD672" t="n">
        <v>58.35062</v>
      </c>
      <c r="AE672" t="n">
        <v>45.94409</v>
      </c>
    </row>
    <row r="673">
      <c r="A673" s="89" t="n">
        <v>39052</v>
      </c>
      <c r="B673" t="n">
        <v>44.07597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33.29504</v>
      </c>
      <c r="I673" t="n">
        <v>42.01144</v>
      </c>
      <c r="J673" t="n">
        <v>57.66341</v>
      </c>
      <c r="K673" t="n">
        <v>61.26351</v>
      </c>
      <c r="L673" t="n">
        <v>72.76392</v>
      </c>
      <c r="M673" t="n">
        <v>67.86271000000001</v>
      </c>
      <c r="N673" t="n">
        <v>67.14454000000001</v>
      </c>
      <c r="O673" t="n">
        <v>30.81024</v>
      </c>
      <c r="P673" t="n">
        <v>27.88753</v>
      </c>
      <c r="Q673" t="n">
        <v>45.8675</v>
      </c>
      <c r="R673" t="n">
        <v>51.04235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56.38037</v>
      </c>
      <c r="Y673" t="n">
        <v>50.90823</v>
      </c>
      <c r="Z673" t="n">
        <v>45.07062</v>
      </c>
      <c r="AA673" t="n">
        <v>20.92935</v>
      </c>
      <c r="AB673" t="n">
        <v>63.89422</v>
      </c>
      <c r="AC673" t="n">
        <v>26.64478</v>
      </c>
      <c r="AD673" t="n">
        <v>58.70927</v>
      </c>
      <c r="AE673" t="n">
        <v>46.72229</v>
      </c>
    </row>
    <row r="674">
      <c r="A674" s="89" t="n">
        <v>39083</v>
      </c>
      <c r="B674" t="n">
        <v>44.52424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33.2457</v>
      </c>
      <c r="I674" t="n">
        <v>42.50506</v>
      </c>
      <c r="J674" t="n">
        <v>58.57141</v>
      </c>
      <c r="K674" t="n">
        <v>61.66805</v>
      </c>
      <c r="L674" t="n">
        <v>73.68704</v>
      </c>
      <c r="M674" t="n">
        <v>68.50121</v>
      </c>
      <c r="N674" t="n">
        <v>67.64388</v>
      </c>
      <c r="O674" t="n">
        <v>31.17442</v>
      </c>
      <c r="P674" t="n">
        <v>28.2892</v>
      </c>
      <c r="Q674" t="n">
        <v>47.02999</v>
      </c>
      <c r="R674" t="n">
        <v>51.69816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56.75238</v>
      </c>
      <c r="Y674" t="n">
        <v>51.58089</v>
      </c>
      <c r="Z674" t="n">
        <v>45.93355</v>
      </c>
      <c r="AA674" t="n">
        <v>21.51536</v>
      </c>
      <c r="AB674" t="n">
        <v>65.05459999999999</v>
      </c>
      <c r="AC674" t="n">
        <v>27.17323</v>
      </c>
      <c r="AD674" t="n">
        <v>59.02475</v>
      </c>
      <c r="AE674" t="n">
        <v>47.55091</v>
      </c>
    </row>
    <row r="675">
      <c r="A675" s="89" t="n">
        <v>39114</v>
      </c>
      <c r="B675" t="n">
        <v>45.16302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33.69477</v>
      </c>
      <c r="I675" t="n">
        <v>43.2662</v>
      </c>
      <c r="J675" t="n">
        <v>59.30701</v>
      </c>
      <c r="K675" t="n">
        <v>62.37133</v>
      </c>
      <c r="L675" t="n">
        <v>73.94446000000001</v>
      </c>
      <c r="M675" t="n">
        <v>68.98949</v>
      </c>
      <c r="N675" t="n">
        <v>67.99563000000001</v>
      </c>
      <c r="O675" t="n">
        <v>31.5383</v>
      </c>
      <c r="P675" t="n">
        <v>28.77255</v>
      </c>
      <c r="Q675" t="n">
        <v>48.37229</v>
      </c>
      <c r="R675" t="n">
        <v>52.18668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56.98694</v>
      </c>
      <c r="Y675" t="n">
        <v>52.12704</v>
      </c>
      <c r="Z675" t="n">
        <v>46.63795</v>
      </c>
      <c r="AA675" t="n">
        <v>22.04899</v>
      </c>
      <c r="AB675" t="n">
        <v>66.16</v>
      </c>
      <c r="AC675" t="n">
        <v>27.58206</v>
      </c>
      <c r="AD675" t="n">
        <v>59.15509</v>
      </c>
      <c r="AE675" t="n">
        <v>49.23785</v>
      </c>
    </row>
    <row r="676">
      <c r="A676" s="89" t="n">
        <v>39142</v>
      </c>
      <c r="B676" t="n">
        <v>45.9587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34.97308</v>
      </c>
      <c r="I676" t="n">
        <v>44.30969</v>
      </c>
      <c r="J676" t="n">
        <v>59.77803</v>
      </c>
      <c r="K676" t="n">
        <v>63.36587</v>
      </c>
      <c r="L676" t="n">
        <v>74.83857999999999</v>
      </c>
      <c r="M676" t="n">
        <v>69.83963</v>
      </c>
      <c r="N676" t="n">
        <v>68.31506</v>
      </c>
      <c r="O676" t="n">
        <v>31.92796</v>
      </c>
      <c r="P676" t="n">
        <v>29.65061</v>
      </c>
      <c r="Q676" t="n">
        <v>49.96592</v>
      </c>
      <c r="R676" t="n">
        <v>52.52921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57.38897</v>
      </c>
      <c r="Y676" t="n">
        <v>52.6756</v>
      </c>
      <c r="Z676" t="n">
        <v>46.97087</v>
      </c>
      <c r="AA676" t="n">
        <v>22.54857</v>
      </c>
      <c r="AB676" t="n">
        <v>66.90176</v>
      </c>
      <c r="AC676" t="n">
        <v>27.86996</v>
      </c>
      <c r="AD676" t="n">
        <v>59.4357</v>
      </c>
      <c r="AE676" t="n">
        <v>50.59856</v>
      </c>
    </row>
    <row r="677">
      <c r="A677" s="89" t="n">
        <v>39173</v>
      </c>
      <c r="B677" t="n">
        <v>46.6283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36.00235</v>
      </c>
      <c r="I677" t="n">
        <v>44.94527</v>
      </c>
      <c r="J677" t="n">
        <v>60.85343</v>
      </c>
      <c r="K677" t="n">
        <v>63.76192</v>
      </c>
      <c r="L677" t="n">
        <v>75.87624</v>
      </c>
      <c r="M677" t="n">
        <v>70.67682000000001</v>
      </c>
      <c r="N677" t="n">
        <v>68.57798</v>
      </c>
      <c r="O677" t="n">
        <v>32.26581</v>
      </c>
      <c r="P677" t="n">
        <v>30.16648</v>
      </c>
      <c r="Q677" t="n">
        <v>51.80834</v>
      </c>
      <c r="R677" t="n">
        <v>52.81646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57.87324</v>
      </c>
      <c r="Y677" t="n">
        <v>53.22292</v>
      </c>
      <c r="Z677" t="n">
        <v>47.43393</v>
      </c>
      <c r="AA677" t="n">
        <v>23.64906</v>
      </c>
      <c r="AB677" t="n">
        <v>67.52734</v>
      </c>
      <c r="AC677" t="n">
        <v>28.21742</v>
      </c>
      <c r="AD677" t="n">
        <v>60.03512</v>
      </c>
      <c r="AE677" t="n">
        <v>51.20172</v>
      </c>
    </row>
    <row r="678">
      <c r="A678" s="89" t="n">
        <v>39203</v>
      </c>
      <c r="B678" t="n">
        <v>47.19984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36.5469</v>
      </c>
      <c r="I678" t="n">
        <v>45.1314</v>
      </c>
      <c r="J678" t="n">
        <v>62.24747</v>
      </c>
      <c r="K678" t="n">
        <v>63.84542</v>
      </c>
      <c r="L678" t="n">
        <v>76.59356</v>
      </c>
      <c r="M678" t="n">
        <v>71.80265</v>
      </c>
      <c r="N678" t="n">
        <v>68.95356</v>
      </c>
      <c r="O678" t="n">
        <v>32.47444</v>
      </c>
      <c r="P678" t="n">
        <v>30.2391</v>
      </c>
      <c r="Q678" t="n">
        <v>53.67901</v>
      </c>
      <c r="R678" t="n">
        <v>53.12287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58.16609</v>
      </c>
      <c r="Y678" t="n">
        <v>53.92549</v>
      </c>
      <c r="Z678" t="n">
        <v>47.78672</v>
      </c>
      <c r="AA678" t="n">
        <v>24.85877</v>
      </c>
      <c r="AB678" t="n">
        <v>68.17231</v>
      </c>
      <c r="AC678" t="n">
        <v>28.75617</v>
      </c>
      <c r="AD678" t="n">
        <v>60.15218</v>
      </c>
      <c r="AE678" t="n">
        <v>52.10321</v>
      </c>
    </row>
    <row r="679">
      <c r="A679" s="89" t="n">
        <v>39234</v>
      </c>
      <c r="B679" t="n">
        <v>48.08237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36.52522</v>
      </c>
      <c r="I679" t="n">
        <v>45.97964</v>
      </c>
      <c r="J679" t="n">
        <v>62.69596</v>
      </c>
      <c r="K679" t="n">
        <v>64.89478</v>
      </c>
      <c r="L679" t="n">
        <v>77.3759</v>
      </c>
      <c r="M679" t="n">
        <v>72.8451</v>
      </c>
      <c r="N679" t="n">
        <v>69.88682</v>
      </c>
      <c r="O679" t="n">
        <v>32.99313</v>
      </c>
      <c r="P679" t="n">
        <v>30.80192</v>
      </c>
      <c r="Q679" t="n">
        <v>55.58387</v>
      </c>
      <c r="R679" t="n">
        <v>53.65554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58.56694</v>
      </c>
      <c r="Y679" t="n">
        <v>54.63445</v>
      </c>
      <c r="Z679" t="n">
        <v>47.96987</v>
      </c>
      <c r="AA679" t="n">
        <v>26.01052</v>
      </c>
      <c r="AB679" t="n">
        <v>68.99571</v>
      </c>
      <c r="AC679" t="n">
        <v>29.29412</v>
      </c>
      <c r="AD679" t="n">
        <v>60.42781</v>
      </c>
      <c r="AE679" t="n">
        <v>53.0471</v>
      </c>
    </row>
    <row r="680">
      <c r="A680" s="89" t="n">
        <v>39264</v>
      </c>
      <c r="B680" t="n">
        <v>49.02934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36.72456</v>
      </c>
      <c r="I680" t="n">
        <v>46.7565</v>
      </c>
      <c r="J680" t="n">
        <v>63.09424</v>
      </c>
      <c r="K680" t="n">
        <v>66.21314</v>
      </c>
      <c r="L680" t="n">
        <v>77.99590999999999</v>
      </c>
      <c r="M680" t="n">
        <v>73.67574</v>
      </c>
      <c r="N680" t="n">
        <v>70.83208</v>
      </c>
      <c r="O680" t="n">
        <v>33.82523</v>
      </c>
      <c r="P680" t="n">
        <v>31.54329</v>
      </c>
      <c r="Q680" t="n">
        <v>57.63438</v>
      </c>
      <c r="R680" t="n">
        <v>54.66809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58.92458</v>
      </c>
      <c r="Y680" t="n">
        <v>55.27992</v>
      </c>
      <c r="Z680" t="n">
        <v>48.46305</v>
      </c>
      <c r="AA680" t="n">
        <v>26.69476</v>
      </c>
      <c r="AB680" t="n">
        <v>69.62703999999999</v>
      </c>
      <c r="AC680" t="n">
        <v>29.79032</v>
      </c>
      <c r="AD680" t="n">
        <v>60.68019</v>
      </c>
      <c r="AE680" t="n">
        <v>53.80826</v>
      </c>
    </row>
    <row r="681">
      <c r="A681" s="89" t="n">
        <v>39295</v>
      </c>
      <c r="B681" t="n">
        <v>49.85583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37.0423</v>
      </c>
      <c r="I681" t="n">
        <v>47.4838</v>
      </c>
      <c r="J681" t="n">
        <v>63.85078</v>
      </c>
      <c r="K681" t="n">
        <v>67.42412</v>
      </c>
      <c r="L681" t="n">
        <v>78.28655999999999</v>
      </c>
      <c r="M681" t="n">
        <v>74.39085</v>
      </c>
      <c r="N681" t="n">
        <v>71.76631</v>
      </c>
      <c r="O681" t="n">
        <v>34.36432</v>
      </c>
      <c r="P681" t="n">
        <v>32.06529</v>
      </c>
      <c r="Q681" t="n">
        <v>59.66856</v>
      </c>
      <c r="R681" t="n">
        <v>54.9876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59.51821</v>
      </c>
      <c r="Y681" t="n">
        <v>55.92228</v>
      </c>
      <c r="Z681" t="n">
        <v>49.24147</v>
      </c>
      <c r="AA681" t="n">
        <v>26.90796</v>
      </c>
      <c r="AB681" t="n">
        <v>70.86176</v>
      </c>
      <c r="AC681" t="n">
        <v>30.18801</v>
      </c>
      <c r="AD681" t="n">
        <v>61.31199</v>
      </c>
      <c r="AE681" t="n">
        <v>54.61069</v>
      </c>
    </row>
    <row r="682">
      <c r="A682" s="89" t="n">
        <v>39326</v>
      </c>
      <c r="B682" t="n">
        <v>50.76918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37.56883</v>
      </c>
      <c r="I682" t="n">
        <v>48.57309</v>
      </c>
      <c r="J682" t="n">
        <v>63.97276</v>
      </c>
      <c r="K682" t="n">
        <v>68.35054</v>
      </c>
      <c r="L682" t="n">
        <v>78.74497</v>
      </c>
      <c r="M682" t="n">
        <v>74.8862</v>
      </c>
      <c r="N682" t="n">
        <v>72.73699000000001</v>
      </c>
      <c r="O682" t="n">
        <v>34.66786</v>
      </c>
      <c r="P682" t="n">
        <v>32.65668</v>
      </c>
      <c r="Q682" t="n">
        <v>61.7862</v>
      </c>
      <c r="R682" t="n">
        <v>54.9418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59.88334</v>
      </c>
      <c r="Y682" t="n">
        <v>56.35397</v>
      </c>
      <c r="Z682" t="n">
        <v>49.73889</v>
      </c>
      <c r="AA682" t="n">
        <v>27.55918</v>
      </c>
      <c r="AB682" t="n">
        <v>72.91373</v>
      </c>
      <c r="AC682" t="n">
        <v>30.19838</v>
      </c>
      <c r="AD682" t="n">
        <v>61.46225</v>
      </c>
      <c r="AE682" t="n">
        <v>55.45541</v>
      </c>
    </row>
    <row r="683">
      <c r="A683" s="89" t="n">
        <v>39356</v>
      </c>
      <c r="B683" t="n">
        <v>51.87024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38.61757</v>
      </c>
      <c r="I683" t="n">
        <v>49.4035</v>
      </c>
      <c r="J683" t="n">
        <v>64.39105000000001</v>
      </c>
      <c r="K683" t="n">
        <v>68.83432000000001</v>
      </c>
      <c r="L683" t="n">
        <v>79.6703</v>
      </c>
      <c r="M683" t="n">
        <v>74.93787</v>
      </c>
      <c r="N683" t="n">
        <v>73.88251</v>
      </c>
      <c r="O683" t="n">
        <v>34.96779</v>
      </c>
      <c r="P683" t="n">
        <v>33.28186</v>
      </c>
      <c r="Q683" t="n">
        <v>64.06158000000001</v>
      </c>
      <c r="R683" t="n">
        <v>55.1744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60.13213</v>
      </c>
      <c r="Y683" t="n">
        <v>56.60936</v>
      </c>
      <c r="Z683" t="n">
        <v>50.05168</v>
      </c>
      <c r="AA683" t="n">
        <v>28.34094</v>
      </c>
      <c r="AB683" t="n">
        <v>74.87245</v>
      </c>
      <c r="AC683" t="n">
        <v>30.14376</v>
      </c>
      <c r="AD683" t="n">
        <v>61.57848</v>
      </c>
      <c r="AE683" t="n">
        <v>55.99045</v>
      </c>
    </row>
    <row r="684">
      <c r="A684" s="89" t="n">
        <v>39387</v>
      </c>
      <c r="B684" t="n">
        <v>53.25987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39.25314</v>
      </c>
      <c r="I684" t="n">
        <v>50.06745</v>
      </c>
      <c r="J684" t="n">
        <v>65.69898000000001</v>
      </c>
      <c r="K684" t="n">
        <v>69.55422</v>
      </c>
      <c r="L684" t="n">
        <v>80.6054</v>
      </c>
      <c r="M684" t="n">
        <v>75.21008</v>
      </c>
      <c r="N684" t="n">
        <v>74.44703</v>
      </c>
      <c r="O684" t="n">
        <v>35.35355</v>
      </c>
      <c r="P684" t="n">
        <v>33.84077</v>
      </c>
      <c r="Q684" t="n">
        <v>66.1571</v>
      </c>
      <c r="R684" t="n">
        <v>55.00826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60.49662</v>
      </c>
      <c r="Y684" t="n">
        <v>57.02505</v>
      </c>
      <c r="Z684" t="n">
        <v>50.55756</v>
      </c>
      <c r="AA684" t="n">
        <v>29.0272</v>
      </c>
      <c r="AB684" t="n">
        <v>76.27435</v>
      </c>
      <c r="AC684" t="n">
        <v>30.36072</v>
      </c>
      <c r="AD684" t="n">
        <v>61.78271</v>
      </c>
      <c r="AE684" t="n">
        <v>56.72096</v>
      </c>
    </row>
    <row r="685">
      <c r="A685" s="89" t="n">
        <v>39417</v>
      </c>
      <c r="B685" t="n">
        <v>54.19563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39.44952</v>
      </c>
      <c r="I685" t="n">
        <v>50.6069</v>
      </c>
      <c r="J685" t="n">
        <v>67.01763</v>
      </c>
      <c r="K685" t="n">
        <v>71.0359</v>
      </c>
      <c r="L685" t="n">
        <v>81.5077</v>
      </c>
      <c r="M685" t="n">
        <v>76.40188999999999</v>
      </c>
      <c r="N685" t="n">
        <v>74.55341</v>
      </c>
      <c r="O685" t="n">
        <v>36.25618</v>
      </c>
      <c r="P685" t="n">
        <v>34.40535</v>
      </c>
      <c r="Q685" t="n">
        <v>68.10549</v>
      </c>
      <c r="R685" t="n">
        <v>55.05448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60.90029</v>
      </c>
      <c r="Y685" t="n">
        <v>57.78104</v>
      </c>
      <c r="Z685" t="n">
        <v>51.10683</v>
      </c>
      <c r="AA685" t="n">
        <v>29.72718</v>
      </c>
      <c r="AB685" t="n">
        <v>76.52672</v>
      </c>
      <c r="AC685" t="n">
        <v>30.78401</v>
      </c>
      <c r="AD685" t="n">
        <v>62.03012</v>
      </c>
      <c r="AE685" t="n">
        <v>57.71616</v>
      </c>
    </row>
    <row r="686">
      <c r="A686" s="89" t="n">
        <v>39448</v>
      </c>
      <c r="B686" t="n">
        <v>54.80359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39.61506</v>
      </c>
      <c r="I686" t="n">
        <v>52.47636</v>
      </c>
      <c r="J686" t="n">
        <v>67.82338</v>
      </c>
      <c r="K686" t="n">
        <v>72.26685000000001</v>
      </c>
      <c r="L686" t="n">
        <v>82.41399</v>
      </c>
      <c r="M686" t="n">
        <v>78.35689000000001</v>
      </c>
      <c r="N686" t="n">
        <v>75.06717999999999</v>
      </c>
      <c r="O686" t="n">
        <v>36.76052</v>
      </c>
      <c r="P686" t="n">
        <v>34.97416</v>
      </c>
      <c r="Q686" t="n">
        <v>70.05381</v>
      </c>
      <c r="R686" t="n">
        <v>55.32652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61.36812</v>
      </c>
      <c r="Y686" t="n">
        <v>58.66701</v>
      </c>
      <c r="Z686" t="n">
        <v>51.88093</v>
      </c>
      <c r="AA686" t="n">
        <v>30.47481</v>
      </c>
      <c r="AB686" t="n">
        <v>75.6069</v>
      </c>
      <c r="AC686" t="n">
        <v>31.3584</v>
      </c>
      <c r="AD686" t="n">
        <v>62.31156</v>
      </c>
      <c r="AE686" t="n">
        <v>58.89766</v>
      </c>
    </row>
    <row r="687">
      <c r="A687" s="89" t="n">
        <v>39479</v>
      </c>
      <c r="B687" t="n">
        <v>55.36953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39.94368</v>
      </c>
      <c r="I687" t="n">
        <v>54.6561</v>
      </c>
      <c r="J687" t="n">
        <v>68.17534000000001</v>
      </c>
      <c r="K687" t="n">
        <v>74.40993</v>
      </c>
      <c r="L687" t="n">
        <v>82.95396</v>
      </c>
      <c r="M687" t="n">
        <v>79.92389</v>
      </c>
      <c r="N687" t="n">
        <v>76.73614999999999</v>
      </c>
      <c r="O687" t="n">
        <v>36.86916</v>
      </c>
      <c r="P687" t="n">
        <v>35.61239</v>
      </c>
      <c r="Q687" t="n">
        <v>71.93932</v>
      </c>
      <c r="R687" t="n">
        <v>55.65318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61.99076</v>
      </c>
      <c r="Y687" t="n">
        <v>59.49217</v>
      </c>
      <c r="Z687" t="n">
        <v>52.71478</v>
      </c>
      <c r="AA687" t="n">
        <v>31.13425</v>
      </c>
      <c r="AB687" t="n">
        <v>75.2496</v>
      </c>
      <c r="AC687" t="n">
        <v>31.98899</v>
      </c>
      <c r="AD687" t="n">
        <v>63.01807</v>
      </c>
      <c r="AE687" t="n">
        <v>60.12881</v>
      </c>
    </row>
    <row r="688">
      <c r="A688" s="89" t="n">
        <v>39508</v>
      </c>
      <c r="B688" t="n">
        <v>55.8234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40.16507</v>
      </c>
      <c r="I688" t="n">
        <v>55.52033</v>
      </c>
      <c r="J688" t="n">
        <v>68.43114</v>
      </c>
      <c r="K688" t="n">
        <v>75.56547</v>
      </c>
      <c r="L688" t="n">
        <v>83.38482999999999</v>
      </c>
      <c r="M688" t="n">
        <v>80.88475</v>
      </c>
      <c r="N688" t="n">
        <v>78.10912</v>
      </c>
      <c r="O688" t="n">
        <v>37.09291</v>
      </c>
      <c r="P688" t="n">
        <v>36.30758</v>
      </c>
      <c r="Q688" t="n">
        <v>73.63397999999999</v>
      </c>
      <c r="R688" t="n">
        <v>55.98991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62.53446</v>
      </c>
      <c r="Y688" t="n">
        <v>60.42531</v>
      </c>
      <c r="Z688" t="n">
        <v>53.27646</v>
      </c>
      <c r="AA688" t="n">
        <v>31.78699</v>
      </c>
      <c r="AB688" t="n">
        <v>76.11665000000001</v>
      </c>
      <c r="AC688" t="n">
        <v>33.13153</v>
      </c>
      <c r="AD688" t="n">
        <v>63.56269</v>
      </c>
      <c r="AE688" t="n">
        <v>60.94812</v>
      </c>
    </row>
    <row r="689">
      <c r="A689" s="89" t="n">
        <v>39539</v>
      </c>
      <c r="B689" t="n">
        <v>56.41735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41.03561</v>
      </c>
      <c r="I689" t="n">
        <v>56.5693</v>
      </c>
      <c r="J689" t="n">
        <v>69.00036</v>
      </c>
      <c r="K689" t="n">
        <v>75.25105000000001</v>
      </c>
      <c r="L689" t="n">
        <v>84.16901</v>
      </c>
      <c r="M689" t="n">
        <v>81.69157</v>
      </c>
      <c r="N689" t="n">
        <v>78.16981</v>
      </c>
      <c r="O689" t="n">
        <v>37.38252</v>
      </c>
      <c r="P689" t="n">
        <v>36.73304</v>
      </c>
      <c r="Q689" t="n">
        <v>75.22147</v>
      </c>
      <c r="R689" t="n">
        <v>56.27518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62.99585</v>
      </c>
      <c r="Y689" t="n">
        <v>61.29039</v>
      </c>
      <c r="Z689" t="n">
        <v>54.21083</v>
      </c>
      <c r="AA689" t="n">
        <v>32.4278</v>
      </c>
      <c r="AB689" t="n">
        <v>77.6349</v>
      </c>
      <c r="AC689" t="n">
        <v>34.12496</v>
      </c>
      <c r="AD689" t="n">
        <v>63.91968</v>
      </c>
      <c r="AE689" t="n">
        <v>61.75611</v>
      </c>
    </row>
    <row r="690">
      <c r="A690" s="89" t="n">
        <v>39569</v>
      </c>
      <c r="B690" t="n">
        <v>56.86562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41.54255</v>
      </c>
      <c r="I690" t="n">
        <v>57.84962</v>
      </c>
      <c r="J690" t="n">
        <v>69.97266</v>
      </c>
      <c r="K690" t="n">
        <v>76.00723000000001</v>
      </c>
      <c r="L690" t="n">
        <v>85.03422999999999</v>
      </c>
      <c r="M690" t="n">
        <v>81.96239</v>
      </c>
      <c r="N690" t="n">
        <v>77.56117</v>
      </c>
      <c r="O690" t="n">
        <v>38.00879</v>
      </c>
      <c r="P690" t="n">
        <v>37.1142</v>
      </c>
      <c r="Q690" t="n">
        <v>77.15434999999999</v>
      </c>
      <c r="R690" t="n">
        <v>56.49876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63.27307</v>
      </c>
      <c r="Y690" t="n">
        <v>61.56221</v>
      </c>
      <c r="Z690" t="n">
        <v>55.02856</v>
      </c>
      <c r="AA690" t="n">
        <v>32.78512</v>
      </c>
      <c r="AB690" t="n">
        <v>78.36812999999999</v>
      </c>
      <c r="AC690" t="n">
        <v>34.10747</v>
      </c>
      <c r="AD690" t="n">
        <v>64.0193</v>
      </c>
      <c r="AE690" t="n">
        <v>62.84326</v>
      </c>
    </row>
    <row r="691">
      <c r="A691" s="89" t="n">
        <v>39600</v>
      </c>
      <c r="B691" t="n">
        <v>57.4932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41.50285</v>
      </c>
      <c r="I691" t="n">
        <v>58.44344</v>
      </c>
      <c r="J691" t="n">
        <v>70.13713</v>
      </c>
      <c r="K691" t="n">
        <v>76.09008</v>
      </c>
      <c r="L691" t="n">
        <v>85.52795</v>
      </c>
      <c r="M691" t="n">
        <v>82.29573000000001</v>
      </c>
      <c r="N691" t="n">
        <v>76.38518000000001</v>
      </c>
      <c r="O691" t="n">
        <v>38.71209</v>
      </c>
      <c r="P691" t="n">
        <v>37.70275</v>
      </c>
      <c r="Q691" t="n">
        <v>79.34676</v>
      </c>
      <c r="R691" t="n">
        <v>56.90744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63.47307</v>
      </c>
      <c r="Y691" t="n">
        <v>61.64874</v>
      </c>
      <c r="Z691" t="n">
        <v>55.58471</v>
      </c>
      <c r="AA691" t="n">
        <v>33.37289</v>
      </c>
      <c r="AB691" t="n">
        <v>77.32256</v>
      </c>
      <c r="AC691" t="n">
        <v>34.16924</v>
      </c>
      <c r="AD691" t="n">
        <v>64.16625000000001</v>
      </c>
      <c r="AE691" t="n">
        <v>63.7663</v>
      </c>
    </row>
    <row r="692">
      <c r="A692" s="89" t="n">
        <v>39630</v>
      </c>
      <c r="B692" t="n">
        <v>58.62788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41.96383</v>
      </c>
      <c r="I692" t="n">
        <v>59.16784</v>
      </c>
      <c r="J692" t="n">
        <v>70.63339999999999</v>
      </c>
      <c r="K692" t="n">
        <v>76.08338999999999</v>
      </c>
      <c r="L692" t="n">
        <v>85.75548999999999</v>
      </c>
      <c r="M692" t="n">
        <v>82.55391</v>
      </c>
      <c r="N692" t="n">
        <v>77.30373</v>
      </c>
      <c r="O692" t="n">
        <v>39.12234</v>
      </c>
      <c r="P692" t="n">
        <v>38.07385</v>
      </c>
      <c r="Q692" t="n">
        <v>81.38454</v>
      </c>
      <c r="R692" t="n">
        <v>57.6254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63.84063</v>
      </c>
      <c r="Y692" t="n">
        <v>62.06237</v>
      </c>
      <c r="Z692" t="n">
        <v>56.54437</v>
      </c>
      <c r="AA692" t="n">
        <v>34.30618</v>
      </c>
      <c r="AB692" t="n">
        <v>77.42921</v>
      </c>
      <c r="AC692" t="n">
        <v>34.64274</v>
      </c>
      <c r="AD692" t="n">
        <v>64.5523</v>
      </c>
      <c r="AE692" t="n">
        <v>64.28666</v>
      </c>
    </row>
    <row r="693">
      <c r="A693" s="89" t="n">
        <v>39661</v>
      </c>
      <c r="B693" t="n">
        <v>59.57765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42.71117</v>
      </c>
      <c r="I693" t="n">
        <v>59.95674</v>
      </c>
      <c r="J693" t="n">
        <v>71.88742999999999</v>
      </c>
      <c r="K693" t="n">
        <v>76.34856000000001</v>
      </c>
      <c r="L693" t="n">
        <v>86.01992</v>
      </c>
      <c r="M693" t="n">
        <v>83.18264000000001</v>
      </c>
      <c r="N693" t="n">
        <v>78.29111</v>
      </c>
      <c r="O693" t="n">
        <v>39.02028</v>
      </c>
      <c r="P693" t="n">
        <v>38.6682</v>
      </c>
      <c r="Q693" t="n">
        <v>83.35777</v>
      </c>
      <c r="R693" t="n">
        <v>58.24393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64.15186</v>
      </c>
      <c r="Y693" t="n">
        <v>62.5782</v>
      </c>
      <c r="Z693" t="n">
        <v>57.54346</v>
      </c>
      <c r="AA693" t="n">
        <v>34.78072</v>
      </c>
      <c r="AB693" t="n">
        <v>78.19653</v>
      </c>
      <c r="AC693" t="n">
        <v>34.80141</v>
      </c>
      <c r="AD693" t="n">
        <v>64.67516999999999</v>
      </c>
      <c r="AE693" t="n">
        <v>64.33396999999999</v>
      </c>
    </row>
    <row r="694">
      <c r="A694" s="89" t="n">
        <v>39692</v>
      </c>
      <c r="B694" t="n">
        <v>60.48259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43.68899</v>
      </c>
      <c r="I694" t="n">
        <v>60.2387</v>
      </c>
      <c r="J694" t="n">
        <v>72.44374999999999</v>
      </c>
      <c r="K694" t="n">
        <v>76.35550000000001</v>
      </c>
      <c r="L694" t="n">
        <v>86.44452</v>
      </c>
      <c r="M694" t="n">
        <v>83.6186</v>
      </c>
      <c r="N694" t="n">
        <v>78.33933</v>
      </c>
      <c r="O694" t="n">
        <v>39.88288</v>
      </c>
      <c r="P694" t="n">
        <v>39.34351</v>
      </c>
      <c r="Q694" t="n">
        <v>85.1036</v>
      </c>
      <c r="R694" t="n">
        <v>58.71367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64.63548</v>
      </c>
      <c r="Y694" t="n">
        <v>63.09066</v>
      </c>
      <c r="Z694" t="n">
        <v>58.25437</v>
      </c>
      <c r="AA694" t="n">
        <v>35.46977</v>
      </c>
      <c r="AB694" t="n">
        <v>77.58879</v>
      </c>
      <c r="AC694" t="n">
        <v>35.52542</v>
      </c>
      <c r="AD694" t="n">
        <v>65.25051000000001</v>
      </c>
      <c r="AE694" t="n">
        <v>64.59795</v>
      </c>
    </row>
    <row r="695">
      <c r="A695" s="89" t="n">
        <v>39722</v>
      </c>
      <c r="B695" t="n">
        <v>61.42115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44.44723</v>
      </c>
      <c r="I695" t="n">
        <v>60.53063</v>
      </c>
      <c r="J695" t="n">
        <v>73.06119</v>
      </c>
      <c r="K695" t="n">
        <v>78.05504999999999</v>
      </c>
      <c r="L695" t="n">
        <v>87.35616</v>
      </c>
      <c r="M695" t="n">
        <v>85.21313000000001</v>
      </c>
      <c r="N695" t="n">
        <v>79.19271000000001</v>
      </c>
      <c r="O695" t="n">
        <v>41.23006</v>
      </c>
      <c r="P695" t="n">
        <v>39.96434</v>
      </c>
      <c r="Q695" t="n">
        <v>86.43982</v>
      </c>
      <c r="R695" t="n">
        <v>59.60906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65.38003999999999</v>
      </c>
      <c r="Y695" t="n">
        <v>64.26349</v>
      </c>
      <c r="Z695" t="n">
        <v>58.75585</v>
      </c>
      <c r="AA695" t="n">
        <v>35.98734</v>
      </c>
      <c r="AB695" t="n">
        <v>76.96893</v>
      </c>
      <c r="AC695" t="n">
        <v>37.01697</v>
      </c>
      <c r="AD695" t="n">
        <v>66.12888</v>
      </c>
      <c r="AE695" t="n">
        <v>65.36951999999999</v>
      </c>
    </row>
    <row r="696">
      <c r="A696" s="89" t="n">
        <v>39753</v>
      </c>
      <c r="B696" t="n">
        <v>62.54462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44.95346</v>
      </c>
      <c r="I696" t="n">
        <v>60.8592</v>
      </c>
      <c r="J696" t="n">
        <v>74.20063</v>
      </c>
      <c r="K696" t="n">
        <v>80.1621</v>
      </c>
      <c r="L696" t="n">
        <v>88.1511</v>
      </c>
      <c r="M696" t="n">
        <v>88.00114000000001</v>
      </c>
      <c r="N696" t="n">
        <v>79.81967</v>
      </c>
      <c r="O696" t="n">
        <v>41.94718</v>
      </c>
      <c r="P696" t="n">
        <v>40.56256</v>
      </c>
      <c r="Q696" t="n">
        <v>87.78527</v>
      </c>
      <c r="R696" t="n">
        <v>60.91813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65.99633</v>
      </c>
      <c r="Y696" t="n">
        <v>65.68252</v>
      </c>
      <c r="Z696" t="n">
        <v>59.516</v>
      </c>
      <c r="AA696" t="n">
        <v>35.5312</v>
      </c>
      <c r="AB696" t="n">
        <v>76.75702</v>
      </c>
      <c r="AC696" t="n">
        <v>38.01305</v>
      </c>
      <c r="AD696" t="n">
        <v>66.54813</v>
      </c>
      <c r="AE696" t="n">
        <v>66.57652</v>
      </c>
    </row>
    <row r="697">
      <c r="A697" s="89" t="n">
        <v>39783</v>
      </c>
      <c r="B697" t="n">
        <v>63.32349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45.78339</v>
      </c>
      <c r="I697" t="n">
        <v>61.65524</v>
      </c>
      <c r="J697" t="n">
        <v>76.01403999999999</v>
      </c>
      <c r="K697" t="n">
        <v>78.92831</v>
      </c>
      <c r="L697" t="n">
        <v>88.61053</v>
      </c>
      <c r="M697" t="n">
        <v>89.89942000000001</v>
      </c>
      <c r="N697" t="n">
        <v>80.33659</v>
      </c>
      <c r="O697" t="n">
        <v>42.31048</v>
      </c>
      <c r="P697" t="n">
        <v>41.13558</v>
      </c>
      <c r="Q697" t="n">
        <v>89.18861</v>
      </c>
      <c r="R697" t="n">
        <v>61.88261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67.00975</v>
      </c>
      <c r="Y697" t="n">
        <v>66.6703</v>
      </c>
      <c r="Z697" t="n">
        <v>60.38609</v>
      </c>
      <c r="AA697" t="n">
        <v>34.9093</v>
      </c>
      <c r="AB697" t="n">
        <v>77.92988</v>
      </c>
      <c r="AC697" t="n">
        <v>38.51681</v>
      </c>
      <c r="AD697" t="n">
        <v>68.01179999999999</v>
      </c>
      <c r="AE697" t="n">
        <v>67.12297</v>
      </c>
    </row>
    <row r="698">
      <c r="A698" s="89" t="n">
        <v>39814</v>
      </c>
      <c r="B698" t="n">
        <v>63.75775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46.5707</v>
      </c>
      <c r="I698" t="n">
        <v>62.82725</v>
      </c>
      <c r="J698" t="n">
        <v>77.45556000000001</v>
      </c>
      <c r="K698" t="n">
        <v>78.80119000000001</v>
      </c>
      <c r="L698" t="n">
        <v>88.76407</v>
      </c>
      <c r="M698" t="n">
        <v>91.39735</v>
      </c>
      <c r="N698" t="n">
        <v>81.8931</v>
      </c>
      <c r="O698" t="n">
        <v>42.64483</v>
      </c>
      <c r="P698" t="n">
        <v>41.97978</v>
      </c>
      <c r="Q698" t="n">
        <v>90.44477000000001</v>
      </c>
      <c r="R698" t="n">
        <v>62.95202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67.66507</v>
      </c>
      <c r="Y698" t="n">
        <v>67.62299</v>
      </c>
      <c r="Z698" t="n">
        <v>61.16327</v>
      </c>
      <c r="AA698" t="n">
        <v>34.90487</v>
      </c>
      <c r="AB698" t="n">
        <v>79.14561999999999</v>
      </c>
      <c r="AC698" t="n">
        <v>39.1078</v>
      </c>
      <c r="AD698" t="n">
        <v>68.68925</v>
      </c>
      <c r="AE698" t="n">
        <v>67.43597</v>
      </c>
    </row>
    <row r="699">
      <c r="A699" s="89" t="n">
        <v>39845</v>
      </c>
      <c r="B699" t="n">
        <v>64.6795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47.16089</v>
      </c>
      <c r="I699" t="n">
        <v>63.57594</v>
      </c>
      <c r="J699" t="n">
        <v>77.84271</v>
      </c>
      <c r="K699" t="n">
        <v>80.5073</v>
      </c>
      <c r="L699" t="n">
        <v>88.71981</v>
      </c>
      <c r="M699" t="n">
        <v>92.21335000000001</v>
      </c>
      <c r="N699" t="n">
        <v>83.60799</v>
      </c>
      <c r="O699" t="n">
        <v>43.4848</v>
      </c>
      <c r="P699" t="n">
        <v>42.79417</v>
      </c>
      <c r="Q699" t="n">
        <v>91.63162</v>
      </c>
      <c r="R699" t="n">
        <v>64.45708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68.09542999999999</v>
      </c>
      <c r="Y699" t="n">
        <v>68.4367</v>
      </c>
      <c r="Z699" t="n">
        <v>62.03027</v>
      </c>
      <c r="AA699" t="n">
        <v>35.35991</v>
      </c>
      <c r="AB699" t="n">
        <v>79.52621000000001</v>
      </c>
      <c r="AC699" t="n">
        <v>39.9133</v>
      </c>
      <c r="AD699" t="n">
        <v>68.93333</v>
      </c>
      <c r="AE699" t="n">
        <v>68.60702000000001</v>
      </c>
    </row>
    <row r="700">
      <c r="A700" s="89" t="n">
        <v>39873</v>
      </c>
      <c r="B700" t="n">
        <v>64.62627000000001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47.60223</v>
      </c>
      <c r="I700" t="n">
        <v>64.24184</v>
      </c>
      <c r="J700" t="n">
        <v>77.60903</v>
      </c>
      <c r="K700" t="n">
        <v>80.21089000000001</v>
      </c>
      <c r="L700" t="n">
        <v>88.75161</v>
      </c>
      <c r="M700" t="n">
        <v>92.21592</v>
      </c>
      <c r="N700" t="n">
        <v>84.5411</v>
      </c>
      <c r="O700" t="n">
        <v>44.22987</v>
      </c>
      <c r="P700" t="n">
        <v>43.48389</v>
      </c>
      <c r="Q700" t="n">
        <v>92.79858</v>
      </c>
      <c r="R700" t="n">
        <v>65.30896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68.4799</v>
      </c>
      <c r="Y700" t="n">
        <v>68.72717</v>
      </c>
      <c r="Z700" t="n">
        <v>62.67338</v>
      </c>
      <c r="AA700" t="n">
        <v>35.59549</v>
      </c>
      <c r="AB700" t="n">
        <v>79.50556</v>
      </c>
      <c r="AC700" t="n">
        <v>40.34041</v>
      </c>
      <c r="AD700" t="n">
        <v>69.48293</v>
      </c>
      <c r="AE700" t="n">
        <v>68.45564</v>
      </c>
    </row>
    <row r="701">
      <c r="A701" s="89" t="n">
        <v>39904</v>
      </c>
      <c r="B701" t="n">
        <v>64.53100999999999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47.74549</v>
      </c>
      <c r="I701" t="n">
        <v>64.94843</v>
      </c>
      <c r="J701" t="n">
        <v>77.53395</v>
      </c>
      <c r="K701" t="n">
        <v>80.40585</v>
      </c>
      <c r="L701" t="n">
        <v>89.10888</v>
      </c>
      <c r="M701" t="n">
        <v>91.57845</v>
      </c>
      <c r="N701" t="n">
        <v>85.31116</v>
      </c>
      <c r="O701" t="n">
        <v>44.60754</v>
      </c>
      <c r="P701" t="n">
        <v>44.24037</v>
      </c>
      <c r="Q701" t="n">
        <v>93.752</v>
      </c>
      <c r="R701" t="n">
        <v>65.44846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68.51164</v>
      </c>
      <c r="Y701" t="n">
        <v>68.59662</v>
      </c>
      <c r="Z701" t="n">
        <v>62.88032</v>
      </c>
      <c r="AA701" t="n">
        <v>35.59827</v>
      </c>
      <c r="AB701" t="n">
        <v>79.37859</v>
      </c>
      <c r="AC701" t="n">
        <v>40.22566</v>
      </c>
      <c r="AD701" t="n">
        <v>69.51282</v>
      </c>
      <c r="AE701" t="n">
        <v>67.72993</v>
      </c>
    </row>
    <row r="702">
      <c r="A702" s="89" t="n">
        <v>39934</v>
      </c>
      <c r="B702" t="n">
        <v>65.22583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48.02707</v>
      </c>
      <c r="I702" t="n">
        <v>65.60561</v>
      </c>
      <c r="J702" t="n">
        <v>78.22072</v>
      </c>
      <c r="K702" t="n">
        <v>81.45643</v>
      </c>
      <c r="L702" t="n">
        <v>89.37362</v>
      </c>
      <c r="M702" t="n">
        <v>90.7453</v>
      </c>
      <c r="N702" t="n">
        <v>85.67886</v>
      </c>
      <c r="O702" t="n">
        <v>44.85314</v>
      </c>
      <c r="P702" t="n">
        <v>44.97268</v>
      </c>
      <c r="Q702" t="n">
        <v>94.21514000000001</v>
      </c>
      <c r="R702" t="n">
        <v>65.54819000000001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68.76479</v>
      </c>
      <c r="Y702" t="n">
        <v>68.52809999999999</v>
      </c>
      <c r="Z702" t="n">
        <v>62.97614</v>
      </c>
      <c r="AA702" t="n">
        <v>35.75613</v>
      </c>
      <c r="AB702" t="n">
        <v>79.76007</v>
      </c>
      <c r="AC702" t="n">
        <v>40.30639</v>
      </c>
      <c r="AD702" t="n">
        <v>69.99267999999999</v>
      </c>
      <c r="AE702" t="n">
        <v>67.98873</v>
      </c>
    </row>
    <row r="703">
      <c r="A703" s="89" t="n">
        <v>39965</v>
      </c>
      <c r="B703" t="n">
        <v>65.74974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48.45799</v>
      </c>
      <c r="I703" t="n">
        <v>66.51447</v>
      </c>
      <c r="J703" t="n">
        <v>77.75484</v>
      </c>
      <c r="K703" t="n">
        <v>81.89323</v>
      </c>
      <c r="L703" t="n">
        <v>89.21963</v>
      </c>
      <c r="M703" t="n">
        <v>90.35675000000001</v>
      </c>
      <c r="N703" t="n">
        <v>85.85848</v>
      </c>
      <c r="O703" t="n">
        <v>45.15517</v>
      </c>
      <c r="P703" t="n">
        <v>45.54815</v>
      </c>
      <c r="Q703" t="n">
        <v>94.27115999999999</v>
      </c>
      <c r="R703" t="n">
        <v>65.62999000000001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68.88623</v>
      </c>
      <c r="Y703" t="n">
        <v>68.59023000000001</v>
      </c>
      <c r="Z703" t="n">
        <v>63.576</v>
      </c>
      <c r="AA703" t="n">
        <v>36.12968</v>
      </c>
      <c r="AB703" t="n">
        <v>79.14709999999999</v>
      </c>
      <c r="AC703" t="n">
        <v>40.56779</v>
      </c>
      <c r="AD703" t="n">
        <v>70.07404</v>
      </c>
      <c r="AE703" t="n">
        <v>68.15989999999999</v>
      </c>
    </row>
    <row r="704">
      <c r="A704" s="89" t="n">
        <v>39995</v>
      </c>
      <c r="B704" t="n">
        <v>66.11956000000001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48.91035</v>
      </c>
      <c r="I704" t="n">
        <v>67.2607</v>
      </c>
      <c r="J704" t="n">
        <v>76.72939</v>
      </c>
      <c r="K704" t="n">
        <v>81.77426</v>
      </c>
      <c r="L704" t="n">
        <v>89.02157</v>
      </c>
      <c r="M704" t="n">
        <v>90.49132</v>
      </c>
      <c r="N704" t="n">
        <v>85.61242</v>
      </c>
      <c r="O704" t="n">
        <v>45.43369</v>
      </c>
      <c r="P704" t="n">
        <v>46.12276</v>
      </c>
      <c r="Q704" t="n">
        <v>94.22166</v>
      </c>
      <c r="R704" t="n">
        <v>65.43657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69.04258</v>
      </c>
      <c r="Y704" t="n">
        <v>68.72566999999999</v>
      </c>
      <c r="Z704" t="n">
        <v>64.00772000000001</v>
      </c>
      <c r="AA704" t="n">
        <v>36.69014</v>
      </c>
      <c r="AB704" t="n">
        <v>78.33105</v>
      </c>
      <c r="AC704" t="n">
        <v>40.85394</v>
      </c>
      <c r="AD704" t="n">
        <v>70.11223</v>
      </c>
      <c r="AE704" t="n">
        <v>67.9415</v>
      </c>
    </row>
    <row r="705">
      <c r="A705" s="89" t="n">
        <v>40026</v>
      </c>
      <c r="B705" t="n">
        <v>66.29607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49.16485</v>
      </c>
      <c r="I705" t="n">
        <v>68.09390999999999</v>
      </c>
      <c r="J705" t="n">
        <v>76.41887</v>
      </c>
      <c r="K705" t="n">
        <v>81.95395000000001</v>
      </c>
      <c r="L705" t="n">
        <v>88.65608</v>
      </c>
      <c r="M705" t="n">
        <v>91.20865999999999</v>
      </c>
      <c r="N705" t="n">
        <v>85.6156</v>
      </c>
      <c r="O705" t="n">
        <v>45.82233</v>
      </c>
      <c r="P705" t="n">
        <v>46.66395</v>
      </c>
      <c r="Q705" t="n">
        <v>94.1589</v>
      </c>
      <c r="R705" t="n">
        <v>65.24115999999999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69.16457</v>
      </c>
      <c r="Y705" t="n">
        <v>69.01604</v>
      </c>
      <c r="Z705" t="n">
        <v>63.58854</v>
      </c>
      <c r="AA705" t="n">
        <v>37.47092</v>
      </c>
      <c r="AB705" t="n">
        <v>78.29253</v>
      </c>
      <c r="AC705" t="n">
        <v>41.25157</v>
      </c>
      <c r="AD705" t="n">
        <v>70.1114</v>
      </c>
      <c r="AE705" t="n">
        <v>67.53018</v>
      </c>
    </row>
    <row r="706">
      <c r="A706" s="89" t="n">
        <v>40057</v>
      </c>
      <c r="B706" t="n">
        <v>66.40253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49.11031</v>
      </c>
      <c r="I706" t="n">
        <v>68.76544</v>
      </c>
      <c r="J706" t="n">
        <v>75.79257</v>
      </c>
      <c r="K706" t="n">
        <v>82.87061</v>
      </c>
      <c r="L706" t="n">
        <v>88.45489999999999</v>
      </c>
      <c r="M706" t="n">
        <v>92.11020000000001</v>
      </c>
      <c r="N706" t="n">
        <v>85.65922999999999</v>
      </c>
      <c r="O706" t="n">
        <v>46.27817</v>
      </c>
      <c r="P706" t="n">
        <v>47.14355</v>
      </c>
      <c r="Q706" t="n">
        <v>94.09206</v>
      </c>
      <c r="R706" t="n">
        <v>65.47852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69.31112</v>
      </c>
      <c r="Y706" t="n">
        <v>69.48742</v>
      </c>
      <c r="Z706" t="n">
        <v>63.69664</v>
      </c>
      <c r="AA706" t="n">
        <v>38.16514</v>
      </c>
      <c r="AB706" t="n">
        <v>78.05629</v>
      </c>
      <c r="AC706" t="n">
        <v>41.86341</v>
      </c>
      <c r="AD706" t="n">
        <v>70.10476</v>
      </c>
      <c r="AE706" t="n">
        <v>67.36320000000001</v>
      </c>
    </row>
    <row r="707">
      <c r="A707" s="89" t="n">
        <v>40087</v>
      </c>
      <c r="B707" t="n">
        <v>66.3549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49.2665</v>
      </c>
      <c r="I707" t="n">
        <v>69.27068</v>
      </c>
      <c r="J707" t="n">
        <v>75.66386</v>
      </c>
      <c r="K707" t="n">
        <v>83.05549999999999</v>
      </c>
      <c r="L707" t="n">
        <v>88.37059000000001</v>
      </c>
      <c r="M707" t="n">
        <v>93.1007</v>
      </c>
      <c r="N707" t="n">
        <v>85.18034</v>
      </c>
      <c r="O707" t="n">
        <v>46.4633</v>
      </c>
      <c r="P707" t="n">
        <v>47.68745</v>
      </c>
      <c r="Q707" t="n">
        <v>93.96486</v>
      </c>
      <c r="R707" t="n">
        <v>65.66114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69.63556</v>
      </c>
      <c r="Y707" t="n">
        <v>70.15746</v>
      </c>
      <c r="Z707" t="n">
        <v>65.07482</v>
      </c>
      <c r="AA707" t="n">
        <v>38.61142</v>
      </c>
      <c r="AB707" t="n">
        <v>77.88074</v>
      </c>
      <c r="AC707" t="n">
        <v>42.50012</v>
      </c>
      <c r="AD707" t="n">
        <v>70.32809</v>
      </c>
      <c r="AE707" t="n">
        <v>67.39655</v>
      </c>
    </row>
    <row r="708">
      <c r="A708" s="89" t="n">
        <v>40118</v>
      </c>
      <c r="B708" t="n">
        <v>66.28206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49.62059</v>
      </c>
      <c r="I708" t="n">
        <v>69.04649000000001</v>
      </c>
      <c r="J708" t="n">
        <v>76.28717</v>
      </c>
      <c r="K708" t="n">
        <v>82.636</v>
      </c>
      <c r="L708" t="n">
        <v>88.19508</v>
      </c>
      <c r="M708" t="n">
        <v>93.67842</v>
      </c>
      <c r="N708" t="n">
        <v>84.78167999999999</v>
      </c>
      <c r="O708" t="n">
        <v>46.85012</v>
      </c>
      <c r="P708" t="n">
        <v>48.27664</v>
      </c>
      <c r="Q708" t="n">
        <v>93.62202000000001</v>
      </c>
      <c r="R708" t="n">
        <v>66.06417999999999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69.95554</v>
      </c>
      <c r="Y708" t="n">
        <v>70.65367999999999</v>
      </c>
      <c r="Z708" t="n">
        <v>65.3856</v>
      </c>
      <c r="AA708" t="n">
        <v>39.22062</v>
      </c>
      <c r="AB708" t="n">
        <v>78.27843</v>
      </c>
      <c r="AC708" t="n">
        <v>43.24037</v>
      </c>
      <c r="AD708" t="n">
        <v>70.57465999999999</v>
      </c>
      <c r="AE708" t="n">
        <v>67.51667999999999</v>
      </c>
    </row>
    <row r="709">
      <c r="A709" s="89" t="n">
        <v>40148</v>
      </c>
      <c r="B709" t="n">
        <v>66.13637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49.67715</v>
      </c>
      <c r="I709" t="n">
        <v>68.15779000000001</v>
      </c>
      <c r="J709" t="n">
        <v>77.10876</v>
      </c>
      <c r="K709" t="n">
        <v>81.84174</v>
      </c>
      <c r="L709" t="n">
        <v>88.29002</v>
      </c>
      <c r="M709" t="n">
        <v>93.37521</v>
      </c>
      <c r="N709" t="n">
        <v>84.37273</v>
      </c>
      <c r="O709" t="n">
        <v>47.47656</v>
      </c>
      <c r="P709" t="n">
        <v>48.75244</v>
      </c>
      <c r="Q709" t="n">
        <v>93.08241</v>
      </c>
      <c r="R709" t="n">
        <v>66.14018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70.00042000000001</v>
      </c>
      <c r="Y709" t="n">
        <v>70.74276999999999</v>
      </c>
      <c r="Z709" t="n">
        <v>65.12603</v>
      </c>
      <c r="AA709" t="n">
        <v>40.10461</v>
      </c>
      <c r="AB709" t="n">
        <v>78.44956999999999</v>
      </c>
      <c r="AC709" t="n">
        <v>43.78679</v>
      </c>
      <c r="AD709" t="n">
        <v>70.53480999999999</v>
      </c>
      <c r="AE709" t="n">
        <v>67.97889000000001</v>
      </c>
    </row>
    <row r="710">
      <c r="A710" s="89" t="n">
        <v>40179</v>
      </c>
      <c r="B710" t="n">
        <v>66.15877999999999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50.09482</v>
      </c>
      <c r="I710" t="n">
        <v>67.49791999999999</v>
      </c>
      <c r="J710" t="n">
        <v>77.19212</v>
      </c>
      <c r="K710" t="n">
        <v>80.95308</v>
      </c>
      <c r="L710" t="n">
        <v>88.22002000000001</v>
      </c>
      <c r="M710" t="n">
        <v>96.96442999999999</v>
      </c>
      <c r="N710" t="n">
        <v>84.4513</v>
      </c>
      <c r="O710" t="n">
        <v>47.64731</v>
      </c>
      <c r="P710" t="n">
        <v>49.36239</v>
      </c>
      <c r="Q710" t="n">
        <v>92.45927</v>
      </c>
      <c r="R710" t="n">
        <v>66.12608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70.1232</v>
      </c>
      <c r="Y710" t="n">
        <v>71.90555999999999</v>
      </c>
      <c r="Z710" t="n">
        <v>65.47638999999999</v>
      </c>
      <c r="AA710" t="n">
        <v>40.88416</v>
      </c>
      <c r="AB710" t="n">
        <v>78.7852</v>
      </c>
      <c r="AC710" t="n">
        <v>44.12033</v>
      </c>
      <c r="AD710" t="n">
        <v>70.22016000000001</v>
      </c>
      <c r="AE710" t="n">
        <v>68.33629999999999</v>
      </c>
    </row>
    <row r="711">
      <c r="A711" s="89" t="n">
        <v>40210</v>
      </c>
      <c r="B711" t="n">
        <v>66.65188000000001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50.668</v>
      </c>
      <c r="I711" t="n">
        <v>67.11382999999999</v>
      </c>
      <c r="J711" t="n">
        <v>76.53442</v>
      </c>
      <c r="K711" t="n">
        <v>80.45186</v>
      </c>
      <c r="L711" t="n">
        <v>87.84820999999999</v>
      </c>
      <c r="M711" t="n">
        <v>101.3989</v>
      </c>
      <c r="N711" t="n">
        <v>85.24625</v>
      </c>
      <c r="O711" t="n">
        <v>47.71336</v>
      </c>
      <c r="P711" t="n">
        <v>50.14887</v>
      </c>
      <c r="Q711" t="n">
        <v>91.81712</v>
      </c>
      <c r="R711" t="n">
        <v>66.09081999999999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70.69772</v>
      </c>
      <c r="Y711" t="n">
        <v>73.39684</v>
      </c>
      <c r="Z711" t="n">
        <v>65.59350000000001</v>
      </c>
      <c r="AA711" t="n">
        <v>41.66953</v>
      </c>
      <c r="AB711" t="n">
        <v>79.35886000000001</v>
      </c>
      <c r="AC711" t="n">
        <v>44.81744</v>
      </c>
      <c r="AD711" t="n">
        <v>70.62945999999999</v>
      </c>
      <c r="AE711" t="n">
        <v>68.84855</v>
      </c>
    </row>
    <row r="712">
      <c r="A712" s="89" t="n">
        <v>40238</v>
      </c>
      <c r="B712" t="n">
        <v>67.38592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50.80775</v>
      </c>
      <c r="I712" t="n">
        <v>66.73514</v>
      </c>
      <c r="J712" t="n">
        <v>76.56847</v>
      </c>
      <c r="K712" t="n">
        <v>80.41434</v>
      </c>
      <c r="L712" t="n">
        <v>87.78699</v>
      </c>
      <c r="M712" t="n">
        <v>101.743</v>
      </c>
      <c r="N712" t="n">
        <v>85.83327</v>
      </c>
      <c r="O712" t="n">
        <v>48.39354</v>
      </c>
      <c r="P712" t="n">
        <v>50.89152</v>
      </c>
      <c r="Q712" t="n">
        <v>91.13728</v>
      </c>
      <c r="R712" t="n">
        <v>65.90252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70.86999</v>
      </c>
      <c r="Y712" t="n">
        <v>73.79694000000001</v>
      </c>
      <c r="Z712" t="n">
        <v>66.0201</v>
      </c>
      <c r="AA712" t="n">
        <v>42.44017</v>
      </c>
      <c r="AB712" t="n">
        <v>79.60847</v>
      </c>
      <c r="AC712" t="n">
        <v>45.36288</v>
      </c>
      <c r="AD712" t="n">
        <v>70.60538</v>
      </c>
      <c r="AE712" t="n">
        <v>69.05625000000001</v>
      </c>
    </row>
    <row r="713">
      <c r="A713" s="89" t="n">
        <v>40269</v>
      </c>
      <c r="B713" t="n">
        <v>67.97987000000001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51.19644</v>
      </c>
      <c r="I713" t="n">
        <v>66.24912</v>
      </c>
      <c r="J713" t="n">
        <v>77.35645</v>
      </c>
      <c r="K713" t="n">
        <v>81.21259000000001</v>
      </c>
      <c r="L713" t="n">
        <v>88.24196999999999</v>
      </c>
      <c r="M713" t="n">
        <v>100.856</v>
      </c>
      <c r="N713" t="n">
        <v>86.67504</v>
      </c>
      <c r="O713" t="n">
        <v>49.18651</v>
      </c>
      <c r="P713" t="n">
        <v>51.37198</v>
      </c>
      <c r="Q713" t="n">
        <v>90.35993000000001</v>
      </c>
      <c r="R713" t="n">
        <v>66.2654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71.17912</v>
      </c>
      <c r="Y713" t="n">
        <v>73.85108</v>
      </c>
      <c r="Z713" t="n">
        <v>66.53712</v>
      </c>
      <c r="AA713" t="n">
        <v>43.08006</v>
      </c>
      <c r="AB713" t="n">
        <v>79.58385</v>
      </c>
      <c r="AC713" t="n">
        <v>45.6802</v>
      </c>
      <c r="AD713" t="n">
        <v>70.86024999999999</v>
      </c>
      <c r="AE713" t="n">
        <v>68.81847</v>
      </c>
    </row>
    <row r="714">
      <c r="A714" s="89" t="n">
        <v>40299</v>
      </c>
      <c r="B714" t="n">
        <v>68.32447999999999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51.57987</v>
      </c>
      <c r="I714" t="n">
        <v>66.62931</v>
      </c>
      <c r="J714" t="n">
        <v>78.68528000000001</v>
      </c>
      <c r="K714" t="n">
        <v>82.16173999999999</v>
      </c>
      <c r="L714" t="n">
        <v>88.77915</v>
      </c>
      <c r="M714" t="n">
        <v>100.2587</v>
      </c>
      <c r="N714" t="n">
        <v>87.66497</v>
      </c>
      <c r="O714" t="n">
        <v>49.70914</v>
      </c>
      <c r="P714" t="n">
        <v>51.81095</v>
      </c>
      <c r="Q714" t="n">
        <v>89.54711</v>
      </c>
      <c r="R714" t="n">
        <v>66.48975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71.61995</v>
      </c>
      <c r="Y714" t="n">
        <v>74.14585</v>
      </c>
      <c r="Z714" t="n">
        <v>67.3522</v>
      </c>
      <c r="AA714" t="n">
        <v>43.98682</v>
      </c>
      <c r="AB714" t="n">
        <v>79.66764999999999</v>
      </c>
      <c r="AC714" t="n">
        <v>46.18777</v>
      </c>
      <c r="AD714" t="n">
        <v>71.31438</v>
      </c>
      <c r="AE714" t="n">
        <v>68.97855</v>
      </c>
    </row>
    <row r="715">
      <c r="A715" s="89" t="n">
        <v>40330</v>
      </c>
      <c r="B715" t="n">
        <v>68.72792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52.06028</v>
      </c>
      <c r="I715" t="n">
        <v>67.71527</v>
      </c>
      <c r="J715" t="n">
        <v>79.29201999999999</v>
      </c>
      <c r="K715" t="n">
        <v>82.90407999999999</v>
      </c>
      <c r="L715" t="n">
        <v>88.10312999999999</v>
      </c>
      <c r="M715" t="n">
        <v>100.232</v>
      </c>
      <c r="N715" t="n">
        <v>88.37815000000001</v>
      </c>
      <c r="O715" t="n">
        <v>50.56684</v>
      </c>
      <c r="P715" t="n">
        <v>52.44637</v>
      </c>
      <c r="Q715" t="n">
        <v>88.76714</v>
      </c>
      <c r="R715" t="n">
        <v>67.03316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71.91404</v>
      </c>
      <c r="Y715" t="n">
        <v>74.72601</v>
      </c>
      <c r="Z715" t="n">
        <v>68.29809</v>
      </c>
      <c r="AA715" t="n">
        <v>44.99685</v>
      </c>
      <c r="AB715" t="n">
        <v>79.74033</v>
      </c>
      <c r="AC715" t="n">
        <v>47.08384</v>
      </c>
      <c r="AD715" t="n">
        <v>71.47295</v>
      </c>
      <c r="AE715" t="n">
        <v>69.45452</v>
      </c>
    </row>
    <row r="716">
      <c r="A716" s="89" t="n">
        <v>40360</v>
      </c>
      <c r="B716" t="n">
        <v>69.31908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52.55667</v>
      </c>
      <c r="I716" t="n">
        <v>67.77367</v>
      </c>
      <c r="J716" t="n">
        <v>79.03061</v>
      </c>
      <c r="K716" t="n">
        <v>84.56697</v>
      </c>
      <c r="L716" t="n">
        <v>87.23394999999999</v>
      </c>
      <c r="M716" t="n">
        <v>100.1027</v>
      </c>
      <c r="N716" t="n">
        <v>88.74471</v>
      </c>
      <c r="O716" t="n">
        <v>51.29067</v>
      </c>
      <c r="P716" t="n">
        <v>53.21127</v>
      </c>
      <c r="Q716" t="n">
        <v>88.01714</v>
      </c>
      <c r="R716" t="n">
        <v>67.26537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72.14725</v>
      </c>
      <c r="Y716" t="n">
        <v>75.15309000000001</v>
      </c>
      <c r="Z716" t="n">
        <v>68.80833</v>
      </c>
      <c r="AA716" t="n">
        <v>45.75359</v>
      </c>
      <c r="AB716" t="n">
        <v>80.36462</v>
      </c>
      <c r="AC716" t="n">
        <v>47.81548</v>
      </c>
      <c r="AD716" t="n">
        <v>71.55431</v>
      </c>
      <c r="AE716" t="n">
        <v>70.0639</v>
      </c>
    </row>
    <row r="717">
      <c r="A717" s="89" t="n">
        <v>40391</v>
      </c>
      <c r="B717" t="n">
        <v>69.91862999999999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52.80824</v>
      </c>
      <c r="I717" t="n">
        <v>67.25167</v>
      </c>
      <c r="J717" t="n">
        <v>78.68764</v>
      </c>
      <c r="K717" t="n">
        <v>87.09063</v>
      </c>
      <c r="L717" t="n">
        <v>87.21083</v>
      </c>
      <c r="M717" t="n">
        <v>99.85957000000001</v>
      </c>
      <c r="N717" t="n">
        <v>88.84263</v>
      </c>
      <c r="O717" t="n">
        <v>51.54492</v>
      </c>
      <c r="P717" t="n">
        <v>53.93836</v>
      </c>
      <c r="Q717" t="n">
        <v>87.30452</v>
      </c>
      <c r="R717" t="n">
        <v>66.92449000000001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72.52631</v>
      </c>
      <c r="Y717" t="n">
        <v>75.34502999999999</v>
      </c>
      <c r="Z717" t="n">
        <v>69.08750999999999</v>
      </c>
      <c r="AA717" t="n">
        <v>46.5936</v>
      </c>
      <c r="AB717" t="n">
        <v>80.58204000000001</v>
      </c>
      <c r="AC717" t="n">
        <v>48.1311</v>
      </c>
      <c r="AD717" t="n">
        <v>71.97190999999999</v>
      </c>
      <c r="AE717" t="n">
        <v>70.31702</v>
      </c>
    </row>
    <row r="718">
      <c r="A718" s="89" t="n">
        <v>40422</v>
      </c>
      <c r="B718" t="n">
        <v>70.42854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53.25478</v>
      </c>
      <c r="I718" t="n">
        <v>66.8875</v>
      </c>
      <c r="J718" t="n">
        <v>78.45686000000001</v>
      </c>
      <c r="K718" t="n">
        <v>86.90334</v>
      </c>
      <c r="L718" t="n">
        <v>87.23569000000001</v>
      </c>
      <c r="M718" t="n">
        <v>99.69065999999999</v>
      </c>
      <c r="N718" t="n">
        <v>88.307</v>
      </c>
      <c r="O718" t="n">
        <v>52.02149</v>
      </c>
      <c r="P718" t="n">
        <v>54.45184</v>
      </c>
      <c r="Q718" t="n">
        <v>86.63753</v>
      </c>
      <c r="R718" t="n">
        <v>66.92876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72.78555</v>
      </c>
      <c r="Y718" t="n">
        <v>75.49017000000001</v>
      </c>
      <c r="Z718" t="n">
        <v>69.51988</v>
      </c>
      <c r="AA718" t="n">
        <v>47.42032</v>
      </c>
      <c r="AB718" t="n">
        <v>80.40182</v>
      </c>
      <c r="AC718" t="n">
        <v>48.58194</v>
      </c>
      <c r="AD718" t="n">
        <v>72.22927</v>
      </c>
      <c r="AE718" t="n">
        <v>70.59018</v>
      </c>
    </row>
    <row r="719">
      <c r="A719" s="89" t="n">
        <v>40452</v>
      </c>
      <c r="B719" t="n">
        <v>71.01409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53.74379</v>
      </c>
      <c r="I719" t="n">
        <v>66.4995</v>
      </c>
      <c r="J719" t="n">
        <v>78.42764</v>
      </c>
      <c r="K719" t="n">
        <v>85.87415</v>
      </c>
      <c r="L719" t="n">
        <v>87.26260000000001</v>
      </c>
      <c r="M719" t="n">
        <v>99.84609</v>
      </c>
      <c r="N719" t="n">
        <v>87.65743000000001</v>
      </c>
      <c r="O719" t="n">
        <v>52.78292</v>
      </c>
      <c r="P719" t="n">
        <v>55.49382</v>
      </c>
      <c r="Q719" t="n">
        <v>86.01361</v>
      </c>
      <c r="R719" t="n">
        <v>67.1215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73.19937</v>
      </c>
      <c r="Y719" t="n">
        <v>75.82641</v>
      </c>
      <c r="Z719" t="n">
        <v>69.97942999999999</v>
      </c>
      <c r="AA719" t="n">
        <v>48.21635</v>
      </c>
      <c r="AB719" t="n">
        <v>80.93497000000001</v>
      </c>
      <c r="AC719" t="n">
        <v>49.26577</v>
      </c>
      <c r="AD719" t="n">
        <v>72.63857</v>
      </c>
      <c r="AE719" t="n">
        <v>71.28297000000001</v>
      </c>
    </row>
    <row r="720">
      <c r="A720" s="89" t="n">
        <v>40483</v>
      </c>
      <c r="B720" t="n">
        <v>71.95265000000001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54.18338</v>
      </c>
      <c r="I720" t="n">
        <v>67.34377000000001</v>
      </c>
      <c r="J720" t="n">
        <v>78.4434</v>
      </c>
      <c r="K720" t="n">
        <v>86.3404</v>
      </c>
      <c r="L720" t="n">
        <v>87.36653</v>
      </c>
      <c r="M720" t="n">
        <v>99.51309999999999</v>
      </c>
      <c r="N720" t="n">
        <v>87.78297000000001</v>
      </c>
      <c r="O720" t="n">
        <v>53.52609</v>
      </c>
      <c r="P720" t="n">
        <v>56.39669</v>
      </c>
      <c r="Q720" t="n">
        <v>85.44056999999999</v>
      </c>
      <c r="R720" t="n">
        <v>67.54771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73.45464</v>
      </c>
      <c r="Y720" t="n">
        <v>76.10075999999999</v>
      </c>
      <c r="Z720" t="n">
        <v>70.36121</v>
      </c>
      <c r="AA720" t="n">
        <v>49.21817</v>
      </c>
      <c r="AB720" t="n">
        <v>81.12514</v>
      </c>
      <c r="AC720" t="n">
        <v>49.95992</v>
      </c>
      <c r="AD720" t="n">
        <v>72.80959</v>
      </c>
      <c r="AE720" t="n">
        <v>72.14709000000001</v>
      </c>
    </row>
    <row r="721">
      <c r="A721" s="89" t="n">
        <v>40513</v>
      </c>
      <c r="B721" t="n">
        <v>72.74833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54.86065</v>
      </c>
      <c r="I721" t="n">
        <v>68.26394999999999</v>
      </c>
      <c r="J721" t="n">
        <v>78.93680999999999</v>
      </c>
      <c r="K721" t="n">
        <v>87.16083999999999</v>
      </c>
      <c r="L721" t="n">
        <v>87.66569</v>
      </c>
      <c r="M721" t="n">
        <v>98.59848</v>
      </c>
      <c r="N721" t="n">
        <v>87.21541000000001</v>
      </c>
      <c r="O721" t="n">
        <v>54.47383</v>
      </c>
      <c r="P721" t="n">
        <v>57.2337</v>
      </c>
      <c r="Q721" t="n">
        <v>84.94898000000001</v>
      </c>
      <c r="R721" t="n">
        <v>67.78851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73.69773000000001</v>
      </c>
      <c r="Y721" t="n">
        <v>76.37533999999999</v>
      </c>
      <c r="Z721" t="n">
        <v>70.84219</v>
      </c>
      <c r="AA721" t="n">
        <v>50.2187</v>
      </c>
      <c r="AB721" t="n">
        <v>80.81652</v>
      </c>
      <c r="AC721" t="n">
        <v>51.14685</v>
      </c>
      <c r="AD721" t="n">
        <v>73.07359</v>
      </c>
      <c r="AE721" t="n">
        <v>72.81017</v>
      </c>
    </row>
    <row r="722">
      <c r="A722" s="89" t="n">
        <v>40544</v>
      </c>
      <c r="B722" t="n">
        <v>73.23022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55.52339</v>
      </c>
      <c r="I722" t="n">
        <v>68.72672</v>
      </c>
      <c r="J722" t="n">
        <v>79.09666</v>
      </c>
      <c r="K722" t="n">
        <v>81.30682</v>
      </c>
      <c r="L722" t="n">
        <v>87.85007</v>
      </c>
      <c r="M722" t="n">
        <v>98.11181999999999</v>
      </c>
      <c r="N722" t="n">
        <v>86.99623</v>
      </c>
      <c r="O722" t="n">
        <v>55.49007</v>
      </c>
      <c r="P722" t="n">
        <v>57.98042</v>
      </c>
      <c r="Q722" t="n">
        <v>84.60115</v>
      </c>
      <c r="R722" t="n">
        <v>67.64737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73.92941</v>
      </c>
      <c r="Y722" t="n">
        <v>76.48708999999999</v>
      </c>
      <c r="Z722" t="n">
        <v>70.97681</v>
      </c>
      <c r="AA722" t="n">
        <v>50.99922</v>
      </c>
      <c r="AB722" t="n">
        <v>80.35261</v>
      </c>
      <c r="AC722" t="n">
        <v>52.38754</v>
      </c>
      <c r="AD722" t="n">
        <v>73.25042999999999</v>
      </c>
      <c r="AE722" t="n">
        <v>73.45647</v>
      </c>
    </row>
    <row r="723">
      <c r="A723" s="89" t="n">
        <v>40575</v>
      </c>
      <c r="B723" t="n">
        <v>73.87179999999999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56.073</v>
      </c>
      <c r="I723" t="n">
        <v>68.98918</v>
      </c>
      <c r="J723" t="n">
        <v>78.79711</v>
      </c>
      <c r="K723" t="n">
        <v>75.29831</v>
      </c>
      <c r="L723" t="n">
        <v>87.74575</v>
      </c>
      <c r="M723" t="n">
        <v>98.27473000000001</v>
      </c>
      <c r="N723" t="n">
        <v>87.52713</v>
      </c>
      <c r="O723" t="n">
        <v>56.01678</v>
      </c>
      <c r="P723" t="n">
        <v>58.48793</v>
      </c>
      <c r="Q723" t="n">
        <v>84.43562</v>
      </c>
      <c r="R723" t="n">
        <v>67.94492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74.36723000000001</v>
      </c>
      <c r="Y723" t="n">
        <v>76.68850999999999</v>
      </c>
      <c r="Z723" t="n">
        <v>71.13297</v>
      </c>
      <c r="AA723" t="n">
        <v>51.50135</v>
      </c>
      <c r="AB723" t="n">
        <v>80.00396000000001</v>
      </c>
      <c r="AC723" t="n">
        <v>53.4123</v>
      </c>
      <c r="AD723" t="n">
        <v>73.78010999999999</v>
      </c>
      <c r="AE723" t="n">
        <v>74.17673000000001</v>
      </c>
    </row>
    <row r="724">
      <c r="A724" s="89" t="n">
        <v>40603</v>
      </c>
      <c r="B724" t="n">
        <v>74.51618000000001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56.89858</v>
      </c>
      <c r="I724" t="n">
        <v>69.0947</v>
      </c>
      <c r="J724" t="n">
        <v>78.64122</v>
      </c>
      <c r="K724" t="n">
        <v>76.02874</v>
      </c>
      <c r="L724" t="n">
        <v>87.83842</v>
      </c>
      <c r="M724" t="n">
        <v>98.81073000000001</v>
      </c>
      <c r="N724" t="n">
        <v>87.44114999999999</v>
      </c>
      <c r="O724" t="n">
        <v>56.44234</v>
      </c>
      <c r="P724" t="n">
        <v>59.30288</v>
      </c>
      <c r="Q724" t="n">
        <v>84.49773</v>
      </c>
      <c r="R724" t="n">
        <v>68.36609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74.88885000000001</v>
      </c>
      <c r="Y724" t="n">
        <v>77.44928</v>
      </c>
      <c r="Z724" t="n">
        <v>72.53009</v>
      </c>
      <c r="AA724" t="n">
        <v>52.13565</v>
      </c>
      <c r="AB724" t="n">
        <v>80.57453</v>
      </c>
      <c r="AC724" t="n">
        <v>54.48426</v>
      </c>
      <c r="AD724" t="n">
        <v>74.25001</v>
      </c>
      <c r="AE724" t="n">
        <v>73.80756</v>
      </c>
    </row>
    <row r="725">
      <c r="A725" s="89" t="n">
        <v>40634</v>
      </c>
      <c r="B725" t="n">
        <v>74.98126000000001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57.35062</v>
      </c>
      <c r="I725" t="n">
        <v>69.86154999999999</v>
      </c>
      <c r="J725" t="n">
        <v>78.88831999999999</v>
      </c>
      <c r="K725" t="n">
        <v>75.61649</v>
      </c>
      <c r="L725" t="n">
        <v>88.27630000000001</v>
      </c>
      <c r="M725" t="n">
        <v>99.00866000000001</v>
      </c>
      <c r="N725" t="n">
        <v>87.43742</v>
      </c>
      <c r="O725" t="n">
        <v>56.77438</v>
      </c>
      <c r="P725" t="n">
        <v>60.11048</v>
      </c>
      <c r="Q725" t="n">
        <v>84.7855</v>
      </c>
      <c r="R725" t="n">
        <v>68.58669999999999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75.40257</v>
      </c>
      <c r="Y725" t="n">
        <v>77.97785</v>
      </c>
      <c r="Z725" t="n">
        <v>73.42412</v>
      </c>
      <c r="AA725" t="n">
        <v>52.80531</v>
      </c>
      <c r="AB725" t="n">
        <v>80.99875</v>
      </c>
      <c r="AC725" t="n">
        <v>55.41262</v>
      </c>
      <c r="AD725" t="n">
        <v>74.75976</v>
      </c>
      <c r="AE725" t="n">
        <v>73.11785999999999</v>
      </c>
    </row>
    <row r="726">
      <c r="A726" s="89" t="n">
        <v>40664</v>
      </c>
      <c r="B726" t="n">
        <v>75.35108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58.07805</v>
      </c>
      <c r="I726" t="n">
        <v>69.649</v>
      </c>
      <c r="J726" t="n">
        <v>79.5575</v>
      </c>
      <c r="K726" t="n">
        <v>75.28675</v>
      </c>
      <c r="L726" t="n">
        <v>88.5741</v>
      </c>
      <c r="M726" t="n">
        <v>99.08772</v>
      </c>
      <c r="N726" t="n">
        <v>87.88873</v>
      </c>
      <c r="O726" t="n">
        <v>57.20158</v>
      </c>
      <c r="P726" t="n">
        <v>60.80894</v>
      </c>
      <c r="Q726" t="n">
        <v>85.16862</v>
      </c>
      <c r="R726" t="n">
        <v>69.29858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75.93649000000001</v>
      </c>
      <c r="Y726" t="n">
        <v>78.37871</v>
      </c>
      <c r="Z726" t="n">
        <v>73.23405</v>
      </c>
      <c r="AA726" t="n">
        <v>53.30401</v>
      </c>
      <c r="AB726" t="n">
        <v>80.87933</v>
      </c>
      <c r="AC726" t="n">
        <v>56.44921</v>
      </c>
      <c r="AD726" t="n">
        <v>75.34589</v>
      </c>
      <c r="AE726" t="n">
        <v>73.22083000000001</v>
      </c>
    </row>
    <row r="727">
      <c r="A727" s="89" t="n">
        <v>40695</v>
      </c>
      <c r="B727" t="n">
        <v>75.40151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59.29423</v>
      </c>
      <c r="I727" t="n">
        <v>68.59097</v>
      </c>
      <c r="J727" t="n">
        <v>79.34805</v>
      </c>
      <c r="K727" t="n">
        <v>75.7316</v>
      </c>
      <c r="L727" t="n">
        <v>88.63485</v>
      </c>
      <c r="M727" t="n">
        <v>99.03187</v>
      </c>
      <c r="N727" t="n">
        <v>88.06831</v>
      </c>
      <c r="O727" t="n">
        <v>57.7276</v>
      </c>
      <c r="P727" t="n">
        <v>61.4224</v>
      </c>
      <c r="Q727" t="n">
        <v>85.61903</v>
      </c>
      <c r="R727" t="n">
        <v>69.9799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76.43302</v>
      </c>
      <c r="Y727" t="n">
        <v>78.72511</v>
      </c>
      <c r="Z727" t="n">
        <v>73.48196</v>
      </c>
      <c r="AA727" t="n">
        <v>53.88717</v>
      </c>
      <c r="AB727" t="n">
        <v>81.7954</v>
      </c>
      <c r="AC727" t="n">
        <v>57.24609</v>
      </c>
      <c r="AD727" t="n">
        <v>75.97269</v>
      </c>
      <c r="AE727" t="n">
        <v>73.67346000000001</v>
      </c>
    </row>
    <row r="728">
      <c r="A728" s="89" t="n">
        <v>40725</v>
      </c>
      <c r="B728" t="n">
        <v>75.5416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59.77994</v>
      </c>
      <c r="I728" t="n">
        <v>68.56579000000001</v>
      </c>
      <c r="J728" t="n">
        <v>79.31386000000001</v>
      </c>
      <c r="K728" t="n">
        <v>76.34726999999999</v>
      </c>
      <c r="L728" t="n">
        <v>88.7002</v>
      </c>
      <c r="M728" t="n">
        <v>98.63023</v>
      </c>
      <c r="N728" t="n">
        <v>88.72114999999999</v>
      </c>
      <c r="O728" t="n">
        <v>58.60151</v>
      </c>
      <c r="P728" t="n">
        <v>62.20903</v>
      </c>
      <c r="Q728" t="n">
        <v>86.24661</v>
      </c>
      <c r="R728" t="n">
        <v>70.69526999999999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77.27441</v>
      </c>
      <c r="Y728" t="n">
        <v>78.98969</v>
      </c>
      <c r="Z728" t="n">
        <v>73.92207000000001</v>
      </c>
      <c r="AA728" t="n">
        <v>54.55669</v>
      </c>
      <c r="AB728" t="n">
        <v>82.35326000000001</v>
      </c>
      <c r="AC728" t="n">
        <v>57.99232</v>
      </c>
      <c r="AD728" t="n">
        <v>77.34753000000001</v>
      </c>
      <c r="AE728" t="n">
        <v>74.13867999999999</v>
      </c>
    </row>
    <row r="729">
      <c r="A729" s="89" t="n">
        <v>40756</v>
      </c>
      <c r="B729" t="n">
        <v>76.3737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60.89514</v>
      </c>
      <c r="I729" t="n">
        <v>69.05620999999999</v>
      </c>
      <c r="J729" t="n">
        <v>79.57523999999999</v>
      </c>
      <c r="K729" t="n">
        <v>76.93174</v>
      </c>
      <c r="L729" t="n">
        <v>88.89707</v>
      </c>
      <c r="M729" t="n">
        <v>98.55401000000001</v>
      </c>
      <c r="N729" t="n">
        <v>89.48215</v>
      </c>
      <c r="O729" t="n">
        <v>59.96376</v>
      </c>
      <c r="P729" t="n">
        <v>63.00852</v>
      </c>
      <c r="Q729" t="n">
        <v>87.04745</v>
      </c>
      <c r="R729" t="n">
        <v>71.86198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78.36399</v>
      </c>
      <c r="Y729" t="n">
        <v>79.59106</v>
      </c>
      <c r="Z729" t="n">
        <v>74.76437</v>
      </c>
      <c r="AA729" t="n">
        <v>55.31803</v>
      </c>
      <c r="AB729" t="n">
        <v>83.02489</v>
      </c>
      <c r="AC729" t="n">
        <v>59.05373</v>
      </c>
      <c r="AD729" t="n">
        <v>78.93324</v>
      </c>
      <c r="AE729" t="n">
        <v>74.5171</v>
      </c>
    </row>
    <row r="730">
      <c r="A730" s="89" t="n">
        <v>40787</v>
      </c>
      <c r="B730" t="n">
        <v>77.24502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62.10917</v>
      </c>
      <c r="I730" t="n">
        <v>69.36169</v>
      </c>
      <c r="J730" t="n">
        <v>79.90622999999999</v>
      </c>
      <c r="K730" t="n">
        <v>79.09152</v>
      </c>
      <c r="L730" t="n">
        <v>89.18055</v>
      </c>
      <c r="M730" t="n">
        <v>98.64861000000001</v>
      </c>
      <c r="N730" t="n">
        <v>90.89859</v>
      </c>
      <c r="O730" t="n">
        <v>60.70778</v>
      </c>
      <c r="P730" t="n">
        <v>63.65287</v>
      </c>
      <c r="Q730" t="n">
        <v>87.82154</v>
      </c>
      <c r="R730" t="n">
        <v>73.15655</v>
      </c>
      <c r="S730" t="n">
        <v>90.38104</v>
      </c>
      <c r="T730" t="n">
        <v>75.00078000000001</v>
      </c>
      <c r="U730" t="n">
        <v>63.70923</v>
      </c>
      <c r="V730" t="n">
        <v>83.23323000000001</v>
      </c>
      <c r="W730" t="n">
        <v>73.47382</v>
      </c>
      <c r="X730" t="n">
        <v>78.82776</v>
      </c>
      <c r="Y730" t="n">
        <v>80.29362</v>
      </c>
      <c r="Z730" t="n">
        <v>76.12429</v>
      </c>
      <c r="AA730" t="n">
        <v>56.22539</v>
      </c>
      <c r="AB730" t="n">
        <v>84.50314</v>
      </c>
      <c r="AC730" t="n">
        <v>59.57923</v>
      </c>
      <c r="AD730" t="n">
        <v>79.10509</v>
      </c>
      <c r="AE730" t="n">
        <v>75.23277</v>
      </c>
    </row>
    <row r="731">
      <c r="A731" s="89" t="n">
        <v>40817</v>
      </c>
      <c r="B731" t="n">
        <v>77.72411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62.60823</v>
      </c>
      <c r="I731" t="n">
        <v>70.03716</v>
      </c>
      <c r="J731" t="n">
        <v>80.45395000000001</v>
      </c>
      <c r="K731" t="n">
        <v>79.44762</v>
      </c>
      <c r="L731" t="n">
        <v>89.13708</v>
      </c>
      <c r="M731" t="n">
        <v>98.04608</v>
      </c>
      <c r="N731" t="n">
        <v>92.34772</v>
      </c>
      <c r="O731" t="n">
        <v>61.28997</v>
      </c>
      <c r="P731" t="n">
        <v>64.26879</v>
      </c>
      <c r="Q731" t="n">
        <v>88.46034</v>
      </c>
      <c r="R731" t="n">
        <v>73.83418</v>
      </c>
      <c r="S731" t="n">
        <v>90.57961</v>
      </c>
      <c r="T731" t="n">
        <v>75.57868999999999</v>
      </c>
      <c r="U731" t="n">
        <v>64.33879</v>
      </c>
      <c r="V731" t="n">
        <v>84.11108</v>
      </c>
      <c r="W731" t="n">
        <v>74.19101999999999</v>
      </c>
      <c r="X731" t="n">
        <v>79.12401</v>
      </c>
      <c r="Y731" t="n">
        <v>80.39981</v>
      </c>
      <c r="Z731" t="n">
        <v>77.10892</v>
      </c>
      <c r="AA731" t="n">
        <v>57.69751</v>
      </c>
      <c r="AB731" t="n">
        <v>85.23772</v>
      </c>
      <c r="AC731" t="n">
        <v>59.39506</v>
      </c>
      <c r="AD731" t="n">
        <v>79.3857</v>
      </c>
      <c r="AE731" t="n">
        <v>76.3271</v>
      </c>
    </row>
    <row r="732">
      <c r="A732" s="89" t="n">
        <v>40848</v>
      </c>
      <c r="B732" t="n">
        <v>78.06591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63.65226</v>
      </c>
      <c r="I732" t="n">
        <v>70.82337</v>
      </c>
      <c r="J732" t="n">
        <v>80.84435000000001</v>
      </c>
      <c r="K732" t="n">
        <v>79.29254</v>
      </c>
      <c r="L732" t="n">
        <v>89.05396</v>
      </c>
      <c r="M732" t="n">
        <v>97.29403000000001</v>
      </c>
      <c r="N732" t="n">
        <v>92.56792</v>
      </c>
      <c r="O732" t="n">
        <v>62.23756</v>
      </c>
      <c r="P732" t="n">
        <v>64.91753</v>
      </c>
      <c r="Q732" t="n">
        <v>89.09663999999999</v>
      </c>
      <c r="R732" t="n">
        <v>74.17074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79.47608</v>
      </c>
      <c r="Y732" t="n">
        <v>80.42469</v>
      </c>
      <c r="Z732" t="n">
        <v>78.11331</v>
      </c>
      <c r="AA732" t="n">
        <v>59.65435</v>
      </c>
      <c r="AB732" t="n">
        <v>85.40746</v>
      </c>
      <c r="AC732" t="n">
        <v>59.53266</v>
      </c>
      <c r="AD732" t="n">
        <v>79.80495000000001</v>
      </c>
      <c r="AE732" t="n">
        <v>77.41636</v>
      </c>
    </row>
    <row r="733">
      <c r="A733" s="89" t="n">
        <v>40878</v>
      </c>
      <c r="B733" t="n">
        <v>78.51978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64.87757000000001</v>
      </c>
      <c r="I733" t="n">
        <v>71.43483999999999</v>
      </c>
      <c r="J733" t="n">
        <v>81.92083</v>
      </c>
      <c r="K733" t="n">
        <v>81.76866</v>
      </c>
      <c r="L733" t="n">
        <v>89.51667999999999</v>
      </c>
      <c r="M733" t="n">
        <v>96.45643</v>
      </c>
      <c r="N733" t="n">
        <v>92.17783</v>
      </c>
      <c r="O733" t="n">
        <v>63.49059</v>
      </c>
      <c r="P733" t="n">
        <v>66.11778</v>
      </c>
      <c r="Q733" t="n">
        <v>89.76569000000001</v>
      </c>
      <c r="R733" t="n">
        <v>75.12308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79.86875999999999</v>
      </c>
      <c r="Y733" t="n">
        <v>80.64693</v>
      </c>
      <c r="Z733" t="n">
        <v>79.38422</v>
      </c>
      <c r="AA733" t="n">
        <v>60.3509</v>
      </c>
      <c r="AB733" t="n">
        <v>85.87872</v>
      </c>
      <c r="AC733" t="n">
        <v>59.89473</v>
      </c>
      <c r="AD733" t="n">
        <v>80.19929999999999</v>
      </c>
      <c r="AE733" t="n">
        <v>78.47778</v>
      </c>
    </row>
    <row r="734">
      <c r="A734" s="89" t="n">
        <v>40909</v>
      </c>
      <c r="B734" t="n">
        <v>79.09972999999999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65.63508</v>
      </c>
      <c r="I734" t="n">
        <v>71.90819</v>
      </c>
      <c r="J734" t="n">
        <v>82.56328000000001</v>
      </c>
      <c r="K734" t="n">
        <v>84.16491000000001</v>
      </c>
      <c r="L734" t="n">
        <v>89.73793999999999</v>
      </c>
      <c r="M734" t="n">
        <v>96.28703</v>
      </c>
      <c r="N734" t="n">
        <v>90.45815</v>
      </c>
      <c r="O734" t="n">
        <v>64.91365999999999</v>
      </c>
      <c r="P734" t="n">
        <v>66.79622999999999</v>
      </c>
      <c r="Q734" t="n">
        <v>90.31177</v>
      </c>
      <c r="R734" t="n">
        <v>76.0181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80.40531</v>
      </c>
      <c r="Y734" t="n">
        <v>80.89409999999999</v>
      </c>
      <c r="Z734" t="n">
        <v>80.27134</v>
      </c>
      <c r="AA734" t="n">
        <v>60.70028</v>
      </c>
      <c r="AB734" t="n">
        <v>87.25421</v>
      </c>
      <c r="AC734" t="n">
        <v>59.84365</v>
      </c>
      <c r="AD734" t="n">
        <v>80.80701999999999</v>
      </c>
      <c r="AE734" t="n">
        <v>78.91289</v>
      </c>
    </row>
    <row r="735">
      <c r="A735" s="89" t="n">
        <v>40940</v>
      </c>
      <c r="B735" t="n">
        <v>79.59283000000001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66.27884</v>
      </c>
      <c r="I735" t="n">
        <v>72.4117</v>
      </c>
      <c r="J735" t="n">
        <v>82.83096</v>
      </c>
      <c r="K735" t="n">
        <v>86.09287</v>
      </c>
      <c r="L735" t="n">
        <v>89.59878</v>
      </c>
      <c r="M735" t="n">
        <v>96.25224</v>
      </c>
      <c r="N735" t="n">
        <v>88.77003999999999</v>
      </c>
      <c r="O735" t="n">
        <v>65.89452</v>
      </c>
      <c r="P735" t="n">
        <v>66.89743</v>
      </c>
      <c r="Q735" t="n">
        <v>90.6636</v>
      </c>
      <c r="R735" t="n">
        <v>76.52272000000001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80.78522</v>
      </c>
      <c r="Y735" t="n">
        <v>81.05504999999999</v>
      </c>
      <c r="Z735" t="n">
        <v>80.51809</v>
      </c>
      <c r="AA735" t="n">
        <v>61.54898</v>
      </c>
      <c r="AB735" t="n">
        <v>88.35012999999999</v>
      </c>
      <c r="AC735" t="n">
        <v>59.86065</v>
      </c>
      <c r="AD735" t="n">
        <v>81.24205000000001</v>
      </c>
      <c r="AE735" t="n">
        <v>78.76201</v>
      </c>
    </row>
    <row r="736">
      <c r="A736" s="89" t="n">
        <v>40969</v>
      </c>
      <c r="B736" t="n">
        <v>80.08311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66.96625</v>
      </c>
      <c r="I736" t="n">
        <v>73.10908999999999</v>
      </c>
      <c r="J736" t="n">
        <v>83.13419</v>
      </c>
      <c r="K736" t="n">
        <v>87.40134</v>
      </c>
      <c r="L736" t="n">
        <v>90.12021</v>
      </c>
      <c r="M736" t="n">
        <v>95.75454999999999</v>
      </c>
      <c r="N736" t="n">
        <v>88.33015</v>
      </c>
      <c r="O736" t="n">
        <v>66.83452</v>
      </c>
      <c r="P736" t="n">
        <v>67.42928000000001</v>
      </c>
      <c r="Q736" t="n">
        <v>90.82443000000001</v>
      </c>
      <c r="R736" t="n">
        <v>76.98659000000001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81.20041000000001</v>
      </c>
      <c r="Y736" t="n">
        <v>81.15079</v>
      </c>
      <c r="Z736" t="n">
        <v>80.39945</v>
      </c>
      <c r="AA736" t="n">
        <v>61.96489</v>
      </c>
      <c r="AB736" t="n">
        <v>88.59372999999999</v>
      </c>
      <c r="AC736" t="n">
        <v>60.38867</v>
      </c>
      <c r="AD736" t="n">
        <v>81.61481000000001</v>
      </c>
      <c r="AE736" t="n">
        <v>78.41434</v>
      </c>
    </row>
    <row r="737">
      <c r="A737" s="89" t="n">
        <v>41000</v>
      </c>
      <c r="B737" t="n">
        <v>80.48656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67.6918</v>
      </c>
      <c r="I737" t="n">
        <v>73.66956</v>
      </c>
      <c r="J737" t="n">
        <v>83.37272</v>
      </c>
      <c r="K737" t="n">
        <v>88.92050999999999</v>
      </c>
      <c r="L737" t="n">
        <v>90.60513</v>
      </c>
      <c r="M737" t="n">
        <v>96.114</v>
      </c>
      <c r="N737" t="n">
        <v>87.70773</v>
      </c>
      <c r="O737" t="n">
        <v>67.8466</v>
      </c>
      <c r="P737" t="n">
        <v>68.09089</v>
      </c>
      <c r="Q737" t="n">
        <v>88.87139999999999</v>
      </c>
      <c r="R737" t="n">
        <v>77.34546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81.67622</v>
      </c>
      <c r="Y737" t="n">
        <v>81.58275999999999</v>
      </c>
      <c r="Z737" t="n">
        <v>80.51199</v>
      </c>
      <c r="AA737" t="n">
        <v>62.65391</v>
      </c>
      <c r="AB737" t="n">
        <v>88.72282</v>
      </c>
      <c r="AC737" t="n">
        <v>61.15369</v>
      </c>
      <c r="AD737" t="n">
        <v>82.06313</v>
      </c>
      <c r="AE737" t="n">
        <v>77.78928000000001</v>
      </c>
    </row>
    <row r="738">
      <c r="A738" s="89" t="n">
        <v>41030</v>
      </c>
      <c r="B738" t="n">
        <v>81.13374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68.55283</v>
      </c>
      <c r="I738" t="n">
        <v>74.04001</v>
      </c>
      <c r="J738" t="n">
        <v>84.00615999999999</v>
      </c>
      <c r="K738" t="n">
        <v>89.34407</v>
      </c>
      <c r="L738" t="n">
        <v>90.7966</v>
      </c>
      <c r="M738" t="n">
        <v>96.58280000000001</v>
      </c>
      <c r="N738" t="n">
        <v>87.68758</v>
      </c>
      <c r="O738" t="n">
        <v>68.89955999999999</v>
      </c>
      <c r="P738" t="n">
        <v>68.91785</v>
      </c>
      <c r="Q738" t="n">
        <v>86.73504</v>
      </c>
      <c r="R738" t="n">
        <v>77.77754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82.06382000000001</v>
      </c>
      <c r="Y738" t="n">
        <v>82.01078</v>
      </c>
      <c r="Z738" t="n">
        <v>81.05106000000001</v>
      </c>
      <c r="AA738" t="n">
        <v>63.50146</v>
      </c>
      <c r="AB738" t="n">
        <v>88.26324</v>
      </c>
      <c r="AC738" t="n">
        <v>61.8203</v>
      </c>
      <c r="AD738" t="n">
        <v>82.42677</v>
      </c>
      <c r="AE738" t="n">
        <v>77.79736</v>
      </c>
    </row>
    <row r="739">
      <c r="A739" s="89" t="n">
        <v>41061</v>
      </c>
      <c r="B739" t="n">
        <v>81.88460000000001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69.03922</v>
      </c>
      <c r="I739" t="n">
        <v>74.44096</v>
      </c>
      <c r="J739" t="n">
        <v>84.24619</v>
      </c>
      <c r="K739" t="n">
        <v>89.5087</v>
      </c>
      <c r="L739" t="n">
        <v>91.14915000000001</v>
      </c>
      <c r="M739" t="n">
        <v>96.60046</v>
      </c>
      <c r="N739" t="n">
        <v>88.20938</v>
      </c>
      <c r="O739" t="n">
        <v>69.80886</v>
      </c>
      <c r="P739" t="n">
        <v>70.32758</v>
      </c>
      <c r="Q739" t="n">
        <v>86.40366</v>
      </c>
      <c r="R739" t="n">
        <v>78.59851999999999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82.59473</v>
      </c>
      <c r="Y739" t="n">
        <v>82.37649999999999</v>
      </c>
      <c r="Z739" t="n">
        <v>81.63194</v>
      </c>
      <c r="AA739" t="n">
        <v>64.40239</v>
      </c>
      <c r="AB739" t="n">
        <v>87.53909</v>
      </c>
      <c r="AC739" t="n">
        <v>62.51052</v>
      </c>
      <c r="AD739" t="n">
        <v>83.01539</v>
      </c>
      <c r="AE739" t="n">
        <v>78.61405000000001</v>
      </c>
    </row>
    <row r="740">
      <c r="A740" s="89" t="n">
        <v>41091</v>
      </c>
      <c r="B740" t="n">
        <v>82.30485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69.11109999999999</v>
      </c>
      <c r="I740" t="n">
        <v>74.85831</v>
      </c>
      <c r="J740" t="n">
        <v>84.402</v>
      </c>
      <c r="K740" t="n">
        <v>89.12922</v>
      </c>
      <c r="L740" t="n">
        <v>91.45948</v>
      </c>
      <c r="M740" t="n">
        <v>96.70805</v>
      </c>
      <c r="N740" t="n">
        <v>87.89921</v>
      </c>
      <c r="O740" t="n">
        <v>70.31336</v>
      </c>
      <c r="P740" t="n">
        <v>71.29208</v>
      </c>
      <c r="Q740" t="n">
        <v>85.98086000000001</v>
      </c>
      <c r="R740" t="n">
        <v>79.47553000000001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83.05199</v>
      </c>
      <c r="Y740" t="n">
        <v>82.69262999999999</v>
      </c>
      <c r="Z740" t="n">
        <v>82.02043</v>
      </c>
      <c r="AA740" t="n">
        <v>65.32652</v>
      </c>
      <c r="AB740" t="n">
        <v>87.2321</v>
      </c>
      <c r="AC740" t="n">
        <v>62.95073</v>
      </c>
      <c r="AD740" t="n">
        <v>83.45125</v>
      </c>
      <c r="AE740" t="n">
        <v>79.80646</v>
      </c>
    </row>
    <row r="741">
      <c r="A741" s="89" t="n">
        <v>41122</v>
      </c>
      <c r="B741" t="n">
        <v>82.79234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69.96505999999999</v>
      </c>
      <c r="I741" t="n">
        <v>75.39185000000001</v>
      </c>
      <c r="J741" t="n">
        <v>84.52585000000001</v>
      </c>
      <c r="K741" t="n">
        <v>88.96509</v>
      </c>
      <c r="L741" t="n">
        <v>91.48078</v>
      </c>
      <c r="M741" t="n">
        <v>96.8612</v>
      </c>
      <c r="N741" t="n">
        <v>87.8382</v>
      </c>
      <c r="O741" t="n">
        <v>71.00194999999999</v>
      </c>
      <c r="P741" t="n">
        <v>71.69177999999999</v>
      </c>
      <c r="Q741" t="n">
        <v>85.45679</v>
      </c>
      <c r="R741" t="n">
        <v>80.16779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83.51758</v>
      </c>
      <c r="Y741" t="n">
        <v>83.01742</v>
      </c>
      <c r="Z741" t="n">
        <v>82.52744</v>
      </c>
      <c r="AA741" t="n">
        <v>65.85423</v>
      </c>
      <c r="AB741" t="n">
        <v>87.51266</v>
      </c>
      <c r="AC741" t="n">
        <v>63.36629</v>
      </c>
      <c r="AD741" t="n">
        <v>84.02824</v>
      </c>
      <c r="AE741" t="n">
        <v>80.56027</v>
      </c>
    </row>
    <row r="742">
      <c r="A742" s="89" t="n">
        <v>41153</v>
      </c>
      <c r="B742" t="n">
        <v>83.24621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71.61633</v>
      </c>
      <c r="I742" t="n">
        <v>76.6494</v>
      </c>
      <c r="J742" t="n">
        <v>84.28344</v>
      </c>
      <c r="K742" t="n">
        <v>90.06131999999999</v>
      </c>
      <c r="L742" t="n">
        <v>91.42383</v>
      </c>
      <c r="M742" t="n">
        <v>96.92658</v>
      </c>
      <c r="N742" t="n">
        <v>88.20724</v>
      </c>
      <c r="O742" t="n">
        <v>71.67303</v>
      </c>
      <c r="P742" t="n">
        <v>72.33672</v>
      </c>
      <c r="Q742" t="n">
        <v>85.01085</v>
      </c>
      <c r="R742" t="n">
        <v>80.44955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84.04225</v>
      </c>
      <c r="Y742" t="n">
        <v>83.47102</v>
      </c>
      <c r="Z742" t="n">
        <v>82.72402</v>
      </c>
      <c r="AA742" t="n">
        <v>66.24970999999999</v>
      </c>
      <c r="AB742" t="n">
        <v>88.43702999999999</v>
      </c>
      <c r="AC742" t="n">
        <v>64.1832</v>
      </c>
      <c r="AD742" t="n">
        <v>84.68826</v>
      </c>
      <c r="AE742" t="n">
        <v>81.05911999999999</v>
      </c>
    </row>
    <row r="743">
      <c r="A743" s="89" t="n">
        <v>41183</v>
      </c>
      <c r="B743" t="n">
        <v>83.60202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72.84703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97.20226</v>
      </c>
      <c r="N743" t="n">
        <v>88.81652</v>
      </c>
      <c r="O743" t="n">
        <v>72.45862</v>
      </c>
      <c r="P743" t="n">
        <v>72.80526</v>
      </c>
      <c r="Q743" t="n">
        <v>84.74043</v>
      </c>
      <c r="R743" t="n">
        <v>80.45489999999999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84.52197</v>
      </c>
      <c r="Y743" t="n">
        <v>83.91412</v>
      </c>
      <c r="Z743" t="n">
        <v>83.04114</v>
      </c>
      <c r="AA743" t="n">
        <v>66.88030000000001</v>
      </c>
      <c r="AB743" t="n">
        <v>88.61036</v>
      </c>
      <c r="AC743" t="n">
        <v>65.1343</v>
      </c>
      <c r="AD743" t="n">
        <v>85.24036</v>
      </c>
      <c r="AE743" t="n">
        <v>81.40819999999999</v>
      </c>
    </row>
    <row r="744">
      <c r="A744" s="89" t="n">
        <v>41214</v>
      </c>
      <c r="B744" t="n">
        <v>83.92702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73.38927</v>
      </c>
      <c r="I744" t="n">
        <v>77.55309</v>
      </c>
      <c r="J744" t="n">
        <v>85.26009000000001</v>
      </c>
      <c r="K744" t="n">
        <v>84.88836999999999</v>
      </c>
      <c r="L744" t="n">
        <v>92.01973</v>
      </c>
      <c r="M744" t="n">
        <v>97.07207</v>
      </c>
      <c r="N744" t="n">
        <v>88.83031</v>
      </c>
      <c r="O744" t="n">
        <v>73.42202</v>
      </c>
      <c r="P744" t="n">
        <v>73.48820000000001</v>
      </c>
      <c r="Q744" t="n">
        <v>84.57143000000001</v>
      </c>
      <c r="R744" t="n">
        <v>80.55108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84.92758000000001</v>
      </c>
      <c r="Y744" t="n">
        <v>84.04366</v>
      </c>
      <c r="Z744" t="n">
        <v>83.37549</v>
      </c>
      <c r="AA744" t="n">
        <v>67.79165</v>
      </c>
      <c r="AB744" t="n">
        <v>88.18549</v>
      </c>
      <c r="AC744" t="n">
        <v>65.77866</v>
      </c>
      <c r="AD744" t="n">
        <v>85.82398999999999</v>
      </c>
      <c r="AE744" t="n">
        <v>82.08047000000001</v>
      </c>
    </row>
    <row r="745">
      <c r="A745" s="89" t="n">
        <v>41244</v>
      </c>
      <c r="B745" t="n">
        <v>84.28843000000001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74.64724</v>
      </c>
      <c r="I745" t="n">
        <v>78.27901</v>
      </c>
      <c r="J745" t="n">
        <v>85.96889</v>
      </c>
      <c r="K745" t="n">
        <v>84.08908</v>
      </c>
      <c r="L745" t="n">
        <v>92.27061999999999</v>
      </c>
      <c r="M745" t="n">
        <v>97.64258</v>
      </c>
      <c r="N745" t="n">
        <v>88.52399</v>
      </c>
      <c r="O745" t="n">
        <v>73.95171000000001</v>
      </c>
      <c r="P745" t="n">
        <v>74.17709000000001</v>
      </c>
      <c r="Q745" t="n">
        <v>84.50312</v>
      </c>
      <c r="R745" t="n">
        <v>80.5291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85.64721</v>
      </c>
      <c r="Y745" t="n">
        <v>84.40816</v>
      </c>
      <c r="Z745" t="n">
        <v>83.41615</v>
      </c>
      <c r="AA745" t="n">
        <v>68.2546</v>
      </c>
      <c r="AB745" t="n">
        <v>88.6028</v>
      </c>
      <c r="AC745" t="n">
        <v>66.17831</v>
      </c>
      <c r="AD745" t="n">
        <v>86.83768000000001</v>
      </c>
      <c r="AE745" t="n">
        <v>82.97807</v>
      </c>
    </row>
    <row r="746">
      <c r="A746" s="89" t="n">
        <v>41275</v>
      </c>
      <c r="B746" t="n">
        <v>84.82075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75.81798999999999</v>
      </c>
      <c r="I746" t="n">
        <v>78.93903</v>
      </c>
      <c r="J746" t="n">
        <v>86.49627</v>
      </c>
      <c r="K746" t="n">
        <v>80.80392999999999</v>
      </c>
      <c r="L746" t="n">
        <v>92.21375</v>
      </c>
      <c r="M746" t="n">
        <v>98.98728</v>
      </c>
      <c r="N746" t="n">
        <v>89.23199</v>
      </c>
      <c r="O746" t="n">
        <v>74.59144999999999</v>
      </c>
      <c r="P746" t="n">
        <v>74.86604</v>
      </c>
      <c r="Q746" t="n">
        <v>84.52992999999999</v>
      </c>
      <c r="R746" t="n">
        <v>80.56061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86.04061</v>
      </c>
      <c r="Y746" t="n">
        <v>85.09411</v>
      </c>
      <c r="Z746" t="n">
        <v>83.88326000000001</v>
      </c>
      <c r="AA746" t="n">
        <v>68.7764</v>
      </c>
      <c r="AB746" t="n">
        <v>89.10365</v>
      </c>
      <c r="AC746" t="n">
        <v>66.96716000000001</v>
      </c>
      <c r="AD746" t="n">
        <v>87.00206</v>
      </c>
      <c r="AE746" t="n">
        <v>83.57634</v>
      </c>
    </row>
    <row r="747">
      <c r="A747" s="89" t="n">
        <v>41306</v>
      </c>
      <c r="B747" t="n">
        <v>85.20178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76.30183</v>
      </c>
      <c r="I747" t="n">
        <v>78.84971</v>
      </c>
      <c r="J747" t="n">
        <v>86.72216</v>
      </c>
      <c r="K747" t="n">
        <v>76.57006</v>
      </c>
      <c r="L747" t="n">
        <v>91.96127</v>
      </c>
      <c r="M747" t="n">
        <v>99.7272</v>
      </c>
      <c r="N747" t="n">
        <v>90.4413</v>
      </c>
      <c r="O747" t="n">
        <v>75.65025</v>
      </c>
      <c r="P747" t="n">
        <v>75.50530999999999</v>
      </c>
      <c r="Q747" t="n">
        <v>84.60297</v>
      </c>
      <c r="R747" t="n">
        <v>80.68169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86.31570000000001</v>
      </c>
      <c r="Y747" t="n">
        <v>85.57546000000001</v>
      </c>
      <c r="Z747" t="n">
        <v>84.59865000000001</v>
      </c>
      <c r="AA747" t="n">
        <v>69.68101</v>
      </c>
      <c r="AB747" t="n">
        <v>89.14943</v>
      </c>
      <c r="AC747" t="n">
        <v>67.82664</v>
      </c>
      <c r="AD747" t="n">
        <v>87.02282</v>
      </c>
      <c r="AE747" t="n">
        <v>84.28362</v>
      </c>
    </row>
    <row r="748">
      <c r="A748" s="89" t="n">
        <v>41334</v>
      </c>
      <c r="B748" t="n">
        <v>85.55479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77.53552999999999</v>
      </c>
      <c r="I748" t="n">
        <v>79.03053</v>
      </c>
      <c r="J748" t="n">
        <v>87.02673</v>
      </c>
      <c r="K748" t="n">
        <v>75.79485</v>
      </c>
      <c r="L748" t="n">
        <v>92.22490999999999</v>
      </c>
      <c r="M748" t="n">
        <v>99.95372</v>
      </c>
      <c r="N748" t="n">
        <v>92.13370999999999</v>
      </c>
      <c r="O748" t="n">
        <v>76.57335</v>
      </c>
      <c r="P748" t="n">
        <v>76.46850000000001</v>
      </c>
      <c r="Q748" t="n">
        <v>84.74718</v>
      </c>
      <c r="R748" t="n">
        <v>81.35836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86.86582</v>
      </c>
      <c r="Y748" t="n">
        <v>86.0685</v>
      </c>
      <c r="Z748" t="n">
        <v>85.35046</v>
      </c>
      <c r="AA748" t="n">
        <v>70.73891</v>
      </c>
      <c r="AB748" t="n">
        <v>89.34601000000001</v>
      </c>
      <c r="AC748" t="n">
        <v>68.66079999999999</v>
      </c>
      <c r="AD748" t="n">
        <v>87.58736</v>
      </c>
      <c r="AE748" t="n">
        <v>84.48283000000001</v>
      </c>
    </row>
    <row r="749">
      <c r="A749" s="89" t="n">
        <v>41365</v>
      </c>
      <c r="B749" t="n">
        <v>86.2272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78.75089</v>
      </c>
      <c r="I749" t="n">
        <v>79.85777</v>
      </c>
      <c r="J749" t="n">
        <v>87.29488000000001</v>
      </c>
      <c r="K749" t="n">
        <v>74.7774</v>
      </c>
      <c r="L749" t="n">
        <v>92.68789</v>
      </c>
      <c r="M749" t="n">
        <v>100.1523</v>
      </c>
      <c r="N749" t="n">
        <v>92.99518999999999</v>
      </c>
      <c r="O749" t="n">
        <v>77.55507</v>
      </c>
      <c r="P749" t="n">
        <v>77.27903999999999</v>
      </c>
      <c r="Q749" t="n">
        <v>84.97607000000001</v>
      </c>
      <c r="R749" t="n">
        <v>82.58926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87.30775</v>
      </c>
      <c r="Y749" t="n">
        <v>86.57306</v>
      </c>
      <c r="Z749" t="n">
        <v>86.14792</v>
      </c>
      <c r="AA749" t="n">
        <v>72.38599000000001</v>
      </c>
      <c r="AB749" t="n">
        <v>89.46212</v>
      </c>
      <c r="AC749" t="n">
        <v>69.63083</v>
      </c>
      <c r="AD749" t="n">
        <v>87.88540999999999</v>
      </c>
      <c r="AE749" t="n">
        <v>84.79263</v>
      </c>
    </row>
    <row r="750">
      <c r="A750" s="89" t="n">
        <v>41395</v>
      </c>
      <c r="B750" t="n">
        <v>87.04248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79.65215999999999</v>
      </c>
      <c r="I750" t="n">
        <v>80.64978000000001</v>
      </c>
      <c r="J750" t="n">
        <v>87.51375</v>
      </c>
      <c r="K750" t="n">
        <v>73.7961</v>
      </c>
      <c r="L750" t="n">
        <v>92.92949</v>
      </c>
      <c r="M750" t="n">
        <v>100.6371</v>
      </c>
      <c r="N750" t="n">
        <v>92.62814</v>
      </c>
      <c r="O750" t="n">
        <v>78.809</v>
      </c>
      <c r="P750" t="n">
        <v>78.24915</v>
      </c>
      <c r="Q750" t="n">
        <v>85.24466</v>
      </c>
      <c r="R750" t="n">
        <v>83.55244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87.74850000000001</v>
      </c>
      <c r="Y750" t="n">
        <v>87.17122999999999</v>
      </c>
      <c r="Z750" t="n">
        <v>86.69123</v>
      </c>
      <c r="AA750" t="n">
        <v>73.88791999999999</v>
      </c>
      <c r="AB750" t="n">
        <v>89.72333999999999</v>
      </c>
      <c r="AC750" t="n">
        <v>70.86833</v>
      </c>
      <c r="AD750" t="n">
        <v>88.23659000000001</v>
      </c>
      <c r="AE750" t="n">
        <v>85.44537</v>
      </c>
    </row>
    <row r="751">
      <c r="A751" s="89" t="n">
        <v>41426</v>
      </c>
      <c r="B751" t="n">
        <v>87.47114000000001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80.81802999999999</v>
      </c>
      <c r="I751" t="n">
        <v>81.76622</v>
      </c>
      <c r="J751" t="n">
        <v>87.48614000000001</v>
      </c>
      <c r="K751" t="n">
        <v>73.85035000000001</v>
      </c>
      <c r="L751" t="n">
        <v>92.90137</v>
      </c>
      <c r="M751" t="n">
        <v>101.1917</v>
      </c>
      <c r="N751" t="n">
        <v>92.35993000000001</v>
      </c>
      <c r="O751" t="n">
        <v>78.87822</v>
      </c>
      <c r="P751" t="n">
        <v>79.79736</v>
      </c>
      <c r="Q751" t="n">
        <v>85.53988</v>
      </c>
      <c r="R751" t="n">
        <v>84.07829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88.24678</v>
      </c>
      <c r="Y751" t="n">
        <v>87.93919</v>
      </c>
      <c r="Z751" t="n">
        <v>87.16758</v>
      </c>
      <c r="AA751" t="n">
        <v>74.74254000000001</v>
      </c>
      <c r="AB751" t="n">
        <v>90.3785</v>
      </c>
      <c r="AC751" t="n">
        <v>72.17899</v>
      </c>
      <c r="AD751" t="n">
        <v>88.70732</v>
      </c>
      <c r="AE751" t="n">
        <v>86.03771</v>
      </c>
    </row>
    <row r="752">
      <c r="A752" s="89" t="n">
        <v>41456</v>
      </c>
      <c r="B752" t="n">
        <v>87.61122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81.94381</v>
      </c>
      <c r="I752" t="n">
        <v>82.64636</v>
      </c>
      <c r="J752" t="n">
        <v>88.12766000000001</v>
      </c>
      <c r="K752" t="n">
        <v>74.053</v>
      </c>
      <c r="L752" t="n">
        <v>92.82501000000001</v>
      </c>
      <c r="M752" t="n">
        <v>101.5298</v>
      </c>
      <c r="N752" t="n">
        <v>91.86996000000001</v>
      </c>
      <c r="O752" t="n">
        <v>79.54201</v>
      </c>
      <c r="P752" t="n">
        <v>80.4289</v>
      </c>
      <c r="Q752" t="n">
        <v>85.92254</v>
      </c>
      <c r="R752" t="n">
        <v>84.39494000000001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88.63957000000001</v>
      </c>
      <c r="Y752" t="n">
        <v>88.64700000000001</v>
      </c>
      <c r="Z752" t="n">
        <v>87.53129</v>
      </c>
      <c r="AA752" t="n">
        <v>75.99285999999999</v>
      </c>
      <c r="AB752" t="n">
        <v>90.55286</v>
      </c>
      <c r="AC752" t="n">
        <v>73.48547000000001</v>
      </c>
      <c r="AD752" t="n">
        <v>89.08839</v>
      </c>
      <c r="AE752" t="n">
        <v>86.38985</v>
      </c>
    </row>
    <row r="753">
      <c r="A753" s="89" t="n">
        <v>41487</v>
      </c>
      <c r="B753" t="n">
        <v>87.77092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82.7679</v>
      </c>
      <c r="I753" t="n">
        <v>82.92814</v>
      </c>
      <c r="J753" t="n">
        <v>88.57378</v>
      </c>
      <c r="K753" t="n">
        <v>73.55525</v>
      </c>
      <c r="L753" t="n">
        <v>92.9926</v>
      </c>
      <c r="M753" t="n">
        <v>101.8431</v>
      </c>
      <c r="N753" t="n">
        <v>91.52343</v>
      </c>
      <c r="O753" t="n">
        <v>80.85387</v>
      </c>
      <c r="P753" t="n">
        <v>80.67558</v>
      </c>
      <c r="Q753" t="n">
        <v>86.41982</v>
      </c>
      <c r="R753" t="n">
        <v>84.88544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89.16795</v>
      </c>
      <c r="Y753" t="n">
        <v>89.28704999999999</v>
      </c>
      <c r="Z753" t="n">
        <v>87.72041</v>
      </c>
      <c r="AA753" t="n">
        <v>77.48244</v>
      </c>
      <c r="AB753" t="n">
        <v>90.44996</v>
      </c>
      <c r="AC753" t="n">
        <v>75.06107</v>
      </c>
      <c r="AD753" t="n">
        <v>89.58154</v>
      </c>
      <c r="AE753" t="n">
        <v>86.34277</v>
      </c>
    </row>
    <row r="754">
      <c r="A754" s="89" t="n">
        <v>41518</v>
      </c>
      <c r="B754" t="n">
        <v>88.12112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83.45681999999999</v>
      </c>
      <c r="I754" t="n">
        <v>83.54165999999999</v>
      </c>
      <c r="J754" t="n">
        <v>88.36441000000001</v>
      </c>
      <c r="K754" t="n">
        <v>77.86044</v>
      </c>
      <c r="L754" t="n">
        <v>93.01929</v>
      </c>
      <c r="M754" t="n">
        <v>101.57</v>
      </c>
      <c r="N754" t="n">
        <v>91.44276000000001</v>
      </c>
      <c r="O754" t="n">
        <v>81.60601</v>
      </c>
      <c r="P754" t="n">
        <v>81.55840999999999</v>
      </c>
      <c r="Q754" t="n">
        <v>86.92628000000001</v>
      </c>
      <c r="R754" t="n">
        <v>85.57283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89.64643</v>
      </c>
      <c r="Y754" t="n">
        <v>89.75172999999999</v>
      </c>
      <c r="Z754" t="n">
        <v>87.77283</v>
      </c>
      <c r="AA754" t="n">
        <v>78.34417000000001</v>
      </c>
      <c r="AB754" t="n">
        <v>90.36704</v>
      </c>
      <c r="AC754" t="n">
        <v>76.37061</v>
      </c>
      <c r="AD754" t="n">
        <v>90.00577</v>
      </c>
      <c r="AE754" t="n">
        <v>86.73907</v>
      </c>
    </row>
    <row r="755">
      <c r="A755" s="89" t="n">
        <v>41548</v>
      </c>
      <c r="B755" t="n">
        <v>88.75991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84.3382</v>
      </c>
      <c r="I755" t="n">
        <v>84.45466</v>
      </c>
      <c r="J755" t="n">
        <v>88.59641999999999</v>
      </c>
      <c r="K755" t="n">
        <v>82.66768999999999</v>
      </c>
      <c r="L755" t="n">
        <v>92.90276</v>
      </c>
      <c r="M755" t="n">
        <v>101.1785</v>
      </c>
      <c r="N755" t="n">
        <v>91.65662</v>
      </c>
      <c r="O755" t="n">
        <v>82.41486999999999</v>
      </c>
      <c r="P755" t="n">
        <v>82.46393</v>
      </c>
      <c r="Q755" t="n">
        <v>87.39869</v>
      </c>
      <c r="R755" t="n">
        <v>86.15662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90.35075000000001</v>
      </c>
      <c r="Y755" t="n">
        <v>90.14715</v>
      </c>
      <c r="Z755" t="n">
        <v>87.96783000000001</v>
      </c>
      <c r="AA755" t="n">
        <v>78.79543</v>
      </c>
      <c r="AB755" t="n">
        <v>90.55736</v>
      </c>
      <c r="AC755" t="n">
        <v>77.3801</v>
      </c>
      <c r="AD755" t="n">
        <v>90.96384</v>
      </c>
      <c r="AE755" t="n">
        <v>87.15343</v>
      </c>
    </row>
    <row r="756">
      <c r="A756" s="89" t="n">
        <v>41579</v>
      </c>
      <c r="B756" t="n">
        <v>89.36507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85.36438</v>
      </c>
      <c r="I756" t="n">
        <v>84.63914</v>
      </c>
      <c r="J756" t="n">
        <v>89.44503</v>
      </c>
      <c r="K756" t="n">
        <v>82.59157999999999</v>
      </c>
      <c r="L756" t="n">
        <v>93.0981</v>
      </c>
      <c r="M756" t="n">
        <v>101.2074</v>
      </c>
      <c r="N756" t="n">
        <v>91.98929</v>
      </c>
      <c r="O756" t="n">
        <v>82.90501999999999</v>
      </c>
      <c r="P756" t="n">
        <v>83.69793</v>
      </c>
      <c r="Q756" t="n">
        <v>87.86087999999999</v>
      </c>
      <c r="R756" t="n">
        <v>86.63342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90.69271999999999</v>
      </c>
      <c r="Y756" t="n">
        <v>90.65201999999999</v>
      </c>
      <c r="Z756" t="n">
        <v>88.1614</v>
      </c>
      <c r="AA756" t="n">
        <v>79.08553000000001</v>
      </c>
      <c r="AB756" t="n">
        <v>91.33378</v>
      </c>
      <c r="AC756" t="n">
        <v>78.54979</v>
      </c>
      <c r="AD756" t="n">
        <v>91.06595</v>
      </c>
      <c r="AE756" t="n">
        <v>87.55589999999999</v>
      </c>
    </row>
    <row r="757">
      <c r="A757" s="89" t="n">
        <v>41609</v>
      </c>
      <c r="B757" t="n">
        <v>90.03467000000001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85.91199</v>
      </c>
      <c r="I757" t="n">
        <v>85.27315</v>
      </c>
      <c r="J757" t="n">
        <v>90.47642999999999</v>
      </c>
      <c r="K757" t="n">
        <v>82.65706</v>
      </c>
      <c r="L757" t="n">
        <v>93.06037000000001</v>
      </c>
      <c r="M757" t="n">
        <v>100.6487</v>
      </c>
      <c r="N757" t="n">
        <v>92.74437</v>
      </c>
      <c r="O757" t="n">
        <v>83.56206</v>
      </c>
      <c r="P757" t="n">
        <v>84.97423999999999</v>
      </c>
      <c r="Q757" t="n">
        <v>88.25217000000001</v>
      </c>
      <c r="R757" t="n">
        <v>87.21881999999999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91.18358000000001</v>
      </c>
      <c r="Y757" t="n">
        <v>91.08150000000001</v>
      </c>
      <c r="Z757" t="n">
        <v>88.4218</v>
      </c>
      <c r="AA757" t="n">
        <v>79.63840999999999</v>
      </c>
      <c r="AB757" t="n">
        <v>91.93442</v>
      </c>
      <c r="AC757" t="n">
        <v>79.92269</v>
      </c>
      <c r="AD757" t="n">
        <v>91.56242</v>
      </c>
      <c r="AE757" t="n">
        <v>88.00696000000001</v>
      </c>
    </row>
    <row r="758">
      <c r="A758" s="89" t="n">
        <v>41640</v>
      </c>
      <c r="B758" t="n">
        <v>90.66225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86.69580999999999</v>
      </c>
      <c r="I758" t="n">
        <v>86.62165</v>
      </c>
      <c r="J758" t="n">
        <v>90.74261</v>
      </c>
      <c r="K758" t="n">
        <v>81.28873</v>
      </c>
      <c r="L758" t="n">
        <v>92.90446</v>
      </c>
      <c r="M758" t="n">
        <v>100.7111</v>
      </c>
      <c r="N758" t="n">
        <v>93.41764999999999</v>
      </c>
      <c r="O758" t="n">
        <v>83.96827999999999</v>
      </c>
      <c r="P758" t="n">
        <v>85.74196999999999</v>
      </c>
      <c r="Q758" t="n">
        <v>88.58984</v>
      </c>
      <c r="R758" t="n">
        <v>87.87528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91.65076999999999</v>
      </c>
      <c r="Y758" t="n">
        <v>91.69592</v>
      </c>
      <c r="Z758" t="n">
        <v>88.78416</v>
      </c>
      <c r="AA758" t="n">
        <v>80.28907</v>
      </c>
      <c r="AB758" t="n">
        <v>91.77261</v>
      </c>
      <c r="AC758" t="n">
        <v>81.72488</v>
      </c>
      <c r="AD758" t="n">
        <v>91.97836</v>
      </c>
      <c r="AE758" t="n">
        <v>88.62666</v>
      </c>
    </row>
    <row r="759">
      <c r="A759" s="89" t="n">
        <v>41671</v>
      </c>
      <c r="B759" t="n">
        <v>91.18335999999999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88.03582</v>
      </c>
      <c r="I759" t="n">
        <v>89.52287</v>
      </c>
      <c r="J759" t="n">
        <v>91.01698</v>
      </c>
      <c r="K759" t="n">
        <v>80.71889</v>
      </c>
      <c r="L759" t="n">
        <v>92.97651999999999</v>
      </c>
      <c r="M759" t="n">
        <v>101.8081</v>
      </c>
      <c r="N759" t="n">
        <v>93.78156</v>
      </c>
      <c r="O759" t="n">
        <v>84.23650000000001</v>
      </c>
      <c r="P759" t="n">
        <v>86.46075</v>
      </c>
      <c r="Q759" t="n">
        <v>88.95541</v>
      </c>
      <c r="R759" t="n">
        <v>88.4631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92.23802000000001</v>
      </c>
      <c r="Y759" t="n">
        <v>92.42171</v>
      </c>
      <c r="Z759" t="n">
        <v>89.10265</v>
      </c>
      <c r="AA759" t="n">
        <v>81.41798</v>
      </c>
      <c r="AB759" t="n">
        <v>91.89433</v>
      </c>
      <c r="AC759" t="n">
        <v>82.76344</v>
      </c>
      <c r="AD759" t="n">
        <v>92.65996</v>
      </c>
      <c r="AE759" t="n">
        <v>89.33571999999999</v>
      </c>
    </row>
    <row r="760">
      <c r="A760" s="89" t="n">
        <v>41699</v>
      </c>
      <c r="B760" t="n">
        <v>91.62882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88.89769</v>
      </c>
      <c r="I760" t="n">
        <v>91.78949</v>
      </c>
      <c r="J760" t="n">
        <v>91.57401</v>
      </c>
      <c r="K760" t="n">
        <v>81.36911000000001</v>
      </c>
      <c r="L760" t="n">
        <v>93.10048</v>
      </c>
      <c r="M760" t="n">
        <v>101.3084</v>
      </c>
      <c r="N760" t="n">
        <v>94.04642</v>
      </c>
      <c r="O760" t="n">
        <v>84.51299</v>
      </c>
      <c r="P760" t="n">
        <v>86.9819</v>
      </c>
      <c r="Q760" t="n">
        <v>89.31674</v>
      </c>
      <c r="R760" t="n">
        <v>89.31368000000001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92.56968999999999</v>
      </c>
      <c r="Y760" t="n">
        <v>92.50069999999999</v>
      </c>
      <c r="Z760" t="n">
        <v>89.83784</v>
      </c>
      <c r="AA760" t="n">
        <v>83.06798999999999</v>
      </c>
      <c r="AB760" t="n">
        <v>92.26564999999999</v>
      </c>
      <c r="AC760" t="n">
        <v>82.78653</v>
      </c>
      <c r="AD760" t="n">
        <v>92.9854</v>
      </c>
      <c r="AE760" t="n">
        <v>90.11564</v>
      </c>
    </row>
    <row r="761">
      <c r="A761" s="89" t="n">
        <v>41730</v>
      </c>
      <c r="B761" t="n">
        <v>92.06028000000001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89.36452</v>
      </c>
      <c r="I761" t="n">
        <v>92.37585</v>
      </c>
      <c r="J761" t="n">
        <v>92.03448</v>
      </c>
      <c r="K761" t="n">
        <v>81.71879</v>
      </c>
      <c r="L761" t="n">
        <v>93.26803</v>
      </c>
      <c r="M761" t="n">
        <v>100.2749</v>
      </c>
      <c r="N761" t="n">
        <v>94.76145</v>
      </c>
      <c r="O761" t="n">
        <v>85.53346999999999</v>
      </c>
      <c r="P761" t="n">
        <v>87.79392</v>
      </c>
      <c r="Q761" t="n">
        <v>89.7916</v>
      </c>
      <c r="R761" t="n">
        <v>90.15998999999999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92.90913</v>
      </c>
      <c r="Y761" t="n">
        <v>92.49176</v>
      </c>
      <c r="Z761" t="n">
        <v>90.71773</v>
      </c>
      <c r="AA761" t="n">
        <v>83.61533</v>
      </c>
      <c r="AB761" t="n">
        <v>92.61757</v>
      </c>
      <c r="AC761" t="n">
        <v>83.10655</v>
      </c>
      <c r="AD761" t="n">
        <v>93.45613</v>
      </c>
      <c r="AE761" t="n">
        <v>90.99747000000001</v>
      </c>
    </row>
    <row r="762">
      <c r="A762" s="89" t="n">
        <v>41760</v>
      </c>
      <c r="B762" t="n">
        <v>92.70187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89.88085</v>
      </c>
      <c r="I762" t="n">
        <v>93.31287</v>
      </c>
      <c r="J762" t="n">
        <v>92.61409</v>
      </c>
      <c r="K762" t="n">
        <v>82.45905999999999</v>
      </c>
      <c r="L762" t="n">
        <v>93.70287</v>
      </c>
      <c r="M762" t="n">
        <v>100.1131</v>
      </c>
      <c r="N762" t="n">
        <v>95.37829000000001</v>
      </c>
      <c r="O762" t="n">
        <v>87.01186</v>
      </c>
      <c r="P762" t="n">
        <v>88.67983</v>
      </c>
      <c r="Q762" t="n">
        <v>90.50658</v>
      </c>
      <c r="R762" t="n">
        <v>90.88995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93.35686</v>
      </c>
      <c r="Y762" t="n">
        <v>92.65608</v>
      </c>
      <c r="Z762" t="n">
        <v>91.31384</v>
      </c>
      <c r="AA762" t="n">
        <v>83.82539</v>
      </c>
      <c r="AB762" t="n">
        <v>93.25601</v>
      </c>
      <c r="AC762" t="n">
        <v>83.08673</v>
      </c>
      <c r="AD762" t="n">
        <v>94.03230000000001</v>
      </c>
      <c r="AE762" t="n">
        <v>91.66689</v>
      </c>
    </row>
    <row r="763">
      <c r="A763" s="89" t="n">
        <v>41791</v>
      </c>
      <c r="B763" t="n">
        <v>93.29862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90.43772</v>
      </c>
      <c r="I763" t="n">
        <v>93.38397999999999</v>
      </c>
      <c r="J763" t="n">
        <v>92.52894999999999</v>
      </c>
      <c r="K763" t="n">
        <v>83.02521</v>
      </c>
      <c r="L763" t="n">
        <v>94.11112</v>
      </c>
      <c r="M763" t="n">
        <v>99.88593</v>
      </c>
      <c r="N763" t="n">
        <v>95.23390999999999</v>
      </c>
      <c r="O763" t="n">
        <v>87.99495</v>
      </c>
      <c r="P763" t="n">
        <v>89.3116</v>
      </c>
      <c r="Q763" t="n">
        <v>91.22573</v>
      </c>
      <c r="R763" t="n">
        <v>91.74382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93.80016000000001</v>
      </c>
      <c r="Y763" t="n">
        <v>92.87891</v>
      </c>
      <c r="Z763" t="n">
        <v>91.75373</v>
      </c>
      <c r="AA763" t="n">
        <v>84.28312</v>
      </c>
      <c r="AB763" t="n">
        <v>93.95329</v>
      </c>
      <c r="AC763" t="n">
        <v>83.65872</v>
      </c>
      <c r="AD763" t="n">
        <v>94.48393</v>
      </c>
      <c r="AE763" t="n">
        <v>92.33540000000001</v>
      </c>
    </row>
    <row r="764">
      <c r="A764" s="89" t="n">
        <v>41821</v>
      </c>
      <c r="B764" t="n">
        <v>93.84215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91.17617</v>
      </c>
      <c r="I764" t="n">
        <v>93.86394</v>
      </c>
      <c r="J764" t="n">
        <v>92.55727</v>
      </c>
      <c r="K764" t="n">
        <v>83.90461999999999</v>
      </c>
      <c r="L764" t="n">
        <v>94.33298000000001</v>
      </c>
      <c r="M764" t="n">
        <v>99.64922</v>
      </c>
      <c r="N764" t="n">
        <v>95.64662</v>
      </c>
      <c r="O764" t="n">
        <v>88.94174</v>
      </c>
      <c r="P764" t="n">
        <v>90.13514000000001</v>
      </c>
      <c r="Q764" t="n">
        <v>91.77403</v>
      </c>
      <c r="R764" t="n">
        <v>91.97186000000001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94.33246</v>
      </c>
      <c r="Y764" t="n">
        <v>93.40151</v>
      </c>
      <c r="Z764" t="n">
        <v>92.41628</v>
      </c>
      <c r="AA764" t="n">
        <v>84.09369</v>
      </c>
      <c r="AB764" t="n">
        <v>94.44925000000001</v>
      </c>
      <c r="AC764" t="n">
        <v>85.24516</v>
      </c>
      <c r="AD764" t="n">
        <v>94.97542</v>
      </c>
      <c r="AE764" t="n">
        <v>92.39757</v>
      </c>
    </row>
    <row r="765">
      <c r="A765" s="89" t="n">
        <v>41852</v>
      </c>
      <c r="B765" t="n">
        <v>94.53695999999999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91.80267000000001</v>
      </c>
      <c r="I765" t="n">
        <v>95.41991</v>
      </c>
      <c r="J765" t="n">
        <v>92.95208</v>
      </c>
      <c r="K765" t="n">
        <v>85.68725999999999</v>
      </c>
      <c r="L765" t="n">
        <v>94.71646</v>
      </c>
      <c r="M765" t="n">
        <v>99.83672</v>
      </c>
      <c r="N765" t="n">
        <v>96.47595</v>
      </c>
      <c r="O765" t="n">
        <v>89.61060000000001</v>
      </c>
      <c r="P765" t="n">
        <v>91.09347</v>
      </c>
      <c r="Q765" t="n">
        <v>92.29244</v>
      </c>
      <c r="R765" t="n">
        <v>92.75508000000001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94.76085999999999</v>
      </c>
      <c r="Y765" t="n">
        <v>94.04791</v>
      </c>
      <c r="Z765" t="n">
        <v>93.61959</v>
      </c>
      <c r="AA765" t="n">
        <v>84.34310000000001</v>
      </c>
      <c r="AB765" t="n">
        <v>94.50387000000001</v>
      </c>
      <c r="AC765" t="n">
        <v>86.23788999999999</v>
      </c>
      <c r="AD765" t="n">
        <v>95.22033</v>
      </c>
      <c r="AE765" t="n">
        <v>92.01514</v>
      </c>
    </row>
    <row r="766">
      <c r="A766" s="89" t="n">
        <v>41883</v>
      </c>
      <c r="B766" t="n">
        <v>95.24858999999999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92.10402000000001</v>
      </c>
      <c r="I766" t="n">
        <v>96.32461000000001</v>
      </c>
      <c r="J766" t="n">
        <v>93.00534</v>
      </c>
      <c r="K766" t="n">
        <v>87.39391000000001</v>
      </c>
      <c r="L766" t="n">
        <v>94.99536000000001</v>
      </c>
      <c r="M766" t="n">
        <v>100.0731</v>
      </c>
      <c r="N766" t="n">
        <v>96.77632</v>
      </c>
      <c r="O766" t="n">
        <v>90.8656</v>
      </c>
      <c r="P766" t="n">
        <v>91.92004</v>
      </c>
      <c r="Q766" t="n">
        <v>92.96449</v>
      </c>
      <c r="R766" t="n">
        <v>94.09674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95.16264</v>
      </c>
      <c r="Y766" t="n">
        <v>94.70679</v>
      </c>
      <c r="Z766" t="n">
        <v>94.53576</v>
      </c>
      <c r="AA766" t="n">
        <v>85.20876</v>
      </c>
      <c r="AB766" t="n">
        <v>94.89185000000001</v>
      </c>
      <c r="AC766" t="n">
        <v>87.46462</v>
      </c>
      <c r="AD766" t="n">
        <v>95.49762</v>
      </c>
      <c r="AE766" t="n">
        <v>92.87905000000001</v>
      </c>
    </row>
    <row r="767">
      <c r="A767" s="89" t="n">
        <v>41913</v>
      </c>
      <c r="B767" t="n">
        <v>95.7697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92.73560999999999</v>
      </c>
      <c r="I767" t="n">
        <v>96.5184</v>
      </c>
      <c r="J767" t="n">
        <v>93.48757000000001</v>
      </c>
      <c r="K767" t="n">
        <v>89.22127999999999</v>
      </c>
      <c r="L767" t="n">
        <v>95.15971</v>
      </c>
      <c r="M767" t="n">
        <v>99.7159</v>
      </c>
      <c r="N767" t="n">
        <v>96.71402999999999</v>
      </c>
      <c r="O767" t="n">
        <v>92.44128000000001</v>
      </c>
      <c r="P767" t="n">
        <v>92.89429</v>
      </c>
      <c r="Q767" t="n">
        <v>93.79935</v>
      </c>
      <c r="R767" t="n">
        <v>94.66023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95.62531</v>
      </c>
      <c r="Y767" t="n">
        <v>94.95143</v>
      </c>
      <c r="Z767" t="n">
        <v>94.79667999999999</v>
      </c>
      <c r="AA767" t="n">
        <v>86.37576</v>
      </c>
      <c r="AB767" t="n">
        <v>95.29895999999999</v>
      </c>
      <c r="AC767" t="n">
        <v>88.27893</v>
      </c>
      <c r="AD767" t="n">
        <v>96.00073</v>
      </c>
      <c r="AE767" t="n">
        <v>94.04329</v>
      </c>
    </row>
    <row r="768">
      <c r="A768" s="89" t="n">
        <v>41944</v>
      </c>
      <c r="B768" t="n">
        <v>96.07509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93.46681</v>
      </c>
      <c r="I768" t="n">
        <v>97.2193</v>
      </c>
      <c r="J768" t="n">
        <v>94.46511</v>
      </c>
      <c r="K768" t="n">
        <v>91.31644</v>
      </c>
      <c r="L768" t="n">
        <v>95.72163999999999</v>
      </c>
      <c r="M768" t="n">
        <v>99.54392</v>
      </c>
      <c r="N768" t="n">
        <v>96.7146</v>
      </c>
      <c r="O768" t="n">
        <v>93.3813</v>
      </c>
      <c r="P768" t="n">
        <v>93.98775999999999</v>
      </c>
      <c r="Q768" t="n">
        <v>94.69482000000001</v>
      </c>
      <c r="R768" t="n">
        <v>96.03155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96.08871000000001</v>
      </c>
      <c r="Y768" t="n">
        <v>95.20274999999999</v>
      </c>
      <c r="Z768" t="n">
        <v>95.20764</v>
      </c>
      <c r="AA768" t="n">
        <v>88.16688000000001</v>
      </c>
      <c r="AB768" t="n">
        <v>95.42379</v>
      </c>
      <c r="AC768" t="n">
        <v>88.52528</v>
      </c>
      <c r="AD768" t="n">
        <v>96.34361</v>
      </c>
      <c r="AE768" t="n">
        <v>94.7107</v>
      </c>
    </row>
    <row r="769">
      <c r="A769" s="89" t="n">
        <v>41974</v>
      </c>
      <c r="B769" t="n">
        <v>96.6018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94.00409999999999</v>
      </c>
      <c r="I769" t="n">
        <v>97.98781</v>
      </c>
      <c r="J769" t="n">
        <v>95.91947999999999</v>
      </c>
      <c r="K769" t="n">
        <v>92.51806000000001</v>
      </c>
      <c r="L769" t="n">
        <v>96.7831</v>
      </c>
      <c r="M769" t="n">
        <v>99.73345</v>
      </c>
      <c r="N769" t="n">
        <v>97.3763</v>
      </c>
      <c r="O769" t="n">
        <v>93.97318</v>
      </c>
      <c r="P769" t="n">
        <v>94.74309</v>
      </c>
      <c r="Q769" t="n">
        <v>95.63424000000001</v>
      </c>
      <c r="R769" t="n">
        <v>97.66419999999999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96.69832</v>
      </c>
      <c r="Y769" t="n">
        <v>95.85028</v>
      </c>
      <c r="Z769" t="n">
        <v>95.75127999999999</v>
      </c>
      <c r="AA769" t="n">
        <v>90.17672</v>
      </c>
      <c r="AB769" t="n">
        <v>95.86845</v>
      </c>
      <c r="AC769" t="n">
        <v>89.59627999999999</v>
      </c>
      <c r="AD769" t="n">
        <v>96.98121</v>
      </c>
      <c r="AE769" t="n">
        <v>94.84641999999999</v>
      </c>
    </row>
    <row r="770">
      <c r="A770" s="89" t="n">
        <v>42005</v>
      </c>
      <c r="B770" t="n">
        <v>97.12291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94.81820999999999</v>
      </c>
      <c r="I770" t="n">
        <v>98.21008</v>
      </c>
      <c r="J770" t="n">
        <v>96.71068</v>
      </c>
      <c r="K770" t="n">
        <v>94.68442</v>
      </c>
      <c r="L770" t="n">
        <v>97.72409</v>
      </c>
      <c r="M770" t="n">
        <v>99.59435000000001</v>
      </c>
      <c r="N770" t="n">
        <v>98.39806</v>
      </c>
      <c r="O770" t="n">
        <v>95.19379000000001</v>
      </c>
      <c r="P770" t="n">
        <v>95.43456</v>
      </c>
      <c r="Q770" t="n">
        <v>96.66092999999999</v>
      </c>
      <c r="R770" t="n">
        <v>98.47246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97.2317</v>
      </c>
      <c r="Y770" t="n">
        <v>96.41186999999999</v>
      </c>
      <c r="Z770" t="n">
        <v>96.21702000000001</v>
      </c>
      <c r="AA770" t="n">
        <v>91.95232</v>
      </c>
      <c r="AB770" t="n">
        <v>95.83710000000001</v>
      </c>
      <c r="AC770" t="n">
        <v>90.92272</v>
      </c>
      <c r="AD770" t="n">
        <v>97.51006</v>
      </c>
      <c r="AE770" t="n">
        <v>94.99807</v>
      </c>
    </row>
    <row r="771">
      <c r="A771" s="89" t="n">
        <v>42036</v>
      </c>
      <c r="B771" t="n">
        <v>97.82893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95.84721</v>
      </c>
      <c r="I771" t="n">
        <v>98.27451000000001</v>
      </c>
      <c r="J771" t="n">
        <v>97.13379999999999</v>
      </c>
      <c r="K771" t="n">
        <v>97.184</v>
      </c>
      <c r="L771" t="n">
        <v>98.14461</v>
      </c>
      <c r="M771" t="n">
        <v>99.22781000000001</v>
      </c>
      <c r="N771" t="n">
        <v>98.87218</v>
      </c>
      <c r="O771" t="n">
        <v>97.14249</v>
      </c>
      <c r="P771" t="n">
        <v>96.15666</v>
      </c>
      <c r="Q771" t="n">
        <v>97.73345999999999</v>
      </c>
      <c r="R771" t="n">
        <v>99.07786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97.98626</v>
      </c>
      <c r="Y771" t="n">
        <v>96.98877</v>
      </c>
      <c r="Z771" t="n">
        <v>96.776</v>
      </c>
      <c r="AA771" t="n">
        <v>96.46104</v>
      </c>
      <c r="AB771" t="n">
        <v>96.3152</v>
      </c>
      <c r="AC771" t="n">
        <v>92.75123000000001</v>
      </c>
      <c r="AD771" t="n">
        <v>98.49551</v>
      </c>
      <c r="AE771" t="n">
        <v>96.04546000000001</v>
      </c>
    </row>
    <row r="772">
      <c r="A772" s="89" t="n">
        <v>42064</v>
      </c>
      <c r="B772" t="n">
        <v>98.50134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96.70896999999999</v>
      </c>
      <c r="I772" t="n">
        <v>98.06631</v>
      </c>
      <c r="J772" t="n">
        <v>97.72351999999999</v>
      </c>
      <c r="K772" t="n">
        <v>96.83761</v>
      </c>
      <c r="L772" t="n">
        <v>98.45128</v>
      </c>
      <c r="M772" t="n">
        <v>99.6088</v>
      </c>
      <c r="N772" t="n">
        <v>98.74257</v>
      </c>
      <c r="O772" t="n">
        <v>98.16839</v>
      </c>
      <c r="P772" t="n">
        <v>97.02437999999999</v>
      </c>
      <c r="Q772" t="n">
        <v>98.74702000000001</v>
      </c>
      <c r="R772" t="n">
        <v>99.32858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98.37439000000001</v>
      </c>
      <c r="Y772" t="n">
        <v>97.90128</v>
      </c>
      <c r="Z772" t="n">
        <v>97.69101999999999</v>
      </c>
      <c r="AA772" t="n">
        <v>98.92926</v>
      </c>
      <c r="AB772" t="n">
        <v>97.48978</v>
      </c>
      <c r="AC772" t="n">
        <v>94.89382999999999</v>
      </c>
      <c r="AD772" t="n">
        <v>98.62586</v>
      </c>
      <c r="AE772" t="n">
        <v>96.98456</v>
      </c>
    </row>
    <row r="773">
      <c r="A773" s="89" t="n">
        <v>42095</v>
      </c>
      <c r="B773" t="n">
        <v>98.87956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97.20525000000001</v>
      </c>
      <c r="I773" t="n">
        <v>98.03945</v>
      </c>
      <c r="J773" t="n">
        <v>98.28342000000001</v>
      </c>
      <c r="K773" t="n">
        <v>97.60646</v>
      </c>
      <c r="L773" t="n">
        <v>99.13290000000001</v>
      </c>
      <c r="M773" t="n">
        <v>100.1354</v>
      </c>
      <c r="N773" t="n">
        <v>98.72256</v>
      </c>
      <c r="O773" t="n">
        <v>98.78548000000001</v>
      </c>
      <c r="P773" t="n">
        <v>97.81892999999999</v>
      </c>
      <c r="Q773" t="n">
        <v>99.59853</v>
      </c>
      <c r="R773" t="n">
        <v>99.50364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98.85612</v>
      </c>
      <c r="Y773" t="n">
        <v>98.69746000000001</v>
      </c>
      <c r="Z773" t="n">
        <v>97.88842</v>
      </c>
      <c r="AA773" t="n">
        <v>97.53237</v>
      </c>
      <c r="AB773" t="n">
        <v>98.28146</v>
      </c>
      <c r="AC773" t="n">
        <v>97.05005</v>
      </c>
      <c r="AD773" t="n">
        <v>99.02271</v>
      </c>
      <c r="AE773" t="n">
        <v>98.04852</v>
      </c>
    </row>
    <row r="774">
      <c r="A774" s="89" t="n">
        <v>42125</v>
      </c>
      <c r="B774" t="n">
        <v>99.25219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98.24979999999999</v>
      </c>
      <c r="I774" t="n">
        <v>98.81133</v>
      </c>
      <c r="J774" t="n">
        <v>99.13039999999999</v>
      </c>
      <c r="K774" t="n">
        <v>99.97147</v>
      </c>
      <c r="L774" t="n">
        <v>99.78095</v>
      </c>
      <c r="M774" t="n">
        <v>100.091</v>
      </c>
      <c r="N774" t="n">
        <v>99.5226</v>
      </c>
      <c r="O774" t="n">
        <v>99.23581</v>
      </c>
      <c r="P774" t="n">
        <v>98.57868000000001</v>
      </c>
      <c r="Q774" t="n">
        <v>100.3195</v>
      </c>
      <c r="R774" t="n">
        <v>99.482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99.3092</v>
      </c>
      <c r="Y774" t="n">
        <v>99.23721</v>
      </c>
      <c r="Z774" t="n">
        <v>97.9697</v>
      </c>
      <c r="AA774" t="n">
        <v>96.97329999999999</v>
      </c>
      <c r="AB774" t="n">
        <v>99.36775</v>
      </c>
      <c r="AC774" t="n">
        <v>98.60757</v>
      </c>
      <c r="AD774" t="n">
        <v>99.29585</v>
      </c>
      <c r="AE774" t="n">
        <v>99.14606000000001</v>
      </c>
    </row>
    <row r="775">
      <c r="A775" s="89" t="n">
        <v>42156</v>
      </c>
      <c r="B775" t="n">
        <v>99.56317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99.49387</v>
      </c>
      <c r="I775" t="n">
        <v>100.7407</v>
      </c>
      <c r="J775" t="n">
        <v>99.26694000000001</v>
      </c>
      <c r="K775" t="n">
        <v>100.1371</v>
      </c>
      <c r="L775" t="n">
        <v>99.95408</v>
      </c>
      <c r="M775" t="n">
        <v>99.72620999999999</v>
      </c>
      <c r="N775" t="n">
        <v>99.52222999999999</v>
      </c>
      <c r="O775" t="n">
        <v>99.48523</v>
      </c>
      <c r="P775" t="n">
        <v>99.84487</v>
      </c>
      <c r="Q775" t="n">
        <v>100.9733</v>
      </c>
      <c r="R775" t="n">
        <v>99.27751000000001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99.6858</v>
      </c>
      <c r="Y775" t="n">
        <v>99.57335999999999</v>
      </c>
      <c r="Z775" t="n">
        <v>98.96714</v>
      </c>
      <c r="AA775" t="n">
        <v>96.68472</v>
      </c>
      <c r="AB775" t="n">
        <v>100.1168</v>
      </c>
      <c r="AC775" t="n">
        <v>99.5128</v>
      </c>
      <c r="AD775" t="n">
        <v>99.67359</v>
      </c>
      <c r="AE775" t="n">
        <v>100.1188</v>
      </c>
    </row>
    <row r="776">
      <c r="A776" s="89" t="n">
        <v>42186</v>
      </c>
      <c r="B776" t="n">
        <v>100.2104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100.2369</v>
      </c>
      <c r="I776" t="n">
        <v>102.0833</v>
      </c>
      <c r="J776" t="n">
        <v>99.69419000000001</v>
      </c>
      <c r="K776" t="n">
        <v>101.2812</v>
      </c>
      <c r="L776" t="n">
        <v>100.309</v>
      </c>
      <c r="M776" t="n">
        <v>99.79425999999999</v>
      </c>
      <c r="N776" t="n">
        <v>99.06007</v>
      </c>
      <c r="O776" t="n">
        <v>100.1818</v>
      </c>
      <c r="P776" t="n">
        <v>100.6861</v>
      </c>
      <c r="Q776" t="n">
        <v>101.4503</v>
      </c>
      <c r="R776" t="n">
        <v>99.16087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100.223</v>
      </c>
      <c r="Y776" t="n">
        <v>100.2172</v>
      </c>
      <c r="Z776" t="n">
        <v>100.0967</v>
      </c>
      <c r="AA776" t="n">
        <v>97.74299000000001</v>
      </c>
      <c r="AB776" t="n">
        <v>100.5607</v>
      </c>
      <c r="AC776" t="n">
        <v>101.0185</v>
      </c>
      <c r="AD776" t="n">
        <v>100.1103</v>
      </c>
      <c r="AE776" t="n">
        <v>101.1217</v>
      </c>
    </row>
    <row r="777">
      <c r="A777" s="89" t="n">
        <v>42217</v>
      </c>
      <c r="B777" t="n">
        <v>100.7175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101.4156</v>
      </c>
      <c r="I777" t="n">
        <v>101.1175</v>
      </c>
      <c r="J777" t="n">
        <v>100.4667</v>
      </c>
      <c r="K777" t="n">
        <v>101.6547</v>
      </c>
      <c r="L777" t="n">
        <v>100.6511</v>
      </c>
      <c r="M777" t="n">
        <v>100.2503</v>
      </c>
      <c r="N777" t="n">
        <v>99.54132</v>
      </c>
      <c r="O777" t="n">
        <v>101.1357</v>
      </c>
      <c r="P777" t="n">
        <v>101.3252</v>
      </c>
      <c r="Q777" t="n">
        <v>101.6116</v>
      </c>
      <c r="R777" t="n">
        <v>99.36346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100.8228</v>
      </c>
      <c r="Y777" t="n">
        <v>101.12</v>
      </c>
      <c r="Z777" t="n">
        <v>101.0039</v>
      </c>
      <c r="AA777" t="n">
        <v>99.68069</v>
      </c>
      <c r="AB777" t="n">
        <v>101.2271</v>
      </c>
      <c r="AC777" t="n">
        <v>103.0695</v>
      </c>
      <c r="AD777" t="n">
        <v>100.5345</v>
      </c>
      <c r="AE777" t="n">
        <v>101.3501</v>
      </c>
    </row>
    <row r="778">
      <c r="A778" s="89" t="n">
        <v>42248</v>
      </c>
      <c r="B778" t="n">
        <v>101.1797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102.7205</v>
      </c>
      <c r="I778" t="n">
        <v>100.3372</v>
      </c>
      <c r="J778" t="n">
        <v>101.1667</v>
      </c>
      <c r="K778" t="n">
        <v>101.4876</v>
      </c>
      <c r="L778" t="n">
        <v>100.6182</v>
      </c>
      <c r="M778" t="n">
        <v>100.2486</v>
      </c>
      <c r="N778" t="n">
        <v>100.2899</v>
      </c>
      <c r="O778" t="n">
        <v>102.5197</v>
      </c>
      <c r="P778" t="n">
        <v>102.1573</v>
      </c>
      <c r="Q778" t="n">
        <v>101.4107</v>
      </c>
      <c r="R778" t="n">
        <v>100.3502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101.3031</v>
      </c>
      <c r="Y778" t="n">
        <v>101.9014</v>
      </c>
      <c r="Z778" t="n">
        <v>101.9448</v>
      </c>
      <c r="AA778" t="n">
        <v>103.0974</v>
      </c>
      <c r="AB778" t="n">
        <v>101.4928</v>
      </c>
      <c r="AC778" t="n">
        <v>105.408</v>
      </c>
      <c r="AD778" t="n">
        <v>100.9911</v>
      </c>
      <c r="AE778" t="n">
        <v>101.4771</v>
      </c>
    </row>
    <row r="779">
      <c r="A779" s="89" t="n">
        <v>42278</v>
      </c>
      <c r="B779" t="n">
        <v>101.7205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103.7922</v>
      </c>
      <c r="I779" t="n">
        <v>100.8056</v>
      </c>
      <c r="J779" t="n">
        <v>102.2316</v>
      </c>
      <c r="K779" t="n">
        <v>102.5333</v>
      </c>
      <c r="L779" t="n">
        <v>101.103</v>
      </c>
      <c r="M779" t="n">
        <v>100.2601</v>
      </c>
      <c r="N779" t="n">
        <v>101.097</v>
      </c>
      <c r="O779" t="n">
        <v>102.9776</v>
      </c>
      <c r="P779" t="n">
        <v>102.7561</v>
      </c>
      <c r="Q779" t="n">
        <v>100.9895</v>
      </c>
      <c r="R779" t="n">
        <v>101.5869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101.618</v>
      </c>
      <c r="Y779" t="n">
        <v>102.4336</v>
      </c>
      <c r="Z779" t="n">
        <v>102.9968</v>
      </c>
      <c r="AA779" t="n">
        <v>106.2708</v>
      </c>
      <c r="AB779" t="n">
        <v>102.3619</v>
      </c>
      <c r="AC779" t="n">
        <v>106.1984</v>
      </c>
      <c r="AD779" t="n">
        <v>101.2593</v>
      </c>
      <c r="AE779" t="n">
        <v>102.6365</v>
      </c>
    </row>
    <row r="780">
      <c r="A780" s="89" t="n">
        <v>42309</v>
      </c>
      <c r="B780" t="n">
        <v>102.2584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104.4787</v>
      </c>
      <c r="I780" t="n">
        <v>101.5092</v>
      </c>
      <c r="J780" t="n">
        <v>103.5442</v>
      </c>
      <c r="K780" t="n">
        <v>102.9909</v>
      </c>
      <c r="L780" t="n">
        <v>101.9152</v>
      </c>
      <c r="M780" t="n">
        <v>100.3001</v>
      </c>
      <c r="N780" t="n">
        <v>102.4559</v>
      </c>
      <c r="O780" t="n">
        <v>102.5325</v>
      </c>
      <c r="P780" t="n">
        <v>103.5811</v>
      </c>
      <c r="Q780" t="n">
        <v>100.5141</v>
      </c>
      <c r="R780" t="n">
        <v>102.133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102.0908</v>
      </c>
      <c r="Y780" t="n">
        <v>102.611</v>
      </c>
      <c r="Z780" t="n">
        <v>103.9069</v>
      </c>
      <c r="AA780" t="n">
        <v>107.1198</v>
      </c>
      <c r="AB780" t="n">
        <v>103.2849</v>
      </c>
      <c r="AC780" t="n">
        <v>105.4862</v>
      </c>
      <c r="AD780" t="n">
        <v>101.9998</v>
      </c>
      <c r="AE780" t="n">
        <v>103.8064</v>
      </c>
    </row>
    <row r="781">
      <c r="A781" s="89" t="n">
        <v>42339</v>
      </c>
      <c r="B781" t="n">
        <v>102.7655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105.0329</v>
      </c>
      <c r="I781" t="n">
        <v>102.0048</v>
      </c>
      <c r="J781" t="n">
        <v>104.6478</v>
      </c>
      <c r="K781" t="n">
        <v>103.6312</v>
      </c>
      <c r="L781" t="n">
        <v>102.2157</v>
      </c>
      <c r="M781" t="n">
        <v>100.7631</v>
      </c>
      <c r="N781" t="n">
        <v>103.7756</v>
      </c>
      <c r="O781" t="n">
        <v>102.6416</v>
      </c>
      <c r="P781" t="n">
        <v>104.636</v>
      </c>
      <c r="Q781" t="n">
        <v>99.99091</v>
      </c>
      <c r="R781" t="n">
        <v>102.2635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102.4988</v>
      </c>
      <c r="Y781" t="n">
        <v>102.9069</v>
      </c>
      <c r="Z781" t="n">
        <v>104.5416</v>
      </c>
      <c r="AA781" t="n">
        <v>107.5554</v>
      </c>
      <c r="AB781" t="n">
        <v>103.6645</v>
      </c>
      <c r="AC781" t="n">
        <v>105.0813</v>
      </c>
      <c r="AD781" t="n">
        <v>102.4814</v>
      </c>
      <c r="AE781" t="n">
        <v>104.2667</v>
      </c>
    </row>
    <row r="782">
      <c r="A782" s="89" t="n">
        <v>42370</v>
      </c>
      <c r="B782" t="n">
        <v>103.1773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105.9222</v>
      </c>
      <c r="I782" t="n">
        <v>101.7886</v>
      </c>
      <c r="J782" t="n">
        <v>105.2835</v>
      </c>
      <c r="K782" t="n">
        <v>101.5668</v>
      </c>
      <c r="L782" t="n">
        <v>102.5261</v>
      </c>
      <c r="M782" t="n">
        <v>101.6286</v>
      </c>
      <c r="N782" t="n">
        <v>104.0202</v>
      </c>
      <c r="O782" t="n">
        <v>103.3395</v>
      </c>
      <c r="P782" t="n">
        <v>105.6285</v>
      </c>
      <c r="Q782" t="n">
        <v>99.40437</v>
      </c>
      <c r="R782" t="n">
        <v>102.6193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103.2951</v>
      </c>
      <c r="Y782" t="n">
        <v>103.4644</v>
      </c>
      <c r="Z782" t="n">
        <v>105.4562</v>
      </c>
      <c r="AA782" t="n">
        <v>109.6415</v>
      </c>
      <c r="AB782" t="n">
        <v>104.5156</v>
      </c>
      <c r="AC782" t="n">
        <v>105.6236</v>
      </c>
      <c r="AD782" t="n">
        <v>103.5274</v>
      </c>
      <c r="AE782" t="n">
        <v>104.0358</v>
      </c>
    </row>
    <row r="783">
      <c r="A783" s="89" t="n">
        <v>42401</v>
      </c>
      <c r="B783" t="n">
        <v>103.648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106.8014</v>
      </c>
      <c r="I783" t="n">
        <v>101.4436</v>
      </c>
      <c r="J783" t="n">
        <v>105.9415</v>
      </c>
      <c r="K783" t="n">
        <v>99.39754000000001</v>
      </c>
      <c r="L783" t="n">
        <v>103.0043</v>
      </c>
      <c r="M783" t="n">
        <v>102.4743</v>
      </c>
      <c r="N783" t="n">
        <v>103.4715</v>
      </c>
      <c r="O783" t="n">
        <v>104.4958</v>
      </c>
      <c r="P783" t="n">
        <v>106.6381</v>
      </c>
      <c r="Q783" t="n">
        <v>98.75668</v>
      </c>
      <c r="R783" t="n">
        <v>103.2117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103.8842</v>
      </c>
      <c r="Y783" t="n">
        <v>104.1955</v>
      </c>
      <c r="Z783" t="n">
        <v>106.5334</v>
      </c>
      <c r="AA783" t="n">
        <v>112.1195</v>
      </c>
      <c r="AB783" t="n">
        <v>105.3663</v>
      </c>
      <c r="AC783" t="n">
        <v>106.7955</v>
      </c>
      <c r="AD783" t="n">
        <v>104.1551</v>
      </c>
      <c r="AE783" t="n">
        <v>104.2212</v>
      </c>
    </row>
    <row r="784">
      <c r="A784" s="89" t="n">
        <v>42430</v>
      </c>
      <c r="B784" t="n">
        <v>104.1215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107.7493</v>
      </c>
      <c r="I784" t="n">
        <v>102.4932</v>
      </c>
      <c r="J784" t="n">
        <v>106.4184</v>
      </c>
      <c r="K784" t="n">
        <v>99.33789</v>
      </c>
      <c r="L784" t="n">
        <v>103.2904</v>
      </c>
      <c r="M784" t="n">
        <v>103.1605</v>
      </c>
      <c r="N784" t="n">
        <v>103.2529</v>
      </c>
      <c r="O784" t="n">
        <v>105.3269</v>
      </c>
      <c r="P784" t="n">
        <v>107.2807</v>
      </c>
      <c r="Q784" t="n">
        <v>98.05580999999999</v>
      </c>
      <c r="R784" t="n">
        <v>103.2621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104.3786</v>
      </c>
      <c r="Y784" t="n">
        <v>104.8474</v>
      </c>
      <c r="Z784" t="n">
        <v>107.019</v>
      </c>
      <c r="AA784" t="n">
        <v>113.338</v>
      </c>
      <c r="AB784" t="n">
        <v>106.0192</v>
      </c>
      <c r="AC784" t="n">
        <v>107.8456</v>
      </c>
      <c r="AD784" t="n">
        <v>104.6872</v>
      </c>
      <c r="AE784" t="n">
        <v>105.322</v>
      </c>
    </row>
    <row r="785">
      <c r="A785" s="89" t="n">
        <v>42461</v>
      </c>
      <c r="B785" t="n">
        <v>104.6006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108.7275</v>
      </c>
      <c r="I785" t="n">
        <v>102.8176</v>
      </c>
      <c r="J785" t="n">
        <v>106.9884</v>
      </c>
      <c r="K785" t="n">
        <v>100.125</v>
      </c>
      <c r="L785" t="n">
        <v>103.8903</v>
      </c>
      <c r="M785" t="n">
        <v>103.2185</v>
      </c>
      <c r="N785" t="n">
        <v>103.2472</v>
      </c>
      <c r="O785" t="n">
        <v>105.9369</v>
      </c>
      <c r="P785" t="n">
        <v>108.4104</v>
      </c>
      <c r="Q785" t="n">
        <v>97.29808</v>
      </c>
      <c r="R785" t="n">
        <v>103.6493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104.9856</v>
      </c>
      <c r="Y785" t="n">
        <v>105.3044</v>
      </c>
      <c r="Z785" t="n">
        <v>107.9957</v>
      </c>
      <c r="AA785" t="n">
        <v>113.3835</v>
      </c>
      <c r="AB785" t="n">
        <v>106.7122</v>
      </c>
      <c r="AC785" t="n">
        <v>108.5829</v>
      </c>
      <c r="AD785" t="n">
        <v>105.4236</v>
      </c>
      <c r="AE785" t="n">
        <v>105.8837</v>
      </c>
    </row>
    <row r="786">
      <c r="A786" s="89" t="n">
        <v>42491</v>
      </c>
      <c r="B786" t="n">
        <v>104.9704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109.4353</v>
      </c>
      <c r="I786" t="n">
        <v>102.1395</v>
      </c>
      <c r="J786" t="n">
        <v>108.0234</v>
      </c>
      <c r="K786" t="n">
        <v>101.3857</v>
      </c>
      <c r="L786" t="n">
        <v>104.5536</v>
      </c>
      <c r="M786" t="n">
        <v>103.3718</v>
      </c>
      <c r="N786" t="n">
        <v>103.4722</v>
      </c>
      <c r="O786" t="n">
        <v>106.5111</v>
      </c>
      <c r="P786" t="n">
        <v>109.3104</v>
      </c>
      <c r="Q786" t="n">
        <v>96.46853</v>
      </c>
      <c r="R786" t="n">
        <v>104.7689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105.5583</v>
      </c>
      <c r="Y786" t="n">
        <v>105.9654</v>
      </c>
      <c r="Z786" t="n">
        <v>109.3193</v>
      </c>
      <c r="AA786" t="n">
        <v>112.5974</v>
      </c>
      <c r="AB786" t="n">
        <v>107.2761</v>
      </c>
      <c r="AC786" t="n">
        <v>109.8012</v>
      </c>
      <c r="AD786" t="n">
        <v>105.9815</v>
      </c>
      <c r="AE786" t="n">
        <v>105.7887</v>
      </c>
    </row>
    <row r="787">
      <c r="A787" s="89" t="n">
        <v>42522</v>
      </c>
      <c r="B787" t="n">
        <v>105.3262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109.909</v>
      </c>
      <c r="I787" t="n">
        <v>102.4898</v>
      </c>
      <c r="J787" t="n">
        <v>108.4391</v>
      </c>
      <c r="K787" t="n">
        <v>101.5321</v>
      </c>
      <c r="L787" t="n">
        <v>104.8448</v>
      </c>
      <c r="M787" t="n">
        <v>105.407</v>
      </c>
      <c r="N787" t="n">
        <v>104.073</v>
      </c>
      <c r="O787" t="n">
        <v>107.4927</v>
      </c>
      <c r="P787" t="n">
        <v>109.3151</v>
      </c>
      <c r="Q787" t="n">
        <v>95.72318</v>
      </c>
      <c r="R787" t="n">
        <v>105.5839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106.2431</v>
      </c>
      <c r="Y787" t="n">
        <v>107.293</v>
      </c>
      <c r="Z787" t="n">
        <v>110.3683</v>
      </c>
      <c r="AA787" t="n">
        <v>112.9677</v>
      </c>
      <c r="AB787" t="n">
        <v>107.2596</v>
      </c>
      <c r="AC787" t="n">
        <v>111.4886</v>
      </c>
      <c r="AD787" t="n">
        <v>106.532</v>
      </c>
      <c r="AE787" t="n">
        <v>105.9874</v>
      </c>
    </row>
    <row r="788">
      <c r="A788" s="89" t="n">
        <v>42552</v>
      </c>
      <c r="B788" t="n">
        <v>106.021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110.5151</v>
      </c>
      <c r="I788" t="n">
        <v>103.3754</v>
      </c>
      <c r="J788" t="n">
        <v>108.7743</v>
      </c>
      <c r="K788" t="n">
        <v>101.3673</v>
      </c>
      <c r="L788" t="n">
        <v>105.3873</v>
      </c>
      <c r="M788" t="n">
        <v>107.7275</v>
      </c>
      <c r="N788" t="n">
        <v>104.281</v>
      </c>
      <c r="O788" t="n">
        <v>108.5878</v>
      </c>
      <c r="P788" t="n">
        <v>110.2634</v>
      </c>
      <c r="Q788" t="n">
        <v>95.27303000000001</v>
      </c>
      <c r="R788" t="n">
        <v>106.3376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106.9462</v>
      </c>
      <c r="Y788" t="n">
        <v>108.647</v>
      </c>
      <c r="Z788" t="n">
        <v>111.1972</v>
      </c>
      <c r="AA788" t="n">
        <v>113.2045</v>
      </c>
      <c r="AB788" t="n">
        <v>108.161</v>
      </c>
      <c r="AC788" t="n">
        <v>112.7543</v>
      </c>
      <c r="AD788" t="n">
        <v>107.0309</v>
      </c>
      <c r="AE788" t="n">
        <v>106.1696</v>
      </c>
    </row>
    <row r="789">
      <c r="A789" s="89" t="n">
        <v>42583</v>
      </c>
      <c r="B789" t="n">
        <v>106.7635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111.2376</v>
      </c>
      <c r="I789" t="n">
        <v>104.1882</v>
      </c>
      <c r="J789" t="n">
        <v>109.5771</v>
      </c>
      <c r="K789" t="n">
        <v>100.8535</v>
      </c>
      <c r="L789" t="n">
        <v>105.774</v>
      </c>
      <c r="M789" t="n">
        <v>108.7024</v>
      </c>
      <c r="N789" t="n">
        <v>104.2473</v>
      </c>
      <c r="O789" t="n">
        <v>109.1512</v>
      </c>
      <c r="P789" t="n">
        <v>111.6638</v>
      </c>
      <c r="Q789" t="n">
        <v>95.12656</v>
      </c>
      <c r="R789" t="n">
        <v>106.6374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107.5755</v>
      </c>
      <c r="Y789" t="n">
        <v>109.3624</v>
      </c>
      <c r="Z789" t="n">
        <v>111.5546</v>
      </c>
      <c r="AA789" t="n">
        <v>113.1759</v>
      </c>
      <c r="AB789" t="n">
        <v>109.6453</v>
      </c>
      <c r="AC789" t="n">
        <v>113.4886</v>
      </c>
      <c r="AD789" t="n">
        <v>107.7466</v>
      </c>
      <c r="AE789" t="n">
        <v>106.4011</v>
      </c>
    </row>
    <row r="790">
      <c r="A790" s="89" t="n">
        <v>42614</v>
      </c>
      <c r="B790" t="n">
        <v>107.1333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111.8163</v>
      </c>
      <c r="I790" t="n">
        <v>104.7723</v>
      </c>
      <c r="J790" t="n">
        <v>110.0626</v>
      </c>
      <c r="K790" t="n">
        <v>100.2302</v>
      </c>
      <c r="L790" t="n">
        <v>105.7384</v>
      </c>
      <c r="M790" t="n">
        <v>109.5228</v>
      </c>
      <c r="N790" t="n">
        <v>104.5428</v>
      </c>
      <c r="O790" t="n">
        <v>109.0556</v>
      </c>
      <c r="P790" t="n">
        <v>112.9333</v>
      </c>
      <c r="Q790" t="n">
        <v>95.29783999999999</v>
      </c>
      <c r="R790" t="n">
        <v>106.6531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108.1412</v>
      </c>
      <c r="Y790" t="n">
        <v>109.9933</v>
      </c>
      <c r="Z790" t="n">
        <v>111.9094</v>
      </c>
      <c r="AA790" t="n">
        <v>113.3029</v>
      </c>
      <c r="AB790" t="n">
        <v>110.2269</v>
      </c>
      <c r="AC790" t="n">
        <v>114.335</v>
      </c>
      <c r="AD790" t="n">
        <v>108.2422</v>
      </c>
      <c r="AE790" t="n">
        <v>107.1648</v>
      </c>
    </row>
    <row r="791">
      <c r="A791" s="89" t="n">
        <v>42644</v>
      </c>
      <c r="B791" t="n">
        <v>107.6264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111.977</v>
      </c>
      <c r="I791" t="n">
        <v>105.0353</v>
      </c>
      <c r="J791" t="n">
        <v>110.6374</v>
      </c>
      <c r="K791" t="n">
        <v>99.68088</v>
      </c>
      <c r="L791" t="n">
        <v>105.9027</v>
      </c>
      <c r="M791" t="n">
        <v>110.554</v>
      </c>
      <c r="N791" t="n">
        <v>105.1398</v>
      </c>
      <c r="O791" t="n">
        <v>109.4764</v>
      </c>
      <c r="P791" t="n">
        <v>113.9786</v>
      </c>
      <c r="Q791" t="n">
        <v>95.74462</v>
      </c>
      <c r="R791" t="n">
        <v>107.1596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108.7663</v>
      </c>
      <c r="Y791" t="n">
        <v>110.938</v>
      </c>
      <c r="Z791" t="n">
        <v>112.3453</v>
      </c>
      <c r="AA791" t="n">
        <v>112.9869</v>
      </c>
      <c r="AB791" t="n">
        <v>110.8456</v>
      </c>
      <c r="AC791" t="n">
        <v>116.0833</v>
      </c>
      <c r="AD791" t="n">
        <v>108.8026</v>
      </c>
      <c r="AE791" t="n">
        <v>108.9649</v>
      </c>
    </row>
    <row r="792">
      <c r="A792" s="89" t="n">
        <v>42675</v>
      </c>
      <c r="B792" t="n">
        <v>108.4529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112.4792</v>
      </c>
      <c r="I792" t="n">
        <v>104.8983</v>
      </c>
      <c r="J792" t="n">
        <v>111.9626</v>
      </c>
      <c r="K792" t="n">
        <v>99.73757000000001</v>
      </c>
      <c r="L792" t="n">
        <v>106.5019</v>
      </c>
      <c r="M792" t="n">
        <v>111.0776</v>
      </c>
      <c r="N792" t="n">
        <v>105.9779</v>
      </c>
      <c r="O792" t="n">
        <v>111.1805</v>
      </c>
      <c r="P792" t="n">
        <v>114.4473</v>
      </c>
      <c r="Q792" t="n">
        <v>96.19054</v>
      </c>
      <c r="R792" t="n">
        <v>107.7402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109.4146</v>
      </c>
      <c r="Y792" t="n">
        <v>112.1793</v>
      </c>
      <c r="Z792" t="n">
        <v>113.4661</v>
      </c>
      <c r="AA792" t="n">
        <v>112.9588</v>
      </c>
      <c r="AB792" t="n">
        <v>111.9196</v>
      </c>
      <c r="AC792" t="n">
        <v>119.124</v>
      </c>
      <c r="AD792" t="n">
        <v>109.3929</v>
      </c>
      <c r="AE792" t="n">
        <v>109.742</v>
      </c>
    </row>
    <row r="793">
      <c r="A793" s="89" t="n">
        <v>42705</v>
      </c>
      <c r="B793" t="n">
        <v>109.4615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113.0236</v>
      </c>
      <c r="I793" t="n">
        <v>105.0862</v>
      </c>
      <c r="J793" t="n">
        <v>112.3868</v>
      </c>
      <c r="K793" t="n">
        <v>99.9858</v>
      </c>
      <c r="L793" t="n">
        <v>107.1984</v>
      </c>
      <c r="M793" t="n">
        <v>111.0977</v>
      </c>
      <c r="N793" t="n">
        <v>109.049</v>
      </c>
      <c r="O793" t="n">
        <v>112.6748</v>
      </c>
      <c r="P793" t="n">
        <v>113.1645</v>
      </c>
      <c r="Q793" t="n">
        <v>96.53201</v>
      </c>
      <c r="R793" t="n">
        <v>108.1599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109.9381</v>
      </c>
      <c r="Y793" t="n">
        <v>113.293</v>
      </c>
      <c r="Z793" t="n">
        <v>114.5689</v>
      </c>
      <c r="AA793" t="n">
        <v>113.0665</v>
      </c>
      <c r="AB793" t="n">
        <v>112.4266</v>
      </c>
      <c r="AC793" t="n">
        <v>122.3516</v>
      </c>
      <c r="AD793" t="n">
        <v>109.6677</v>
      </c>
      <c r="AE793" t="n">
        <v>109.924</v>
      </c>
    </row>
    <row r="794">
      <c r="A794" s="89" t="n">
        <v>42736</v>
      </c>
      <c r="B794" t="n">
        <v>110.3552</v>
      </c>
      <c r="C794" t="n">
        <v>117.4995</v>
      </c>
      <c r="D794" t="n">
        <v>113.0862</v>
      </c>
      <c r="E794" t="n">
        <v>104.0666</v>
      </c>
      <c r="F794" t="n">
        <v>115.2863</v>
      </c>
      <c r="G794" t="n">
        <v>118.7757</v>
      </c>
      <c r="H794" t="n">
        <v>113.7515</v>
      </c>
      <c r="I794" t="n">
        <v>105.7677</v>
      </c>
      <c r="J794" t="n">
        <v>113.0028</v>
      </c>
      <c r="K794" t="n">
        <v>99.49997999999999</v>
      </c>
      <c r="L794" t="n">
        <v>107.5622</v>
      </c>
      <c r="M794" t="n">
        <v>111.5836</v>
      </c>
      <c r="N794" t="n">
        <v>111.0709</v>
      </c>
      <c r="O794" t="n">
        <v>113.6743</v>
      </c>
      <c r="P794" t="n">
        <v>112.252</v>
      </c>
      <c r="Q794" t="n">
        <v>96.86812999999999</v>
      </c>
      <c r="R794" t="n">
        <v>108.715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110.5646</v>
      </c>
      <c r="Y794" t="n">
        <v>114.2872</v>
      </c>
      <c r="Z794" t="n">
        <v>114.9385</v>
      </c>
      <c r="AA794" t="n">
        <v>111.9958</v>
      </c>
      <c r="AB794" t="n">
        <v>114</v>
      </c>
      <c r="AC794" t="n">
        <v>124.6684</v>
      </c>
      <c r="AD794" t="n">
        <v>110.2746</v>
      </c>
      <c r="AE794" t="n">
        <v>111.2368</v>
      </c>
    </row>
    <row r="795">
      <c r="A795" s="89" t="n">
        <v>42767</v>
      </c>
      <c r="B795" t="n">
        <v>110.9884</v>
      </c>
      <c r="C795" t="n">
        <v>118.423</v>
      </c>
      <c r="D795" t="n">
        <v>112.9328</v>
      </c>
      <c r="E795" t="n">
        <v>104.3103</v>
      </c>
      <c r="F795" t="n">
        <v>115.9566</v>
      </c>
      <c r="G795" t="n">
        <v>119.5943</v>
      </c>
      <c r="H795" t="n">
        <v>114.4508</v>
      </c>
      <c r="I795" t="n">
        <v>106.4387</v>
      </c>
      <c r="J795" t="n">
        <v>114.9421</v>
      </c>
      <c r="K795" t="n">
        <v>100.024</v>
      </c>
      <c r="L795" t="n">
        <v>107.8458</v>
      </c>
      <c r="M795" t="n">
        <v>112.6532</v>
      </c>
      <c r="N795" t="n">
        <v>110.3332</v>
      </c>
      <c r="O795" t="n">
        <v>114.5266</v>
      </c>
      <c r="P795" t="n">
        <v>113.2879</v>
      </c>
      <c r="Q795" t="n">
        <v>97.20923000000001</v>
      </c>
      <c r="R795" t="n">
        <v>109.0622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111.1304</v>
      </c>
      <c r="Y795" t="n">
        <v>115.0861</v>
      </c>
      <c r="Z795" t="n">
        <v>115.3637</v>
      </c>
      <c r="AA795" t="n">
        <v>112.3349</v>
      </c>
      <c r="AB795" t="n">
        <v>115.7784</v>
      </c>
      <c r="AC795" t="n">
        <v>125.1601</v>
      </c>
      <c r="AD795" t="n">
        <v>110.8449</v>
      </c>
      <c r="AE795" t="n">
        <v>111.652</v>
      </c>
    </row>
    <row r="796">
      <c r="A796" s="89" t="n">
        <v>42795</v>
      </c>
      <c r="B796" t="n">
        <v>111.4171</v>
      </c>
      <c r="C796" t="n">
        <v>119.5359</v>
      </c>
      <c r="D796" t="n">
        <v>113.7093</v>
      </c>
      <c r="E796" t="n">
        <v>104.6731</v>
      </c>
      <c r="F796" t="n">
        <v>116.9821</v>
      </c>
      <c r="G796" t="n">
        <v>120.2932</v>
      </c>
      <c r="H796" t="n">
        <v>114.5091</v>
      </c>
      <c r="I796" t="n">
        <v>106.6751</v>
      </c>
      <c r="J796" t="n">
        <v>116.796</v>
      </c>
      <c r="K796" t="n">
        <v>101.1495</v>
      </c>
      <c r="L796" t="n">
        <v>108.4999</v>
      </c>
      <c r="M796" t="n">
        <v>113.9057</v>
      </c>
      <c r="N796" t="n">
        <v>110.638</v>
      </c>
      <c r="O796" t="n">
        <v>115.4727</v>
      </c>
      <c r="P796" t="n">
        <v>116.216</v>
      </c>
      <c r="Q796" t="n">
        <v>97.61906999999999</v>
      </c>
      <c r="R796" t="n">
        <v>109.1309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111.7922</v>
      </c>
      <c r="Y796" t="n">
        <v>116.0637</v>
      </c>
      <c r="Z796" t="n">
        <v>115.5592</v>
      </c>
      <c r="AA796" t="n">
        <v>113.8472</v>
      </c>
      <c r="AB796" t="n">
        <v>116.497</v>
      </c>
      <c r="AC796" t="n">
        <v>126.2807</v>
      </c>
      <c r="AD796" t="n">
        <v>111.4194</v>
      </c>
      <c r="AE796" t="n">
        <v>111.6012</v>
      </c>
    </row>
    <row r="797">
      <c r="A797" s="89" t="n">
        <v>42826</v>
      </c>
      <c r="B797" t="n">
        <v>111.9802</v>
      </c>
      <c r="C797" t="n">
        <v>120.2078</v>
      </c>
      <c r="D797" t="n">
        <v>114.8564</v>
      </c>
      <c r="E797" t="n">
        <v>104.9959</v>
      </c>
      <c r="F797" t="n">
        <v>118.152</v>
      </c>
      <c r="G797" t="n">
        <v>121.0492</v>
      </c>
      <c r="H797" t="n">
        <v>115.3722</v>
      </c>
      <c r="I797" t="n">
        <v>106.901</v>
      </c>
      <c r="J797" t="n">
        <v>118.8035</v>
      </c>
      <c r="K797" t="n">
        <v>101.1761</v>
      </c>
      <c r="L797" t="n">
        <v>109.2168</v>
      </c>
      <c r="M797" t="n">
        <v>114.7568</v>
      </c>
      <c r="N797" t="n">
        <v>111.6049</v>
      </c>
      <c r="O797" t="n">
        <v>116.4062</v>
      </c>
      <c r="P797" t="n">
        <v>117.1298</v>
      </c>
      <c r="Q797" t="n">
        <v>98.13142000000001</v>
      </c>
      <c r="R797" t="n">
        <v>109.2571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112.4784</v>
      </c>
      <c r="Y797" t="n">
        <v>117.3103</v>
      </c>
      <c r="Z797" t="n">
        <v>115.8415</v>
      </c>
      <c r="AA797" t="n">
        <v>114.0993</v>
      </c>
      <c r="AB797" t="n">
        <v>117.5036</v>
      </c>
      <c r="AC797" t="n">
        <v>129.1947</v>
      </c>
      <c r="AD797" t="n">
        <v>111.9366</v>
      </c>
      <c r="AE797" t="n">
        <v>111.6566</v>
      </c>
    </row>
    <row r="798">
      <c r="A798" s="89" t="n">
        <v>42856</v>
      </c>
      <c r="B798" t="n">
        <v>112.6582</v>
      </c>
      <c r="C798" t="n">
        <v>120.2673</v>
      </c>
      <c r="D798" t="n">
        <v>115.8048</v>
      </c>
      <c r="E798" t="n">
        <v>105.5074</v>
      </c>
      <c r="F798" t="n">
        <v>118.5276</v>
      </c>
      <c r="G798" t="n">
        <v>121.4682</v>
      </c>
      <c r="H798" t="n">
        <v>116.0219</v>
      </c>
      <c r="I798" t="n">
        <v>107.1887</v>
      </c>
      <c r="J798" t="n">
        <v>119.9283</v>
      </c>
      <c r="K798" t="n">
        <v>101.1185</v>
      </c>
      <c r="L798" t="n">
        <v>109.5255</v>
      </c>
      <c r="M798" t="n">
        <v>115.0309</v>
      </c>
      <c r="N798" t="n">
        <v>112.404</v>
      </c>
      <c r="O798" t="n">
        <v>117.6562</v>
      </c>
      <c r="P798" t="n">
        <v>116.5616</v>
      </c>
      <c r="Q798" t="n">
        <v>98.63141</v>
      </c>
      <c r="R798" t="n">
        <v>109.7072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112.9388</v>
      </c>
      <c r="Y798" t="n">
        <v>118.0291</v>
      </c>
      <c r="Z798" t="n">
        <v>116.4001</v>
      </c>
      <c r="AA798" t="n">
        <v>114.5633</v>
      </c>
      <c r="AB798" t="n">
        <v>118.0493</v>
      </c>
      <c r="AC798" t="n">
        <v>130.9375</v>
      </c>
      <c r="AD798" t="n">
        <v>112.3675</v>
      </c>
      <c r="AE798" t="n">
        <v>111.8853</v>
      </c>
    </row>
    <row r="799">
      <c r="A799" s="89" t="n">
        <v>42887</v>
      </c>
      <c r="B799" t="n">
        <v>113.2886</v>
      </c>
      <c r="C799" t="n">
        <v>120.7883</v>
      </c>
      <c r="D799" t="n">
        <v>115.4725</v>
      </c>
      <c r="E799" t="n">
        <v>106.084</v>
      </c>
      <c r="F799" t="n">
        <v>118.7702</v>
      </c>
      <c r="G799" t="n">
        <v>122.0975</v>
      </c>
      <c r="H799" t="n">
        <v>116.3091</v>
      </c>
      <c r="I799" t="n">
        <v>107.5265</v>
      </c>
      <c r="J799" t="n">
        <v>119.6068</v>
      </c>
      <c r="K799" t="n">
        <v>101.5493</v>
      </c>
      <c r="L799" t="n">
        <v>109.7787</v>
      </c>
      <c r="M799" t="n">
        <v>115.172</v>
      </c>
      <c r="N799" t="n">
        <v>113.7021</v>
      </c>
      <c r="O799" t="n">
        <v>118.9115</v>
      </c>
      <c r="P799" t="n">
        <v>117.4433</v>
      </c>
      <c r="Q799" t="n">
        <v>99.06856000000001</v>
      </c>
      <c r="R799" t="n">
        <v>111.0409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113.275</v>
      </c>
      <c r="Y799" t="n">
        <v>118.5576</v>
      </c>
      <c r="Z799" t="n">
        <v>116.5683</v>
      </c>
      <c r="AA799" t="n">
        <v>115.3655</v>
      </c>
      <c r="AB799" t="n">
        <v>118.6847</v>
      </c>
      <c r="AC799" t="n">
        <v>132.3237</v>
      </c>
      <c r="AD799" t="n">
        <v>112.5676</v>
      </c>
      <c r="AE799" t="n">
        <v>112.4171</v>
      </c>
    </row>
    <row r="800">
      <c r="A800" s="89" t="n">
        <v>42917</v>
      </c>
      <c r="B800" t="n">
        <v>113.7649</v>
      </c>
      <c r="C800" t="n">
        <v>121.3684</v>
      </c>
      <c r="D800" t="n">
        <v>115.1887</v>
      </c>
      <c r="E800" t="n">
        <v>106.4488</v>
      </c>
      <c r="F800" t="n">
        <v>119.431</v>
      </c>
      <c r="G800" t="n">
        <v>123.1019</v>
      </c>
      <c r="H800" t="n">
        <v>117.0736</v>
      </c>
      <c r="I800" t="n">
        <v>107.8126</v>
      </c>
      <c r="J800" t="n">
        <v>119.6142</v>
      </c>
      <c r="K800" t="n">
        <v>101.5377</v>
      </c>
      <c r="L800" t="n">
        <v>110.1246</v>
      </c>
      <c r="M800" t="n">
        <v>115.4716</v>
      </c>
      <c r="N800" t="n">
        <v>114.5532</v>
      </c>
      <c r="O800" t="n">
        <v>119.3028</v>
      </c>
      <c r="P800" t="n">
        <v>118.0385</v>
      </c>
      <c r="Q800" t="n">
        <v>99.46514999999999</v>
      </c>
      <c r="R800" t="n">
        <v>112.2051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113.8091</v>
      </c>
      <c r="Y800" t="n">
        <v>119.1127</v>
      </c>
      <c r="Z800" t="n">
        <v>116.7728</v>
      </c>
      <c r="AA800" t="n">
        <v>116.7958</v>
      </c>
      <c r="AB800" t="n">
        <v>119.3268</v>
      </c>
      <c r="AC800" t="n">
        <v>133.6095</v>
      </c>
      <c r="AD800" t="n">
        <v>113.0832</v>
      </c>
      <c r="AE800" t="n">
        <v>113.1263</v>
      </c>
    </row>
    <row r="801">
      <c r="A801" s="89" t="n">
        <v>42948</v>
      </c>
      <c r="B801" t="n">
        <v>114.0394</v>
      </c>
      <c r="C801" t="n">
        <v>122.2579</v>
      </c>
      <c r="D801" t="n">
        <v>115.4986</v>
      </c>
      <c r="E801" t="n">
        <v>106.7575</v>
      </c>
      <c r="F801" t="n">
        <v>119.3856</v>
      </c>
      <c r="G801" t="n">
        <v>123.9585</v>
      </c>
      <c r="H801" t="n">
        <v>117.2374</v>
      </c>
      <c r="I801" t="n">
        <v>108.8466</v>
      </c>
      <c r="J801" t="n">
        <v>120.5217</v>
      </c>
      <c r="K801" t="n">
        <v>101.7094</v>
      </c>
      <c r="L801" t="n">
        <v>110.5455</v>
      </c>
      <c r="M801" t="n">
        <v>116.3116</v>
      </c>
      <c r="N801" t="n">
        <v>115.2788</v>
      </c>
      <c r="O801" t="n">
        <v>119.7398</v>
      </c>
      <c r="P801" t="n">
        <v>118.535</v>
      </c>
      <c r="Q801" t="n">
        <v>99.86273</v>
      </c>
      <c r="R801" t="n">
        <v>112.9536</v>
      </c>
      <c r="S801" t="n">
        <v>106.6885</v>
      </c>
      <c r="T801" t="n">
        <v>116.6068</v>
      </c>
      <c r="U801" t="n">
        <v>113.5415</v>
      </c>
      <c r="V801" t="n">
        <v>111.2591</v>
      </c>
      <c r="W801" t="n">
        <v>117.065</v>
      </c>
      <c r="X801" t="n">
        <v>114.3217</v>
      </c>
      <c r="Y801" t="n">
        <v>119.9954</v>
      </c>
      <c r="Z801" t="n">
        <v>117.4069</v>
      </c>
      <c r="AA801" t="n">
        <v>117.6383</v>
      </c>
      <c r="AB801" t="n">
        <v>120.0205</v>
      </c>
      <c r="AC801" t="n">
        <v>135.169</v>
      </c>
      <c r="AD801" t="n">
        <v>113.5697</v>
      </c>
      <c r="AE801" t="n">
        <v>113.8327</v>
      </c>
    </row>
    <row r="802">
      <c r="A802" s="89" t="n">
        <v>42979</v>
      </c>
      <c r="B802" t="n">
        <v>114.4065</v>
      </c>
      <c r="C802" t="n">
        <v>123.5425</v>
      </c>
      <c r="D802" t="n">
        <v>115.9213</v>
      </c>
      <c r="E802" t="n">
        <v>107.1083</v>
      </c>
      <c r="F802" t="n">
        <v>119.4809</v>
      </c>
      <c r="G802" t="n">
        <v>125.0239</v>
      </c>
      <c r="H802" t="n">
        <v>117.4916</v>
      </c>
      <c r="I802" t="n">
        <v>108.8051</v>
      </c>
      <c r="J802" t="n">
        <v>121.0099</v>
      </c>
      <c r="K802" t="n">
        <v>102.4581</v>
      </c>
      <c r="L802" t="n">
        <v>110.8762</v>
      </c>
      <c r="M802" t="n">
        <v>117.3218</v>
      </c>
      <c r="N802" t="n">
        <v>117.1484</v>
      </c>
      <c r="O802" t="n">
        <v>120.4274</v>
      </c>
      <c r="P802" t="n">
        <v>119.2442</v>
      </c>
      <c r="Q802" t="n">
        <v>100.2001</v>
      </c>
      <c r="R802" t="n">
        <v>113.5286</v>
      </c>
      <c r="S802" t="n">
        <v>106.9707</v>
      </c>
      <c r="T802" t="n">
        <v>116.8371</v>
      </c>
      <c r="U802" t="n">
        <v>114.4155</v>
      </c>
      <c r="V802" t="n">
        <v>111.5446</v>
      </c>
      <c r="W802" t="n">
        <v>117.5615</v>
      </c>
      <c r="X802" t="n">
        <v>114.8403</v>
      </c>
      <c r="Y802" t="n">
        <v>121.1018</v>
      </c>
      <c r="Z802" t="n">
        <v>118.0416</v>
      </c>
      <c r="AA802" t="n">
        <v>117.5083</v>
      </c>
      <c r="AB802" t="n">
        <v>121.0692</v>
      </c>
      <c r="AC802" t="n">
        <v>137.1482</v>
      </c>
      <c r="AD802" t="n">
        <v>113.9225</v>
      </c>
      <c r="AE802" t="n">
        <v>114.7182</v>
      </c>
    </row>
    <row r="803">
      <c r="A803" s="89" t="n">
        <v>43009</v>
      </c>
      <c r="B803" t="n">
        <v>114.8519</v>
      </c>
      <c r="C803" t="n">
        <v>124.5115</v>
      </c>
      <c r="D803" t="n">
        <v>116.7449</v>
      </c>
      <c r="E803" t="n">
        <v>107.3775</v>
      </c>
      <c r="F803" t="n">
        <v>120.1206</v>
      </c>
      <c r="G803" t="n">
        <v>126.0675</v>
      </c>
      <c r="H803" t="n">
        <v>118.195</v>
      </c>
      <c r="I803" t="n">
        <v>107.6457</v>
      </c>
      <c r="J803" t="n">
        <v>120.8254</v>
      </c>
      <c r="K803" t="n">
        <v>102.0365</v>
      </c>
      <c r="L803" t="n">
        <v>111.0502</v>
      </c>
      <c r="M803" t="n">
        <v>117.9357</v>
      </c>
      <c r="N803" t="n">
        <v>118.5564</v>
      </c>
      <c r="O803" t="n">
        <v>121.2595</v>
      </c>
      <c r="P803" t="n">
        <v>121.0234</v>
      </c>
      <c r="Q803" t="n">
        <v>100.3614</v>
      </c>
      <c r="R803" t="n">
        <v>113.3916</v>
      </c>
      <c r="S803" t="n">
        <v>107.2832</v>
      </c>
      <c r="T803" t="n">
        <v>117.3732</v>
      </c>
      <c r="U803" t="n">
        <v>115.2496</v>
      </c>
      <c r="V803" t="n">
        <v>112.5092</v>
      </c>
      <c r="W803" t="n">
        <v>118.5498</v>
      </c>
      <c r="X803" t="n">
        <v>115.4577</v>
      </c>
      <c r="Y803" t="n">
        <v>122.2572</v>
      </c>
      <c r="Z803" t="n">
        <v>118.6555</v>
      </c>
      <c r="AA803" t="n">
        <v>117.6806</v>
      </c>
      <c r="AB803" t="n">
        <v>121.665</v>
      </c>
      <c r="AC803" t="n">
        <v>140.4015</v>
      </c>
      <c r="AD803" t="n">
        <v>114.3816</v>
      </c>
      <c r="AE803" t="n">
        <v>115.6006</v>
      </c>
    </row>
    <row r="804">
      <c r="A804" s="89" t="n">
        <v>43040</v>
      </c>
      <c r="B804" t="n">
        <v>115.2273</v>
      </c>
      <c r="C804" t="n">
        <v>124.9764</v>
      </c>
      <c r="D804" t="n">
        <v>117.4249</v>
      </c>
      <c r="E804" t="n">
        <v>107.5197</v>
      </c>
      <c r="F804" t="n">
        <v>120.6163</v>
      </c>
      <c r="G804" t="n">
        <v>127.1524</v>
      </c>
      <c r="H804" t="n">
        <v>119.0879</v>
      </c>
      <c r="I804" t="n">
        <v>107.4708</v>
      </c>
      <c r="J804" t="n">
        <v>121.0119</v>
      </c>
      <c r="K804" t="n">
        <v>101.29</v>
      </c>
      <c r="L804" t="n">
        <v>111.4739</v>
      </c>
      <c r="M804" t="n">
        <v>118.2377</v>
      </c>
      <c r="N804" t="n">
        <v>119.5556</v>
      </c>
      <c r="O804" t="n">
        <v>122.2036</v>
      </c>
      <c r="P804" t="n">
        <v>122.2668</v>
      </c>
      <c r="Q804" t="n">
        <v>100.5153</v>
      </c>
      <c r="R804" t="n">
        <v>113.3151</v>
      </c>
      <c r="S804" t="n">
        <v>107.6396</v>
      </c>
      <c r="T804" t="n">
        <v>117.9518</v>
      </c>
      <c r="U804" t="n">
        <v>115.866</v>
      </c>
      <c r="V804" t="n">
        <v>113.0978</v>
      </c>
      <c r="W804" t="n">
        <v>119.5862</v>
      </c>
      <c r="X804" t="n">
        <v>115.924</v>
      </c>
      <c r="Y804" t="n">
        <v>123.2357</v>
      </c>
      <c r="Z804" t="n">
        <v>119.2572</v>
      </c>
      <c r="AA804" t="n">
        <v>118.4511</v>
      </c>
      <c r="AB804" t="n">
        <v>122.1007</v>
      </c>
      <c r="AC804" t="n">
        <v>143.5611</v>
      </c>
      <c r="AD804" t="n">
        <v>114.6033</v>
      </c>
      <c r="AE804" t="n">
        <v>116.1568</v>
      </c>
    </row>
    <row r="805">
      <c r="A805" s="89" t="n">
        <v>43070</v>
      </c>
      <c r="B805" t="n">
        <v>115.2582</v>
      </c>
      <c r="C805" t="n">
        <v>125.3354</v>
      </c>
      <c r="D805" t="n">
        <v>118.1107</v>
      </c>
      <c r="E805" t="n">
        <v>107.6446</v>
      </c>
      <c r="F805" t="n">
        <v>120.6695</v>
      </c>
      <c r="G805" t="n">
        <v>127.9033</v>
      </c>
      <c r="H805" t="n">
        <v>120.4966</v>
      </c>
      <c r="I805" t="n">
        <v>107.2434</v>
      </c>
      <c r="J805" t="n">
        <v>121.4602</v>
      </c>
      <c r="K805" t="n">
        <v>101.9412</v>
      </c>
      <c r="L805" t="n">
        <v>111.8837</v>
      </c>
      <c r="M805" t="n">
        <v>118.2133</v>
      </c>
      <c r="N805" t="n">
        <v>120.281</v>
      </c>
      <c r="O805" t="n">
        <v>122.6267</v>
      </c>
      <c r="P805" t="n">
        <v>122.8887</v>
      </c>
      <c r="Q805" t="n">
        <v>100.8441</v>
      </c>
      <c r="R805" t="n">
        <v>113.7547</v>
      </c>
      <c r="S805" t="n">
        <v>107.7243</v>
      </c>
      <c r="T805" t="n">
        <v>118.5219</v>
      </c>
      <c r="U805" t="n">
        <v>116.9818</v>
      </c>
      <c r="V805" t="n">
        <v>113.0396</v>
      </c>
      <c r="W805" t="n">
        <v>120.2819</v>
      </c>
      <c r="X805" t="n">
        <v>116.3083</v>
      </c>
      <c r="Y805" t="n">
        <v>123.4419</v>
      </c>
      <c r="Z805" t="n">
        <v>119.7729</v>
      </c>
      <c r="AA805" t="n">
        <v>119.1709</v>
      </c>
      <c r="AB805" t="n">
        <v>122.1197</v>
      </c>
      <c r="AC805" t="n">
        <v>143.8664</v>
      </c>
      <c r="AD805" t="n">
        <v>115.0034</v>
      </c>
      <c r="AE805" t="n">
        <v>117.1088</v>
      </c>
    </row>
    <row r="806">
      <c r="A806" s="89" t="n">
        <v>43101</v>
      </c>
      <c r="B806" t="n">
        <v>115.359</v>
      </c>
      <c r="C806" t="n">
        <v>125.8874</v>
      </c>
      <c r="D806" t="n">
        <v>117.8486</v>
      </c>
      <c r="E806" t="n">
        <v>107.9691</v>
      </c>
      <c r="F806" t="n">
        <v>120.5811</v>
      </c>
      <c r="G806" t="n">
        <v>129.0859</v>
      </c>
      <c r="H806" t="n">
        <v>121.1861</v>
      </c>
      <c r="I806" t="n">
        <v>106.7083</v>
      </c>
      <c r="J806" t="n">
        <v>121.7839</v>
      </c>
      <c r="K806" t="n">
        <v>101.8548</v>
      </c>
      <c r="L806" t="n">
        <v>111.9393</v>
      </c>
      <c r="M806" t="n">
        <v>118.7351</v>
      </c>
      <c r="N806" t="n">
        <v>122.0457</v>
      </c>
      <c r="O806" t="n">
        <v>123.2196</v>
      </c>
      <c r="P806" t="n">
        <v>123.8216</v>
      </c>
      <c r="Q806" t="n">
        <v>101.2755</v>
      </c>
      <c r="R806" t="n">
        <v>113.9716</v>
      </c>
      <c r="S806" t="n">
        <v>107.9335</v>
      </c>
      <c r="T806" t="n">
        <v>119.5776</v>
      </c>
      <c r="U806" t="n">
        <v>116.0133</v>
      </c>
      <c r="V806" t="n">
        <v>113.6738</v>
      </c>
      <c r="W806" t="n">
        <v>120.9594</v>
      </c>
      <c r="X806" t="n">
        <v>116.4397</v>
      </c>
      <c r="Y806" t="n">
        <v>123.6619</v>
      </c>
      <c r="Z806" t="n">
        <v>120.3315</v>
      </c>
      <c r="AA806" t="n">
        <v>119.4483</v>
      </c>
      <c r="AB806" t="n">
        <v>121.8634</v>
      </c>
      <c r="AC806" t="n">
        <v>143.2557</v>
      </c>
      <c r="AD806" t="n">
        <v>115.1355</v>
      </c>
      <c r="AE806" t="n">
        <v>118.0103</v>
      </c>
    </row>
    <row r="807">
      <c r="A807" s="89" t="n">
        <v>43132</v>
      </c>
      <c r="B807" t="n">
        <v>115.5776</v>
      </c>
      <c r="C807" t="n">
        <v>126.5311</v>
      </c>
      <c r="D807" t="n">
        <v>118.8176</v>
      </c>
      <c r="E807" t="n">
        <v>108.2808</v>
      </c>
      <c r="F807" t="n">
        <v>120.8162</v>
      </c>
      <c r="G807" t="n">
        <v>130.5695</v>
      </c>
      <c r="H807" t="n">
        <v>121.2704</v>
      </c>
      <c r="I807" t="n">
        <v>106.3625</v>
      </c>
      <c r="J807" t="n">
        <v>122.7301</v>
      </c>
      <c r="K807" t="n">
        <v>100.86</v>
      </c>
      <c r="L807" t="n">
        <v>111.9041</v>
      </c>
      <c r="M807" t="n">
        <v>119.3068</v>
      </c>
      <c r="N807" t="n">
        <v>124.2951</v>
      </c>
      <c r="O807" t="n">
        <v>124.0943</v>
      </c>
      <c r="P807" t="n">
        <v>124.7564</v>
      </c>
      <c r="Q807" t="n">
        <v>101.7775</v>
      </c>
      <c r="R807" t="n">
        <v>113.6856</v>
      </c>
      <c r="S807" t="n">
        <v>108.08</v>
      </c>
      <c r="T807" t="n">
        <v>120.5629</v>
      </c>
      <c r="U807" t="n">
        <v>115.1218</v>
      </c>
      <c r="V807" t="n">
        <v>114.3148</v>
      </c>
      <c r="W807" t="n">
        <v>121.4189</v>
      </c>
      <c r="X807" t="n">
        <v>116.7956</v>
      </c>
      <c r="Y807" t="n">
        <v>124.3407</v>
      </c>
      <c r="Z807" t="n">
        <v>120.9332</v>
      </c>
      <c r="AA807" t="n">
        <v>120.0566</v>
      </c>
      <c r="AB807" t="n">
        <v>122.6075</v>
      </c>
      <c r="AC807" t="n">
        <v>144.2888</v>
      </c>
      <c r="AD807" t="n">
        <v>115.4841</v>
      </c>
      <c r="AE807" t="n">
        <v>118.6648</v>
      </c>
    </row>
    <row r="808">
      <c r="A808" s="89" t="n">
        <v>43160</v>
      </c>
      <c r="B808" t="n">
        <v>115.5411</v>
      </c>
      <c r="C808" t="n">
        <v>127.3854</v>
      </c>
      <c r="D808" t="n">
        <v>119.127</v>
      </c>
      <c r="E808" t="n">
        <v>108.2908</v>
      </c>
      <c r="F808" t="n">
        <v>121.526</v>
      </c>
      <c r="G808" t="n">
        <v>131.1126</v>
      </c>
      <c r="H808" t="n">
        <v>121.6554</v>
      </c>
      <c r="I808" t="n">
        <v>106.2769</v>
      </c>
      <c r="J808" t="n">
        <v>123.4866</v>
      </c>
      <c r="K808" t="n">
        <v>100.4776</v>
      </c>
      <c r="L808" t="n">
        <v>112.2029</v>
      </c>
      <c r="M808" t="n">
        <v>118.6032</v>
      </c>
      <c r="N808" t="n">
        <v>125.5894</v>
      </c>
      <c r="O808" t="n">
        <v>124.5713</v>
      </c>
      <c r="P808" t="n">
        <v>125.6895</v>
      </c>
      <c r="Q808" t="n">
        <v>102.3663</v>
      </c>
      <c r="R808" t="n">
        <v>113.9164</v>
      </c>
      <c r="S808" t="n">
        <v>108.2662</v>
      </c>
      <c r="T808" t="n">
        <v>121.219</v>
      </c>
      <c r="U808" t="n">
        <v>117.4389</v>
      </c>
      <c r="V808" t="n">
        <v>114.8105</v>
      </c>
      <c r="W808" t="n">
        <v>121.8422</v>
      </c>
      <c r="X808" t="n">
        <v>117.3604</v>
      </c>
      <c r="Y808" t="n">
        <v>125.0409</v>
      </c>
      <c r="Z808" t="n">
        <v>121.7213</v>
      </c>
      <c r="AA808" t="n">
        <v>120.5321</v>
      </c>
      <c r="AB808" t="n">
        <v>123.8971</v>
      </c>
      <c r="AC808" t="n">
        <v>147.4226</v>
      </c>
      <c r="AD808" t="n">
        <v>115.9433</v>
      </c>
      <c r="AE808" t="n">
        <v>119.0397</v>
      </c>
    </row>
    <row r="809">
      <c r="A809" s="89" t="n">
        <v>43191</v>
      </c>
      <c r="B809" t="n">
        <v>115.4291</v>
      </c>
      <c r="C809" t="n">
        <v>128.2491</v>
      </c>
      <c r="D809" t="n">
        <v>119.4132</v>
      </c>
      <c r="E809" t="n">
        <v>108.4202</v>
      </c>
      <c r="F809" t="n">
        <v>123.4717</v>
      </c>
      <c r="G809" t="n">
        <v>131.7365</v>
      </c>
      <c r="H809" t="n">
        <v>121.7436</v>
      </c>
      <c r="I809" t="n">
        <v>106.615</v>
      </c>
      <c r="J809" t="n">
        <v>124.028</v>
      </c>
      <c r="K809" t="n">
        <v>100.7324</v>
      </c>
      <c r="L809" t="n">
        <v>112.7842</v>
      </c>
      <c r="M809" t="n">
        <v>117.7922</v>
      </c>
      <c r="N809" t="n">
        <v>127.289</v>
      </c>
      <c r="O809" t="n">
        <v>125.1125</v>
      </c>
      <c r="P809" t="n">
        <v>126.8122</v>
      </c>
      <c r="Q809" t="n">
        <v>103.0184</v>
      </c>
      <c r="R809" t="n">
        <v>114.6789</v>
      </c>
      <c r="S809" t="n">
        <v>108.4695</v>
      </c>
      <c r="T809" t="n">
        <v>121.9051</v>
      </c>
      <c r="U809" t="n">
        <v>119.6241</v>
      </c>
      <c r="V809" t="n">
        <v>116.1457</v>
      </c>
      <c r="W809" t="n">
        <v>122.3044</v>
      </c>
      <c r="X809" t="n">
        <v>117.8259</v>
      </c>
      <c r="Y809" t="n">
        <v>125.8453</v>
      </c>
      <c r="Z809" t="n">
        <v>122.5093</v>
      </c>
      <c r="AA809" t="n">
        <v>121.9064</v>
      </c>
      <c r="AB809" t="n">
        <v>124.9401</v>
      </c>
      <c r="AC809" t="n">
        <v>150.938</v>
      </c>
      <c r="AD809" t="n">
        <v>116.1276</v>
      </c>
      <c r="AE809" t="n">
        <v>118.801</v>
      </c>
    </row>
    <row r="810">
      <c r="A810" s="89" t="n">
        <v>43221</v>
      </c>
      <c r="B810" t="n">
        <v>115.4879</v>
      </c>
      <c r="C810" t="n">
        <v>128.6957</v>
      </c>
      <c r="D810" t="n">
        <v>119.7786</v>
      </c>
      <c r="E810" t="n">
        <v>108.7153</v>
      </c>
      <c r="F810" t="n">
        <v>124.9933</v>
      </c>
      <c r="G810" t="n">
        <v>132.2975</v>
      </c>
      <c r="H810" t="n">
        <v>121.8944</v>
      </c>
      <c r="I810" t="n">
        <v>106.7625</v>
      </c>
      <c r="J810" t="n">
        <v>125.2589</v>
      </c>
      <c r="K810" t="n">
        <v>100.6316</v>
      </c>
      <c r="L810" t="n">
        <v>113.4316</v>
      </c>
      <c r="M810" t="n">
        <v>118.579</v>
      </c>
      <c r="N810" t="n">
        <v>128.8403</v>
      </c>
      <c r="O810" t="n">
        <v>125.5814</v>
      </c>
      <c r="P810" t="n">
        <v>127.9901</v>
      </c>
      <c r="Q810" t="n">
        <v>103.7161</v>
      </c>
      <c r="R810" t="n">
        <v>114.9696</v>
      </c>
      <c r="S810" t="n">
        <v>108.5408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118.4928</v>
      </c>
      <c r="Y810" t="n">
        <v>127.4681</v>
      </c>
      <c r="Z810" t="n">
        <v>123.5361</v>
      </c>
      <c r="AA810" t="n">
        <v>124.9841</v>
      </c>
      <c r="AB810" t="n">
        <v>125.1954</v>
      </c>
      <c r="AC810" t="n">
        <v>155.6444</v>
      </c>
      <c r="AD810" t="n">
        <v>116.5717</v>
      </c>
      <c r="AE810" t="n">
        <v>118.5946</v>
      </c>
    </row>
    <row r="811">
      <c r="A811" s="89" t="n">
        <v>43252</v>
      </c>
      <c r="B811" t="n">
        <v>115.6308</v>
      </c>
      <c r="C811" t="n">
        <v>129.576</v>
      </c>
      <c r="D811" t="n">
        <v>120.5348</v>
      </c>
      <c r="E811" t="n">
        <v>108.7727</v>
      </c>
      <c r="F811" t="n">
        <v>125.7396</v>
      </c>
      <c r="G811" t="n">
        <v>132.8013</v>
      </c>
      <c r="H811" t="n">
        <v>122.3215</v>
      </c>
      <c r="I811" t="n">
        <v>106.234</v>
      </c>
      <c r="J811" t="n">
        <v>125.7526</v>
      </c>
      <c r="K811" t="n">
        <v>100.31</v>
      </c>
      <c r="L811" t="n">
        <v>114.2834</v>
      </c>
      <c r="M811" t="n">
        <v>119.377</v>
      </c>
      <c r="N811" t="n">
        <v>131.041</v>
      </c>
      <c r="O811" t="n">
        <v>125.9678</v>
      </c>
      <c r="P811" t="n">
        <v>128.8645</v>
      </c>
      <c r="Q811" t="n">
        <v>104.3891</v>
      </c>
      <c r="R811" t="n">
        <v>114.948</v>
      </c>
      <c r="S811" t="n">
        <v>108.9383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119.2069</v>
      </c>
      <c r="Y811" t="n">
        <v>128.9394</v>
      </c>
      <c r="Z811" t="n">
        <v>124.6257</v>
      </c>
      <c r="AA811" t="n">
        <v>127.1347</v>
      </c>
      <c r="AB811" t="n">
        <v>125.4083</v>
      </c>
      <c r="AC811" t="n">
        <v>159.8902</v>
      </c>
      <c r="AD811" t="n">
        <v>117.0815</v>
      </c>
      <c r="AE811" t="n">
        <v>118.8725</v>
      </c>
    </row>
    <row r="812">
      <c r="A812" s="89" t="n">
        <v>43282</v>
      </c>
      <c r="B812" t="n">
        <v>115.8437</v>
      </c>
      <c r="C812" t="n">
        <v>130.4622</v>
      </c>
      <c r="D812" t="n">
        <v>121.0157</v>
      </c>
      <c r="E812" t="n">
        <v>108.9035</v>
      </c>
      <c r="F812" t="n">
        <v>126.8182</v>
      </c>
      <c r="G812" t="n">
        <v>133.9594</v>
      </c>
      <c r="H812" t="n">
        <v>123.0033</v>
      </c>
      <c r="I812" t="n">
        <v>105.6813</v>
      </c>
      <c r="J812" t="n">
        <v>125.615</v>
      </c>
      <c r="K812" t="n">
        <v>100.9931</v>
      </c>
      <c r="L812" t="n">
        <v>114.7143</v>
      </c>
      <c r="M812" t="n">
        <v>119.3093</v>
      </c>
      <c r="N812" t="n">
        <v>133.1831</v>
      </c>
      <c r="O812" t="n">
        <v>126.6165</v>
      </c>
      <c r="P812" t="n">
        <v>129.6466</v>
      </c>
      <c r="Q812" t="n">
        <v>105.0022</v>
      </c>
      <c r="R812" t="n">
        <v>115.4509</v>
      </c>
      <c r="S812" t="n">
        <v>109.1362</v>
      </c>
      <c r="T812" t="n">
        <v>123.8277</v>
      </c>
      <c r="U812" t="n">
        <v>121.573</v>
      </c>
      <c r="V812" t="n">
        <v>117.4823</v>
      </c>
      <c r="W812" t="n">
        <v>124.4688</v>
      </c>
      <c r="X812" t="n">
        <v>119.6248</v>
      </c>
      <c r="Y812" t="n">
        <v>129.9039</v>
      </c>
      <c r="Z812" t="n">
        <v>125.3072</v>
      </c>
      <c r="AA812" t="n">
        <v>128.4276</v>
      </c>
      <c r="AB812" t="n">
        <v>125.7689</v>
      </c>
      <c r="AC812" t="n">
        <v>163.3858</v>
      </c>
      <c r="AD812" t="n">
        <v>117.3671</v>
      </c>
      <c r="AE812" t="n">
        <v>119.7879</v>
      </c>
    </row>
    <row r="813">
      <c r="A813" s="89" t="n">
        <v>43313</v>
      </c>
      <c r="B813" t="n">
        <v>116.5133</v>
      </c>
      <c r="C813" t="n">
        <v>131.3856</v>
      </c>
      <c r="D813" t="n">
        <v>121.7234</v>
      </c>
      <c r="E813" t="n">
        <v>109.3182</v>
      </c>
      <c r="F813" t="n">
        <v>127.7573</v>
      </c>
      <c r="G813" t="n">
        <v>134.9996</v>
      </c>
      <c r="H813" t="n">
        <v>123.8771</v>
      </c>
      <c r="I813" t="n">
        <v>105.6819</v>
      </c>
      <c r="J813" t="n">
        <v>126.2549</v>
      </c>
      <c r="K813" t="n">
        <v>101.7702</v>
      </c>
      <c r="L813" t="n">
        <v>114.7083</v>
      </c>
      <c r="M813" t="n">
        <v>119.4426</v>
      </c>
      <c r="N813" t="n">
        <v>133.9382</v>
      </c>
      <c r="O813" t="n">
        <v>127.0985</v>
      </c>
      <c r="P813" t="n">
        <v>130.8387</v>
      </c>
      <c r="Q813" t="n">
        <v>105.5971</v>
      </c>
      <c r="R813" t="n">
        <v>115.7939</v>
      </c>
      <c r="S813" t="n">
        <v>109.3182</v>
      </c>
      <c r="T813" t="n">
        <v>124.6092</v>
      </c>
      <c r="U813" t="n">
        <v>121.7173</v>
      </c>
      <c r="V813" t="n">
        <v>117.5479</v>
      </c>
      <c r="W813" t="n">
        <v>125.5168</v>
      </c>
      <c r="X813" t="n">
        <v>120.1546</v>
      </c>
      <c r="Y813" t="n">
        <v>130.8743</v>
      </c>
      <c r="Z813" t="n">
        <v>126.1469</v>
      </c>
      <c r="AA813" t="n">
        <v>129.0367</v>
      </c>
      <c r="AB813" t="n">
        <v>125.9273</v>
      </c>
      <c r="AC813" t="n">
        <v>166.4898</v>
      </c>
      <c r="AD813" t="n">
        <v>117.7855</v>
      </c>
      <c r="AE813" t="n">
        <v>121.2581</v>
      </c>
    </row>
    <row r="814">
      <c r="A814" s="89" t="n">
        <v>43344</v>
      </c>
      <c r="B814" t="n">
        <v>117.0092</v>
      </c>
      <c r="C814" t="n">
        <v>132.8934</v>
      </c>
      <c r="D814" t="n">
        <v>122.4337</v>
      </c>
      <c r="E814" t="n">
        <v>109.6353</v>
      </c>
      <c r="F814" t="n">
        <v>128.8906</v>
      </c>
      <c r="G814" t="n">
        <v>135.9704</v>
      </c>
      <c r="H814" t="n">
        <v>124.2735</v>
      </c>
      <c r="I814" t="n">
        <v>106.7231</v>
      </c>
      <c r="J814" t="n">
        <v>126.3901</v>
      </c>
      <c r="K814" t="n">
        <v>101.8477</v>
      </c>
      <c r="L814" t="n">
        <v>114.8442</v>
      </c>
      <c r="M814" t="n">
        <v>119.936</v>
      </c>
      <c r="N814" t="n">
        <v>133.9394</v>
      </c>
      <c r="O814" t="n">
        <v>128.0515</v>
      </c>
      <c r="P814" t="n">
        <v>131.7674</v>
      </c>
      <c r="Q814" t="n">
        <v>106.2291</v>
      </c>
      <c r="R814" t="n">
        <v>116.3762</v>
      </c>
      <c r="S814" t="n">
        <v>109.5555</v>
      </c>
      <c r="T814" t="n">
        <v>125.1817</v>
      </c>
      <c r="U814" t="n">
        <v>122.4532</v>
      </c>
      <c r="V814" t="n">
        <v>117.7965</v>
      </c>
      <c r="W814" t="n">
        <v>126.5449</v>
      </c>
      <c r="X814" t="n">
        <v>120.7753</v>
      </c>
      <c r="Y814" t="n">
        <v>132.6259</v>
      </c>
      <c r="Z814" t="n">
        <v>127.163</v>
      </c>
      <c r="AA814" t="n">
        <v>130.0297</v>
      </c>
      <c r="AB814" t="n">
        <v>126.6047</v>
      </c>
      <c r="AC814" t="n">
        <v>172.6841</v>
      </c>
      <c r="AD814" t="n">
        <v>118.0113</v>
      </c>
      <c r="AE814" t="n">
        <v>122.7796</v>
      </c>
    </row>
    <row r="815">
      <c r="A815" s="89" t="n">
        <v>43374</v>
      </c>
      <c r="B815" t="n">
        <v>117.2333</v>
      </c>
      <c r="C815" t="n">
        <v>133.8896</v>
      </c>
      <c r="D815" t="n">
        <v>123.1122</v>
      </c>
      <c r="E815" t="n">
        <v>109.9593</v>
      </c>
      <c r="F815" t="n">
        <v>129.6778</v>
      </c>
      <c r="G815" t="n">
        <v>136.975</v>
      </c>
      <c r="H815" t="n">
        <v>124.7369</v>
      </c>
      <c r="I815" t="n">
        <v>108.5447</v>
      </c>
      <c r="J815" t="n">
        <v>126.6618</v>
      </c>
      <c r="K815" t="n">
        <v>101.2659</v>
      </c>
      <c r="L815" t="n">
        <v>115.1301</v>
      </c>
      <c r="M815" t="n">
        <v>120.988</v>
      </c>
      <c r="N815" t="n">
        <v>134.2435</v>
      </c>
      <c r="O815" t="n">
        <v>129.7608</v>
      </c>
      <c r="P815" t="n">
        <v>132.5771</v>
      </c>
      <c r="Q815" t="n">
        <v>106.9454</v>
      </c>
      <c r="R815" t="n">
        <v>117.3688</v>
      </c>
      <c r="S815" t="n">
        <v>109.7687</v>
      </c>
      <c r="T815" t="n">
        <v>126.0249</v>
      </c>
      <c r="U815" t="n">
        <v>122.1739</v>
      </c>
      <c r="V815" t="n">
        <v>117.8375</v>
      </c>
      <c r="W815" t="n">
        <v>127.0077</v>
      </c>
      <c r="X815" t="n">
        <v>121.2062</v>
      </c>
      <c r="Y815" t="n">
        <v>133.9613</v>
      </c>
      <c r="Z815" t="n">
        <v>128.2795</v>
      </c>
      <c r="AA815" t="n">
        <v>130.9797</v>
      </c>
      <c r="AB815" t="n">
        <v>127.2965</v>
      </c>
      <c r="AC815" t="n">
        <v>176.0971</v>
      </c>
      <c r="AD815" t="n">
        <v>118.1267</v>
      </c>
      <c r="AE815" t="n">
        <v>123.146</v>
      </c>
    </row>
    <row r="816">
      <c r="A816" s="89" t="n">
        <v>43405</v>
      </c>
      <c r="B816" t="n">
        <v>117.4939</v>
      </c>
      <c r="C816" t="n">
        <v>134.4371</v>
      </c>
      <c r="D816" t="n">
        <v>123.9604</v>
      </c>
      <c r="E816" t="n">
        <v>110.3706</v>
      </c>
      <c r="F816" t="n">
        <v>130.9885</v>
      </c>
      <c r="G816" t="n">
        <v>137.9958</v>
      </c>
      <c r="H816" t="n">
        <v>125.6378</v>
      </c>
      <c r="I816" t="n">
        <v>109.9862</v>
      </c>
      <c r="J816" t="n">
        <v>128.11</v>
      </c>
      <c r="K816" t="n">
        <v>101.4121</v>
      </c>
      <c r="L816" t="n">
        <v>115.7278</v>
      </c>
      <c r="M816" t="n">
        <v>121.6853</v>
      </c>
      <c r="N816" t="n">
        <v>135.0706</v>
      </c>
      <c r="O816" t="n">
        <v>130.635</v>
      </c>
      <c r="P816" t="n">
        <v>133.7899</v>
      </c>
      <c r="Q816" t="n">
        <v>107.6995</v>
      </c>
      <c r="R816" t="n">
        <v>118.5867</v>
      </c>
      <c r="S816" t="n">
        <v>109.8841</v>
      </c>
      <c r="T816" t="n">
        <v>126.7798</v>
      </c>
      <c r="U816" t="n">
        <v>122.6025</v>
      </c>
      <c r="V816" t="n">
        <v>118.1722</v>
      </c>
      <c r="W816" t="n">
        <v>127.3549</v>
      </c>
      <c r="X816" t="n">
        <v>121.2917</v>
      </c>
      <c r="Y816" t="n">
        <v>133.3297</v>
      </c>
      <c r="Z816" t="n">
        <v>129.4469</v>
      </c>
      <c r="AA816" t="n">
        <v>131.2959</v>
      </c>
      <c r="AB816" t="n">
        <v>127.9025</v>
      </c>
      <c r="AC816" t="n">
        <v>170.5484</v>
      </c>
      <c r="AD816" t="n">
        <v>118.2355</v>
      </c>
      <c r="AE816" t="n">
        <v>122.9753</v>
      </c>
    </row>
    <row r="817">
      <c r="A817" s="89" t="n">
        <v>43435</v>
      </c>
      <c r="B817" t="n">
        <v>117.8301</v>
      </c>
      <c r="C817" t="n">
        <v>136.1795</v>
      </c>
      <c r="D817" t="n">
        <v>125.6728</v>
      </c>
      <c r="E817" t="n">
        <v>110.7943</v>
      </c>
      <c r="F817" t="n">
        <v>132.9372</v>
      </c>
      <c r="G817" t="n">
        <v>139.0737</v>
      </c>
      <c r="H817" t="n">
        <v>127.0764</v>
      </c>
      <c r="I817" t="n">
        <v>109.9362</v>
      </c>
      <c r="J817" t="n">
        <v>128.645</v>
      </c>
      <c r="K817" t="n">
        <v>100.7951</v>
      </c>
      <c r="L817" t="n">
        <v>116.3768</v>
      </c>
      <c r="M817" t="n">
        <v>122.1564</v>
      </c>
      <c r="N817" t="n">
        <v>134.9756</v>
      </c>
      <c r="O817" t="n">
        <v>130.5066</v>
      </c>
      <c r="P817" t="n">
        <v>134.8019</v>
      </c>
      <c r="Q817" t="n">
        <v>108.3908</v>
      </c>
      <c r="R817" t="n">
        <v>119.2491</v>
      </c>
      <c r="S817" t="n">
        <v>110.0519</v>
      </c>
      <c r="T817" t="n">
        <v>127.434</v>
      </c>
      <c r="U817" t="n">
        <v>123.0041</v>
      </c>
      <c r="V817" t="n">
        <v>118.8557</v>
      </c>
      <c r="W817" t="n">
        <v>127.9911</v>
      </c>
      <c r="X817" t="n">
        <v>121.9265</v>
      </c>
      <c r="Y817" t="n">
        <v>133.2507</v>
      </c>
      <c r="Z817" t="n">
        <v>130.5016</v>
      </c>
      <c r="AA817" t="n">
        <v>132.2501</v>
      </c>
      <c r="AB817" t="n">
        <v>128.6903</v>
      </c>
      <c r="AC817" t="n">
        <v>168.3227</v>
      </c>
      <c r="AD817" t="n">
        <v>119.2085</v>
      </c>
      <c r="AE817" t="n">
        <v>123.7092</v>
      </c>
    </row>
    <row r="818">
      <c r="A818" s="89" t="n">
        <v>43466</v>
      </c>
      <c r="B818" t="n">
        <v>118.4213</v>
      </c>
      <c r="C818" t="n">
        <v/>
      </c>
      <c r="D818" t="n">
        <v>125.3921</v>
      </c>
      <c r="E818" t="n">
        <v/>
      </c>
      <c r="F818" t="n">
        <v/>
      </c>
      <c r="G818" t="n">
        <v/>
      </c>
      <c r="H818" t="n">
        <v>127.6832</v>
      </c>
      <c r="I818" t="n">
        <v>109.568</v>
      </c>
      <c r="J818" t="n">
        <v>128.8671</v>
      </c>
      <c r="K818" t="n">
        <v/>
      </c>
      <c r="L818" t="n">
        <v>116.5471</v>
      </c>
      <c r="M818" t="n">
        <v>121.9711</v>
      </c>
      <c r="N818" t="n">
        <v>135.1888</v>
      </c>
      <c r="O818" t="n">
        <v/>
      </c>
      <c r="P818" t="n">
        <v/>
      </c>
      <c r="Q818" t="n">
        <v>108.9879</v>
      </c>
      <c r="R818" t="n">
        <v>119.7986</v>
      </c>
      <c r="S818" t="n">
        <v>110.23</v>
      </c>
      <c r="T818" t="n">
        <v>128.4027</v>
      </c>
      <c r="U818" t="n">
        <v/>
      </c>
      <c r="V818" t="n">
        <v>119.1628</v>
      </c>
      <c r="W818" t="n">
        <v/>
      </c>
      <c r="X818" t="n">
        <v>122.366</v>
      </c>
      <c r="Y818" t="n">
        <v/>
      </c>
      <c r="Z818" t="n">
        <v/>
      </c>
      <c r="AA818" t="n">
        <v>133.7057</v>
      </c>
      <c r="AB818" t="n">
        <v/>
      </c>
      <c r="AC818" t="n">
        <v/>
      </c>
      <c r="AD818" t="n">
        <v>119.8062</v>
      </c>
      <c r="AE818" t="n">
        <v>124.22</v>
      </c>
    </row>
    <row r="819">
      <c r="A819" s="89" t="n">
        <v>43497</v>
      </c>
      <c r="B819" t="n">
        <v>119.06</v>
      </c>
      <c r="C819" t="n">
        <v/>
      </c>
      <c r="D819" t="n">
        <v>126.1742</v>
      </c>
      <c r="E819" t="n">
        <v/>
      </c>
      <c r="F819" t="n">
        <v/>
      </c>
      <c r="G819" t="n">
        <v/>
      </c>
      <c r="H819" t="n">
        <v>127.838</v>
      </c>
      <c r="I819" t="n">
        <v>109.8484</v>
      </c>
      <c r="J819" t="n">
        <v>130.1007</v>
      </c>
      <c r="K819" t="n">
        <v/>
      </c>
      <c r="L819" t="n">
        <v>116.6674</v>
      </c>
      <c r="M819" t="n">
        <v>120.7793</v>
      </c>
      <c r="N819" t="n">
        <v>136.2269</v>
      </c>
      <c r="O819" t="n">
        <v/>
      </c>
      <c r="P819" t="n">
        <v/>
      </c>
      <c r="Q819" t="n">
        <v>109.5066</v>
      </c>
      <c r="R819" t="n">
        <v>121.1358</v>
      </c>
      <c r="S819" t="n">
        <v>110.3631</v>
      </c>
      <c r="T819" t="n">
        <v>129.2455</v>
      </c>
      <c r="U819" t="n">
        <v/>
      </c>
      <c r="V819" t="n">
        <v>119.5159</v>
      </c>
      <c r="W819" t="n">
        <v/>
      </c>
      <c r="X819" t="n">
        <v>122.6334</v>
      </c>
      <c r="Y819" t="n">
        <v/>
      </c>
      <c r="Z819" t="n">
        <v/>
      </c>
      <c r="AA819" t="n">
        <v>133.9917</v>
      </c>
      <c r="AB819" t="n">
        <v/>
      </c>
      <c r="AC819" t="n">
        <v/>
      </c>
      <c r="AD819" t="n">
        <v>120.1508</v>
      </c>
      <c r="AE819" t="n">
        <v>124.6852</v>
      </c>
    </row>
    <row r="820">
      <c r="A820" s="89" t="n">
        <v>43525</v>
      </c>
      <c r="B820" t="n">
        <v>119.8417</v>
      </c>
      <c r="C820" t="n">
        <v/>
      </c>
      <c r="D820" t="n">
        <v>127.8956</v>
      </c>
      <c r="E820" t="n">
        <v/>
      </c>
      <c r="F820" t="n">
        <v/>
      </c>
      <c r="G820" t="n">
        <v/>
      </c>
      <c r="H820" t="n">
        <v>129</v>
      </c>
      <c r="I820" t="n">
        <v>110.108</v>
      </c>
      <c r="J820" t="n">
        <v>130.869</v>
      </c>
      <c r="K820" t="n">
        <v/>
      </c>
      <c r="L820" t="n">
        <v>117.4735</v>
      </c>
      <c r="M820" t="n">
        <v>120.3348</v>
      </c>
      <c r="N820" t="n">
        <v>137.0343</v>
      </c>
      <c r="O820" t="n">
        <v/>
      </c>
      <c r="P820" t="n">
        <v/>
      </c>
      <c r="Q820" t="n">
        <v>109.9536</v>
      </c>
      <c r="R820" t="n">
        <v>121.7238</v>
      </c>
      <c r="S820" t="n">
        <v>110.539</v>
      </c>
      <c r="T820" t="n">
        <v>130.1355</v>
      </c>
      <c r="U820" t="n">
        <v/>
      </c>
      <c r="V820" t="n">
        <v>120.1252</v>
      </c>
      <c r="W820" t="n">
        <v/>
      </c>
      <c r="X820" t="n">
        <v>123.0195</v>
      </c>
      <c r="Y820" t="n">
        <v/>
      </c>
      <c r="Z820" t="n">
        <v/>
      </c>
      <c r="AA820" t="n">
        <v>133.9952</v>
      </c>
      <c r="AB820" t="n">
        <v/>
      </c>
      <c r="AC820" t="n">
        <v/>
      </c>
      <c r="AD820" t="n">
        <v>120.4696</v>
      </c>
      <c r="AE820" t="n">
        <v>126.1364</v>
      </c>
    </row>
    <row r="821">
      <c r="A821" s="89" t="n">
        <v>43556</v>
      </c>
      <c r="B821" t="n">
        <v>120.2564</v>
      </c>
      <c r="C821" t="n">
        <v/>
      </c>
      <c r="D821" t="n">
        <v>128.9886</v>
      </c>
      <c r="E821" t="n">
        <v/>
      </c>
      <c r="F821" t="n">
        <v/>
      </c>
      <c r="G821" t="n">
        <v/>
      </c>
      <c r="H821" t="n">
        <v>130.1289</v>
      </c>
      <c r="I821" t="n">
        <v>109.7395</v>
      </c>
      <c r="J821" t="n">
        <v>131.6797</v>
      </c>
      <c r="K821" t="n">
        <v/>
      </c>
      <c r="L821" t="n">
        <v>118.4279</v>
      </c>
      <c r="M821" t="n">
        <v>120.5721</v>
      </c>
      <c r="N821" t="n">
        <v>137.846</v>
      </c>
      <c r="O821" t="n">
        <v/>
      </c>
      <c r="P821" t="n">
        <v/>
      </c>
      <c r="Q821" t="n">
        <v>110.3307</v>
      </c>
      <c r="R821" t="n">
        <v>122.6523</v>
      </c>
      <c r="S821" t="n">
        <v>110.6777</v>
      </c>
      <c r="T821" t="n">
        <v>131.2129</v>
      </c>
      <c r="U821" t="n">
        <v/>
      </c>
      <c r="V821" t="n">
        <v>120.375</v>
      </c>
      <c r="W821" t="n">
        <v/>
      </c>
      <c r="X821" t="n">
        <v>123.3849</v>
      </c>
      <c r="Y821" t="n">
        <v/>
      </c>
      <c r="Z821" t="n">
        <v/>
      </c>
      <c r="AA821" t="n">
        <v>135.0129</v>
      </c>
      <c r="AB821" t="n">
        <v/>
      </c>
      <c r="AC821" t="n">
        <v/>
      </c>
      <c r="AD821" t="n">
        <v>120.7211</v>
      </c>
      <c r="AE821" t="n">
        <v>128.0405</v>
      </c>
    </row>
    <row r="822">
      <c r="A822" s="89" t="n">
        <v>43586</v>
      </c>
      <c r="B822" t="n">
        <v>120.2199</v>
      </c>
      <c r="C822" t="n">
        <v/>
      </c>
      <c r="D822" t="n">
        <v>129.0611</v>
      </c>
      <c r="E822" t="n">
        <v/>
      </c>
      <c r="F822" t="n">
        <v/>
      </c>
      <c r="G822" t="n">
        <v/>
      </c>
      <c r="H822" t="n">
        <v>130.9976</v>
      </c>
      <c r="I822" t="n">
        <v>108.9371</v>
      </c>
      <c r="J822" t="n">
        <v>133.3386</v>
      </c>
      <c r="K822" t="n">
        <v/>
      </c>
      <c r="L822" t="n">
        <v>119.1582</v>
      </c>
      <c r="M822" t="n">
        <v>120.8753</v>
      </c>
      <c r="N822" t="n">
        <v>139.6759</v>
      </c>
      <c r="O822" t="n">
        <v/>
      </c>
      <c r="P822" t="n">
        <v/>
      </c>
      <c r="Q822" t="n">
        <v>110.6381</v>
      </c>
      <c r="R822" t="n">
        <v>123.662</v>
      </c>
      <c r="S822" t="n">
        <v>110.8374</v>
      </c>
      <c r="T822" t="n">
        <v>132.1298</v>
      </c>
      <c r="U822" t="n">
        <v/>
      </c>
      <c r="V822" t="n">
        <v>121.0175</v>
      </c>
      <c r="W822" t="n">
        <v/>
      </c>
      <c r="X822" t="n">
        <v>123.9881</v>
      </c>
      <c r="Y822" t="n">
        <v/>
      </c>
      <c r="Z822" t="n">
        <v/>
      </c>
      <c r="AA822" t="n">
        <v>135.5787</v>
      </c>
      <c r="AB822" t="n">
        <v/>
      </c>
      <c r="AC822" t="n">
        <v/>
      </c>
      <c r="AD822" t="n">
        <v>121.4808</v>
      </c>
      <c r="AE822" t="n">
        <v>129.1638</v>
      </c>
    </row>
    <row r="823">
      <c r="A823" s="89" t="n">
        <v>43617</v>
      </c>
      <c r="B823" t="n">
        <v>120.1779</v>
      </c>
      <c r="C823" t="n">
        <v/>
      </c>
      <c r="D823" t="n">
        <v>129.5131</v>
      </c>
      <c r="E823" t="n">
        <v/>
      </c>
      <c r="F823" t="n">
        <v/>
      </c>
      <c r="G823" t="n">
        <v/>
      </c>
      <c r="H823" t="n">
        <v>131.7764</v>
      </c>
      <c r="I823" t="n">
        <v>108.3144</v>
      </c>
      <c r="J823" t="n">
        <v>134.1232</v>
      </c>
      <c r="K823" t="n">
        <v/>
      </c>
      <c r="L823" t="n">
        <v>119.8567</v>
      </c>
      <c r="M823" t="n">
        <v>121.1662</v>
      </c>
      <c r="N823" t="n">
        <v>140.0946</v>
      </c>
      <c r="O823" t="n">
        <v/>
      </c>
      <c r="P823" t="n">
        <v/>
      </c>
      <c r="Q823" t="n">
        <v>110.9913</v>
      </c>
      <c r="R823" t="n">
        <v>124.101</v>
      </c>
      <c r="S823" t="n">
        <v>110.9723</v>
      </c>
      <c r="T823" t="n">
        <v>132.8957</v>
      </c>
      <c r="U823" t="n">
        <v/>
      </c>
      <c r="V823" t="n">
        <v>121.613</v>
      </c>
      <c r="W823" t="n">
        <v/>
      </c>
      <c r="X823" t="n">
        <v>124.7135</v>
      </c>
      <c r="Y823" t="n">
        <v/>
      </c>
      <c r="Z823" t="n">
        <v/>
      </c>
      <c r="AA823" t="n">
        <v>136.6474</v>
      </c>
      <c r="AB823" t="n">
        <v/>
      </c>
      <c r="AC823" t="n">
        <v/>
      </c>
      <c r="AD823" t="n">
        <v>122.4961</v>
      </c>
      <c r="AE823" t="n">
        <v>129.5154</v>
      </c>
    </row>
    <row r="824">
      <c r="A824" s="89" t="n">
        <v>43647</v>
      </c>
      <c r="B824" t="n">
        <v>119.4719</v>
      </c>
      <c r="C824" t="n">
        <v/>
      </c>
      <c r="D824" t="n">
        <v>130.6518</v>
      </c>
      <c r="E824" t="n">
        <v/>
      </c>
      <c r="F824" t="n">
        <v/>
      </c>
      <c r="G824" t="n">
        <v/>
      </c>
      <c r="H824" t="n">
        <v>132.5603</v>
      </c>
      <c r="I824" t="n">
        <v>108.47</v>
      </c>
      <c r="J824" t="n">
        <v>134.3413</v>
      </c>
      <c r="K824" t="n">
        <v/>
      </c>
      <c r="L824" t="n">
        <v>120.4304</v>
      </c>
      <c r="M824" t="n">
        <v>121.4944</v>
      </c>
      <c r="N824" t="n">
        <v>139.6945</v>
      </c>
      <c r="O824" t="n">
        <v/>
      </c>
      <c r="P824" t="n">
        <v/>
      </c>
      <c r="Q824" t="n">
        <v>109.8995</v>
      </c>
      <c r="R824" t="n">
        <v>124.3727</v>
      </c>
      <c r="S824" t="n">
        <v>111.1779</v>
      </c>
      <c r="T824" t="n">
        <v>133.8487</v>
      </c>
      <c r="U824" t="n">
        <v/>
      </c>
      <c r="V824" t="n">
        <v>122.0122</v>
      </c>
      <c r="W824" t="n">
        <v/>
      </c>
      <c r="X824" t="n">
        <v>125.2551</v>
      </c>
      <c r="Y824" t="n">
        <v/>
      </c>
      <c r="Z824" t="n">
        <v/>
      </c>
      <c r="AA824" t="n">
        <v>137.6479</v>
      </c>
      <c r="AB824" t="n">
        <v/>
      </c>
      <c r="AC824" t="n">
        <v/>
      </c>
      <c r="AD824" t="n">
        <v>123.152</v>
      </c>
      <c r="AE824" t="n">
        <v>130.0512</v>
      </c>
    </row>
    <row r="825">
      <c r="A825" s="89" t="n">
        <v>43678</v>
      </c>
      <c r="B825" t="n">
        <v>118.9956</v>
      </c>
      <c r="C825" t="n">
        <v/>
      </c>
      <c r="D825" t="n">
        <v>131.7502</v>
      </c>
      <c r="E825" t="n">
        <v/>
      </c>
      <c r="F825" t="n">
        <v/>
      </c>
      <c r="G825" t="n">
        <v/>
      </c>
      <c r="H825" t="n">
        <v>133.7064</v>
      </c>
      <c r="I825" t="n">
        <v>109.0276</v>
      </c>
      <c r="J825" t="n">
        <v>135.4179</v>
      </c>
      <c r="K825" t="n">
        <v/>
      </c>
      <c r="L825" t="n">
        <v>121.2451</v>
      </c>
      <c r="M825" t="n">
        <v>121.9937</v>
      </c>
      <c r="N825" t="n">
        <v>140.922</v>
      </c>
      <c r="O825" t="n">
        <v/>
      </c>
      <c r="P825" t="n">
        <v/>
      </c>
      <c r="Q825" t="n">
        <v>108.7908</v>
      </c>
      <c r="R825" t="n">
        <v>124.3582</v>
      </c>
      <c r="S825" t="n">
        <v>111.3694</v>
      </c>
      <c r="T825" t="n">
        <v>134.8647</v>
      </c>
      <c r="U825" t="n">
        <v/>
      </c>
      <c r="V825" t="n">
        <v>123.3637</v>
      </c>
      <c r="W825" t="n">
        <v/>
      </c>
      <c r="X825" t="n">
        <v>125.889</v>
      </c>
      <c r="Y825" t="n">
        <v/>
      </c>
      <c r="Z825" t="n">
        <v/>
      </c>
      <c r="AA825" t="n">
        <v>138.1709</v>
      </c>
      <c r="AB825" t="n">
        <v/>
      </c>
      <c r="AC825" t="n">
        <v/>
      </c>
      <c r="AD825" t="n">
        <v>123.866</v>
      </c>
      <c r="AE825" t="n">
        <v>130.8189</v>
      </c>
    </row>
    <row r="826">
      <c r="A826" s="89" t="n">
        <v>43709</v>
      </c>
      <c r="B826" t="n">
        <v>119.3794</v>
      </c>
      <c r="C826" t="n">
        <v/>
      </c>
      <c r="D826" t="n">
        <v>132.6575</v>
      </c>
      <c r="E826" t="n">
        <v/>
      </c>
      <c r="F826" t="n">
        <v/>
      </c>
      <c r="G826" t="n">
        <v/>
      </c>
      <c r="H826" t="n">
        <v>135.3948</v>
      </c>
      <c r="I826" t="n">
        <v>109.8979</v>
      </c>
      <c r="J826" t="n">
        <v>136.1377</v>
      </c>
      <c r="K826" t="n">
        <v/>
      </c>
      <c r="L826" t="n">
        <v>121.6436</v>
      </c>
      <c r="M826" t="n">
        <v>121.9697</v>
      </c>
      <c r="N826" t="n">
        <v>142.1758</v>
      </c>
      <c r="O826" t="n">
        <v/>
      </c>
      <c r="P826" t="n">
        <v/>
      </c>
      <c r="Q826" t="n">
        <v>109.2616</v>
      </c>
      <c r="R826" t="n">
        <v>124.8591</v>
      </c>
      <c r="S826" t="n">
        <v>111.6242</v>
      </c>
      <c r="T826" t="n">
        <v>135.7226</v>
      </c>
      <c r="U826" t="n">
        <v/>
      </c>
      <c r="V826" t="n">
        <v>123.6488</v>
      </c>
      <c r="W826" t="n">
        <v/>
      </c>
      <c r="X826" t="n">
        <v>126.4991</v>
      </c>
      <c r="Y826" t="n">
        <v/>
      </c>
      <c r="Z826" t="n">
        <v/>
      </c>
      <c r="AA826" t="n">
        <v>139.2139</v>
      </c>
      <c r="AB826" t="n">
        <v/>
      </c>
      <c r="AC826" t="n">
        <v/>
      </c>
      <c r="AD826" t="n">
        <v>124.5716</v>
      </c>
      <c r="AE826" t="n">
        <v>131.1902</v>
      </c>
    </row>
    <row r="827">
      <c r="A827" s="89" t="n">
        <v>43739</v>
      </c>
      <c r="B827" t="n">
        <v>119.8725</v>
      </c>
      <c r="C827" t="n">
        <v/>
      </c>
      <c r="D827" t="n">
        <v>133.6296</v>
      </c>
      <c r="E827" t="n">
        <v/>
      </c>
      <c r="F827" t="n">
        <v/>
      </c>
      <c r="G827" t="n">
        <v/>
      </c>
      <c r="H827" t="n">
        <v>136.6178</v>
      </c>
      <c r="I827" t="n">
        <v>109.5143</v>
      </c>
      <c r="J827" t="n">
        <v>136.7444</v>
      </c>
      <c r="K827" t="n">
        <v/>
      </c>
      <c r="L827" t="n">
        <v>121.7492</v>
      </c>
      <c r="M827" t="n">
        <v>121.3622</v>
      </c>
      <c r="N827" t="n">
        <v>143.3863</v>
      </c>
      <c r="O827" t="n">
        <v/>
      </c>
      <c r="P827" t="n">
        <v/>
      </c>
      <c r="Q827" t="n">
        <v>109.8457</v>
      </c>
      <c r="R827" t="n">
        <v>125.9491</v>
      </c>
      <c r="S827" t="n">
        <v>111.8715</v>
      </c>
      <c r="T827" t="n">
        <v>136.4365</v>
      </c>
      <c r="U827" t="n">
        <v/>
      </c>
      <c r="V827" t="n">
        <v>123.2678</v>
      </c>
      <c r="W827" t="n">
        <v/>
      </c>
      <c r="X827" t="n">
        <v>127.2984</v>
      </c>
      <c r="Y827" t="n">
        <v/>
      </c>
      <c r="Z827" t="n">
        <v/>
      </c>
      <c r="AA827" t="n">
        <v>140.1568</v>
      </c>
      <c r="AB827" t="n">
        <v/>
      </c>
      <c r="AC827" t="n">
        <v/>
      </c>
      <c r="AD827" t="n">
        <v>125.729</v>
      </c>
      <c r="AE827" t="n">
        <v>131.4595</v>
      </c>
    </row>
    <row r="828">
      <c r="A828" s="89" t="n">
        <v>43770</v>
      </c>
      <c r="B828" t="n">
        <v>120.4273</v>
      </c>
      <c r="C828" t="n">
        <v/>
      </c>
      <c r="D828" t="n">
        <v>134.4264</v>
      </c>
      <c r="E828" t="n">
        <v/>
      </c>
      <c r="F828" t="n">
        <v/>
      </c>
      <c r="G828" t="n">
        <v/>
      </c>
      <c r="H828" t="n">
        <v>137.8709</v>
      </c>
      <c r="I828" t="n">
        <v>108.515</v>
      </c>
      <c r="J828" t="n">
        <v>137.9789</v>
      </c>
      <c r="K828" t="n">
        <v/>
      </c>
      <c r="L828" t="n">
        <v>122.4963</v>
      </c>
      <c r="M828" t="n">
        <v>121.424</v>
      </c>
      <c r="N828" t="n">
        <v>145.0222</v>
      </c>
      <c r="O828" t="n">
        <v/>
      </c>
      <c r="P828" t="n">
        <v/>
      </c>
      <c r="Q828" t="n">
        <v>110.488</v>
      </c>
      <c r="R828" t="n">
        <v>126.8256</v>
      </c>
      <c r="S828" t="n">
        <v>112.2447</v>
      </c>
      <c r="T828" t="n">
        <v>137.2464</v>
      </c>
      <c r="U828" t="n">
        <v/>
      </c>
      <c r="V828" t="n">
        <v>123.7453</v>
      </c>
      <c r="W828" t="n">
        <v/>
      </c>
      <c r="X828" t="n">
        <v>128.0314</v>
      </c>
      <c r="Y828" t="n">
        <v/>
      </c>
      <c r="Z828" t="n">
        <v/>
      </c>
      <c r="AA828" t="n">
        <v>141.0123</v>
      </c>
      <c r="AB828" t="n">
        <v/>
      </c>
      <c r="AC828" t="n">
        <v/>
      </c>
      <c r="AD828" t="n">
        <v>126.6065</v>
      </c>
      <c r="AE828" t="n">
        <v>132.0626</v>
      </c>
    </row>
    <row r="829">
      <c r="A829" s="89" t="n">
        <v>43800</v>
      </c>
      <c r="B829" t="n">
        <v>120.8419</v>
      </c>
      <c r="C829" t="n">
        <v/>
      </c>
      <c r="D829" t="n">
        <v>135.5844</v>
      </c>
      <c r="E829" t="n">
        <v/>
      </c>
      <c r="F829" t="n">
        <v/>
      </c>
      <c r="G829" t="n">
        <v/>
      </c>
      <c r="H829" t="n">
        <v>138.42</v>
      </c>
      <c r="I829" t="n">
        <v>111.3441</v>
      </c>
      <c r="J829" t="n">
        <v>137.9657</v>
      </c>
      <c r="K829" t="n">
        <v/>
      </c>
      <c r="L829" t="n">
        <v>122.774</v>
      </c>
      <c r="M829" t="n">
        <v>121.8864</v>
      </c>
      <c r="N829" t="n">
        <v>145.772</v>
      </c>
      <c r="O829" t="n">
        <v/>
      </c>
      <c r="P829" t="n">
        <v/>
      </c>
      <c r="Q829" t="n">
        <v>111.1854</v>
      </c>
      <c r="R829" t="n">
        <v>127.6506</v>
      </c>
      <c r="S829" t="n">
        <v>112.5142</v>
      </c>
      <c r="T829" t="n">
        <v>137.8909</v>
      </c>
      <c r="U829" t="n">
        <v/>
      </c>
      <c r="V829" t="n">
        <v>124.0303</v>
      </c>
      <c r="W829" t="n">
        <v/>
      </c>
      <c r="X829" t="n">
        <v>128.5885</v>
      </c>
      <c r="Y829" t="n">
        <v/>
      </c>
      <c r="Z829" t="n">
        <v/>
      </c>
      <c r="AA829" t="n">
        <v>142.0623</v>
      </c>
      <c r="AB829" t="n">
        <v/>
      </c>
      <c r="AC829" t="n">
        <v/>
      </c>
      <c r="AD829" t="n">
        <v>127.181</v>
      </c>
      <c r="AE829" t="n">
        <v>132.1167</v>
      </c>
    </row>
    <row r="830">
      <c r="A830" s="89" t="n">
        <v>43831</v>
      </c>
      <c r="B830" t="n">
        <v>121.3042</v>
      </c>
      <c r="C830" t="n">
        <v/>
      </c>
      <c r="D830" t="n">
        <v>136.0699</v>
      </c>
      <c r="E830" t="n">
        <v/>
      </c>
      <c r="F830" t="n">
        <v/>
      </c>
      <c r="G830" t="n">
        <v/>
      </c>
      <c r="H830" t="n">
        <v>138.6261</v>
      </c>
      <c r="I830" t="n">
        <v>115.0051</v>
      </c>
      <c r="J830" t="n">
        <v>138.4588</v>
      </c>
      <c r="K830" t="n">
        <v/>
      </c>
      <c r="L830" t="n">
        <v>122.5947</v>
      </c>
      <c r="M830" t="n">
        <v>122.2734</v>
      </c>
      <c r="N830" t="n">
        <v>147.032</v>
      </c>
      <c r="O830" t="n">
        <v/>
      </c>
      <c r="P830" t="n">
        <v/>
      </c>
      <c r="Q830" t="n">
        <v>111.9834</v>
      </c>
      <c r="R830" t="n">
        <v>128.3856</v>
      </c>
      <c r="S830" t="n">
        <v>112.7615</v>
      </c>
      <c r="T830" t="n">
        <v>138.6937</v>
      </c>
      <c r="U830" t="n">
        <v/>
      </c>
      <c r="V830" t="n">
        <v>124.1792</v>
      </c>
      <c r="W830" t="n">
        <v/>
      </c>
      <c r="X830" t="n">
        <v>129.1803</v>
      </c>
      <c r="Y830" t="n">
        <v/>
      </c>
      <c r="Z830" t="n">
        <v/>
      </c>
      <c r="AA830" t="n">
        <v>142.1672</v>
      </c>
      <c r="AB830" t="n">
        <v/>
      </c>
      <c r="AC830" t="n">
        <v/>
      </c>
      <c r="AD830" t="n">
        <v>127.8676</v>
      </c>
      <c r="AE830" t="n">
        <v>132.4212</v>
      </c>
    </row>
    <row r="831">
      <c r="A831" s="89" t="n">
        <v>43862</v>
      </c>
      <c r="B831" t="n">
        <v>121.8701</v>
      </c>
      <c r="C831" t="n">
        <v/>
      </c>
      <c r="D831" t="n">
        <v>137.0216</v>
      </c>
      <c r="E831" t="n">
        <v/>
      </c>
      <c r="F831" t="n">
        <v/>
      </c>
      <c r="G831" t="n">
        <v/>
      </c>
      <c r="H831" t="n">
        <v>139.9808</v>
      </c>
      <c r="I831" t="n">
        <v>115.4088</v>
      </c>
      <c r="J831" t="n">
        <v>140.3484</v>
      </c>
      <c r="K831" t="n">
        <v/>
      </c>
      <c r="L831" t="n">
        <v>123.0946</v>
      </c>
      <c r="M831" t="n">
        <v>123.1307</v>
      </c>
      <c r="N831" t="n">
        <v>149.2712</v>
      </c>
      <c r="O831" t="n">
        <v/>
      </c>
      <c r="P831" t="n">
        <v/>
      </c>
      <c r="Q831" t="n">
        <v>112.9041</v>
      </c>
      <c r="R831" t="n">
        <v>129.1805</v>
      </c>
      <c r="S831" t="n">
        <v>113.0156</v>
      </c>
      <c r="T831" t="n">
        <v>139.86</v>
      </c>
      <c r="U831" t="n">
        <v/>
      </c>
      <c r="V831" t="n">
        <v>124.7547</v>
      </c>
      <c r="W831" t="n">
        <v/>
      </c>
      <c r="X831" t="n">
        <v>129.7798</v>
      </c>
      <c r="Y831" t="n">
        <v/>
      </c>
      <c r="Z831" t="n">
        <v/>
      </c>
      <c r="AA831" t="n">
        <v>142.2244</v>
      </c>
      <c r="AB831" t="n">
        <v/>
      </c>
      <c r="AC831" t="n">
        <v/>
      </c>
      <c r="AD831" t="n">
        <v>128.34</v>
      </c>
      <c r="AE831" t="n">
        <v>133.887</v>
      </c>
    </row>
    <row r="832">
      <c r="A832" s="89" t="n">
        <v>43891</v>
      </c>
      <c r="B832" t="n">
        <v>123.8929</v>
      </c>
      <c r="C832" t="n">
        <v/>
      </c>
      <c r="D832" t="n">
        <v>140.9265</v>
      </c>
      <c r="E832" t="n">
        <v/>
      </c>
      <c r="F832" t="n">
        <v/>
      </c>
      <c r="G832" t="n">
        <v/>
      </c>
      <c r="H832" t="n">
        <v>144.1259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127.1081</v>
      </c>
      <c r="N832" t="n">
        <v>152.2264</v>
      </c>
      <c r="O832" t="n">
        <v/>
      </c>
      <c r="P832" t="n">
        <v/>
      </c>
      <c r="Q832" t="n">
        <v>113.9457</v>
      </c>
      <c r="R832" t="n">
        <v>133.8695</v>
      </c>
      <c r="S832" t="n">
        <v>113.4512</v>
      </c>
      <c r="T832" t="n">
        <v>140.9297</v>
      </c>
      <c r="U832" t="n">
        <v/>
      </c>
      <c r="V832" t="n">
        <v>128.0392</v>
      </c>
      <c r="W832" t="n">
        <v/>
      </c>
      <c r="X832" t="n">
        <v>133.2407</v>
      </c>
      <c r="Y832" t="n">
        <v/>
      </c>
      <c r="Z832" t="n">
        <v/>
      </c>
      <c r="AA832" t="n">
        <v>144.1974</v>
      </c>
      <c r="AB832" t="n">
        <v/>
      </c>
      <c r="AC832" t="n">
        <v/>
      </c>
      <c r="AD832" t="n">
        <v>132.7393</v>
      </c>
      <c r="AE832" t="n">
        <v>137.009</v>
      </c>
    </row>
    <row r="833">
      <c r="A833" s="89" t="n">
        <v>43922</v>
      </c>
      <c r="B833" t="n">
        <v>127.4342</v>
      </c>
      <c r="C833" t="n">
        <v/>
      </c>
      <c r="D833" t="n">
        <v>145.8582</v>
      </c>
      <c r="E833" t="n">
        <v/>
      </c>
      <c r="F833" t="n">
        <v/>
      </c>
      <c r="G833" t="n">
        <v/>
      </c>
      <c r="H833" t="n">
        <v>149.2738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130.9257</v>
      </c>
      <c r="N833" t="n">
        <v>155.0787</v>
      </c>
      <c r="O833" t="n">
        <v/>
      </c>
      <c r="P833" t="n">
        <v/>
      </c>
      <c r="Q833" t="n">
        <v>115.092</v>
      </c>
      <c r="R833" t="n">
        <v>139.0426</v>
      </c>
      <c r="S833" t="n">
        <v>113.9794</v>
      </c>
      <c r="T833" t="n">
        <v>142.0995</v>
      </c>
      <c r="U833" t="n">
        <v/>
      </c>
      <c r="V833" t="n">
        <v>132.0657</v>
      </c>
      <c r="W833" t="n">
        <v/>
      </c>
      <c r="X833" t="n">
        <v>139.1164</v>
      </c>
      <c r="Y833" t="n">
        <v/>
      </c>
      <c r="Z833" t="n">
        <v/>
      </c>
      <c r="AA833" t="n">
        <v>149.5191</v>
      </c>
      <c r="AB833" t="n">
        <v/>
      </c>
      <c r="AC833" t="n">
        <v/>
      </c>
      <c r="AD833" t="n">
        <v>141.1568</v>
      </c>
      <c r="AE833" t="n">
        <v>140.8256</v>
      </c>
    </row>
    <row r="834">
      <c r="A834" s="89" t="n">
        <v>43952</v>
      </c>
      <c r="B834" t="n">
        <v>129.4094</v>
      </c>
      <c r="C834" t="n">
        <v/>
      </c>
      <c r="D834" t="n">
        <v>148.167</v>
      </c>
      <c r="E834" t="n">
        <v/>
      </c>
      <c r="F834" t="n">
        <v/>
      </c>
      <c r="G834" t="n">
        <v/>
      </c>
      <c r="H834" t="n">
        <v>151.9819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132.1865</v>
      </c>
      <c r="N834" t="n">
        <v>156.6918</v>
      </c>
      <c r="O834" t="n">
        <v/>
      </c>
      <c r="P834" t="n">
        <v/>
      </c>
      <c r="Q834" t="n">
        <v>116.294</v>
      </c>
      <c r="R834" t="n">
        <v>140.8794</v>
      </c>
      <c r="S834" t="n">
        <v>115.3935</v>
      </c>
      <c r="T834" t="n">
        <v>143.3289</v>
      </c>
      <c r="U834" t="n">
        <v/>
      </c>
      <c r="V834" t="n">
        <v>133.9946</v>
      </c>
      <c r="W834" t="n">
        <v/>
      </c>
      <c r="X834" t="n">
        <v>143.7499</v>
      </c>
      <c r="Y834" t="n">
        <v/>
      </c>
      <c r="Z834" t="n">
        <v/>
      </c>
      <c r="AA834" t="n">
        <v>153.071</v>
      </c>
      <c r="AB834" t="n">
        <v/>
      </c>
      <c r="AC834" t="n">
        <v/>
      </c>
      <c r="AD834" t="n">
        <v>148.07</v>
      </c>
      <c r="AE834" t="n">
        <v>142.7611</v>
      </c>
    </row>
    <row r="835">
      <c r="A835" s="89" t="n">
        <v>43983</v>
      </c>
      <c r="B835" t="n">
        <v>129.9474</v>
      </c>
      <c r="C835" t="n">
        <v/>
      </c>
      <c r="D835" t="n">
        <v>150.5811</v>
      </c>
      <c r="E835" t="n">
        <v/>
      </c>
      <c r="F835" t="n">
        <v/>
      </c>
      <c r="G835" t="n">
        <v/>
      </c>
      <c r="H835" t="n">
        <v>153.0695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133.6164</v>
      </c>
      <c r="N835" t="n">
        <v>158.7391</v>
      </c>
      <c r="O835" t="n">
        <v/>
      </c>
      <c r="P835" t="n">
        <v/>
      </c>
      <c r="Q835" t="n">
        <v>117.4781</v>
      </c>
      <c r="R835" t="n">
        <v>142.2874</v>
      </c>
      <c r="S835" t="n">
        <v>117.5072</v>
      </c>
      <c r="T835" t="n">
        <v>144.2846</v>
      </c>
      <c r="U835" t="n">
        <v/>
      </c>
      <c r="V835" t="n">
        <v>133.6678</v>
      </c>
      <c r="W835" t="n">
        <v/>
      </c>
      <c r="X835" t="n">
        <v>145.8701</v>
      </c>
      <c r="Y835" t="n">
        <v/>
      </c>
      <c r="Z835" t="n">
        <v/>
      </c>
      <c r="AA835" t="n">
        <v>153.0309</v>
      </c>
      <c r="AB835" t="n">
        <v/>
      </c>
      <c r="AC835" t="n">
        <v/>
      </c>
      <c r="AD835" t="n">
        <v>150.5116</v>
      </c>
      <c r="AE835" t="n">
        <v>143.536</v>
      </c>
    </row>
    <row r="836">
      <c r="A836" s="89" t="n">
        <v>44013</v>
      </c>
      <c r="B836" t="n">
        <v>131.0344</v>
      </c>
      <c r="C836" t="n">
        <v/>
      </c>
      <c r="D836" t="n">
        <v>151.522</v>
      </c>
      <c r="E836" t="n">
        <v/>
      </c>
      <c r="F836" t="n">
        <v/>
      </c>
      <c r="G836" t="n">
        <v/>
      </c>
      <c r="H836" t="n">
        <v>153.4046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134.6272</v>
      </c>
      <c r="N836" t="n">
        <v>160.7678</v>
      </c>
      <c r="O836" t="n">
        <v/>
      </c>
      <c r="P836" t="n">
        <v/>
      </c>
      <c r="Q836" t="n">
        <v>118.5918</v>
      </c>
      <c r="R836" t="n">
        <v>144.0397</v>
      </c>
      <c r="S836" t="n">
        <v>118.4367</v>
      </c>
      <c r="T836" t="n">
        <v>145.228</v>
      </c>
      <c r="U836" t="n">
        <v/>
      </c>
      <c r="V836" t="n">
        <v>133.7984</v>
      </c>
      <c r="W836" t="n">
        <v/>
      </c>
      <c r="X836" t="n">
        <v>147.0116</v>
      </c>
      <c r="Y836" t="n">
        <v/>
      </c>
      <c r="Z836" t="n">
        <v/>
      </c>
      <c r="AA836" t="n">
        <v>154.522</v>
      </c>
      <c r="AB836" t="n">
        <v/>
      </c>
      <c r="AC836" t="n">
        <v/>
      </c>
      <c r="AD836" t="n">
        <v>151.7445</v>
      </c>
      <c r="AE836" t="n">
        <v>144.1172</v>
      </c>
    </row>
    <row r="837">
      <c r="A837" s="89" t="n">
        <v>44044</v>
      </c>
      <c r="B837" t="n">
        <v>132.5165</v>
      </c>
      <c r="C837" t="n">
        <v/>
      </c>
      <c r="D837" t="n">
        <v>152.0014</v>
      </c>
      <c r="E837" t="n">
        <v/>
      </c>
      <c r="F837" t="n">
        <v/>
      </c>
      <c r="G837" t="n">
        <v/>
      </c>
      <c r="H837" t="n">
        <v>153.9426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134.6825</v>
      </c>
      <c r="N837" t="n">
        <v>162.8017</v>
      </c>
      <c r="O837" t="n">
        <v/>
      </c>
      <c r="P837" t="n">
        <v/>
      </c>
      <c r="Q837" t="n">
        <v>119.5895</v>
      </c>
      <c r="R837" t="n">
        <v>146.5044</v>
      </c>
      <c r="S837" t="n">
        <v>119.2864</v>
      </c>
      <c r="T837" t="n">
        <v>145.8374</v>
      </c>
      <c r="U837" t="n">
        <v/>
      </c>
      <c r="V837" t="n">
        <v>135.2283</v>
      </c>
      <c r="W837" t="n">
        <v/>
      </c>
      <c r="X837" t="n">
        <v>147.7269</v>
      </c>
      <c r="Y837" t="n">
        <v/>
      </c>
      <c r="Z837" t="n">
        <v/>
      </c>
      <c r="AA837" t="n">
        <v>157.4165</v>
      </c>
      <c r="AB837" t="n">
        <v/>
      </c>
      <c r="AC837" t="n">
        <v/>
      </c>
      <c r="AD837" t="n">
        <v>152.4053</v>
      </c>
      <c r="AE837" t="n">
        <v>144.893</v>
      </c>
    </row>
    <row r="838">
      <c r="A838" s="89" t="n">
        <v>44075</v>
      </c>
      <c r="B838" t="n">
        <v>133.682</v>
      </c>
      <c r="C838" t="n">
        <v/>
      </c>
      <c r="D838" t="n">
        <v>153.3331</v>
      </c>
      <c r="E838" t="n">
        <v/>
      </c>
      <c r="F838" t="n">
        <v/>
      </c>
      <c r="G838" t="n">
        <v/>
      </c>
      <c r="H838" t="n">
        <v>154.834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134.8605</v>
      </c>
      <c r="N838" t="n">
        <v>165.3491</v>
      </c>
      <c r="O838" t="n">
        <v/>
      </c>
      <c r="P838" t="n">
        <v/>
      </c>
      <c r="Q838" t="n">
        <v>120.3922</v>
      </c>
      <c r="R838" t="n">
        <v>149.1319</v>
      </c>
      <c r="S838" t="n">
        <v>119.9403</v>
      </c>
      <c r="T838" t="n">
        <v>146.3757</v>
      </c>
      <c r="U838" t="n">
        <v/>
      </c>
      <c r="V838" t="n">
        <v>136.1451</v>
      </c>
      <c r="W838" t="n">
        <v/>
      </c>
      <c r="X838" t="n">
        <v>149.1071</v>
      </c>
      <c r="Y838" t="n">
        <v/>
      </c>
      <c r="Z838" t="n">
        <v/>
      </c>
      <c r="AA838" t="n">
        <v>159.5704</v>
      </c>
      <c r="AB838" t="n">
        <v/>
      </c>
      <c r="AC838" t="n">
        <v/>
      </c>
      <c r="AD838" t="n">
        <v>154.2135</v>
      </c>
      <c r="AE838" t="n">
        <v>144.5765</v>
      </c>
    </row>
    <row r="839">
      <c r="A839" s="89" t="n">
        <v>44105</v>
      </c>
      <c r="B839" t="n">
        <v>134.4581</v>
      </c>
      <c r="C839" t="n">
        <v/>
      </c>
      <c r="D839" t="n">
        <v>150.0113</v>
      </c>
      <c r="E839" t="n">
        <v/>
      </c>
      <c r="F839" t="n">
        <v/>
      </c>
      <c r="G839" t="n">
        <v/>
      </c>
      <c r="H839" t="n">
        <v>155.9813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135.2301</v>
      </c>
      <c r="N839" t="n">
        <v>167.9346</v>
      </c>
      <c r="O839" t="n">
        <v/>
      </c>
      <c r="P839" t="n">
        <v/>
      </c>
      <c r="Q839" t="n">
        <v>121.0558</v>
      </c>
      <c r="R839" t="n">
        <v>151.4296</v>
      </c>
      <c r="S839" t="n">
        <v>120.3105</v>
      </c>
      <c r="T839" t="n">
        <v>147.6214</v>
      </c>
      <c r="U839" t="n">
        <v/>
      </c>
      <c r="V839" t="n">
        <v>137.4818</v>
      </c>
      <c r="W839" t="n">
        <v/>
      </c>
      <c r="X839" t="n">
        <v>149.9936</v>
      </c>
      <c r="Y839" t="n">
        <v/>
      </c>
      <c r="Z839" t="n">
        <v/>
      </c>
      <c r="AA839" t="n">
        <v>162.0544</v>
      </c>
      <c r="AB839" t="n">
        <v/>
      </c>
      <c r="AC839" t="n">
        <v/>
      </c>
      <c r="AD839" t="n">
        <v>155.546</v>
      </c>
      <c r="AE839" t="n">
        <v>144.166</v>
      </c>
    </row>
    <row r="840">
      <c r="A840" s="89" t="n">
        <v>44136</v>
      </c>
      <c r="B840" t="n">
        <v>135.2733</v>
      </c>
      <c r="C840" t="n">
        <v/>
      </c>
      <c r="D840" t="n">
        <v>150.6727</v>
      </c>
      <c r="E840" t="n">
        <v/>
      </c>
      <c r="F840" t="n">
        <v/>
      </c>
      <c r="G840" t="n">
        <v/>
      </c>
      <c r="H840" t="n">
        <v>156.2094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135.1211</v>
      </c>
      <c r="N840" t="n">
        <v>169.8031</v>
      </c>
      <c r="O840" t="n">
        <v/>
      </c>
      <c r="P840" t="n">
        <v/>
      </c>
      <c r="Q840" t="n">
        <v>121.751</v>
      </c>
      <c r="R840" t="n">
        <v>153.8562</v>
      </c>
      <c r="S840" t="n">
        <v>120.7963</v>
      </c>
      <c r="T840" t="n">
        <v>149.0209</v>
      </c>
      <c r="U840" t="n">
        <v/>
      </c>
      <c r="V840" t="n">
        <v>138.5171</v>
      </c>
      <c r="W840" t="n">
        <v/>
      </c>
      <c r="X840" t="n">
        <v>151.3674</v>
      </c>
      <c r="Y840" t="n">
        <v/>
      </c>
      <c r="Z840" t="n">
        <v/>
      </c>
      <c r="AA840" t="n">
        <v>164.5484</v>
      </c>
      <c r="AB840" t="n">
        <v/>
      </c>
      <c r="AC840" t="n">
        <v/>
      </c>
      <c r="AD840" t="n">
        <v>157.4895</v>
      </c>
      <c r="AE840" t="n">
        <v>143.9627</v>
      </c>
    </row>
    <row r="841">
      <c r="A841" s="89" t="n">
        <v>44166</v>
      </c>
      <c r="B841" t="n">
        <v>136.0494</v>
      </c>
      <c r="C841" t="n">
        <v/>
      </c>
      <c r="D841" t="n">
        <v>151.3761</v>
      </c>
      <c r="E841" t="n">
        <v/>
      </c>
      <c r="F841" t="n">
        <v/>
      </c>
      <c r="G841" t="n">
        <v/>
      </c>
      <c r="H841" t="n">
        <v>156.4827</v>
      </c>
      <c r="I841" t="n">
        <v>133.8869</v>
      </c>
      <c r="J841" t="n">
        <v>152.7728</v>
      </c>
      <c r="K841" t="n">
        <v/>
      </c>
      <c r="L841" t="n">
        <v>135.9691</v>
      </c>
      <c r="M841" t="n">
        <v>136.2643</v>
      </c>
      <c r="N841" t="n">
        <v>173.3132</v>
      </c>
      <c r="O841" t="n">
        <v/>
      </c>
      <c r="P841" t="n">
        <v/>
      </c>
      <c r="Q841" t="n">
        <v>122.5301</v>
      </c>
      <c r="R841" t="n">
        <v>156.1016</v>
      </c>
      <c r="S841" t="n">
        <v>121.1844</v>
      </c>
      <c r="T841" t="n">
        <v>149.5323</v>
      </c>
      <c r="U841" t="n">
        <v/>
      </c>
      <c r="V841" t="n">
        <v>139.108</v>
      </c>
      <c r="W841" t="n">
        <v/>
      </c>
      <c r="X841" t="n">
        <v>152.4129</v>
      </c>
      <c r="Y841" t="n">
        <v/>
      </c>
      <c r="Z841" t="n">
        <v/>
      </c>
      <c r="AA841" t="n">
        <v>164.907</v>
      </c>
      <c r="AB841" t="n">
        <v/>
      </c>
      <c r="AC841" t="n">
        <v/>
      </c>
      <c r="AD841" t="n">
        <v>158.7764</v>
      </c>
      <c r="AE841" t="n">
        <v>143.7466</v>
      </c>
    </row>
    <row r="842">
      <c r="A842" s="89" t="n">
        <v>44197</v>
      </c>
      <c r="B842" t="n">
        <v>136.7975</v>
      </c>
      <c r="C842" t="n">
        <v/>
      </c>
      <c r="D842" t="n">
        <v>152.325</v>
      </c>
      <c r="E842" t="n">
        <v/>
      </c>
      <c r="F842" t="n">
        <v/>
      </c>
      <c r="G842" t="n">
        <v/>
      </c>
      <c r="H842" t="n">
        <v>157.4431</v>
      </c>
      <c r="I842" t="n">
        <v>135.3964</v>
      </c>
      <c r="J842" t="n">
        <v>153.5782</v>
      </c>
      <c r="K842" t="n">
        <v/>
      </c>
      <c r="L842" t="n">
        <v>136.8978</v>
      </c>
      <c r="M842" t="n">
        <v>137.6233</v>
      </c>
      <c r="N842" t="n">
        <v>176.9132</v>
      </c>
      <c r="O842" t="n">
        <v/>
      </c>
      <c r="P842" t="n">
        <v/>
      </c>
      <c r="Q842" t="n">
        <v>123.3292</v>
      </c>
      <c r="R842" t="n">
        <v>158.0329</v>
      </c>
      <c r="S842" t="n">
        <v>121.7171</v>
      </c>
      <c r="T842" t="n">
        <v>150.1967</v>
      </c>
      <c r="U842" t="n">
        <v/>
      </c>
      <c r="V842" t="n">
        <v>139.9605</v>
      </c>
      <c r="W842" t="n">
        <v/>
      </c>
      <c r="X842" t="n">
        <v>153.9868</v>
      </c>
      <c r="Y842" t="n">
        <v/>
      </c>
      <c r="Z842" t="n">
        <v/>
      </c>
      <c r="AA842" t="n">
        <v>165.1616</v>
      </c>
      <c r="AB842" t="n">
        <v/>
      </c>
      <c r="AC842" t="n">
        <v/>
      </c>
      <c r="AD842" t="n">
        <v>160.8328</v>
      </c>
      <c r="AE842" t="n">
        <v>144.7892</v>
      </c>
    </row>
    <row r="843">
      <c r="A843" s="89" t="n">
        <v>44228</v>
      </c>
      <c r="B843" t="n">
        <v>137.4698</v>
      </c>
      <c r="C843" t="n">
        <v/>
      </c>
      <c r="D843" t="n">
        <v>153.3966</v>
      </c>
      <c r="E843" t="n">
        <v/>
      </c>
      <c r="F843" t="n">
        <v/>
      </c>
      <c r="G843" t="n">
        <v/>
      </c>
      <c r="H843" t="n">
        <v>158.3114</v>
      </c>
      <c r="I843" t="n">
        <v>136.4446</v>
      </c>
      <c r="J843" t="n">
        <v>156.6682</v>
      </c>
      <c r="K843" t="n">
        <v/>
      </c>
      <c r="L843" t="n">
        <v>137.4831</v>
      </c>
      <c r="M843" t="n">
        <v>138.2331</v>
      </c>
      <c r="N843" t="n">
        <v>179.3365</v>
      </c>
      <c r="O843" t="n">
        <v/>
      </c>
      <c r="P843" t="n">
        <v/>
      </c>
      <c r="Q843" t="n">
        <v>124.1201</v>
      </c>
      <c r="R843" t="n">
        <v>159.9045</v>
      </c>
      <c r="S843" t="n">
        <v>122.1499</v>
      </c>
      <c r="T843" t="n">
        <v>151.631</v>
      </c>
      <c r="U843" t="n">
        <v/>
      </c>
      <c r="V843" t="n">
        <v>141.9365</v>
      </c>
      <c r="W843" t="n">
        <v/>
      </c>
      <c r="X843" t="n">
        <v>155.4962</v>
      </c>
      <c r="Y843" t="n">
        <v/>
      </c>
      <c r="Z843" t="n">
        <v/>
      </c>
      <c r="AA843" t="n">
        <v>166.4253</v>
      </c>
      <c r="AB843" t="n">
        <v/>
      </c>
      <c r="AC843" t="n">
        <v/>
      </c>
      <c r="AD843" t="n">
        <v>162.8477</v>
      </c>
      <c r="AE843" t="n">
        <v>145.1587</v>
      </c>
    </row>
    <row r="844">
      <c r="A844" s="89" t="n">
        <v>44256</v>
      </c>
      <c r="B844" t="n">
        <v>137.778</v>
      </c>
      <c r="C844" t="n">
        <v/>
      </c>
      <c r="D844" t="n">
        <v>153.7122</v>
      </c>
      <c r="E844" t="n">
        <v/>
      </c>
      <c r="F844" t="n">
        <v/>
      </c>
      <c r="G844" t="n">
        <v/>
      </c>
      <c r="H844" t="n">
        <v>159.2722</v>
      </c>
      <c r="I844" t="n">
        <v>136.8376</v>
      </c>
      <c r="J844" t="n">
        <v>158.9986</v>
      </c>
      <c r="K844" t="n">
        <v/>
      </c>
      <c r="L844" t="n">
        <v>138.1806</v>
      </c>
      <c r="M844" t="n">
        <v>139.1194</v>
      </c>
      <c r="N844" t="n">
        <v>181.8382</v>
      </c>
      <c r="O844" t="n">
        <v/>
      </c>
      <c r="P844" t="n">
        <v/>
      </c>
      <c r="Q844" t="n">
        <v>124.9445</v>
      </c>
      <c r="R844" t="n">
        <v>161.6879</v>
      </c>
      <c r="S844" t="n">
        <v>122.5465</v>
      </c>
      <c r="T844" t="n">
        <v>153.1997</v>
      </c>
      <c r="U844" t="n">
        <v/>
      </c>
      <c r="V844" t="n">
        <v>143.316</v>
      </c>
      <c r="W844" t="n">
        <v/>
      </c>
      <c r="X844" t="n">
        <v>156.9459</v>
      </c>
      <c r="Y844" t="n">
        <v/>
      </c>
      <c r="Z844" t="n">
        <v/>
      </c>
      <c r="AA844" t="n">
        <v>167.4281</v>
      </c>
      <c r="AB844" t="n">
        <v/>
      </c>
      <c r="AC844" t="n">
        <v/>
      </c>
      <c r="AD844" t="n">
        <v>164.8286</v>
      </c>
      <c r="AE844" t="n">
        <v>144.8994</v>
      </c>
    </row>
    <row r="845">
      <c r="A845" s="89" t="n">
        <v>44287</v>
      </c>
      <c r="B845" t="n">
        <v>138.131</v>
      </c>
      <c r="C845" t="n">
        <v/>
      </c>
      <c r="D845" t="n">
        <v>153.7562</v>
      </c>
      <c r="E845" t="n">
        <v/>
      </c>
      <c r="F845" t="n">
        <v/>
      </c>
      <c r="G845" t="n">
        <v/>
      </c>
      <c r="H845" t="n">
        <v>160.1514</v>
      </c>
      <c r="I845" t="n">
        <v>137.5715</v>
      </c>
      <c r="J845" t="n">
        <v>160.1879</v>
      </c>
      <c r="K845" t="n">
        <v/>
      </c>
      <c r="L845" t="n">
        <v>139.0144</v>
      </c>
      <c r="M845" t="n">
        <v>140.1519</v>
      </c>
      <c r="N845" t="n">
        <v>183.0132</v>
      </c>
      <c r="O845" t="n">
        <v/>
      </c>
      <c r="P845" t="n">
        <v/>
      </c>
      <c r="Q845" t="n">
        <v>125.8224</v>
      </c>
      <c r="R845" t="n">
        <v>163.6313</v>
      </c>
      <c r="S845" t="n">
        <v>122.9389</v>
      </c>
      <c r="T845" t="n">
        <v>155.7242</v>
      </c>
      <c r="U845" t="n">
        <v/>
      </c>
      <c r="V845" t="n">
        <v>144.3334</v>
      </c>
      <c r="W845" t="n">
        <v/>
      </c>
      <c r="X845" t="n">
        <v>158.5133</v>
      </c>
      <c r="Y845" t="n">
        <v/>
      </c>
      <c r="Z845" t="n">
        <v/>
      </c>
      <c r="AA845" t="n">
        <v>168.1569</v>
      </c>
      <c r="AB845" t="n">
        <v/>
      </c>
      <c r="AC845" t="n">
        <v/>
      </c>
      <c r="AD845" t="n">
        <v>166.9614</v>
      </c>
      <c r="AE845" t="n">
        <v>144.8862</v>
      </c>
    </row>
    <row r="846">
      <c r="A846" s="89" t="n">
        <v>44317</v>
      </c>
      <c r="B846" t="n">
        <v>138.5037</v>
      </c>
      <c r="C846" t="n">
        <v/>
      </c>
      <c r="D846" t="n">
        <v>155.3269</v>
      </c>
      <c r="E846" t="n">
        <v/>
      </c>
      <c r="F846" t="n">
        <v/>
      </c>
      <c r="G846" t="n">
        <v/>
      </c>
      <c r="H846" t="n">
        <v>161.4406</v>
      </c>
      <c r="I846" t="n">
        <v>138.3573</v>
      </c>
      <c r="J846" t="n">
        <v>161.0406</v>
      </c>
      <c r="K846" t="n">
        <v/>
      </c>
      <c r="L846" t="n">
        <v>139.9009</v>
      </c>
      <c r="M846" t="n">
        <v>140.8886</v>
      </c>
      <c r="N846" t="n">
        <v>183.3404</v>
      </c>
      <c r="O846" t="n">
        <v/>
      </c>
      <c r="P846" t="n">
        <v/>
      </c>
      <c r="Q846" t="n">
        <v>126.7349</v>
      </c>
      <c r="R846" t="n">
        <v>165.1172</v>
      </c>
      <c r="S846" t="n">
        <v>123.2839</v>
      </c>
      <c r="T846" t="n">
        <v>156.8199</v>
      </c>
      <c r="U846" t="n">
        <v/>
      </c>
      <c r="V846" t="n">
        <v>145.9569</v>
      </c>
      <c r="W846" t="n">
        <v/>
      </c>
      <c r="X846" t="n">
        <v>160.2596</v>
      </c>
      <c r="Y846" t="n">
        <v/>
      </c>
      <c r="Z846" t="n">
        <v/>
      </c>
      <c r="AA846" t="n">
        <v>169.8335</v>
      </c>
      <c r="AB846" t="n">
        <v/>
      </c>
      <c r="AC846" t="n">
        <v/>
      </c>
      <c r="AD846" t="n">
        <v>169.5185</v>
      </c>
      <c r="AE846" t="n">
        <v>145.0969</v>
      </c>
    </row>
    <row r="847">
      <c r="A847" s="89" t="n">
        <v>44348</v>
      </c>
      <c r="B847" t="n">
        <v>139.4646</v>
      </c>
      <c r="C847" t="n">
        <v/>
      </c>
      <c r="D847" t="n">
        <v>156.1157</v>
      </c>
      <c r="E847" t="n">
        <v/>
      </c>
      <c r="F847" t="n">
        <v/>
      </c>
      <c r="G847" t="n">
        <v/>
      </c>
      <c r="H847" t="n">
        <v>162.8508</v>
      </c>
      <c r="I847" t="n">
        <v>138.9272</v>
      </c>
      <c r="J847" t="n">
        <v>161.9499</v>
      </c>
      <c r="K847" t="n">
        <v/>
      </c>
      <c r="L847" t="n">
        <v>140.7972</v>
      </c>
      <c r="M847" t="n">
        <v>141.7395</v>
      </c>
      <c r="N847" t="n">
        <v>184.8385</v>
      </c>
      <c r="O847" t="n">
        <v/>
      </c>
      <c r="P847" t="n">
        <v/>
      </c>
      <c r="Q847" t="n">
        <v>127.7043</v>
      </c>
      <c r="R847" t="n">
        <v>167.4233</v>
      </c>
      <c r="S847" t="n">
        <v>123.5833</v>
      </c>
      <c r="T847" t="n">
        <v>156.9046</v>
      </c>
      <c r="U847" t="n">
        <v/>
      </c>
      <c r="V847" t="n">
        <v>147.0214</v>
      </c>
      <c r="W847" t="n">
        <v/>
      </c>
      <c r="X847" t="n">
        <v>160.7475</v>
      </c>
      <c r="Y847" t="n">
        <v/>
      </c>
      <c r="Z847" t="n">
        <v/>
      </c>
      <c r="AA847" t="n">
        <v>171.7946</v>
      </c>
      <c r="AB847" t="n">
        <v/>
      </c>
      <c r="AC847" t="n">
        <v/>
      </c>
      <c r="AD847" t="n">
        <v>169.8622</v>
      </c>
      <c r="AE847" t="n">
        <v>145.0862</v>
      </c>
    </row>
    <row r="848">
      <c r="A848" s="89" t="n">
        <v>44378</v>
      </c>
      <c r="B848" t="n">
        <v>141.1793</v>
      </c>
      <c r="C848" t="n">
        <v/>
      </c>
      <c r="D848" t="n">
        <v>158.7728</v>
      </c>
      <c r="E848" t="n">
        <v/>
      </c>
      <c r="F848" t="n">
        <v/>
      </c>
      <c r="G848" t="n">
        <v/>
      </c>
      <c r="H848" t="n">
        <v>164.2002</v>
      </c>
      <c r="I848" t="n">
        <v>139.4971</v>
      </c>
      <c r="J848" t="n">
        <v>162.7865</v>
      </c>
      <c r="K848" t="n">
        <v/>
      </c>
      <c r="L848" t="n">
        <v>141.908</v>
      </c>
      <c r="M848" t="n">
        <v>142.2826</v>
      </c>
      <c r="N848" t="n">
        <v>187.644</v>
      </c>
      <c r="O848" t="n">
        <v/>
      </c>
      <c r="P848" t="n">
        <v/>
      </c>
      <c r="Q848" t="n">
        <v>128.7641</v>
      </c>
      <c r="R848" t="n">
        <v>171.2017</v>
      </c>
      <c r="S848" t="n">
        <v>123.8788</v>
      </c>
      <c r="T848" t="n">
        <v>158.2462</v>
      </c>
      <c r="U848" t="n">
        <v/>
      </c>
      <c r="V848" t="n">
        <v>148.1804</v>
      </c>
      <c r="W848" t="n">
        <v/>
      </c>
      <c r="X848" t="n">
        <v>161.9457</v>
      </c>
      <c r="Y848" t="n">
        <v/>
      </c>
      <c r="Z848" t="n">
        <v/>
      </c>
      <c r="AA848" t="n">
        <v>172.8092</v>
      </c>
      <c r="AB848" t="n">
        <v/>
      </c>
      <c r="AC848" t="n">
        <v/>
      </c>
      <c r="AD848" t="n">
        <v>171.1507</v>
      </c>
      <c r="AE848" t="n">
        <v>145.7611</v>
      </c>
    </row>
    <row r="849">
      <c r="A849" s="89" t="n">
        <v>44409</v>
      </c>
      <c r="B849" t="n">
        <v>142.342</v>
      </c>
      <c r="C849" t="n">
        <v/>
      </c>
      <c r="D849" t="n">
        <v>160.1562</v>
      </c>
      <c r="E849" t="n">
        <v/>
      </c>
      <c r="F849" t="n">
        <v/>
      </c>
      <c r="G849" t="n">
        <v/>
      </c>
      <c r="H849" t="n">
        <v>165.5736</v>
      </c>
      <c r="I849" t="n">
        <v>140.067</v>
      </c>
      <c r="J849" t="n">
        <v>163.5496</v>
      </c>
      <c r="K849" t="n">
        <v/>
      </c>
      <c r="L849" t="n">
        <v>142.7654</v>
      </c>
      <c r="M849" t="n">
        <v>142.7607</v>
      </c>
      <c r="N849" t="n">
        <v>189.4197</v>
      </c>
      <c r="O849" t="n">
        <v/>
      </c>
      <c r="P849" t="n">
        <v/>
      </c>
      <c r="Q849" t="n">
        <v>129.9127</v>
      </c>
      <c r="R849" t="n">
        <v>173.1984</v>
      </c>
      <c r="S849" t="n">
        <v>124.1611</v>
      </c>
      <c r="T849" t="n">
        <v>159.6352</v>
      </c>
      <c r="U849" t="n">
        <v/>
      </c>
      <c r="V849" t="n">
        <v>149.2905</v>
      </c>
      <c r="W849" t="n">
        <v/>
      </c>
      <c r="X849" t="n">
        <v>163.315</v>
      </c>
      <c r="Y849" t="n">
        <v/>
      </c>
      <c r="Z849" t="n">
        <v/>
      </c>
      <c r="AA849" t="n">
        <v>173.2626</v>
      </c>
      <c r="AB849" t="n">
        <v/>
      </c>
      <c r="AC849" t="n">
        <v/>
      </c>
      <c r="AD849" t="n">
        <v>172.9772</v>
      </c>
      <c r="AE849" t="n">
        <v>147.4258</v>
      </c>
    </row>
    <row r="850">
      <c r="A850" s="89" t="n">
        <v>44440</v>
      </c>
      <c r="B850" t="n">
        <v>143.7344</v>
      </c>
      <c r="C850" t="n">
        <v/>
      </c>
      <c r="D850" t="n">
        <v>160.904</v>
      </c>
      <c r="E850" t="n">
        <v/>
      </c>
      <c r="F850" t="n">
        <v/>
      </c>
      <c r="G850" t="n">
        <v/>
      </c>
      <c r="H850" t="n">
        <v>166.3038</v>
      </c>
      <c r="I850" t="n">
        <v>140.637</v>
      </c>
      <c r="J850" t="n">
        <v>164.182</v>
      </c>
      <c r="K850" t="n">
        <v/>
      </c>
      <c r="L850" t="n">
        <v>143.0916</v>
      </c>
      <c r="M850" t="n">
        <v>144.5033</v>
      </c>
      <c r="N850" t="n">
        <v>191.435</v>
      </c>
      <c r="O850" t="n">
        <v/>
      </c>
      <c r="P850" t="n">
        <v/>
      </c>
      <c r="Q850" t="n">
        <v>131.1326</v>
      </c>
      <c r="R850" t="n">
        <v>174.8465</v>
      </c>
      <c r="S850" t="n">
        <v>124.4292</v>
      </c>
      <c r="T850" t="n">
        <v>160.4632</v>
      </c>
      <c r="U850" t="n">
        <v/>
      </c>
      <c r="V850" t="n">
        <v>150.3227</v>
      </c>
      <c r="W850" t="n">
        <v/>
      </c>
      <c r="X850" t="n">
        <v>164.3218</v>
      </c>
      <c r="Y850" t="n">
        <v/>
      </c>
      <c r="Z850" t="n">
        <v/>
      </c>
      <c r="AA850" t="n">
        <v>174.219</v>
      </c>
      <c r="AB850" t="n">
        <v/>
      </c>
      <c r="AC850" t="n">
        <v/>
      </c>
      <c r="AD850" t="n">
        <v>174.0606</v>
      </c>
      <c r="AE850" t="n">
        <v>148.7881</v>
      </c>
    </row>
    <row r="851">
      <c r="A851" s="89" t="n">
        <v>44470</v>
      </c>
      <c r="B851" t="n">
        <v>145.2361</v>
      </c>
      <c r="C851" t="n">
        <v/>
      </c>
      <c r="D851" t="n">
        <v>161.085</v>
      </c>
      <c r="E851" t="n">
        <v/>
      </c>
      <c r="F851" t="n">
        <v/>
      </c>
      <c r="G851" t="n">
        <v/>
      </c>
      <c r="H851" t="n">
        <v>167.981</v>
      </c>
      <c r="I851" t="n">
        <v>141.2069</v>
      </c>
      <c r="J851" t="n">
        <v>164.6461</v>
      </c>
      <c r="K851" t="n">
        <v/>
      </c>
      <c r="L851" t="n">
        <v>143.9034</v>
      </c>
      <c r="M851" t="n">
        <v>145.8456</v>
      </c>
      <c r="N851" t="n">
        <v>194.7839</v>
      </c>
      <c r="O851" t="n">
        <v/>
      </c>
      <c r="P851" t="n">
        <v/>
      </c>
      <c r="Q851" t="n">
        <v>132.3727</v>
      </c>
      <c r="R851" t="n">
        <v>176.3576</v>
      </c>
      <c r="S851" t="n">
        <v>124.7841</v>
      </c>
      <c r="T851" t="n">
        <v>161.3676</v>
      </c>
      <c r="U851" t="n">
        <v/>
      </c>
      <c r="V851" t="n">
        <v>150.6739</v>
      </c>
      <c r="W851" t="n">
        <v/>
      </c>
      <c r="X851" t="n">
        <v>165.519</v>
      </c>
      <c r="Y851" t="n">
        <v/>
      </c>
      <c r="Z851" t="n">
        <v/>
      </c>
      <c r="AA851" t="n">
        <v>175.9334</v>
      </c>
      <c r="AB851" t="n">
        <v/>
      </c>
      <c r="AC851" t="n">
        <v/>
      </c>
      <c r="AD851" t="n">
        <v>175.5392</v>
      </c>
      <c r="AE851" t="n">
        <v>149.3955</v>
      </c>
    </row>
    <row r="852">
      <c r="A852" s="89" t="n">
        <v>44501</v>
      </c>
      <c r="B852" t="n">
        <v>146.2587</v>
      </c>
      <c r="C852" t="n">
        <v/>
      </c>
      <c r="D852" t="n">
        <v>162.9584</v>
      </c>
      <c r="E852" t="n">
        <v/>
      </c>
      <c r="F852" t="n">
        <v/>
      </c>
      <c r="G852" t="n">
        <v/>
      </c>
      <c r="H852" t="n">
        <v>170.5515</v>
      </c>
      <c r="I852" t="n">
        <v>141.7768</v>
      </c>
      <c r="J852" t="n">
        <v>165.2357</v>
      </c>
      <c r="K852" t="n">
        <v/>
      </c>
      <c r="L852" t="n">
        <v>144.9845</v>
      </c>
      <c r="M852" t="n">
        <v>146.6005</v>
      </c>
      <c r="N852" t="n">
        <v>199.0343</v>
      </c>
      <c r="O852" t="n">
        <v/>
      </c>
      <c r="P852" t="n">
        <v/>
      </c>
      <c r="Q852" t="n">
        <v>133.5994</v>
      </c>
      <c r="R852" t="n">
        <v>177.3359</v>
      </c>
      <c r="S852" t="n">
        <v>125.0816</v>
      </c>
      <c r="T852" t="n">
        <v>162.8601</v>
      </c>
      <c r="U852" t="n">
        <v/>
      </c>
      <c r="V852" t="n">
        <v>151.7477</v>
      </c>
      <c r="W852" t="n">
        <v/>
      </c>
      <c r="X852" t="n">
        <v>166.9061</v>
      </c>
      <c r="Y852" t="n">
        <v/>
      </c>
      <c r="Z852" t="n">
        <v/>
      </c>
      <c r="AA852" t="n">
        <v>177.5413</v>
      </c>
      <c r="AB852" t="n">
        <v/>
      </c>
      <c r="AC852" t="n">
        <v/>
      </c>
      <c r="AD852" t="n">
        <v>177.2444</v>
      </c>
      <c r="AE852" t="n">
        <v>150.8331</v>
      </c>
    </row>
    <row r="853">
      <c r="A853" s="89" t="n">
        <v>44531</v>
      </c>
      <c r="B853" t="n">
        <v>147.9761</v>
      </c>
      <c r="C853" t="n">
        <v/>
      </c>
      <c r="D853" t="n">
        <v>163.4316</v>
      </c>
      <c r="E853" t="n">
        <v/>
      </c>
      <c r="F853" t="n">
        <v/>
      </c>
      <c r="G853" t="n">
        <v/>
      </c>
      <c r="H853" t="n">
        <v>173.7638</v>
      </c>
      <c r="I853" t="n">
        <v>142.3468</v>
      </c>
      <c r="J853" t="n">
        <v>164.1339</v>
      </c>
      <c r="K853" t="n">
        <v/>
      </c>
      <c r="L853" t="n">
        <v>145.8371</v>
      </c>
      <c r="M853" t="n">
        <v>147.2397</v>
      </c>
      <c r="N853" t="n">
        <v>203.0858</v>
      </c>
      <c r="O853" t="n">
        <v/>
      </c>
      <c r="P853" t="n">
        <v/>
      </c>
      <c r="Q853" t="n">
        <v>134.7799</v>
      </c>
      <c r="R853" t="n">
        <v>179.7892</v>
      </c>
      <c r="S853" t="n">
        <v>125.3068</v>
      </c>
      <c r="T853" t="n">
        <v>164.0382</v>
      </c>
      <c r="U853" t="n">
        <v/>
      </c>
      <c r="V853" t="n">
        <v>153.5463</v>
      </c>
      <c r="W853" t="n">
        <v/>
      </c>
      <c r="X853" t="n">
        <v>167.9295</v>
      </c>
      <c r="Y853" t="n">
        <v/>
      </c>
      <c r="Z853" t="n">
        <v/>
      </c>
      <c r="AA853" t="n">
        <v>180.2263</v>
      </c>
      <c r="AB853" t="n">
        <v/>
      </c>
      <c r="AC853" t="n">
        <v/>
      </c>
      <c r="AD853" t="n">
        <v>178.4117</v>
      </c>
      <c r="AE853" t="n">
        <v>152.4504</v>
      </c>
    </row>
    <row r="854">
      <c r="A854" s="89" t="n">
        <v>44562</v>
      </c>
      <c r="B854" t="n">
        <v>149.1556</v>
      </c>
      <c r="C854" t="n">
        <v/>
      </c>
      <c r="D854" t="n">
        <v>164.9759</v>
      </c>
      <c r="E854" t="n">
        <v/>
      </c>
      <c r="F854" t="n">
        <v/>
      </c>
      <c r="G854" t="n">
        <v/>
      </c>
      <c r="H854" t="n">
        <v>176.5375</v>
      </c>
      <c r="I854" t="n">
        <v>142.9167</v>
      </c>
      <c r="J854" t="n">
        <v>163.8779</v>
      </c>
      <c r="K854" t="n">
        <v/>
      </c>
      <c r="L854" t="n">
        <v>146.1608</v>
      </c>
      <c r="M854" t="n">
        <v>146.9061</v>
      </c>
      <c r="N854" t="n">
        <v>204.9187</v>
      </c>
      <c r="O854" t="n">
        <v/>
      </c>
      <c r="P854" t="n">
        <v/>
      </c>
      <c r="Q854" t="n">
        <v>135.8952</v>
      </c>
      <c r="R854" t="n">
        <v>180.9643</v>
      </c>
      <c r="S854" t="n">
        <v>125.7226</v>
      </c>
      <c r="T854" t="n">
        <v>165.025</v>
      </c>
      <c r="U854" t="n">
        <v/>
      </c>
      <c r="V854" t="n">
        <v>155.042</v>
      </c>
      <c r="W854" t="n">
        <v/>
      </c>
      <c r="X854" t="n">
        <v>168.9725</v>
      </c>
      <c r="Y854" t="n">
        <v/>
      </c>
      <c r="Z854" t="n">
        <v/>
      </c>
      <c r="AA854" t="n">
        <v>183.3166</v>
      </c>
      <c r="AB854" t="n">
        <v/>
      </c>
      <c r="AC854" t="n">
        <v/>
      </c>
      <c r="AD854" t="n">
        <v>179.7376</v>
      </c>
      <c r="AE854" t="n">
        <v>152.8845</v>
      </c>
    </row>
    <row r="855">
      <c r="A855" s="89" t="n">
        <v>44593</v>
      </c>
      <c r="B855" t="n">
        <v>149.3742</v>
      </c>
      <c r="C855" t="n">
        <v/>
      </c>
      <c r="D855" t="n">
        <v>166.0891</v>
      </c>
      <c r="E855" t="n">
        <v/>
      </c>
      <c r="F855" t="n">
        <v/>
      </c>
      <c r="G855" t="n">
        <v/>
      </c>
      <c r="H855" t="n">
        <v>177.2848</v>
      </c>
      <c r="I855" t="n">
        <v>143.4866</v>
      </c>
      <c r="J855" t="n">
        <v>166.2576</v>
      </c>
      <c r="K855" t="n">
        <v/>
      </c>
      <c r="L855" t="n">
        <v>146.2788</v>
      </c>
      <c r="M855" t="n">
        <v>147.5747</v>
      </c>
      <c r="N855" t="n">
        <v>207.455</v>
      </c>
      <c r="O855" t="n">
        <v/>
      </c>
      <c r="P855" t="n">
        <v/>
      </c>
      <c r="Q855" t="n">
        <v>136.9415</v>
      </c>
      <c r="R855" t="n">
        <v>181.9192</v>
      </c>
      <c r="S855" t="n">
        <v>126.0626</v>
      </c>
      <c r="T855" t="n">
        <v>165.9249</v>
      </c>
      <c r="U855" t="n">
        <v/>
      </c>
      <c r="V855" t="n">
        <v>155.4367</v>
      </c>
      <c r="W855" t="n">
        <v/>
      </c>
      <c r="X855" t="n">
        <v>169.5606</v>
      </c>
      <c r="Y855" t="n">
        <v/>
      </c>
      <c r="Z855" t="n">
        <v/>
      </c>
      <c r="AA855" t="n">
        <v>185.8211</v>
      </c>
      <c r="AB855" t="n">
        <v/>
      </c>
      <c r="AC855" t="n">
        <v/>
      </c>
      <c r="AD855" t="n">
        <v>180.2257</v>
      </c>
      <c r="AE855" t="n">
        <v>153.6726</v>
      </c>
    </row>
    <row r="856">
      <c r="A856" s="89" t="n">
        <v>44621</v>
      </c>
      <c r="B856" t="n">
        <v>150.1698</v>
      </c>
      <c r="C856" t="n">
        <v/>
      </c>
      <c r="D856" t="n">
        <v>166.8028</v>
      </c>
      <c r="E856" t="n">
        <v/>
      </c>
      <c r="F856" t="n">
        <v/>
      </c>
      <c r="G856" t="n">
        <v/>
      </c>
      <c r="H856" t="n">
        <v>178.3855</v>
      </c>
      <c r="I856" t="n">
        <v>144.0565</v>
      </c>
      <c r="J856" t="n">
        <v>167.8531</v>
      </c>
      <c r="K856" t="n">
        <v/>
      </c>
      <c r="L856" t="n">
        <v>146.9478</v>
      </c>
      <c r="M856" t="n">
        <v>149.238</v>
      </c>
      <c r="N856" t="n">
        <v>210.1499</v>
      </c>
      <c r="O856" t="n">
        <v/>
      </c>
      <c r="P856" t="n">
        <v/>
      </c>
      <c r="Q856" t="n">
        <v>137.9128</v>
      </c>
      <c r="R856" t="n">
        <v>182.5037</v>
      </c>
      <c r="S856" t="n">
        <v>126.3712</v>
      </c>
      <c r="T856" t="n">
        <v>166.2056</v>
      </c>
      <c r="U856" t="n">
        <v/>
      </c>
      <c r="V856" t="n">
        <v>156.2796</v>
      </c>
      <c r="W856" t="n">
        <v/>
      </c>
      <c r="X856" t="n">
        <v>170.0805</v>
      </c>
      <c r="Y856" t="n">
        <v/>
      </c>
      <c r="Z856" t="n">
        <v/>
      </c>
      <c r="AA856" t="n">
        <v>188.7562</v>
      </c>
      <c r="AB856" t="n">
        <v/>
      </c>
      <c r="AC856" t="n">
        <v/>
      </c>
      <c r="AD856" t="n">
        <v>180.4856</v>
      </c>
      <c r="AE856" t="n">
        <v>155.638</v>
      </c>
    </row>
    <row r="857">
      <c r="A857" s="89" t="n">
        <v>44652</v>
      </c>
      <c r="B857" t="n">
        <v>151.1644</v>
      </c>
      <c r="C857" t="n">
        <v/>
      </c>
      <c r="D857" t="n">
        <v>168.2473</v>
      </c>
      <c r="E857" t="n">
        <v/>
      </c>
      <c r="F857" t="n">
        <v/>
      </c>
      <c r="G857" t="n">
        <v/>
      </c>
      <c r="H857" t="n">
        <v>180.2087</v>
      </c>
      <c r="I857" t="n">
        <v>144.6265</v>
      </c>
      <c r="J857" t="n">
        <v>168.4131</v>
      </c>
      <c r="K857" t="n">
        <v/>
      </c>
      <c r="L857" t="n">
        <v>147.9862</v>
      </c>
      <c r="M857" t="n">
        <v>149.763</v>
      </c>
      <c r="N857" t="n">
        <v>212.1145</v>
      </c>
      <c r="O857" t="n">
        <v/>
      </c>
      <c r="P857" t="n">
        <v/>
      </c>
      <c r="Q857" t="n">
        <v>138.9374</v>
      </c>
      <c r="R857" t="n">
        <v>182.6375</v>
      </c>
      <c r="S857" t="n">
        <v>126.7354</v>
      </c>
      <c r="T857" t="n">
        <v>166.5137</v>
      </c>
      <c r="U857" t="n">
        <v/>
      </c>
      <c r="V857" t="n">
        <v>158.0418</v>
      </c>
      <c r="W857" t="n">
        <v/>
      </c>
      <c r="X857" t="n">
        <v>169.9895</v>
      </c>
      <c r="Y857" t="n">
        <v/>
      </c>
      <c r="Z857" t="n">
        <v/>
      </c>
      <c r="AA857" t="n">
        <v>190.5344</v>
      </c>
      <c r="AB857" t="n">
        <v/>
      </c>
      <c r="AC857" t="n">
        <v/>
      </c>
      <c r="AD857" t="n">
        <v>179.6927</v>
      </c>
      <c r="AE857" t="n">
        <v>156.417</v>
      </c>
    </row>
    <row r="858">
      <c r="A858" s="89" t="n">
        <v>44682</v>
      </c>
      <c r="B858" t="n">
        <v>152.1759</v>
      </c>
      <c r="C858" t="n">
        <v/>
      </c>
      <c r="D858" t="n">
        <v>169.4483</v>
      </c>
      <c r="E858" t="n">
        <v/>
      </c>
      <c r="F858" t="n">
        <v/>
      </c>
      <c r="G858" t="n">
        <v/>
      </c>
      <c r="H858" t="n">
        <v>181.753</v>
      </c>
      <c r="I858" t="n">
        <v>145.1964</v>
      </c>
      <c r="J858" t="n">
        <v>169.6828</v>
      </c>
      <c r="K858" t="n">
        <v/>
      </c>
      <c r="L858" t="n">
        <v>148.7603</v>
      </c>
      <c r="M858" t="n">
        <v>149.46</v>
      </c>
      <c r="N858" t="n">
        <v>214.6976</v>
      </c>
      <c r="O858" t="n">
        <v/>
      </c>
      <c r="P858" t="n">
        <v/>
      </c>
      <c r="Q858" t="n">
        <v>139.9349</v>
      </c>
      <c r="R858" t="n">
        <v>184.3971</v>
      </c>
      <c r="S858" t="n">
        <v>126.7784</v>
      </c>
      <c r="T858" t="n">
        <v>167.6557</v>
      </c>
      <c r="U858" t="n">
        <v/>
      </c>
      <c r="V858" t="n">
        <v>158.9781</v>
      </c>
      <c r="W858" t="n">
        <v/>
      </c>
      <c r="X858" t="n">
        <v>170.2597</v>
      </c>
      <c r="Y858" t="n">
        <v/>
      </c>
      <c r="Z858" t="n">
        <v/>
      </c>
      <c r="AA858" t="n">
        <v>189.3</v>
      </c>
      <c r="AB858" t="n">
        <v/>
      </c>
      <c r="AC858" t="n">
        <v/>
      </c>
      <c r="AD858" t="n">
        <v>179.7343</v>
      </c>
      <c r="AE858" t="n">
        <v>156.0298</v>
      </c>
    </row>
    <row r="859">
      <c r="A859" s="89" t="n">
        <v>44713</v>
      </c>
      <c r="B859" t="n">
        <v>153.4758</v>
      </c>
      <c r="C859" t="n">
        <v/>
      </c>
      <c r="D859" t="n">
        <v>170.4432</v>
      </c>
      <c r="E859" t="n">
        <v/>
      </c>
      <c r="F859" t="n">
        <v/>
      </c>
      <c r="G859" t="n">
        <v/>
      </c>
      <c r="H859" t="n">
        <v>183.7608</v>
      </c>
      <c r="I859" t="n">
        <v>145.7663</v>
      </c>
      <c r="J859" t="n">
        <v>170.5555</v>
      </c>
      <c r="K859" t="n">
        <v/>
      </c>
      <c r="L859" t="n">
        <v>149.3738</v>
      </c>
      <c r="M859" t="n">
        <v>149.9307</v>
      </c>
      <c r="N859" t="n">
        <v>217.414</v>
      </c>
      <c r="O859" t="n">
        <v/>
      </c>
      <c r="P859" t="n">
        <v/>
      </c>
      <c r="Q859" t="n">
        <v>140.6426</v>
      </c>
      <c r="R859" t="n">
        <v>186.3001</v>
      </c>
      <c r="S859" t="n">
        <v>127.1975</v>
      </c>
      <c r="T859" t="n">
        <v>168.3754</v>
      </c>
      <c r="U859" t="n">
        <v/>
      </c>
      <c r="V859" t="n">
        <v>160.0662</v>
      </c>
      <c r="W859" t="n">
        <v/>
      </c>
      <c r="X859" t="n">
        <v>170.4509</v>
      </c>
      <c r="Y859" t="n">
        <v/>
      </c>
      <c r="Z859" t="n">
        <v/>
      </c>
      <c r="AA859" t="n">
        <v>187.7094</v>
      </c>
      <c r="AB859" t="n">
        <v/>
      </c>
      <c r="AC859" t="n">
        <v/>
      </c>
      <c r="AD859" t="n">
        <v>179.3889</v>
      </c>
      <c r="AE859" t="n">
        <v>156.3336</v>
      </c>
    </row>
    <row r="860">
      <c r="A860" s="89" t="n">
        <v>44743</v>
      </c>
      <c r="B860" t="n">
        <v>154.4956</v>
      </c>
      <c r="C860" t="n">
        <v/>
      </c>
      <c r="D860" t="n">
        <v>171.9078</v>
      </c>
      <c r="E860" t="n">
        <v/>
      </c>
      <c r="F860" t="n">
        <v/>
      </c>
      <c r="G860" t="n">
        <v/>
      </c>
      <c r="H860" t="n">
        <v>186.0684</v>
      </c>
      <c r="I860" t="n">
        <v>146.3363</v>
      </c>
      <c r="J860" t="n">
        <v>170.6628</v>
      </c>
      <c r="K860" t="n">
        <v/>
      </c>
      <c r="L860" t="n">
        <v>150.3367</v>
      </c>
      <c r="M860" t="n">
        <v>150.6778</v>
      </c>
      <c r="N860" t="n">
        <v>222.0676</v>
      </c>
      <c r="O860" t="n">
        <v/>
      </c>
      <c r="P860" t="n">
        <v/>
      </c>
      <c r="Q860" t="n">
        <v>141.2058</v>
      </c>
      <c r="R860" t="n">
        <v>187.776</v>
      </c>
      <c r="S860" t="n">
        <v>127.5477</v>
      </c>
      <c r="T860" t="n">
        <v>168.7211</v>
      </c>
      <c r="U860" t="n">
        <v/>
      </c>
      <c r="V860" t="n">
        <v>160.6782</v>
      </c>
      <c r="W860" t="n">
        <v/>
      </c>
      <c r="X860" t="n">
        <v>170.9561</v>
      </c>
      <c r="Y860" t="n">
        <v/>
      </c>
      <c r="Z860" t="n">
        <v/>
      </c>
      <c r="AA860" t="n">
        <v>185.9508</v>
      </c>
      <c r="AB860" t="n">
        <v/>
      </c>
      <c r="AC860" t="n">
        <v/>
      </c>
      <c r="AD860" t="n">
        <v>179.6255</v>
      </c>
      <c r="AE860" t="n">
        <v>157.7766</v>
      </c>
    </row>
    <row r="861">
      <c r="A861" s="89" t="n">
        <v>44774</v>
      </c>
      <c r="B861" t="n">
        <v>155.0868</v>
      </c>
      <c r="C861" t="n">
        <v/>
      </c>
      <c r="D861" t="n">
        <v>172.6662</v>
      </c>
      <c r="E861" t="n">
        <v/>
      </c>
      <c r="F861" t="n">
        <v/>
      </c>
      <c r="G861" t="n">
        <v/>
      </c>
      <c r="H861" t="n">
        <v>188.1503</v>
      </c>
      <c r="I861" t="n">
        <v>146.9062</v>
      </c>
      <c r="J861" t="n">
        <v>171.4475</v>
      </c>
      <c r="K861" t="n">
        <v/>
      </c>
      <c r="L861" t="n">
        <v>151.2624</v>
      </c>
      <c r="M861" t="n">
        <v>151.3877</v>
      </c>
      <c r="N861" t="n">
        <v>226.7787</v>
      </c>
      <c r="O861" t="n">
        <v/>
      </c>
      <c r="P861" t="n">
        <v/>
      </c>
      <c r="Q861" t="n">
        <v>141.8417</v>
      </c>
      <c r="R861" t="n">
        <v>188.0777</v>
      </c>
      <c r="S861" t="n">
        <v>127.8377</v>
      </c>
      <c r="T861" t="n">
        <v>169.5486</v>
      </c>
      <c r="U861" t="n">
        <v/>
      </c>
      <c r="V861" t="n">
        <v>160.8535</v>
      </c>
      <c r="W861" t="n">
        <v/>
      </c>
      <c r="X861" t="n">
        <v>171.2689</v>
      </c>
      <c r="Y861" t="n">
        <v/>
      </c>
      <c r="Z861" t="n">
        <v/>
      </c>
      <c r="AA861" t="n">
        <v>187.7464</v>
      </c>
      <c r="AB861" t="n">
        <v/>
      </c>
      <c r="AC861" t="n">
        <v/>
      </c>
      <c r="AD861" t="n">
        <v>179.5939</v>
      </c>
      <c r="AE861" t="n">
        <v>159.7533</v>
      </c>
    </row>
    <row r="862">
      <c r="A862" s="89" t="n">
        <v>44805</v>
      </c>
      <c r="B862" t="n">
        <v>155.2885</v>
      </c>
      <c r="C862" t="n">
        <v/>
      </c>
      <c r="D862" t="n">
        <v>174.313</v>
      </c>
      <c r="E862" t="n">
        <v/>
      </c>
      <c r="F862" t="n">
        <v/>
      </c>
      <c r="G862" t="n">
        <v/>
      </c>
      <c r="H862" t="n">
        <v>189.9071</v>
      </c>
      <c r="I862" t="n">
        <v>147.4761</v>
      </c>
      <c r="J862" t="n">
        <v>172.244</v>
      </c>
      <c r="K862" t="n">
        <v/>
      </c>
      <c r="L862" t="n">
        <v>152.1181</v>
      </c>
      <c r="M862" t="n">
        <v>154.2794</v>
      </c>
      <c r="N862" t="n">
        <v>228.5552</v>
      </c>
      <c r="O862" t="n">
        <v/>
      </c>
      <c r="P862" t="n">
        <v/>
      </c>
      <c r="Q862" t="n">
        <v>142.536</v>
      </c>
      <c r="R862" t="n">
        <v/>
      </c>
      <c r="S862" t="n">
        <v>127.9569</v>
      </c>
      <c r="T862" t="n">
        <v>170.0036</v>
      </c>
      <c r="U862" t="n">
        <v/>
      </c>
      <c r="V862" t="n">
        <v>163.0558</v>
      </c>
      <c r="W862" t="n">
        <v/>
      </c>
      <c r="X862" t="n">
        <v>171.2033</v>
      </c>
      <c r="Y862" t="n">
        <v/>
      </c>
      <c r="Z862" t="n">
        <v/>
      </c>
      <c r="AA862" t="n">
        <v>192.5564</v>
      </c>
      <c r="AB862" t="n">
        <v/>
      </c>
      <c r="AC862" t="n">
        <v/>
      </c>
      <c r="AD862" t="n">
        <v>178.5246</v>
      </c>
      <c r="AE862" t="n">
        <v>161.4787</v>
      </c>
    </row>
    <row r="863">
      <c r="A863" s="89" t="n">
        <v>44835</v>
      </c>
      <c r="B863" t="n">
        <v>155.8264</v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>191.3671</v>
      </c>
      <c r="I863" t="n">
        <v>148.0461</v>
      </c>
      <c r="J863" t="n">
        <v>173.1313</v>
      </c>
      <c r="K863" t="n">
        <v/>
      </c>
      <c r="L863" t="n">
        <v>152.2752</v>
      </c>
      <c r="M863" t="n">
        <v>155.6782</v>
      </c>
      <c r="N863" t="n">
        <v>227.2654</v>
      </c>
      <c r="O863" t="n">
        <v/>
      </c>
      <c r="P863" t="n">
        <v/>
      </c>
      <c r="Q863" t="n">
        <v>143.2231</v>
      </c>
      <c r="R863" t="n">
        <v/>
      </c>
      <c r="S863" t="n">
        <v>128.0672</v>
      </c>
      <c r="T863" t="n">
        <v/>
      </c>
      <c r="U863" t="n">
        <v/>
      </c>
      <c r="V863" t="n">
        <v>163.265</v>
      </c>
      <c r="W863" t="n">
        <v/>
      </c>
      <c r="X863" t="n">
        <v/>
      </c>
      <c r="Y863" t="n">
        <v/>
      </c>
      <c r="Z863" t="n">
        <v/>
      </c>
      <c r="AA863" t="n">
        <v>194.2675</v>
      </c>
      <c r="AB863" t="n">
        <v/>
      </c>
      <c r="AC863" t="n">
        <v/>
      </c>
      <c r="AD863" t="n">
        <v>177.7915</v>
      </c>
      <c r="AE863" t="n">
        <v>163.1199</v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130" zoomScaleNormal="130" workbookViewId="0">
      <pane ySplit="1" topLeftCell="A11" activePane="bottomLeft" state="frozen"/>
      <selection pane="bottomLeft" activeCell="M30" sqref="M30"/>
    </sheetView>
  </sheetViews>
  <sheetFormatPr baseColWidth="8" defaultColWidth="10.90625" defaultRowHeight="14.5"/>
  <cols>
    <col width="18.453125" customWidth="1" min="3" max="3"/>
  </cols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10551359</v>
      </c>
      <c r="C2" s="90" t="n">
        <v>44835</v>
      </c>
      <c r="D2" t="n">
        <v>10325169</v>
      </c>
      <c r="E2" t="inlineStr">
        <is>
          <t>ARS Million</t>
        </is>
      </c>
    </row>
    <row r="3">
      <c r="A3" t="inlineStr">
        <is>
          <t>Brazil</t>
        </is>
      </c>
      <c r="B3" t="n">
        <v>4857064</v>
      </c>
      <c r="C3" s="90" t="n">
        <v>44835</v>
      </c>
      <c r="D3" t="n">
        <v>4795425</v>
      </c>
      <c r="E3" t="inlineStr">
        <is>
          <t>BRL Million</t>
        </is>
      </c>
    </row>
    <row r="4">
      <c r="A4" t="inlineStr">
        <is>
          <t>Canada</t>
        </is>
      </c>
      <c r="B4" t="n">
        <v>2376916</v>
      </c>
      <c r="C4" s="90" t="n">
        <v>44835</v>
      </c>
      <c r="D4" t="n">
        <v>2374338</v>
      </c>
      <c r="E4" t="inlineStr">
        <is>
          <t>CAD Million</t>
        </is>
      </c>
    </row>
    <row r="5">
      <c r="A5" t="inlineStr">
        <is>
          <t>China</t>
        </is>
      </c>
      <c r="B5" t="n">
        <v>264700</v>
      </c>
      <c r="C5" s="90" t="n">
        <v>44866</v>
      </c>
      <c r="D5" t="n">
        <v>261291</v>
      </c>
      <c r="E5" t="inlineStr">
        <is>
          <t>CNY Billion</t>
        </is>
      </c>
    </row>
    <row r="6">
      <c r="A6" t="inlineStr">
        <is>
          <t>Euro Area</t>
        </is>
      </c>
      <c r="B6" t="n">
        <v>15331588</v>
      </c>
      <c r="C6" s="90" t="n">
        <v>44866</v>
      </c>
      <c r="D6" t="n">
        <v>15376923</v>
      </c>
      <c r="E6" t="inlineStr">
        <is>
          <t>EUR Million</t>
        </is>
      </c>
    </row>
    <row r="7">
      <c r="A7" t="inlineStr">
        <is>
          <t>France</t>
        </is>
      </c>
      <c r="B7" t="n">
        <v>3002201</v>
      </c>
      <c r="C7" s="90" t="n">
        <v>44805</v>
      </c>
      <c r="D7" t="n">
        <v>3013596</v>
      </c>
      <c r="E7" t="inlineStr">
        <is>
          <t>EUR Million</t>
        </is>
      </c>
    </row>
    <row r="8">
      <c r="A8" t="inlineStr">
        <is>
          <t>Germany</t>
        </is>
      </c>
      <c r="B8" t="n">
        <v>3811</v>
      </c>
      <c r="C8" s="90" t="n">
        <v>44835</v>
      </c>
      <c r="D8" t="n">
        <v>3809</v>
      </c>
      <c r="E8" t="inlineStr">
        <is>
          <t>EUR Billion</t>
        </is>
      </c>
    </row>
    <row r="9">
      <c r="A9" t="inlineStr">
        <is>
          <t>India</t>
        </is>
      </c>
      <c r="B9" t="n">
        <v>55439</v>
      </c>
      <c r="C9" s="90" t="n">
        <v>44866</v>
      </c>
      <c r="D9" t="n">
        <v>55296</v>
      </c>
      <c r="E9" t="inlineStr">
        <is>
          <t>INR Billion</t>
        </is>
      </c>
    </row>
    <row r="10">
      <c r="A10" t="inlineStr">
        <is>
          <t>Indonesia</t>
        </is>
      </c>
      <c r="B10" t="n">
        <v>8296100</v>
      </c>
      <c r="C10" s="90" t="n">
        <v>44866</v>
      </c>
      <c r="D10" t="n">
        <v>8222200</v>
      </c>
      <c r="E10" t="inlineStr">
        <is>
          <t>IDR Billion</t>
        </is>
      </c>
    </row>
    <row r="11">
      <c r="A11" t="inlineStr">
        <is>
          <t>Italy</t>
        </is>
      </c>
      <c r="B11" t="n">
        <v>1916025</v>
      </c>
      <c r="C11" s="90" t="n">
        <v>44835</v>
      </c>
      <c r="D11" t="n">
        <v>1919341</v>
      </c>
      <c r="E11" t="inlineStr">
        <is>
          <t>EUR Million</t>
        </is>
      </c>
    </row>
    <row r="12">
      <c r="A12" t="inlineStr">
        <is>
          <t>Japan</t>
        </is>
      </c>
      <c r="B12" t="n">
        <v>1212510</v>
      </c>
      <c r="C12" s="90" t="n">
        <v>44866</v>
      </c>
      <c r="D12" t="n">
        <v>1206399</v>
      </c>
      <c r="E12" t="inlineStr">
        <is>
          <t>JPY Billion</t>
        </is>
      </c>
    </row>
    <row r="13">
      <c r="A13" t="inlineStr">
        <is>
          <t>Mexico</t>
        </is>
      </c>
      <c r="B13" t="n">
        <v>12024087625</v>
      </c>
      <c r="C13" s="90" t="n">
        <v>44835</v>
      </c>
      <c r="D13" t="n">
        <v>11857554926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1148697</v>
      </c>
      <c r="C14" s="90" t="n">
        <v>44835</v>
      </c>
      <c r="D14" t="n">
        <v>1155044</v>
      </c>
      <c r="E14" t="inlineStr">
        <is>
          <t>EUR Million</t>
        </is>
      </c>
    </row>
    <row r="15">
      <c r="A15" t="inlineStr">
        <is>
          <t>Russia</t>
        </is>
      </c>
      <c r="B15" t="n">
        <v>76873</v>
      </c>
      <c r="C15" s="90" t="n">
        <v>44866</v>
      </c>
      <c r="D15" t="n">
        <v>75636</v>
      </c>
      <c r="E15" t="inlineStr">
        <is>
          <t>RUB Billion</t>
        </is>
      </c>
    </row>
    <row r="16">
      <c r="A16" t="inlineStr">
        <is>
          <t>Saudi Arabia</t>
        </is>
      </c>
      <c r="B16" t="n">
        <v>2161035</v>
      </c>
      <c r="C16" s="90" t="n">
        <v>44866</v>
      </c>
      <c r="D16" t="n">
        <v>2133403</v>
      </c>
      <c r="E16" t="inlineStr">
        <is>
          <t>SAR Million</t>
        </is>
      </c>
    </row>
    <row r="17">
      <c r="A17" t="inlineStr">
        <is>
          <t>Singapore</t>
        </is>
      </c>
      <c r="B17" t="n">
        <v>745134</v>
      </c>
      <c r="C17" s="90" t="n">
        <v>44835</v>
      </c>
      <c r="D17" t="n">
        <v>751096</v>
      </c>
      <c r="E17" t="inlineStr">
        <is>
          <t>SGD Million</t>
        </is>
      </c>
    </row>
    <row r="18">
      <c r="A18" t="inlineStr">
        <is>
          <t>South Africa</t>
        </is>
      </c>
      <c r="B18" t="n">
        <v>3858603</v>
      </c>
      <c r="C18" s="90" t="n">
        <v>44835</v>
      </c>
      <c r="D18" t="n">
        <v>3828429</v>
      </c>
      <c r="E18" t="inlineStr">
        <is>
          <t>ZAR Million</t>
        </is>
      </c>
    </row>
    <row r="19">
      <c r="A19" t="inlineStr">
        <is>
          <t>South Korea</t>
        </is>
      </c>
      <c r="B19" t="n">
        <v>3768318</v>
      </c>
      <c r="C19" s="90" t="n">
        <v>44835</v>
      </c>
      <c r="D19" t="n">
        <v>3745708</v>
      </c>
      <c r="E19" t="inlineStr">
        <is>
          <t>KRW Billion</t>
        </is>
      </c>
    </row>
    <row r="20">
      <c r="A20" t="inlineStr">
        <is>
          <t>Spain</t>
        </is>
      </c>
      <c r="B20" t="n">
        <v>1498333</v>
      </c>
      <c r="C20" s="90" t="n">
        <v>44835</v>
      </c>
      <c r="D20" t="n">
        <v>1504468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1079997</v>
      </c>
      <c r="C21" s="90" t="n">
        <v>44866</v>
      </c>
      <c r="D21" t="n">
        <v>1076445</v>
      </c>
      <c r="E21" t="inlineStr">
        <is>
          <t>CHF Million</t>
        </is>
      </c>
    </row>
    <row r="22">
      <c r="A22" t="inlineStr">
        <is>
          <t>Turkey</t>
        </is>
      </c>
      <c r="B22" t="n">
        <v>7935821565</v>
      </c>
      <c r="C22" s="90" t="n">
        <v>44866</v>
      </c>
      <c r="D22" t="n">
        <v>7729695772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3133801</v>
      </c>
      <c r="C23" s="90" t="n">
        <v>44835</v>
      </c>
      <c r="D23" t="n">
        <v>3213819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21415</v>
      </c>
      <c r="C24" s="90" t="n">
        <v>44835</v>
      </c>
      <c r="D24" t="n">
        <v>21503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6"/>
  <sheetViews>
    <sheetView zoomScale="130" zoomScaleNormal="130" workbookViewId="0">
      <pane ySplit="11" topLeftCell="A241" activePane="bottomLeft" state="frozen"/>
      <selection pane="bottomLeft" activeCell="E270" sqref="E270"/>
    </sheetView>
  </sheetViews>
  <sheetFormatPr baseColWidth="8" defaultColWidth="8.81640625" defaultRowHeight="14.5"/>
  <cols>
    <col width="26.36328125" customWidth="1" min="1" max="1"/>
    <col width="22" customWidth="1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>
      <c r="A11" s="64" t="inlineStr">
        <is>
          <t>Date</t>
        </is>
      </c>
      <c r="B11" s="69" t="inlineStr">
        <is>
          <t>Velocity of M2 Money Stock, Ratio, Quarterly, Seasonally Adjusted</t>
        </is>
      </c>
    </row>
    <row r="12">
      <c r="A12" s="67" t="n">
        <v>21551</v>
      </c>
      <c r="B12" s="65">
        <f>VLOOKUP(Table1[[#This Row],[Date]],'DB Money Supply'!$A:$F,6)</f>
        <v/>
      </c>
    </row>
    <row r="13">
      <c r="A13" s="67" t="n">
        <v>21641</v>
      </c>
      <c r="B13" s="65">
        <f>VLOOKUP(Table1[[#This Row],[Date]],'DB Money Supply'!$A:$F,6)</f>
        <v/>
      </c>
    </row>
    <row r="14">
      <c r="A14" s="67" t="n">
        <v>21732</v>
      </c>
      <c r="B14" s="65">
        <f>VLOOKUP(Table1[[#This Row],[Date]],'DB Money Supply'!$A:$F,6)</f>
        <v/>
      </c>
    </row>
    <row r="15">
      <c r="A15" s="67" t="n">
        <v>21824</v>
      </c>
      <c r="B15" s="65">
        <f>VLOOKUP(Table1[[#This Row],[Date]],'DB Money Supply'!$A:$F,6)</f>
        <v/>
      </c>
    </row>
    <row r="16">
      <c r="A16" s="67" t="n">
        <v>21916</v>
      </c>
      <c r="B16" s="65">
        <f>VLOOKUP(Table1[[#This Row],[Date]],'DB Money Supply'!$A:$F,6)</f>
        <v/>
      </c>
    </row>
    <row r="17">
      <c r="A17" s="67" t="n">
        <v>22007</v>
      </c>
      <c r="B17" s="65">
        <f>VLOOKUP(Table1[[#This Row],[Date]],'DB Money Supply'!$A:$F,6)</f>
        <v/>
      </c>
    </row>
    <row r="18">
      <c r="A18" s="67" t="n">
        <v>22098</v>
      </c>
      <c r="B18" s="65">
        <f>VLOOKUP(Table1[[#This Row],[Date]],'DB Money Supply'!$A:$F,6)</f>
        <v/>
      </c>
    </row>
    <row r="19">
      <c r="A19" s="67" t="n">
        <v>22190</v>
      </c>
      <c r="B19" s="65">
        <f>VLOOKUP(Table1[[#This Row],[Date]],'DB Money Supply'!$A:$F,6)</f>
        <v/>
      </c>
    </row>
    <row r="20">
      <c r="A20" s="67" t="n">
        <v>22282</v>
      </c>
      <c r="B20" s="65">
        <f>VLOOKUP(Table1[[#This Row],[Date]],'DB Money Supply'!$A:$F,6)</f>
        <v/>
      </c>
    </row>
    <row r="21">
      <c r="A21" s="67" t="n">
        <v>22372</v>
      </c>
      <c r="B21" s="65">
        <f>VLOOKUP(Table1[[#This Row],[Date]],'DB Money Supply'!$A:$F,6)</f>
        <v/>
      </c>
    </row>
    <row r="22">
      <c r="A22" s="67" t="n">
        <v>22463</v>
      </c>
      <c r="B22" s="65">
        <f>VLOOKUP(Table1[[#This Row],[Date]],'DB Money Supply'!$A:$F,6)</f>
        <v/>
      </c>
    </row>
    <row r="23">
      <c r="A23" s="67" t="n">
        <v>22555</v>
      </c>
      <c r="B23" s="65">
        <f>VLOOKUP(Table1[[#This Row],[Date]],'DB Money Supply'!$A:$F,6)</f>
        <v/>
      </c>
    </row>
    <row r="24">
      <c r="A24" s="67" t="n">
        <v>22647</v>
      </c>
      <c r="B24" s="65">
        <f>VLOOKUP(Table1[[#This Row],[Date]],'DB Money Supply'!$A:$F,6)</f>
        <v/>
      </c>
    </row>
    <row r="25">
      <c r="A25" s="67" t="n">
        <v>22737</v>
      </c>
      <c r="B25" s="65">
        <f>VLOOKUP(Table1[[#This Row],[Date]],'DB Money Supply'!$A:$F,6)</f>
        <v/>
      </c>
    </row>
    <row r="26">
      <c r="A26" s="67" t="n">
        <v>22828</v>
      </c>
      <c r="B26" s="65">
        <f>VLOOKUP(Table1[[#This Row],[Date]],'DB Money Supply'!$A:$F,6)</f>
        <v/>
      </c>
    </row>
    <row r="27">
      <c r="A27" s="67" t="n">
        <v>22920</v>
      </c>
      <c r="B27" s="65">
        <f>VLOOKUP(Table1[[#This Row],[Date]],'DB Money Supply'!$A:$F,6)</f>
        <v/>
      </c>
    </row>
    <row r="28">
      <c r="A28" s="67" t="n">
        <v>23012</v>
      </c>
      <c r="B28" s="65">
        <f>VLOOKUP(Table1[[#This Row],[Date]],'DB Money Supply'!$A:$F,6)</f>
        <v/>
      </c>
    </row>
    <row r="29">
      <c r="A29" s="67" t="n">
        <v>23102</v>
      </c>
      <c r="B29" s="65">
        <f>VLOOKUP(Table1[[#This Row],[Date]],'DB Money Supply'!$A:$F,6)</f>
        <v/>
      </c>
    </row>
    <row r="30">
      <c r="A30" s="67" t="n">
        <v>23193</v>
      </c>
      <c r="B30" s="65">
        <f>VLOOKUP(Table1[[#This Row],[Date]],'DB Money Supply'!$A:$F,6)</f>
        <v/>
      </c>
    </row>
    <row r="31">
      <c r="A31" s="67" t="n">
        <v>23285</v>
      </c>
      <c r="B31" s="65">
        <f>VLOOKUP(Table1[[#This Row],[Date]],'DB Money Supply'!$A:$F,6)</f>
        <v/>
      </c>
    </row>
    <row r="32">
      <c r="A32" s="67" t="n">
        <v>23377</v>
      </c>
      <c r="B32" s="65">
        <f>VLOOKUP(Table1[[#This Row],[Date]],'DB Money Supply'!$A:$F,6)</f>
        <v/>
      </c>
    </row>
    <row r="33">
      <c r="A33" s="67" t="n">
        <v>23468</v>
      </c>
      <c r="B33" s="65">
        <f>VLOOKUP(Table1[[#This Row],[Date]],'DB Money Supply'!$A:$F,6)</f>
        <v/>
      </c>
    </row>
    <row r="34">
      <c r="A34" s="67" t="n">
        <v>23559</v>
      </c>
      <c r="B34" s="65">
        <f>VLOOKUP(Table1[[#This Row],[Date]],'DB Money Supply'!$A:$F,6)</f>
        <v/>
      </c>
    </row>
    <row r="35">
      <c r="A35" s="67" t="n">
        <v>23651</v>
      </c>
      <c r="B35" s="65">
        <f>VLOOKUP(Table1[[#This Row],[Date]],'DB Money Supply'!$A:$F,6)</f>
        <v/>
      </c>
    </row>
    <row r="36">
      <c r="A36" s="67" t="n">
        <v>23743</v>
      </c>
      <c r="B36" s="65">
        <f>VLOOKUP(Table1[[#This Row],[Date]],'DB Money Supply'!$A:$F,6)</f>
        <v/>
      </c>
    </row>
    <row r="37">
      <c r="A37" s="67" t="n">
        <v>23833</v>
      </c>
      <c r="B37" s="65">
        <f>VLOOKUP(Table1[[#This Row],[Date]],'DB Money Supply'!$A:$F,6)</f>
        <v/>
      </c>
    </row>
    <row r="38">
      <c r="A38" s="67" t="n">
        <v>23924</v>
      </c>
      <c r="B38" s="65">
        <f>VLOOKUP(Table1[[#This Row],[Date]],'DB Money Supply'!$A:$F,6)</f>
        <v/>
      </c>
    </row>
    <row r="39">
      <c r="A39" s="67" t="n">
        <v>24016</v>
      </c>
      <c r="B39" s="65">
        <f>VLOOKUP(Table1[[#This Row],[Date]],'DB Money Supply'!$A:$F,6)</f>
        <v/>
      </c>
    </row>
    <row r="40">
      <c r="A40" s="67" t="n">
        <v>24108</v>
      </c>
      <c r="B40" s="65">
        <f>VLOOKUP(Table1[[#This Row],[Date]],'DB Money Supply'!$A:$F,6)</f>
        <v/>
      </c>
    </row>
    <row r="41">
      <c r="A41" s="67" t="n">
        <v>24198</v>
      </c>
      <c r="B41" s="65">
        <f>VLOOKUP(Table1[[#This Row],[Date]],'DB Money Supply'!$A:$F,6)</f>
        <v/>
      </c>
    </row>
    <row r="42">
      <c r="A42" s="67" t="n">
        <v>24289</v>
      </c>
      <c r="B42" s="65">
        <f>VLOOKUP(Table1[[#This Row],[Date]],'DB Money Supply'!$A:$F,6)</f>
        <v/>
      </c>
    </row>
    <row r="43">
      <c r="A43" s="67" t="n">
        <v>24381</v>
      </c>
      <c r="B43" s="65">
        <f>VLOOKUP(Table1[[#This Row],[Date]],'DB Money Supply'!$A:$F,6)</f>
        <v/>
      </c>
    </row>
    <row r="44">
      <c r="A44" s="67" t="n">
        <v>24473</v>
      </c>
      <c r="B44" s="65">
        <f>VLOOKUP(Table1[[#This Row],[Date]],'DB Money Supply'!$A:$F,6)</f>
        <v/>
      </c>
    </row>
    <row r="45">
      <c r="A45" s="67" t="n">
        <v>24563</v>
      </c>
      <c r="B45" s="65">
        <f>VLOOKUP(Table1[[#This Row],[Date]],'DB Money Supply'!$A:$F,6)</f>
        <v/>
      </c>
    </row>
    <row r="46">
      <c r="A46" s="67" t="n">
        <v>24654</v>
      </c>
      <c r="B46" s="65">
        <f>VLOOKUP(Table1[[#This Row],[Date]],'DB Money Supply'!$A:$F,6)</f>
        <v/>
      </c>
    </row>
    <row r="47">
      <c r="A47" s="67" t="n">
        <v>24746</v>
      </c>
      <c r="B47" s="65">
        <f>VLOOKUP(Table1[[#This Row],[Date]],'DB Money Supply'!$A:$F,6)</f>
        <v/>
      </c>
    </row>
    <row r="48">
      <c r="A48" s="67" t="n">
        <v>24838</v>
      </c>
      <c r="B48" s="65">
        <f>VLOOKUP(Table1[[#This Row],[Date]],'DB Money Supply'!$A:$F,6)</f>
        <v/>
      </c>
    </row>
    <row r="49">
      <c r="A49" s="67" t="n">
        <v>24929</v>
      </c>
      <c r="B49" s="65">
        <f>VLOOKUP(Table1[[#This Row],[Date]],'DB Money Supply'!$A:$F,6)</f>
        <v/>
      </c>
    </row>
    <row r="50">
      <c r="A50" s="67" t="n">
        <v>25020</v>
      </c>
      <c r="B50" s="65">
        <f>VLOOKUP(Table1[[#This Row],[Date]],'DB Money Supply'!$A:$F,6)</f>
        <v/>
      </c>
    </row>
    <row r="51">
      <c r="A51" s="67" t="n">
        <v>25112</v>
      </c>
      <c r="B51" s="65">
        <f>VLOOKUP(Table1[[#This Row],[Date]],'DB Money Supply'!$A:$F,6)</f>
        <v/>
      </c>
    </row>
    <row r="52">
      <c r="A52" s="67" t="n">
        <v>25204</v>
      </c>
      <c r="B52" s="65">
        <f>VLOOKUP(Table1[[#This Row],[Date]],'DB Money Supply'!$A:$F,6)</f>
        <v/>
      </c>
    </row>
    <row r="53">
      <c r="A53" s="67" t="n">
        <v>25294</v>
      </c>
      <c r="B53" s="65">
        <f>VLOOKUP(Table1[[#This Row],[Date]],'DB Money Supply'!$A:$F,6)</f>
        <v/>
      </c>
    </row>
    <row r="54">
      <c r="A54" s="67" t="n">
        <v>25385</v>
      </c>
      <c r="B54" s="65">
        <f>VLOOKUP(Table1[[#This Row],[Date]],'DB Money Supply'!$A:$F,6)</f>
        <v/>
      </c>
    </row>
    <row r="55">
      <c r="A55" s="67" t="n">
        <v>25477</v>
      </c>
      <c r="B55" s="65">
        <f>VLOOKUP(Table1[[#This Row],[Date]],'DB Money Supply'!$A:$F,6)</f>
        <v/>
      </c>
    </row>
    <row r="56">
      <c r="A56" s="67" t="n">
        <v>25569</v>
      </c>
      <c r="B56" s="65">
        <f>VLOOKUP(Table1[[#This Row],[Date]],'DB Money Supply'!$A:$F,6)</f>
        <v/>
      </c>
    </row>
    <row r="57">
      <c r="A57" s="67" t="n">
        <v>25659</v>
      </c>
      <c r="B57" s="65">
        <f>VLOOKUP(Table1[[#This Row],[Date]],'DB Money Supply'!$A:$F,6)</f>
        <v/>
      </c>
    </row>
    <row r="58">
      <c r="A58" s="67" t="n">
        <v>25750</v>
      </c>
      <c r="B58" s="65">
        <f>VLOOKUP(Table1[[#This Row],[Date]],'DB Money Supply'!$A:$F,6)</f>
        <v/>
      </c>
    </row>
    <row r="59">
      <c r="A59" s="67" t="n">
        <v>25842</v>
      </c>
      <c r="B59" s="65">
        <f>VLOOKUP(Table1[[#This Row],[Date]],'DB Money Supply'!$A:$F,6)</f>
        <v/>
      </c>
    </row>
    <row r="60">
      <c r="A60" s="67" t="n">
        <v>25934</v>
      </c>
      <c r="B60" s="65">
        <f>VLOOKUP(Table1[[#This Row],[Date]],'DB Money Supply'!$A:$F,6)</f>
        <v/>
      </c>
    </row>
    <row r="61">
      <c r="A61" s="67" t="n">
        <v>26024</v>
      </c>
      <c r="B61" s="65">
        <f>VLOOKUP(Table1[[#This Row],[Date]],'DB Money Supply'!$A:$F,6)</f>
        <v/>
      </c>
    </row>
    <row r="62">
      <c r="A62" s="67" t="n">
        <v>26115</v>
      </c>
      <c r="B62" s="65">
        <f>VLOOKUP(Table1[[#This Row],[Date]],'DB Money Supply'!$A:$F,6)</f>
        <v/>
      </c>
    </row>
    <row r="63">
      <c r="A63" s="67" t="n">
        <v>26207</v>
      </c>
      <c r="B63" s="65">
        <f>VLOOKUP(Table1[[#This Row],[Date]],'DB Money Supply'!$A:$F,6)</f>
        <v/>
      </c>
    </row>
    <row r="64">
      <c r="A64" s="67" t="n">
        <v>26299</v>
      </c>
      <c r="B64" s="65">
        <f>VLOOKUP(Table1[[#This Row],[Date]],'DB Money Supply'!$A:$F,6)</f>
        <v/>
      </c>
    </row>
    <row r="65">
      <c r="A65" s="67" t="n">
        <v>26390</v>
      </c>
      <c r="B65" s="65">
        <f>VLOOKUP(Table1[[#This Row],[Date]],'DB Money Supply'!$A:$F,6)</f>
        <v/>
      </c>
    </row>
    <row r="66">
      <c r="A66" s="67" t="n">
        <v>26481</v>
      </c>
      <c r="B66" s="65">
        <f>VLOOKUP(Table1[[#This Row],[Date]],'DB Money Supply'!$A:$F,6)</f>
        <v/>
      </c>
    </row>
    <row r="67">
      <c r="A67" s="67" t="n">
        <v>26573</v>
      </c>
      <c r="B67" s="65">
        <f>VLOOKUP(Table1[[#This Row],[Date]],'DB Money Supply'!$A:$F,6)</f>
        <v/>
      </c>
    </row>
    <row r="68">
      <c r="A68" s="67" t="n">
        <v>26665</v>
      </c>
      <c r="B68" s="65">
        <f>VLOOKUP(Table1[[#This Row],[Date]],'DB Money Supply'!$A:$F,6)</f>
        <v/>
      </c>
    </row>
    <row r="69">
      <c r="A69" s="67" t="n">
        <v>26755</v>
      </c>
      <c r="B69" s="65">
        <f>VLOOKUP(Table1[[#This Row],[Date]],'DB Money Supply'!$A:$F,6)</f>
        <v/>
      </c>
    </row>
    <row r="70">
      <c r="A70" s="67" t="n">
        <v>26846</v>
      </c>
      <c r="B70" s="65">
        <f>VLOOKUP(Table1[[#This Row],[Date]],'DB Money Supply'!$A:$F,6)</f>
        <v/>
      </c>
    </row>
    <row r="71">
      <c r="A71" s="67" t="n">
        <v>26938</v>
      </c>
      <c r="B71" s="65">
        <f>VLOOKUP(Table1[[#This Row],[Date]],'DB Money Supply'!$A:$F,6)</f>
        <v/>
      </c>
    </row>
    <row r="72">
      <c r="A72" s="67" t="n">
        <v>27030</v>
      </c>
      <c r="B72" s="65">
        <f>VLOOKUP(Table1[[#This Row],[Date]],'DB Money Supply'!$A:$F,6)</f>
        <v/>
      </c>
    </row>
    <row r="73">
      <c r="A73" s="67" t="n">
        <v>27120</v>
      </c>
      <c r="B73" s="65">
        <f>VLOOKUP(Table1[[#This Row],[Date]],'DB Money Supply'!$A:$F,6)</f>
        <v/>
      </c>
    </row>
    <row r="74">
      <c r="A74" s="67" t="n">
        <v>27211</v>
      </c>
      <c r="B74" s="65">
        <f>VLOOKUP(Table1[[#This Row],[Date]],'DB Money Supply'!$A:$F,6)</f>
        <v/>
      </c>
    </row>
    <row r="75">
      <c r="A75" s="67" t="n">
        <v>27303</v>
      </c>
      <c r="B75" s="65">
        <f>VLOOKUP(Table1[[#This Row],[Date]],'DB Money Supply'!$A:$F,6)</f>
        <v/>
      </c>
    </row>
    <row r="76">
      <c r="A76" s="67" t="n">
        <v>27395</v>
      </c>
      <c r="B76" s="65">
        <f>VLOOKUP(Table1[[#This Row],[Date]],'DB Money Supply'!$A:$F,6)</f>
        <v/>
      </c>
    </row>
    <row r="77">
      <c r="A77" s="67" t="n">
        <v>27485</v>
      </c>
      <c r="B77" s="65">
        <f>VLOOKUP(Table1[[#This Row],[Date]],'DB Money Supply'!$A:$F,6)</f>
        <v/>
      </c>
    </row>
    <row r="78">
      <c r="A78" s="67" t="n">
        <v>27576</v>
      </c>
      <c r="B78" s="65">
        <f>VLOOKUP(Table1[[#This Row],[Date]],'DB Money Supply'!$A:$F,6)</f>
        <v/>
      </c>
    </row>
    <row r="79">
      <c r="A79" s="67" t="n">
        <v>27668</v>
      </c>
      <c r="B79" s="65">
        <f>VLOOKUP(Table1[[#This Row],[Date]],'DB Money Supply'!$A:$F,6)</f>
        <v/>
      </c>
    </row>
    <row r="80">
      <c r="A80" s="67" t="n">
        <v>27760</v>
      </c>
      <c r="B80" s="65">
        <f>VLOOKUP(Table1[[#This Row],[Date]],'DB Money Supply'!$A:$F,6)</f>
        <v/>
      </c>
    </row>
    <row r="81">
      <c r="A81" s="67" t="n">
        <v>27851</v>
      </c>
      <c r="B81" s="65">
        <f>VLOOKUP(Table1[[#This Row],[Date]],'DB Money Supply'!$A:$F,6)</f>
        <v/>
      </c>
    </row>
    <row r="82">
      <c r="A82" s="67" t="n">
        <v>27942</v>
      </c>
      <c r="B82" s="65">
        <f>VLOOKUP(Table1[[#This Row],[Date]],'DB Money Supply'!$A:$F,6)</f>
        <v/>
      </c>
    </row>
    <row r="83">
      <c r="A83" s="67" t="n">
        <v>28034</v>
      </c>
      <c r="B83" s="65">
        <f>VLOOKUP(Table1[[#This Row],[Date]],'DB Money Supply'!$A:$F,6)</f>
        <v/>
      </c>
    </row>
    <row r="84">
      <c r="A84" s="67" t="n">
        <v>28126</v>
      </c>
      <c r="B84" s="65">
        <f>VLOOKUP(Table1[[#This Row],[Date]],'DB Money Supply'!$A:$F,6)</f>
        <v/>
      </c>
    </row>
    <row r="85">
      <c r="A85" s="67" t="n">
        <v>28216</v>
      </c>
      <c r="B85" s="65">
        <f>VLOOKUP(Table1[[#This Row],[Date]],'DB Money Supply'!$A:$F,6)</f>
        <v/>
      </c>
    </row>
    <row r="86">
      <c r="A86" s="67" t="n">
        <v>28307</v>
      </c>
      <c r="B86" s="65">
        <f>VLOOKUP(Table1[[#This Row],[Date]],'DB Money Supply'!$A:$F,6)</f>
        <v/>
      </c>
    </row>
    <row r="87">
      <c r="A87" s="67" t="n">
        <v>28399</v>
      </c>
      <c r="B87" s="65">
        <f>VLOOKUP(Table1[[#This Row],[Date]],'DB Money Supply'!$A:$F,6)</f>
        <v/>
      </c>
    </row>
    <row r="88">
      <c r="A88" s="67" t="n">
        <v>28491</v>
      </c>
      <c r="B88" s="65">
        <f>VLOOKUP(Table1[[#This Row],[Date]],'DB Money Supply'!$A:$F,6)</f>
        <v/>
      </c>
    </row>
    <row r="89">
      <c r="A89" s="67" t="n">
        <v>28581</v>
      </c>
      <c r="B89" s="65">
        <f>VLOOKUP(Table1[[#This Row],[Date]],'DB Money Supply'!$A:$F,6)</f>
        <v/>
      </c>
    </row>
    <row r="90">
      <c r="A90" s="67" t="n">
        <v>28672</v>
      </c>
      <c r="B90" s="65">
        <f>VLOOKUP(Table1[[#This Row],[Date]],'DB Money Supply'!$A:$F,6)</f>
        <v/>
      </c>
    </row>
    <row r="91">
      <c r="A91" s="67" t="n">
        <v>28764</v>
      </c>
      <c r="B91" s="65">
        <f>VLOOKUP(Table1[[#This Row],[Date]],'DB Money Supply'!$A:$F,6)</f>
        <v/>
      </c>
    </row>
    <row r="92">
      <c r="A92" s="67" t="n">
        <v>28856</v>
      </c>
      <c r="B92" s="65">
        <f>VLOOKUP(Table1[[#This Row],[Date]],'DB Money Supply'!$A:$F,6)</f>
        <v/>
      </c>
    </row>
    <row r="93">
      <c r="A93" s="67" t="n">
        <v>28946</v>
      </c>
      <c r="B93" s="65">
        <f>VLOOKUP(Table1[[#This Row],[Date]],'DB Money Supply'!$A:$F,6)</f>
        <v/>
      </c>
    </row>
    <row r="94">
      <c r="A94" s="67" t="n">
        <v>29037</v>
      </c>
      <c r="B94" s="65">
        <f>VLOOKUP(Table1[[#This Row],[Date]],'DB Money Supply'!$A:$F,6)</f>
        <v/>
      </c>
    </row>
    <row r="95">
      <c r="A95" s="67" t="n">
        <v>29129</v>
      </c>
      <c r="B95" s="65">
        <f>VLOOKUP(Table1[[#This Row],[Date]],'DB Money Supply'!$A:$F,6)</f>
        <v/>
      </c>
    </row>
    <row r="96">
      <c r="A96" s="67" t="n">
        <v>29221</v>
      </c>
      <c r="B96" s="65">
        <f>VLOOKUP(Table1[[#This Row],[Date]],'DB Money Supply'!$A:$F,6)</f>
        <v/>
      </c>
    </row>
    <row r="97">
      <c r="A97" s="67" t="n">
        <v>29312</v>
      </c>
      <c r="B97" s="65">
        <f>VLOOKUP(Table1[[#This Row],[Date]],'DB Money Supply'!$A:$F,6)</f>
        <v/>
      </c>
    </row>
    <row r="98">
      <c r="A98" s="67" t="n">
        <v>29403</v>
      </c>
      <c r="B98" s="65">
        <f>VLOOKUP(Table1[[#This Row],[Date]],'DB Money Supply'!$A:$F,6)</f>
        <v/>
      </c>
    </row>
    <row r="99">
      <c r="A99" s="67" t="n">
        <v>29495</v>
      </c>
      <c r="B99" s="65">
        <f>VLOOKUP(Table1[[#This Row],[Date]],'DB Money Supply'!$A:$F,6)</f>
        <v/>
      </c>
    </row>
    <row r="100">
      <c r="A100" s="67" t="n">
        <v>29587</v>
      </c>
      <c r="B100" s="65">
        <f>VLOOKUP(Table1[[#This Row],[Date]],'DB Money Supply'!$A:$F,6)</f>
        <v/>
      </c>
    </row>
    <row r="101">
      <c r="A101" s="67" t="n">
        <v>29677</v>
      </c>
      <c r="B101" s="65">
        <f>VLOOKUP(Table1[[#This Row],[Date]],'DB Money Supply'!$A:$F,6)</f>
        <v/>
      </c>
    </row>
    <row r="102">
      <c r="A102" s="67" t="n">
        <v>29768</v>
      </c>
      <c r="B102" s="65">
        <f>VLOOKUP(Table1[[#This Row],[Date]],'DB Money Supply'!$A:$F,6)</f>
        <v/>
      </c>
    </row>
    <row r="103">
      <c r="A103" s="67" t="n">
        <v>29860</v>
      </c>
      <c r="B103" s="65">
        <f>VLOOKUP(Table1[[#This Row],[Date]],'DB Money Supply'!$A:$F,6)</f>
        <v/>
      </c>
    </row>
    <row r="104">
      <c r="A104" s="67" t="n">
        <v>29952</v>
      </c>
      <c r="B104" s="65">
        <f>VLOOKUP(Table1[[#This Row],[Date]],'DB Money Supply'!$A:$F,6)</f>
        <v/>
      </c>
    </row>
    <row r="105">
      <c r="A105" s="67" t="n">
        <v>30042</v>
      </c>
      <c r="B105" s="65">
        <f>VLOOKUP(Table1[[#This Row],[Date]],'DB Money Supply'!$A:$F,6)</f>
        <v/>
      </c>
    </row>
    <row r="106">
      <c r="A106" s="67" t="n">
        <v>30133</v>
      </c>
      <c r="B106" s="65">
        <f>VLOOKUP(Table1[[#This Row],[Date]],'DB Money Supply'!$A:$F,6)</f>
        <v/>
      </c>
    </row>
    <row r="107">
      <c r="A107" s="67" t="n">
        <v>30225</v>
      </c>
      <c r="B107" s="65">
        <f>VLOOKUP(Table1[[#This Row],[Date]],'DB Money Supply'!$A:$F,6)</f>
        <v/>
      </c>
    </row>
    <row r="108">
      <c r="A108" s="67" t="n">
        <v>30317</v>
      </c>
      <c r="B108" s="65">
        <f>VLOOKUP(Table1[[#This Row],[Date]],'DB Money Supply'!$A:$F,6)</f>
        <v/>
      </c>
    </row>
    <row r="109">
      <c r="A109" s="67" t="n">
        <v>30407</v>
      </c>
      <c r="B109" s="65">
        <f>VLOOKUP(Table1[[#This Row],[Date]],'DB Money Supply'!$A:$F,6)</f>
        <v/>
      </c>
    </row>
    <row r="110">
      <c r="A110" s="67" t="n">
        <v>30498</v>
      </c>
      <c r="B110" s="65">
        <f>VLOOKUP(Table1[[#This Row],[Date]],'DB Money Supply'!$A:$F,6)</f>
        <v/>
      </c>
    </row>
    <row r="111">
      <c r="A111" s="67" t="n">
        <v>30590</v>
      </c>
      <c r="B111" s="65">
        <f>VLOOKUP(Table1[[#This Row],[Date]],'DB Money Supply'!$A:$F,6)</f>
        <v/>
      </c>
    </row>
    <row r="112">
      <c r="A112" s="67" t="n">
        <v>30682</v>
      </c>
      <c r="B112" s="65">
        <f>VLOOKUP(Table1[[#This Row],[Date]],'DB Money Supply'!$A:$F,6)</f>
        <v/>
      </c>
    </row>
    <row r="113">
      <c r="A113" s="67" t="n">
        <v>30773</v>
      </c>
      <c r="B113" s="65">
        <f>VLOOKUP(Table1[[#This Row],[Date]],'DB Money Supply'!$A:$F,6)</f>
        <v/>
      </c>
    </row>
    <row r="114">
      <c r="A114" s="67" t="n">
        <v>30864</v>
      </c>
      <c r="B114" s="65">
        <f>VLOOKUP(Table1[[#This Row],[Date]],'DB Money Supply'!$A:$F,6)</f>
        <v/>
      </c>
    </row>
    <row r="115">
      <c r="A115" s="67" t="n">
        <v>30956</v>
      </c>
      <c r="B115" s="65">
        <f>VLOOKUP(Table1[[#This Row],[Date]],'DB Money Supply'!$A:$F,6)</f>
        <v/>
      </c>
    </row>
    <row r="116">
      <c r="A116" s="67" t="n">
        <v>31048</v>
      </c>
      <c r="B116" s="65">
        <f>VLOOKUP(Table1[[#This Row],[Date]],'DB Money Supply'!$A:$F,6)</f>
        <v/>
      </c>
    </row>
    <row r="117">
      <c r="A117" s="67" t="n">
        <v>31138</v>
      </c>
      <c r="B117" s="65">
        <f>VLOOKUP(Table1[[#This Row],[Date]],'DB Money Supply'!$A:$F,6)</f>
        <v/>
      </c>
    </row>
    <row r="118">
      <c r="A118" s="67" t="n">
        <v>31229</v>
      </c>
      <c r="B118" s="65">
        <f>VLOOKUP(Table1[[#This Row],[Date]],'DB Money Supply'!$A:$F,6)</f>
        <v/>
      </c>
    </row>
    <row r="119">
      <c r="A119" s="67" t="n">
        <v>31321</v>
      </c>
      <c r="B119" s="65">
        <f>VLOOKUP(Table1[[#This Row],[Date]],'DB Money Supply'!$A:$F,6)</f>
        <v/>
      </c>
    </row>
    <row r="120">
      <c r="A120" s="67" t="n">
        <v>31413</v>
      </c>
      <c r="B120" s="65">
        <f>VLOOKUP(Table1[[#This Row],[Date]],'DB Money Supply'!$A:$F,6)</f>
        <v/>
      </c>
    </row>
    <row r="121">
      <c r="A121" s="67" t="n">
        <v>31503</v>
      </c>
      <c r="B121" s="65">
        <f>VLOOKUP(Table1[[#This Row],[Date]],'DB Money Supply'!$A:$F,6)</f>
        <v/>
      </c>
    </row>
    <row r="122">
      <c r="A122" s="67" t="n">
        <v>31594</v>
      </c>
      <c r="B122" s="65">
        <f>VLOOKUP(Table1[[#This Row],[Date]],'DB Money Supply'!$A:$F,6)</f>
        <v/>
      </c>
    </row>
    <row r="123">
      <c r="A123" s="67" t="n">
        <v>31686</v>
      </c>
      <c r="B123" s="65">
        <f>VLOOKUP(Table1[[#This Row],[Date]],'DB Money Supply'!$A:$F,6)</f>
        <v/>
      </c>
    </row>
    <row r="124">
      <c r="A124" s="67" t="n">
        <v>31778</v>
      </c>
      <c r="B124" s="65">
        <f>VLOOKUP(Table1[[#This Row],[Date]],'DB Money Supply'!$A:$F,6)</f>
        <v/>
      </c>
    </row>
    <row r="125">
      <c r="A125" s="67" t="n">
        <v>31868</v>
      </c>
      <c r="B125" s="65">
        <f>VLOOKUP(Table1[[#This Row],[Date]],'DB Money Supply'!$A:$F,6)</f>
        <v/>
      </c>
    </row>
    <row r="126">
      <c r="A126" s="67" t="n">
        <v>31959</v>
      </c>
      <c r="B126" s="65">
        <f>VLOOKUP(Table1[[#This Row],[Date]],'DB Money Supply'!$A:$F,6)</f>
        <v/>
      </c>
    </row>
    <row r="127">
      <c r="A127" s="67" t="n">
        <v>32051</v>
      </c>
      <c r="B127" s="65">
        <f>VLOOKUP(Table1[[#This Row],[Date]],'DB Money Supply'!$A:$F,6)</f>
        <v/>
      </c>
    </row>
    <row r="128">
      <c r="A128" s="67" t="n">
        <v>32143</v>
      </c>
      <c r="B128" s="65">
        <f>VLOOKUP(Table1[[#This Row],[Date]],'DB Money Supply'!$A:$F,6)</f>
        <v/>
      </c>
    </row>
    <row r="129">
      <c r="A129" s="67" t="n">
        <v>32234</v>
      </c>
      <c r="B129" s="65">
        <f>VLOOKUP(Table1[[#This Row],[Date]],'DB Money Supply'!$A:$F,6)</f>
        <v/>
      </c>
    </row>
    <row r="130">
      <c r="A130" s="67" t="n">
        <v>32325</v>
      </c>
      <c r="B130" s="65">
        <f>VLOOKUP(Table1[[#This Row],[Date]],'DB Money Supply'!$A:$F,6)</f>
        <v/>
      </c>
    </row>
    <row r="131">
      <c r="A131" s="67" t="n">
        <v>32417</v>
      </c>
      <c r="B131" s="65">
        <f>VLOOKUP(Table1[[#This Row],[Date]],'DB Money Supply'!$A:$F,6)</f>
        <v/>
      </c>
    </row>
    <row r="132">
      <c r="A132" s="67" t="n">
        <v>32509</v>
      </c>
      <c r="B132" s="65">
        <f>VLOOKUP(Table1[[#This Row],[Date]],'DB Money Supply'!$A:$F,6)</f>
        <v/>
      </c>
    </row>
    <row r="133">
      <c r="A133" s="67" t="n">
        <v>32599</v>
      </c>
      <c r="B133" s="65">
        <f>VLOOKUP(Table1[[#This Row],[Date]],'DB Money Supply'!$A:$F,6)</f>
        <v/>
      </c>
    </row>
    <row r="134">
      <c r="A134" s="67" t="n">
        <v>32690</v>
      </c>
      <c r="B134" s="65">
        <f>VLOOKUP(Table1[[#This Row],[Date]],'DB Money Supply'!$A:$F,6)</f>
        <v/>
      </c>
    </row>
    <row r="135">
      <c r="A135" s="67" t="n">
        <v>32782</v>
      </c>
      <c r="B135" s="65">
        <f>VLOOKUP(Table1[[#This Row],[Date]],'DB Money Supply'!$A:$F,6)</f>
        <v/>
      </c>
    </row>
    <row r="136">
      <c r="A136" s="67" t="n">
        <v>32874</v>
      </c>
      <c r="B136" s="65">
        <f>VLOOKUP(Table1[[#This Row],[Date]],'DB Money Supply'!$A:$F,6)</f>
        <v/>
      </c>
    </row>
    <row r="137">
      <c r="A137" s="67" t="n">
        <v>32964</v>
      </c>
      <c r="B137" s="65">
        <f>VLOOKUP(Table1[[#This Row],[Date]],'DB Money Supply'!$A:$F,6)</f>
        <v/>
      </c>
    </row>
    <row r="138">
      <c r="A138" s="67" t="n">
        <v>33055</v>
      </c>
      <c r="B138" s="65">
        <f>VLOOKUP(Table1[[#This Row],[Date]],'DB Money Supply'!$A:$F,6)</f>
        <v/>
      </c>
    </row>
    <row r="139">
      <c r="A139" s="67" t="n">
        <v>33147</v>
      </c>
      <c r="B139" s="65">
        <f>VLOOKUP(Table1[[#This Row],[Date]],'DB Money Supply'!$A:$F,6)</f>
        <v/>
      </c>
    </row>
    <row r="140">
      <c r="A140" s="67" t="n">
        <v>33239</v>
      </c>
      <c r="B140" s="65">
        <f>VLOOKUP(Table1[[#This Row],[Date]],'DB Money Supply'!$A:$F,6)</f>
        <v/>
      </c>
    </row>
    <row r="141">
      <c r="A141" s="67" t="n">
        <v>33329</v>
      </c>
      <c r="B141" s="65">
        <f>VLOOKUP(Table1[[#This Row],[Date]],'DB Money Supply'!$A:$F,6)</f>
        <v/>
      </c>
    </row>
    <row r="142">
      <c r="A142" s="67" t="n">
        <v>33420</v>
      </c>
      <c r="B142" s="65">
        <f>VLOOKUP(Table1[[#This Row],[Date]],'DB Money Supply'!$A:$F,6)</f>
        <v/>
      </c>
    </row>
    <row r="143">
      <c r="A143" s="67" t="n">
        <v>33512</v>
      </c>
      <c r="B143" s="65">
        <f>VLOOKUP(Table1[[#This Row],[Date]],'DB Money Supply'!$A:$F,6)</f>
        <v/>
      </c>
    </row>
    <row r="144">
      <c r="A144" s="67" t="n">
        <v>33604</v>
      </c>
      <c r="B144" s="65">
        <f>VLOOKUP(Table1[[#This Row],[Date]],'DB Money Supply'!$A:$F,6)</f>
        <v/>
      </c>
    </row>
    <row r="145">
      <c r="A145" s="67" t="n">
        <v>33695</v>
      </c>
      <c r="B145" s="65">
        <f>VLOOKUP(Table1[[#This Row],[Date]],'DB Money Supply'!$A:$F,6)</f>
        <v/>
      </c>
    </row>
    <row r="146">
      <c r="A146" s="67" t="n">
        <v>33786</v>
      </c>
      <c r="B146" s="65">
        <f>VLOOKUP(Table1[[#This Row],[Date]],'DB Money Supply'!$A:$F,6)</f>
        <v/>
      </c>
    </row>
    <row r="147">
      <c r="A147" s="67" t="n">
        <v>33878</v>
      </c>
      <c r="B147" s="65">
        <f>VLOOKUP(Table1[[#This Row],[Date]],'DB Money Supply'!$A:$F,6)</f>
        <v/>
      </c>
    </row>
    <row r="148">
      <c r="A148" s="67" t="n">
        <v>33970</v>
      </c>
      <c r="B148" s="65">
        <f>VLOOKUP(Table1[[#This Row],[Date]],'DB Money Supply'!$A:$F,6)</f>
        <v/>
      </c>
    </row>
    <row r="149">
      <c r="A149" s="67" t="n">
        <v>34060</v>
      </c>
      <c r="B149" s="65">
        <f>VLOOKUP(Table1[[#This Row],[Date]],'DB Money Supply'!$A:$F,6)</f>
        <v/>
      </c>
    </row>
    <row r="150">
      <c r="A150" s="67" t="n">
        <v>34151</v>
      </c>
      <c r="B150" s="65">
        <f>VLOOKUP(Table1[[#This Row],[Date]],'DB Money Supply'!$A:$F,6)</f>
        <v/>
      </c>
    </row>
    <row r="151">
      <c r="A151" s="67" t="n">
        <v>34243</v>
      </c>
      <c r="B151" s="65">
        <f>VLOOKUP(Table1[[#This Row],[Date]],'DB Money Supply'!$A:$F,6)</f>
        <v/>
      </c>
    </row>
    <row r="152">
      <c r="A152" s="67" t="n">
        <v>34335</v>
      </c>
      <c r="B152" s="65">
        <f>VLOOKUP(Table1[[#This Row],[Date]],'DB Money Supply'!$A:$F,6)</f>
        <v/>
      </c>
    </row>
    <row r="153">
      <c r="A153" s="67" t="n">
        <v>34425</v>
      </c>
      <c r="B153" s="65">
        <f>VLOOKUP(Table1[[#This Row],[Date]],'DB Money Supply'!$A:$F,6)</f>
        <v/>
      </c>
    </row>
    <row r="154">
      <c r="A154" s="67" t="n">
        <v>34516</v>
      </c>
      <c r="B154" s="65">
        <f>VLOOKUP(Table1[[#This Row],[Date]],'DB Money Supply'!$A:$F,6)</f>
        <v/>
      </c>
    </row>
    <row r="155">
      <c r="A155" s="67" t="n">
        <v>34608</v>
      </c>
      <c r="B155" s="65">
        <f>VLOOKUP(Table1[[#This Row],[Date]],'DB Money Supply'!$A:$F,6)</f>
        <v/>
      </c>
    </row>
    <row r="156">
      <c r="A156" s="67" t="n">
        <v>34700</v>
      </c>
      <c r="B156" s="65">
        <f>VLOOKUP(Table1[[#This Row],[Date]],'DB Money Supply'!$A:$F,6)</f>
        <v/>
      </c>
    </row>
    <row r="157">
      <c r="A157" s="67" t="n">
        <v>34790</v>
      </c>
      <c r="B157" s="65">
        <f>VLOOKUP(Table1[[#This Row],[Date]],'DB Money Supply'!$A:$F,6)</f>
        <v/>
      </c>
    </row>
    <row r="158">
      <c r="A158" s="67" t="n">
        <v>34881</v>
      </c>
      <c r="B158" s="65">
        <f>VLOOKUP(Table1[[#This Row],[Date]],'DB Money Supply'!$A:$F,6)</f>
        <v/>
      </c>
    </row>
    <row r="159">
      <c r="A159" s="67" t="n">
        <v>34973</v>
      </c>
      <c r="B159" s="65">
        <f>VLOOKUP(Table1[[#This Row],[Date]],'DB Money Supply'!$A:$F,6)</f>
        <v/>
      </c>
    </row>
    <row r="160">
      <c r="A160" s="67" t="n">
        <v>35065</v>
      </c>
      <c r="B160" s="65">
        <f>VLOOKUP(Table1[[#This Row],[Date]],'DB Money Supply'!$A:$F,6)</f>
        <v/>
      </c>
    </row>
    <row r="161">
      <c r="A161" s="67" t="n">
        <v>35156</v>
      </c>
      <c r="B161" s="65">
        <f>VLOOKUP(Table1[[#This Row],[Date]],'DB Money Supply'!$A:$F,6)</f>
        <v/>
      </c>
    </row>
    <row r="162">
      <c r="A162" s="67" t="n">
        <v>35247</v>
      </c>
      <c r="B162" s="65">
        <f>VLOOKUP(Table1[[#This Row],[Date]],'DB Money Supply'!$A:$F,6)</f>
        <v/>
      </c>
    </row>
    <row r="163">
      <c r="A163" s="67" t="n">
        <v>35339</v>
      </c>
      <c r="B163" s="65">
        <f>VLOOKUP(Table1[[#This Row],[Date]],'DB Money Supply'!$A:$F,6)</f>
        <v/>
      </c>
    </row>
    <row r="164">
      <c r="A164" s="67" t="n">
        <v>35431</v>
      </c>
      <c r="B164" s="65">
        <f>VLOOKUP(Table1[[#This Row],[Date]],'DB Money Supply'!$A:$F,6)</f>
        <v/>
      </c>
    </row>
    <row r="165">
      <c r="A165" s="67" t="n">
        <v>35521</v>
      </c>
      <c r="B165" s="65">
        <f>VLOOKUP(Table1[[#This Row],[Date]],'DB Money Supply'!$A:$F,6)</f>
        <v/>
      </c>
    </row>
    <row r="166">
      <c r="A166" s="67" t="n">
        <v>35612</v>
      </c>
      <c r="B166" s="65">
        <f>VLOOKUP(Table1[[#This Row],[Date]],'DB Money Supply'!$A:$F,6)</f>
        <v/>
      </c>
    </row>
    <row r="167">
      <c r="A167" s="67" t="n">
        <v>35704</v>
      </c>
      <c r="B167" s="65">
        <f>VLOOKUP(Table1[[#This Row],[Date]],'DB Money Supply'!$A:$F,6)</f>
        <v/>
      </c>
    </row>
    <row r="168">
      <c r="A168" s="67" t="n">
        <v>35796</v>
      </c>
      <c r="B168" s="65">
        <f>VLOOKUP(Table1[[#This Row],[Date]],'DB Money Supply'!$A:$F,6)</f>
        <v/>
      </c>
    </row>
    <row r="169">
      <c r="A169" s="67" t="n">
        <v>35886</v>
      </c>
      <c r="B169" s="65">
        <f>VLOOKUP(Table1[[#This Row],[Date]],'DB Money Supply'!$A:$F,6)</f>
        <v/>
      </c>
    </row>
    <row r="170">
      <c r="A170" s="67" t="n">
        <v>35977</v>
      </c>
      <c r="B170" s="65">
        <f>VLOOKUP(Table1[[#This Row],[Date]],'DB Money Supply'!$A:$F,6)</f>
        <v/>
      </c>
    </row>
    <row r="171">
      <c r="A171" s="67" t="n">
        <v>36069</v>
      </c>
      <c r="B171" s="65">
        <f>VLOOKUP(Table1[[#This Row],[Date]],'DB Money Supply'!$A:$F,6)</f>
        <v/>
      </c>
    </row>
    <row r="172">
      <c r="A172" s="67" t="n">
        <v>36161</v>
      </c>
      <c r="B172" s="65">
        <f>VLOOKUP(Table1[[#This Row],[Date]],'DB Money Supply'!$A:$F,6)</f>
        <v/>
      </c>
    </row>
    <row r="173">
      <c r="A173" s="67" t="n">
        <v>36251</v>
      </c>
      <c r="B173" s="65">
        <f>VLOOKUP(Table1[[#This Row],[Date]],'DB Money Supply'!$A:$F,6)</f>
        <v/>
      </c>
    </row>
    <row r="174">
      <c r="A174" s="67" t="n">
        <v>36342</v>
      </c>
      <c r="B174" s="65">
        <f>VLOOKUP(Table1[[#This Row],[Date]],'DB Money Supply'!$A:$F,6)</f>
        <v/>
      </c>
    </row>
    <row r="175">
      <c r="A175" s="67" t="n">
        <v>36434</v>
      </c>
      <c r="B175" s="65">
        <f>VLOOKUP(Table1[[#This Row],[Date]],'DB Money Supply'!$A:$F,6)</f>
        <v/>
      </c>
    </row>
    <row r="176">
      <c r="A176" s="67" t="n">
        <v>36526</v>
      </c>
      <c r="B176" s="65">
        <f>VLOOKUP(Table1[[#This Row],[Date]],'DB Money Supply'!$A:$F,6)</f>
        <v/>
      </c>
    </row>
    <row r="177">
      <c r="A177" s="67" t="n">
        <v>36617</v>
      </c>
      <c r="B177" s="65">
        <f>VLOOKUP(Table1[[#This Row],[Date]],'DB Money Supply'!$A:$F,6)</f>
        <v/>
      </c>
    </row>
    <row r="178">
      <c r="A178" s="67" t="n">
        <v>36708</v>
      </c>
      <c r="B178" s="65">
        <f>VLOOKUP(Table1[[#This Row],[Date]],'DB Money Supply'!$A:$F,6)</f>
        <v/>
      </c>
    </row>
    <row r="179">
      <c r="A179" s="67" t="n">
        <v>36800</v>
      </c>
      <c r="B179" s="65">
        <f>VLOOKUP(Table1[[#This Row],[Date]],'DB Money Supply'!$A:$F,6)</f>
        <v/>
      </c>
    </row>
    <row r="180">
      <c r="A180" s="67" t="n">
        <v>36892</v>
      </c>
      <c r="B180" s="65">
        <f>VLOOKUP(Table1[[#This Row],[Date]],'DB Money Supply'!$A:$F,6)</f>
        <v/>
      </c>
    </row>
    <row r="181">
      <c r="A181" s="67" t="n">
        <v>36982</v>
      </c>
      <c r="B181" s="65">
        <f>VLOOKUP(Table1[[#This Row],[Date]],'DB Money Supply'!$A:$F,6)</f>
        <v/>
      </c>
    </row>
    <row r="182">
      <c r="A182" s="67" t="n">
        <v>37073</v>
      </c>
      <c r="B182" s="65">
        <f>VLOOKUP(Table1[[#This Row],[Date]],'DB Money Supply'!$A:$F,6)</f>
        <v/>
      </c>
    </row>
    <row r="183">
      <c r="A183" s="67" t="n">
        <v>37165</v>
      </c>
      <c r="B183" s="65">
        <f>VLOOKUP(Table1[[#This Row],[Date]],'DB Money Supply'!$A:$F,6)</f>
        <v/>
      </c>
    </row>
    <row r="184">
      <c r="A184" s="67" t="n">
        <v>37257</v>
      </c>
      <c r="B184" s="65">
        <f>VLOOKUP(Table1[[#This Row],[Date]],'DB Money Supply'!$A:$F,6)</f>
        <v/>
      </c>
    </row>
    <row r="185">
      <c r="A185" s="67" t="n">
        <v>37347</v>
      </c>
      <c r="B185" s="65">
        <f>VLOOKUP(Table1[[#This Row],[Date]],'DB Money Supply'!$A:$F,6)</f>
        <v/>
      </c>
    </row>
    <row r="186">
      <c r="A186" s="67" t="n">
        <v>37438</v>
      </c>
      <c r="B186" s="65">
        <f>VLOOKUP(Table1[[#This Row],[Date]],'DB Money Supply'!$A:$F,6)</f>
        <v/>
      </c>
    </row>
    <row r="187">
      <c r="A187" s="67" t="n">
        <v>37530</v>
      </c>
      <c r="B187" s="65">
        <f>VLOOKUP(Table1[[#This Row],[Date]],'DB Money Supply'!$A:$F,6)</f>
        <v/>
      </c>
    </row>
    <row r="188">
      <c r="A188" s="67" t="n">
        <v>37622</v>
      </c>
      <c r="B188" s="65">
        <f>VLOOKUP(Table1[[#This Row],[Date]],'DB Money Supply'!$A:$F,6)</f>
        <v/>
      </c>
    </row>
    <row r="189">
      <c r="A189" s="67" t="n">
        <v>37712</v>
      </c>
      <c r="B189" s="65">
        <f>VLOOKUP(Table1[[#This Row],[Date]],'DB Money Supply'!$A:$F,6)</f>
        <v/>
      </c>
    </row>
    <row r="190">
      <c r="A190" s="67" t="n">
        <v>37803</v>
      </c>
      <c r="B190" s="65">
        <f>VLOOKUP(Table1[[#This Row],[Date]],'DB Money Supply'!$A:$F,6)</f>
        <v/>
      </c>
    </row>
    <row r="191">
      <c r="A191" s="67" t="n">
        <v>37895</v>
      </c>
      <c r="B191" s="65">
        <f>VLOOKUP(Table1[[#This Row],[Date]],'DB Money Supply'!$A:$F,6)</f>
        <v/>
      </c>
    </row>
    <row r="192">
      <c r="A192" s="67" t="n">
        <v>37987</v>
      </c>
      <c r="B192" s="65">
        <f>VLOOKUP(Table1[[#This Row],[Date]],'DB Money Supply'!$A:$F,6)</f>
        <v/>
      </c>
    </row>
    <row r="193">
      <c r="A193" s="67" t="n">
        <v>38078</v>
      </c>
      <c r="B193" s="65">
        <f>VLOOKUP(Table1[[#This Row],[Date]],'DB Money Supply'!$A:$F,6)</f>
        <v/>
      </c>
    </row>
    <row r="194">
      <c r="A194" s="67" t="n">
        <v>38169</v>
      </c>
      <c r="B194" s="65">
        <f>VLOOKUP(Table1[[#This Row],[Date]],'DB Money Supply'!$A:$F,6)</f>
        <v/>
      </c>
    </row>
    <row r="195">
      <c r="A195" s="67" t="n">
        <v>38261</v>
      </c>
      <c r="B195" s="65">
        <f>VLOOKUP(Table1[[#This Row],[Date]],'DB Money Supply'!$A:$F,6)</f>
        <v/>
      </c>
    </row>
    <row r="196">
      <c r="A196" s="67" t="n">
        <v>38353</v>
      </c>
      <c r="B196" s="65">
        <f>VLOOKUP(Table1[[#This Row],[Date]],'DB Money Supply'!$A:$F,6)</f>
        <v/>
      </c>
    </row>
    <row r="197">
      <c r="A197" s="67" t="n">
        <v>38443</v>
      </c>
      <c r="B197" s="65">
        <f>VLOOKUP(Table1[[#This Row],[Date]],'DB Money Supply'!$A:$F,6)</f>
        <v/>
      </c>
    </row>
    <row r="198">
      <c r="A198" s="67" t="n">
        <v>38534</v>
      </c>
      <c r="B198" s="65">
        <f>VLOOKUP(Table1[[#This Row],[Date]],'DB Money Supply'!$A:$F,6)</f>
        <v/>
      </c>
    </row>
    <row r="199">
      <c r="A199" s="67" t="n">
        <v>38626</v>
      </c>
      <c r="B199" s="65">
        <f>VLOOKUP(Table1[[#This Row],[Date]],'DB Money Supply'!$A:$F,6)</f>
        <v/>
      </c>
    </row>
    <row r="200">
      <c r="A200" s="67" t="n">
        <v>38718</v>
      </c>
      <c r="B200" s="65">
        <f>VLOOKUP(Table1[[#This Row],[Date]],'DB Money Supply'!$A:$F,6)</f>
        <v/>
      </c>
    </row>
    <row r="201">
      <c r="A201" s="67" t="n">
        <v>38808</v>
      </c>
      <c r="B201" s="65">
        <f>VLOOKUP(Table1[[#This Row],[Date]],'DB Money Supply'!$A:$F,6)</f>
        <v/>
      </c>
    </row>
    <row r="202">
      <c r="A202" s="67" t="n">
        <v>38899</v>
      </c>
      <c r="B202" s="65">
        <f>VLOOKUP(Table1[[#This Row],[Date]],'DB Money Supply'!$A:$F,6)</f>
        <v/>
      </c>
    </row>
    <row r="203">
      <c r="A203" s="67" t="n">
        <v>38991</v>
      </c>
      <c r="B203" s="65">
        <f>VLOOKUP(Table1[[#This Row],[Date]],'DB Money Supply'!$A:$F,6)</f>
        <v/>
      </c>
    </row>
    <row r="204">
      <c r="A204" s="67" t="n">
        <v>39083</v>
      </c>
      <c r="B204" s="65">
        <f>VLOOKUP(Table1[[#This Row],[Date]],'DB Money Supply'!$A:$F,6)</f>
        <v/>
      </c>
    </row>
    <row r="205">
      <c r="A205" s="67" t="n">
        <v>39173</v>
      </c>
      <c r="B205" s="65">
        <f>VLOOKUP(Table1[[#This Row],[Date]],'DB Money Supply'!$A:$F,6)</f>
        <v/>
      </c>
    </row>
    <row r="206">
      <c r="A206" s="67" t="n">
        <v>39264</v>
      </c>
      <c r="B206" s="65">
        <f>VLOOKUP(Table1[[#This Row],[Date]],'DB Money Supply'!$A:$F,6)</f>
        <v/>
      </c>
    </row>
    <row r="207">
      <c r="A207" s="67" t="n">
        <v>39356</v>
      </c>
      <c r="B207" s="65">
        <f>VLOOKUP(Table1[[#This Row],[Date]],'DB Money Supply'!$A:$F,6)</f>
        <v/>
      </c>
    </row>
    <row r="208">
      <c r="A208" s="67" t="n">
        <v>39448</v>
      </c>
      <c r="B208" s="65">
        <f>VLOOKUP(Table1[[#This Row],[Date]],'DB Money Supply'!$A:$F,6)</f>
        <v/>
      </c>
    </row>
    <row r="209">
      <c r="A209" s="67" t="n">
        <v>39539</v>
      </c>
      <c r="B209" s="65">
        <f>VLOOKUP(Table1[[#This Row],[Date]],'DB Money Supply'!$A:$F,6)</f>
        <v/>
      </c>
    </row>
    <row r="210">
      <c r="A210" s="67" t="n">
        <v>39630</v>
      </c>
      <c r="B210" s="65">
        <f>VLOOKUP(Table1[[#This Row],[Date]],'DB Money Supply'!$A:$F,6)</f>
        <v/>
      </c>
    </row>
    <row r="211">
      <c r="A211" s="67" t="n">
        <v>39722</v>
      </c>
      <c r="B211" s="65">
        <f>VLOOKUP(Table1[[#This Row],[Date]],'DB Money Supply'!$A:$F,6)</f>
        <v/>
      </c>
    </row>
    <row r="212">
      <c r="A212" s="67" t="n">
        <v>39814</v>
      </c>
      <c r="B212" s="65">
        <f>VLOOKUP(Table1[[#This Row],[Date]],'DB Money Supply'!$A:$F,6)</f>
        <v/>
      </c>
    </row>
    <row r="213">
      <c r="A213" s="67" t="n">
        <v>39904</v>
      </c>
      <c r="B213" s="65">
        <f>VLOOKUP(Table1[[#This Row],[Date]],'DB Money Supply'!$A:$F,6)</f>
        <v/>
      </c>
    </row>
    <row r="214">
      <c r="A214" s="67" t="n">
        <v>39995</v>
      </c>
      <c r="B214" s="65">
        <f>VLOOKUP(Table1[[#This Row],[Date]],'DB Money Supply'!$A:$F,6)</f>
        <v/>
      </c>
    </row>
    <row r="215">
      <c r="A215" s="67" t="n">
        <v>40087</v>
      </c>
      <c r="B215" s="65">
        <f>VLOOKUP(Table1[[#This Row],[Date]],'DB Money Supply'!$A:$F,6)</f>
        <v/>
      </c>
    </row>
    <row r="216">
      <c r="A216" s="67" t="n">
        <v>40179</v>
      </c>
      <c r="B216" s="65">
        <f>VLOOKUP(Table1[[#This Row],[Date]],'DB Money Supply'!$A:$F,6)</f>
        <v/>
      </c>
    </row>
    <row r="217">
      <c r="A217" s="67" t="n">
        <v>40269</v>
      </c>
      <c r="B217" s="65">
        <f>VLOOKUP(Table1[[#This Row],[Date]],'DB Money Supply'!$A:$F,6)</f>
        <v/>
      </c>
    </row>
    <row r="218">
      <c r="A218" s="67" t="n">
        <v>40360</v>
      </c>
      <c r="B218" s="65">
        <f>VLOOKUP(Table1[[#This Row],[Date]],'DB Money Supply'!$A:$F,6)</f>
        <v/>
      </c>
    </row>
    <row r="219">
      <c r="A219" s="67" t="n">
        <v>40452</v>
      </c>
      <c r="B219" s="65">
        <f>VLOOKUP(Table1[[#This Row],[Date]],'DB Money Supply'!$A:$F,6)</f>
        <v/>
      </c>
    </row>
    <row r="220">
      <c r="A220" s="67" t="n">
        <v>40544</v>
      </c>
      <c r="B220" s="65">
        <f>VLOOKUP(Table1[[#This Row],[Date]],'DB Money Supply'!$A:$F,6)</f>
        <v/>
      </c>
    </row>
    <row r="221">
      <c r="A221" s="67" t="n">
        <v>40634</v>
      </c>
      <c r="B221" s="65">
        <f>VLOOKUP(Table1[[#This Row],[Date]],'DB Money Supply'!$A:$F,6)</f>
        <v/>
      </c>
    </row>
    <row r="222">
      <c r="A222" s="67" t="n">
        <v>40725</v>
      </c>
      <c r="B222" s="65">
        <f>VLOOKUP(Table1[[#This Row],[Date]],'DB Money Supply'!$A:$F,6)</f>
        <v/>
      </c>
    </row>
    <row r="223">
      <c r="A223" s="67" t="n">
        <v>40817</v>
      </c>
      <c r="B223" s="65">
        <f>VLOOKUP(Table1[[#This Row],[Date]],'DB Money Supply'!$A:$F,6)</f>
        <v/>
      </c>
    </row>
    <row r="224">
      <c r="A224" s="67" t="n">
        <v>40909</v>
      </c>
      <c r="B224" s="65">
        <f>VLOOKUP(Table1[[#This Row],[Date]],'DB Money Supply'!$A:$F,6)</f>
        <v/>
      </c>
    </row>
    <row r="225">
      <c r="A225" s="67" t="n">
        <v>41000</v>
      </c>
      <c r="B225" s="65">
        <f>VLOOKUP(Table1[[#This Row],[Date]],'DB Money Supply'!$A:$F,6)</f>
        <v/>
      </c>
    </row>
    <row r="226">
      <c r="A226" s="67" t="n">
        <v>41091</v>
      </c>
      <c r="B226" s="65">
        <f>VLOOKUP(Table1[[#This Row],[Date]],'DB Money Supply'!$A:$F,6)</f>
        <v/>
      </c>
    </row>
    <row r="227">
      <c r="A227" s="67" t="n">
        <v>41183</v>
      </c>
      <c r="B227" s="65">
        <f>VLOOKUP(Table1[[#This Row],[Date]],'DB Money Supply'!$A:$F,6)</f>
        <v/>
      </c>
    </row>
    <row r="228">
      <c r="A228" s="67" t="n">
        <v>41275</v>
      </c>
      <c r="B228" s="65">
        <f>VLOOKUP(Table1[[#This Row],[Date]],'DB Money Supply'!$A:$F,6)</f>
        <v/>
      </c>
    </row>
    <row r="229">
      <c r="A229" s="67" t="n">
        <v>41365</v>
      </c>
      <c r="B229" s="65">
        <f>VLOOKUP(Table1[[#This Row],[Date]],'DB Money Supply'!$A:$F,6)</f>
        <v/>
      </c>
    </row>
    <row r="230">
      <c r="A230" s="67" t="n">
        <v>41456</v>
      </c>
      <c r="B230" s="65">
        <f>VLOOKUP(Table1[[#This Row],[Date]],'DB Money Supply'!$A:$F,6)</f>
        <v/>
      </c>
    </row>
    <row r="231">
      <c r="A231" s="67" t="n">
        <v>41548</v>
      </c>
      <c r="B231" s="65">
        <f>VLOOKUP(Table1[[#This Row],[Date]],'DB Money Supply'!$A:$F,6)</f>
        <v/>
      </c>
    </row>
    <row r="232">
      <c r="A232" s="67" t="n">
        <v>41640</v>
      </c>
      <c r="B232" s="65">
        <f>VLOOKUP(Table1[[#This Row],[Date]],'DB Money Supply'!$A:$F,6)</f>
        <v/>
      </c>
    </row>
    <row r="233">
      <c r="A233" s="67" t="n">
        <v>41730</v>
      </c>
      <c r="B233" s="65">
        <f>VLOOKUP(Table1[[#This Row],[Date]],'DB Money Supply'!$A:$F,6)</f>
        <v/>
      </c>
    </row>
    <row r="234">
      <c r="A234" s="67" t="n">
        <v>41821</v>
      </c>
      <c r="B234" s="65">
        <f>VLOOKUP(Table1[[#This Row],[Date]],'DB Money Supply'!$A:$F,6)</f>
        <v/>
      </c>
    </row>
    <row r="235">
      <c r="A235" s="67" t="n">
        <v>41913</v>
      </c>
      <c r="B235" s="65">
        <f>VLOOKUP(Table1[[#This Row],[Date]],'DB Money Supply'!$A:$F,6)</f>
        <v/>
      </c>
    </row>
    <row r="236">
      <c r="A236" s="67" t="n">
        <v>42005</v>
      </c>
      <c r="B236" s="65">
        <f>VLOOKUP(Table1[[#This Row],[Date]],'DB Money Supply'!$A:$F,6)</f>
        <v/>
      </c>
    </row>
    <row r="237">
      <c r="A237" s="67" t="n">
        <v>42095</v>
      </c>
      <c r="B237" s="65">
        <f>VLOOKUP(Table1[[#This Row],[Date]],'DB Money Supply'!$A:$F,6)</f>
        <v/>
      </c>
    </row>
    <row r="238">
      <c r="A238" s="67" t="n">
        <v>42186</v>
      </c>
      <c r="B238" s="65">
        <f>VLOOKUP(Table1[[#This Row],[Date]],'DB Money Supply'!$A:$F,6)</f>
        <v/>
      </c>
    </row>
    <row r="239">
      <c r="A239" s="67" t="n">
        <v>42278</v>
      </c>
      <c r="B239" s="65">
        <f>VLOOKUP(Table1[[#This Row],[Date]],'DB Money Supply'!$A:$F,6)</f>
        <v/>
      </c>
    </row>
    <row r="240">
      <c r="A240" s="67" t="n">
        <v>42370</v>
      </c>
      <c r="B240" s="65">
        <f>VLOOKUP(Table1[[#This Row],[Date]],'DB Money Supply'!$A:$F,6)</f>
        <v/>
      </c>
    </row>
    <row r="241">
      <c r="A241" s="67" t="n">
        <v>42461</v>
      </c>
      <c r="B241" s="65">
        <f>VLOOKUP(Table1[[#This Row],[Date]],'DB Money Supply'!$A:$F,6)</f>
        <v/>
      </c>
    </row>
    <row r="242">
      <c r="A242" s="67" t="n">
        <v>42552</v>
      </c>
      <c r="B242" s="65">
        <f>VLOOKUP(Table1[[#This Row],[Date]],'DB Money Supply'!$A:$F,6)</f>
        <v/>
      </c>
    </row>
    <row r="243">
      <c r="A243" s="67" t="n">
        <v>42644</v>
      </c>
      <c r="B243" s="65">
        <f>VLOOKUP(Table1[[#This Row],[Date]],'DB Money Supply'!$A:$F,6)</f>
        <v/>
      </c>
    </row>
    <row r="244">
      <c r="A244" s="67" t="n">
        <v>42736</v>
      </c>
      <c r="B244" s="65">
        <f>VLOOKUP(Table1[[#This Row],[Date]],'DB Money Supply'!$A:$F,6)</f>
        <v/>
      </c>
    </row>
    <row r="245">
      <c r="A245" s="67" t="n">
        <v>42826</v>
      </c>
      <c r="B245" s="65">
        <f>VLOOKUP(Table1[[#This Row],[Date]],'DB Money Supply'!$A:$F,6)</f>
        <v/>
      </c>
    </row>
    <row r="246">
      <c r="A246" s="67" t="n">
        <v>42917</v>
      </c>
      <c r="B246" s="65">
        <f>VLOOKUP(Table1[[#This Row],[Date]],'DB Money Supply'!$A:$F,6)</f>
        <v/>
      </c>
    </row>
    <row r="247">
      <c r="A247" s="67" t="n">
        <v>43009</v>
      </c>
      <c r="B247" s="65">
        <f>VLOOKUP(Table1[[#This Row],[Date]],'DB Money Supply'!$A:$F,6)</f>
        <v/>
      </c>
    </row>
    <row r="248">
      <c r="A248" s="67" t="n">
        <v>43101</v>
      </c>
      <c r="B248" s="65">
        <f>VLOOKUP(Table1[[#This Row],[Date]],'DB Money Supply'!$A:$F,6)</f>
        <v/>
      </c>
    </row>
    <row r="249">
      <c r="A249" s="67" t="n">
        <v>43191</v>
      </c>
      <c r="B249" s="65">
        <f>VLOOKUP(Table1[[#This Row],[Date]],'DB Money Supply'!$A:$F,6)</f>
        <v/>
      </c>
    </row>
    <row r="250">
      <c r="A250" s="67" t="n">
        <v>43282</v>
      </c>
      <c r="B250" s="65">
        <f>VLOOKUP(Table1[[#This Row],[Date]],'DB Money Supply'!$A:$F,6)</f>
        <v/>
      </c>
    </row>
    <row r="251">
      <c r="A251" s="67" t="n">
        <v>43374</v>
      </c>
      <c r="B251" s="65">
        <f>VLOOKUP(Table1[[#This Row],[Date]],'DB Money Supply'!$A:$F,6)</f>
        <v/>
      </c>
    </row>
    <row r="252">
      <c r="A252" s="67" t="n">
        <v>43466</v>
      </c>
      <c r="B252" s="65">
        <f>VLOOKUP(Table1[[#This Row],[Date]],'DB Money Supply'!$A:$F,6)</f>
        <v/>
      </c>
    </row>
    <row r="253">
      <c r="A253" s="67" t="n">
        <v>43556</v>
      </c>
      <c r="B253" s="65">
        <f>VLOOKUP(Table1[[#This Row],[Date]],'DB Money Supply'!$A:$F,6)</f>
        <v/>
      </c>
    </row>
    <row r="254">
      <c r="A254" s="67" t="n">
        <v>43647</v>
      </c>
      <c r="B254" s="65">
        <f>VLOOKUP(Table1[[#This Row],[Date]],'DB Money Supply'!$A:$F,6)</f>
        <v/>
      </c>
    </row>
    <row r="255">
      <c r="A255" s="67" t="n">
        <v>43739</v>
      </c>
      <c r="B255" s="65">
        <f>VLOOKUP(Table1[[#This Row],[Date]],'DB Money Supply'!$A:$F,6)</f>
        <v/>
      </c>
    </row>
    <row r="256">
      <c r="A256" s="67" t="n">
        <v>43831</v>
      </c>
      <c r="B256" s="65">
        <f>VLOOKUP(Table1[[#This Row],[Date]],'DB Money Supply'!$A:$F,6)</f>
        <v/>
      </c>
    </row>
    <row r="257">
      <c r="A257" s="67" t="n">
        <v>43922</v>
      </c>
      <c r="B257" s="65">
        <f>VLOOKUP(Table1[[#This Row],[Date]],'DB Money Supply'!$A:$F,6)</f>
        <v/>
      </c>
    </row>
    <row r="258">
      <c r="A258" s="67" t="n">
        <v>44013</v>
      </c>
      <c r="B258" s="65">
        <f>VLOOKUP(Table1[[#This Row],[Date]],'DB Money Supply'!$A:$F,6)</f>
        <v/>
      </c>
    </row>
    <row r="259">
      <c r="A259" s="67" t="n">
        <v>44105</v>
      </c>
      <c r="B259" s="65">
        <f>VLOOKUP(Table1[[#This Row],[Date]],'DB Money Supply'!$A:$F,6)</f>
        <v/>
      </c>
    </row>
    <row r="260">
      <c r="A260" s="67" t="n">
        <v>44197</v>
      </c>
      <c r="B260" s="65">
        <f>VLOOKUP(Table1[[#This Row],[Date]],'DB Money Supply'!$A:$F,6)</f>
        <v/>
      </c>
    </row>
    <row r="261">
      <c r="A261" s="67" t="n">
        <v>44287</v>
      </c>
      <c r="B261" s="65">
        <f>VLOOKUP(Table1[[#This Row],[Date]],'DB Money Supply'!$A:$F,6)</f>
        <v/>
      </c>
    </row>
    <row r="262">
      <c r="A262" s="67" t="n">
        <v>44378</v>
      </c>
      <c r="B262" s="65">
        <f>VLOOKUP(Table1[[#This Row],[Date]],'DB Money Supply'!$A:$F,6)</f>
        <v/>
      </c>
    </row>
    <row r="263">
      <c r="A263" s="67" t="n">
        <v>44470</v>
      </c>
      <c r="B263" s="65">
        <f>VLOOKUP(Table1[[#This Row],[Date]],'DB Money Supply'!$A:$F,6)</f>
        <v/>
      </c>
    </row>
    <row r="264">
      <c r="A264" s="67" t="n">
        <v>44562</v>
      </c>
      <c r="B264" s="65">
        <f>VLOOKUP(Table1[[#This Row],[Date]],'DB Money Supply'!$A:$F,6)</f>
        <v/>
      </c>
    </row>
    <row r="265">
      <c r="A265" s="67" t="n">
        <v>44652</v>
      </c>
      <c r="B265" s="65">
        <f>VLOOKUP(Table1[[#This Row],[Date]],'DB Money Supply'!$A:$F,6)</f>
        <v/>
      </c>
    </row>
    <row r="266">
      <c r="A266" s="67" t="n">
        <v>44743</v>
      </c>
      <c r="B266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71"/>
  <sheetViews>
    <sheetView zoomScale="120" zoomScaleNormal="120" workbookViewId="0">
      <pane ySplit="5" topLeftCell="A739" activePane="bottomLeft" state="frozen"/>
      <selection pane="bottomLeft" activeCell="B779" sqref="B779"/>
    </sheetView>
  </sheetViews>
  <sheetFormatPr baseColWidth="8" defaultColWidth="9.1796875" defaultRowHeight="14.5"/>
  <cols>
    <col width="11.6328125" customWidth="1" style="16" min="1" max="1"/>
    <col width="12" customWidth="1" style="16" min="2" max="2"/>
    <col width="14.6328125" customWidth="1" style="16" min="3" max="3"/>
    <col width="9.1796875" customWidth="1" style="79" min="4" max="6"/>
    <col width="13.36328125" customWidth="1" style="79" min="7" max="7"/>
    <col width="9.1796875" customWidth="1" style="79" min="8" max="35"/>
    <col width="9.1796875" customWidth="1" style="79" min="36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thickBot="1"/>
    <row r="5" ht="42.75" customHeight="1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63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63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63">
        <f>(Table3032[[#This Row],[Real M1 Money Stock]]-B754)/B754</f>
        <v/>
      </c>
    </row>
    <row r="767">
      <c r="A767" s="25" t="n">
        <v>44713</v>
      </c>
      <c r="B767" s="26">
        <f>VLOOKUP(Table3032[[#This Row],[Month]],'DB Money Supply'!$A:$D,2)</f>
        <v/>
      </c>
      <c r="C767" s="63">
        <f>(Table3032[[#This Row],[Real M1 Money Stock]]-B755)/B755</f>
        <v/>
      </c>
    </row>
    <row r="768">
      <c r="A768" s="25" t="n">
        <v>44743</v>
      </c>
      <c r="B768" s="26">
        <f>VLOOKUP(Table3032[[#This Row],[Month]],'DB Money Supply'!$A:$D,2)</f>
        <v/>
      </c>
      <c r="C768" s="63">
        <f>(Table3032[[#This Row],[Real M1 Money Stock]]-B756)/B756</f>
        <v/>
      </c>
    </row>
    <row r="769">
      <c r="A769" s="25" t="n">
        <v>44774</v>
      </c>
      <c r="B769" s="26">
        <f>VLOOKUP(Table3032[[#This Row],[Month]],'DB Money Supply'!$A:$D,2)</f>
        <v/>
      </c>
      <c r="C769" s="63">
        <f>(Table3032[[#This Row],[Real M1 Money Stock]]-B757)/B757</f>
        <v/>
      </c>
    </row>
    <row r="770">
      <c r="A770" s="25" t="n">
        <v>44805</v>
      </c>
      <c r="B770" s="26">
        <f>VLOOKUP(Table3032[[#This Row],[Month]],'DB Money Supply'!$A:$D,2)</f>
        <v/>
      </c>
      <c r="C770" s="63">
        <f>(Table3032[[#This Row],[Real M1 Money Stock]]-B758)/B758</f>
        <v/>
      </c>
    </row>
    <row r="771">
      <c r="A771" s="25" t="n">
        <v>44835</v>
      </c>
      <c r="B771" s="26">
        <f>VLOOKUP(Table3032[[#This Row],[Month]],'DB Money Supply'!$A:$D,2)</f>
        <v/>
      </c>
      <c r="C771" s="63">
        <f>(Table3032[[#This Row],[Real M1 Money Stock]]-B759)/B759</f>
        <v/>
      </c>
    </row>
  </sheetData>
  <conditionalFormatting sqref="C18:C771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71"/>
  <sheetViews>
    <sheetView zoomScale="110" zoomScaleNormal="110" workbookViewId="0">
      <pane ySplit="5" topLeftCell="A737" activePane="bottomLeft" state="frozen"/>
      <selection pane="bottomLeft" activeCell="A764" sqref="A764:C771"/>
    </sheetView>
  </sheetViews>
  <sheetFormatPr baseColWidth="8" defaultColWidth="9.1796875" defaultRowHeight="14.5"/>
  <cols>
    <col width="11.6328125" customWidth="1" style="16" min="1" max="1"/>
    <col width="12" customWidth="1" style="16" min="2" max="2"/>
    <col width="14.6328125" customWidth="1" style="16" min="3" max="3"/>
    <col width="9.1796875" customWidth="1" style="79" min="4" max="6"/>
    <col width="13.36328125" customWidth="1" style="79" min="7" max="7"/>
    <col width="9.1796875" customWidth="1" style="79" min="8" max="35"/>
    <col width="9.1796875" customWidth="1" style="79" min="36" max="16384"/>
  </cols>
  <sheetData>
    <row r="1">
      <c r="A1" s="1" t="inlineStr">
        <is>
          <t>https://fred.stlouisfed.org/series/M2REAL</t>
        </is>
      </c>
    </row>
    <row r="2">
      <c r="A2" s="79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63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63">
        <f>(Table30[[#This Row],[Real M2 Money Stock]]-B754)/B754</f>
        <v/>
      </c>
    </row>
    <row r="767">
      <c r="A767" s="22" t="n">
        <v>44713</v>
      </c>
      <c r="B767" s="24">
        <f>VLOOKUP(Table30[[#This Row],[Month]],'DB Money Supply'!$A:$D,3)</f>
        <v/>
      </c>
      <c r="C767" s="63">
        <f>(Table30[[#This Row],[Real M2 Money Stock]]-B755)/B755</f>
        <v/>
      </c>
    </row>
    <row r="768">
      <c r="A768" s="22" t="n">
        <v>44743</v>
      </c>
      <c r="B768" s="24">
        <f>VLOOKUP(Table30[[#This Row],[Month]],'DB Money Supply'!$A:$D,3)</f>
        <v/>
      </c>
      <c r="C768" s="27">
        <f>(Table30[[#This Row],[Real M2 Money Stock]]-B756)/B756</f>
        <v/>
      </c>
    </row>
    <row r="769">
      <c r="A769" s="22" t="n">
        <v>44774</v>
      </c>
      <c r="B769" s="24">
        <f>VLOOKUP(Table30[[#This Row],[Month]],'DB Money Supply'!$A:$D,3)</f>
        <v/>
      </c>
      <c r="C769" s="63">
        <f>(Table30[[#This Row],[Real M2 Money Stock]]-B757)/B757</f>
        <v/>
      </c>
    </row>
    <row r="770">
      <c r="A770" s="22" t="n">
        <v>44805</v>
      </c>
      <c r="B770" s="24">
        <f>VLOOKUP(Table30[[#This Row],[Month]],'DB Money Supply'!$A:$D,3)</f>
        <v/>
      </c>
      <c r="C770" s="27">
        <f>(Table30[[#This Row],[Real M2 Money Stock]]-B758)/B758</f>
        <v/>
      </c>
    </row>
    <row r="771">
      <c r="A771" s="22" t="n">
        <v>44835</v>
      </c>
      <c r="B771" s="24">
        <f>VLOOKUP(Table30[[#This Row],[Month]],'DB Money Supply'!$A:$D,3)</f>
        <v/>
      </c>
      <c r="C771" s="27">
        <f>(Table30[[#This Row],[Real M2 Money Stock]]-B759)/B759</f>
        <v/>
      </c>
    </row>
  </sheetData>
  <conditionalFormatting sqref="C18:C77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10" zoomScaleNormal="110" workbookViewId="0">
      <pane ySplit="5" topLeftCell="A2377" activePane="bottomLeft" state="frozen"/>
      <selection pane="bottomLeft" activeCell="U2403" sqref="U2403"/>
    </sheetView>
  </sheetViews>
  <sheetFormatPr baseColWidth="8" defaultColWidth="9.1796875" defaultRowHeight="14.5"/>
  <cols>
    <col width="16.6328125" customWidth="1" style="16" min="1" max="1"/>
    <col width="19" customWidth="1" style="16" min="2" max="2"/>
    <col width="14.6328125" customWidth="1" style="16" min="3" max="3"/>
    <col width="14.6328125" customWidth="1" style="79" min="4" max="4"/>
    <col width="9.1796875" customWidth="1" style="79" min="5" max="32"/>
    <col width="9.1796875" customWidth="1" style="79" min="33" max="16384"/>
  </cols>
  <sheetData>
    <row r="1">
      <c r="A1" s="85" t="inlineStr">
        <is>
          <t>https://fred.stlouisfed.org/series/M1</t>
        </is>
      </c>
    </row>
    <row r="3">
      <c r="H3" s="17" t="n"/>
    </row>
    <row r="4" ht="16" customHeight="1" thickBot="1">
      <c r="H4" s="17" t="n"/>
    </row>
    <row r="5" ht="39.75" customHeight="1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71"/>
  <sheetViews>
    <sheetView zoomScale="140" zoomScaleNormal="140" workbookViewId="0">
      <pane ySplit="5" topLeftCell="A754" activePane="bottomLeft" state="frozen"/>
      <selection pane="bottomLeft" activeCell="A766" sqref="A766:D771"/>
    </sheetView>
  </sheetViews>
  <sheetFormatPr baseColWidth="8" defaultColWidth="9.1796875" defaultRowHeight="14.5"/>
  <cols>
    <col width="16.6328125" customWidth="1" style="16" min="1" max="1"/>
    <col width="19" customWidth="1" style="79" min="2" max="2"/>
    <col width="14.6328125" customWidth="1" style="16" min="3" max="3"/>
    <col width="14.6328125" customWidth="1" style="79" min="4" max="4"/>
    <col width="9.1796875" customWidth="1" style="79" min="5" max="32"/>
    <col width="9.1796875" customWidth="1" style="79" min="33" max="16384"/>
  </cols>
  <sheetData>
    <row r="1">
      <c r="A1" t="inlineStr">
        <is>
          <t>https://fred.stlouisfed.org/series/M2SL</t>
        </is>
      </c>
    </row>
    <row r="2">
      <c r="A2" s="79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thickBot="1">
      <c r="F4" s="17">
        <f>_xlfn.STDEV.S(D7:D752)</f>
        <v/>
      </c>
    </row>
    <row r="5" ht="69" customHeight="1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7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5" t="n">
        <v>44652</v>
      </c>
      <c r="B765" s="57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7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  <row r="767">
      <c r="A767" s="33" t="n">
        <v>44713</v>
      </c>
      <c r="B767" s="57">
        <f>VLOOKUP(Table26[[#This Row],[Date]],'DB Money Supply'!$A:$E,5)</f>
        <v/>
      </c>
      <c r="C767" s="30">
        <f>(Table26[[#This Row],[M2 Money Stock, Billions of Dollars, Monthly, Seasonally Adjusted]]-B766)/B766</f>
        <v/>
      </c>
      <c r="D767" s="31">
        <f>((1+Table26[[#This Row],[Monthly change]])^12)-1</f>
        <v/>
      </c>
    </row>
    <row r="768">
      <c r="A768" s="33" t="n">
        <v>44743</v>
      </c>
      <c r="B768" s="57">
        <f>VLOOKUP(Table26[[#This Row],[Date]],'DB Money Supply'!$A:$E,5)</f>
        <v/>
      </c>
      <c r="C768" s="30">
        <f>(Table26[[#This Row],[M2 Money Stock, Billions of Dollars, Monthly, Seasonally Adjusted]]-B767)/B767</f>
        <v/>
      </c>
      <c r="D768" s="31">
        <f>((1+Table26[[#This Row],[Monthly change]])^12)-1</f>
        <v/>
      </c>
    </row>
    <row r="769">
      <c r="A769" s="55" t="n">
        <v>44774</v>
      </c>
      <c r="B769" s="57">
        <f>VLOOKUP(Table26[[#This Row],[Date]],'DB Money Supply'!$A:$E,5)</f>
        <v/>
      </c>
      <c r="C769" s="30">
        <f>(Table26[[#This Row],[M2 Money Stock, Billions of Dollars, Monthly, Seasonally Adjusted]]-B768)/B768</f>
        <v/>
      </c>
      <c r="D769" s="31">
        <f>((1+Table26[[#This Row],[Monthly change]])^12)-1</f>
        <v/>
      </c>
    </row>
    <row r="770">
      <c r="A770" s="55" t="n">
        <v>44805</v>
      </c>
      <c r="B770" s="57">
        <f>VLOOKUP(Table26[[#This Row],[Date]],'DB Money Supply'!$A:$E,5)</f>
        <v/>
      </c>
      <c r="C770" s="30">
        <f>(Table26[[#This Row],[M2 Money Stock, Billions of Dollars, Monthly, Seasonally Adjusted]]-B769)/B769</f>
        <v/>
      </c>
      <c r="D770" s="31">
        <f>((1+Table26[[#This Row],[Monthly change]])^12)-1</f>
        <v/>
      </c>
    </row>
    <row r="771">
      <c r="A771" s="55" t="n">
        <v>44835</v>
      </c>
      <c r="B771" s="57">
        <f>VLOOKUP(Table26[[#This Row],[Date]],'DB Money Supply'!$A:$E,5)</f>
        <v/>
      </c>
      <c r="C771" s="30">
        <f>(Table26[[#This Row],[M2 Money Stock, Billions of Dollars, Monthly, Seasonally Adjusted]]-B770)/B770</f>
        <v/>
      </c>
      <c r="D771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zoomScale="150" zoomScaleNormal="150" workbookViewId="0">
      <pane xSplit="4" topLeftCell="E1" activePane="topRight" state="frozen"/>
      <selection activeCell="AB17" sqref="AB17"/>
      <selection pane="topRight" activeCell="L26" sqref="L26"/>
    </sheetView>
  </sheetViews>
  <sheetFormatPr baseColWidth="8" defaultColWidth="9.1796875" defaultRowHeight="14.5"/>
  <cols>
    <col width="9.1796875" customWidth="1" style="79" min="1" max="3"/>
    <col width="28" customWidth="1" style="16" min="4" max="9"/>
    <col width="9.1796875" customWidth="1" style="79" min="10" max="37"/>
    <col width="9.1796875" customWidth="1" style="79" min="38" max="16384"/>
  </cols>
  <sheetData>
    <row r="2">
      <c r="D2" s="1" t="inlineStr">
        <is>
          <t>https://tradingeconomics.com/country-list/money-supply-m2?continent=g20</t>
        </is>
      </c>
    </row>
    <row r="7">
      <c r="D7" s="75" t="inlineStr">
        <is>
          <t>Country</t>
        </is>
      </c>
      <c r="E7" s="75" t="inlineStr">
        <is>
          <t>Last</t>
        </is>
      </c>
      <c r="F7" s="75" t="inlineStr">
        <is>
          <t>Month</t>
        </is>
      </c>
      <c r="G7" s="75" t="inlineStr">
        <is>
          <t>Previous</t>
        </is>
      </c>
      <c r="H7" s="75" t="inlineStr">
        <is>
          <t>mom annualized</t>
        </is>
      </c>
      <c r="I7" s="75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8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8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8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8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8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8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8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8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8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8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8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8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8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8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8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8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8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8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8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8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8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8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8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98"/>
  <sheetViews>
    <sheetView zoomScale="120" zoomScaleNormal="120" workbookViewId="0">
      <pane xSplit="1" ySplit="5" topLeftCell="B74" activePane="bottomRight" state="frozen"/>
      <selection pane="topRight" activeCell="B1" sqref="B1"/>
      <selection pane="bottomLeft" activeCell="A6" sqref="A6"/>
      <selection pane="bottomRight" activeCell="AD96" sqref="AD96"/>
    </sheetView>
  </sheetViews>
  <sheetFormatPr baseColWidth="8" defaultColWidth="8.81640625" defaultRowHeight="14.5"/>
  <cols>
    <col width="10.6328125" bestFit="1" customWidth="1" style="79" min="1" max="1"/>
    <col width="13.6328125" customWidth="1" min="2" max="2"/>
    <col width="6.36328125" customWidth="1" min="3" max="3"/>
    <col width="6.1796875" customWidth="1" min="4" max="4"/>
    <col width="7.36328125" customWidth="1" min="5" max="5"/>
    <col width="6.6328125" customWidth="1" min="6" max="6"/>
    <col width="6.1796875" customWidth="1" min="7" max="9"/>
    <col width="5.36328125" customWidth="1" min="10" max="10"/>
    <col width="6.1796875" customWidth="1" min="11" max="22"/>
    <col width="5.6328125" customWidth="1" min="23" max="23"/>
    <col width="6.1796875" customWidth="1" min="24" max="27"/>
    <col width="9.1796875" customWidth="1" style="79" min="28" max="28"/>
    <col width="12.36328125" customWidth="1" style="79" min="29" max="29"/>
    <col width="9.1796875" customWidth="1" style="79" min="30" max="30"/>
    <col width="10.6328125" customWidth="1" style="79" min="31" max="31"/>
    <col width="10.6328125" bestFit="1" customWidth="1" style="79" min="32" max="32"/>
    <col width="9.1796875" customWidth="1" style="79" min="33" max="73"/>
  </cols>
  <sheetData>
    <row r="1" customFormat="1" s="79">
      <c r="C1" s="79" t="inlineStr">
        <is>
          <t>OECD</t>
        </is>
      </c>
      <c r="D1" s="79" t="inlineStr">
        <is>
          <t>USA</t>
        </is>
      </c>
      <c r="E1" s="79" t="inlineStr">
        <is>
          <t>CHN</t>
        </is>
      </c>
      <c r="F1" s="79" t="inlineStr">
        <is>
          <t>EA19</t>
        </is>
      </c>
      <c r="G1" s="79" t="inlineStr">
        <is>
          <t>JPN</t>
        </is>
      </c>
      <c r="H1" s="79" t="inlineStr">
        <is>
          <t>GBR</t>
        </is>
      </c>
      <c r="I1" s="79" t="inlineStr">
        <is>
          <t>CHE</t>
        </is>
      </c>
      <c r="J1" s="79" t="inlineStr">
        <is>
          <t>SWE</t>
        </is>
      </c>
      <c r="K1" s="79" t="inlineStr">
        <is>
          <t>NOR</t>
        </is>
      </c>
      <c r="L1" s="79" t="inlineStr">
        <is>
          <t>BRA</t>
        </is>
      </c>
      <c r="M1" s="79" t="inlineStr">
        <is>
          <t>MEX</t>
        </is>
      </c>
      <c r="N1" s="79" t="inlineStr">
        <is>
          <t>RUS</t>
        </is>
      </c>
      <c r="O1" s="79" t="inlineStr">
        <is>
          <t>IND</t>
        </is>
      </c>
      <c r="P1" s="79" t="inlineStr">
        <is>
          <t>CAN</t>
        </is>
      </c>
      <c r="Q1" s="79" t="inlineStr">
        <is>
          <t>AUS</t>
        </is>
      </c>
      <c r="R1" s="79" t="inlineStr">
        <is>
          <t>IDN</t>
        </is>
      </c>
      <c r="S1" s="79" t="inlineStr">
        <is>
          <t>KOR</t>
        </is>
      </c>
      <c r="T1" s="79" t="inlineStr">
        <is>
          <t>CHL</t>
        </is>
      </c>
      <c r="U1" s="79" t="inlineStr">
        <is>
          <t>DNK</t>
        </is>
      </c>
      <c r="V1" s="79" t="inlineStr">
        <is>
          <t>ISR</t>
        </is>
      </c>
      <c r="W1" s="79" t="inlineStr">
        <is>
          <t>TUR</t>
        </is>
      </c>
      <c r="X1" s="79" t="inlineStr">
        <is>
          <t>ZAF</t>
        </is>
      </c>
      <c r="Y1" s="79" t="inlineStr">
        <is>
          <t>NZL</t>
        </is>
      </c>
      <c r="Z1" s="79" t="inlineStr">
        <is>
          <t>CZE</t>
        </is>
      </c>
      <c r="AA1" s="79" t="inlineStr">
        <is>
          <t>POL</t>
        </is>
      </c>
      <c r="AI1" s="79" t="inlineStr">
        <is>
          <t>modify max/min/avg</t>
        </is>
      </c>
    </row>
    <row r="2" ht="90" customHeight="1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9">
        <f>VLOOKUP(B7,Data!$A:$AN,MATCH(yoy!$C$1,Data!$A$1:$AN$1,),)</f>
        <v/>
      </c>
    </row>
    <row r="8" hidden="1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9">
        <f>VLOOKUP(B8,Data!$A:$AN,MATCH(yoy!$C$1,Data!$A$1:$AN$1,),)</f>
        <v/>
      </c>
    </row>
    <row r="9" hidden="1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9">
        <f>VLOOKUP(B9,Data!$A:$AN,MATCH(yoy!$C$1,Data!$A$1:$AN$1,),)</f>
        <v/>
      </c>
    </row>
    <row r="10" hidden="1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9">
        <f>VLOOKUP(B10,Data!$A:$AN,MATCH(yoy!$C$1,Data!$A$1:$AN$1,),)</f>
        <v/>
      </c>
    </row>
    <row r="11" hidden="1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9">
        <f>VLOOKUP(B11,Data!$A:$AN,MATCH(yoy!$C$1,Data!$A$1:$AN$1,),)</f>
        <v/>
      </c>
    </row>
    <row r="12" hidden="1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9">
        <f>VLOOKUP(B12,Data!$A:$AN,MATCH(yoy!$C$1,Data!$A$1:$AN$1,),)</f>
        <v/>
      </c>
    </row>
    <row r="13" hidden="1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9">
        <f>VLOOKUP(B13,Data!$A:$AN,MATCH(yoy!$C$1,Data!$A$1:$AN$1,),)</f>
        <v/>
      </c>
    </row>
    <row r="14" hidden="1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9">
        <f>VLOOKUP(B14,Data!$A:$AN,MATCH(yoy!$C$1,Data!$A$1:$AN$1,),)</f>
        <v/>
      </c>
    </row>
    <row r="15" hidden="1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9">
        <f>VLOOKUP(B15,Data!$A:$AN,MATCH(yoy!$C$1,Data!$A$1:$AN$1,),)</f>
        <v/>
      </c>
    </row>
    <row r="16" hidden="1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9">
        <f>VLOOKUP(B16,Data!$A:$AN,MATCH(yoy!$C$1,Data!$A$1:$AN$1,),)</f>
        <v/>
      </c>
    </row>
    <row r="17" hidden="1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9">
        <f>VLOOKUP(B17,Data!$A:$AN,MATCH(yoy!$C$1,Data!$A$1:$AN$1,),)</f>
        <v/>
      </c>
    </row>
    <row r="18" hidden="1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9">
        <f>VLOOKUP(B18,Data!$A:$AN,MATCH(yoy!$C$1,Data!$A$1:$AN$1,),)</f>
        <v/>
      </c>
    </row>
    <row r="19" hidden="1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9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9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9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9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9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9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9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9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9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9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9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9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9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9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9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9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9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9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9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9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9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9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9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9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9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9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9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9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9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9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9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9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9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9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9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9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9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9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9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9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9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9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9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9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9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9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9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79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79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79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79">
      <c r="A94" s="20">
        <f>DATE(YEAR(B94)-1,MONTH(B94),DAY(B94))</f>
        <v/>
      </c>
      <c r="B94" s="12" t="n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/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/>
      </c>
      <c r="E94" s="14">
        <f>IF(VLOOKUP(B94,Data!$A:$AN,MATCH(yoy!$E$1,Data!$A$1:$AN$1,),)=0,"#N/A",(VLOOKUP(B94,Data!$A:$AN,MATCH(yoy!$E$1,Data!$A$1:$AN$1,),)-VLOOKUP(A94,Data!$A:$AN,MATCH(yoy!$E$1,Data!$A$1:$AN$1,),))/VLOOKUP(A94,Data!$A:$AN,MATCH(yoy!$E$1,Data!$A$1:$AN$1,),))</f>
        <v/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/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/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/>
      </c>
      <c r="I94" s="14">
        <f>IF(VLOOKUP(B94,Data!$A:$AN,MATCH(yoy!$I$1,Data!$A$1:$AN$1,),)=0,"#N/A",(VLOOKUP(B94,Data!$A:$AN,MATCH(yoy!$I$1,Data!$A$1:$AN$1,),)-VLOOKUP(A94,Data!$A:$AN,MATCH(yoy!$I$1,Data!$A$1:$AN$1,),))/VLOOKUP(A94,Data!$A:$AN,MATCH(yoy!$I$1,Data!$A$1:$AN$1,),))</f>
        <v/>
      </c>
      <c r="J94" s="14">
        <f>IF(VLOOKUP(B94,Data!$A:$AN,MATCH(yoy!$J$1,Data!$A$1:$AN$1,),)=0,"#N/A",(VLOOKUP(B94,Data!$A:$AN,MATCH(yoy!$J$1,Data!$A$1:$AN$1,),)-VLOOKUP(A94,Data!$A:$AN,MATCH(yoy!$J$1,Data!$A$1:$AN$1,),))/VLOOKUP(A94,Data!$A:$AN,MATCH(yoy!$J$1,Data!$A$1:$AN$1,),))</f>
        <v/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/>
      </c>
      <c r="L94" s="14">
        <f>IF(VLOOKUP(B94,Data!$A:$AN,MATCH(yoy!$L$1,Data!$A$1:$AN$1,),)=0,"#N/A",(VLOOKUP(B94,Data!$A:$AN,MATCH(yoy!$L$1,Data!$A$1:$AN$1,),)-VLOOKUP(A94,Data!$A:$AN,MATCH(yoy!$L$1,Data!$A$1:$AN$1,),))/VLOOKUP(A94,Data!$A:$AN,MATCH(yoy!$L$1,Data!$A$1:$AN$1,),))</f>
        <v/>
      </c>
      <c r="M94" s="14">
        <f>IF(VLOOKUP(B94,Data!$A:$AN,MATCH(yoy!$M$1,Data!$A$1:$AN$1,),)=0,"#N/A",(VLOOKUP(B94,Data!$A:$AN,MATCH(yoy!$M$1,Data!$A$1:$AN$1,),)-VLOOKUP(A94,Data!$A:$AN,MATCH(yoy!$M$1,Data!$A$1:$AN$1,),))/VLOOKUP(A94,Data!$A:$AN,MATCH(yoy!$M$1,Data!$A$1:$AN$1,),))</f>
        <v/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/>
      </c>
      <c r="O94" s="14">
        <f>IF(VLOOKUP(B94,Data!$A:$AN,MATCH(yoy!$O$1,Data!$A$1:$AN$1,),)=0,"#N/A",(VLOOKUP(B94,Data!$A:$AN,MATCH(yoy!$O$1,Data!$A$1:$AN$1,),)-VLOOKUP(A94,Data!$A:$AN,MATCH(yoy!$O$1,Data!$A$1:$AN$1,),))/VLOOKUP(A94,Data!$A:$AN,MATCH(yoy!$O$1,Data!$A$1:$AN$1,),))</f>
        <v/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/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/>
      </c>
      <c r="R94" s="14">
        <f>IF(VLOOKUP(B94,Data!$A:$AN,MATCH(yoy!$R$1,Data!$A$1:$AN$1,),)=0,"#N/A",(VLOOKUP(B94,Data!$A:$AN,MATCH(yoy!$R$1,Data!$A$1:$AN$1,),)-VLOOKUP(A94,Data!$A:$AN,MATCH(yoy!$R$1,Data!$A$1:$AN$1,),))/VLOOKUP(A94,Data!$A:$AN,MATCH(yoy!$R$1,Data!$A$1:$AN$1,),))</f>
        <v/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/>
      </c>
      <c r="T94" s="14">
        <f>IF(VLOOKUP(B94,Data!$A:$AN,MATCH(yoy!$T$1,Data!$A$1:$AN$1,),)=0,"#N/A",(VLOOKUP(B94,Data!$A:$AN,MATCH(yoy!$T$1,Data!$A$1:$AN$1,),)-VLOOKUP(A94,Data!$A:$AN,MATCH(yoy!$T$1,Data!$A$1:$AN$1,),))/VLOOKUP(A94,Data!$A:$AN,MATCH(yoy!$T$1,Data!$A$1:$AN$1,),))</f>
        <v/>
      </c>
      <c r="U94" s="14">
        <f>IF(VLOOKUP(B94,Data!$A:$AN,MATCH(yoy!$U$1,Data!$A$1:$AN$1,),)=0,"#N/A",(VLOOKUP(B94,Data!$A:$AN,MATCH(yoy!$U$1,Data!$A$1:$AN$1,),)-VLOOKUP(A94,Data!$A:$AN,MATCH(yoy!$U$1,Data!$A$1:$AN$1,),))/VLOOKUP(A94,Data!$A:$AN,MATCH(yoy!$U$1,Data!$A$1:$AN$1,),))</f>
        <v/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/>
      </c>
      <c r="W94" s="14">
        <f>IF(VLOOKUP(B94,Data!$A:$AN,MATCH(yoy!$W$1,Data!$A$1:$AN$1,),)=0,"#N/A",(VLOOKUP(B94,Data!$A:$AN,MATCH(yoy!$W$1,Data!$A$1:$AN$1,),)-VLOOKUP(A94,Data!$A:$AN,MATCH(yoy!$W$1,Data!$A$1:$AN$1,),))/VLOOKUP(A94,Data!$A:$AN,MATCH(yoy!$W$1,Data!$A$1:$AN$1,),))</f>
        <v/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/>
      </c>
      <c r="Y94" s="14">
        <f>IF(VLOOKUP(B94,Data!$A:$AN,MATCH(yoy!$Y$1,Data!$A$1:$AN$1,),)=0,"#N/A",(VLOOKUP(B94,Data!$A:$AN,MATCH(yoy!$Y$1,Data!$A$1:$AN$1,),)-VLOOKUP(A94,Data!$A:$AN,MATCH(yoy!$Y$1,Data!$A$1:$AN$1,),))/VLOOKUP(A94,Data!$A:$AN,MATCH(yoy!$Y$1,Data!$A$1:$AN$1,),))</f>
        <v/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/>
      </c>
      <c r="AA94" s="14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/>
      </c>
    </row>
    <row r="95" customFormat="1" s="79">
      <c r="A95" s="20">
        <f>DATE(YEAR(B95)-1,MONTH(B95),DAY(B95))</f>
        <v/>
      </c>
      <c r="B95" s="12" t="n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/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/>
      </c>
      <c r="E95" s="14">
        <f>IF(VLOOKUP(B95,Data!$A:$AN,MATCH(yoy!$E$1,Data!$A$1:$AN$1,),)=0,"#N/A",(VLOOKUP(B95,Data!$A:$AN,MATCH(yoy!$E$1,Data!$A$1:$AN$1,),)-VLOOKUP(A95,Data!$A:$AN,MATCH(yoy!$E$1,Data!$A$1:$AN$1,),))/VLOOKUP(A95,Data!$A:$AN,MATCH(yoy!$E$1,Data!$A$1:$AN$1,),))</f>
        <v/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/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/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/>
      </c>
      <c r="I95" s="14">
        <f>IF(VLOOKUP(B95,Data!$A:$AN,MATCH(yoy!$I$1,Data!$A$1:$AN$1,),)=0,"#N/A",(VLOOKUP(B95,Data!$A:$AN,MATCH(yoy!$I$1,Data!$A$1:$AN$1,),)-VLOOKUP(A95,Data!$A:$AN,MATCH(yoy!$I$1,Data!$A$1:$AN$1,),))/VLOOKUP(A95,Data!$A:$AN,MATCH(yoy!$I$1,Data!$A$1:$AN$1,),))</f>
        <v/>
      </c>
      <c r="J95" s="14">
        <f>IF(VLOOKUP(B95,Data!$A:$AN,MATCH(yoy!$J$1,Data!$A$1:$AN$1,),)=0,"#N/A",(VLOOKUP(B95,Data!$A:$AN,MATCH(yoy!$J$1,Data!$A$1:$AN$1,),)-VLOOKUP(A95,Data!$A:$AN,MATCH(yoy!$J$1,Data!$A$1:$AN$1,),))/VLOOKUP(A95,Data!$A:$AN,MATCH(yoy!$J$1,Data!$A$1:$AN$1,),))</f>
        <v/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/>
      </c>
      <c r="L95" s="14">
        <f>IF(VLOOKUP(B95,Data!$A:$AN,MATCH(yoy!$L$1,Data!$A$1:$AN$1,),)=0,"#N/A",(VLOOKUP(B95,Data!$A:$AN,MATCH(yoy!$L$1,Data!$A$1:$AN$1,),)-VLOOKUP(A95,Data!$A:$AN,MATCH(yoy!$L$1,Data!$A$1:$AN$1,),))/VLOOKUP(A95,Data!$A:$AN,MATCH(yoy!$L$1,Data!$A$1:$AN$1,),))</f>
        <v/>
      </c>
      <c r="M95" s="14">
        <f>IF(VLOOKUP(B95,Data!$A:$AN,MATCH(yoy!$M$1,Data!$A$1:$AN$1,),)=0,"#N/A",(VLOOKUP(B95,Data!$A:$AN,MATCH(yoy!$M$1,Data!$A$1:$AN$1,),)-VLOOKUP(A95,Data!$A:$AN,MATCH(yoy!$M$1,Data!$A$1:$AN$1,),))/VLOOKUP(A95,Data!$A:$AN,MATCH(yoy!$M$1,Data!$A$1:$AN$1,),))</f>
        <v/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/>
      </c>
      <c r="O95" s="14">
        <f>IF(VLOOKUP(B95,Data!$A:$AN,MATCH(yoy!$O$1,Data!$A$1:$AN$1,),)=0,"#N/A",(VLOOKUP(B95,Data!$A:$AN,MATCH(yoy!$O$1,Data!$A$1:$AN$1,),)-VLOOKUP(A95,Data!$A:$AN,MATCH(yoy!$O$1,Data!$A$1:$AN$1,),))/VLOOKUP(A95,Data!$A:$AN,MATCH(yoy!$O$1,Data!$A$1:$AN$1,),))</f>
        <v/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/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/>
      </c>
      <c r="R95" s="14">
        <f>IF(VLOOKUP(B95,Data!$A:$AN,MATCH(yoy!$R$1,Data!$A$1:$AN$1,),)=0,"#N/A",(VLOOKUP(B95,Data!$A:$AN,MATCH(yoy!$R$1,Data!$A$1:$AN$1,),)-VLOOKUP(A95,Data!$A:$AN,MATCH(yoy!$R$1,Data!$A$1:$AN$1,),))/VLOOKUP(A95,Data!$A:$AN,MATCH(yoy!$R$1,Data!$A$1:$AN$1,),))</f>
        <v/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/>
      </c>
      <c r="T95" s="14">
        <f>IF(VLOOKUP(B95,Data!$A:$AN,MATCH(yoy!$T$1,Data!$A$1:$AN$1,),)=0,"#N/A",(VLOOKUP(B95,Data!$A:$AN,MATCH(yoy!$T$1,Data!$A$1:$AN$1,),)-VLOOKUP(A95,Data!$A:$AN,MATCH(yoy!$T$1,Data!$A$1:$AN$1,),))/VLOOKUP(A95,Data!$A:$AN,MATCH(yoy!$T$1,Data!$A$1:$AN$1,),))</f>
        <v/>
      </c>
      <c r="U95" s="14">
        <f>IF(VLOOKUP(B95,Data!$A:$AN,MATCH(yoy!$U$1,Data!$A$1:$AN$1,),)=0,"#N/A",(VLOOKUP(B95,Data!$A:$AN,MATCH(yoy!$U$1,Data!$A$1:$AN$1,),)-VLOOKUP(A95,Data!$A:$AN,MATCH(yoy!$U$1,Data!$A$1:$AN$1,),))/VLOOKUP(A95,Data!$A:$AN,MATCH(yoy!$U$1,Data!$A$1:$AN$1,),))</f>
        <v/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/>
      </c>
      <c r="W95" s="14">
        <f>IF(VLOOKUP(B95,Data!$A:$AN,MATCH(yoy!$W$1,Data!$A$1:$AN$1,),)=0,"#N/A",(VLOOKUP(B95,Data!$A:$AN,MATCH(yoy!$W$1,Data!$A$1:$AN$1,),)-VLOOKUP(A95,Data!$A:$AN,MATCH(yoy!$W$1,Data!$A$1:$AN$1,),))/VLOOKUP(A95,Data!$A:$AN,MATCH(yoy!$W$1,Data!$A$1:$AN$1,),))</f>
        <v/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/>
      </c>
      <c r="Y95" s="14">
        <f>IF(VLOOKUP(B95,Data!$A:$AN,MATCH(yoy!$Y$1,Data!$A$1:$AN$1,),)=0,"#N/A",(VLOOKUP(B95,Data!$A:$AN,MATCH(yoy!$Y$1,Data!$A$1:$AN$1,),)-VLOOKUP(A95,Data!$A:$AN,MATCH(yoy!$Y$1,Data!$A$1:$AN$1,),))/VLOOKUP(A95,Data!$A:$AN,MATCH(yoy!$Y$1,Data!$A$1:$AN$1,),))</f>
        <v/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/>
      </c>
      <c r="AA95" s="14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/>
      </c>
    </row>
    <row r="96" customFormat="1" s="79">
      <c r="A96" s="20">
        <f>DATE(YEAR(B96)-1,MONTH(B96),DAY(B96))</f>
        <v/>
      </c>
      <c r="B96" s="12" t="n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/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/>
      </c>
      <c r="E96" s="14">
        <f>IF(VLOOKUP(B96,Data!$A:$AN,MATCH(yoy!$E$1,Data!$A$1:$AN$1,),)=0,"#N/A",(VLOOKUP(B96,Data!$A:$AN,MATCH(yoy!$E$1,Data!$A$1:$AN$1,),)-VLOOKUP(A96,Data!$A:$AN,MATCH(yoy!$E$1,Data!$A$1:$AN$1,),))/VLOOKUP(A96,Data!$A:$AN,MATCH(yoy!$E$1,Data!$A$1:$AN$1,),))</f>
        <v/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/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/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/>
      </c>
      <c r="I96" s="14">
        <f>IF(VLOOKUP(B96,Data!$A:$AN,MATCH(yoy!$I$1,Data!$A$1:$AN$1,),)=0,"#N/A",(VLOOKUP(B96,Data!$A:$AN,MATCH(yoy!$I$1,Data!$A$1:$AN$1,),)-VLOOKUP(A96,Data!$A:$AN,MATCH(yoy!$I$1,Data!$A$1:$AN$1,),))/VLOOKUP(A96,Data!$A:$AN,MATCH(yoy!$I$1,Data!$A$1:$AN$1,),))</f>
        <v/>
      </c>
      <c r="J96" s="14">
        <f>IF(VLOOKUP(B96,Data!$A:$AN,MATCH(yoy!$J$1,Data!$A$1:$AN$1,),)=0,"#N/A",(VLOOKUP(B96,Data!$A:$AN,MATCH(yoy!$J$1,Data!$A$1:$AN$1,),)-VLOOKUP(A96,Data!$A:$AN,MATCH(yoy!$J$1,Data!$A$1:$AN$1,),))/VLOOKUP(A96,Data!$A:$AN,MATCH(yoy!$J$1,Data!$A$1:$AN$1,),))</f>
        <v/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/>
      </c>
      <c r="L96" s="14">
        <f>IF(VLOOKUP(B96,Data!$A:$AN,MATCH(yoy!$L$1,Data!$A$1:$AN$1,),)=0,"#N/A",(VLOOKUP(B96,Data!$A:$AN,MATCH(yoy!$L$1,Data!$A$1:$AN$1,),)-VLOOKUP(A96,Data!$A:$AN,MATCH(yoy!$L$1,Data!$A$1:$AN$1,),))/VLOOKUP(A96,Data!$A:$AN,MATCH(yoy!$L$1,Data!$A$1:$AN$1,),))</f>
        <v/>
      </c>
      <c r="M96" s="14">
        <f>IF(VLOOKUP(B96,Data!$A:$AN,MATCH(yoy!$M$1,Data!$A$1:$AN$1,),)=0,"#N/A",(VLOOKUP(B96,Data!$A:$AN,MATCH(yoy!$M$1,Data!$A$1:$AN$1,),)-VLOOKUP(A96,Data!$A:$AN,MATCH(yoy!$M$1,Data!$A$1:$AN$1,),))/VLOOKUP(A96,Data!$A:$AN,MATCH(yoy!$M$1,Data!$A$1:$AN$1,),))</f>
        <v/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/>
      </c>
      <c r="O96" s="14">
        <f>IF(VLOOKUP(B96,Data!$A:$AN,MATCH(yoy!$O$1,Data!$A$1:$AN$1,),)=0,"#N/A",(VLOOKUP(B96,Data!$A:$AN,MATCH(yoy!$O$1,Data!$A$1:$AN$1,),)-VLOOKUP(A96,Data!$A:$AN,MATCH(yoy!$O$1,Data!$A$1:$AN$1,),))/VLOOKUP(A96,Data!$A:$AN,MATCH(yoy!$O$1,Data!$A$1:$AN$1,),))</f>
        <v/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/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/>
      </c>
      <c r="R96" s="14">
        <f>IF(VLOOKUP(B96,Data!$A:$AN,MATCH(yoy!$R$1,Data!$A$1:$AN$1,),)=0,"#N/A",(VLOOKUP(B96,Data!$A:$AN,MATCH(yoy!$R$1,Data!$A$1:$AN$1,),)-VLOOKUP(A96,Data!$A:$AN,MATCH(yoy!$R$1,Data!$A$1:$AN$1,),))/VLOOKUP(A96,Data!$A:$AN,MATCH(yoy!$R$1,Data!$A$1:$AN$1,),))</f>
        <v/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/>
      </c>
      <c r="T96" s="14">
        <f>IF(VLOOKUP(B96,Data!$A:$AN,MATCH(yoy!$T$1,Data!$A$1:$AN$1,),)=0,"#N/A",(VLOOKUP(B96,Data!$A:$AN,MATCH(yoy!$T$1,Data!$A$1:$AN$1,),)-VLOOKUP(A96,Data!$A:$AN,MATCH(yoy!$T$1,Data!$A$1:$AN$1,),))/VLOOKUP(A96,Data!$A:$AN,MATCH(yoy!$T$1,Data!$A$1:$AN$1,),))</f>
        <v/>
      </c>
      <c r="U96" s="14">
        <f>IF(VLOOKUP(B96,Data!$A:$AN,MATCH(yoy!$U$1,Data!$A$1:$AN$1,),)=0,"#N/A",(VLOOKUP(B96,Data!$A:$AN,MATCH(yoy!$U$1,Data!$A$1:$AN$1,),)-VLOOKUP(A96,Data!$A:$AN,MATCH(yoy!$U$1,Data!$A$1:$AN$1,),))/VLOOKUP(A96,Data!$A:$AN,MATCH(yoy!$U$1,Data!$A$1:$AN$1,),))</f>
        <v/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/>
      </c>
      <c r="W96" s="14">
        <f>IF(VLOOKUP(B96,Data!$A:$AN,MATCH(yoy!$W$1,Data!$A$1:$AN$1,),)=0,"#N/A",(VLOOKUP(B96,Data!$A:$AN,MATCH(yoy!$W$1,Data!$A$1:$AN$1,),)-VLOOKUP(A96,Data!$A:$AN,MATCH(yoy!$W$1,Data!$A$1:$AN$1,),))/VLOOKUP(A96,Data!$A:$AN,MATCH(yoy!$W$1,Data!$A$1:$AN$1,),))</f>
        <v/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/>
      </c>
      <c r="Y96" s="14">
        <f>IF(VLOOKUP(B96,Data!$A:$AN,MATCH(yoy!$Y$1,Data!$A$1:$AN$1,),)=0,"#N/A",(VLOOKUP(B96,Data!$A:$AN,MATCH(yoy!$Y$1,Data!$A$1:$AN$1,),)-VLOOKUP(A96,Data!$A:$AN,MATCH(yoy!$Y$1,Data!$A$1:$AN$1,),))/VLOOKUP(A96,Data!$A:$AN,MATCH(yoy!$Y$1,Data!$A$1:$AN$1,),))</f>
        <v/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/>
      </c>
      <c r="AA96" s="14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/>
      </c>
    </row>
    <row r="97" customFormat="1" s="79">
      <c r="A97" s="20">
        <f>DATE(YEAR(B97)-1,MONTH(B97),DAY(B97))</f>
        <v/>
      </c>
      <c r="B97" s="12" t="n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/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/>
      </c>
      <c r="E97" s="14">
        <f>IF(VLOOKUP(B97,Data!$A:$AN,MATCH(yoy!$E$1,Data!$A$1:$AN$1,),)=0,"#N/A",(VLOOKUP(B97,Data!$A:$AN,MATCH(yoy!$E$1,Data!$A$1:$AN$1,),)-VLOOKUP(A97,Data!$A:$AN,MATCH(yoy!$E$1,Data!$A$1:$AN$1,),))/VLOOKUP(A97,Data!$A:$AN,MATCH(yoy!$E$1,Data!$A$1:$AN$1,),))</f>
        <v/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/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/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/>
      </c>
      <c r="I97" s="14">
        <f>IF(VLOOKUP(B97,Data!$A:$AN,MATCH(yoy!$I$1,Data!$A$1:$AN$1,),)=0,"#N/A",(VLOOKUP(B97,Data!$A:$AN,MATCH(yoy!$I$1,Data!$A$1:$AN$1,),)-VLOOKUP(A97,Data!$A:$AN,MATCH(yoy!$I$1,Data!$A$1:$AN$1,),))/VLOOKUP(A97,Data!$A:$AN,MATCH(yoy!$I$1,Data!$A$1:$AN$1,),))</f>
        <v/>
      </c>
      <c r="J97" s="14">
        <f>IF(VLOOKUP(B97,Data!$A:$AN,MATCH(yoy!$J$1,Data!$A$1:$AN$1,),)=0,"#N/A",(VLOOKUP(B97,Data!$A:$AN,MATCH(yoy!$J$1,Data!$A$1:$AN$1,),)-VLOOKUP(A97,Data!$A:$AN,MATCH(yoy!$J$1,Data!$A$1:$AN$1,),))/VLOOKUP(A97,Data!$A:$AN,MATCH(yoy!$J$1,Data!$A$1:$AN$1,),))</f>
        <v/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/>
      </c>
      <c r="L97" s="14">
        <f>IF(VLOOKUP(B97,Data!$A:$AN,MATCH(yoy!$L$1,Data!$A$1:$AN$1,),)=0,"#N/A",(VLOOKUP(B97,Data!$A:$AN,MATCH(yoy!$L$1,Data!$A$1:$AN$1,),)-VLOOKUP(A97,Data!$A:$AN,MATCH(yoy!$L$1,Data!$A$1:$AN$1,),))/VLOOKUP(A97,Data!$A:$AN,MATCH(yoy!$L$1,Data!$A$1:$AN$1,),))</f>
        <v/>
      </c>
      <c r="M97" s="14">
        <f>IF(VLOOKUP(B97,Data!$A:$AN,MATCH(yoy!$M$1,Data!$A$1:$AN$1,),)=0,"#N/A",(VLOOKUP(B97,Data!$A:$AN,MATCH(yoy!$M$1,Data!$A$1:$AN$1,),)-VLOOKUP(A97,Data!$A:$AN,MATCH(yoy!$M$1,Data!$A$1:$AN$1,),))/VLOOKUP(A97,Data!$A:$AN,MATCH(yoy!$M$1,Data!$A$1:$AN$1,),))</f>
        <v/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/>
      </c>
      <c r="O97" s="14">
        <f>IF(VLOOKUP(B97,Data!$A:$AN,MATCH(yoy!$O$1,Data!$A$1:$AN$1,),)=0,"#N/A",(VLOOKUP(B97,Data!$A:$AN,MATCH(yoy!$O$1,Data!$A$1:$AN$1,),)-VLOOKUP(A97,Data!$A:$AN,MATCH(yoy!$O$1,Data!$A$1:$AN$1,),))/VLOOKUP(A97,Data!$A:$AN,MATCH(yoy!$O$1,Data!$A$1:$AN$1,),))</f>
        <v/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/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/>
      </c>
      <c r="R97" s="14">
        <f>IF(VLOOKUP(B97,Data!$A:$AN,MATCH(yoy!$R$1,Data!$A$1:$AN$1,),)=0,"#N/A",(VLOOKUP(B97,Data!$A:$AN,MATCH(yoy!$R$1,Data!$A$1:$AN$1,),)-VLOOKUP(A97,Data!$A:$AN,MATCH(yoy!$R$1,Data!$A$1:$AN$1,),))/VLOOKUP(A97,Data!$A:$AN,MATCH(yoy!$R$1,Data!$A$1:$AN$1,),))</f>
        <v/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/>
      </c>
      <c r="T97" s="14">
        <f>IF(VLOOKUP(B97,Data!$A:$AN,MATCH(yoy!$T$1,Data!$A$1:$AN$1,),)=0,"#N/A",(VLOOKUP(B97,Data!$A:$AN,MATCH(yoy!$T$1,Data!$A$1:$AN$1,),)-VLOOKUP(A97,Data!$A:$AN,MATCH(yoy!$T$1,Data!$A$1:$AN$1,),))/VLOOKUP(A97,Data!$A:$AN,MATCH(yoy!$T$1,Data!$A$1:$AN$1,),))</f>
        <v/>
      </c>
      <c r="U97" s="14">
        <f>IF(VLOOKUP(B97,Data!$A:$AN,MATCH(yoy!$U$1,Data!$A$1:$AN$1,),)=0,"#N/A",(VLOOKUP(B97,Data!$A:$AN,MATCH(yoy!$U$1,Data!$A$1:$AN$1,),)-VLOOKUP(A97,Data!$A:$AN,MATCH(yoy!$U$1,Data!$A$1:$AN$1,),))/VLOOKUP(A97,Data!$A:$AN,MATCH(yoy!$U$1,Data!$A$1:$AN$1,),))</f>
        <v/>
      </c>
      <c r="V97" s="14">
        <f>IF(VLOOKUP(B97,Data!$A:$AN,MATCH(yoy!$V$1,Data!$A$1:$AN$1,),)=0,"#N/A",(VLOOKUP(B97,Data!$A:$AN,MATCH(yoy!$V$1,Data!$A$1:$AN$1,),)-VLOOKUP(A97,Data!$A:$AN,MATCH(yoy!$V$1,Data!$A$1:$AN$1,),))/VLOOKUP(A97,Data!$A:$AN,MATCH(yoy!$V$1,Data!$A$1:$AN$1,),))</f>
        <v/>
      </c>
      <c r="W97" s="14">
        <f>IF(VLOOKUP(B97,Data!$A:$AN,MATCH(yoy!$W$1,Data!$A$1:$AN$1,),)=0,"#N/A",(VLOOKUP(B97,Data!$A:$AN,MATCH(yoy!$W$1,Data!$A$1:$AN$1,),)-VLOOKUP(A97,Data!$A:$AN,MATCH(yoy!$W$1,Data!$A$1:$AN$1,),))/VLOOKUP(A97,Data!$A:$AN,MATCH(yoy!$W$1,Data!$A$1:$AN$1,),))</f>
        <v/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/>
      </c>
      <c r="Y97" s="14">
        <f>IF(VLOOKUP(B97,Data!$A:$AN,MATCH(yoy!$Y$1,Data!$A$1:$AN$1,),)=0,"#N/A",(VLOOKUP(B97,Data!$A:$AN,MATCH(yoy!$Y$1,Data!$A$1:$AN$1,),)-VLOOKUP(A97,Data!$A:$AN,MATCH(yoy!$Y$1,Data!$A$1:$AN$1,),))/VLOOKUP(A97,Data!$A:$AN,MATCH(yoy!$Y$1,Data!$A$1:$AN$1,),))</f>
        <v/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/>
      </c>
      <c r="AA97" s="14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/>
      </c>
    </row>
    <row r="98" customFormat="1" s="79">
      <c r="A98" s="20">
        <f>DATE(YEAR(B98)-1,MONTH(B98),DAY(B98))</f>
        <v/>
      </c>
      <c r="B98" s="12" t="n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/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/>
      </c>
      <c r="E98" s="14">
        <f>IF(VLOOKUP(B98,Data!$A:$AN,MATCH(yoy!$E$1,Data!$A$1:$AN$1,),)=0,"#N/A",(VLOOKUP(B98,Data!$A:$AN,MATCH(yoy!$E$1,Data!$A$1:$AN$1,),)-VLOOKUP(A98,Data!$A:$AN,MATCH(yoy!$E$1,Data!$A$1:$AN$1,),))/VLOOKUP(A98,Data!$A:$AN,MATCH(yoy!$E$1,Data!$A$1:$AN$1,),))</f>
        <v/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/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/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/>
      </c>
      <c r="I98" s="14">
        <f>IF(VLOOKUP(B98,Data!$A:$AN,MATCH(yoy!$I$1,Data!$A$1:$AN$1,),)=0,"#N/A",(VLOOKUP(B98,Data!$A:$AN,MATCH(yoy!$I$1,Data!$A$1:$AN$1,),)-VLOOKUP(A98,Data!$A:$AN,MATCH(yoy!$I$1,Data!$A$1:$AN$1,),))/VLOOKUP(A98,Data!$A:$AN,MATCH(yoy!$I$1,Data!$A$1:$AN$1,),))</f>
        <v/>
      </c>
      <c r="J98" s="14">
        <f>IF(VLOOKUP(B98,Data!$A:$AN,MATCH(yoy!$J$1,Data!$A$1:$AN$1,),)=0,"#N/A",(VLOOKUP(B98,Data!$A:$AN,MATCH(yoy!$J$1,Data!$A$1:$AN$1,),)-VLOOKUP(A98,Data!$A:$AN,MATCH(yoy!$J$1,Data!$A$1:$AN$1,),))/VLOOKUP(A98,Data!$A:$AN,MATCH(yoy!$J$1,Data!$A$1:$AN$1,),))</f>
        <v/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/>
      </c>
      <c r="L98" s="14">
        <f>IF(VLOOKUP(B98,Data!$A:$AN,MATCH(yoy!$L$1,Data!$A$1:$AN$1,),)=0,"#N/A",(VLOOKUP(B98,Data!$A:$AN,MATCH(yoy!$L$1,Data!$A$1:$AN$1,),)-VLOOKUP(A98,Data!$A:$AN,MATCH(yoy!$L$1,Data!$A$1:$AN$1,),))/VLOOKUP(A98,Data!$A:$AN,MATCH(yoy!$L$1,Data!$A$1:$AN$1,),))</f>
        <v/>
      </c>
      <c r="M98" s="14">
        <f>IF(VLOOKUP(B98,Data!$A:$AN,MATCH(yoy!$M$1,Data!$A$1:$AN$1,),)=0,"#N/A",(VLOOKUP(B98,Data!$A:$AN,MATCH(yoy!$M$1,Data!$A$1:$AN$1,),)-VLOOKUP(A98,Data!$A:$AN,MATCH(yoy!$M$1,Data!$A$1:$AN$1,),))/VLOOKUP(A98,Data!$A:$AN,MATCH(yoy!$M$1,Data!$A$1:$AN$1,),))</f>
        <v/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/>
      </c>
      <c r="O98" s="14">
        <f>IF(VLOOKUP(B98,Data!$A:$AN,MATCH(yoy!$O$1,Data!$A$1:$AN$1,),)=0,"#N/A",(VLOOKUP(B98,Data!$A:$AN,MATCH(yoy!$O$1,Data!$A$1:$AN$1,),)-VLOOKUP(A98,Data!$A:$AN,MATCH(yoy!$O$1,Data!$A$1:$AN$1,),))/VLOOKUP(A98,Data!$A:$AN,MATCH(yoy!$O$1,Data!$A$1:$AN$1,),))</f>
        <v/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/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/>
      </c>
      <c r="R98" s="14">
        <f>IF(VLOOKUP(B98,Data!$A:$AN,MATCH(yoy!$R$1,Data!$A$1:$AN$1,),)=0,"#N/A",(VLOOKUP(B98,Data!$A:$AN,MATCH(yoy!$R$1,Data!$A$1:$AN$1,),)-VLOOKUP(A98,Data!$A:$AN,MATCH(yoy!$R$1,Data!$A$1:$AN$1,),))/VLOOKUP(A98,Data!$A:$AN,MATCH(yoy!$R$1,Data!$A$1:$AN$1,),))</f>
        <v/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/>
      </c>
      <c r="T98" s="14">
        <f>IF(VLOOKUP(B98,Data!$A:$AN,MATCH(yoy!$T$1,Data!$A$1:$AN$1,),)=0,"#N/A",(VLOOKUP(B98,Data!$A:$AN,MATCH(yoy!$T$1,Data!$A$1:$AN$1,),)-VLOOKUP(A98,Data!$A:$AN,MATCH(yoy!$T$1,Data!$A$1:$AN$1,),))/VLOOKUP(A98,Data!$A:$AN,MATCH(yoy!$T$1,Data!$A$1:$AN$1,),))</f>
        <v/>
      </c>
      <c r="U98" s="14">
        <f>IF(VLOOKUP(B98,Data!$A:$AN,MATCH(yoy!$U$1,Data!$A$1:$AN$1,),)=0,"#N/A",(VLOOKUP(B98,Data!$A:$AN,MATCH(yoy!$U$1,Data!$A$1:$AN$1,),)-VLOOKUP(A98,Data!$A:$AN,MATCH(yoy!$U$1,Data!$A$1:$AN$1,),))/VLOOKUP(A98,Data!$A:$AN,MATCH(yoy!$U$1,Data!$A$1:$AN$1,),))</f>
        <v/>
      </c>
      <c r="V98" s="14">
        <f>IF(VLOOKUP(B98,Data!$A:$AN,MATCH(yoy!$V$1,Data!$A$1:$AN$1,),)=0,"#N/A",(VLOOKUP(B98,Data!$A:$AN,MATCH(yoy!$V$1,Data!$A$1:$AN$1,),)-VLOOKUP(A98,Data!$A:$AN,MATCH(yoy!$V$1,Data!$A$1:$AN$1,),))/VLOOKUP(A98,Data!$A:$AN,MATCH(yoy!$V$1,Data!$A$1:$AN$1,),))</f>
        <v/>
      </c>
      <c r="W98" s="14">
        <f>IF(VLOOKUP(B98,Data!$A:$AN,MATCH(yoy!$W$1,Data!$A$1:$AN$1,),)=0,"#N/A",(VLOOKUP(B98,Data!$A:$AN,MATCH(yoy!$W$1,Data!$A$1:$AN$1,),)-VLOOKUP(A98,Data!$A:$AN,MATCH(yoy!$W$1,Data!$A$1:$AN$1,),))/VLOOKUP(A98,Data!$A:$AN,MATCH(yoy!$W$1,Data!$A$1:$AN$1,),))</f>
        <v/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/>
      </c>
      <c r="Y98" s="14">
        <f>IF(VLOOKUP(B98,Data!$A:$AN,MATCH(yoy!$Y$1,Data!$A$1:$AN$1,),)=0,"#N/A",(VLOOKUP(B98,Data!$A:$AN,MATCH(yoy!$Y$1,Data!$A$1:$AN$1,),)-VLOOKUP(A98,Data!$A:$AN,MATCH(yoy!$Y$1,Data!$A$1:$AN$1,),))/VLOOKUP(A98,Data!$A:$AN,MATCH(yoy!$Y$1,Data!$A$1:$AN$1,),))</f>
        <v/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/>
      </c>
      <c r="AA98" s="14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/>
      </c>
    </row>
    <row r="99" customFormat="1" s="79"/>
    <row r="100" customFormat="1" s="79"/>
    <row r="101" customFormat="1" s="79"/>
    <row r="102" customFormat="1" s="79"/>
    <row r="103" customFormat="1" s="79"/>
    <row r="104" customFormat="1" s="79"/>
    <row r="105" customFormat="1" s="79"/>
    <row r="106" customFormat="1" s="79"/>
    <row r="107" customFormat="1" s="79"/>
    <row r="108" customFormat="1" s="79"/>
    <row r="109" customFormat="1" s="79"/>
    <row r="110" customFormat="1" s="79"/>
    <row r="111" customFormat="1" s="79"/>
    <row r="112" customFormat="1" s="79"/>
    <row r="113" customFormat="1" s="79"/>
    <row r="114" customFormat="1" s="79"/>
    <row r="115" customFormat="1" s="79"/>
    <row r="116" customFormat="1" s="79"/>
    <row r="117" customFormat="1" s="79"/>
    <row r="118" customFormat="1" s="79"/>
    <row r="119" customFormat="1" s="79"/>
    <row r="120" customFormat="1" s="79"/>
    <row r="121" customFormat="1" s="79"/>
    <row r="122" customFormat="1" s="79"/>
    <row r="123" customFormat="1" s="79"/>
    <row r="124" customFormat="1" s="79"/>
    <row r="125" customFormat="1" s="79"/>
    <row r="126" customFormat="1" s="79"/>
    <row r="127" customFormat="1" s="79"/>
    <row r="128" customFormat="1" s="79"/>
    <row r="129" customFormat="1" s="79"/>
    <row r="130" customFormat="1" s="79"/>
    <row r="131" customFormat="1" s="79"/>
    <row r="132" customFormat="1" s="79"/>
    <row r="133" customFormat="1" s="79"/>
    <row r="134" customFormat="1" s="79"/>
    <row r="135" customFormat="1" s="79"/>
    <row r="136" customFormat="1" s="79"/>
    <row r="137" customFormat="1" s="79"/>
    <row r="138" customFormat="1" s="79"/>
    <row r="139" customFormat="1" s="79"/>
    <row r="140" customFormat="1" s="79"/>
    <row r="141" customFormat="1" s="79"/>
    <row r="142" customFormat="1" s="79"/>
    <row r="143" customFormat="1" s="79"/>
    <row r="144" customFormat="1" s="79"/>
    <row r="145" customFormat="1" s="79"/>
    <row r="146" customFormat="1" s="79"/>
    <row r="147" customFormat="1" s="79"/>
    <row r="148" customFormat="1" s="79"/>
    <row r="149" customFormat="1" s="79"/>
    <row r="150" customFormat="1" s="79"/>
    <row r="151" customFormat="1" s="79"/>
    <row r="152" customFormat="1" s="79"/>
    <row r="153" customFormat="1" s="79"/>
    <row r="154" customFormat="1" s="79"/>
    <row r="155" customFormat="1" s="79"/>
    <row r="156" customFormat="1" s="79"/>
    <row r="157" customFormat="1" s="79"/>
    <row r="158" customFormat="1" s="79"/>
    <row r="159" customFormat="1" s="79"/>
    <row r="160" customFormat="1" s="79"/>
    <row r="161" customFormat="1" s="79"/>
    <row r="162" customFormat="1" s="79"/>
    <row r="163" customFormat="1" s="79"/>
    <row r="164" customFormat="1" s="79"/>
    <row r="165" customFormat="1" s="79"/>
    <row r="166" customFormat="1" s="79"/>
    <row r="167" customFormat="1" s="79"/>
    <row r="168" customFormat="1" s="79"/>
    <row r="169" customFormat="1" s="79"/>
    <row r="170" customFormat="1" s="79"/>
    <row r="171" customFormat="1" s="79"/>
    <row r="172" customFormat="1" s="79"/>
    <row r="173" customFormat="1" s="79"/>
    <row r="174" customFormat="1" s="79"/>
    <row r="175" customFormat="1" s="79"/>
    <row r="176" customFormat="1" s="79"/>
    <row r="177" customFormat="1" s="79"/>
    <row r="178" customFormat="1" s="79"/>
    <row r="179" customFormat="1" s="79"/>
    <row r="180" customFormat="1" s="79"/>
    <row r="181" customFormat="1" s="79"/>
    <row r="182" customFormat="1" s="79"/>
    <row r="183" customFormat="1" s="79"/>
    <row r="184" customFormat="1" s="79"/>
    <row r="185" customFormat="1" s="79"/>
    <row r="186" customFormat="1" s="79"/>
    <row r="187" customFormat="1" s="79"/>
    <row r="188" customFormat="1" s="79"/>
    <row r="189" customFormat="1" s="79"/>
    <row r="190" customFormat="1" s="79"/>
    <row r="191" customFormat="1" s="79"/>
    <row r="192" customFormat="1" s="79"/>
    <row r="193" customFormat="1" s="79"/>
    <row r="194" customFormat="1" s="79"/>
    <row r="195" customFormat="1" s="79"/>
    <row r="196" customFormat="1" s="79"/>
    <row r="197" customFormat="1" s="79"/>
    <row r="198" customFormat="1" s="79"/>
    <row r="199" customFormat="1" s="79"/>
    <row r="200" customFormat="1" s="79"/>
    <row r="201" customFormat="1" s="79"/>
    <row r="202" customFormat="1" s="79"/>
    <row r="203" customFormat="1" s="79"/>
    <row r="204" customFormat="1" s="79"/>
    <row r="205" customFormat="1" s="79"/>
    <row r="206" customFormat="1" s="79"/>
    <row r="207" customFormat="1" s="79"/>
    <row r="208" customFormat="1" s="79"/>
    <row r="209" customFormat="1" s="79"/>
    <row r="210" customFormat="1" s="79"/>
    <row r="211" customFormat="1" s="79"/>
    <row r="212" customFormat="1" s="79"/>
    <row r="213" customFormat="1" s="79"/>
    <row r="214" customFormat="1" s="79"/>
    <row r="215" customFormat="1" s="79"/>
    <row r="216" customFormat="1" s="79"/>
    <row r="217" customFormat="1" s="79"/>
    <row r="218" customFormat="1" s="79"/>
    <row r="219" customFormat="1" s="79"/>
    <row r="220" customFormat="1" s="79"/>
    <row r="221" customFormat="1" s="79"/>
    <row r="222" customFormat="1" s="79"/>
    <row r="223" customFormat="1" s="79"/>
    <row r="224" customFormat="1" s="79"/>
    <row r="225" customFormat="1" s="79"/>
    <row r="226" customFormat="1" s="79"/>
    <row r="227" customFormat="1" s="79"/>
    <row r="228" customFormat="1" s="79"/>
    <row r="229" customFormat="1" s="79"/>
    <row r="230" customFormat="1" s="79"/>
    <row r="231" customFormat="1" s="79"/>
    <row r="232" customFormat="1" s="79"/>
    <row r="233" customFormat="1" s="79"/>
    <row r="234" customFormat="1" s="79"/>
    <row r="235" customFormat="1" s="79"/>
    <row r="236" customFormat="1" s="79"/>
    <row r="237" customFormat="1" s="79"/>
    <row r="238" customFormat="1" s="79"/>
    <row r="239" customFormat="1" s="79"/>
    <row r="240" customFormat="1" s="79"/>
    <row r="241" customFormat="1" s="79"/>
    <row r="242" customFormat="1" s="79"/>
    <row r="243" customFormat="1" s="79"/>
    <row r="244" customFormat="1" s="79"/>
    <row r="245" customFormat="1" s="79"/>
    <row r="246" customFormat="1" s="79"/>
    <row r="247" customFormat="1" s="79"/>
    <row r="248" customFormat="1" s="79"/>
    <row r="249" customFormat="1" s="79"/>
    <row r="250" customFormat="1" s="79"/>
    <row r="251" customFormat="1" s="79"/>
    <row r="252" customFormat="1" s="79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98"/>
  <sheetViews>
    <sheetView zoomScale="130" zoomScaleNormal="130" workbookViewId="0">
      <pane xSplit="2" ySplit="5" topLeftCell="C75" activePane="bottomRight" state="frozen"/>
      <selection activeCell="AB17" sqref="AB17"/>
      <selection pane="topRight" activeCell="AB17" sqref="AB17"/>
      <selection pane="bottomLeft" activeCell="AB17" sqref="AB17"/>
      <selection pane="bottomRight" activeCell="A90" sqref="A90:AA98"/>
    </sheetView>
  </sheetViews>
  <sheetFormatPr baseColWidth="8" defaultColWidth="8.81640625" defaultRowHeight="14.5"/>
  <cols>
    <col width="10.6328125" bestFit="1" customWidth="1" style="79" min="1" max="1"/>
    <col width="13.6328125" customWidth="1" min="2" max="2"/>
    <col width="6.1796875" customWidth="1" min="3" max="22"/>
    <col width="5.6328125" customWidth="1" min="23" max="23"/>
    <col width="6.1796875" customWidth="1" min="24" max="27"/>
    <col width="9.1796875" customWidth="1" style="79" min="28" max="28"/>
    <col width="12.36328125" customWidth="1" style="79" min="29" max="29"/>
    <col width="9.1796875" customWidth="1" style="79" min="30" max="30"/>
    <col width="10.6328125" customWidth="1" style="79" min="31" max="31"/>
    <col width="10.6328125" bestFit="1" customWidth="1" style="79" min="32" max="32"/>
    <col width="9.1796875" customWidth="1" style="79" min="33" max="73"/>
  </cols>
  <sheetData>
    <row r="1" customFormat="1" s="79">
      <c r="C1" s="79" t="inlineStr">
        <is>
          <t>OECD</t>
        </is>
      </c>
      <c r="D1" s="79" t="inlineStr">
        <is>
          <t>USA</t>
        </is>
      </c>
      <c r="E1" s="79" t="inlineStr">
        <is>
          <t>CHN</t>
        </is>
      </c>
      <c r="F1" s="79" t="inlineStr">
        <is>
          <t>EA19</t>
        </is>
      </c>
      <c r="G1" s="79" t="inlineStr">
        <is>
          <t>JPN</t>
        </is>
      </c>
      <c r="H1" s="79" t="inlineStr">
        <is>
          <t>GBR</t>
        </is>
      </c>
      <c r="I1" s="79" t="inlineStr">
        <is>
          <t>CHE</t>
        </is>
      </c>
      <c r="J1" s="79" t="inlineStr">
        <is>
          <t>SWE</t>
        </is>
      </c>
      <c r="K1" s="79" t="inlineStr">
        <is>
          <t>NOR</t>
        </is>
      </c>
      <c r="L1" s="79" t="inlineStr">
        <is>
          <t>BRA</t>
        </is>
      </c>
      <c r="M1" s="79" t="inlineStr">
        <is>
          <t>MEX</t>
        </is>
      </c>
      <c r="N1" s="79" t="inlineStr">
        <is>
          <t>RUS</t>
        </is>
      </c>
      <c r="O1" s="79" t="inlineStr">
        <is>
          <t>IND</t>
        </is>
      </c>
      <c r="P1" s="79" t="inlineStr">
        <is>
          <t>CAN</t>
        </is>
      </c>
      <c r="Q1" s="79" t="inlineStr">
        <is>
          <t>AUS</t>
        </is>
      </c>
      <c r="R1" s="79" t="inlineStr">
        <is>
          <t>IDN</t>
        </is>
      </c>
      <c r="S1" s="79" t="inlineStr">
        <is>
          <t>KOR</t>
        </is>
      </c>
      <c r="T1" s="79" t="inlineStr">
        <is>
          <t>CHL</t>
        </is>
      </c>
      <c r="U1" s="79" t="inlineStr">
        <is>
          <t>DNK</t>
        </is>
      </c>
      <c r="V1" s="79" t="inlineStr">
        <is>
          <t>ISR</t>
        </is>
      </c>
      <c r="W1" s="79" t="inlineStr">
        <is>
          <t>TUR</t>
        </is>
      </c>
      <c r="X1" s="79" t="inlineStr">
        <is>
          <t>ZAF</t>
        </is>
      </c>
      <c r="Y1" s="79" t="inlineStr">
        <is>
          <t>NZL</t>
        </is>
      </c>
      <c r="Z1" s="79" t="inlineStr">
        <is>
          <t>CZE</t>
        </is>
      </c>
      <c r="AA1" s="79" t="inlineStr">
        <is>
          <t>POL</t>
        </is>
      </c>
      <c r="AI1" s="79" t="inlineStr">
        <is>
          <t>modify max/min/avg</t>
        </is>
      </c>
    </row>
    <row r="2" ht="90" customHeight="1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  <c r="AC5" s="79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9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9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9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9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9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9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9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9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9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9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9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9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9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9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9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9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9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9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9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9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9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9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9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9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9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9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9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9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9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9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9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9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9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9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9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9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9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9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9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9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9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9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9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9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9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9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79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79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79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79">
      <c r="A94" s="20">
        <f>DATE(YEAR(B94),MONTH(B94)-1,DAY(B94))</f>
        <v/>
      </c>
      <c r="B94" s="12" t="n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/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/>
      </c>
      <c r="E94" s="14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/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/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/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/>
      </c>
      <c r="I94" s="14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/>
      </c>
      <c r="J94" s="14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/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/>
      </c>
      <c r="L94" s="14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/>
      </c>
      <c r="M94" s="14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/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/>
      </c>
      <c r="O94" s="14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/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/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/>
      </c>
      <c r="R94" s="14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/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/>
      </c>
      <c r="T94" s="14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/>
      </c>
      <c r="U94" s="14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/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/>
      </c>
      <c r="W94" s="14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/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/>
      </c>
      <c r="Y94" s="14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/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/>
      </c>
      <c r="AA94" s="14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/>
      </c>
    </row>
    <row r="95" customFormat="1" s="79">
      <c r="A95" s="20">
        <f>DATE(YEAR(B95),MONTH(B95)-1,DAY(B95))</f>
        <v/>
      </c>
      <c r="B95" s="12" t="n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/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/>
      </c>
      <c r="E95" s="14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/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/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/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/>
      </c>
      <c r="I95" s="14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/>
      </c>
      <c r="J95" s="14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/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/>
      </c>
      <c r="L95" s="14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/>
      </c>
      <c r="M95" s="14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/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/>
      </c>
      <c r="O95" s="14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/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/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/>
      </c>
      <c r="R95" s="14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/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/>
      </c>
      <c r="T95" s="14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/>
      </c>
      <c r="U95" s="14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/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/>
      </c>
      <c r="W95" s="14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/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/>
      </c>
      <c r="Y95" s="14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/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/>
      </c>
      <c r="AA95" s="14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/>
      </c>
    </row>
    <row r="96" customFormat="1" s="79">
      <c r="A96" s="20">
        <f>DATE(YEAR(B96),MONTH(B96)-1,DAY(B96))</f>
        <v/>
      </c>
      <c r="B96" s="12" t="n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/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/>
      </c>
      <c r="E96" s="14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/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/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/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/>
      </c>
      <c r="I96" s="14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/>
      </c>
      <c r="J96" s="14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/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/>
      </c>
      <c r="L96" s="14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/>
      </c>
      <c r="M96" s="14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/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/>
      </c>
      <c r="O96" s="14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/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/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/>
      </c>
      <c r="R96" s="14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/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/>
      </c>
      <c r="T96" s="14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/>
      </c>
      <c r="U96" s="14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/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/>
      </c>
      <c r="W96" s="14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/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/>
      </c>
      <c r="Y96" s="14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/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/>
      </c>
      <c r="AA96" s="14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/>
      </c>
    </row>
    <row r="97" customFormat="1" s="79">
      <c r="A97" s="20">
        <f>DATE(YEAR(B97),MONTH(B97)-1,DAY(B97))</f>
        <v/>
      </c>
      <c r="B97" s="12" t="n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/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/>
      </c>
      <c r="E97" s="14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/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/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/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/>
      </c>
      <c r="I97" s="14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/>
      </c>
      <c r="J97" s="14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/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/>
      </c>
      <c r="L97" s="14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/>
      </c>
      <c r="M97" s="14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/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/>
      </c>
      <c r="O97" s="14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/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/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/>
      </c>
      <c r="R97" s="14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/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/>
      </c>
      <c r="T97" s="14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/>
      </c>
      <c r="U97" s="14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/>
      </c>
      <c r="V97" s="14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/>
      </c>
      <c r="W97" s="14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/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/>
      </c>
      <c r="Y97" s="14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/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/>
      </c>
      <c r="AA97" s="14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/>
      </c>
    </row>
    <row r="98" customFormat="1" s="79">
      <c r="A98" s="20">
        <f>DATE(YEAR(B98),MONTH(B98)-1,DAY(B98))</f>
        <v/>
      </c>
      <c r="B98" s="12" t="n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/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/>
      </c>
      <c r="E98" s="14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/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/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/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/>
      </c>
      <c r="I98" s="14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/>
      </c>
      <c r="J98" s="14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/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/>
      </c>
      <c r="L98" s="14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/>
      </c>
      <c r="M98" s="14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/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/>
      </c>
      <c r="O98" s="14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/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/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/>
      </c>
      <c r="R98" s="14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/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/>
      </c>
      <c r="T98" s="14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/>
      </c>
      <c r="U98" s="14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/>
      </c>
      <c r="V98" s="14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/>
      </c>
      <c r="W98" s="14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/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/>
      </c>
      <c r="Y98" s="14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/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/>
      </c>
      <c r="AA98" s="14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/>
      </c>
    </row>
    <row r="99" customFormat="1" s="79"/>
    <row r="100" customFormat="1" s="79"/>
    <row r="101" customFormat="1" s="79"/>
    <row r="102" customFormat="1" s="79"/>
    <row r="103" customFormat="1" s="79"/>
    <row r="104" customFormat="1" s="79"/>
    <row r="105" customFormat="1" s="79"/>
    <row r="106" customFormat="1" s="79"/>
    <row r="107" customFormat="1" s="79"/>
    <row r="108" customFormat="1" s="79"/>
    <row r="109" customFormat="1" s="79"/>
    <row r="110" customFormat="1" s="79"/>
    <row r="111" customFormat="1" s="79"/>
    <row r="112" customFormat="1" s="79"/>
    <row r="113" customFormat="1" s="79"/>
    <row r="114" customFormat="1" s="79"/>
    <row r="115" customFormat="1" s="79"/>
    <row r="116" customFormat="1" s="79"/>
    <row r="117" customFormat="1" s="79"/>
    <row r="118" customFormat="1" s="79"/>
    <row r="119" customFormat="1" s="79"/>
    <row r="120" customFormat="1" s="79"/>
    <row r="121" customFormat="1" s="79"/>
    <row r="122" customFormat="1" s="79"/>
    <row r="123" customFormat="1" s="79"/>
    <row r="124" customFormat="1" s="79"/>
    <row r="125" customFormat="1" s="79"/>
    <row r="126" customFormat="1" s="79"/>
    <row r="127" customFormat="1" s="79"/>
    <row r="128" customFormat="1" s="79"/>
    <row r="129" customFormat="1" s="79"/>
    <row r="130" customFormat="1" s="79"/>
    <row r="131" customFormat="1" s="79"/>
    <row r="132" customFormat="1" s="79"/>
    <row r="133" customFormat="1" s="79"/>
    <row r="134" customFormat="1" s="79"/>
    <row r="135" customFormat="1" s="79"/>
    <row r="136" customFormat="1" s="79"/>
    <row r="137" customFormat="1" s="79"/>
    <row r="138" customFormat="1" s="79"/>
    <row r="139" customFormat="1" s="79"/>
    <row r="140" customFormat="1" s="79"/>
    <row r="141" customFormat="1" s="79"/>
    <row r="142" customFormat="1" s="79"/>
    <row r="143" customFormat="1" s="79"/>
    <row r="144" customFormat="1" s="79"/>
    <row r="145" customFormat="1" s="79"/>
    <row r="146" customFormat="1" s="79"/>
    <row r="147" customFormat="1" s="79"/>
    <row r="148" customFormat="1" s="79"/>
    <row r="149" customFormat="1" s="79"/>
    <row r="150" customFormat="1" s="79"/>
    <row r="151" customFormat="1" s="79"/>
    <row r="152" customFormat="1" s="79"/>
    <row r="153" customFormat="1" s="79"/>
    <row r="154" customFormat="1" s="79"/>
    <row r="155" customFormat="1" s="79"/>
    <row r="156" customFormat="1" s="79"/>
    <row r="157" customFormat="1" s="79"/>
    <row r="158" customFormat="1" s="79"/>
    <row r="159" customFormat="1" s="79"/>
    <row r="160" customFormat="1" s="79"/>
    <row r="161" customFormat="1" s="79"/>
    <row r="162" customFormat="1" s="79"/>
    <row r="163" customFormat="1" s="79"/>
    <row r="164" customFormat="1" s="79"/>
    <row r="165" customFormat="1" s="79"/>
    <row r="166" customFormat="1" s="79"/>
    <row r="167" customFormat="1" s="79"/>
    <row r="168" customFormat="1" s="79"/>
    <row r="169" customFormat="1" s="79"/>
    <row r="170" customFormat="1" s="79"/>
    <row r="171" customFormat="1" s="79"/>
    <row r="172" customFormat="1" s="79"/>
    <row r="173" customFormat="1" s="79"/>
    <row r="174" customFormat="1" s="79"/>
    <row r="175" customFormat="1" s="79"/>
    <row r="176" customFormat="1" s="79"/>
    <row r="177" customFormat="1" s="79"/>
    <row r="178" customFormat="1" s="79"/>
    <row r="179" customFormat="1" s="79"/>
    <row r="180" customFormat="1" s="79"/>
    <row r="181" customFormat="1" s="79"/>
    <row r="182" customFormat="1" s="79"/>
    <row r="183" customFormat="1" s="79"/>
    <row r="184" customFormat="1" s="79"/>
    <row r="185" customFormat="1" s="79"/>
    <row r="186" customFormat="1" s="79"/>
    <row r="187" customFormat="1" s="79"/>
    <row r="188" customFormat="1" s="79"/>
    <row r="189" customFormat="1" s="79"/>
    <row r="190" customFormat="1" s="79"/>
    <row r="191" customFormat="1" s="79"/>
    <row r="192" customFormat="1" s="79"/>
    <row r="193" customFormat="1" s="79"/>
    <row r="194" customFormat="1" s="79"/>
    <row r="195" customFormat="1" s="79"/>
    <row r="196" customFormat="1" s="79"/>
    <row r="197" customFormat="1" s="79"/>
    <row r="198" customFormat="1" s="79"/>
    <row r="199" customFormat="1" s="79"/>
    <row r="200" customFormat="1" s="79"/>
    <row r="201" customFormat="1" s="79"/>
    <row r="202" customFormat="1" s="79"/>
    <row r="203" customFormat="1" s="79"/>
    <row r="204" customFormat="1" s="79"/>
    <row r="205" customFormat="1" s="79"/>
    <row r="206" customFormat="1" s="79"/>
    <row r="207" customFormat="1" s="79"/>
    <row r="208" customFormat="1" s="79"/>
    <row r="209" customFormat="1" s="79"/>
    <row r="210" customFormat="1" s="79"/>
    <row r="211" customFormat="1" s="79"/>
    <row r="212" customFormat="1" s="79"/>
    <row r="213" customFormat="1" s="79"/>
    <row r="214" customFormat="1" s="79"/>
    <row r="215" customFormat="1" s="79"/>
    <row r="216" customFormat="1" s="79"/>
    <row r="217" customFormat="1" s="79"/>
    <row r="218" customFormat="1" s="79"/>
    <row r="219" customFormat="1" s="79"/>
    <row r="220" customFormat="1" s="79"/>
    <row r="221" customFormat="1" s="79"/>
    <row r="222" customFormat="1" s="79"/>
    <row r="223" customFormat="1" s="79"/>
    <row r="224" customFormat="1" s="79"/>
    <row r="225" customFormat="1" s="79"/>
    <row r="226" customFormat="1" s="79"/>
    <row r="227" customFormat="1" s="79"/>
    <row r="228" customFormat="1" s="79"/>
    <row r="229" customFormat="1" s="79"/>
    <row r="230" customFormat="1" s="79"/>
    <row r="231" customFormat="1" s="79"/>
    <row r="232" customFormat="1" s="79"/>
    <row r="233" customFormat="1" s="79"/>
    <row r="234" customFormat="1" s="79"/>
    <row r="235" customFormat="1" s="79"/>
    <row r="236" customFormat="1" s="79"/>
    <row r="237" customFormat="1" s="79"/>
    <row r="238" customFormat="1" s="79"/>
    <row r="239" customFormat="1" s="79"/>
    <row r="240" customFormat="1" s="79"/>
    <row r="241" customFormat="1" s="79"/>
    <row r="242" customFormat="1" s="79"/>
    <row r="243" customFormat="1" s="79"/>
    <row r="244" customFormat="1" s="79"/>
    <row r="245" customFormat="1" s="79"/>
    <row r="246" customFormat="1" s="79"/>
    <row r="247" customFormat="1" s="79"/>
    <row r="248" customFormat="1" s="79"/>
    <row r="249" customFormat="1" s="79"/>
    <row r="250" customFormat="1" s="79"/>
    <row r="251" customFormat="1" s="79"/>
    <row r="252" customFormat="1" s="79"/>
    <row r="253" customFormat="1" s="79"/>
    <row r="254" customFormat="1" s="79"/>
    <row r="255" customFormat="1" s="79"/>
    <row r="256" customFormat="1" s="79"/>
    <row r="257" customFormat="1" s="79"/>
    <row r="258" customFormat="1" s="79"/>
    <row r="259" customFormat="1" s="79"/>
    <row r="260" customFormat="1" s="79"/>
    <row r="261" customFormat="1" s="79"/>
    <row r="262" customFormat="1" s="79"/>
    <row r="263" customFormat="1" s="79"/>
    <row r="264" customFormat="1" s="79"/>
    <row r="265" customFormat="1" s="79"/>
    <row r="266" customFormat="1" s="79"/>
    <row r="267" customFormat="1" s="79"/>
    <row r="268" customFormat="1" s="79"/>
    <row r="269" customFormat="1" s="79"/>
    <row r="270" customFormat="1" s="79"/>
    <row r="271" customFormat="1" s="79"/>
    <row r="272" customFormat="1" s="79"/>
    <row r="273" customFormat="1" s="79"/>
    <row r="274" customFormat="1" s="79"/>
    <row r="275" customFormat="1" s="79"/>
    <row r="276" customFormat="1" s="79"/>
    <row r="277" customFormat="1" s="79"/>
    <row r="278" customFormat="1" s="79"/>
    <row r="279" customFormat="1" s="79"/>
    <row r="280" customFormat="1" s="79"/>
    <row r="281" customFormat="1" s="79"/>
    <row r="282" customFormat="1" s="79"/>
    <row r="283" customFormat="1" s="79"/>
    <row r="284" customFormat="1" s="79"/>
    <row r="285" customFormat="1" s="79"/>
    <row r="286" customFormat="1" s="79"/>
    <row r="287" customFormat="1" s="79"/>
    <row r="288" customFormat="1" s="79"/>
    <row r="289" customFormat="1" s="79"/>
    <row r="290" customFormat="1" s="79"/>
    <row r="291" customFormat="1" s="79"/>
    <row r="292" customFormat="1" s="79"/>
    <row r="293" customFormat="1" s="79"/>
    <row r="294" customFormat="1" s="79"/>
    <row r="295" customFormat="1" s="79"/>
    <row r="296" customFormat="1" s="79"/>
    <row r="297" customFormat="1" s="79"/>
    <row r="298" customFormat="1" s="79"/>
    <row r="299" customFormat="1" s="79"/>
    <row r="300" customFormat="1" s="79"/>
    <row r="301" customFormat="1" s="79"/>
    <row r="302" customFormat="1" s="79"/>
    <row r="303" customFormat="1" s="79"/>
    <row r="304" customFormat="1" s="79"/>
    <row r="305" customFormat="1" s="79"/>
    <row r="306" customFormat="1" s="79"/>
    <row r="307" customFormat="1" s="79"/>
    <row r="308" customFormat="1" s="79"/>
    <row r="309" customFormat="1" s="79"/>
    <row r="310" customFormat="1" s="79"/>
    <row r="311" customFormat="1" s="79"/>
    <row r="312" customFormat="1" s="79"/>
    <row r="313" customFormat="1" s="79"/>
    <row r="314" customFormat="1" s="79"/>
    <row r="315" customFormat="1" s="79"/>
    <row r="316" customFormat="1" s="79"/>
    <row r="317" customFormat="1" s="79"/>
    <row r="318" customFormat="1" s="79"/>
    <row r="319" customFormat="1" s="79"/>
    <row r="320" customFormat="1" s="79"/>
    <row r="321" customFormat="1" s="79"/>
    <row r="322" customFormat="1" s="79"/>
    <row r="323" customFormat="1" s="79"/>
    <row r="324" customFormat="1" s="79"/>
    <row r="325" customFormat="1" s="79"/>
    <row r="326" customFormat="1" s="79"/>
    <row r="327" customFormat="1" s="79"/>
    <row r="328" customFormat="1" s="79"/>
    <row r="329" customFormat="1" s="79"/>
    <row r="330" customFormat="1" s="79"/>
    <row r="331" customFormat="1" s="79"/>
    <row r="332" customFormat="1" s="79"/>
    <row r="333" customFormat="1" s="79"/>
    <row r="334" customFormat="1" s="79"/>
    <row r="335" customFormat="1" s="79"/>
    <row r="336" customFormat="1" s="79"/>
    <row r="337" customFormat="1" s="79"/>
    <row r="338" customFormat="1" s="79"/>
    <row r="339" customFormat="1" s="79"/>
    <row r="340" customFormat="1" s="79"/>
    <row r="341" customFormat="1" s="79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47"/>
  <sheetViews>
    <sheetView tabSelected="1" zoomScale="130" zoomScaleNormal="130" workbookViewId="0">
      <pane ySplit="5" topLeftCell="A728" activePane="bottomLeft" state="frozen"/>
      <selection activeCell="AB17" sqref="AB17"/>
      <selection pane="bottomLeft" activeCell="AE742" sqref="AE742"/>
    </sheetView>
  </sheetViews>
  <sheetFormatPr baseColWidth="8" defaultColWidth="9.1796875" defaultRowHeight="14.5"/>
  <cols>
    <col width="12" customWidth="1" style="79" min="1" max="1"/>
    <col width="14.36328125" customWidth="1" style="79" min="2" max="2"/>
    <col width="11.1796875" customWidth="1" style="16" min="3" max="4"/>
    <col width="9.1796875" customWidth="1" style="79" min="5" max="5"/>
    <col width="20.36328125" customWidth="1" style="79" min="6" max="6"/>
    <col width="14.6328125" customWidth="1" style="79" min="7" max="7"/>
    <col width="9.1796875" customWidth="1" style="79" min="8" max="35"/>
    <col width="9.1796875" customWidth="1" style="79" min="36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9">
        <f>"Money Supply M3 "&amp;A1</f>
        <v/>
      </c>
      <c r="G1" s="79">
        <f>F1&amp;" mom annualized"</f>
        <v/>
      </c>
    </row>
    <row r="2">
      <c r="F2" s="79" t="inlineStr">
        <is>
          <t>Average last 20 years</t>
        </is>
      </c>
      <c r="G2" s="37">
        <f>AVERAGE(D469:D708)</f>
        <v/>
      </c>
    </row>
    <row r="3">
      <c r="F3" s="79" t="inlineStr">
        <is>
          <t>Minimum last 20 years</t>
        </is>
      </c>
      <c r="G3" s="37">
        <f>MIN(D469:D748)</f>
        <v/>
      </c>
    </row>
    <row r="4" ht="16" customHeight="1" thickBot="1">
      <c r="F4" s="79" t="inlineStr">
        <is>
          <t>Maximum last 20 years</t>
        </is>
      </c>
      <c r="G4" s="37">
        <f>MAX(D469:D749)</f>
        <v/>
      </c>
    </row>
    <row r="5" ht="32" customHeight="1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63">
        <f>IF(B726&gt;0,(Table2[[#This Row],[Country]]-B726)/B726,0)</f>
        <v/>
      </c>
      <c r="D738" s="63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63">
        <f>IF(B727&gt;0,(Table2[[#This Row],[Country]]-B727)/B727,0)</f>
        <v/>
      </c>
      <c r="D739" s="63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63">
        <f>IF(B728&gt;0,(Table2[[#This Row],[Country]]-B728)/B728,0)</f>
        <v/>
      </c>
      <c r="D740" s="63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63">
        <f>IF(B729&gt;0,(Table2[[#This Row],[Country]]-B729)/B729,0)</f>
        <v/>
      </c>
      <c r="D741" s="63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63">
        <f>IF(B730&gt;0,(Table2[[#This Row],[Country]]-B730)/B730,0)</f>
        <v/>
      </c>
      <c r="D742" s="63">
        <f>IF(Table2[[#This Row],[Country]]&gt;0,(((Table2[[#This Row],[Country]]-B741)/B741)+1)^12-1,"")</f>
        <v/>
      </c>
    </row>
    <row r="743">
      <c r="A743" s="35" t="n">
        <v>44713</v>
      </c>
      <c r="B743" s="36">
        <f>VLOOKUP(A743,Data!$A:$AH,MATCH(Country!$A$1,Data!$A$1:$AH$1,),)</f>
        <v/>
      </c>
      <c r="C743" s="63">
        <f>IF(B731&gt;0,(Table2[[#This Row],[Country]]-B731)/B731,0)</f>
        <v/>
      </c>
      <c r="D743" s="63">
        <f>IF(Table2[[#This Row],[Country]]&gt;0,(((Table2[[#This Row],[Country]]-B742)/B742)+1)^12-1,"")</f>
        <v/>
      </c>
    </row>
    <row r="744">
      <c r="A744" s="35" t="n">
        <v>44743</v>
      </c>
      <c r="B744" s="36">
        <f>VLOOKUP(A744,Data!$A:$AH,MATCH(Country!$A$1,Data!$A$1:$AH$1,),)</f>
        <v/>
      </c>
      <c r="C744" s="63">
        <f>IF(B732&gt;0,(Table2[[#This Row],[Country]]-B732)/B732,0)</f>
        <v/>
      </c>
      <c r="D744" s="63">
        <f>IF(Table2[[#This Row],[Country]]&gt;0,(((Table2[[#This Row],[Country]]-B743)/B743)+1)^12-1,"")</f>
        <v/>
      </c>
    </row>
    <row r="745">
      <c r="A745" s="35" t="n">
        <v>44774</v>
      </c>
      <c r="B745" s="36">
        <f>VLOOKUP(A745,Data!$A:$AH,MATCH(Country!$A$1,Data!$A$1:$AH$1,),)</f>
        <v/>
      </c>
      <c r="C745" s="63">
        <f>IF(B733&gt;0,(Table2[[#This Row],[Country]]-B733)/B733,0)</f>
        <v/>
      </c>
      <c r="D745" s="63">
        <f>IF(Table2[[#This Row],[Country]]&gt;0,(((Table2[[#This Row],[Country]]-B744)/B744)+1)^12-1,"")</f>
        <v/>
      </c>
    </row>
    <row r="746">
      <c r="A746" s="35" t="n">
        <v>44805</v>
      </c>
      <c r="B746" s="36">
        <f>VLOOKUP(A746,Data!$A:$AH,MATCH(Country!$A$1,Data!$A$1:$AH$1,),)</f>
        <v/>
      </c>
      <c r="C746" s="63">
        <f>IF(B734&gt;0,(Table2[[#This Row],[Country]]-B734)/B734,0)</f>
        <v/>
      </c>
      <c r="D746" s="63">
        <f>IF(Table2[[#This Row],[Country]]&gt;0,(((Table2[[#This Row],[Country]]-B745)/B745)+1)^12-1,"")</f>
        <v/>
      </c>
    </row>
    <row r="747">
      <c r="A747" s="35" t="n">
        <v>44835</v>
      </c>
      <c r="B747" s="36">
        <f>VLOOKUP(A747,Data!$A:$AH,MATCH(Country!$A$1,Data!$A$1:$AH$1,),)</f>
        <v/>
      </c>
      <c r="C747" s="63">
        <f>IF(B735&gt;0,(Table2[[#This Row],[Country]]-B735)/B735,0)</f>
        <v/>
      </c>
      <c r="D747" s="63">
        <f>IF(Table2[[#This Row],[Country]]&gt;0,(((Table2[[#This Row],[Country]]-B746)/B746)+1)^12-1,"")</f>
        <v/>
      </c>
    </row>
  </sheetData>
  <conditionalFormatting sqref="D7:D74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2022-12-27T06:07:52Z</dcterms:modified>
  <cp:lastModifiedBy>Mark Mukherjee</cp:lastModifiedBy>
</cp:coreProperties>
</file>