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5760" yWindow="4000" windowWidth="42720" windowHeight="228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2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169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Velocity!$A$12:$A$266</f>
              <numCache>
                <formatCode>dd\-mm\-yyyy</formatCode>
                <ptCount val="255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  <pt idx="254">
                  <v>44743</v>
                </pt>
              </numCache>
            </numRef>
          </cat>
          <val>
            <numRef>
              <f>Velocity!$B$12:$B$266</f>
              <numCache>
                <formatCode>0.000</formatCode>
                <ptCount val="255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</v>
                </pt>
                <pt idx="236">
                  <v>1.449</v>
                </pt>
                <pt idx="237">
                  <v>1.458</v>
                </pt>
                <pt idx="238">
                  <v>1.459</v>
                </pt>
                <pt idx="239">
                  <v>1.458</v>
                </pt>
                <pt idx="240">
                  <v>1.452</v>
                </pt>
                <pt idx="241">
                  <v>1.453</v>
                </pt>
                <pt idx="242">
                  <v>1.443</v>
                </pt>
                <pt idx="243">
                  <v>1.425</v>
                </pt>
                <pt idx="244">
                  <v>1.379</v>
                </pt>
                <pt idx="245">
                  <v>1.112</v>
                </pt>
                <pt idx="246">
                  <v>1.161</v>
                </pt>
                <pt idx="247">
                  <v>1.146</v>
                </pt>
                <pt idx="248">
                  <v>1.138</v>
                </pt>
                <pt idx="249">
                  <v>1.134</v>
                </pt>
                <pt idx="250">
                  <v>1.132</v>
                </pt>
                <pt idx="251">
                  <v>1.142</v>
                </pt>
                <pt idx="252">
                  <v>1.14</v>
                </pt>
                <pt idx="253">
                  <v>1.167</v>
                </pt>
                <pt idx="254">
                  <v>1.189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Monthly'!$A$6:$A$772</f>
              <numCache>
                <formatCode>yyyy\-mm\-dd</formatCode>
                <ptCount val="76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'US M1 Real Monthly'!$B$6:$B$772</f>
              <numCache>
                <formatCode>0.0</formatCode>
                <ptCount val="767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6905.7</v>
                </pt>
                <pt idx="745">
                  <v>6974.5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7161.3</v>
                </pt>
                <pt idx="751">
                  <v>7224.2</v>
                </pt>
                <pt idx="752">
                  <v>7247.2</v>
                </pt>
                <pt idx="753">
                  <v>7253.9</v>
                </pt>
                <pt idx="754">
                  <v>7281.2</v>
                </pt>
                <pt idx="755">
                  <v>7293.4</v>
                </pt>
                <pt idx="756">
                  <v>7301.6</v>
                </pt>
                <pt idx="757">
                  <v>7270.4</v>
                </pt>
                <pt idx="758">
                  <v>7194.5</v>
                </pt>
                <pt idx="759">
                  <v>7142.4</v>
                </pt>
                <pt idx="760">
                  <v>7077</v>
                </pt>
                <pt idx="761">
                  <v>6960.7</v>
                </pt>
                <pt idx="762">
                  <v>6953.8</v>
                </pt>
                <pt idx="763">
                  <v>6925.4</v>
                </pt>
                <pt idx="764">
                  <v>6835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3.473183054799844</v>
                </pt>
                <pt idx="733">
                  <v>3.512779035910709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0.1044571252313387</v>
                </pt>
                <pt idx="739">
                  <v>0.109844527745345</v>
                </pt>
                <pt idx="740">
                  <v>0.09875981685314891</v>
                </pt>
                <pt idx="741">
                  <v>0.08755753459572108</v>
                </pt>
                <pt idx="742">
                  <v>0.07697313927345871</v>
                </pt>
                <pt idx="743">
                  <v>0.06966443740466972</v>
                </pt>
                <pt idx="744">
                  <v>0.05732945248128365</v>
                </pt>
                <pt idx="745">
                  <v>0.04242598035701479</v>
                </pt>
                <pt idx="746">
                  <v>0.02286136741686455</v>
                </pt>
                <pt idx="747">
                  <v>0.00651052676080153</v>
                </pt>
                <pt idx="748">
                  <v>-0.01302577262077424</v>
                </pt>
                <pt idx="749">
                  <v>-0.02377212420408965</v>
                </pt>
                <pt idx="750">
                  <v>-0.02897518606956838</v>
                </pt>
                <pt idx="751">
                  <v>-0.04136098114670139</v>
                </pt>
                <pt idx="752">
                  <v>-0.05687713875703718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805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7388.4</v>
                </pt>
                <pt idx="745">
                  <v>7448.3</v>
                </pt>
                <pt idx="746">
                  <v>7491.2</v>
                </pt>
                <pt idx="747">
                  <v>7539.8</v>
                </pt>
                <pt idx="748">
                  <v>7601.9</v>
                </pt>
                <pt idx="749">
                  <v>7551.1</v>
                </pt>
                <pt idx="750">
                  <v>7574</v>
                </pt>
                <pt idx="751">
                  <v>7629.5</v>
                </pt>
                <pt idx="752">
                  <v>7645.8</v>
                </pt>
                <pt idx="753">
                  <v>7644.5</v>
                </pt>
                <pt idx="754">
                  <v>7665.2</v>
                </pt>
                <pt idx="755">
                  <v>7671.5</v>
                </pt>
                <pt idx="756">
                  <v>7679</v>
                </pt>
                <pt idx="757">
                  <v>7639</v>
                </pt>
                <pt idx="758">
                  <v>7556.2</v>
                </pt>
                <pt idx="759">
                  <v>7498.1</v>
                </pt>
                <pt idx="760">
                  <v>7427.5</v>
                </pt>
                <pt idx="761">
                  <v>7316.5</v>
                </pt>
                <pt idx="762">
                  <v>7327.6</v>
                </pt>
                <pt idx="763">
                  <v>7317.6</v>
                </pt>
                <pt idx="764">
                  <v>7246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0.240913671481357</v>
                </pt>
                <pt idx="745">
                  <formatCode>0.0%</formatCode>
                  <v>0.2479559010790163</v>
                </pt>
                <pt idx="746">
                  <formatCode>0.0%</formatCode>
                  <v>0.2095847058063683</v>
                </pt>
                <pt idx="747">
                  <formatCode>0.0%</formatCode>
                  <v>0.135648873358236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0.0713628969516939</v>
                </pt>
                <pt idx="751">
                  <formatCode>0.0%</formatCode>
                  <v>0.07883201357466063</v>
                </pt>
                <pt idx="752">
                  <formatCode>0.0%</formatCode>
                  <v>0.07097533302517121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0.0492088023305114</v>
                </pt>
                <pt idx="756">
                  <formatCode>0.0%</formatCode>
                  <v>0.03933192572140116</v>
                </pt>
                <pt idx="757">
                  <formatCode>0.0%</formatCode>
                  <v>0.02560315776754425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-0.005530650680389376</v>
                </pt>
                <pt idx="760">
                  <formatCode>0.0%</formatCode>
                  <v>-0.02294163301279939</v>
                </pt>
                <pt idx="761">
                  <formatCode>0.0%</formatCode>
                  <v>-0.03106832117174986</v>
                </pt>
                <pt idx="762">
                  <formatCode>0.0%</formatCode>
                  <v>-0.03253234750462102</v>
                </pt>
                <pt idx="763">
                  <formatCode>0.0%</formatCode>
                  <v>-0.04088079166393599</v>
                </pt>
                <pt idx="764">
                  <formatCode>0.0%</formatCode>
                  <v>-0.05229014622407076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  <pt idx="2405">
                  <formatCode>m/d/yy</formatCode>
                  <v>44235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17659.6</v>
                </pt>
                <pt idx="2400">
                  <v>17769.8</v>
                </pt>
                <pt idx="2401">
                  <v>18141.9</v>
                </pt>
                <pt idx="2402">
                  <v>18151</v>
                </pt>
                <pt idx="2403">
                  <v>18107.6</v>
                </pt>
                <pt idx="2404">
                  <v>18104.6</v>
                </pt>
                <pt idx="2405">
                  <v>18104.6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0.1025100331226192</v>
                </pt>
                <pt idx="743">
                  <v>0.1669134762188873</v>
                </pt>
                <pt idx="744">
                  <v>0.1610714584022874</v>
                </pt>
                <pt idx="745">
                  <v>0.1562833756623279</v>
                </pt>
                <pt idx="746">
                  <v>0.1668173375109097</v>
                </pt>
                <pt idx="747">
                  <v>0.2001533024909028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0.1359813799096654</v>
                </pt>
                <pt idx="751">
                  <v>0.07774247092874709</v>
                </pt>
                <pt idx="752">
                  <v>0.106837031922095</v>
                </pt>
                <pt idx="753">
                  <v>0.1230065487292553</v>
                </pt>
                <pt idx="754">
                  <v>0.08195424600696732</v>
                </pt>
                <pt idx="755">
                  <v>0.09291303719573141</v>
                </pt>
                <pt idx="756">
                  <v>0.03314006794974622</v>
                </pt>
                <pt idx="757">
                  <v>0.01732744935375785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-0.0227621775343837</v>
                </pt>
                <pt idx="761">
                  <v>0.01594301711371782</v>
                </pt>
                <pt idx="762">
                  <v>-0.002105544290451733</v>
                </pt>
                <pt idx="763">
                  <v>-0.06925835581510675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'!$A$7:$A$770</f>
              <numCache>
                <formatCode>m/d/yy</formatCode>
                <ptCount val="76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</numCache>
            </numRef>
          </cat>
          <val>
            <numRef>
              <f>'US M2 '!$B$7:$B$770</f>
              <numCache>
                <formatCode>0.0</formatCode>
                <ptCount val="764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19124.7</v>
                </pt>
                <pt idx="743">
                  <v>19372.3</v>
                </pt>
                <pt idx="744">
                  <v>19614.9</v>
                </pt>
                <pt idx="745">
                  <v>19853.7</v>
                </pt>
                <pt idx="746">
                  <v>20110.6</v>
                </pt>
                <pt idx="747">
                  <v>20418.7</v>
                </pt>
                <pt idx="748">
                  <v>20460.1</v>
                </pt>
                <pt idx="749">
                  <v>20615.3</v>
                </pt>
                <pt idx="750">
                  <v>20835.5</v>
                </pt>
                <pt idx="751">
                  <v>20965.9</v>
                </pt>
                <pt idx="752">
                  <v>21144</v>
                </pt>
                <pt idx="753">
                  <v>21349.4</v>
                </pt>
                <pt idx="754">
                  <v>21490</v>
                </pt>
                <pt idx="755">
                  <v>21649.7</v>
                </pt>
                <pt idx="756">
                  <v>21708.6</v>
                </pt>
                <pt idx="757">
                  <v>21739.7</v>
                </pt>
                <pt idx="758">
                  <v>21644.2</v>
                </pt>
                <pt idx="759">
                  <v>21649.2</v>
                </pt>
                <pt idx="760">
                  <v>21607.7</v>
                </pt>
                <pt idx="761">
                  <v>21636.2</v>
                </pt>
                <pt idx="762">
                  <v>21632.4</v>
                </pt>
                <pt idx="763">
                  <v>21503.4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0.1025100331226192</v>
                </pt>
                <pt idx="743">
                  <v>0.1669134762188873</v>
                </pt>
                <pt idx="744">
                  <v>0.1610714584022874</v>
                </pt>
                <pt idx="745">
                  <v>0.1562833756623279</v>
                </pt>
                <pt idx="746">
                  <v>0.1668173375109097</v>
                </pt>
                <pt idx="747">
                  <v>0.2001533024909028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0.1359813799096654</v>
                </pt>
                <pt idx="751">
                  <v>0.07774247092874709</v>
                </pt>
                <pt idx="752">
                  <v>0.106837031922095</v>
                </pt>
                <pt idx="753">
                  <v>0.1230065487292553</v>
                </pt>
                <pt idx="754">
                  <v>0.08195424600696732</v>
                </pt>
                <pt idx="755">
                  <v>0.09291303719573141</v>
                </pt>
                <pt idx="756">
                  <v>0.03314006794974622</v>
                </pt>
                <pt idx="757">
                  <v>0.01732744935375785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-0.0227621775343837</v>
                </pt>
                <pt idx="761">
                  <v>0.01594301711371782</v>
                </pt>
                <pt idx="762">
                  <v>-0.002105544290451733</v>
                </pt>
                <pt idx="763">
                  <v>-0.06925835581510675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Country!$A$474:$A$751</f>
              <numCache>
                <formatCode>m/d/yy</formatCode>
                <ptCount val="27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Country!$B$474:$B$751</f>
              <numCache>
                <formatCode>0.00</formatCode>
                <ptCount val="278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158.7755</v>
                </pt>
                <pt idx="252">
                  <v>160.8311</v>
                </pt>
                <pt idx="253">
                  <v>162.8452</v>
                </pt>
                <pt idx="254">
                  <v>164.8278</v>
                </pt>
                <pt idx="255">
                  <v>166.9606</v>
                </pt>
                <pt idx="256">
                  <v>169.5185</v>
                </pt>
                <pt idx="257">
                  <v>169.8622</v>
                </pt>
                <pt idx="258">
                  <v>171.1507</v>
                </pt>
                <pt idx="259">
                  <v>172.9788</v>
                </pt>
                <pt idx="260">
                  <v>174.0614</v>
                </pt>
                <pt idx="261">
                  <v>175.54</v>
                </pt>
                <pt idx="262">
                  <v>177.2453</v>
                </pt>
                <pt idx="263">
                  <v>178.4126</v>
                </pt>
                <pt idx="264">
                  <v>179.7384</v>
                </pt>
                <pt idx="265">
                  <v>180.2274</v>
                </pt>
                <pt idx="266">
                  <v>180.4856</v>
                </pt>
                <pt idx="267">
                  <v>179.6927</v>
                </pt>
                <pt idx="268">
                  <v>179.7343</v>
                </pt>
                <pt idx="269">
                  <v>179.3897</v>
                </pt>
                <pt idx="270">
                  <v>179.6263</v>
                </pt>
                <pt idx="271">
                  <v>179.5948</v>
                </pt>
                <pt idx="272">
                  <v>178.5238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Country!$A$474:$A$750</f>
              <numCache>
                <formatCode>m/d/yy</formatCode>
                <ptCount val="277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Country!$D$474:$D$750</f>
              <numCache>
                <formatCode>0.0%</formatCode>
                <ptCount val="277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0.1025102055305533</v>
                </pt>
                <pt idx="252">
                  <v>0.1669131098292937</v>
                </pt>
                <pt idx="253">
                  <v>0.1610720085731949</v>
                </pt>
                <pt idx="254">
                  <v>0.1562879548261158</v>
                </pt>
                <pt idx="255">
                  <v>0.1668161105951298</v>
                </pt>
                <pt idx="256">
                  <v>0.2001547509901653</v>
                </pt>
                <pt idx="257">
                  <v>0.02460324175334305</v>
                </pt>
                <pt idx="258">
                  <v>0.09492209874642388</v>
                </pt>
                <pt idx="259">
                  <v>0.1359792613346869</v>
                </pt>
                <pt idx="260">
                  <v>0.07774274473162479</v>
                </pt>
                <pt idx="261">
                  <v>0.1068364703767966</v>
                </pt>
                <pt idx="262">
                  <v>0.1230099547246728</v>
                </pt>
                <pt idx="263">
                  <v>0.08195583251762573</v>
                </pt>
                <pt idx="264">
                  <v>0.09290947129636407</v>
                </pt>
                <pt idx="265">
                  <v>0.03314042235362913</v>
                </pt>
                <pt idx="266">
                  <v>0.01732772472697386</v>
                </pt>
                <pt idx="267">
                  <v>-0.05146246551682987</v>
                </pt>
                <pt idx="268">
                  <v>0.00278161614009087</v>
                </pt>
                <pt idx="269">
                  <v>-0.02276622634866954</v>
                </pt>
                <pt idx="270">
                  <v>0.01594231154433978</v>
                </pt>
                <pt idx="271">
                  <v>-0.002102340420742421</v>
                </pt>
                <pt idx="272">
                  <v>-0.06926000776680974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232833</colOff>
      <row>716</row>
      <rowOff>70557</rowOff>
    </from>
    <to>
      <col>16</col>
      <colOff>232833</colOff>
      <row>742</row>
      <rowOff>150989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16</col>
      <colOff>169332</colOff>
      <row>775</row>
      <rowOff>112889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369326</colOff>
      <row>723</row>
      <rowOff>186765</rowOff>
    </from>
    <to>
      <col>14</col>
      <colOff>164353</colOff>
      <row>744</row>
      <rowOff>184158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367392</colOff>
      <row>713</row>
      <rowOff>154213</rowOff>
    </from>
    <to>
      <col>12</col>
      <colOff>290286</colOff>
      <row>734</row>
      <rowOff>61458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4307</rowOff>
    </from>
    <to>
      <col>12</col>
      <colOff>290285</colOff>
      <row>754</row>
      <rowOff>36285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6" headerRowCount="1" totalsRowShown="0" headerRowCellStyle="Normal 3" dataCellStyle="Normal 3">
  <autoFilter ref="A11:B266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70" headerRowCount="1" totalsRowShown="0" headerRowDxfId="33" dataDxfId="31" headerRowBorderDxfId="32">
  <autoFilter ref="A5:C770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70" headerRowCount="1" totalsRowShown="0" headerRowDxfId="27" dataDxfId="26" tableBorderDxfId="25">
  <autoFilter ref="A5:C770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1" headerRowCount="1" totalsRowShown="0" headerRowDxfId="21" dataDxfId="19" headerRowBorderDxfId="20" dataCellStyle="Normal 2">
  <autoFilter ref="A5:F2411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70" headerRowCount="1" totalsRowShown="0" headerRowDxfId="12" dataDxfId="10" headerRowBorderDxfId="11" dataCellStyle="Normal 2">
  <autoFilter ref="A5:D770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6" headerRowCount="1" totalsRowShown="0" headerRowDxfId="5" headerRowBorderDxfId="4">
  <autoFilter ref="A5:D746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150" zoomScaleNormal="150" workbookViewId="0">
      <selection activeCell="O13" sqref="O13"/>
    </sheetView>
  </sheetViews>
  <sheetFormatPr baseColWidth="10" defaultColWidth="9.1640625" defaultRowHeight="15"/>
  <cols>
    <col width="9.1640625" customWidth="1" style="77" min="1" max="1"/>
    <col width="12.83203125" customWidth="1" style="77" min="2" max="10"/>
    <col width="3.33203125" customWidth="1" style="77" min="11" max="13"/>
    <col width="21.33203125" customWidth="1" style="77" min="14" max="14"/>
    <col width="15.6640625" customWidth="1" style="77" min="15" max="15"/>
    <col width="16.83203125" customWidth="1" style="77" min="16" max="16"/>
    <col width="23" customWidth="1" style="77" min="17" max="17"/>
    <col width="9.1640625" customWidth="1" style="77" min="18" max="42"/>
    <col width="9.1640625" customWidth="1" style="77" min="43" max="16384"/>
  </cols>
  <sheetData>
    <row r="1">
      <c r="B1" s="83" t="n"/>
    </row>
    <row r="2" ht="16" customHeight="1" s="67" thickBot="1">
      <c r="B2" s="84" t="n"/>
      <c r="C2" s="84" t="n"/>
      <c r="D2" s="84" t="n"/>
      <c r="E2" s="84" t="n"/>
      <c r="F2" s="84" t="n"/>
      <c r="G2" s="84" t="n"/>
      <c r="H2" s="84" t="n"/>
      <c r="I2" s="84" t="n"/>
      <c r="J2" s="84" t="n"/>
    </row>
    <row r="3" ht="16" customHeight="1" s="67" thickBot="1">
      <c r="B3" s="85" t="inlineStr">
        <is>
          <t>Money Supply</t>
        </is>
      </c>
      <c r="C3" s="86" t="n"/>
      <c r="D3" s="86" t="n"/>
      <c r="E3" s="86" t="n"/>
      <c r="F3" s="86" t="n"/>
      <c r="G3" s="86" t="n"/>
      <c r="H3" s="86" t="n"/>
      <c r="I3" s="86" t="n"/>
      <c r="J3" s="87" t="n"/>
    </row>
    <row r="5">
      <c r="B5" s="80" t="inlineStr">
        <is>
          <t>Definition</t>
        </is>
      </c>
      <c r="C5" s="81" t="n"/>
      <c r="D5" s="81" t="n"/>
      <c r="E5" s="81" t="n"/>
      <c r="F5" s="81" t="n"/>
      <c r="G5" s="81" t="n"/>
      <c r="H5" s="81" t="n"/>
      <c r="I5" s="81" t="n"/>
      <c r="J5" s="82" t="n"/>
    </row>
    <row r="7" ht="100.5" customHeight="1" s="67">
      <c r="B7" s="88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8" t="n"/>
    </row>
    <row r="9">
      <c r="B9" s="42" t="n"/>
      <c r="C9" s="42" t="n"/>
      <c r="D9" s="42" t="n"/>
      <c r="E9" s="42" t="n"/>
    </row>
    <row r="10">
      <c r="B10" s="80" t="inlineStr">
        <is>
          <t>Process / TO DO LIST</t>
        </is>
      </c>
      <c r="C10" s="81" t="n"/>
      <c r="D10" s="81" t="n"/>
      <c r="E10" s="81" t="n"/>
      <c r="F10" s="81" t="n"/>
      <c r="G10" s="81" t="n"/>
      <c r="H10" s="81" t="n"/>
      <c r="I10" s="81" t="n"/>
      <c r="J10" s="82" t="n"/>
    </row>
    <row r="11" ht="16" customHeight="1" s="67"/>
    <row r="12" ht="16" customHeight="1" s="67">
      <c r="B12" s="80" t="inlineStr">
        <is>
          <t>TO DO LIST</t>
        </is>
      </c>
      <c r="C12" s="81" t="n"/>
      <c r="D12" s="81" t="n"/>
      <c r="E12" s="81" t="n"/>
      <c r="F12" s="82" t="n"/>
      <c r="G12" s="80" t="inlineStr">
        <is>
          <t>Comments</t>
        </is>
      </c>
      <c r="H12" s="81" t="n"/>
      <c r="I12" s="81" t="n"/>
      <c r="J12" s="82" t="n"/>
    </row>
    <row r="14" ht="19.5" customHeight="1" s="67">
      <c r="B14" s="1" t="inlineStr">
        <is>
          <t>https://fred.stlouisfed.org/series/M2REAL</t>
        </is>
      </c>
      <c r="G14" s="77" t="inlineStr">
        <is>
          <t>U.S.</t>
        </is>
      </c>
    </row>
    <row r="15" ht="16" customHeight="1" s="67" thickBot="1">
      <c r="B15" s="78" t="inlineStr">
        <is>
          <t>https://fred.stlouisfed.org/series/M1REAL</t>
        </is>
      </c>
      <c r="G15" s="76" t="inlineStr">
        <is>
          <t>U.S.</t>
        </is>
      </c>
    </row>
    <row r="16" ht="18" customHeight="1" s="67">
      <c r="B16" s="78" t="inlineStr">
        <is>
          <t>https://fred.stlouisfed.org/series/M1</t>
        </is>
      </c>
      <c r="G16" s="76" t="inlineStr">
        <is>
          <t xml:space="preserve">U.S. </t>
        </is>
      </c>
      <c r="Z16" s="43" t="inlineStr">
        <is>
          <t>DGORDER</t>
        </is>
      </c>
      <c r="AA16" s="77" t="inlineStr">
        <is>
          <t>Durable Goods New Orders</t>
        </is>
      </c>
    </row>
    <row r="17" ht="18" customHeight="1" s="67">
      <c r="B17" s="78" t="inlineStr">
        <is>
          <t>https://fred.stlouisfed.org/series/M2</t>
        </is>
      </c>
      <c r="G17" s="79" t="inlineStr">
        <is>
          <t>U.S. discontinued</t>
        </is>
      </c>
      <c r="Z17" s="44" t="inlineStr">
        <is>
          <t>ADXTNO</t>
        </is>
      </c>
      <c r="AA17" s="77" t="inlineStr">
        <is>
          <t>New Orders ex Transport</t>
        </is>
      </c>
    </row>
    <row r="18" ht="33.75" customHeight="1" s="67">
      <c r="B18" s="78" t="inlineStr">
        <is>
          <t>https://fred.stlouisfed.org/series/M2SL</t>
        </is>
      </c>
      <c r="G18" s="79" t="inlineStr">
        <is>
          <t>U.S.</t>
        </is>
      </c>
      <c r="Z18" s="45" t="inlineStr">
        <is>
          <t>NEWORDER</t>
        </is>
      </c>
      <c r="AA18" s="77" t="inlineStr">
        <is>
          <t>New Orders Nondefense Ex Aircraft &amp; Parts = Core</t>
        </is>
      </c>
    </row>
    <row r="19" ht="18" customHeight="1" s="67">
      <c r="B19" s="78" t="inlineStr">
        <is>
          <t>https://tradingeconomics.com/country-list/money-supply-m2?continent=g20</t>
        </is>
      </c>
      <c r="G19" s="79" t="inlineStr">
        <is>
          <t>Quick Country View</t>
        </is>
      </c>
      <c r="Z19" s="44" t="inlineStr">
        <is>
          <t>AMTUNO</t>
        </is>
      </c>
      <c r="AA19" s="77" t="inlineStr">
        <is>
          <t>New Orders - Manufacturing</t>
        </is>
      </c>
    </row>
    <row r="20" ht="18" customHeight="1" s="67">
      <c r="B20" s="78" t="inlineStr">
        <is>
          <t>https://data.oecd.org/money/broad-money-m3.htm</t>
        </is>
      </c>
      <c r="G20" s="77" t="inlineStr">
        <is>
          <t>Table</t>
        </is>
      </c>
      <c r="Z20" s="45" t="inlineStr">
        <is>
          <t>A36SNO</t>
        </is>
      </c>
      <c r="AA20" s="77" t="inlineStr">
        <is>
          <t>New Orders - Transportation Equipment</t>
        </is>
      </c>
    </row>
    <row r="21" ht="18" customHeight="1" s="67">
      <c r="B21" s="78" t="n"/>
      <c r="G21" s="77" t="inlineStr">
        <is>
          <t>Monthly</t>
        </is>
      </c>
      <c r="Z21" s="45" t="inlineStr">
        <is>
          <t>A32SNO</t>
        </is>
      </c>
      <c r="AA21" s="77" t="inlineStr">
        <is>
          <t>New Orders - Fabricated Metal Products</t>
        </is>
      </c>
    </row>
    <row r="22" ht="18" customHeight="1" s="67">
      <c r="B22" s="78" t="n"/>
      <c r="G22" s="77" t="inlineStr">
        <is>
          <t>from beginning</t>
        </is>
      </c>
      <c r="Z22" s="45" t="inlineStr">
        <is>
          <t>A33SNO</t>
        </is>
      </c>
      <c r="AA22" s="77" t="inlineStr">
        <is>
          <t>New Orders - Machinery</t>
        </is>
      </c>
    </row>
    <row r="23" ht="18" customHeight="1" s="67">
      <c r="B23" s="78" t="n"/>
      <c r="G23" s="77" t="inlineStr">
        <is>
          <t>download Select data only</t>
        </is>
      </c>
      <c r="Z23" s="45" t="inlineStr">
        <is>
          <t>A34SNO</t>
        </is>
      </c>
      <c r="AA23" s="77" t="inlineStr">
        <is>
          <t>New Orders - Computers</t>
        </is>
      </c>
    </row>
    <row r="24" ht="18" customHeight="1" s="67">
      <c r="B24" s="78" t="n"/>
      <c r="G24" s="79" t="inlineStr">
        <is>
          <t>Data</t>
        </is>
      </c>
      <c r="Z24" s="45" t="inlineStr">
        <is>
          <t>A31SNO</t>
        </is>
      </c>
      <c r="AA24" s="77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7" t="inlineStr">
        <is>
          <t>New Orders - Electrical Equipment</t>
        </is>
      </c>
    </row>
    <row r="35" ht="16" customHeight="1" s="67"/>
    <row r="39">
      <c r="B39" s="40" t="n"/>
    </row>
    <row r="40">
      <c r="B40" s="76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4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90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90" t="n">
        <v>21582</v>
      </c>
      <c r="B3" t="n">
        <v>480.7</v>
      </c>
      <c r="C3" t="n">
        <v>992.1</v>
      </c>
      <c r="E3" t="n">
        <v>287.7</v>
      </c>
    </row>
    <row r="4">
      <c r="A4" s="90" t="n">
        <v>21610</v>
      </c>
      <c r="B4" t="n">
        <v>482.2</v>
      </c>
      <c r="C4" t="n">
        <v>998.3</v>
      </c>
      <c r="E4" t="n">
        <v>289.2</v>
      </c>
    </row>
    <row r="5">
      <c r="A5" s="90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90" t="n">
        <v>21671</v>
      </c>
      <c r="B6" t="n">
        <v>484.5</v>
      </c>
      <c r="C6" t="n">
        <v>1006.2</v>
      </c>
      <c r="E6" t="n">
        <v>292.2</v>
      </c>
    </row>
    <row r="7">
      <c r="A7" s="90" t="n">
        <v>21702</v>
      </c>
      <c r="B7" t="n">
        <v>485.1</v>
      </c>
      <c r="C7" t="n">
        <v>1010.3</v>
      </c>
      <c r="E7" t="n">
        <v>294.1</v>
      </c>
    </row>
    <row r="8">
      <c r="A8" s="90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90" t="n">
        <v>21763</v>
      </c>
      <c r="B9" t="n">
        <v>486.3</v>
      </c>
      <c r="C9" t="n">
        <v>1015.8</v>
      </c>
      <c r="E9" t="n">
        <v>296.4</v>
      </c>
    </row>
    <row r="10">
      <c r="A10" s="90" t="n">
        <v>21794</v>
      </c>
      <c r="B10" t="n">
        <v>482.1</v>
      </c>
      <c r="C10" t="n">
        <v>1014.4</v>
      </c>
      <c r="E10" t="n">
        <v>296.7</v>
      </c>
    </row>
    <row r="11">
      <c r="A11" s="90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90" t="n">
        <v>21855</v>
      </c>
      <c r="B12" t="n">
        <v>478.4</v>
      </c>
      <c r="C12" t="n">
        <v>1012.3</v>
      </c>
      <c r="E12" t="n">
        <v>297.1</v>
      </c>
    </row>
    <row r="13">
      <c r="A13" s="90" t="n">
        <v>21885</v>
      </c>
      <c r="B13" t="n">
        <v>475.7</v>
      </c>
      <c r="C13" t="n">
        <v>1012.6</v>
      </c>
      <c r="E13" t="n">
        <v>297.8</v>
      </c>
    </row>
    <row r="14">
      <c r="A14" s="90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90" t="n">
        <v>21947</v>
      </c>
      <c r="B15" t="n">
        <v>475.7</v>
      </c>
      <c r="C15" t="n">
        <v>1014.6</v>
      </c>
      <c r="E15" t="n">
        <v>298.4</v>
      </c>
    </row>
    <row r="16">
      <c r="A16" s="90" t="n">
        <v>21976</v>
      </c>
      <c r="B16" t="n">
        <v>475.3</v>
      </c>
      <c r="C16" t="n">
        <v>1017.7</v>
      </c>
      <c r="E16" t="n">
        <v>299.3</v>
      </c>
    </row>
    <row r="17">
      <c r="A17" s="90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90" t="n">
        <v>22037</v>
      </c>
      <c r="B18" t="n">
        <v>472.1</v>
      </c>
      <c r="C18" t="n">
        <v>1017.6</v>
      </c>
      <c r="E18" t="n">
        <v>300.9</v>
      </c>
    </row>
    <row r="19">
      <c r="A19" s="90" t="n">
        <v>22068</v>
      </c>
      <c r="B19" t="n">
        <v>471.5</v>
      </c>
      <c r="C19" t="n">
        <v>1020.9</v>
      </c>
      <c r="E19" t="n">
        <v>302.3</v>
      </c>
    </row>
    <row r="20">
      <c r="A20" s="90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90" t="n">
        <v>22129</v>
      </c>
      <c r="B21" t="n">
        <v>477.2</v>
      </c>
      <c r="C21" t="n">
        <v>1036.5</v>
      </c>
      <c r="E21" t="n">
        <v>306.9</v>
      </c>
    </row>
    <row r="22">
      <c r="A22" s="90" t="n">
        <v>22160</v>
      </c>
      <c r="B22" t="n">
        <v>476.9</v>
      </c>
      <c r="C22" t="n">
        <v>1041.5</v>
      </c>
      <c r="E22" t="n">
        <v>308.4</v>
      </c>
    </row>
    <row r="23">
      <c r="A23" s="90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90" t="n">
        <v>22221</v>
      </c>
      <c r="B24" t="n">
        <v>473.1</v>
      </c>
      <c r="C24" t="n">
        <v>1044</v>
      </c>
      <c r="E24" t="n">
        <v>310.9</v>
      </c>
    </row>
    <row r="25">
      <c r="A25" s="90" t="n">
        <v>22251</v>
      </c>
      <c r="B25" t="n">
        <v>472</v>
      </c>
      <c r="C25" t="n">
        <v>1048</v>
      </c>
      <c r="E25" t="n">
        <v>312.4</v>
      </c>
    </row>
    <row r="26">
      <c r="A26" s="90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90" t="n">
        <v>22313</v>
      </c>
      <c r="B27" t="n">
        <v>474.5</v>
      </c>
      <c r="C27" t="n">
        <v>1060.7</v>
      </c>
      <c r="E27" t="n">
        <v>316.5</v>
      </c>
    </row>
    <row r="28">
      <c r="A28" s="90" t="n">
        <v>22341</v>
      </c>
      <c r="B28" t="n">
        <v>475.5</v>
      </c>
      <c r="C28" t="n">
        <v>1066.7</v>
      </c>
      <c r="E28" t="n">
        <v>318.3</v>
      </c>
    </row>
    <row r="29">
      <c r="A29" s="90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90" t="n">
        <v>22402</v>
      </c>
      <c r="B30" t="n">
        <v>478.2</v>
      </c>
      <c r="C30" t="n">
        <v>1079.8</v>
      </c>
      <c r="E30" t="n">
        <v>322.2</v>
      </c>
    </row>
    <row r="31">
      <c r="A31" s="90" t="n">
        <v>22433</v>
      </c>
      <c r="B31" t="n">
        <v>478.9</v>
      </c>
      <c r="C31" t="n">
        <v>1086.8</v>
      </c>
      <c r="E31" t="n">
        <v>324.3</v>
      </c>
    </row>
    <row r="32">
      <c r="A32" s="90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90" t="n">
        <v>22494</v>
      </c>
      <c r="B33" t="n">
        <v>479.3</v>
      </c>
      <c r="C33" t="n">
        <v>1094.2</v>
      </c>
      <c r="E33" t="n">
        <v>327.6</v>
      </c>
    </row>
    <row r="34">
      <c r="A34" s="90" t="n">
        <v>22525</v>
      </c>
      <c r="B34" t="n">
        <v>479.7</v>
      </c>
      <c r="C34" t="n">
        <v>1099.1</v>
      </c>
      <c r="E34" t="n">
        <v>329.5</v>
      </c>
    </row>
    <row r="35">
      <c r="A35" s="90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90" t="n">
        <v>22586</v>
      </c>
      <c r="B36" t="n">
        <v>483</v>
      </c>
      <c r="C36" t="n">
        <v>1112.1</v>
      </c>
      <c r="E36" t="n">
        <v>333.4</v>
      </c>
    </row>
    <row r="37">
      <c r="A37" s="90" t="n">
        <v>22616</v>
      </c>
      <c r="B37" t="n">
        <v>483.8</v>
      </c>
      <c r="C37" t="n">
        <v>1118</v>
      </c>
      <c r="E37" t="n">
        <v>335.5</v>
      </c>
    </row>
    <row r="38">
      <c r="A38" s="90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90" t="n">
        <v>22678</v>
      </c>
      <c r="B39" t="n">
        <v>483.9</v>
      </c>
      <c r="C39" t="n">
        <v>1129.5</v>
      </c>
      <c r="E39" t="n">
        <v>340.1</v>
      </c>
    </row>
    <row r="40">
      <c r="A40" s="90" t="n">
        <v>22706</v>
      </c>
      <c r="B40" t="n">
        <v>483.9</v>
      </c>
      <c r="C40" t="n">
        <v>1137.2</v>
      </c>
      <c r="E40" t="n">
        <v>343.1</v>
      </c>
    </row>
    <row r="41">
      <c r="A41" s="90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90" t="n">
        <v>22767</v>
      </c>
      <c r="B42" t="n">
        <v>485.4</v>
      </c>
      <c r="C42" t="n">
        <v>1149.1</v>
      </c>
      <c r="E42" t="n">
        <v>347.5</v>
      </c>
    </row>
    <row r="43">
      <c r="A43" s="90" t="n">
        <v>22798</v>
      </c>
      <c r="B43" t="n">
        <v>485.3</v>
      </c>
      <c r="C43" t="n">
        <v>1156.2</v>
      </c>
      <c r="E43" t="n">
        <v>349.3</v>
      </c>
    </row>
    <row r="44">
      <c r="A44" s="90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90" t="n">
        <v>22859</v>
      </c>
      <c r="B45" t="n">
        <v>484.1</v>
      </c>
      <c r="C45" t="n">
        <v>1165.1</v>
      </c>
      <c r="E45" t="n">
        <v>352.8</v>
      </c>
    </row>
    <row r="46">
      <c r="A46" s="90" t="n">
        <v>22890</v>
      </c>
      <c r="B46" t="n">
        <v>480.9</v>
      </c>
      <c r="C46" t="n">
        <v>1166.7</v>
      </c>
      <c r="E46" t="n">
        <v>354.9</v>
      </c>
    </row>
    <row r="47">
      <c r="A47" s="90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90" t="n">
        <v>22951</v>
      </c>
      <c r="B48" t="n">
        <v>484.9</v>
      </c>
      <c r="C48" t="n">
        <v>1184.3</v>
      </c>
      <c r="E48" t="n">
        <v>359.8</v>
      </c>
    </row>
    <row r="49">
      <c r="A49" s="90" t="n">
        <v>22981</v>
      </c>
      <c r="B49" t="n">
        <v>486.5</v>
      </c>
      <c r="C49" t="n">
        <v>1193.9</v>
      </c>
      <c r="E49" t="n">
        <v>362.7</v>
      </c>
    </row>
    <row r="50">
      <c r="A50" s="90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90" t="n">
        <v>23043</v>
      </c>
      <c r="B51" t="n">
        <v>488.5</v>
      </c>
      <c r="C51" t="n">
        <v>1207</v>
      </c>
      <c r="E51" t="n">
        <v>367.9</v>
      </c>
    </row>
    <row r="52">
      <c r="A52" s="90" t="n">
        <v>23071</v>
      </c>
      <c r="B52" t="n">
        <v>489</v>
      </c>
      <c r="C52" t="n">
        <v>1215</v>
      </c>
      <c r="E52" t="n">
        <v>370.7</v>
      </c>
    </row>
    <row r="53">
      <c r="A53" s="90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90" t="n">
        <v>23132</v>
      </c>
      <c r="B54" t="n">
        <v>493</v>
      </c>
      <c r="C54" t="n">
        <v>1232.7</v>
      </c>
      <c r="E54" t="n">
        <v>376.1</v>
      </c>
    </row>
    <row r="55">
      <c r="A55" s="90" t="n">
        <v>23163</v>
      </c>
      <c r="B55" t="n">
        <v>491.3</v>
      </c>
      <c r="C55" t="n">
        <v>1236.2</v>
      </c>
      <c r="E55" t="n">
        <v>378.4</v>
      </c>
    </row>
    <row r="56">
      <c r="A56" s="90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90" t="n">
        <v>23224</v>
      </c>
      <c r="B57" t="n">
        <v>493.7</v>
      </c>
      <c r="C57" t="n">
        <v>1247.5</v>
      </c>
      <c r="E57" t="n">
        <v>383.6</v>
      </c>
    </row>
    <row r="58">
      <c r="A58" s="90" t="n">
        <v>23255</v>
      </c>
      <c r="B58" t="n">
        <v>494.8</v>
      </c>
      <c r="C58" t="n">
        <v>1256.5</v>
      </c>
      <c r="E58" t="n">
        <v>386</v>
      </c>
    </row>
    <row r="59">
      <c r="A59" s="90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90" t="n">
        <v>23316</v>
      </c>
      <c r="B60" t="n">
        <v>499</v>
      </c>
      <c r="C60" t="n">
        <v>1271.9</v>
      </c>
      <c r="E60" t="n">
        <v>391.5</v>
      </c>
    </row>
    <row r="61">
      <c r="A61" s="90" t="n">
        <v>23346</v>
      </c>
      <c r="B61" t="n">
        <v>496.4</v>
      </c>
      <c r="C61" t="n">
        <v>1273.3</v>
      </c>
      <c r="E61" t="n">
        <v>393.2</v>
      </c>
    </row>
    <row r="62">
      <c r="A62" s="90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90" t="n">
        <v>23408</v>
      </c>
      <c r="B63" t="n">
        <v>499.2</v>
      </c>
      <c r="C63" t="n">
        <v>1286.3</v>
      </c>
      <c r="E63" t="n">
        <v>397.6</v>
      </c>
    </row>
    <row r="64">
      <c r="A64" s="90" t="n">
        <v>23437</v>
      </c>
      <c r="B64" t="n">
        <v>499.4</v>
      </c>
      <c r="C64" t="n">
        <v>1292.2</v>
      </c>
      <c r="E64" t="n">
        <v>399.8</v>
      </c>
    </row>
    <row r="65">
      <c r="A65" s="90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90" t="n">
        <v>23498</v>
      </c>
      <c r="B66" t="n">
        <v>501.3</v>
      </c>
      <c r="C66" t="n">
        <v>1304.7</v>
      </c>
      <c r="E66" t="n">
        <v>404.2</v>
      </c>
    </row>
    <row r="67">
      <c r="A67" s="90" t="n">
        <v>23529</v>
      </c>
      <c r="B67" t="n">
        <v>501.8</v>
      </c>
      <c r="C67" t="n">
        <v>1312.8</v>
      </c>
      <c r="E67" t="n">
        <v>407.1</v>
      </c>
    </row>
    <row r="68">
      <c r="A68" s="90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90" t="n">
        <v>23590</v>
      </c>
      <c r="B69" t="n">
        <v>508.2</v>
      </c>
      <c r="C69" t="n">
        <v>1331.4</v>
      </c>
      <c r="E69" t="n">
        <v>413.4</v>
      </c>
    </row>
    <row r="70">
      <c r="A70" s="90" t="n">
        <v>23621</v>
      </c>
      <c r="B70" t="n">
        <v>510.6</v>
      </c>
      <c r="C70" t="n">
        <v>1341.4</v>
      </c>
      <c r="E70" t="n">
        <v>416.9</v>
      </c>
    </row>
    <row r="71">
      <c r="A71" s="90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90" t="n">
        <v>23682</v>
      </c>
      <c r="B72" t="n">
        <v>512.7</v>
      </c>
      <c r="C72" t="n">
        <v>1352.1</v>
      </c>
      <c r="E72" t="n">
        <v>422</v>
      </c>
    </row>
    <row r="73">
      <c r="A73" s="90" t="n">
        <v>23712</v>
      </c>
      <c r="B73" t="n">
        <v>513</v>
      </c>
      <c r="C73" t="n">
        <v>1359</v>
      </c>
      <c r="E73" t="n">
        <v>424.7</v>
      </c>
    </row>
    <row r="74">
      <c r="A74" s="90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90" t="n">
        <v>23774</v>
      </c>
      <c r="B75" t="n">
        <v>514.4</v>
      </c>
      <c r="C75" t="n">
        <v>1376</v>
      </c>
      <c r="E75" t="n">
        <v>430.4</v>
      </c>
    </row>
    <row r="76">
      <c r="A76" s="90" t="n">
        <v>23802</v>
      </c>
      <c r="B76" t="n">
        <v>515.8</v>
      </c>
      <c r="C76" t="n">
        <v>1383.6</v>
      </c>
      <c r="E76" t="n">
        <v>433.2</v>
      </c>
    </row>
    <row r="77">
      <c r="A77" s="90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90" t="n">
        <v>23863</v>
      </c>
      <c r="B78" t="n">
        <v>513.7</v>
      </c>
      <c r="C78" t="n">
        <v>1388.5</v>
      </c>
      <c r="E78" t="n">
        <v>437.1</v>
      </c>
    </row>
    <row r="79">
      <c r="A79" s="90" t="n">
        <v>23894</v>
      </c>
      <c r="B79" t="n">
        <v>513.1</v>
      </c>
      <c r="C79" t="n">
        <v>1392.3</v>
      </c>
      <c r="E79" t="n">
        <v>440.1</v>
      </c>
    </row>
    <row r="80">
      <c r="A80" s="90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90" t="n">
        <v>23955</v>
      </c>
      <c r="B81" t="n">
        <v>518.9</v>
      </c>
      <c r="C81" t="n">
        <v>1413</v>
      </c>
      <c r="E81" t="n">
        <v>445.8</v>
      </c>
    </row>
    <row r="82">
      <c r="A82" s="90" t="n">
        <v>23986</v>
      </c>
      <c r="B82" t="n">
        <v>521.2</v>
      </c>
      <c r="C82" t="n">
        <v>1421.6</v>
      </c>
      <c r="E82" t="n">
        <v>449.5</v>
      </c>
    </row>
    <row r="83">
      <c r="A83" s="90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90" t="n">
        <v>24047</v>
      </c>
      <c r="B84" t="n">
        <v>525</v>
      </c>
      <c r="C84" t="n">
        <v>1435.3</v>
      </c>
      <c r="E84" t="n">
        <v>455.7</v>
      </c>
    </row>
    <row r="85">
      <c r="A85" s="90" t="n">
        <v>24077</v>
      </c>
      <c r="B85" t="n">
        <v>526.8</v>
      </c>
      <c r="C85" t="n">
        <v>1441.8</v>
      </c>
      <c r="E85" t="n">
        <v>459.2</v>
      </c>
    </row>
    <row r="86">
      <c r="A86" s="90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90" t="n">
        <v>24139</v>
      </c>
      <c r="B87" t="n">
        <v>528.7</v>
      </c>
      <c r="C87" t="n">
        <v>1448.3</v>
      </c>
      <c r="E87" t="n">
        <v>464.6</v>
      </c>
    </row>
    <row r="88">
      <c r="A88" s="90" t="n">
        <v>24167</v>
      </c>
      <c r="B88" t="n">
        <v>529.8</v>
      </c>
      <c r="C88" t="n">
        <v>1451.8</v>
      </c>
      <c r="E88" t="n">
        <v>467.2</v>
      </c>
    </row>
    <row r="89">
      <c r="A89" s="90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90" t="n">
        <v>24228</v>
      </c>
      <c r="B90" t="n">
        <v>529.5</v>
      </c>
      <c r="C90" t="n">
        <v>1453.2</v>
      </c>
      <c r="E90" t="n">
        <v>470.1</v>
      </c>
    </row>
    <row r="91">
      <c r="A91" s="90" t="n">
        <v>24259</v>
      </c>
      <c r="B91" t="n">
        <v>530</v>
      </c>
      <c r="C91" t="n">
        <v>1455.2</v>
      </c>
      <c r="E91" t="n">
        <v>471.2</v>
      </c>
    </row>
    <row r="92">
      <c r="A92" s="90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90" t="n">
        <v>24320</v>
      </c>
      <c r="B93" t="n">
        <v>523.1</v>
      </c>
      <c r="C93" t="n">
        <v>1447.5</v>
      </c>
      <c r="E93" t="n">
        <v>472.6</v>
      </c>
    </row>
    <row r="94">
      <c r="A94" s="90" t="n">
        <v>24351</v>
      </c>
      <c r="B94" t="n">
        <v>525.2</v>
      </c>
      <c r="C94" t="n">
        <v>1451.6</v>
      </c>
      <c r="E94" t="n">
        <v>475.4</v>
      </c>
    </row>
    <row r="95">
      <c r="A95" s="90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90" t="n">
        <v>24412</v>
      </c>
      <c r="B96" t="n">
        <v>521.3</v>
      </c>
      <c r="C96" t="n">
        <v>1451.6</v>
      </c>
      <c r="E96" t="n">
        <v>477.3</v>
      </c>
    </row>
    <row r="97">
      <c r="A97" s="90" t="n">
        <v>24442</v>
      </c>
      <c r="B97" t="n">
        <v>522.5</v>
      </c>
      <c r="C97" t="n">
        <v>1458.7</v>
      </c>
      <c r="E97" t="n">
        <v>480.2</v>
      </c>
    </row>
    <row r="98">
      <c r="A98" s="90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90" t="n">
        <v>24504</v>
      </c>
      <c r="B99" t="n">
        <v>524.2</v>
      </c>
      <c r="C99" t="n">
        <v>1470</v>
      </c>
      <c r="E99" t="n">
        <v>485.1</v>
      </c>
    </row>
    <row r="100">
      <c r="A100" s="90" t="n">
        <v>24532</v>
      </c>
      <c r="B100" t="n">
        <v>529.7</v>
      </c>
      <c r="C100" t="n">
        <v>1483.9</v>
      </c>
      <c r="E100" t="n">
        <v>489.7</v>
      </c>
    </row>
    <row r="101">
      <c r="A101" s="90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90" t="n">
        <v>24593</v>
      </c>
      <c r="B102" t="n">
        <v>530.8</v>
      </c>
      <c r="C102" t="n">
        <v>1502.1</v>
      </c>
      <c r="E102" t="n">
        <v>497.2</v>
      </c>
    </row>
    <row r="103">
      <c r="A103" s="90" t="n">
        <v>24624</v>
      </c>
      <c r="B103" t="n">
        <v>531.5</v>
      </c>
      <c r="C103" t="n">
        <v>1507.5</v>
      </c>
      <c r="E103" t="n">
        <v>502</v>
      </c>
    </row>
    <row r="104">
      <c r="A104" s="90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90" t="n">
        <v>24685</v>
      </c>
      <c r="B105" t="n">
        <v>536.4</v>
      </c>
      <c r="C105" t="n">
        <v>1524.8</v>
      </c>
      <c r="E105" t="n">
        <v>510.8</v>
      </c>
    </row>
    <row r="106">
      <c r="A106" s="90" t="n">
        <v>24716</v>
      </c>
      <c r="B106" t="n">
        <v>537.8</v>
      </c>
      <c r="C106" t="n">
        <v>1531.8</v>
      </c>
      <c r="E106" t="n">
        <v>514.7</v>
      </c>
    </row>
    <row r="107">
      <c r="A107" s="90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90" t="n">
        <v>24777</v>
      </c>
      <c r="B108" t="n">
        <v>538.1</v>
      </c>
      <c r="C108" t="n">
        <v>1537.5</v>
      </c>
      <c r="E108" t="n">
        <v>521.2</v>
      </c>
    </row>
    <row r="109">
      <c r="A109" s="90" t="n">
        <v>24807</v>
      </c>
      <c r="B109" t="n">
        <v>539.1</v>
      </c>
      <c r="C109" t="n">
        <v>1543.5</v>
      </c>
      <c r="E109" t="n">
        <v>524.8</v>
      </c>
    </row>
    <row r="110">
      <c r="A110" s="90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90" t="n">
        <v>24869</v>
      </c>
      <c r="B111" t="n">
        <v>540.1</v>
      </c>
      <c r="C111" t="n">
        <v>1550.9</v>
      </c>
      <c r="E111" t="n">
        <v>530.4</v>
      </c>
    </row>
    <row r="112">
      <c r="A112" s="90" t="n">
        <v>24898</v>
      </c>
      <c r="B112" t="n">
        <v>540.8</v>
      </c>
      <c r="C112" t="n">
        <v>1554.5</v>
      </c>
      <c r="E112" t="n">
        <v>533.2</v>
      </c>
    </row>
    <row r="113">
      <c r="A113" s="90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90" t="n">
        <v>24959</v>
      </c>
      <c r="B114" t="n">
        <v>544.9</v>
      </c>
      <c r="C114" t="n">
        <v>1562</v>
      </c>
      <c r="E114" t="n">
        <v>538.9</v>
      </c>
    </row>
    <row r="115">
      <c r="A115" s="90" t="n">
        <v>24990</v>
      </c>
      <c r="B115" t="n">
        <v>545.8</v>
      </c>
      <c r="C115" t="n">
        <v>1563.7</v>
      </c>
      <c r="E115" t="n">
        <v>542.6</v>
      </c>
    </row>
    <row r="116">
      <c r="A116" s="90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90" t="n">
        <v>25051</v>
      </c>
      <c r="B117" t="n">
        <v>548</v>
      </c>
      <c r="C117" t="n">
        <v>1569.7</v>
      </c>
      <c r="E117" t="n">
        <v>549.4</v>
      </c>
    </row>
    <row r="118">
      <c r="A118" s="90" t="n">
        <v>25082</v>
      </c>
      <c r="B118" t="n">
        <v>549</v>
      </c>
      <c r="C118" t="n">
        <v>1577.2</v>
      </c>
      <c r="E118" t="n">
        <v>553.6</v>
      </c>
    </row>
    <row r="119">
      <c r="A119" s="90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90" t="n">
        <v>25143</v>
      </c>
      <c r="B120" t="n">
        <v>553.7</v>
      </c>
      <c r="C120" t="n">
        <v>1588.7</v>
      </c>
      <c r="E120" t="n">
        <v>562.4</v>
      </c>
    </row>
    <row r="121">
      <c r="A121" s="90" t="n">
        <v>25173</v>
      </c>
      <c r="B121" t="n">
        <v>554.5</v>
      </c>
      <c r="C121" t="n">
        <v>1592.1</v>
      </c>
      <c r="E121" t="n">
        <v>566.8</v>
      </c>
    </row>
    <row r="122">
      <c r="A122" s="90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90" t="n">
        <v>25235</v>
      </c>
      <c r="B123" t="n">
        <v>556.7</v>
      </c>
      <c r="C123" t="n">
        <v>1597.5</v>
      </c>
      <c r="E123" t="n">
        <v>571.9</v>
      </c>
    </row>
    <row r="124">
      <c r="A124" s="90" t="n">
        <v>25263</v>
      </c>
      <c r="B124" t="n">
        <v>554</v>
      </c>
      <c r="C124" t="n">
        <v>1591.1</v>
      </c>
      <c r="E124" t="n">
        <v>574.4</v>
      </c>
    </row>
    <row r="125">
      <c r="A125" s="90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90" t="n">
        <v>25324</v>
      </c>
      <c r="B126" t="n">
        <v>551.6</v>
      </c>
      <c r="C126" t="n">
        <v>1583.8</v>
      </c>
      <c r="E126" t="n">
        <v>576.5</v>
      </c>
    </row>
    <row r="127">
      <c r="A127" s="90" t="n">
        <v>25355</v>
      </c>
      <c r="B127" t="n">
        <v>550</v>
      </c>
      <c r="C127" t="n">
        <v>1580.6</v>
      </c>
      <c r="E127" t="n">
        <v>578.5</v>
      </c>
    </row>
    <row r="128">
      <c r="A128" s="90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90" t="n">
        <v>25416</v>
      </c>
      <c r="B129" t="n">
        <v>546.6</v>
      </c>
      <c r="C129" t="n">
        <v>1572.1</v>
      </c>
      <c r="E129" t="n">
        <v>580.1</v>
      </c>
    </row>
    <row r="130">
      <c r="A130" s="90" t="n">
        <v>25447</v>
      </c>
      <c r="B130" t="n">
        <v>544.7</v>
      </c>
      <c r="C130" t="n">
        <v>1569</v>
      </c>
      <c r="E130" t="n">
        <v>582.1</v>
      </c>
    </row>
    <row r="131">
      <c r="A131" s="90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90" t="n">
        <v>25508</v>
      </c>
      <c r="B132" t="n">
        <v>542.9</v>
      </c>
      <c r="C132" t="n">
        <v>1561.1</v>
      </c>
      <c r="E132" t="n">
        <v>585.4</v>
      </c>
    </row>
    <row r="133">
      <c r="A133" s="90" t="n">
        <v>25538</v>
      </c>
      <c r="B133" t="n">
        <v>540.8</v>
      </c>
      <c r="C133" t="n">
        <v>1559.4</v>
      </c>
      <c r="E133" t="n">
        <v>587.9</v>
      </c>
    </row>
    <row r="134">
      <c r="A134" s="90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90" t="n">
        <v>25600</v>
      </c>
      <c r="B135" t="n">
        <v>538.1</v>
      </c>
      <c r="C135" t="n">
        <v>1538.8</v>
      </c>
      <c r="E135" t="n">
        <v>586.3</v>
      </c>
    </row>
    <row r="136">
      <c r="A136" s="90" t="n">
        <v>25628</v>
      </c>
      <c r="B136" t="n">
        <v>537.1</v>
      </c>
      <c r="C136" t="n">
        <v>1533.4</v>
      </c>
      <c r="E136" t="n">
        <v>587.3</v>
      </c>
    </row>
    <row r="137">
      <c r="A137" s="90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90" t="n">
        <v>25689</v>
      </c>
      <c r="B138" t="n">
        <v>536.8</v>
      </c>
      <c r="C138" t="n">
        <v>1532.4</v>
      </c>
      <c r="E138" t="n">
        <v>591.5</v>
      </c>
    </row>
    <row r="139">
      <c r="A139" s="90" t="n">
        <v>25720</v>
      </c>
      <c r="B139" t="n">
        <v>535.1</v>
      </c>
      <c r="C139" t="n">
        <v>1534</v>
      </c>
      <c r="E139" t="n">
        <v>595.2</v>
      </c>
    </row>
    <row r="140">
      <c r="A140" s="90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90" t="n">
        <v>25781</v>
      </c>
      <c r="B141" t="n">
        <v>538.2</v>
      </c>
      <c r="C141" t="n">
        <v>1551</v>
      </c>
      <c r="E141" t="n">
        <v>604.9</v>
      </c>
    </row>
    <row r="142">
      <c r="A142" s="90" t="n">
        <v>25812</v>
      </c>
      <c r="B142" t="n">
        <v>540.3</v>
      </c>
      <c r="C142" t="n">
        <v>1559.2</v>
      </c>
      <c r="E142" t="n">
        <v>611.2</v>
      </c>
    </row>
    <row r="143">
      <c r="A143" s="90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90" t="n">
        <v>25873</v>
      </c>
      <c r="B144" t="n">
        <v>539.6</v>
      </c>
      <c r="C144" t="n">
        <v>1568.4</v>
      </c>
      <c r="E144" t="n">
        <v>621.1</v>
      </c>
    </row>
    <row r="145">
      <c r="A145" s="90" t="n">
        <v>25903</v>
      </c>
      <c r="B145" t="n">
        <v>538.7</v>
      </c>
      <c r="C145" t="n">
        <v>1574.1</v>
      </c>
      <c r="E145" t="n">
        <v>626.5</v>
      </c>
    </row>
    <row r="146">
      <c r="A146" s="90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90" t="n">
        <v>25965</v>
      </c>
      <c r="B147" t="n">
        <v>544.9</v>
      </c>
      <c r="C147" t="n">
        <v>1606.5</v>
      </c>
      <c r="E147" t="n">
        <v>641</v>
      </c>
    </row>
    <row r="148">
      <c r="A148" s="90" t="n">
        <v>25993</v>
      </c>
      <c r="B148" t="n">
        <v>547</v>
      </c>
      <c r="C148" t="n">
        <v>1624.7</v>
      </c>
      <c r="E148" t="n">
        <v>649.9</v>
      </c>
    </row>
    <row r="149">
      <c r="A149" s="90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90" t="n">
        <v>26054</v>
      </c>
      <c r="B150" t="n">
        <v>550.9</v>
      </c>
      <c r="C150" t="n">
        <v>1654.3</v>
      </c>
      <c r="E150" t="n">
        <v>666.7</v>
      </c>
    </row>
    <row r="151">
      <c r="A151" s="90" t="n">
        <v>26085</v>
      </c>
      <c r="B151" t="n">
        <v>551.9</v>
      </c>
      <c r="C151" t="n">
        <v>1661.7</v>
      </c>
      <c r="E151" t="n">
        <v>673</v>
      </c>
    </row>
    <row r="152">
      <c r="A152" s="90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90" t="n">
        <v>26146</v>
      </c>
      <c r="B153" t="n">
        <v>554.3</v>
      </c>
      <c r="C153" t="n">
        <v>1684.3</v>
      </c>
      <c r="E153" t="n">
        <v>685.5</v>
      </c>
    </row>
    <row r="154">
      <c r="A154" s="90" t="n">
        <v>26177</v>
      </c>
      <c r="B154" t="n">
        <v>555.1</v>
      </c>
      <c r="C154" t="n">
        <v>1697.3</v>
      </c>
      <c r="E154" t="n">
        <v>692.5</v>
      </c>
    </row>
    <row r="155">
      <c r="A155" s="90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90" t="n">
        <v>26238</v>
      </c>
      <c r="B156" t="n">
        <v>555.6</v>
      </c>
      <c r="C156" t="n">
        <v>1718.5</v>
      </c>
      <c r="E156" t="n">
        <v>704.6</v>
      </c>
    </row>
    <row r="157">
      <c r="A157" s="90" t="n">
        <v>26268</v>
      </c>
      <c r="B157" t="n">
        <v>555.5</v>
      </c>
      <c r="C157" t="n">
        <v>1728.2</v>
      </c>
      <c r="E157" t="n">
        <v>710.3</v>
      </c>
    </row>
    <row r="158">
      <c r="A158" s="90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90" t="n">
        <v>26330</v>
      </c>
      <c r="B159" t="n">
        <v>561.1</v>
      </c>
      <c r="C159" t="n">
        <v>1752.9</v>
      </c>
      <c r="E159" t="n">
        <v>725.7</v>
      </c>
    </row>
    <row r="160">
      <c r="A160" s="90" t="n">
        <v>26359</v>
      </c>
      <c r="B160" t="n">
        <v>565.9</v>
      </c>
      <c r="C160" t="n">
        <v>1771.7</v>
      </c>
      <c r="E160" t="n">
        <v>733.5</v>
      </c>
    </row>
    <row r="161">
      <c r="A161" s="90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90" t="n">
        <v>26420</v>
      </c>
      <c r="B162" t="n">
        <v>567.1</v>
      </c>
      <c r="C162" t="n">
        <v>1786.8</v>
      </c>
      <c r="E162" t="n">
        <v>743.3</v>
      </c>
    </row>
    <row r="163">
      <c r="A163" s="90" t="n">
        <v>26451</v>
      </c>
      <c r="B163" t="n">
        <v>567.4</v>
      </c>
      <c r="C163" t="n">
        <v>1797.8</v>
      </c>
      <c r="E163" t="n">
        <v>749.7</v>
      </c>
    </row>
    <row r="164">
      <c r="A164" s="90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90" t="n">
        <v>26512</v>
      </c>
      <c r="B165" t="n">
        <v>574.9</v>
      </c>
      <c r="C165" t="n">
        <v>1834.6</v>
      </c>
      <c r="E165" t="n">
        <v>768.7</v>
      </c>
    </row>
    <row r="166">
      <c r="A166" s="90" t="n">
        <v>26543</v>
      </c>
      <c r="B166" t="n">
        <v>577.7</v>
      </c>
      <c r="C166" t="n">
        <v>1848.7</v>
      </c>
      <c r="E166" t="n">
        <v>778.3</v>
      </c>
    </row>
    <row r="167">
      <c r="A167" s="90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90" t="n">
        <v>26604</v>
      </c>
      <c r="B168" t="n">
        <v>581.1</v>
      </c>
      <c r="C168" t="n">
        <v>1872.4</v>
      </c>
      <c r="E168" t="n">
        <v>793.9</v>
      </c>
    </row>
    <row r="169">
      <c r="A169" s="90" t="n">
        <v>26634</v>
      </c>
      <c r="B169" t="n">
        <v>586.4</v>
      </c>
      <c r="C169" t="n">
        <v>1887.8</v>
      </c>
      <c r="E169" t="n">
        <v>802.3</v>
      </c>
    </row>
    <row r="170">
      <c r="A170" s="90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90" t="n">
        <v>26696</v>
      </c>
      <c r="B171" t="n">
        <v>586.5</v>
      </c>
      <c r="C171" t="n">
        <v>1893.3</v>
      </c>
      <c r="E171" t="n">
        <v>814.1</v>
      </c>
    </row>
    <row r="172">
      <c r="A172" s="90" t="n">
        <v>26724</v>
      </c>
      <c r="B172" t="n">
        <v>580</v>
      </c>
      <c r="C172" t="n">
        <v>1878.6</v>
      </c>
      <c r="E172" t="n">
        <v>815.3</v>
      </c>
    </row>
    <row r="173">
      <c r="A173" s="90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90" t="n">
        <v>26785</v>
      </c>
      <c r="B174" t="n">
        <v>580.6</v>
      </c>
      <c r="C174" t="n">
        <v>1883.4</v>
      </c>
      <c r="E174" t="n">
        <v>826.8</v>
      </c>
    </row>
    <row r="175">
      <c r="A175" s="90" t="n">
        <v>26816</v>
      </c>
      <c r="B175" t="n">
        <v>580.8</v>
      </c>
      <c r="C175" t="n">
        <v>1885.3</v>
      </c>
      <c r="E175" t="n">
        <v>833.3</v>
      </c>
    </row>
    <row r="176">
      <c r="A176" s="90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90" t="n">
        <v>26877</v>
      </c>
      <c r="B177" t="n">
        <v>572.7</v>
      </c>
      <c r="C177" t="n">
        <v>1864</v>
      </c>
      <c r="E177" t="n">
        <v>838.8</v>
      </c>
    </row>
    <row r="178">
      <c r="A178" s="90" t="n">
        <v>26908</v>
      </c>
      <c r="B178" t="n">
        <v>570.6</v>
      </c>
      <c r="C178" t="n">
        <v>1856.9</v>
      </c>
      <c r="E178" t="n">
        <v>839.3</v>
      </c>
    </row>
    <row r="179">
      <c r="A179" s="90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90" t="n">
        <v>26969</v>
      </c>
      <c r="B180" t="n">
        <v>568.6</v>
      </c>
      <c r="C180" t="n">
        <v>1849.5</v>
      </c>
      <c r="E180" t="n">
        <v>848.9</v>
      </c>
    </row>
    <row r="181">
      <c r="A181" s="90" t="n">
        <v>26999</v>
      </c>
      <c r="B181" t="n">
        <v>567.8</v>
      </c>
      <c r="C181" t="n">
        <v>1847.7</v>
      </c>
      <c r="E181" t="n">
        <v>855.5</v>
      </c>
    </row>
    <row r="182">
      <c r="A182" s="90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90" t="n">
        <v>27061</v>
      </c>
      <c r="B183" t="n">
        <v>560.9</v>
      </c>
      <c r="C183" t="n">
        <v>1827.1</v>
      </c>
      <c r="E183" t="n">
        <v>864.2</v>
      </c>
    </row>
    <row r="184">
      <c r="A184" s="90" t="n">
        <v>27089</v>
      </c>
      <c r="B184" t="n">
        <v>557.9</v>
      </c>
      <c r="C184" t="n">
        <v>1820.3</v>
      </c>
      <c r="E184" t="n">
        <v>870.1</v>
      </c>
    </row>
    <row r="185">
      <c r="A185" s="90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90" t="n">
        <v>27150</v>
      </c>
      <c r="B186" t="n">
        <v>550.6</v>
      </c>
      <c r="C186" t="n">
        <v>1799.6</v>
      </c>
      <c r="E186" t="n">
        <v>874.6</v>
      </c>
    </row>
    <row r="187">
      <c r="A187" s="90" t="n">
        <v>27181</v>
      </c>
      <c r="B187" t="n">
        <v>548</v>
      </c>
      <c r="C187" t="n">
        <v>1791.4</v>
      </c>
      <c r="E187" t="n">
        <v>877.8</v>
      </c>
    </row>
    <row r="188">
      <c r="A188" s="90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90" t="n">
        <v>27242</v>
      </c>
      <c r="B189" t="n">
        <v>541.3</v>
      </c>
      <c r="C189" t="n">
        <v>1771.7</v>
      </c>
      <c r="E189" t="n">
        <v>884.1</v>
      </c>
    </row>
    <row r="190">
      <c r="A190" s="90" t="n">
        <v>27273</v>
      </c>
      <c r="B190" t="n">
        <v>535.6</v>
      </c>
      <c r="C190" t="n">
        <v>1754.7</v>
      </c>
      <c r="E190" t="n">
        <v>887.9</v>
      </c>
    </row>
    <row r="191">
      <c r="A191" s="90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90" t="n">
        <v>27334</v>
      </c>
      <c r="B192" t="n">
        <v>531.5</v>
      </c>
      <c r="C192" t="n">
        <v>1744.9</v>
      </c>
      <c r="E192" t="n">
        <v>898.6</v>
      </c>
    </row>
    <row r="193">
      <c r="A193" s="90" t="n">
        <v>27364</v>
      </c>
      <c r="B193" t="n">
        <v>528.3</v>
      </c>
      <c r="C193" t="n">
        <v>1738.2</v>
      </c>
      <c r="E193" t="n">
        <v>902.1</v>
      </c>
    </row>
    <row r="194">
      <c r="A194" s="90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90" t="n">
        <v>27400</v>
      </c>
      <c r="D195" t="n">
        <v>273.4</v>
      </c>
    </row>
    <row r="196">
      <c r="A196" s="90" t="n">
        <v>27407</v>
      </c>
      <c r="D196" t="n">
        <v>273.7</v>
      </c>
    </row>
    <row r="197">
      <c r="A197" s="90" t="n">
        <v>27414</v>
      </c>
      <c r="D197" t="n">
        <v>273.8</v>
      </c>
    </row>
    <row r="198">
      <c r="A198" s="90" t="n">
        <v>27421</v>
      </c>
      <c r="D198" t="n">
        <v>273.7</v>
      </c>
    </row>
    <row r="199">
      <c r="A199" s="90" t="n">
        <v>27426</v>
      </c>
      <c r="B199" t="n">
        <v>522.8</v>
      </c>
      <c r="C199" t="n">
        <v>1737.8</v>
      </c>
      <c r="E199" t="n">
        <v>914.1</v>
      </c>
    </row>
    <row r="200">
      <c r="A200" s="90" t="n">
        <v>27428</v>
      </c>
      <c r="D200" t="n">
        <v>275.2</v>
      </c>
    </row>
    <row r="201">
      <c r="A201" s="90" t="n">
        <v>27435</v>
      </c>
      <c r="D201" t="n">
        <v>274.5</v>
      </c>
    </row>
    <row r="202">
      <c r="A202" s="90" t="n">
        <v>27442</v>
      </c>
      <c r="D202" t="n">
        <v>274.6</v>
      </c>
    </row>
    <row r="203">
      <c r="A203" s="90" t="n">
        <v>27449</v>
      </c>
      <c r="D203" t="n">
        <v>274.2</v>
      </c>
    </row>
    <row r="204">
      <c r="A204" s="90" t="n">
        <v>27454</v>
      </c>
      <c r="B204" t="n">
        <v>523.5</v>
      </c>
      <c r="C204" t="n">
        <v>1751.9</v>
      </c>
      <c r="E204" t="n">
        <v>925</v>
      </c>
    </row>
    <row r="205">
      <c r="A205" s="90" t="n">
        <v>27456</v>
      </c>
      <c r="D205" t="n">
        <v>275.4</v>
      </c>
    </row>
    <row r="206">
      <c r="A206" s="90" t="n">
        <v>27463</v>
      </c>
      <c r="D206" t="n">
        <v>276.9</v>
      </c>
    </row>
    <row r="207">
      <c r="A207" s="90" t="n">
        <v>27470</v>
      </c>
      <c r="D207" t="n">
        <v>276.3</v>
      </c>
    </row>
    <row r="208">
      <c r="A208" s="90" t="n">
        <v>27477</v>
      </c>
      <c r="D208" t="n">
        <v>277.6</v>
      </c>
    </row>
    <row r="209">
      <c r="A209" s="90" t="n">
        <v>27484</v>
      </c>
      <c r="D209" t="n">
        <v>273.4</v>
      </c>
    </row>
    <row r="210">
      <c r="A210" s="90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90" t="n">
        <v>27491</v>
      </c>
      <c r="D211" t="n">
        <v>275.2</v>
      </c>
    </row>
    <row r="212">
      <c r="A212" s="90" t="n">
        <v>27498</v>
      </c>
      <c r="D212" t="n">
        <v>276.1</v>
      </c>
    </row>
    <row r="213">
      <c r="A213" s="90" t="n">
        <v>27505</v>
      </c>
      <c r="D213" t="n">
        <v>276.7</v>
      </c>
    </row>
    <row r="214">
      <c r="A214" s="90" t="n">
        <v>27512</v>
      </c>
      <c r="D214" t="n">
        <v>276.8</v>
      </c>
    </row>
    <row r="215">
      <c r="A215" s="90" t="n">
        <v>27515</v>
      </c>
      <c r="B215" t="n">
        <v>525.8</v>
      </c>
      <c r="C215" t="n">
        <v>1785.1</v>
      </c>
      <c r="E215" t="n">
        <v>947.9</v>
      </c>
    </row>
    <row r="216">
      <c r="A216" s="90" t="n">
        <v>27519</v>
      </c>
      <c r="D216" t="n">
        <v>277.4</v>
      </c>
    </row>
    <row r="217">
      <c r="A217" s="90" t="n">
        <v>27526</v>
      </c>
      <c r="D217" t="n">
        <v>278.1</v>
      </c>
    </row>
    <row r="218">
      <c r="A218" s="90" t="n">
        <v>27533</v>
      </c>
      <c r="D218" t="n">
        <v>279.3</v>
      </c>
    </row>
    <row r="219">
      <c r="A219" s="90" t="n">
        <v>27540</v>
      </c>
      <c r="D219" t="n">
        <v>280.4</v>
      </c>
    </row>
    <row r="220">
      <c r="A220" s="90" t="n">
        <v>27546</v>
      </c>
      <c r="B220" t="n">
        <v>527.9</v>
      </c>
      <c r="C220" t="n">
        <v>1800</v>
      </c>
      <c r="E220" t="n">
        <v>963</v>
      </c>
    </row>
    <row r="221">
      <c r="A221" s="90" t="n">
        <v>27547</v>
      </c>
      <c r="D221" t="n">
        <v>280.7</v>
      </c>
    </row>
    <row r="222">
      <c r="A222" s="90" t="n">
        <v>27554</v>
      </c>
      <c r="D222" t="n">
        <v>281.5</v>
      </c>
    </row>
    <row r="223">
      <c r="A223" s="90" t="n">
        <v>27561</v>
      </c>
      <c r="D223" t="n">
        <v>282.2</v>
      </c>
    </row>
    <row r="224">
      <c r="A224" s="90" t="n">
        <v>27568</v>
      </c>
      <c r="D224" t="n">
        <v>283.2</v>
      </c>
    </row>
    <row r="225">
      <c r="A225" s="90" t="n">
        <v>27575</v>
      </c>
      <c r="D225" t="n">
        <v>283.3</v>
      </c>
    </row>
    <row r="226">
      <c r="A226" s="90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90" t="n">
        <v>27582</v>
      </c>
      <c r="D227" t="n">
        <v>283.3</v>
      </c>
    </row>
    <row r="228">
      <c r="A228" s="90" t="n">
        <v>27589</v>
      </c>
      <c r="D228" t="n">
        <v>283.7</v>
      </c>
    </row>
    <row r="229">
      <c r="A229" s="90" t="n">
        <v>27596</v>
      </c>
      <c r="D229" t="n">
        <v>283.9</v>
      </c>
    </row>
    <row r="230">
      <c r="A230" s="90" t="n">
        <v>27603</v>
      </c>
      <c r="D230" t="n">
        <v>283.7</v>
      </c>
    </row>
    <row r="231">
      <c r="A231" s="90" t="n">
        <v>27607</v>
      </c>
      <c r="B231" t="n">
        <v>524.2</v>
      </c>
      <c r="C231" t="n">
        <v>1813.8</v>
      </c>
      <c r="E231" t="n">
        <v>983.1</v>
      </c>
    </row>
    <row r="232">
      <c r="A232" s="90" t="n">
        <v>27610</v>
      </c>
      <c r="D232" t="n">
        <v>283.7</v>
      </c>
    </row>
    <row r="233">
      <c r="A233" s="90" t="n">
        <v>27617</v>
      </c>
      <c r="D233" t="n">
        <v>283.1</v>
      </c>
    </row>
    <row r="234">
      <c r="A234" s="90" t="n">
        <v>27624</v>
      </c>
      <c r="D234" t="n">
        <v>283.5</v>
      </c>
    </row>
    <row r="235">
      <c r="A235" s="90" t="n">
        <v>27631</v>
      </c>
      <c r="D235" t="n">
        <v>284.7</v>
      </c>
    </row>
    <row r="236">
      <c r="A236" s="90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90" t="n">
        <v>27645</v>
      </c>
      <c r="D237" t="n">
        <v>285.6</v>
      </c>
    </row>
    <row r="238">
      <c r="A238" s="90" t="n">
        <v>27652</v>
      </c>
      <c r="D238" t="n">
        <v>285.3</v>
      </c>
    </row>
    <row r="239">
      <c r="A239" s="90" t="n">
        <v>27659</v>
      </c>
      <c r="D239" t="n">
        <v>285.8</v>
      </c>
    </row>
    <row r="240">
      <c r="A240" s="90" t="n">
        <v>27666</v>
      </c>
      <c r="D240" t="n">
        <v>286.1</v>
      </c>
    </row>
    <row r="241">
      <c r="A241" s="90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90" t="n">
        <v>27673</v>
      </c>
      <c r="D242" t="n">
        <v>284.5</v>
      </c>
    </row>
    <row r="243">
      <c r="A243" s="90" t="n">
        <v>27680</v>
      </c>
      <c r="D243" t="n">
        <v>285.5</v>
      </c>
    </row>
    <row r="244">
      <c r="A244" s="90" t="n">
        <v>27687</v>
      </c>
      <c r="D244" t="n">
        <v>286.2</v>
      </c>
    </row>
    <row r="245">
      <c r="A245" s="90" t="n">
        <v>27694</v>
      </c>
      <c r="D245" t="n">
        <v>284.9</v>
      </c>
    </row>
    <row r="246">
      <c r="A246" s="90" t="n">
        <v>27699</v>
      </c>
      <c r="B246" t="n">
        <v>518.6</v>
      </c>
      <c r="C246" t="n">
        <v>1820.8</v>
      </c>
      <c r="E246" t="n">
        <v>1006.9</v>
      </c>
    </row>
    <row r="247">
      <c r="A247" s="90" t="n">
        <v>27701</v>
      </c>
      <c r="D247" t="n">
        <v>285.9</v>
      </c>
    </row>
    <row r="248">
      <c r="A248" s="90" t="n">
        <v>27708</v>
      </c>
      <c r="D248" t="n">
        <v>286.8</v>
      </c>
    </row>
    <row r="249">
      <c r="A249" s="90" t="n">
        <v>27715</v>
      </c>
      <c r="D249" t="n">
        <v>286.3</v>
      </c>
    </row>
    <row r="250">
      <c r="A250" s="90" t="n">
        <v>27722</v>
      </c>
      <c r="D250" t="n">
        <v>287.5</v>
      </c>
    </row>
    <row r="251">
      <c r="A251" s="90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90" t="n">
        <v>27736</v>
      </c>
      <c r="D252" t="n">
        <v>286.8</v>
      </c>
    </row>
    <row r="253">
      <c r="A253" s="90" t="n">
        <v>27743</v>
      </c>
      <c r="D253" t="n">
        <v>287.1</v>
      </c>
    </row>
    <row r="254">
      <c r="A254" s="90" t="n">
        <v>27750</v>
      </c>
      <c r="D254" t="n">
        <v>287.4</v>
      </c>
    </row>
    <row r="255">
      <c r="A255" s="90" t="n">
        <v>27757</v>
      </c>
      <c r="D255" t="n">
        <v>287.2</v>
      </c>
    </row>
    <row r="256">
      <c r="A256" s="90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90" t="n">
        <v>27764</v>
      </c>
      <c r="D257" t="n">
        <v>287.3</v>
      </c>
    </row>
    <row r="258">
      <c r="A258" s="90" t="n">
        <v>27771</v>
      </c>
      <c r="D258" t="n">
        <v>287.9</v>
      </c>
    </row>
    <row r="259">
      <c r="A259" s="90" t="n">
        <v>27778</v>
      </c>
      <c r="D259" t="n">
        <v>288.4</v>
      </c>
    </row>
    <row r="260">
      <c r="A260" s="90" t="n">
        <v>27785</v>
      </c>
      <c r="D260" t="n">
        <v>289.1</v>
      </c>
    </row>
    <row r="261">
      <c r="A261" s="90" t="n">
        <v>27791</v>
      </c>
      <c r="B261" t="n">
        <v>520.2</v>
      </c>
      <c r="C261" t="n">
        <v>1861</v>
      </c>
      <c r="E261" t="n">
        <v>1040.3</v>
      </c>
    </row>
    <row r="262">
      <c r="A262" s="90" t="n">
        <v>27792</v>
      </c>
      <c r="D262" t="n">
        <v>290.2</v>
      </c>
    </row>
    <row r="263">
      <c r="A263" s="90" t="n">
        <v>27799</v>
      </c>
      <c r="D263" t="n">
        <v>290.3</v>
      </c>
    </row>
    <row r="264">
      <c r="A264" s="90" t="n">
        <v>27806</v>
      </c>
      <c r="D264" t="n">
        <v>291.2</v>
      </c>
    </row>
    <row r="265">
      <c r="A265" s="90" t="n">
        <v>27813</v>
      </c>
      <c r="D265" t="n">
        <v>290.7</v>
      </c>
    </row>
    <row r="266">
      <c r="A266" s="90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90" t="n">
        <v>27827</v>
      </c>
      <c r="D267" t="n">
        <v>291.1</v>
      </c>
    </row>
    <row r="268">
      <c r="A268" s="90" t="n">
        <v>27834</v>
      </c>
      <c r="D268" t="n">
        <v>292.8</v>
      </c>
    </row>
    <row r="269">
      <c r="A269" s="90" t="n">
        <v>27841</v>
      </c>
      <c r="D269" t="n">
        <v>292.8</v>
      </c>
    </row>
    <row r="270">
      <c r="A270" s="90" t="n">
        <v>27848</v>
      </c>
      <c r="D270" t="n">
        <v>294.2</v>
      </c>
    </row>
    <row r="271">
      <c r="A271" s="90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90" t="n">
        <v>27855</v>
      </c>
      <c r="D272" t="n">
        <v>293</v>
      </c>
    </row>
    <row r="273">
      <c r="A273" s="90" t="n">
        <v>27862</v>
      </c>
      <c r="D273" t="n">
        <v>294.5</v>
      </c>
    </row>
    <row r="274">
      <c r="A274" s="90" t="n">
        <v>27869</v>
      </c>
      <c r="D274" t="n">
        <v>294.9</v>
      </c>
    </row>
    <row r="275">
      <c r="A275" s="90" t="n">
        <v>27876</v>
      </c>
      <c r="D275" t="n">
        <v>295.4</v>
      </c>
    </row>
    <row r="276">
      <c r="A276" s="90" t="n">
        <v>27881</v>
      </c>
      <c r="B276" t="n">
        <v>524.6</v>
      </c>
      <c r="C276" t="n">
        <v>1900.9</v>
      </c>
      <c r="E276" t="n">
        <v>1072.1</v>
      </c>
    </row>
    <row r="277">
      <c r="A277" s="90" t="n">
        <v>27883</v>
      </c>
      <c r="D277" t="n">
        <v>294.9</v>
      </c>
    </row>
    <row r="278">
      <c r="A278" s="90" t="n">
        <v>27890</v>
      </c>
      <c r="D278" t="n">
        <v>296.3</v>
      </c>
    </row>
    <row r="279">
      <c r="A279" s="90" t="n">
        <v>27897</v>
      </c>
      <c r="D279" t="n">
        <v>295.3</v>
      </c>
    </row>
    <row r="280">
      <c r="A280" s="90" t="n">
        <v>27904</v>
      </c>
      <c r="D280" t="n">
        <v>295.5</v>
      </c>
    </row>
    <row r="281">
      <c r="A281" s="90" t="n">
        <v>27911</v>
      </c>
      <c r="D281" t="n">
        <v>296.4</v>
      </c>
    </row>
    <row r="282">
      <c r="A282" s="90" t="n">
        <v>27912</v>
      </c>
      <c r="B282" t="n">
        <v>522.4</v>
      </c>
      <c r="C282" t="n">
        <v>1900.5</v>
      </c>
      <c r="E282" t="n">
        <v>1077.6</v>
      </c>
    </row>
    <row r="283">
      <c r="A283" s="90" t="n">
        <v>27918</v>
      </c>
      <c r="D283" t="n">
        <v>295.5</v>
      </c>
    </row>
    <row r="284">
      <c r="A284" s="90" t="n">
        <v>27925</v>
      </c>
      <c r="D284" t="n">
        <v>296.7</v>
      </c>
    </row>
    <row r="285">
      <c r="A285" s="90" t="n">
        <v>27932</v>
      </c>
      <c r="D285" t="n">
        <v>296.1</v>
      </c>
    </row>
    <row r="286">
      <c r="A286" s="90" t="n">
        <v>27939</v>
      </c>
      <c r="D286" t="n">
        <v>296.1</v>
      </c>
    </row>
    <row r="287">
      <c r="A287" s="90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90" t="n">
        <v>27946</v>
      </c>
      <c r="D288" t="n">
        <v>296.1</v>
      </c>
    </row>
    <row r="289">
      <c r="A289" s="90" t="n">
        <v>27953</v>
      </c>
      <c r="D289" t="n">
        <v>296.6</v>
      </c>
    </row>
    <row r="290">
      <c r="A290" s="90" t="n">
        <v>27960</v>
      </c>
      <c r="D290" t="n">
        <v>297.2</v>
      </c>
    </row>
    <row r="291">
      <c r="A291" s="90" t="n">
        <v>27967</v>
      </c>
      <c r="D291" t="n">
        <v>297.5</v>
      </c>
    </row>
    <row r="292">
      <c r="A292" s="90" t="n">
        <v>27973</v>
      </c>
      <c r="B292" t="n">
        <v>521.8</v>
      </c>
      <c r="C292" t="n">
        <v>1917.5</v>
      </c>
      <c r="E292" t="n">
        <v>1098.7</v>
      </c>
    </row>
    <row r="293">
      <c r="A293" s="90" t="n">
        <v>27974</v>
      </c>
      <c r="D293" t="n">
        <v>297.7</v>
      </c>
    </row>
    <row r="294">
      <c r="A294" s="90" t="n">
        <v>27981</v>
      </c>
      <c r="D294" t="n">
        <v>298.5</v>
      </c>
    </row>
    <row r="295">
      <c r="A295" s="90" t="n">
        <v>27988</v>
      </c>
      <c r="D295" t="n">
        <v>299.6</v>
      </c>
    </row>
    <row r="296">
      <c r="A296" s="90" t="n">
        <v>27995</v>
      </c>
      <c r="D296" t="n">
        <v>299</v>
      </c>
    </row>
    <row r="297">
      <c r="A297" s="90" t="n">
        <v>28002</v>
      </c>
      <c r="D297" t="n">
        <v>299</v>
      </c>
    </row>
    <row r="298">
      <c r="A298" s="90" t="n">
        <v>28004</v>
      </c>
      <c r="B298" t="n">
        <v>520.1</v>
      </c>
      <c r="C298" t="n">
        <v>1928.5</v>
      </c>
      <c r="E298" t="n">
        <v>1110.8</v>
      </c>
    </row>
    <row r="299">
      <c r="A299" s="90" t="n">
        <v>28009</v>
      </c>
      <c r="D299" t="n">
        <v>298.2</v>
      </c>
    </row>
    <row r="300">
      <c r="A300" s="90" t="n">
        <v>28016</v>
      </c>
      <c r="D300" t="n">
        <v>299.7</v>
      </c>
    </row>
    <row r="301">
      <c r="A301" s="90" t="n">
        <v>28023</v>
      </c>
      <c r="D301" t="n">
        <v>300.1</v>
      </c>
    </row>
    <row r="302">
      <c r="A302" s="90" t="n">
        <v>28030</v>
      </c>
      <c r="D302" t="n">
        <v>299.3</v>
      </c>
    </row>
    <row r="303">
      <c r="A303" s="90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90" t="n">
        <v>28037</v>
      </c>
      <c r="D304" t="n">
        <v>300.7</v>
      </c>
    </row>
    <row r="305">
      <c r="A305" s="90" t="n">
        <v>28044</v>
      </c>
      <c r="D305" t="n">
        <v>302.1</v>
      </c>
    </row>
    <row r="306">
      <c r="A306" s="90" t="n">
        <v>28051</v>
      </c>
      <c r="D306" t="n">
        <v>300.1</v>
      </c>
    </row>
    <row r="307">
      <c r="A307" s="90" t="n">
        <v>28058</v>
      </c>
      <c r="D307" t="n">
        <v>302.7</v>
      </c>
    </row>
    <row r="308">
      <c r="A308" s="90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90" t="n">
        <v>28072</v>
      </c>
      <c r="D309" t="n">
        <v>302.2</v>
      </c>
    </row>
    <row r="310">
      <c r="A310" s="90" t="n">
        <v>28079</v>
      </c>
      <c r="D310" t="n">
        <v>304.3</v>
      </c>
    </row>
    <row r="311">
      <c r="A311" s="90" t="n">
        <v>28086</v>
      </c>
      <c r="D311" t="n">
        <v>303.8</v>
      </c>
    </row>
    <row r="312">
      <c r="A312" s="90" t="n">
        <v>28093</v>
      </c>
      <c r="D312" t="n">
        <v>303.6</v>
      </c>
    </row>
    <row r="313">
      <c r="A313" s="90" t="n">
        <v>28095</v>
      </c>
      <c r="B313" t="n">
        <v>524.3</v>
      </c>
      <c r="C313" t="n">
        <v>1972.6</v>
      </c>
      <c r="E313" t="n">
        <v>1152</v>
      </c>
    </row>
    <row r="314">
      <c r="A314" s="90" t="n">
        <v>28100</v>
      </c>
      <c r="D314" t="n">
        <v>305.3</v>
      </c>
    </row>
    <row r="315">
      <c r="A315" s="90" t="n">
        <v>28107</v>
      </c>
      <c r="D315" t="n">
        <v>305.8</v>
      </c>
    </row>
    <row r="316">
      <c r="A316" s="90" t="n">
        <v>28114</v>
      </c>
      <c r="D316" t="n">
        <v>306.4</v>
      </c>
    </row>
    <row r="317">
      <c r="A317" s="90" t="n">
        <v>28121</v>
      </c>
      <c r="D317" t="n">
        <v>306.6</v>
      </c>
    </row>
    <row r="318">
      <c r="A318" s="90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90" t="n">
        <v>28128</v>
      </c>
      <c r="D319" t="n">
        <v>306.9</v>
      </c>
    </row>
    <row r="320">
      <c r="A320" s="90" t="n">
        <v>28135</v>
      </c>
      <c r="D320" t="n">
        <v>307.7</v>
      </c>
    </row>
    <row r="321">
      <c r="A321" s="90" t="n">
        <v>28142</v>
      </c>
      <c r="D321" t="n">
        <v>308</v>
      </c>
    </row>
    <row r="322">
      <c r="A322" s="90" t="n">
        <v>28149</v>
      </c>
      <c r="D322" t="n">
        <v>308.9</v>
      </c>
    </row>
    <row r="323">
      <c r="A323" s="90" t="n">
        <v>28156</v>
      </c>
      <c r="D323" t="n">
        <v>309.5</v>
      </c>
    </row>
    <row r="324">
      <c r="A324" s="90" t="n">
        <v>28157</v>
      </c>
      <c r="B324" t="n">
        <v>525.3</v>
      </c>
      <c r="C324" t="n">
        <v>1985.8</v>
      </c>
      <c r="E324" t="n">
        <v>1177.6</v>
      </c>
    </row>
    <row r="325">
      <c r="A325" s="90" t="n">
        <v>28163</v>
      </c>
      <c r="D325" t="n">
        <v>310.3</v>
      </c>
    </row>
    <row r="326">
      <c r="A326" s="90" t="n">
        <v>28170</v>
      </c>
      <c r="D326" t="n">
        <v>311.3</v>
      </c>
    </row>
    <row r="327">
      <c r="A327" s="90" t="n">
        <v>28177</v>
      </c>
      <c r="D327" t="n">
        <v>311.7</v>
      </c>
    </row>
    <row r="328">
      <c r="A328" s="90" t="n">
        <v>28184</v>
      </c>
      <c r="D328" t="n">
        <v>312.3</v>
      </c>
    </row>
    <row r="329">
      <c r="A329" s="90" t="n">
        <v>28185</v>
      </c>
      <c r="B329" t="n">
        <v>526.7</v>
      </c>
      <c r="C329" t="n">
        <v>1994.1</v>
      </c>
      <c r="E329" t="n">
        <v>1188.5</v>
      </c>
    </row>
    <row r="330">
      <c r="A330" s="90" t="n">
        <v>28191</v>
      </c>
      <c r="D330" t="n">
        <v>312.7</v>
      </c>
    </row>
    <row r="331">
      <c r="A331" s="90" t="n">
        <v>28198</v>
      </c>
      <c r="D331" t="n">
        <v>313.8</v>
      </c>
    </row>
    <row r="332">
      <c r="A332" s="90" t="n">
        <v>28205</v>
      </c>
      <c r="D332" t="n">
        <v>314.5</v>
      </c>
    </row>
    <row r="333">
      <c r="A333" s="90" t="n">
        <v>28212</v>
      </c>
      <c r="D333" t="n">
        <v>313.9</v>
      </c>
    </row>
    <row r="334">
      <c r="A334" s="90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90" t="n">
        <v>28219</v>
      </c>
      <c r="D335" t="n">
        <v>315.6</v>
      </c>
    </row>
    <row r="336">
      <c r="A336" s="90" t="n">
        <v>28226</v>
      </c>
      <c r="D336" t="n">
        <v>315.8</v>
      </c>
    </row>
    <row r="337">
      <c r="A337" s="90" t="n">
        <v>28233</v>
      </c>
      <c r="D337" t="n">
        <v>315.7</v>
      </c>
    </row>
    <row r="338">
      <c r="A338" s="90" t="n">
        <v>28240</v>
      </c>
      <c r="D338" t="n">
        <v>316.1</v>
      </c>
    </row>
    <row r="339">
      <c r="A339" s="90" t="n">
        <v>28246</v>
      </c>
      <c r="B339" t="n">
        <v>526.9</v>
      </c>
      <c r="C339" t="n">
        <v>2008.3</v>
      </c>
      <c r="E339" t="n">
        <v>1209</v>
      </c>
    </row>
    <row r="340">
      <c r="A340" s="90" t="n">
        <v>28247</v>
      </c>
      <c r="D340" t="n">
        <v>316.6</v>
      </c>
    </row>
    <row r="341">
      <c r="A341" s="90" t="n">
        <v>28254</v>
      </c>
      <c r="D341" t="n">
        <v>316.7</v>
      </c>
    </row>
    <row r="342">
      <c r="A342" s="90" t="n">
        <v>28261</v>
      </c>
      <c r="D342" t="n">
        <v>317.6</v>
      </c>
    </row>
    <row r="343">
      <c r="A343" s="90" t="n">
        <v>28268</v>
      </c>
      <c r="D343" t="n">
        <v>317.4</v>
      </c>
    </row>
    <row r="344">
      <c r="A344" s="90" t="n">
        <v>28275</v>
      </c>
      <c r="D344" t="n">
        <v>316.8</v>
      </c>
    </row>
    <row r="345">
      <c r="A345" s="90" t="n">
        <v>28277</v>
      </c>
      <c r="B345" t="n">
        <v>526.9</v>
      </c>
      <c r="C345" t="n">
        <v>2012.9</v>
      </c>
      <c r="E345" t="n">
        <v>1217.8</v>
      </c>
    </row>
    <row r="346">
      <c r="A346" s="90" t="n">
        <v>28282</v>
      </c>
      <c r="D346" t="n">
        <v>317.6</v>
      </c>
    </row>
    <row r="347">
      <c r="A347" s="90" t="n">
        <v>28289</v>
      </c>
      <c r="D347" t="n">
        <v>317.8</v>
      </c>
    </row>
    <row r="348">
      <c r="A348" s="90" t="n">
        <v>28296</v>
      </c>
      <c r="D348" t="n">
        <v>319.4</v>
      </c>
    </row>
    <row r="349">
      <c r="A349" s="90" t="n">
        <v>28303</v>
      </c>
      <c r="D349" t="n">
        <v>319.4</v>
      </c>
    </row>
    <row r="350">
      <c r="A350" s="90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90" t="n">
        <v>28310</v>
      </c>
      <c r="D351" t="n">
        <v>319.5</v>
      </c>
    </row>
    <row r="352">
      <c r="A352" s="90" t="n">
        <v>28317</v>
      </c>
      <c r="D352" t="n">
        <v>319.3</v>
      </c>
    </row>
    <row r="353">
      <c r="A353" s="90" t="n">
        <v>28324</v>
      </c>
      <c r="D353" t="n">
        <v>320.2</v>
      </c>
    </row>
    <row r="354">
      <c r="A354" s="90" t="n">
        <v>28331</v>
      </c>
      <c r="D354" t="n">
        <v>320.1</v>
      </c>
    </row>
    <row r="355">
      <c r="A355" s="90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90" t="n">
        <v>28345</v>
      </c>
      <c r="D356" t="n">
        <v>321.4</v>
      </c>
    </row>
    <row r="357">
      <c r="A357" s="90" t="n">
        <v>28352</v>
      </c>
      <c r="D357" t="n">
        <v>321.2</v>
      </c>
    </row>
    <row r="358">
      <c r="A358" s="90" t="n">
        <v>28359</v>
      </c>
      <c r="D358" t="n">
        <v>322.4</v>
      </c>
    </row>
    <row r="359">
      <c r="A359" s="90" t="n">
        <v>28366</v>
      </c>
      <c r="D359" t="n">
        <v>323.4</v>
      </c>
    </row>
    <row r="360">
      <c r="A360" s="90" t="n">
        <v>28369</v>
      </c>
      <c r="B360" t="n">
        <v>529.4</v>
      </c>
      <c r="C360" t="n">
        <v>2033</v>
      </c>
      <c r="E360" t="n">
        <v>1246.2</v>
      </c>
    </row>
    <row r="361">
      <c r="A361" s="90" t="n">
        <v>28373</v>
      </c>
      <c r="D361" t="n">
        <v>324.6</v>
      </c>
    </row>
    <row r="362">
      <c r="A362" s="90" t="n">
        <v>28380</v>
      </c>
      <c r="D362" t="n">
        <v>323.3</v>
      </c>
    </row>
    <row r="363">
      <c r="A363" s="90" t="n">
        <v>28387</v>
      </c>
      <c r="D363" t="n">
        <v>324.2</v>
      </c>
    </row>
    <row r="364">
      <c r="A364" s="90" t="n">
        <v>28394</v>
      </c>
      <c r="D364" t="n">
        <v>324.5</v>
      </c>
    </row>
    <row r="365">
      <c r="A365" s="90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90" t="n">
        <v>28401</v>
      </c>
      <c r="D366" t="n">
        <v>325.6</v>
      </c>
    </row>
    <row r="367">
      <c r="A367" s="90" t="n">
        <v>28408</v>
      </c>
      <c r="D367" t="n">
        <v>326.1</v>
      </c>
    </row>
    <row r="368">
      <c r="A368" s="90" t="n">
        <v>28415</v>
      </c>
      <c r="D368" t="n">
        <v>325.6</v>
      </c>
    </row>
    <row r="369">
      <c r="A369" s="90" t="n">
        <v>28422</v>
      </c>
      <c r="D369" t="n">
        <v>327.5</v>
      </c>
    </row>
    <row r="370">
      <c r="A370" s="90" t="n">
        <v>28429</v>
      </c>
      <c r="D370" t="n">
        <v>327</v>
      </c>
    </row>
    <row r="371">
      <c r="A371" s="90" t="n">
        <v>28430</v>
      </c>
      <c r="B371" t="n">
        <v>530</v>
      </c>
      <c r="C371" t="n">
        <v>2036.1</v>
      </c>
      <c r="E371" t="n">
        <v>1262.4</v>
      </c>
    </row>
    <row r="372">
      <c r="A372" s="90" t="n">
        <v>28436</v>
      </c>
      <c r="D372" t="n">
        <v>328.2</v>
      </c>
    </row>
    <row r="373">
      <c r="A373" s="90" t="n">
        <v>28443</v>
      </c>
      <c r="D373" t="n">
        <v>328.6</v>
      </c>
    </row>
    <row r="374">
      <c r="A374" s="90" t="n">
        <v>28450</v>
      </c>
      <c r="D374" t="n">
        <v>329</v>
      </c>
    </row>
    <row r="375">
      <c r="A375" s="90" t="n">
        <v>28457</v>
      </c>
      <c r="D375" t="n">
        <v>328.7</v>
      </c>
    </row>
    <row r="376">
      <c r="A376" s="90" t="n">
        <v>28460</v>
      </c>
      <c r="B376" t="n">
        <v>531.1</v>
      </c>
      <c r="C376" t="n">
        <v>2039</v>
      </c>
      <c r="E376" t="n">
        <v>1270.3</v>
      </c>
    </row>
    <row r="377">
      <c r="A377" s="90" t="n">
        <v>28464</v>
      </c>
      <c r="D377" t="n">
        <v>330</v>
      </c>
    </row>
    <row r="378">
      <c r="A378" s="90" t="n">
        <v>28471</v>
      </c>
      <c r="D378" t="n">
        <v>330.2</v>
      </c>
    </row>
    <row r="379">
      <c r="A379" s="90" t="n">
        <v>28478</v>
      </c>
      <c r="D379" t="n">
        <v>331</v>
      </c>
    </row>
    <row r="380">
      <c r="A380" s="90" t="n">
        <v>28485</v>
      </c>
      <c r="D380" t="n">
        <v>330.7</v>
      </c>
    </row>
    <row r="381">
      <c r="A381" s="90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90" t="n">
        <v>28492</v>
      </c>
      <c r="D382" t="n">
        <v>332.5</v>
      </c>
    </row>
    <row r="383">
      <c r="A383" s="90" t="n">
        <v>28499</v>
      </c>
      <c r="D383" t="n">
        <v>334</v>
      </c>
    </row>
    <row r="384">
      <c r="A384" s="90" t="n">
        <v>28506</v>
      </c>
      <c r="D384" t="n">
        <v>334.5</v>
      </c>
    </row>
    <row r="385">
      <c r="A385" s="90" t="n">
        <v>28513</v>
      </c>
      <c r="D385" t="n">
        <v>335.9</v>
      </c>
    </row>
    <row r="386">
      <c r="A386" s="90" t="n">
        <v>28520</v>
      </c>
      <c r="D386" t="n">
        <v>334.4</v>
      </c>
    </row>
    <row r="387">
      <c r="A387" s="90" t="n">
        <v>28522</v>
      </c>
      <c r="B387" t="n">
        <v>532.2</v>
      </c>
      <c r="C387" t="n">
        <v>2040.5</v>
      </c>
      <c r="E387" t="n">
        <v>1285.5</v>
      </c>
    </row>
    <row r="388">
      <c r="A388" s="90" t="n">
        <v>28527</v>
      </c>
      <c r="D388" t="n">
        <v>333.8</v>
      </c>
    </row>
    <row r="389">
      <c r="A389" s="90" t="n">
        <v>28534</v>
      </c>
      <c r="D389" t="n">
        <v>335.1</v>
      </c>
    </row>
    <row r="390">
      <c r="A390" s="90" t="n">
        <v>28541</v>
      </c>
      <c r="D390" t="n">
        <v>335.5</v>
      </c>
    </row>
    <row r="391">
      <c r="A391" s="90" t="n">
        <v>28548</v>
      </c>
      <c r="D391" t="n">
        <v>336.1</v>
      </c>
    </row>
    <row r="392">
      <c r="A392" s="90" t="n">
        <v>28550</v>
      </c>
      <c r="B392" t="n">
        <v>531.5</v>
      </c>
      <c r="C392" t="n">
        <v>2038.2</v>
      </c>
      <c r="E392" t="n">
        <v>1292.2</v>
      </c>
    </row>
    <row r="393">
      <c r="A393" s="90" t="n">
        <v>28555</v>
      </c>
      <c r="D393" t="n">
        <v>336.8</v>
      </c>
    </row>
    <row r="394">
      <c r="A394" s="90" t="n">
        <v>28562</v>
      </c>
      <c r="D394" t="n">
        <v>336.2</v>
      </c>
    </row>
    <row r="395">
      <c r="A395" s="90" t="n">
        <v>28569</v>
      </c>
      <c r="D395" t="n">
        <v>336.7</v>
      </c>
    </row>
    <row r="396">
      <c r="A396" s="90" t="n">
        <v>28576</v>
      </c>
      <c r="D396" t="n">
        <v>336.7</v>
      </c>
    </row>
    <row r="397">
      <c r="A397" s="90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90" t="n">
        <v>28583</v>
      </c>
      <c r="D398" t="n">
        <v>338.6</v>
      </c>
    </row>
    <row r="399">
      <c r="A399" s="90" t="n">
        <v>28590</v>
      </c>
      <c r="D399" t="n">
        <v>338.3</v>
      </c>
    </row>
    <row r="400">
      <c r="A400" s="90" t="n">
        <v>28597</v>
      </c>
      <c r="D400" t="n">
        <v>337.6</v>
      </c>
    </row>
    <row r="401">
      <c r="A401" s="90" t="n">
        <v>28604</v>
      </c>
      <c r="D401" t="n">
        <v>340.6</v>
      </c>
    </row>
    <row r="402">
      <c r="A402" s="90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90" t="n">
        <v>28618</v>
      </c>
      <c r="D403" t="n">
        <v>342.6</v>
      </c>
    </row>
    <row r="404">
      <c r="A404" s="90" t="n">
        <v>28625</v>
      </c>
      <c r="D404" t="n">
        <v>344.1</v>
      </c>
    </row>
    <row r="405">
      <c r="A405" s="90" t="n">
        <v>28632</v>
      </c>
      <c r="D405" t="n">
        <v>345.1</v>
      </c>
    </row>
    <row r="406">
      <c r="A406" s="90" t="n">
        <v>28639</v>
      </c>
      <c r="D406" t="n">
        <v>346.7</v>
      </c>
    </row>
    <row r="407">
      <c r="A407" s="90" t="n">
        <v>28642</v>
      </c>
      <c r="B407" t="n">
        <v>533.7</v>
      </c>
      <c r="C407" t="n">
        <v>2028.5</v>
      </c>
      <c r="E407" t="n">
        <v>1318.5</v>
      </c>
    </row>
    <row r="408">
      <c r="A408" s="90" t="n">
        <v>28646</v>
      </c>
      <c r="D408" t="n">
        <v>346.6</v>
      </c>
    </row>
    <row r="409">
      <c r="A409" s="90" t="n">
        <v>28653</v>
      </c>
      <c r="D409" t="n">
        <v>346.8</v>
      </c>
    </row>
    <row r="410">
      <c r="A410" s="90" t="n">
        <v>28660</v>
      </c>
      <c r="D410" t="n">
        <v>345.8</v>
      </c>
    </row>
    <row r="411">
      <c r="A411" s="90" t="n">
        <v>28667</v>
      </c>
      <c r="D411" t="n">
        <v>346.5</v>
      </c>
    </row>
    <row r="412">
      <c r="A412" s="90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90" t="n">
        <v>28674</v>
      </c>
      <c r="D413" t="n">
        <v>348.1</v>
      </c>
    </row>
    <row r="414">
      <c r="A414" s="90" t="n">
        <v>28681</v>
      </c>
      <c r="D414" t="n">
        <v>347.7</v>
      </c>
    </row>
    <row r="415">
      <c r="A415" s="90" t="n">
        <v>28688</v>
      </c>
      <c r="D415" t="n">
        <v>346.2</v>
      </c>
    </row>
    <row r="416">
      <c r="A416" s="90" t="n">
        <v>28695</v>
      </c>
      <c r="D416" t="n">
        <v>348.2</v>
      </c>
    </row>
    <row r="417">
      <c r="A417" s="90" t="n">
        <v>28702</v>
      </c>
      <c r="D417" t="n">
        <v>348.6</v>
      </c>
    </row>
    <row r="418">
      <c r="A418" s="90" t="n">
        <v>28703</v>
      </c>
      <c r="B418" t="n">
        <v>530.5</v>
      </c>
      <c r="C418" t="n">
        <v>2023.5</v>
      </c>
      <c r="E418" t="n">
        <v>1333.5</v>
      </c>
    </row>
    <row r="419">
      <c r="A419" s="90" t="n">
        <v>28709</v>
      </c>
      <c r="D419" t="n">
        <v>348.4</v>
      </c>
    </row>
    <row r="420">
      <c r="A420" s="90" t="n">
        <v>28716</v>
      </c>
      <c r="D420" t="n">
        <v>349.7</v>
      </c>
    </row>
    <row r="421">
      <c r="A421" s="90" t="n">
        <v>28723</v>
      </c>
      <c r="D421" t="n">
        <v>349.7</v>
      </c>
    </row>
    <row r="422">
      <c r="A422" s="90" t="n">
        <v>28730</v>
      </c>
      <c r="D422" t="n">
        <v>349.3</v>
      </c>
    </row>
    <row r="423">
      <c r="A423" s="90" t="n">
        <v>28734</v>
      </c>
      <c r="B423" t="n">
        <v>529.6</v>
      </c>
      <c r="C423" t="n">
        <v>2022.6</v>
      </c>
      <c r="E423" t="n">
        <v>1345</v>
      </c>
    </row>
    <row r="424">
      <c r="A424" s="90" t="n">
        <v>28737</v>
      </c>
      <c r="D424" t="n">
        <v>352.7</v>
      </c>
    </row>
    <row r="425">
      <c r="A425" s="90" t="n">
        <v>28744</v>
      </c>
      <c r="D425" t="n">
        <v>351.6</v>
      </c>
    </row>
    <row r="426">
      <c r="A426" s="90" t="n">
        <v>28751</v>
      </c>
      <c r="D426" t="n">
        <v>351.5</v>
      </c>
    </row>
    <row r="427">
      <c r="A427" s="90" t="n">
        <v>28758</v>
      </c>
      <c r="D427" t="n">
        <v>352.8</v>
      </c>
    </row>
    <row r="428">
      <c r="A428" s="90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90" t="n">
        <v>28765</v>
      </c>
      <c r="D429" t="n">
        <v>352.9</v>
      </c>
    </row>
    <row r="430">
      <c r="A430" s="90" t="n">
        <v>28772</v>
      </c>
      <c r="D430" t="n">
        <v>353</v>
      </c>
    </row>
    <row r="431">
      <c r="A431" s="90" t="n">
        <v>28779</v>
      </c>
      <c r="D431" t="n">
        <v>354.3</v>
      </c>
    </row>
    <row r="432">
      <c r="A432" s="90" t="n">
        <v>28786</v>
      </c>
      <c r="D432" t="n">
        <v>353.1</v>
      </c>
    </row>
    <row r="433">
      <c r="A433" s="90" t="n">
        <v>28793</v>
      </c>
      <c r="D433" t="n">
        <v>353.3</v>
      </c>
    </row>
    <row r="434">
      <c r="A434" s="90" t="n">
        <v>28795</v>
      </c>
      <c r="B434" t="n">
        <v>526.5</v>
      </c>
      <c r="C434" t="n">
        <v>2013.5</v>
      </c>
      <c r="E434" t="n">
        <v>1359.1</v>
      </c>
    </row>
    <row r="435">
      <c r="A435" s="90" t="n">
        <v>28800</v>
      </c>
      <c r="D435" t="n">
        <v>355.1</v>
      </c>
    </row>
    <row r="436">
      <c r="A436" s="90" t="n">
        <v>28807</v>
      </c>
      <c r="D436" t="n">
        <v>355.2</v>
      </c>
    </row>
    <row r="437">
      <c r="A437" s="90" t="n">
        <v>28814</v>
      </c>
      <c r="D437" t="n">
        <v>355.8</v>
      </c>
    </row>
    <row r="438">
      <c r="A438" s="90" t="n">
        <v>28821</v>
      </c>
      <c r="D438" t="n">
        <v>355.3</v>
      </c>
    </row>
    <row r="439">
      <c r="A439" s="90" t="n">
        <v>28825</v>
      </c>
      <c r="B439" t="n">
        <v>526.2</v>
      </c>
      <c r="C439" t="n">
        <v>2011.8</v>
      </c>
      <c r="E439" t="n">
        <v>1366</v>
      </c>
    </row>
    <row r="440">
      <c r="A440" s="90" t="n">
        <v>28828</v>
      </c>
      <c r="D440" t="n">
        <v>357.1</v>
      </c>
    </row>
    <row r="441">
      <c r="A441" s="90" t="n">
        <v>28835</v>
      </c>
      <c r="D441" t="n">
        <v>356.8</v>
      </c>
    </row>
    <row r="442">
      <c r="A442" s="90" t="n">
        <v>28842</v>
      </c>
      <c r="D442" t="n">
        <v>356.2</v>
      </c>
    </row>
    <row r="443">
      <c r="A443" s="90" t="n">
        <v>28849</v>
      </c>
      <c r="D443" t="n">
        <v>357.7</v>
      </c>
    </row>
    <row r="444">
      <c r="A444" s="90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90" t="n">
        <v>28863</v>
      </c>
      <c r="D445" t="n">
        <v>357.1</v>
      </c>
    </row>
    <row r="446">
      <c r="A446" s="90" t="n">
        <v>28870</v>
      </c>
      <c r="D446" t="n">
        <v>359.5</v>
      </c>
    </row>
    <row r="447">
      <c r="A447" s="90" t="n">
        <v>28877</v>
      </c>
      <c r="D447" t="n">
        <v>358.7</v>
      </c>
    </row>
    <row r="448">
      <c r="A448" s="90" t="n">
        <v>28884</v>
      </c>
      <c r="D448" t="n">
        <v>358.8</v>
      </c>
    </row>
    <row r="449">
      <c r="A449" s="90" t="n">
        <v>28887</v>
      </c>
      <c r="B449" t="n">
        <v>520.1</v>
      </c>
      <c r="C449" t="n">
        <v>1991</v>
      </c>
      <c r="E449" t="n">
        <v>1377.8</v>
      </c>
    </row>
    <row r="450">
      <c r="A450" s="90" t="n">
        <v>28891</v>
      </c>
      <c r="D450" t="n">
        <v>360.6</v>
      </c>
    </row>
    <row r="451">
      <c r="A451" s="90" t="n">
        <v>28898</v>
      </c>
      <c r="D451" t="n">
        <v>359.3</v>
      </c>
    </row>
    <row r="452">
      <c r="A452" s="90" t="n">
        <v>28905</v>
      </c>
      <c r="D452" t="n">
        <v>359.1</v>
      </c>
    </row>
    <row r="453">
      <c r="A453" s="90" t="n">
        <v>28912</v>
      </c>
      <c r="D453" t="n">
        <v>360.1</v>
      </c>
    </row>
    <row r="454">
      <c r="A454" s="90" t="n">
        <v>28915</v>
      </c>
      <c r="B454" t="n">
        <v>518.6</v>
      </c>
      <c r="C454" t="n">
        <v>1985.4</v>
      </c>
      <c r="E454" t="n">
        <v>1387.8</v>
      </c>
    </row>
    <row r="455">
      <c r="A455" s="90" t="n">
        <v>28919</v>
      </c>
      <c r="D455" t="n">
        <v>361.9</v>
      </c>
    </row>
    <row r="456">
      <c r="A456" s="90" t="n">
        <v>28926</v>
      </c>
      <c r="D456" t="n">
        <v>361.2</v>
      </c>
    </row>
    <row r="457">
      <c r="A457" s="90" t="n">
        <v>28933</v>
      </c>
      <c r="D457" t="n">
        <v>361.8</v>
      </c>
    </row>
    <row r="458">
      <c r="A458" s="90" t="n">
        <v>28940</v>
      </c>
      <c r="D458" t="n">
        <v>363.2</v>
      </c>
    </row>
    <row r="459">
      <c r="A459" s="90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90" t="n">
        <v>28947</v>
      </c>
      <c r="D460" t="n">
        <v>364.2</v>
      </c>
    </row>
    <row r="461">
      <c r="A461" s="90" t="n">
        <v>28954</v>
      </c>
      <c r="D461" t="n">
        <v>365</v>
      </c>
    </row>
    <row r="462">
      <c r="A462" s="90" t="n">
        <v>28961</v>
      </c>
      <c r="D462" t="n">
        <v>368.7</v>
      </c>
    </row>
    <row r="463">
      <c r="A463" s="90" t="n">
        <v>28968</v>
      </c>
      <c r="D463" t="n">
        <v>370.2</v>
      </c>
    </row>
    <row r="464">
      <c r="A464" s="90" t="n">
        <v>28975</v>
      </c>
      <c r="D464" t="n">
        <v>369.6</v>
      </c>
    </row>
    <row r="465">
      <c r="A465" s="90" t="n">
        <v>28976</v>
      </c>
      <c r="B465" t="n">
        <v>517.6</v>
      </c>
      <c r="C465" t="n">
        <v>1975.1</v>
      </c>
      <c r="E465" t="n">
        <v>1410.2</v>
      </c>
    </row>
    <row r="466">
      <c r="A466" s="90" t="n">
        <v>28982</v>
      </c>
      <c r="D466" t="n">
        <v>368.9</v>
      </c>
    </row>
    <row r="467">
      <c r="A467" s="90" t="n">
        <v>28989</v>
      </c>
      <c r="D467" t="n">
        <v>369.1</v>
      </c>
    </row>
    <row r="468">
      <c r="A468" s="90" t="n">
        <v>28996</v>
      </c>
      <c r="D468" t="n">
        <v>369.6</v>
      </c>
    </row>
    <row r="469">
      <c r="A469" s="90" t="n">
        <v>29003</v>
      </c>
      <c r="D469" t="n">
        <v>369</v>
      </c>
    </row>
    <row r="470">
      <c r="A470" s="90" t="n">
        <v>29007</v>
      </c>
      <c r="B470" t="n">
        <v>517.2</v>
      </c>
      <c r="C470" t="n">
        <v>1970.9</v>
      </c>
      <c r="E470" t="n">
        <v>1423</v>
      </c>
    </row>
    <row r="471">
      <c r="A471" s="90" t="n">
        <v>29010</v>
      </c>
      <c r="D471" t="n">
        <v>372.4</v>
      </c>
    </row>
    <row r="472">
      <c r="A472" s="90" t="n">
        <v>29017</v>
      </c>
      <c r="D472" t="n">
        <v>372.7</v>
      </c>
    </row>
    <row r="473">
      <c r="A473" s="90" t="n">
        <v>29024</v>
      </c>
      <c r="D473" t="n">
        <v>372.2</v>
      </c>
    </row>
    <row r="474">
      <c r="A474" s="90" t="n">
        <v>29031</v>
      </c>
      <c r="D474" t="n">
        <v>374.3</v>
      </c>
    </row>
    <row r="475">
      <c r="A475" s="90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90" t="n">
        <v>29038</v>
      </c>
      <c r="D476" t="n">
        <v>374.9</v>
      </c>
    </row>
    <row r="477">
      <c r="A477" s="90" t="n">
        <v>29045</v>
      </c>
      <c r="D477" t="n">
        <v>375.7</v>
      </c>
    </row>
    <row r="478">
      <c r="A478" s="90" t="n">
        <v>29052</v>
      </c>
      <c r="D478" t="n">
        <v>377.8</v>
      </c>
    </row>
    <row r="479">
      <c r="A479" s="90" t="n">
        <v>29059</v>
      </c>
      <c r="D479" t="n">
        <v>378.3</v>
      </c>
    </row>
    <row r="480">
      <c r="A480" s="90" t="n">
        <v>29066</v>
      </c>
      <c r="D480" t="n">
        <v>378.5</v>
      </c>
    </row>
    <row r="481">
      <c r="A481" s="90" t="n">
        <v>29068</v>
      </c>
      <c r="B481" t="n">
        <v>514</v>
      </c>
      <c r="C481" t="n">
        <v>1962.8</v>
      </c>
      <c r="E481" t="n">
        <v>1446.6</v>
      </c>
    </row>
    <row r="482">
      <c r="A482" s="90" t="n">
        <v>29073</v>
      </c>
      <c r="D482" t="n">
        <v>377.7</v>
      </c>
    </row>
    <row r="483">
      <c r="A483" s="90" t="n">
        <v>29080</v>
      </c>
      <c r="D483" t="n">
        <v>378.3</v>
      </c>
    </row>
    <row r="484">
      <c r="A484" s="90" t="n">
        <v>29087</v>
      </c>
      <c r="D484" t="n">
        <v>379.9</v>
      </c>
    </row>
    <row r="485">
      <c r="A485" s="90" t="n">
        <v>29094</v>
      </c>
      <c r="D485" t="n">
        <v>379.4</v>
      </c>
    </row>
    <row r="486">
      <c r="A486" s="90" t="n">
        <v>29099</v>
      </c>
      <c r="B486" t="n">
        <v>509.8</v>
      </c>
      <c r="C486" t="n">
        <v>1954.4</v>
      </c>
      <c r="E486" t="n">
        <v>1454.1</v>
      </c>
    </row>
    <row r="487">
      <c r="A487" s="90" t="n">
        <v>29101</v>
      </c>
      <c r="D487" t="n">
        <v>379</v>
      </c>
    </row>
    <row r="488">
      <c r="A488" s="90" t="n">
        <v>29108</v>
      </c>
      <c r="D488" t="n">
        <v>378.7</v>
      </c>
    </row>
    <row r="489">
      <c r="A489" s="90" t="n">
        <v>29115</v>
      </c>
      <c r="D489" t="n">
        <v>378.1</v>
      </c>
    </row>
    <row r="490">
      <c r="A490" s="90" t="n">
        <v>29122</v>
      </c>
      <c r="D490" t="n">
        <v>379.6</v>
      </c>
    </row>
    <row r="491">
      <c r="A491" s="90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90" t="n">
        <v>29136</v>
      </c>
      <c r="D492" t="n">
        <v>380.7</v>
      </c>
    </row>
    <row r="493">
      <c r="A493" s="90" t="n">
        <v>29143</v>
      </c>
      <c r="D493" t="n">
        <v>381.7</v>
      </c>
    </row>
    <row r="494">
      <c r="A494" s="90" t="n">
        <v>29150</v>
      </c>
      <c r="D494" t="n">
        <v>380.5</v>
      </c>
    </row>
    <row r="495">
      <c r="A495" s="90" t="n">
        <v>29157</v>
      </c>
      <c r="D495" t="n">
        <v>380.9</v>
      </c>
    </row>
    <row r="496">
      <c r="A496" s="90" t="n">
        <v>29160</v>
      </c>
      <c r="B496" t="n">
        <v>501.1</v>
      </c>
      <c r="C496" t="n">
        <v>1928.8</v>
      </c>
      <c r="E496" t="n">
        <v>1465.9</v>
      </c>
    </row>
    <row r="497">
      <c r="A497" s="90" t="n">
        <v>29164</v>
      </c>
      <c r="D497" t="n">
        <v>382.3</v>
      </c>
    </row>
    <row r="498">
      <c r="A498" s="90" t="n">
        <v>29171</v>
      </c>
      <c r="D498" t="n">
        <v>381.1</v>
      </c>
    </row>
    <row r="499">
      <c r="A499" s="90" t="n">
        <v>29178</v>
      </c>
      <c r="D499" t="n">
        <v>381.5</v>
      </c>
    </row>
    <row r="500">
      <c r="A500" s="90" t="n">
        <v>29185</v>
      </c>
      <c r="D500" t="n">
        <v>380.6</v>
      </c>
    </row>
    <row r="501">
      <c r="A501" s="90" t="n">
        <v>29190</v>
      </c>
      <c r="B501" t="n">
        <v>496.5</v>
      </c>
      <c r="C501" t="n">
        <v>1916.4</v>
      </c>
      <c r="E501" t="n">
        <v>1473.7</v>
      </c>
    </row>
    <row r="502">
      <c r="A502" s="90" t="n">
        <v>29192</v>
      </c>
      <c r="D502" t="n">
        <v>379.3</v>
      </c>
    </row>
    <row r="503">
      <c r="A503" s="90" t="n">
        <v>29199</v>
      </c>
      <c r="D503" t="n">
        <v>381.2</v>
      </c>
    </row>
    <row r="504">
      <c r="A504" s="90" t="n">
        <v>29206</v>
      </c>
      <c r="D504" t="n">
        <v>381</v>
      </c>
    </row>
    <row r="505">
      <c r="A505" s="90" t="n">
        <v>29213</v>
      </c>
      <c r="D505" t="n">
        <v>382.9</v>
      </c>
    </row>
    <row r="506">
      <c r="A506" s="90" t="n">
        <v>29220</v>
      </c>
      <c r="D506" t="n">
        <v>384.2</v>
      </c>
    </row>
    <row r="507">
      <c r="A507" s="90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90" t="n">
        <v>29227</v>
      </c>
      <c r="D508" t="n">
        <v>383.7</v>
      </c>
    </row>
    <row r="509">
      <c r="A509" s="90" t="n">
        <v>29234</v>
      </c>
      <c r="D509" t="n">
        <v>385.5</v>
      </c>
    </row>
    <row r="510">
      <c r="A510" s="90" t="n">
        <v>29241</v>
      </c>
      <c r="D510" t="n">
        <v>384.8</v>
      </c>
    </row>
    <row r="511">
      <c r="A511" s="90" t="n">
        <v>29248</v>
      </c>
      <c r="D511" t="n">
        <v>387.4</v>
      </c>
    </row>
    <row r="512">
      <c r="A512" s="90" t="n">
        <v>29252</v>
      </c>
      <c r="B512" t="n">
        <v>493.8</v>
      </c>
      <c r="C512" t="n">
        <v>1891.9</v>
      </c>
      <c r="E512" t="n">
        <v>1494.6</v>
      </c>
    </row>
    <row r="513">
      <c r="A513" s="90" t="n">
        <v>29255</v>
      </c>
      <c r="D513" t="n">
        <v>390.6</v>
      </c>
    </row>
    <row r="514">
      <c r="A514" s="90" t="n">
        <v>29262</v>
      </c>
      <c r="D514" t="n">
        <v>390.3</v>
      </c>
    </row>
    <row r="515">
      <c r="A515" s="90" t="n">
        <v>29269</v>
      </c>
      <c r="D515" t="n">
        <v>390.3</v>
      </c>
    </row>
    <row r="516">
      <c r="A516" s="90" t="n">
        <v>29276</v>
      </c>
      <c r="D516" t="n">
        <v>389.3</v>
      </c>
    </row>
    <row r="517">
      <c r="A517" s="90" t="n">
        <v>29281</v>
      </c>
      <c r="B517" t="n">
        <v>484.9</v>
      </c>
      <c r="C517" t="n">
        <v>1872.4</v>
      </c>
      <c r="E517" t="n">
        <v>1499.8</v>
      </c>
    </row>
    <row r="518">
      <c r="A518" s="90" t="n">
        <v>29283</v>
      </c>
      <c r="D518" t="n">
        <v>389.4</v>
      </c>
    </row>
    <row r="519">
      <c r="A519" s="90" t="n">
        <v>29290</v>
      </c>
      <c r="D519" t="n">
        <v>388.8</v>
      </c>
    </row>
    <row r="520">
      <c r="A520" s="90" t="n">
        <v>29297</v>
      </c>
      <c r="D520" t="n">
        <v>389.2</v>
      </c>
    </row>
    <row r="521">
      <c r="A521" s="90" t="n">
        <v>29304</v>
      </c>
      <c r="D521" t="n">
        <v>388.4</v>
      </c>
    </row>
    <row r="522">
      <c r="A522" s="90" t="n">
        <v>29311</v>
      </c>
      <c r="D522" t="n">
        <v>387.1</v>
      </c>
    </row>
    <row r="523">
      <c r="A523" s="90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90" t="n">
        <v>29318</v>
      </c>
      <c r="D524" t="n">
        <v>386</v>
      </c>
    </row>
    <row r="525">
      <c r="A525" s="90" t="n">
        <v>29325</v>
      </c>
      <c r="D525" t="n">
        <v>385</v>
      </c>
    </row>
    <row r="526">
      <c r="A526" s="90" t="n">
        <v>29332</v>
      </c>
      <c r="D526" t="n">
        <v>382.8</v>
      </c>
    </row>
    <row r="527">
      <c r="A527" s="90" t="n">
        <v>29339</v>
      </c>
      <c r="D527" t="n">
        <v>381.3</v>
      </c>
    </row>
    <row r="528">
      <c r="A528" s="90" t="n">
        <v>29342</v>
      </c>
      <c r="B528" t="n">
        <v>471</v>
      </c>
      <c r="C528" t="n">
        <v>1851</v>
      </c>
      <c r="E528" t="n">
        <v>1512.3</v>
      </c>
    </row>
    <row r="529">
      <c r="A529" s="90" t="n">
        <v>29346</v>
      </c>
      <c r="D529" t="n">
        <v>383.6</v>
      </c>
    </row>
    <row r="530">
      <c r="A530" s="90" t="n">
        <v>29353</v>
      </c>
      <c r="D530" t="n">
        <v>383.5</v>
      </c>
    </row>
    <row r="531">
      <c r="A531" s="90" t="n">
        <v>29360</v>
      </c>
      <c r="D531" t="n">
        <v>384.7</v>
      </c>
    </row>
    <row r="532">
      <c r="A532" s="90" t="n">
        <v>29367</v>
      </c>
      <c r="D532" t="n">
        <v>385.8</v>
      </c>
    </row>
    <row r="533">
      <c r="A533" s="90" t="n">
        <v>29373</v>
      </c>
      <c r="B533" t="n">
        <v>471.6</v>
      </c>
      <c r="C533" t="n">
        <v>1853.6</v>
      </c>
      <c r="E533" t="n">
        <v>1529.2</v>
      </c>
    </row>
    <row r="534">
      <c r="A534" s="90" t="n">
        <v>29374</v>
      </c>
      <c r="D534" t="n">
        <v>386.8</v>
      </c>
    </row>
    <row r="535">
      <c r="A535" s="90" t="n">
        <v>29381</v>
      </c>
      <c r="D535" t="n">
        <v>387.1</v>
      </c>
    </row>
    <row r="536">
      <c r="A536" s="90" t="n">
        <v>29388</v>
      </c>
      <c r="D536" t="n">
        <v>389</v>
      </c>
    </row>
    <row r="537">
      <c r="A537" s="90" t="n">
        <v>29395</v>
      </c>
      <c r="D537" t="n">
        <v>389.9</v>
      </c>
    </row>
    <row r="538">
      <c r="A538" s="90" t="n">
        <v>29402</v>
      </c>
      <c r="D538" t="n">
        <v>391.3</v>
      </c>
    </row>
    <row r="539">
      <c r="A539" s="90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90" t="n">
        <v>29409</v>
      </c>
      <c r="D540" t="n">
        <v>391.4</v>
      </c>
    </row>
    <row r="541">
      <c r="A541" s="90" t="n">
        <v>29416</v>
      </c>
      <c r="D541" t="n">
        <v>394.2</v>
      </c>
    </row>
    <row r="542">
      <c r="A542" s="90" t="n">
        <v>29423</v>
      </c>
      <c r="D542" t="n">
        <v>393.9</v>
      </c>
    </row>
    <row r="543">
      <c r="A543" s="90" t="n">
        <v>29430</v>
      </c>
      <c r="D543" t="n">
        <v>394.6</v>
      </c>
    </row>
    <row r="544">
      <c r="A544" s="90" t="n">
        <v>29434</v>
      </c>
      <c r="B544" t="n">
        <v>479.8</v>
      </c>
      <c r="C544" t="n">
        <v>1876.8</v>
      </c>
      <c r="E544" t="n">
        <v>1561.5</v>
      </c>
    </row>
    <row r="545">
      <c r="A545" s="90" t="n">
        <v>29437</v>
      </c>
      <c r="D545" t="n">
        <v>398.8</v>
      </c>
    </row>
    <row r="546">
      <c r="A546" s="90" t="n">
        <v>29444</v>
      </c>
      <c r="D546" t="n">
        <v>398.2</v>
      </c>
    </row>
    <row r="547">
      <c r="A547" s="90" t="n">
        <v>29451</v>
      </c>
      <c r="D547" t="n">
        <v>398.3</v>
      </c>
    </row>
    <row r="548">
      <c r="A548" s="90" t="n">
        <v>29458</v>
      </c>
      <c r="D548" t="n">
        <v>399.3</v>
      </c>
    </row>
    <row r="549">
      <c r="A549" s="90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90" t="n">
        <v>29472</v>
      </c>
      <c r="D550" t="n">
        <v>403.9</v>
      </c>
    </row>
    <row r="551">
      <c r="A551" s="90" t="n">
        <v>29479</v>
      </c>
      <c r="D551" t="n">
        <v>404.7</v>
      </c>
    </row>
    <row r="552">
      <c r="A552" s="90" t="n">
        <v>29486</v>
      </c>
      <c r="D552" t="n">
        <v>405.6</v>
      </c>
    </row>
    <row r="553">
      <c r="A553" s="90" t="n">
        <v>29493</v>
      </c>
      <c r="D553" t="n">
        <v>405.3</v>
      </c>
    </row>
    <row r="554">
      <c r="A554" s="90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90" t="n">
        <v>29500</v>
      </c>
      <c r="D555" t="n">
        <v>408.2</v>
      </c>
    </row>
    <row r="556">
      <c r="A556" s="90" t="n">
        <v>29507</v>
      </c>
      <c r="D556" t="n">
        <v>408.9</v>
      </c>
    </row>
    <row r="557">
      <c r="A557" s="90" t="n">
        <v>29514</v>
      </c>
      <c r="D557" t="n">
        <v>408.6</v>
      </c>
    </row>
    <row r="558">
      <c r="A558" s="90" t="n">
        <v>29521</v>
      </c>
      <c r="D558" t="n">
        <v>409.6</v>
      </c>
    </row>
    <row r="559">
      <c r="A559" s="90" t="n">
        <v>29526</v>
      </c>
      <c r="B559" t="n">
        <v>479.8</v>
      </c>
      <c r="C559" t="n">
        <v>1864.3</v>
      </c>
      <c r="E559" t="n">
        <v>1595.8</v>
      </c>
    </row>
    <row r="560">
      <c r="A560" s="90" t="n">
        <v>29528</v>
      </c>
      <c r="D560" t="n">
        <v>409.2</v>
      </c>
    </row>
    <row r="561">
      <c r="A561" s="90" t="n">
        <v>29535</v>
      </c>
      <c r="D561" t="n">
        <v>410.4</v>
      </c>
    </row>
    <row r="562">
      <c r="A562" s="90" t="n">
        <v>29542</v>
      </c>
      <c r="D562" t="n">
        <v>411.3</v>
      </c>
    </row>
    <row r="563">
      <c r="A563" s="90" t="n">
        <v>29549</v>
      </c>
      <c r="D563" t="n">
        <v>410.8</v>
      </c>
    </row>
    <row r="564">
      <c r="A564" s="90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90" t="n">
        <v>29563</v>
      </c>
      <c r="D565" t="n">
        <v>409.6</v>
      </c>
    </row>
    <row r="566">
      <c r="A566" s="90" t="n">
        <v>29570</v>
      </c>
      <c r="D566" t="n">
        <v>410.7</v>
      </c>
    </row>
    <row r="567">
      <c r="A567" s="90" t="n">
        <v>29577</v>
      </c>
      <c r="D567" t="n">
        <v>409.9</v>
      </c>
    </row>
    <row r="568">
      <c r="A568" s="90" t="n">
        <v>29584</v>
      </c>
      <c r="D568" t="n">
        <v>404.3</v>
      </c>
    </row>
    <row r="569">
      <c r="A569" s="90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90" t="n">
        <v>29591</v>
      </c>
      <c r="D570" t="n">
        <v>407.4</v>
      </c>
    </row>
    <row r="571">
      <c r="A571" s="90" t="n">
        <v>29598</v>
      </c>
      <c r="D571" t="n">
        <v>409.4</v>
      </c>
    </row>
    <row r="572">
      <c r="A572" s="90" t="n">
        <v>29605</v>
      </c>
      <c r="D572" t="n">
        <v>413.2</v>
      </c>
    </row>
    <row r="573">
      <c r="A573" s="90" t="n">
        <v>29612</v>
      </c>
      <c r="D573" t="n">
        <v>413.8</v>
      </c>
    </row>
    <row r="574">
      <c r="A574" s="90" t="n">
        <v>29618</v>
      </c>
      <c r="B574" t="n">
        <v>471.4</v>
      </c>
      <c r="C574" t="n">
        <v>1839.4</v>
      </c>
      <c r="E574" t="n">
        <v>1618.7</v>
      </c>
    </row>
    <row r="575">
      <c r="A575" s="90" t="n">
        <v>29619</v>
      </c>
      <c r="D575" t="n">
        <v>410.8</v>
      </c>
    </row>
    <row r="576">
      <c r="A576" s="90" t="n">
        <v>29626</v>
      </c>
      <c r="D576" t="n">
        <v>413.6</v>
      </c>
    </row>
    <row r="577">
      <c r="A577" s="90" t="n">
        <v>29633</v>
      </c>
      <c r="D577" t="n">
        <v>415.3</v>
      </c>
    </row>
    <row r="578">
      <c r="A578" s="90" t="n">
        <v>29640</v>
      </c>
      <c r="D578" t="n">
        <v>416.6</v>
      </c>
    </row>
    <row r="579">
      <c r="A579" s="90" t="n">
        <v>29646</v>
      </c>
      <c r="B579" t="n">
        <v>472.9</v>
      </c>
      <c r="C579" t="n">
        <v>1847.2</v>
      </c>
      <c r="E579" t="n">
        <v>1636.6</v>
      </c>
    </row>
    <row r="580">
      <c r="A580" s="90" t="n">
        <v>29647</v>
      </c>
      <c r="D580" t="n">
        <v>414.7</v>
      </c>
    </row>
    <row r="581">
      <c r="A581" s="90" t="n">
        <v>29654</v>
      </c>
      <c r="D581" t="n">
        <v>417.4</v>
      </c>
    </row>
    <row r="582">
      <c r="A582" s="90" t="n">
        <v>29661</v>
      </c>
      <c r="D582" t="n">
        <v>419.1</v>
      </c>
    </row>
    <row r="583">
      <c r="A583" s="90" t="n">
        <v>29668</v>
      </c>
      <c r="D583" t="n">
        <v>419.2</v>
      </c>
    </row>
    <row r="584">
      <c r="A584" s="90" t="n">
        <v>29675</v>
      </c>
      <c r="D584" t="n">
        <v>421</v>
      </c>
    </row>
    <row r="585">
      <c r="A585" s="90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90" t="n">
        <v>29682</v>
      </c>
      <c r="D586" t="n">
        <v>424</v>
      </c>
    </row>
    <row r="587">
      <c r="A587" s="90" t="n">
        <v>29689</v>
      </c>
      <c r="D587" t="n">
        <v>426.1</v>
      </c>
    </row>
    <row r="588">
      <c r="A588" s="90" t="n">
        <v>29696</v>
      </c>
      <c r="D588" t="n">
        <v>429.7</v>
      </c>
    </row>
    <row r="589">
      <c r="A589" s="90" t="n">
        <v>29703</v>
      </c>
      <c r="D589" t="n">
        <v>429.2</v>
      </c>
    </row>
    <row r="590">
      <c r="A590" s="90" t="n">
        <v>29707</v>
      </c>
      <c r="B590" t="n">
        <v>473.5</v>
      </c>
      <c r="C590" t="n">
        <v>1855.3</v>
      </c>
      <c r="E590" t="n">
        <v>1664.2</v>
      </c>
    </row>
    <row r="591">
      <c r="A591" s="90" t="n">
        <v>29710</v>
      </c>
      <c r="D591" t="n">
        <v>427.6</v>
      </c>
    </row>
    <row r="592">
      <c r="A592" s="90" t="n">
        <v>29717</v>
      </c>
      <c r="D592" t="n">
        <v>425.7</v>
      </c>
    </row>
    <row r="593">
      <c r="A593" s="90" t="n">
        <v>29724</v>
      </c>
      <c r="D593" t="n">
        <v>423.6</v>
      </c>
    </row>
    <row r="594">
      <c r="A594" s="90" t="n">
        <v>29731</v>
      </c>
      <c r="D594" t="n">
        <v>423.1</v>
      </c>
    </row>
    <row r="595">
      <c r="A595" s="90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90" t="n">
        <v>29745</v>
      </c>
      <c r="D596" t="n">
        <v>423.1</v>
      </c>
    </row>
    <row r="597">
      <c r="A597" s="90" t="n">
        <v>29752</v>
      </c>
      <c r="D597" t="n">
        <v>425.4</v>
      </c>
    </row>
    <row r="598">
      <c r="A598" s="90" t="n">
        <v>29759</v>
      </c>
      <c r="D598" t="n">
        <v>426.6</v>
      </c>
    </row>
    <row r="599">
      <c r="A599" s="90" t="n">
        <v>29766</v>
      </c>
      <c r="D599" t="n">
        <v>425.2</v>
      </c>
    </row>
    <row r="600">
      <c r="A600" s="90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90" t="n">
        <v>29773</v>
      </c>
      <c r="D601" t="n">
        <v>428.8</v>
      </c>
    </row>
    <row r="602">
      <c r="A602" s="90" t="n">
        <v>29780</v>
      </c>
      <c r="D602" t="n">
        <v>426.2</v>
      </c>
    </row>
    <row r="603">
      <c r="A603" s="90" t="n">
        <v>29787</v>
      </c>
      <c r="D603" t="n">
        <v>427.4</v>
      </c>
    </row>
    <row r="604">
      <c r="A604" s="90" t="n">
        <v>29794</v>
      </c>
      <c r="D604" t="n">
        <v>426.2</v>
      </c>
    </row>
    <row r="605">
      <c r="A605" s="90" t="n">
        <v>29799</v>
      </c>
      <c r="B605" t="n">
        <v>463</v>
      </c>
      <c r="C605" t="n">
        <v>1837.6</v>
      </c>
      <c r="E605" t="n">
        <v>1694.3</v>
      </c>
    </row>
    <row r="606">
      <c r="A606" s="90" t="n">
        <v>29801</v>
      </c>
      <c r="D606" t="n">
        <v>425.9</v>
      </c>
    </row>
    <row r="607">
      <c r="A607" s="90" t="n">
        <v>29808</v>
      </c>
      <c r="D607" t="n">
        <v>429</v>
      </c>
    </row>
    <row r="608">
      <c r="A608" s="90" t="n">
        <v>29815</v>
      </c>
      <c r="D608" t="n">
        <v>426.3</v>
      </c>
    </row>
    <row r="609">
      <c r="A609" s="90" t="n">
        <v>29822</v>
      </c>
      <c r="D609" t="n">
        <v>425.8</v>
      </c>
    </row>
    <row r="610">
      <c r="A610" s="90" t="n">
        <v>29829</v>
      </c>
      <c r="D610" t="n">
        <v>427</v>
      </c>
    </row>
    <row r="611">
      <c r="A611" s="90" t="n">
        <v>29830</v>
      </c>
      <c r="B611" t="n">
        <v>458.6</v>
      </c>
      <c r="C611" t="n">
        <v>1832.4</v>
      </c>
      <c r="E611" t="n">
        <v>1706</v>
      </c>
    </row>
    <row r="612">
      <c r="A612" s="90" t="n">
        <v>29836</v>
      </c>
      <c r="D612" t="n">
        <v>425.6</v>
      </c>
    </row>
    <row r="613">
      <c r="A613" s="90" t="n">
        <v>29843</v>
      </c>
      <c r="D613" t="n">
        <v>429</v>
      </c>
    </row>
    <row r="614">
      <c r="A614" s="90" t="n">
        <v>29850</v>
      </c>
      <c r="D614" t="n">
        <v>428.3</v>
      </c>
    </row>
    <row r="615">
      <c r="A615" s="90" t="n">
        <v>29857</v>
      </c>
      <c r="D615" t="n">
        <v>424.9</v>
      </c>
    </row>
    <row r="616">
      <c r="A616" s="90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90" t="n">
        <v>29864</v>
      </c>
      <c r="D617" t="n">
        <v>427</v>
      </c>
    </row>
    <row r="618">
      <c r="A618" s="90" t="n">
        <v>29871</v>
      </c>
      <c r="D618" t="n">
        <v>428.3</v>
      </c>
    </row>
    <row r="619">
      <c r="A619" s="90" t="n">
        <v>29878</v>
      </c>
      <c r="D619" t="n">
        <v>428.9</v>
      </c>
    </row>
    <row r="620">
      <c r="A620" s="90" t="n">
        <v>29885</v>
      </c>
      <c r="D620" t="n">
        <v>428.9</v>
      </c>
    </row>
    <row r="621">
      <c r="A621" s="90" t="n">
        <v>29891</v>
      </c>
      <c r="B621" t="n">
        <v>459.8</v>
      </c>
      <c r="C621" t="n">
        <v>1850.9</v>
      </c>
      <c r="E621" t="n">
        <v>1736.1</v>
      </c>
    </row>
    <row r="622">
      <c r="A622" s="90" t="n">
        <v>29892</v>
      </c>
      <c r="D622" t="n">
        <v>428.3</v>
      </c>
    </row>
    <row r="623">
      <c r="A623" s="90" t="n">
        <v>29899</v>
      </c>
      <c r="D623" t="n">
        <v>430.6</v>
      </c>
    </row>
    <row r="624">
      <c r="A624" s="90" t="n">
        <v>29906</v>
      </c>
      <c r="D624" t="n">
        <v>431.4</v>
      </c>
    </row>
    <row r="625">
      <c r="A625" s="90" t="n">
        <v>29913</v>
      </c>
      <c r="D625" t="n">
        <v>430.4</v>
      </c>
    </row>
    <row r="626">
      <c r="A626" s="90" t="n">
        <v>29920</v>
      </c>
      <c r="D626" t="n">
        <v>433.5</v>
      </c>
    </row>
    <row r="627">
      <c r="A627" s="90" t="n">
        <v>29921</v>
      </c>
      <c r="B627" t="n">
        <v>464.1</v>
      </c>
      <c r="C627" t="n">
        <v>1865.6</v>
      </c>
      <c r="E627" t="n">
        <v>1755.5</v>
      </c>
    </row>
    <row r="628">
      <c r="A628" s="90" t="n">
        <v>29927</v>
      </c>
      <c r="D628" t="n">
        <v>436.2</v>
      </c>
    </row>
    <row r="629">
      <c r="A629" s="90" t="n">
        <v>29934</v>
      </c>
      <c r="D629" t="n">
        <v>435.1</v>
      </c>
    </row>
    <row r="630">
      <c r="A630" s="90" t="n">
        <v>29941</v>
      </c>
      <c r="D630" t="n">
        <v>437.2</v>
      </c>
    </row>
    <row r="631">
      <c r="A631" s="90" t="n">
        <v>29948</v>
      </c>
      <c r="D631" t="n">
        <v>436.7</v>
      </c>
    </row>
    <row r="632">
      <c r="A632" s="90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90" t="n">
        <v>29955</v>
      </c>
      <c r="D633" t="n">
        <v>440.2</v>
      </c>
    </row>
    <row r="634">
      <c r="A634" s="90" t="n">
        <v>29962</v>
      </c>
      <c r="D634" t="n">
        <v>442.7</v>
      </c>
    </row>
    <row r="635">
      <c r="A635" s="90" t="n">
        <v>29969</v>
      </c>
      <c r="D635" t="n">
        <v>442.8</v>
      </c>
    </row>
    <row r="636">
      <c r="A636" s="90" t="n">
        <v>29976</v>
      </c>
      <c r="D636" t="n">
        <v>442.7</v>
      </c>
    </row>
    <row r="637">
      <c r="A637" s="90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90" t="n">
        <v>29990</v>
      </c>
      <c r="D638" t="n">
        <v>441.3</v>
      </c>
    </row>
    <row r="639">
      <c r="A639" s="90" t="n">
        <v>29997</v>
      </c>
      <c r="D639" t="n">
        <v>442.3</v>
      </c>
    </row>
    <row r="640">
      <c r="A640" s="90" t="n">
        <v>30004</v>
      </c>
      <c r="D640" t="n">
        <v>441.6</v>
      </c>
    </row>
    <row r="641">
      <c r="A641" s="90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90" t="n">
        <v>30018</v>
      </c>
      <c r="D642" t="n">
        <v>442.1</v>
      </c>
    </row>
    <row r="643">
      <c r="A643" s="90" t="n">
        <v>30025</v>
      </c>
      <c r="D643" t="n">
        <v>443.4</v>
      </c>
    </row>
    <row r="644">
      <c r="A644" s="90" t="n">
        <v>30032</v>
      </c>
      <c r="D644" t="n">
        <v>442.4</v>
      </c>
    </row>
    <row r="645">
      <c r="A645" s="90" t="n">
        <v>30039</v>
      </c>
      <c r="D645" t="n">
        <v>442.4</v>
      </c>
    </row>
    <row r="646">
      <c r="A646" s="90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90" t="n">
        <v>30046</v>
      </c>
      <c r="D647" t="n">
        <v>445.2</v>
      </c>
    </row>
    <row r="648">
      <c r="A648" s="90" t="n">
        <v>30053</v>
      </c>
      <c r="D648" t="n">
        <v>447.6</v>
      </c>
    </row>
    <row r="649">
      <c r="A649" s="90" t="n">
        <v>30060</v>
      </c>
      <c r="D649" t="n">
        <v>448.5</v>
      </c>
    </row>
    <row r="650">
      <c r="A650" s="90" t="n">
        <v>30067</v>
      </c>
      <c r="D650" t="n">
        <v>447.7</v>
      </c>
    </row>
    <row r="651">
      <c r="A651" s="90" t="n">
        <v>30072</v>
      </c>
      <c r="B651" t="n">
        <v>465.8</v>
      </c>
      <c r="C651" t="n">
        <v>1893</v>
      </c>
      <c r="E651" t="n">
        <v>1815.4</v>
      </c>
    </row>
    <row r="652">
      <c r="A652" s="90" t="n">
        <v>30074</v>
      </c>
      <c r="D652" t="n">
        <v>445.3</v>
      </c>
    </row>
    <row r="653">
      <c r="A653" s="90" t="n">
        <v>30081</v>
      </c>
      <c r="D653" t="n">
        <v>447.2</v>
      </c>
    </row>
    <row r="654">
      <c r="A654" s="90" t="n">
        <v>30088</v>
      </c>
      <c r="D654" t="n">
        <v>445.9</v>
      </c>
    </row>
    <row r="655">
      <c r="A655" s="90" t="n">
        <v>30095</v>
      </c>
      <c r="D655" t="n">
        <v>447.1</v>
      </c>
    </row>
    <row r="656">
      <c r="A656" s="90" t="n">
        <v>30102</v>
      </c>
      <c r="D656" t="n">
        <v>447.4</v>
      </c>
    </row>
    <row r="657">
      <c r="A657" s="90" t="n">
        <v>30103</v>
      </c>
      <c r="B657" t="n">
        <v>461.3</v>
      </c>
      <c r="C657" t="n">
        <v>1882.5</v>
      </c>
      <c r="E657" t="n">
        <v>1826</v>
      </c>
    </row>
    <row r="658">
      <c r="A658" s="90" t="n">
        <v>30109</v>
      </c>
      <c r="D658" t="n">
        <v>448</v>
      </c>
    </row>
    <row r="659">
      <c r="A659" s="90" t="n">
        <v>30116</v>
      </c>
      <c r="D659" t="n">
        <v>449.1</v>
      </c>
    </row>
    <row r="660">
      <c r="A660" s="90" t="n">
        <v>30123</v>
      </c>
      <c r="D660" t="n">
        <v>448.3</v>
      </c>
    </row>
    <row r="661">
      <c r="A661" s="90" t="n">
        <v>30130</v>
      </c>
      <c r="D661" t="n">
        <v>445</v>
      </c>
    </row>
    <row r="662">
      <c r="A662" s="90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90" t="n">
        <v>30137</v>
      </c>
      <c r="D663" t="n">
        <v>446.1</v>
      </c>
    </row>
    <row r="664">
      <c r="A664" s="90" t="n">
        <v>30144</v>
      </c>
      <c r="D664" t="n">
        <v>449</v>
      </c>
    </row>
    <row r="665">
      <c r="A665" s="90" t="n">
        <v>30151</v>
      </c>
      <c r="D665" t="n">
        <v>447.8</v>
      </c>
    </row>
    <row r="666">
      <c r="A666" s="90" t="n">
        <v>30158</v>
      </c>
      <c r="D666" t="n">
        <v>448.4</v>
      </c>
    </row>
    <row r="667">
      <c r="A667" s="90" t="n">
        <v>30164</v>
      </c>
      <c r="B667" t="n">
        <v>462</v>
      </c>
      <c r="C667" t="n">
        <v>1888.6</v>
      </c>
      <c r="E667" t="n">
        <v>1845.2</v>
      </c>
    </row>
    <row r="668">
      <c r="A668" s="90" t="n">
        <v>30165</v>
      </c>
      <c r="D668" t="n">
        <v>448.5</v>
      </c>
    </row>
    <row r="669">
      <c r="A669" s="90" t="n">
        <v>30172</v>
      </c>
      <c r="D669" t="n">
        <v>449.6</v>
      </c>
    </row>
    <row r="670">
      <c r="A670" s="90" t="n">
        <v>30179</v>
      </c>
      <c r="D670" t="n">
        <v>451.2</v>
      </c>
    </row>
    <row r="671">
      <c r="A671" s="90" t="n">
        <v>30186</v>
      </c>
      <c r="D671" t="n">
        <v>452.3</v>
      </c>
    </row>
    <row r="672">
      <c r="A672" s="90" t="n">
        <v>30193</v>
      </c>
      <c r="D672" t="n">
        <v>453.1</v>
      </c>
    </row>
    <row r="673">
      <c r="A673" s="90" t="n">
        <v>30195</v>
      </c>
      <c r="B673" t="n">
        <v>467.7</v>
      </c>
      <c r="C673" t="n">
        <v>1902.1</v>
      </c>
      <c r="E673" t="n">
        <v>1858.4</v>
      </c>
    </row>
    <row r="674">
      <c r="A674" s="90" t="n">
        <v>30200</v>
      </c>
      <c r="D674" t="n">
        <v>454.5</v>
      </c>
    </row>
    <row r="675">
      <c r="A675" s="90" t="n">
        <v>30207</v>
      </c>
      <c r="D675" t="n">
        <v>456.6</v>
      </c>
    </row>
    <row r="676">
      <c r="A676" s="90" t="n">
        <v>30214</v>
      </c>
      <c r="D676" t="n">
        <v>458.2</v>
      </c>
    </row>
    <row r="677">
      <c r="A677" s="90" t="n">
        <v>30221</v>
      </c>
      <c r="D677" t="n">
        <v>456.6</v>
      </c>
    </row>
    <row r="678">
      <c r="A678" s="90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90" t="n">
        <v>30228</v>
      </c>
      <c r="D679" t="n">
        <v>460</v>
      </c>
    </row>
    <row r="680">
      <c r="A680" s="90" t="n">
        <v>30235</v>
      </c>
      <c r="D680" t="n">
        <v>463.3</v>
      </c>
    </row>
    <row r="681">
      <c r="A681" s="90" t="n">
        <v>30242</v>
      </c>
      <c r="D681" t="n">
        <v>463.9</v>
      </c>
    </row>
    <row r="682">
      <c r="A682" s="90" t="n">
        <v>30249</v>
      </c>
      <c r="D682" t="n">
        <v>465.5</v>
      </c>
    </row>
    <row r="683">
      <c r="A683" s="90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90" t="n">
        <v>30263</v>
      </c>
      <c r="D684" t="n">
        <v>470.4</v>
      </c>
    </row>
    <row r="685">
      <c r="A685" s="90" t="n">
        <v>30270</v>
      </c>
      <c r="D685" t="n">
        <v>472.1</v>
      </c>
    </row>
    <row r="686">
      <c r="A686" s="90" t="n">
        <v>30277</v>
      </c>
      <c r="D686" t="n">
        <v>471.9</v>
      </c>
    </row>
    <row r="687">
      <c r="A687" s="90" t="n">
        <v>30284</v>
      </c>
      <c r="D687" t="n">
        <v>471.5</v>
      </c>
    </row>
    <row r="688">
      <c r="A688" s="90" t="n">
        <v>30286</v>
      </c>
      <c r="B688" t="n">
        <v>486</v>
      </c>
      <c r="C688" t="n">
        <v>1950.8</v>
      </c>
      <c r="E688" t="n">
        <v>1905.9</v>
      </c>
    </row>
    <row r="689">
      <c r="A689" s="90" t="n">
        <v>30291</v>
      </c>
      <c r="D689" t="n">
        <v>474.2</v>
      </c>
    </row>
    <row r="690">
      <c r="A690" s="90" t="n">
        <v>30298</v>
      </c>
      <c r="D690" t="n">
        <v>477.1</v>
      </c>
    </row>
    <row r="691">
      <c r="A691" s="90" t="n">
        <v>30305</v>
      </c>
      <c r="D691" t="n">
        <v>475.2</v>
      </c>
    </row>
    <row r="692">
      <c r="A692" s="90" t="n">
        <v>30312</v>
      </c>
      <c r="D692" t="n">
        <v>473.9</v>
      </c>
    </row>
    <row r="693">
      <c r="A693" s="90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90" t="n">
        <v>30319</v>
      </c>
      <c r="D694" t="n">
        <v>472.6</v>
      </c>
    </row>
    <row r="695">
      <c r="A695" s="90" t="n">
        <v>30326</v>
      </c>
      <c r="D695" t="n">
        <v>475.3</v>
      </c>
    </row>
    <row r="696">
      <c r="A696" s="90" t="n">
        <v>30333</v>
      </c>
      <c r="D696" t="n">
        <v>477.2</v>
      </c>
    </row>
    <row r="697">
      <c r="A697" s="90" t="n">
        <v>30340</v>
      </c>
      <c r="D697" t="n">
        <v>478.4</v>
      </c>
    </row>
    <row r="698">
      <c r="A698" s="90" t="n">
        <v>30347</v>
      </c>
      <c r="D698" t="n">
        <v>479.7</v>
      </c>
    </row>
    <row r="699">
      <c r="A699" s="90" t="n">
        <v>30348</v>
      </c>
      <c r="B699" t="n">
        <v>494.2</v>
      </c>
      <c r="C699" t="n">
        <v>2037.6</v>
      </c>
      <c r="E699" t="n">
        <v>1996.8</v>
      </c>
    </row>
    <row r="700">
      <c r="A700" s="90" t="n">
        <v>30354</v>
      </c>
      <c r="D700" t="n">
        <v>482.3</v>
      </c>
    </row>
    <row r="701">
      <c r="A701" s="90" t="n">
        <v>30361</v>
      </c>
      <c r="D701" t="n">
        <v>483.4</v>
      </c>
    </row>
    <row r="702">
      <c r="A702" s="90" t="n">
        <v>30368</v>
      </c>
      <c r="D702" t="n">
        <v>483.9</v>
      </c>
    </row>
    <row r="703">
      <c r="A703" s="90" t="n">
        <v>30375</v>
      </c>
      <c r="D703" t="n">
        <v>487.5</v>
      </c>
    </row>
    <row r="704">
      <c r="A704" s="90" t="n">
        <v>30376</v>
      </c>
      <c r="B704" t="n">
        <v>500.1</v>
      </c>
      <c r="C704" t="n">
        <v>2054.2</v>
      </c>
      <c r="E704" t="n">
        <v>2015.2</v>
      </c>
    </row>
    <row r="705">
      <c r="A705" s="90" t="n">
        <v>30382</v>
      </c>
      <c r="D705" t="n">
        <v>489.6</v>
      </c>
    </row>
    <row r="706">
      <c r="A706" s="90" t="n">
        <v>30389</v>
      </c>
      <c r="D706" t="n">
        <v>489.6</v>
      </c>
    </row>
    <row r="707">
      <c r="A707" s="90" t="n">
        <v>30396</v>
      </c>
      <c r="D707" t="n">
        <v>490.9</v>
      </c>
    </row>
    <row r="708">
      <c r="A708" s="90" t="n">
        <v>30403</v>
      </c>
      <c r="D708" t="n">
        <v>491</v>
      </c>
    </row>
    <row r="709">
      <c r="A709" s="90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90" t="n">
        <v>30410</v>
      </c>
      <c r="D710" t="n">
        <v>493.4</v>
      </c>
    </row>
    <row r="711">
      <c r="A711" s="90" t="n">
        <v>30417</v>
      </c>
      <c r="D711" t="n">
        <v>493.7</v>
      </c>
    </row>
    <row r="712">
      <c r="A712" s="90" t="n">
        <v>30424</v>
      </c>
      <c r="D712" t="n">
        <v>491.2</v>
      </c>
    </row>
    <row r="713">
      <c r="A713" s="90" t="n">
        <v>30431</v>
      </c>
      <c r="D713" t="n">
        <v>492.5</v>
      </c>
    </row>
    <row r="714">
      <c r="A714" s="90" t="n">
        <v>30437</v>
      </c>
      <c r="B714" t="n">
        <v>504</v>
      </c>
      <c r="C714" t="n">
        <v>2059.6</v>
      </c>
      <c r="E714" t="n">
        <v>2043.1</v>
      </c>
    </row>
    <row r="715">
      <c r="A715" s="90" t="n">
        <v>30438</v>
      </c>
      <c r="D715" t="n">
        <v>496</v>
      </c>
    </row>
    <row r="716">
      <c r="A716" s="90" t="n">
        <v>30445</v>
      </c>
      <c r="D716" t="n">
        <v>497.5</v>
      </c>
    </row>
    <row r="717">
      <c r="A717" s="90" t="n">
        <v>30452</v>
      </c>
      <c r="D717" t="n">
        <v>501.3</v>
      </c>
    </row>
    <row r="718">
      <c r="A718" s="90" t="n">
        <v>30459</v>
      </c>
      <c r="D718" t="n">
        <v>500.9</v>
      </c>
    </row>
    <row r="719">
      <c r="A719" s="90" t="n">
        <v>30466</v>
      </c>
      <c r="D719" t="n">
        <v>501</v>
      </c>
    </row>
    <row r="720">
      <c r="A720" s="90" t="n">
        <v>30468</v>
      </c>
      <c r="B720" t="n">
        <v>507</v>
      </c>
      <c r="C720" t="n">
        <v>2065.9</v>
      </c>
      <c r="E720" t="n">
        <v>2053.5</v>
      </c>
    </row>
    <row r="721">
      <c r="A721" s="90" t="n">
        <v>30473</v>
      </c>
      <c r="D721" t="n">
        <v>502.6</v>
      </c>
    </row>
    <row r="722">
      <c r="A722" s="90" t="n">
        <v>30480</v>
      </c>
      <c r="D722" t="n">
        <v>504.2</v>
      </c>
    </row>
    <row r="723">
      <c r="A723" s="90" t="n">
        <v>30487</v>
      </c>
      <c r="D723" t="n">
        <v>504.4</v>
      </c>
    </row>
    <row r="724">
      <c r="A724" s="90" t="n">
        <v>30494</v>
      </c>
      <c r="D724" t="n">
        <v>503.9</v>
      </c>
    </row>
    <row r="725">
      <c r="A725" s="90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90" t="n">
        <v>30501</v>
      </c>
      <c r="D726" t="n">
        <v>505.1</v>
      </c>
    </row>
    <row r="727">
      <c r="A727" s="90" t="n">
        <v>30508</v>
      </c>
      <c r="D727" t="n">
        <v>508.2</v>
      </c>
    </row>
    <row r="728">
      <c r="A728" s="90" t="n">
        <v>30515</v>
      </c>
      <c r="D728" t="n">
        <v>506.8</v>
      </c>
    </row>
    <row r="729">
      <c r="A729" s="90" t="n">
        <v>30522</v>
      </c>
      <c r="D729" t="n">
        <v>508.2</v>
      </c>
    </row>
    <row r="730">
      <c r="A730" s="90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90" t="n">
        <v>30536</v>
      </c>
      <c r="D731" t="n">
        <v>509.1</v>
      </c>
    </row>
    <row r="732">
      <c r="A732" s="90" t="n">
        <v>30543</v>
      </c>
      <c r="D732" t="n">
        <v>510.8</v>
      </c>
    </row>
    <row r="733">
      <c r="A733" s="90" t="n">
        <v>30550</v>
      </c>
      <c r="D733" t="n">
        <v>510.9</v>
      </c>
    </row>
    <row r="734">
      <c r="A734" s="90" t="n">
        <v>30557</v>
      </c>
      <c r="D734" t="n">
        <v>510.6</v>
      </c>
    </row>
    <row r="735">
      <c r="A735" s="90" t="n">
        <v>30560</v>
      </c>
      <c r="B735" t="n">
        <v>510.8</v>
      </c>
      <c r="C735" t="n">
        <v>2074.9</v>
      </c>
      <c r="E735" t="n">
        <v>2083.2</v>
      </c>
    </row>
    <row r="736">
      <c r="A736" s="90" t="n">
        <v>30564</v>
      </c>
      <c r="D736" t="n">
        <v>512.3</v>
      </c>
    </row>
    <row r="737">
      <c r="A737" s="90" t="n">
        <v>30571</v>
      </c>
      <c r="D737" t="n">
        <v>511.8</v>
      </c>
    </row>
    <row r="738">
      <c r="A738" s="90" t="n">
        <v>30578</v>
      </c>
      <c r="D738" t="n">
        <v>512.3</v>
      </c>
    </row>
    <row r="739">
      <c r="A739" s="90" t="n">
        <v>30585</v>
      </c>
      <c r="D739" t="n">
        <v>514</v>
      </c>
    </row>
    <row r="740">
      <c r="A740" s="90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90" t="n">
        <v>30592</v>
      </c>
      <c r="D741" t="n">
        <v>513.8</v>
      </c>
    </row>
    <row r="742">
      <c r="A742" s="90" t="n">
        <v>30599</v>
      </c>
      <c r="D742" t="n">
        <v>517.3</v>
      </c>
    </row>
    <row r="743">
      <c r="A743" s="90" t="n">
        <v>30606</v>
      </c>
      <c r="D743" t="n">
        <v>517.7</v>
      </c>
    </row>
    <row r="744">
      <c r="A744" s="90" t="n">
        <v>30613</v>
      </c>
      <c r="D744" t="n">
        <v>518.5</v>
      </c>
    </row>
    <row r="745">
      <c r="A745" s="90" t="n">
        <v>30620</v>
      </c>
      <c r="D745" t="n">
        <v>518.4</v>
      </c>
    </row>
    <row r="746">
      <c r="A746" s="90" t="n">
        <v>30621</v>
      </c>
      <c r="B746" t="n">
        <v>513.4</v>
      </c>
      <c r="C746" t="n">
        <v>2089.3</v>
      </c>
      <c r="E746" t="n">
        <v>2112.3</v>
      </c>
    </row>
    <row r="747">
      <c r="A747" s="90" t="n">
        <v>30627</v>
      </c>
      <c r="D747" t="n">
        <v>518.9</v>
      </c>
    </row>
    <row r="748">
      <c r="A748" s="90" t="n">
        <v>30634</v>
      </c>
      <c r="D748" t="n">
        <v>519.1</v>
      </c>
    </row>
    <row r="749">
      <c r="A749" s="90" t="n">
        <v>30641</v>
      </c>
      <c r="D749" t="n">
        <v>518.8</v>
      </c>
    </row>
    <row r="750">
      <c r="A750" s="90" t="n">
        <v>30648</v>
      </c>
      <c r="D750" t="n">
        <v>518.6</v>
      </c>
    </row>
    <row r="751">
      <c r="A751" s="90" t="n">
        <v>30651</v>
      </c>
      <c r="B751" t="n">
        <v>514.2</v>
      </c>
      <c r="C751" t="n">
        <v>2094.2</v>
      </c>
      <c r="E751" t="n">
        <v>2123.5</v>
      </c>
    </row>
    <row r="752">
      <c r="A752" s="90" t="n">
        <v>30655</v>
      </c>
      <c r="D752" t="n">
        <v>520.4</v>
      </c>
    </row>
    <row r="753">
      <c r="A753" s="90" t="n">
        <v>30662</v>
      </c>
      <c r="D753" t="n">
        <v>521.6</v>
      </c>
    </row>
    <row r="754">
      <c r="A754" s="90" t="n">
        <v>30669</v>
      </c>
      <c r="D754" t="n">
        <v>522.2</v>
      </c>
    </row>
    <row r="755">
      <c r="A755" s="90" t="n">
        <v>30676</v>
      </c>
      <c r="D755" t="n">
        <v>520.6</v>
      </c>
    </row>
    <row r="756">
      <c r="A756" s="90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90" t="n">
        <v>30683</v>
      </c>
      <c r="D757" t="n">
        <v>522.2</v>
      </c>
    </row>
    <row r="758">
      <c r="A758" s="90" t="n">
        <v>30690</v>
      </c>
      <c r="D758" t="n">
        <v>525.3</v>
      </c>
    </row>
    <row r="759">
      <c r="A759" s="90" t="n">
        <v>30697</v>
      </c>
      <c r="D759" t="n">
        <v>526.3</v>
      </c>
    </row>
    <row r="760">
      <c r="A760" s="90" t="n">
        <v>30704</v>
      </c>
      <c r="D760" t="n">
        <v>525</v>
      </c>
    </row>
    <row r="761">
      <c r="A761" s="90" t="n">
        <v>30711</v>
      </c>
      <c r="D761" t="n">
        <v>524.2</v>
      </c>
    </row>
    <row r="762">
      <c r="A762" s="90" t="n">
        <v>30713</v>
      </c>
      <c r="B762" t="n">
        <v>514.1</v>
      </c>
      <c r="C762" t="n">
        <v>2103.5</v>
      </c>
      <c r="E762" t="n">
        <v>2158.2</v>
      </c>
    </row>
    <row r="763">
      <c r="A763" s="90" t="n">
        <v>30718</v>
      </c>
      <c r="D763" t="n">
        <v>526.6</v>
      </c>
    </row>
    <row r="764">
      <c r="A764" s="90" t="n">
        <v>30725</v>
      </c>
      <c r="D764" t="n">
        <v>527.1</v>
      </c>
    </row>
    <row r="765">
      <c r="A765" s="90" t="n">
        <v>30732</v>
      </c>
      <c r="D765" t="n">
        <v>528.5</v>
      </c>
    </row>
    <row r="766">
      <c r="A766" s="90" t="n">
        <v>30739</v>
      </c>
      <c r="D766" t="n">
        <v>527.4</v>
      </c>
    </row>
    <row r="767">
      <c r="A767" s="90" t="n">
        <v>30742</v>
      </c>
      <c r="B767" t="n">
        <v>516.4</v>
      </c>
      <c r="C767" t="n">
        <v>2113.9</v>
      </c>
      <c r="E767" t="n">
        <v>2175.2</v>
      </c>
    </row>
    <row r="768">
      <c r="A768" s="90" t="n">
        <v>30746</v>
      </c>
      <c r="D768" t="n">
        <v>529.4</v>
      </c>
    </row>
    <row r="769">
      <c r="A769" s="90" t="n">
        <v>30753</v>
      </c>
      <c r="D769" t="n">
        <v>530</v>
      </c>
    </row>
    <row r="770">
      <c r="A770" s="90" t="n">
        <v>30760</v>
      </c>
      <c r="D770" t="n">
        <v>531.4</v>
      </c>
    </row>
    <row r="771">
      <c r="A771" s="90" t="n">
        <v>30767</v>
      </c>
      <c r="D771" t="n">
        <v>533.3</v>
      </c>
    </row>
    <row r="772">
      <c r="A772" s="90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90" t="n">
        <v>30774</v>
      </c>
      <c r="D773" t="n">
        <v>531.8</v>
      </c>
    </row>
    <row r="774">
      <c r="A774" s="90" t="n">
        <v>30781</v>
      </c>
      <c r="D774" t="n">
        <v>533.8</v>
      </c>
    </row>
    <row r="775">
      <c r="A775" s="90" t="n">
        <v>30788</v>
      </c>
      <c r="D775" t="n">
        <v>535.5</v>
      </c>
    </row>
    <row r="776">
      <c r="A776" s="90" t="n">
        <v>30795</v>
      </c>
      <c r="D776" t="n">
        <v>534.7</v>
      </c>
    </row>
    <row r="777">
      <c r="A777" s="90" t="n">
        <v>30802</v>
      </c>
      <c r="D777" t="n">
        <v>534.5</v>
      </c>
    </row>
    <row r="778">
      <c r="A778" s="90" t="n">
        <v>30803</v>
      </c>
      <c r="B778" t="n">
        <v>518.6</v>
      </c>
      <c r="C778" t="n">
        <v>2129.6</v>
      </c>
      <c r="E778" t="n">
        <v>2204.1</v>
      </c>
    </row>
    <row r="779">
      <c r="A779" s="90" t="n">
        <v>30809</v>
      </c>
      <c r="D779" t="n">
        <v>535.4</v>
      </c>
    </row>
    <row r="780">
      <c r="A780" s="90" t="n">
        <v>30816</v>
      </c>
      <c r="D780" t="n">
        <v>537.4</v>
      </c>
    </row>
    <row r="781">
      <c r="A781" s="90" t="n">
        <v>30823</v>
      </c>
      <c r="D781" t="n">
        <v>537.1</v>
      </c>
    </row>
    <row r="782">
      <c r="A782" s="90" t="n">
        <v>30830</v>
      </c>
      <c r="D782" t="n">
        <v>536.2</v>
      </c>
    </row>
    <row r="783">
      <c r="A783" s="90" t="n">
        <v>30834</v>
      </c>
      <c r="B783" t="n">
        <v>520.9</v>
      </c>
      <c r="C783" t="n">
        <v>2136.1</v>
      </c>
      <c r="E783" t="n">
        <v>2215.1</v>
      </c>
    </row>
    <row r="784">
      <c r="A784" s="90" t="n">
        <v>30837</v>
      </c>
      <c r="D784" t="n">
        <v>539.6</v>
      </c>
    </row>
    <row r="785">
      <c r="A785" s="90" t="n">
        <v>30844</v>
      </c>
      <c r="D785" t="n">
        <v>540.2</v>
      </c>
    </row>
    <row r="786">
      <c r="A786" s="90" t="n">
        <v>30851</v>
      </c>
      <c r="D786" t="n">
        <v>539.3</v>
      </c>
    </row>
    <row r="787">
      <c r="A787" s="90" t="n">
        <v>30858</v>
      </c>
      <c r="D787" t="n">
        <v>540.3</v>
      </c>
    </row>
    <row r="788">
      <c r="A788" s="90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90" t="n">
        <v>30865</v>
      </c>
      <c r="D789" t="n">
        <v>541.1</v>
      </c>
    </row>
    <row r="790">
      <c r="A790" s="90" t="n">
        <v>30872</v>
      </c>
      <c r="D790" t="n">
        <v>539.9</v>
      </c>
    </row>
    <row r="791">
      <c r="A791" s="90" t="n">
        <v>30879</v>
      </c>
      <c r="D791" t="n">
        <v>542.2</v>
      </c>
    </row>
    <row r="792">
      <c r="A792" s="90" t="n">
        <v>30886</v>
      </c>
      <c r="D792" t="n">
        <v>541.3</v>
      </c>
    </row>
    <row r="793">
      <c r="A793" s="90" t="n">
        <v>30893</v>
      </c>
      <c r="D793" t="n">
        <v>539.7</v>
      </c>
    </row>
    <row r="794">
      <c r="A794" s="90" t="n">
        <v>30895</v>
      </c>
      <c r="B794" t="n">
        <v>518.2</v>
      </c>
      <c r="C794" t="n">
        <v>2136.4</v>
      </c>
      <c r="E794" t="n">
        <v>2230.4</v>
      </c>
    </row>
    <row r="795">
      <c r="A795" s="90" t="n">
        <v>30900</v>
      </c>
      <c r="D795" t="n">
        <v>540.5</v>
      </c>
    </row>
    <row r="796">
      <c r="A796" s="90" t="n">
        <v>30907</v>
      </c>
      <c r="D796" t="n">
        <v>541.2</v>
      </c>
    </row>
    <row r="797">
      <c r="A797" s="90" t="n">
        <v>30914</v>
      </c>
      <c r="D797" t="n">
        <v>541.3</v>
      </c>
    </row>
    <row r="798">
      <c r="A798" s="90" t="n">
        <v>30921</v>
      </c>
      <c r="D798" t="n">
        <v>540.7</v>
      </c>
    </row>
    <row r="799">
      <c r="A799" s="90" t="n">
        <v>30926</v>
      </c>
      <c r="B799" t="n">
        <v>518.7</v>
      </c>
      <c r="C799" t="n">
        <v>2143.6</v>
      </c>
      <c r="E799" t="n">
        <v>2244.4</v>
      </c>
    </row>
    <row r="800">
      <c r="A800" s="90" t="n">
        <v>30928</v>
      </c>
      <c r="D800" t="n">
        <v>541.7</v>
      </c>
    </row>
    <row r="801">
      <c r="A801" s="90" t="n">
        <v>30935</v>
      </c>
      <c r="D801" t="n">
        <v>543.4</v>
      </c>
    </row>
    <row r="802">
      <c r="A802" s="90" t="n">
        <v>30942</v>
      </c>
      <c r="D802" t="n">
        <v>542.8</v>
      </c>
    </row>
    <row r="803">
      <c r="A803" s="90" t="n">
        <v>30949</v>
      </c>
      <c r="D803" t="n">
        <v>542.8</v>
      </c>
    </row>
    <row r="804">
      <c r="A804" s="90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90" t="n">
        <v>30963</v>
      </c>
      <c r="D805" t="n">
        <v>542.2</v>
      </c>
    </row>
    <row r="806">
      <c r="A806" s="90" t="n">
        <v>30970</v>
      </c>
      <c r="D806" t="n">
        <v>545.7</v>
      </c>
    </row>
    <row r="807">
      <c r="A807" s="90" t="n">
        <v>30977</v>
      </c>
      <c r="D807" t="n">
        <v>542.1</v>
      </c>
    </row>
    <row r="808">
      <c r="A808" s="90" t="n">
        <v>30984</v>
      </c>
      <c r="D808" t="n">
        <v>544.4</v>
      </c>
    </row>
    <row r="809">
      <c r="A809" s="90" t="n">
        <v>30987</v>
      </c>
      <c r="B809" t="n">
        <v>519.9</v>
      </c>
      <c r="C809" t="n">
        <v>2166.6</v>
      </c>
      <c r="E809" t="n">
        <v>2281.4</v>
      </c>
    </row>
    <row r="810">
      <c r="A810" s="90" t="n">
        <v>30991</v>
      </c>
      <c r="D810" t="n">
        <v>546.4</v>
      </c>
    </row>
    <row r="811">
      <c r="A811" s="90" t="n">
        <v>30998</v>
      </c>
      <c r="D811" t="n">
        <v>546.7</v>
      </c>
    </row>
    <row r="812">
      <c r="A812" s="90" t="n">
        <v>31005</v>
      </c>
      <c r="D812" t="n">
        <v>549.7</v>
      </c>
    </row>
    <row r="813">
      <c r="A813" s="90" t="n">
        <v>31012</v>
      </c>
      <c r="D813" t="n">
        <v>549.1</v>
      </c>
    </row>
    <row r="814">
      <c r="A814" s="90" t="n">
        <v>31017</v>
      </c>
      <c r="B814" t="n">
        <v>522.8</v>
      </c>
      <c r="C814" t="n">
        <v>2186.2</v>
      </c>
      <c r="E814" t="n">
        <v>2306.4</v>
      </c>
    </row>
    <row r="815">
      <c r="A815" s="90" t="n">
        <v>31019</v>
      </c>
      <c r="D815" t="n">
        <v>545.1</v>
      </c>
    </row>
    <row r="816">
      <c r="A816" s="90" t="n">
        <v>31026</v>
      </c>
      <c r="D816" t="n">
        <v>549.6</v>
      </c>
    </row>
    <row r="817">
      <c r="A817" s="90" t="n">
        <v>31033</v>
      </c>
      <c r="D817" t="n">
        <v>550.6</v>
      </c>
    </row>
    <row r="818">
      <c r="A818" s="90" t="n">
        <v>31040</v>
      </c>
      <c r="D818" t="n">
        <v>554</v>
      </c>
    </row>
    <row r="819">
      <c r="A819" s="90" t="n">
        <v>31047</v>
      </c>
      <c r="D819" t="n">
        <v>555.9</v>
      </c>
    </row>
    <row r="820">
      <c r="A820" s="90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90" t="n">
        <v>31054</v>
      </c>
      <c r="D821" t="n">
        <v>554</v>
      </c>
    </row>
    <row r="822">
      <c r="A822" s="90" t="n">
        <v>31061</v>
      </c>
      <c r="D822" t="n">
        <v>555.6</v>
      </c>
    </row>
    <row r="823">
      <c r="A823" s="90" t="n">
        <v>31068</v>
      </c>
      <c r="D823" t="n">
        <v>557.5</v>
      </c>
    </row>
    <row r="824">
      <c r="A824" s="90" t="n">
        <v>31075</v>
      </c>
      <c r="D824" t="n">
        <v>558.8</v>
      </c>
    </row>
    <row r="825">
      <c r="A825" s="90" t="n">
        <v>31079</v>
      </c>
      <c r="B825" t="n">
        <v>530.2</v>
      </c>
      <c r="C825" t="n">
        <v>2214.6</v>
      </c>
      <c r="E825" t="n">
        <v>2354.1</v>
      </c>
    </row>
    <row r="826">
      <c r="A826" s="90" t="n">
        <v>31082</v>
      </c>
      <c r="D826" t="n">
        <v>561.4</v>
      </c>
    </row>
    <row r="827">
      <c r="A827" s="90" t="n">
        <v>31089</v>
      </c>
      <c r="D827" t="n">
        <v>562.4</v>
      </c>
    </row>
    <row r="828">
      <c r="A828" s="90" t="n">
        <v>31096</v>
      </c>
      <c r="D828" t="n">
        <v>563.7</v>
      </c>
    </row>
    <row r="829">
      <c r="A829" s="90" t="n">
        <v>31103</v>
      </c>
      <c r="D829" t="n">
        <v>564.9</v>
      </c>
    </row>
    <row r="830">
      <c r="A830" s="90" t="n">
        <v>31107</v>
      </c>
      <c r="B830" t="n">
        <v>530.5</v>
      </c>
      <c r="C830" t="n">
        <v>2215.5</v>
      </c>
      <c r="E830" t="n">
        <v>2366.2</v>
      </c>
    </row>
    <row r="831">
      <c r="A831" s="90" t="n">
        <v>31110</v>
      </c>
      <c r="D831" t="n">
        <v>565.7</v>
      </c>
    </row>
    <row r="832">
      <c r="A832" s="90" t="n">
        <v>31117</v>
      </c>
      <c r="D832" t="n">
        <v>565.6</v>
      </c>
    </row>
    <row r="833">
      <c r="A833" s="90" t="n">
        <v>31124</v>
      </c>
      <c r="D833" t="n">
        <v>565.1</v>
      </c>
    </row>
    <row r="834">
      <c r="A834" s="90" t="n">
        <v>31131</v>
      </c>
      <c r="D834" t="n">
        <v>567.6</v>
      </c>
    </row>
    <row r="835">
      <c r="A835" s="90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90" t="n">
        <v>31145</v>
      </c>
      <c r="D836" t="n">
        <v>567.8</v>
      </c>
    </row>
    <row r="837">
      <c r="A837" s="90" t="n">
        <v>31152</v>
      </c>
      <c r="D837" t="n">
        <v>571.2</v>
      </c>
    </row>
    <row r="838">
      <c r="A838" s="90" t="n">
        <v>31159</v>
      </c>
      <c r="D838" t="n">
        <v>572.1</v>
      </c>
    </row>
    <row r="839">
      <c r="A839" s="90" t="n">
        <v>31166</v>
      </c>
      <c r="D839" t="n">
        <v>570.4</v>
      </c>
    </row>
    <row r="840">
      <c r="A840" s="90" t="n">
        <v>31168</v>
      </c>
      <c r="B840" t="n">
        <v>536.5</v>
      </c>
      <c r="C840" t="n">
        <v>2229</v>
      </c>
      <c r="E840" t="n">
        <v>2389.5</v>
      </c>
    </row>
    <row r="841">
      <c r="A841" s="90" t="n">
        <v>31173</v>
      </c>
      <c r="D841" t="n">
        <v>571.9</v>
      </c>
    </row>
    <row r="842">
      <c r="A842" s="90" t="n">
        <v>31180</v>
      </c>
      <c r="D842" t="n">
        <v>574</v>
      </c>
    </row>
    <row r="843">
      <c r="A843" s="90" t="n">
        <v>31187</v>
      </c>
      <c r="D843" t="n">
        <v>576.4</v>
      </c>
    </row>
    <row r="844">
      <c r="A844" s="90" t="n">
        <v>31194</v>
      </c>
      <c r="D844" t="n">
        <v>577.1</v>
      </c>
    </row>
    <row r="845">
      <c r="A845" s="90" t="n">
        <v>31199</v>
      </c>
      <c r="B845" t="n">
        <v>541.7</v>
      </c>
      <c r="C845" t="n">
        <v>2244.3</v>
      </c>
      <c r="E845" t="n">
        <v>2412.6</v>
      </c>
    </row>
    <row r="846">
      <c r="A846" s="90" t="n">
        <v>31201</v>
      </c>
      <c r="D846" t="n">
        <v>575.9</v>
      </c>
    </row>
    <row r="847">
      <c r="A847" s="90" t="n">
        <v>31208</v>
      </c>
      <c r="D847" t="n">
        <v>580.5</v>
      </c>
    </row>
    <row r="848">
      <c r="A848" s="90" t="n">
        <v>31215</v>
      </c>
      <c r="D848" t="n">
        <v>581.2</v>
      </c>
    </row>
    <row r="849">
      <c r="A849" s="90" t="n">
        <v>31222</v>
      </c>
      <c r="D849" t="n">
        <v>583.6</v>
      </c>
    </row>
    <row r="850">
      <c r="A850" s="90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90" t="n">
        <v>31236</v>
      </c>
      <c r="D851" t="n">
        <v>585.7</v>
      </c>
    </row>
    <row r="852">
      <c r="A852" s="90" t="n">
        <v>31243</v>
      </c>
      <c r="D852" t="n">
        <v>588.6</v>
      </c>
    </row>
    <row r="853">
      <c r="A853" s="90" t="n">
        <v>31250</v>
      </c>
      <c r="D853" t="n">
        <v>590</v>
      </c>
    </row>
    <row r="854">
      <c r="A854" s="90" t="n">
        <v>31257</v>
      </c>
      <c r="D854" t="n">
        <v>591</v>
      </c>
    </row>
    <row r="855">
      <c r="A855" s="90" t="n">
        <v>31260</v>
      </c>
      <c r="B855" t="n">
        <v>552.5</v>
      </c>
      <c r="C855" t="n">
        <v>2265.1</v>
      </c>
      <c r="E855" t="n">
        <v>2444</v>
      </c>
    </row>
    <row r="856">
      <c r="A856" s="90" t="n">
        <v>31264</v>
      </c>
      <c r="D856" t="n">
        <v>593.6</v>
      </c>
    </row>
    <row r="857">
      <c r="A857" s="90" t="n">
        <v>31271</v>
      </c>
      <c r="D857" t="n">
        <v>594.9</v>
      </c>
    </row>
    <row r="858">
      <c r="A858" s="90" t="n">
        <v>31278</v>
      </c>
      <c r="D858" t="n">
        <v>595.7</v>
      </c>
    </row>
    <row r="859">
      <c r="A859" s="90" t="n">
        <v>31285</v>
      </c>
      <c r="D859" t="n">
        <v>598.5</v>
      </c>
    </row>
    <row r="860">
      <c r="A860" s="90" t="n">
        <v>31291</v>
      </c>
      <c r="B860" t="n">
        <v>558.1</v>
      </c>
      <c r="C860" t="n">
        <v>2272.3</v>
      </c>
      <c r="E860" t="n">
        <v>2456.4</v>
      </c>
    </row>
    <row r="861">
      <c r="A861" s="90" t="n">
        <v>31292</v>
      </c>
      <c r="D861" t="n">
        <v>598.2</v>
      </c>
    </row>
    <row r="862">
      <c r="A862" s="90" t="n">
        <v>31299</v>
      </c>
      <c r="D862" t="n">
        <v>601.3</v>
      </c>
    </row>
    <row r="863">
      <c r="A863" s="90" t="n">
        <v>31306</v>
      </c>
      <c r="D863" t="n">
        <v>601.2</v>
      </c>
    </row>
    <row r="864">
      <c r="A864" s="90" t="n">
        <v>31313</v>
      </c>
      <c r="D864" t="n">
        <v>602</v>
      </c>
    </row>
    <row r="865">
      <c r="A865" s="90" t="n">
        <v>31320</v>
      </c>
      <c r="D865" t="n">
        <v>610.3</v>
      </c>
    </row>
    <row r="866">
      <c r="A866" s="90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90" t="n">
        <v>31327</v>
      </c>
      <c r="D867" t="n">
        <v>606.2</v>
      </c>
    </row>
    <row r="868">
      <c r="A868" s="90" t="n">
        <v>31334</v>
      </c>
      <c r="D868" t="n">
        <v>605.8</v>
      </c>
    </row>
    <row r="869">
      <c r="A869" s="90" t="n">
        <v>31341</v>
      </c>
      <c r="D869" t="n">
        <v>609.5</v>
      </c>
    </row>
    <row r="870">
      <c r="A870" s="90" t="n">
        <v>31348</v>
      </c>
      <c r="D870" t="n">
        <v>608.9</v>
      </c>
    </row>
    <row r="871">
      <c r="A871" s="90" t="n">
        <v>31352</v>
      </c>
      <c r="B871" t="n">
        <v>561.7</v>
      </c>
      <c r="C871" t="n">
        <v>2273.2</v>
      </c>
      <c r="E871" t="n">
        <v>2477.8</v>
      </c>
    </row>
    <row r="872">
      <c r="A872" s="90" t="n">
        <v>31355</v>
      </c>
      <c r="D872" t="n">
        <v>609.9</v>
      </c>
    </row>
    <row r="873">
      <c r="A873" s="90" t="n">
        <v>31362</v>
      </c>
      <c r="D873" t="n">
        <v>609.3</v>
      </c>
    </row>
    <row r="874">
      <c r="A874" s="90" t="n">
        <v>31369</v>
      </c>
      <c r="D874" t="n">
        <v>611</v>
      </c>
    </row>
    <row r="875">
      <c r="A875" s="90" t="n">
        <v>31376</v>
      </c>
      <c r="D875" t="n">
        <v>614.8</v>
      </c>
    </row>
    <row r="876">
      <c r="A876" s="90" t="n">
        <v>31382</v>
      </c>
      <c r="B876" t="n">
        <v>566</v>
      </c>
      <c r="C876" t="n">
        <v>2275.9</v>
      </c>
      <c r="E876" t="n">
        <v>2492.1</v>
      </c>
    </row>
    <row r="877">
      <c r="A877" s="90" t="n">
        <v>31383</v>
      </c>
      <c r="D877" t="n">
        <v>616.2</v>
      </c>
    </row>
    <row r="878">
      <c r="A878" s="90" t="n">
        <v>31390</v>
      </c>
      <c r="D878" t="n">
        <v>618.2</v>
      </c>
    </row>
    <row r="879">
      <c r="A879" s="90" t="n">
        <v>31397</v>
      </c>
      <c r="D879" t="n">
        <v>619.5</v>
      </c>
    </row>
    <row r="880">
      <c r="A880" s="90" t="n">
        <v>31404</v>
      </c>
      <c r="D880" t="n">
        <v>622.4</v>
      </c>
    </row>
    <row r="881">
      <c r="A881" s="90" t="n">
        <v>31411</v>
      </c>
      <c r="D881" t="n">
        <v>619.9</v>
      </c>
    </row>
    <row r="882">
      <c r="A882" s="90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90" t="n">
        <v>31418</v>
      </c>
      <c r="D883" t="n">
        <v>622</v>
      </c>
    </row>
    <row r="884">
      <c r="A884" s="90" t="n">
        <v>31425</v>
      </c>
      <c r="D884" t="n">
        <v>620.1</v>
      </c>
    </row>
    <row r="885">
      <c r="A885" s="90" t="n">
        <v>31432</v>
      </c>
      <c r="D885" t="n">
        <v>620.9</v>
      </c>
    </row>
    <row r="886">
      <c r="A886" s="90" t="n">
        <v>31439</v>
      </c>
      <c r="D886" t="n">
        <v>623.4</v>
      </c>
    </row>
    <row r="887">
      <c r="A887" s="90" t="n">
        <v>31444</v>
      </c>
      <c r="B887" t="n">
        <v>569.9</v>
      </c>
      <c r="C887" t="n">
        <v>2290.7</v>
      </c>
      <c r="E887" t="n">
        <v>2512.9</v>
      </c>
    </row>
    <row r="888">
      <c r="A888" s="90" t="n">
        <v>31446</v>
      </c>
      <c r="D888" t="n">
        <v>620.3</v>
      </c>
    </row>
    <row r="889">
      <c r="A889" s="90" t="n">
        <v>31453</v>
      </c>
      <c r="D889" t="n">
        <v>624.1</v>
      </c>
    </row>
    <row r="890">
      <c r="A890" s="90" t="n">
        <v>31460</v>
      </c>
      <c r="D890" t="n">
        <v>624.4</v>
      </c>
    </row>
    <row r="891">
      <c r="A891" s="90" t="n">
        <v>31467</v>
      </c>
      <c r="D891" t="n">
        <v>627.7</v>
      </c>
    </row>
    <row r="892">
      <c r="A892" s="90" t="n">
        <v>31472</v>
      </c>
      <c r="B892" t="n">
        <v>580.7</v>
      </c>
      <c r="C892" t="n">
        <v>2321.8</v>
      </c>
      <c r="E892" t="n">
        <v>2533.1</v>
      </c>
    </row>
    <row r="893">
      <c r="A893" s="90" t="n">
        <v>31474</v>
      </c>
      <c r="D893" t="n">
        <v>627.5</v>
      </c>
    </row>
    <row r="894">
      <c r="A894" s="90" t="n">
        <v>31481</v>
      </c>
      <c r="D894" t="n">
        <v>631.7</v>
      </c>
    </row>
    <row r="895">
      <c r="A895" s="90" t="n">
        <v>31488</v>
      </c>
      <c r="D895" t="n">
        <v>633.5</v>
      </c>
    </row>
    <row r="896">
      <c r="A896" s="90" t="n">
        <v>31495</v>
      </c>
      <c r="D896" t="n">
        <v>635.2</v>
      </c>
    </row>
    <row r="897">
      <c r="A897" s="90" t="n">
        <v>31502</v>
      </c>
      <c r="D897" t="n">
        <v>636.1</v>
      </c>
    </row>
    <row r="898">
      <c r="A898" s="90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90" t="n">
        <v>31509</v>
      </c>
      <c r="D899" t="n">
        <v>639.7</v>
      </c>
    </row>
    <row r="900">
      <c r="A900" s="90" t="n">
        <v>31516</v>
      </c>
      <c r="D900" t="n">
        <v>638.1</v>
      </c>
    </row>
    <row r="901">
      <c r="A901" s="90" t="n">
        <v>31523</v>
      </c>
      <c r="D901" t="n">
        <v>640.6</v>
      </c>
    </row>
    <row r="902">
      <c r="A902" s="90" t="n">
        <v>31530</v>
      </c>
      <c r="D902" t="n">
        <v>643.3</v>
      </c>
    </row>
    <row r="903">
      <c r="A903" s="90" t="n">
        <v>31533</v>
      </c>
      <c r="B903" t="n">
        <v>598.2</v>
      </c>
      <c r="C903" t="n">
        <v>2371.4</v>
      </c>
      <c r="E903" t="n">
        <v>2584.8</v>
      </c>
    </row>
    <row r="904">
      <c r="A904" s="90" t="n">
        <v>31537</v>
      </c>
      <c r="D904" t="n">
        <v>648.2</v>
      </c>
    </row>
    <row r="905">
      <c r="A905" s="90" t="n">
        <v>31544</v>
      </c>
      <c r="D905" t="n">
        <v>650.3</v>
      </c>
    </row>
    <row r="906">
      <c r="A906" s="90" t="n">
        <v>31551</v>
      </c>
      <c r="D906" t="n">
        <v>652.2</v>
      </c>
    </row>
    <row r="907">
      <c r="A907" s="90" t="n">
        <v>31558</v>
      </c>
      <c r="D907" t="n">
        <v>654.2</v>
      </c>
    </row>
    <row r="908">
      <c r="A908" s="90" t="n">
        <v>31564</v>
      </c>
      <c r="B908" t="n">
        <v>603.8</v>
      </c>
      <c r="C908" t="n">
        <v>2381.2</v>
      </c>
      <c r="E908" t="n">
        <v>2605</v>
      </c>
    </row>
    <row r="909">
      <c r="A909" s="90" t="n">
        <v>31565</v>
      </c>
      <c r="D909" t="n">
        <v>654.9</v>
      </c>
    </row>
    <row r="910">
      <c r="A910" s="90" t="n">
        <v>31572</v>
      </c>
      <c r="D910" t="n">
        <v>658.1</v>
      </c>
    </row>
    <row r="911">
      <c r="A911" s="90" t="n">
        <v>31579</v>
      </c>
      <c r="D911" t="n">
        <v>661</v>
      </c>
    </row>
    <row r="912">
      <c r="A912" s="90" t="n">
        <v>31586</v>
      </c>
      <c r="D912" t="n">
        <v>660.8</v>
      </c>
    </row>
    <row r="913">
      <c r="A913" s="90" t="n">
        <v>31593</v>
      </c>
      <c r="D913" t="n">
        <v>664.2</v>
      </c>
    </row>
    <row r="914">
      <c r="A914" s="90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90" t="n">
        <v>31600</v>
      </c>
      <c r="D915" t="n">
        <v>665.7</v>
      </c>
    </row>
    <row r="916">
      <c r="A916" s="90" t="n">
        <v>31607</v>
      </c>
      <c r="D916" t="n">
        <v>670</v>
      </c>
    </row>
    <row r="917">
      <c r="A917" s="90" t="n">
        <v>31614</v>
      </c>
      <c r="D917" t="n">
        <v>671.5</v>
      </c>
    </row>
    <row r="918">
      <c r="A918" s="90" t="n">
        <v>31621</v>
      </c>
      <c r="D918" t="n">
        <v>672.4</v>
      </c>
    </row>
    <row r="919">
      <c r="A919" s="90" t="n">
        <v>31625</v>
      </c>
      <c r="B919" t="n">
        <v>619.3</v>
      </c>
      <c r="C919" t="n">
        <v>2414.7</v>
      </c>
      <c r="E919" t="n">
        <v>2646.5</v>
      </c>
    </row>
    <row r="920">
      <c r="A920" s="90" t="n">
        <v>31628</v>
      </c>
      <c r="D920" t="n">
        <v>674.1</v>
      </c>
    </row>
    <row r="921">
      <c r="A921" s="90" t="n">
        <v>31635</v>
      </c>
      <c r="D921" t="n">
        <v>676</v>
      </c>
    </row>
    <row r="922">
      <c r="A922" s="90" t="n">
        <v>31642</v>
      </c>
      <c r="D922" t="n">
        <v>677.5</v>
      </c>
    </row>
    <row r="923">
      <c r="A923" s="90" t="n">
        <v>31649</v>
      </c>
      <c r="D923" t="n">
        <v>679.5</v>
      </c>
    </row>
    <row r="924">
      <c r="A924" s="90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90" t="n">
        <v>31663</v>
      </c>
      <c r="D925" t="n">
        <v>685.4</v>
      </c>
    </row>
    <row r="926">
      <c r="A926" s="90" t="n">
        <v>31670</v>
      </c>
      <c r="D926" t="n">
        <v>685.1</v>
      </c>
    </row>
    <row r="927">
      <c r="A927" s="90" t="n">
        <v>31677</v>
      </c>
      <c r="D927" t="n">
        <v>688.3</v>
      </c>
    </row>
    <row r="928">
      <c r="A928" s="90" t="n">
        <v>31684</v>
      </c>
      <c r="D928" t="n">
        <v>690.6</v>
      </c>
    </row>
    <row r="929">
      <c r="A929" s="90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90" t="n">
        <v>31691</v>
      </c>
      <c r="D930" t="n">
        <v>691.2</v>
      </c>
    </row>
    <row r="931">
      <c r="A931" s="90" t="n">
        <v>31698</v>
      </c>
      <c r="D931" t="n">
        <v>691.2</v>
      </c>
    </row>
    <row r="932">
      <c r="A932" s="90" t="n">
        <v>31705</v>
      </c>
      <c r="D932" t="n">
        <v>695.9</v>
      </c>
    </row>
    <row r="933">
      <c r="A933" s="90" t="n">
        <v>31712</v>
      </c>
      <c r="D933" t="n">
        <v>698.4</v>
      </c>
    </row>
    <row r="934">
      <c r="A934" s="90" t="n">
        <v>31717</v>
      </c>
      <c r="B934" t="n">
        <v>638.9</v>
      </c>
      <c r="C934" t="n">
        <v>2446.8</v>
      </c>
      <c r="E934" t="n">
        <v>2701.3</v>
      </c>
    </row>
    <row r="935">
      <c r="A935" s="90" t="n">
        <v>31719</v>
      </c>
      <c r="D935" t="n">
        <v>698.9</v>
      </c>
    </row>
    <row r="936">
      <c r="A936" s="90" t="n">
        <v>31726</v>
      </c>
      <c r="D936" t="n">
        <v>702.8</v>
      </c>
    </row>
    <row r="937">
      <c r="A937" s="90" t="n">
        <v>31733</v>
      </c>
      <c r="D937" t="n">
        <v>704.3</v>
      </c>
    </row>
    <row r="938">
      <c r="A938" s="90" t="n">
        <v>31740</v>
      </c>
      <c r="D938" t="n">
        <v>704.3</v>
      </c>
    </row>
    <row r="939">
      <c r="A939" s="90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90" t="n">
        <v>31754</v>
      </c>
      <c r="D940" t="n">
        <v>714.6</v>
      </c>
    </row>
    <row r="941">
      <c r="A941" s="90" t="n">
        <v>31761</v>
      </c>
      <c r="D941" t="n">
        <v>718.6</v>
      </c>
    </row>
    <row r="942">
      <c r="A942" s="90" t="n">
        <v>31768</v>
      </c>
      <c r="D942" t="n">
        <v>726.6</v>
      </c>
    </row>
    <row r="943">
      <c r="A943" s="90" t="n">
        <v>31775</v>
      </c>
      <c r="D943" t="n">
        <v>735.2</v>
      </c>
    </row>
    <row r="944">
      <c r="A944" s="90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90" t="n">
        <v>31782</v>
      </c>
      <c r="D945" t="n">
        <v>742.1</v>
      </c>
    </row>
    <row r="946">
      <c r="A946" s="90" t="n">
        <v>31789</v>
      </c>
      <c r="D946" t="n">
        <v>727.9</v>
      </c>
    </row>
    <row r="947">
      <c r="A947" s="90" t="n">
        <v>31796</v>
      </c>
      <c r="D947" t="n">
        <v>725.3</v>
      </c>
    </row>
    <row r="948">
      <c r="A948" s="90" t="n">
        <v>31803</v>
      </c>
      <c r="D948" t="n">
        <v>728.5</v>
      </c>
    </row>
    <row r="949">
      <c r="A949" s="90" t="n">
        <v>31809</v>
      </c>
      <c r="B949" t="n">
        <v>653.6</v>
      </c>
      <c r="C949" t="n">
        <v>2457.5</v>
      </c>
      <c r="E949" t="n">
        <v>2747.5</v>
      </c>
    </row>
    <row r="950">
      <c r="A950" s="90" t="n">
        <v>31810</v>
      </c>
      <c r="D950" t="n">
        <v>729.9</v>
      </c>
    </row>
    <row r="951">
      <c r="A951" s="90" t="n">
        <v>31817</v>
      </c>
      <c r="D951" t="n">
        <v>730.1</v>
      </c>
    </row>
    <row r="952">
      <c r="A952" s="90" t="n">
        <v>31824</v>
      </c>
      <c r="D952" t="n">
        <v>730</v>
      </c>
    </row>
    <row r="953">
      <c r="A953" s="90" t="n">
        <v>31831</v>
      </c>
      <c r="D953" t="n">
        <v>731.7</v>
      </c>
    </row>
    <row r="954">
      <c r="A954" s="90" t="n">
        <v>31837</v>
      </c>
      <c r="B954" t="n">
        <v>654</v>
      </c>
      <c r="C954" t="n">
        <v>2454.3</v>
      </c>
      <c r="E954" t="n">
        <v>2753.7</v>
      </c>
    </row>
    <row r="955">
      <c r="A955" s="90" t="n">
        <v>31838</v>
      </c>
      <c r="D955" t="n">
        <v>731.4</v>
      </c>
    </row>
    <row r="956">
      <c r="A956" s="90" t="n">
        <v>31845</v>
      </c>
      <c r="D956" t="n">
        <v>732.2</v>
      </c>
    </row>
    <row r="957">
      <c r="A957" s="90" t="n">
        <v>31852</v>
      </c>
      <c r="D957" t="n">
        <v>733.9</v>
      </c>
    </row>
    <row r="958">
      <c r="A958" s="90" t="n">
        <v>31859</v>
      </c>
      <c r="D958" t="n">
        <v>733.8</v>
      </c>
    </row>
    <row r="959">
      <c r="A959" s="90" t="n">
        <v>31866</v>
      </c>
      <c r="D959" t="n">
        <v>735.4</v>
      </c>
    </row>
    <row r="960">
      <c r="A960" s="90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90" t="n">
        <v>31873</v>
      </c>
      <c r="D961" t="n">
        <v>737.2</v>
      </c>
    </row>
    <row r="962">
      <c r="A962" s="90" t="n">
        <v>31880</v>
      </c>
      <c r="D962" t="n">
        <v>737.8</v>
      </c>
    </row>
    <row r="963">
      <c r="A963" s="90" t="n">
        <v>31887</v>
      </c>
      <c r="D963" t="n">
        <v>749.4</v>
      </c>
    </row>
    <row r="964">
      <c r="A964" s="90" t="n">
        <v>31894</v>
      </c>
      <c r="D964" t="n">
        <v>749.9</v>
      </c>
    </row>
    <row r="965">
      <c r="A965" s="90" t="n">
        <v>31898</v>
      </c>
      <c r="B965" t="n">
        <v>660</v>
      </c>
      <c r="C965" t="n">
        <v>2453.9</v>
      </c>
      <c r="E965" t="n">
        <v>2772.9</v>
      </c>
    </row>
    <row r="966">
      <c r="A966" s="90" t="n">
        <v>31901</v>
      </c>
      <c r="D966" t="n">
        <v>745.1</v>
      </c>
    </row>
    <row r="967">
      <c r="A967" s="90" t="n">
        <v>31908</v>
      </c>
      <c r="D967" t="n">
        <v>743.3</v>
      </c>
    </row>
    <row r="968">
      <c r="A968" s="90" t="n">
        <v>31915</v>
      </c>
      <c r="D968" t="n">
        <v>744.6</v>
      </c>
    </row>
    <row r="969">
      <c r="A969" s="90" t="n">
        <v>31922</v>
      </c>
      <c r="D969" t="n">
        <v>748.2</v>
      </c>
    </row>
    <row r="970">
      <c r="A970" s="90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90" t="n">
        <v>31936</v>
      </c>
      <c r="D971" t="n">
        <v>742</v>
      </c>
    </row>
    <row r="972">
      <c r="A972" s="90" t="n">
        <v>31943</v>
      </c>
      <c r="D972" t="n">
        <v>743.4</v>
      </c>
    </row>
    <row r="973">
      <c r="A973" s="90" t="n">
        <v>31950</v>
      </c>
      <c r="D973" t="n">
        <v>744</v>
      </c>
    </row>
    <row r="974">
      <c r="A974" s="90" t="n">
        <v>31957</v>
      </c>
      <c r="D974" t="n">
        <v>742.3</v>
      </c>
    </row>
    <row r="975">
      <c r="A975" s="90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90" t="n">
        <v>31964</v>
      </c>
      <c r="D976" t="n">
        <v>745.4</v>
      </c>
    </row>
    <row r="977">
      <c r="A977" s="90" t="n">
        <v>31971</v>
      </c>
      <c r="D977" t="n">
        <v>740.6</v>
      </c>
    </row>
    <row r="978">
      <c r="A978" s="90" t="n">
        <v>31978</v>
      </c>
      <c r="D978" t="n">
        <v>742.9</v>
      </c>
    </row>
    <row r="979">
      <c r="A979" s="90" t="n">
        <v>31985</v>
      </c>
      <c r="D979" t="n">
        <v>744.5</v>
      </c>
    </row>
    <row r="980">
      <c r="A980" s="90" t="n">
        <v>31990</v>
      </c>
      <c r="B980" t="n">
        <v>651.7</v>
      </c>
      <c r="C980" t="n">
        <v>2439.4</v>
      </c>
      <c r="E980" t="n">
        <v>2788.2</v>
      </c>
    </row>
    <row r="981">
      <c r="A981" s="90" t="n">
        <v>31992</v>
      </c>
      <c r="D981" t="n">
        <v>741.4</v>
      </c>
    </row>
    <row r="982">
      <c r="A982" s="90" t="n">
        <v>31999</v>
      </c>
      <c r="D982" t="n">
        <v>743.9</v>
      </c>
    </row>
    <row r="983">
      <c r="A983" s="90" t="n">
        <v>32006</v>
      </c>
      <c r="D983" t="n">
        <v>744.8</v>
      </c>
    </row>
    <row r="984">
      <c r="A984" s="90" t="n">
        <v>32013</v>
      </c>
      <c r="D984" t="n">
        <v>746.3</v>
      </c>
    </row>
    <row r="985">
      <c r="A985" s="90" t="n">
        <v>32020</v>
      </c>
      <c r="D985" t="n">
        <v>746.2</v>
      </c>
    </row>
    <row r="986">
      <c r="A986" s="90" t="n">
        <v>32021</v>
      </c>
      <c r="B986" t="n">
        <v>651.8</v>
      </c>
      <c r="C986" t="n">
        <v>2440.7</v>
      </c>
      <c r="E986" t="n">
        <v>2799.5</v>
      </c>
    </row>
    <row r="987">
      <c r="A987" s="90" t="n">
        <v>32027</v>
      </c>
      <c r="D987" t="n">
        <v>743.5</v>
      </c>
    </row>
    <row r="988">
      <c r="A988" s="90" t="n">
        <v>32034</v>
      </c>
      <c r="D988" t="n">
        <v>746.5</v>
      </c>
    </row>
    <row r="989">
      <c r="A989" s="90" t="n">
        <v>32041</v>
      </c>
      <c r="D989" t="n">
        <v>748.8</v>
      </c>
    </row>
    <row r="990">
      <c r="A990" s="90" t="n">
        <v>32048</v>
      </c>
      <c r="D990" t="n">
        <v>749.8</v>
      </c>
    </row>
    <row r="991">
      <c r="A991" s="90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90" t="n">
        <v>32055</v>
      </c>
      <c r="D992" t="n">
        <v>753.7</v>
      </c>
    </row>
    <row r="993">
      <c r="A993" s="90" t="n">
        <v>32062</v>
      </c>
      <c r="D993" t="n">
        <v>748.9</v>
      </c>
    </row>
    <row r="994">
      <c r="A994" s="90" t="n">
        <v>32069</v>
      </c>
      <c r="D994" t="n">
        <v>755</v>
      </c>
    </row>
    <row r="995">
      <c r="A995" s="90" t="n">
        <v>32076</v>
      </c>
      <c r="D995" t="n">
        <v>765.2</v>
      </c>
    </row>
    <row r="996">
      <c r="A996" s="90" t="n">
        <v>32082</v>
      </c>
      <c r="B996" t="n">
        <v>652.7</v>
      </c>
      <c r="C996" t="n">
        <v>2442.7</v>
      </c>
      <c r="E996" t="n">
        <v>2818.9</v>
      </c>
    </row>
    <row r="997">
      <c r="A997" s="90" t="n">
        <v>32083</v>
      </c>
      <c r="D997" t="n">
        <v>758.5</v>
      </c>
    </row>
    <row r="998">
      <c r="A998" s="90" t="n">
        <v>32090</v>
      </c>
      <c r="D998" t="n">
        <v>755.4</v>
      </c>
    </row>
    <row r="999">
      <c r="A999" s="90" t="n">
        <v>32097</v>
      </c>
      <c r="D999" t="n">
        <v>752.9</v>
      </c>
    </row>
    <row r="1000">
      <c r="A1000" s="90" t="n">
        <v>32104</v>
      </c>
      <c r="D1000" t="n">
        <v>752</v>
      </c>
    </row>
    <row r="1001">
      <c r="A1001" s="90" t="n">
        <v>32111</v>
      </c>
      <c r="D1001" t="n">
        <v>751</v>
      </c>
    </row>
    <row r="1002">
      <c r="A1002" s="90" t="n">
        <v>32112</v>
      </c>
      <c r="B1002" t="n">
        <v>649</v>
      </c>
      <c r="C1002" t="n">
        <v>2445</v>
      </c>
      <c r="E1002" t="n">
        <v>2826.4</v>
      </c>
    </row>
    <row r="1003">
      <c r="A1003" s="90" t="n">
        <v>32118</v>
      </c>
      <c r="D1003" t="n">
        <v>750.5</v>
      </c>
    </row>
    <row r="1004">
      <c r="A1004" s="90" t="n">
        <v>32125</v>
      </c>
      <c r="D1004" t="n">
        <v>749.8</v>
      </c>
    </row>
    <row r="1005">
      <c r="A1005" s="90" t="n">
        <v>32132</v>
      </c>
      <c r="D1005" t="n">
        <v>749.6</v>
      </c>
    </row>
    <row r="1006">
      <c r="A1006" s="90" t="n">
        <v>32139</v>
      </c>
      <c r="D1006" t="n">
        <v>750.6</v>
      </c>
    </row>
    <row r="1007">
      <c r="A1007" s="90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90" t="n">
        <v>32146</v>
      </c>
      <c r="D1008" t="n">
        <v>751.1</v>
      </c>
    </row>
    <row r="1009">
      <c r="A1009" s="90" t="n">
        <v>32153</v>
      </c>
      <c r="D1009" t="n">
        <v>753.2</v>
      </c>
    </row>
    <row r="1010">
      <c r="A1010" s="90" t="n">
        <v>32160</v>
      </c>
      <c r="D1010" t="n">
        <v>755.8</v>
      </c>
    </row>
    <row r="1011">
      <c r="A1011" s="90" t="n">
        <v>32167</v>
      </c>
      <c r="D1011" t="n">
        <v>759</v>
      </c>
    </row>
    <row r="1012">
      <c r="A1012" s="90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90" t="n">
        <v>32181</v>
      </c>
      <c r="D1013" t="n">
        <v>756.6</v>
      </c>
    </row>
    <row r="1014">
      <c r="A1014" s="90" t="n">
        <v>32188</v>
      </c>
      <c r="D1014" t="n">
        <v>757.4</v>
      </c>
    </row>
    <row r="1015">
      <c r="A1015" s="90" t="n">
        <v>32195</v>
      </c>
      <c r="D1015" t="n">
        <v>759.8</v>
      </c>
    </row>
    <row r="1016">
      <c r="A1016" s="90" t="n">
        <v>32202</v>
      </c>
      <c r="D1016" t="n">
        <v>756.7</v>
      </c>
    </row>
    <row r="1017">
      <c r="A1017" s="90" t="n">
        <v>32203</v>
      </c>
      <c r="B1017" t="n">
        <v>653.9</v>
      </c>
      <c r="C1017" t="n">
        <v>2481.3</v>
      </c>
      <c r="E1017" t="n">
        <v>2890.7</v>
      </c>
    </row>
    <row r="1018">
      <c r="A1018" s="90" t="n">
        <v>32209</v>
      </c>
      <c r="D1018" t="n">
        <v>758.1</v>
      </c>
    </row>
    <row r="1019">
      <c r="A1019" s="90" t="n">
        <v>32216</v>
      </c>
      <c r="D1019" t="n">
        <v>760.6</v>
      </c>
    </row>
    <row r="1020">
      <c r="A1020" s="90" t="n">
        <v>32223</v>
      </c>
      <c r="D1020" t="n">
        <v>763.1</v>
      </c>
    </row>
    <row r="1021">
      <c r="A1021" s="90" t="n">
        <v>32230</v>
      </c>
      <c r="D1021" t="n">
        <v>763.7</v>
      </c>
    </row>
    <row r="1022">
      <c r="A1022" s="90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90" t="n">
        <v>32237</v>
      </c>
      <c r="D1023" t="n">
        <v>765.5</v>
      </c>
    </row>
    <row r="1024">
      <c r="A1024" s="90" t="n">
        <v>32244</v>
      </c>
      <c r="D1024" t="n">
        <v>765.8</v>
      </c>
    </row>
    <row r="1025">
      <c r="A1025" s="90" t="n">
        <v>32251</v>
      </c>
      <c r="D1025" t="n">
        <v>766.8</v>
      </c>
    </row>
    <row r="1026">
      <c r="A1026" s="90" t="n">
        <v>32258</v>
      </c>
      <c r="D1026" t="n">
        <v>772.2</v>
      </c>
    </row>
    <row r="1027">
      <c r="A1027" s="90" t="n">
        <v>32264</v>
      </c>
      <c r="B1027" t="n">
        <v>656.8</v>
      </c>
      <c r="C1027" t="n">
        <v>2490.2</v>
      </c>
      <c r="E1027" t="n">
        <v>2926</v>
      </c>
    </row>
    <row r="1028">
      <c r="A1028" s="90" t="n">
        <v>32265</v>
      </c>
      <c r="D1028" t="n">
        <v>769.6</v>
      </c>
    </row>
    <row r="1029">
      <c r="A1029" s="90" t="n">
        <v>32272</v>
      </c>
      <c r="D1029" t="n">
        <v>769.9</v>
      </c>
    </row>
    <row r="1030">
      <c r="A1030" s="90" t="n">
        <v>32279</v>
      </c>
      <c r="D1030" t="n">
        <v>771.9</v>
      </c>
    </row>
    <row r="1031">
      <c r="A1031" s="90" t="n">
        <v>32286</v>
      </c>
      <c r="D1031" t="n">
        <v>772.5</v>
      </c>
    </row>
    <row r="1032">
      <c r="A1032" s="90" t="n">
        <v>32293</v>
      </c>
      <c r="D1032" t="n">
        <v>772.7</v>
      </c>
    </row>
    <row r="1033">
      <c r="A1033" s="90" t="n">
        <v>32295</v>
      </c>
      <c r="B1033" t="n">
        <v>659.6</v>
      </c>
      <c r="C1033" t="n">
        <v>2490.2</v>
      </c>
      <c r="E1033" t="n">
        <v>2938.4</v>
      </c>
    </row>
    <row r="1034">
      <c r="A1034" s="90" t="n">
        <v>32300</v>
      </c>
      <c r="D1034" t="n">
        <v>776.4</v>
      </c>
    </row>
    <row r="1035">
      <c r="A1035" s="90" t="n">
        <v>32307</v>
      </c>
      <c r="D1035" t="n">
        <v>776.5</v>
      </c>
    </row>
    <row r="1036">
      <c r="A1036" s="90" t="n">
        <v>32314</v>
      </c>
      <c r="D1036" t="n">
        <v>780.6</v>
      </c>
    </row>
    <row r="1037">
      <c r="A1037" s="90" t="n">
        <v>32321</v>
      </c>
      <c r="D1037" t="n">
        <v>779.8</v>
      </c>
    </row>
    <row r="1038">
      <c r="A1038" s="90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90" t="n">
        <v>32328</v>
      </c>
      <c r="D1039" t="n">
        <v>777.7</v>
      </c>
    </row>
    <row r="1040">
      <c r="A1040" s="90" t="n">
        <v>32335</v>
      </c>
      <c r="D1040" t="n">
        <v>781.3</v>
      </c>
    </row>
    <row r="1041">
      <c r="A1041" s="90" t="n">
        <v>32342</v>
      </c>
      <c r="D1041" t="n">
        <v>780.3</v>
      </c>
    </row>
    <row r="1042">
      <c r="A1042" s="90" t="n">
        <v>32349</v>
      </c>
      <c r="D1042" t="n">
        <v>782.2</v>
      </c>
    </row>
    <row r="1043">
      <c r="A1043" s="90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90" t="n">
        <v>32363</v>
      </c>
      <c r="D1044" t="n">
        <v>782.2</v>
      </c>
    </row>
    <row r="1045">
      <c r="A1045" s="90" t="n">
        <v>32370</v>
      </c>
      <c r="D1045" t="n">
        <v>783.4</v>
      </c>
    </row>
    <row r="1046">
      <c r="A1046" s="90" t="n">
        <v>32377</v>
      </c>
      <c r="D1046" t="n">
        <v>783.4</v>
      </c>
    </row>
    <row r="1047">
      <c r="A1047" s="90" t="n">
        <v>32384</v>
      </c>
      <c r="D1047" t="n">
        <v>784</v>
      </c>
    </row>
    <row r="1048">
      <c r="A1048" s="90" t="n">
        <v>32387</v>
      </c>
      <c r="B1048" t="n">
        <v>655.8</v>
      </c>
      <c r="C1048" t="n">
        <v>2474.4</v>
      </c>
      <c r="E1048" t="n">
        <v>2956.9</v>
      </c>
    </row>
    <row r="1049">
      <c r="A1049" s="90" t="n">
        <v>32391</v>
      </c>
      <c r="D1049" t="n">
        <v>783.8</v>
      </c>
    </row>
    <row r="1050">
      <c r="A1050" s="90" t="n">
        <v>32398</v>
      </c>
      <c r="D1050" t="n">
        <v>782.8</v>
      </c>
    </row>
    <row r="1051">
      <c r="A1051" s="90" t="n">
        <v>32405</v>
      </c>
      <c r="D1051" t="n">
        <v>784.6</v>
      </c>
    </row>
    <row r="1052">
      <c r="A1052" s="90" t="n">
        <v>32412</v>
      </c>
      <c r="D1052" t="n">
        <v>785.1</v>
      </c>
    </row>
    <row r="1053">
      <c r="A1053" s="90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90" t="n">
        <v>32419</v>
      </c>
      <c r="D1054" t="n">
        <v>781.1</v>
      </c>
    </row>
    <row r="1055">
      <c r="A1055" s="90" t="n">
        <v>32426</v>
      </c>
      <c r="D1055" t="n">
        <v>782.3</v>
      </c>
    </row>
    <row r="1056">
      <c r="A1056" s="90" t="n">
        <v>32433</v>
      </c>
      <c r="D1056" t="n">
        <v>784</v>
      </c>
    </row>
    <row r="1057">
      <c r="A1057" s="90" t="n">
        <v>32440</v>
      </c>
      <c r="D1057" t="n">
        <v>783.1</v>
      </c>
    </row>
    <row r="1058">
      <c r="A1058" s="90" t="n">
        <v>32447</v>
      </c>
      <c r="D1058" t="n">
        <v>784.1</v>
      </c>
    </row>
    <row r="1059">
      <c r="A1059" s="90" t="n">
        <v>32448</v>
      </c>
      <c r="B1059" t="n">
        <v>652.5</v>
      </c>
      <c r="C1059" t="n">
        <v>2477.3</v>
      </c>
      <c r="E1059" t="n">
        <v>2980.2</v>
      </c>
    </row>
    <row r="1060">
      <c r="A1060" s="90" t="n">
        <v>32454</v>
      </c>
      <c r="D1060" t="n">
        <v>783.2</v>
      </c>
    </row>
    <row r="1061">
      <c r="A1061" s="90" t="n">
        <v>32461</v>
      </c>
      <c r="D1061" t="n">
        <v>784.2</v>
      </c>
    </row>
    <row r="1062">
      <c r="A1062" s="90" t="n">
        <v>32468</v>
      </c>
      <c r="D1062" t="n">
        <v>784.5</v>
      </c>
    </row>
    <row r="1063">
      <c r="A1063" s="90" t="n">
        <v>32475</v>
      </c>
      <c r="D1063" t="n">
        <v>786.9</v>
      </c>
    </row>
    <row r="1064">
      <c r="A1064" s="90" t="n">
        <v>32478</v>
      </c>
      <c r="B1064" t="n">
        <v>651.8</v>
      </c>
      <c r="C1064" t="n">
        <v>2475.7</v>
      </c>
      <c r="E1064" t="n">
        <v>2988.2</v>
      </c>
    </row>
    <row r="1065">
      <c r="A1065" s="90" t="n">
        <v>32482</v>
      </c>
      <c r="D1065" t="n">
        <v>787.5</v>
      </c>
    </row>
    <row r="1066">
      <c r="A1066" s="90" t="n">
        <v>32489</v>
      </c>
      <c r="D1066" t="n">
        <v>788.2</v>
      </c>
    </row>
    <row r="1067">
      <c r="A1067" s="90" t="n">
        <v>32496</v>
      </c>
      <c r="D1067" t="n">
        <v>786.5</v>
      </c>
    </row>
    <row r="1068">
      <c r="A1068" s="90" t="n">
        <v>32503</v>
      </c>
      <c r="D1068" t="n">
        <v>784.6</v>
      </c>
    </row>
    <row r="1069">
      <c r="A1069" s="90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90" t="n">
        <v>32510</v>
      </c>
      <c r="D1070" t="n">
        <v>787.4</v>
      </c>
    </row>
    <row r="1071">
      <c r="A1071" s="90" t="n">
        <v>32517</v>
      </c>
      <c r="D1071" t="n">
        <v>786.7</v>
      </c>
    </row>
    <row r="1072">
      <c r="A1072" s="90" t="n">
        <v>32524</v>
      </c>
      <c r="D1072" t="n">
        <v>786.2</v>
      </c>
    </row>
    <row r="1073">
      <c r="A1073" s="90" t="n">
        <v>32531</v>
      </c>
      <c r="D1073" t="n">
        <v>786.5</v>
      </c>
    </row>
    <row r="1074">
      <c r="A1074" s="90" t="n">
        <v>32538</v>
      </c>
      <c r="D1074" t="n">
        <v>783.2</v>
      </c>
    </row>
    <row r="1075">
      <c r="A1075" s="90" t="n">
        <v>32540</v>
      </c>
      <c r="B1075" t="n">
        <v>644.6</v>
      </c>
      <c r="C1075" t="n">
        <v>2460.7</v>
      </c>
      <c r="E1075" t="n">
        <v>2992.2</v>
      </c>
    </row>
    <row r="1076">
      <c r="A1076" s="90" t="n">
        <v>32545</v>
      </c>
      <c r="D1076" t="n">
        <v>784.4</v>
      </c>
    </row>
    <row r="1077">
      <c r="A1077" s="90" t="n">
        <v>32552</v>
      </c>
      <c r="D1077" t="n">
        <v>783.5</v>
      </c>
    </row>
    <row r="1078">
      <c r="A1078" s="90" t="n">
        <v>32559</v>
      </c>
      <c r="D1078" t="n">
        <v>783.5</v>
      </c>
    </row>
    <row r="1079">
      <c r="A1079" s="90" t="n">
        <v>32566</v>
      </c>
      <c r="D1079" t="n">
        <v>783.4</v>
      </c>
    </row>
    <row r="1080">
      <c r="A1080" s="90" t="n">
        <v>32568</v>
      </c>
      <c r="B1080" t="n">
        <v>640.8</v>
      </c>
      <c r="C1080" t="n">
        <v>2454.7</v>
      </c>
      <c r="E1080" t="n">
        <v>2999.7</v>
      </c>
    </row>
    <row r="1081">
      <c r="A1081" s="90" t="n">
        <v>32573</v>
      </c>
      <c r="D1081" t="n">
        <v>787.1</v>
      </c>
    </row>
    <row r="1082">
      <c r="A1082" s="90" t="n">
        <v>32580</v>
      </c>
      <c r="D1082" t="n">
        <v>782.6</v>
      </c>
    </row>
    <row r="1083">
      <c r="A1083" s="90" t="n">
        <v>32587</v>
      </c>
      <c r="D1083" t="n">
        <v>783.2</v>
      </c>
    </row>
    <row r="1084">
      <c r="A1084" s="90" t="n">
        <v>32594</v>
      </c>
      <c r="D1084" t="n">
        <v>783</v>
      </c>
    </row>
    <row r="1085">
      <c r="A1085" s="90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90" t="n">
        <v>32601</v>
      </c>
      <c r="D1086" t="n">
        <v>777.4</v>
      </c>
    </row>
    <row r="1087">
      <c r="A1087" s="90" t="n">
        <v>32608</v>
      </c>
      <c r="D1087" t="n">
        <v>776.5</v>
      </c>
    </row>
    <row r="1088">
      <c r="A1088" s="90" t="n">
        <v>32615</v>
      </c>
      <c r="D1088" t="n">
        <v>776.9</v>
      </c>
    </row>
    <row r="1089">
      <c r="A1089" s="90" t="n">
        <v>32622</v>
      </c>
      <c r="D1089" t="n">
        <v>782.3</v>
      </c>
    </row>
    <row r="1090">
      <c r="A1090" s="90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90" t="n">
        <v>32636</v>
      </c>
      <c r="D1091" t="n">
        <v>775.1</v>
      </c>
    </row>
    <row r="1092">
      <c r="A1092" s="90" t="n">
        <v>32643</v>
      </c>
      <c r="D1092" t="n">
        <v>775.7</v>
      </c>
    </row>
    <row r="1093">
      <c r="A1093" s="90" t="n">
        <v>32650</v>
      </c>
      <c r="D1093" t="n">
        <v>773.4</v>
      </c>
    </row>
    <row r="1094">
      <c r="A1094" s="90" t="n">
        <v>32657</v>
      </c>
      <c r="D1094" t="n">
        <v>774.6</v>
      </c>
    </row>
    <row r="1095">
      <c r="A1095" s="90" t="n">
        <v>32660</v>
      </c>
      <c r="B1095" t="n">
        <v>623.3</v>
      </c>
      <c r="C1095" t="n">
        <v>2439.9</v>
      </c>
      <c r="E1095" t="n">
        <v>3027.9</v>
      </c>
    </row>
    <row r="1096">
      <c r="A1096" s="90" t="n">
        <v>32664</v>
      </c>
      <c r="D1096" t="n">
        <v>775.3</v>
      </c>
    </row>
    <row r="1097">
      <c r="A1097" s="90" t="n">
        <v>32671</v>
      </c>
      <c r="D1097" t="n">
        <v>772.5</v>
      </c>
    </row>
    <row r="1098">
      <c r="A1098" s="90" t="n">
        <v>32678</v>
      </c>
      <c r="D1098" t="n">
        <v>772.7</v>
      </c>
    </row>
    <row r="1099">
      <c r="A1099" s="90" t="n">
        <v>32685</v>
      </c>
      <c r="D1099" t="n">
        <v>773.6</v>
      </c>
    </row>
    <row r="1100">
      <c r="A1100" s="90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90" t="n">
        <v>32692</v>
      </c>
      <c r="D1101" t="n">
        <v>774.3</v>
      </c>
    </row>
    <row r="1102">
      <c r="A1102" s="90" t="n">
        <v>32699</v>
      </c>
      <c r="D1102" t="n">
        <v>779.1</v>
      </c>
    </row>
    <row r="1103">
      <c r="A1103" s="90" t="n">
        <v>32706</v>
      </c>
      <c r="D1103" t="n">
        <v>777.9</v>
      </c>
    </row>
    <row r="1104">
      <c r="A1104" s="90" t="n">
        <v>32713</v>
      </c>
      <c r="D1104" t="n">
        <v>778.1</v>
      </c>
    </row>
    <row r="1105">
      <c r="A1105" s="90" t="n">
        <v>32720</v>
      </c>
      <c r="D1105" t="n">
        <v>777.3</v>
      </c>
    </row>
    <row r="1106">
      <c r="A1106" s="90" t="n">
        <v>32721</v>
      </c>
      <c r="B1106" t="n">
        <v>626</v>
      </c>
      <c r="C1106" t="n">
        <v>2469.4</v>
      </c>
      <c r="E1106" t="n">
        <v>3074.4</v>
      </c>
    </row>
    <row r="1107">
      <c r="A1107" s="90" t="n">
        <v>32727</v>
      </c>
      <c r="D1107" t="n">
        <v>778.4</v>
      </c>
    </row>
    <row r="1108">
      <c r="A1108" s="90" t="n">
        <v>32734</v>
      </c>
      <c r="D1108" t="n">
        <v>779</v>
      </c>
    </row>
    <row r="1109">
      <c r="A1109" s="90" t="n">
        <v>32741</v>
      </c>
      <c r="D1109" t="n">
        <v>780.9</v>
      </c>
    </row>
    <row r="1110">
      <c r="A1110" s="90" t="n">
        <v>32748</v>
      </c>
      <c r="D1110" t="n">
        <v>779.9</v>
      </c>
    </row>
    <row r="1111">
      <c r="A1111" s="90" t="n">
        <v>32752</v>
      </c>
      <c r="B1111" t="n">
        <v>625.8</v>
      </c>
      <c r="C1111" t="n">
        <v>2478</v>
      </c>
      <c r="E1111" t="n">
        <v>3092.5</v>
      </c>
    </row>
    <row r="1112">
      <c r="A1112" s="90" t="n">
        <v>32755</v>
      </c>
      <c r="D1112" t="n">
        <v>777.8</v>
      </c>
    </row>
    <row r="1113">
      <c r="A1113" s="90" t="n">
        <v>32762</v>
      </c>
      <c r="D1113" t="n">
        <v>781.9</v>
      </c>
    </row>
    <row r="1114">
      <c r="A1114" s="90" t="n">
        <v>32769</v>
      </c>
      <c r="D1114" t="n">
        <v>780.2</v>
      </c>
    </row>
    <row r="1115">
      <c r="A1115" s="90" t="n">
        <v>32776</v>
      </c>
      <c r="D1115" t="n">
        <v>781.2</v>
      </c>
    </row>
    <row r="1116">
      <c r="A1116" s="90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90" t="n">
        <v>32783</v>
      </c>
      <c r="D1117" t="n">
        <v>783.5</v>
      </c>
    </row>
    <row r="1118">
      <c r="A1118" s="90" t="n">
        <v>32790</v>
      </c>
      <c r="D1118" t="n">
        <v>785.2</v>
      </c>
    </row>
    <row r="1119">
      <c r="A1119" s="90" t="n">
        <v>32797</v>
      </c>
      <c r="D1119" t="n">
        <v>788.7</v>
      </c>
    </row>
    <row r="1120">
      <c r="A1120" s="90" t="n">
        <v>32804</v>
      </c>
      <c r="D1120" t="n">
        <v>787.4</v>
      </c>
    </row>
    <row r="1121">
      <c r="A1121" s="90" t="n">
        <v>32811</v>
      </c>
      <c r="D1121" t="n">
        <v>785.8</v>
      </c>
    </row>
    <row r="1122">
      <c r="A1122" s="90" t="n">
        <v>32813</v>
      </c>
      <c r="B1122" t="n">
        <v>625.8</v>
      </c>
      <c r="C1122" t="n">
        <v>2488.7</v>
      </c>
      <c r="E1122" t="n">
        <v>3133.3</v>
      </c>
    </row>
    <row r="1123">
      <c r="A1123" s="90" t="n">
        <v>32818</v>
      </c>
      <c r="D1123" t="n">
        <v>787</v>
      </c>
    </row>
    <row r="1124">
      <c r="A1124" s="90" t="n">
        <v>32825</v>
      </c>
      <c r="D1124" t="n">
        <v>785.9</v>
      </c>
    </row>
    <row r="1125">
      <c r="A1125" s="90" t="n">
        <v>32832</v>
      </c>
      <c r="D1125" t="n">
        <v>787.6</v>
      </c>
    </row>
    <row r="1126">
      <c r="A1126" s="90" t="n">
        <v>32839</v>
      </c>
      <c r="D1126" t="n">
        <v>790.7</v>
      </c>
    </row>
    <row r="1127">
      <c r="A1127" s="90" t="n">
        <v>32843</v>
      </c>
      <c r="B1127" t="n">
        <v>627.8</v>
      </c>
      <c r="C1127" t="n">
        <v>2496</v>
      </c>
      <c r="E1127" t="n">
        <v>3152.5</v>
      </c>
    </row>
    <row r="1128">
      <c r="A1128" s="90" t="n">
        <v>32846</v>
      </c>
      <c r="D1128" t="n">
        <v>789</v>
      </c>
    </row>
    <row r="1129">
      <c r="A1129" s="90" t="n">
        <v>32853</v>
      </c>
      <c r="D1129" t="n">
        <v>789.8</v>
      </c>
    </row>
    <row r="1130">
      <c r="A1130" s="90" t="n">
        <v>32860</v>
      </c>
      <c r="D1130" t="n">
        <v>790.7</v>
      </c>
    </row>
    <row r="1131">
      <c r="A1131" s="90" t="n">
        <v>32867</v>
      </c>
      <c r="D1131" t="n">
        <v>794.9</v>
      </c>
    </row>
    <row r="1132">
      <c r="A1132" s="90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90" t="n">
        <v>32881</v>
      </c>
      <c r="D1133" t="n">
        <v>793.6</v>
      </c>
    </row>
    <row r="1134">
      <c r="A1134" s="90" t="n">
        <v>32888</v>
      </c>
      <c r="D1134" t="n">
        <v>796.5</v>
      </c>
    </row>
    <row r="1135">
      <c r="A1135" s="90" t="n">
        <v>32895</v>
      </c>
      <c r="D1135" t="n">
        <v>795.1</v>
      </c>
    </row>
    <row r="1136">
      <c r="A1136" s="90" t="n">
        <v>32902</v>
      </c>
      <c r="D1136" t="n">
        <v>793.8</v>
      </c>
    </row>
    <row r="1137">
      <c r="A1137" s="90" t="n">
        <v>32905</v>
      </c>
      <c r="B1137" t="n">
        <v>623.5</v>
      </c>
      <c r="C1137" t="n">
        <v>2483.8</v>
      </c>
      <c r="E1137" t="n">
        <v>3179.2</v>
      </c>
    </row>
    <row r="1138">
      <c r="A1138" s="90" t="n">
        <v>32909</v>
      </c>
      <c r="D1138" t="n">
        <v>797.1</v>
      </c>
    </row>
    <row r="1139">
      <c r="A1139" s="90" t="n">
        <v>32916</v>
      </c>
      <c r="D1139" t="n">
        <v>796.3</v>
      </c>
    </row>
    <row r="1140">
      <c r="A1140" s="90" t="n">
        <v>32923</v>
      </c>
      <c r="D1140" t="n">
        <v>796.3</v>
      </c>
    </row>
    <row r="1141">
      <c r="A1141" s="90" t="n">
        <v>32930</v>
      </c>
      <c r="D1141" t="n">
        <v>799.8</v>
      </c>
    </row>
    <row r="1142">
      <c r="A1142" s="90" t="n">
        <v>32933</v>
      </c>
      <c r="B1142" t="n">
        <v>623.3</v>
      </c>
      <c r="C1142" t="n">
        <v>2480.6</v>
      </c>
      <c r="E1142" t="n">
        <v>3190.1</v>
      </c>
    </row>
    <row r="1143">
      <c r="A1143" s="90" t="n">
        <v>32937</v>
      </c>
      <c r="D1143" t="n">
        <v>801.6</v>
      </c>
    </row>
    <row r="1144">
      <c r="A1144" s="90" t="n">
        <v>32944</v>
      </c>
      <c r="D1144" t="n">
        <v>799.7</v>
      </c>
    </row>
    <row r="1145">
      <c r="A1145" s="90" t="n">
        <v>32951</v>
      </c>
      <c r="D1145" t="n">
        <v>799.6</v>
      </c>
    </row>
    <row r="1146">
      <c r="A1146" s="90" t="n">
        <v>32958</v>
      </c>
      <c r="D1146" t="n">
        <v>802.5</v>
      </c>
    </row>
    <row r="1147">
      <c r="A1147" s="90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90" t="n">
        <v>32965</v>
      </c>
      <c r="D1148" t="n">
        <v>802.4</v>
      </c>
    </row>
    <row r="1149">
      <c r="A1149" s="90" t="n">
        <v>32972</v>
      </c>
      <c r="D1149" t="n">
        <v>804.3</v>
      </c>
    </row>
    <row r="1150">
      <c r="A1150" s="90" t="n">
        <v>32979</v>
      </c>
      <c r="D1150" t="n">
        <v>807</v>
      </c>
    </row>
    <row r="1151">
      <c r="A1151" s="90" t="n">
        <v>32986</v>
      </c>
      <c r="D1151" t="n">
        <v>807.2</v>
      </c>
    </row>
    <row r="1152">
      <c r="A1152" s="90" t="n">
        <v>32993</v>
      </c>
      <c r="D1152" t="n">
        <v>806.5</v>
      </c>
    </row>
    <row r="1153">
      <c r="A1153" s="90" t="n">
        <v>32994</v>
      </c>
      <c r="B1153" t="n">
        <v>622.9</v>
      </c>
      <c r="C1153" t="n">
        <v>2479.2</v>
      </c>
      <c r="E1153" t="n">
        <v>3200.6</v>
      </c>
    </row>
    <row r="1154">
      <c r="A1154" s="90" t="n">
        <v>33000</v>
      </c>
      <c r="D1154" t="n">
        <v>803</v>
      </c>
    </row>
    <row r="1155">
      <c r="A1155" s="90" t="n">
        <v>33007</v>
      </c>
      <c r="D1155" t="n">
        <v>802.9</v>
      </c>
    </row>
    <row r="1156">
      <c r="A1156" s="90" t="n">
        <v>33014</v>
      </c>
      <c r="D1156" t="n">
        <v>806.2</v>
      </c>
    </row>
    <row r="1157">
      <c r="A1157" s="90" t="n">
        <v>33021</v>
      </c>
      <c r="D1157" t="n">
        <v>804.9</v>
      </c>
    </row>
    <row r="1158">
      <c r="A1158" s="90" t="n">
        <v>33025</v>
      </c>
      <c r="B1158" t="n">
        <v>622.6</v>
      </c>
      <c r="C1158" t="n">
        <v>2474</v>
      </c>
      <c r="E1158" t="n">
        <v>3213.7</v>
      </c>
    </row>
    <row r="1159">
      <c r="A1159" s="90" t="n">
        <v>33028</v>
      </c>
      <c r="D1159" t="n">
        <v>807.1</v>
      </c>
    </row>
    <row r="1160">
      <c r="A1160" s="90" t="n">
        <v>33035</v>
      </c>
      <c r="D1160" t="n">
        <v>807.7</v>
      </c>
    </row>
    <row r="1161">
      <c r="A1161" s="90" t="n">
        <v>33042</v>
      </c>
      <c r="D1161" t="n">
        <v>807.3</v>
      </c>
    </row>
    <row r="1162">
      <c r="A1162" s="90" t="n">
        <v>33049</v>
      </c>
      <c r="D1162" t="n">
        <v>810.3</v>
      </c>
    </row>
    <row r="1163">
      <c r="A1163" s="90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90" t="n">
        <v>33056</v>
      </c>
      <c r="D1164" t="n">
        <v>813.2</v>
      </c>
    </row>
    <row r="1165">
      <c r="A1165" s="90" t="n">
        <v>33063</v>
      </c>
      <c r="D1165" t="n">
        <v>808.1</v>
      </c>
    </row>
    <row r="1166">
      <c r="A1166" s="90" t="n">
        <v>33070</v>
      </c>
      <c r="D1166" t="n">
        <v>811.3</v>
      </c>
    </row>
    <row r="1167">
      <c r="A1167" s="90" t="n">
        <v>33077</v>
      </c>
      <c r="D1167" t="n">
        <v>809.3</v>
      </c>
    </row>
    <row r="1168">
      <c r="A1168" s="90" t="n">
        <v>33084</v>
      </c>
      <c r="D1168" t="n">
        <v>810.8</v>
      </c>
    </row>
    <row r="1169">
      <c r="A1169" s="90" t="n">
        <v>33086</v>
      </c>
      <c r="B1169" t="n">
        <v>619.8</v>
      </c>
      <c r="C1169" t="n">
        <v>2463.5</v>
      </c>
      <c r="E1169" t="n">
        <v>3242</v>
      </c>
    </row>
    <row r="1170">
      <c r="A1170" s="90" t="n">
        <v>33091</v>
      </c>
      <c r="D1170" t="n">
        <v>811.9</v>
      </c>
    </row>
    <row r="1171">
      <c r="A1171" s="90" t="n">
        <v>33098</v>
      </c>
      <c r="D1171" t="n">
        <v>816.1</v>
      </c>
    </row>
    <row r="1172">
      <c r="A1172" s="90" t="n">
        <v>33105</v>
      </c>
      <c r="D1172" t="n">
        <v>817.2</v>
      </c>
    </row>
    <row r="1173">
      <c r="A1173" s="90" t="n">
        <v>33112</v>
      </c>
      <c r="D1173" t="n">
        <v>816.2</v>
      </c>
    </row>
    <row r="1174">
      <c r="A1174" s="90" t="n">
        <v>33117</v>
      </c>
      <c r="B1174" t="n">
        <v>619</v>
      </c>
      <c r="C1174" t="n">
        <v>2456.3</v>
      </c>
      <c r="E1174" t="n">
        <v>3254.6</v>
      </c>
    </row>
    <row r="1175">
      <c r="A1175" s="90" t="n">
        <v>33119</v>
      </c>
      <c r="D1175" t="n">
        <v>819</v>
      </c>
    </row>
    <row r="1176">
      <c r="A1176" s="90" t="n">
        <v>33126</v>
      </c>
      <c r="D1176" t="n">
        <v>819.8</v>
      </c>
    </row>
    <row r="1177">
      <c r="A1177" s="90" t="n">
        <v>33133</v>
      </c>
      <c r="D1177" t="n">
        <v>819.2</v>
      </c>
    </row>
    <row r="1178">
      <c r="A1178" s="90" t="n">
        <v>33140</v>
      </c>
      <c r="D1178" t="n">
        <v>820.5</v>
      </c>
    </row>
    <row r="1179">
      <c r="A1179" s="90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90" t="n">
        <v>33154</v>
      </c>
      <c r="D1180" t="n">
        <v>820.5</v>
      </c>
    </row>
    <row r="1181">
      <c r="A1181" s="90" t="n">
        <v>33161</v>
      </c>
      <c r="D1181" t="n">
        <v>820.7</v>
      </c>
    </row>
    <row r="1182">
      <c r="A1182" s="90" t="n">
        <v>33168</v>
      </c>
      <c r="D1182" t="n">
        <v>817.2</v>
      </c>
    </row>
    <row r="1183">
      <c r="A1183" s="90" t="n">
        <v>33175</v>
      </c>
      <c r="D1183" t="n">
        <v>820</v>
      </c>
    </row>
    <row r="1184">
      <c r="A1184" s="90" t="n">
        <v>33178</v>
      </c>
      <c r="B1184" t="n">
        <v>614.9</v>
      </c>
      <c r="C1184" t="n">
        <v>2440.2</v>
      </c>
      <c r="E1184" t="n">
        <v>3262.6</v>
      </c>
    </row>
    <row r="1185">
      <c r="A1185" s="90" t="n">
        <v>33182</v>
      </c>
      <c r="D1185" t="n">
        <v>822</v>
      </c>
    </row>
    <row r="1186">
      <c r="A1186" s="90" t="n">
        <v>33189</v>
      </c>
      <c r="D1186" t="n">
        <v>822</v>
      </c>
    </row>
    <row r="1187">
      <c r="A1187" s="90" t="n">
        <v>33196</v>
      </c>
      <c r="D1187" t="n">
        <v>823.4</v>
      </c>
    </row>
    <row r="1188">
      <c r="A1188" s="90" t="n">
        <v>33203</v>
      </c>
      <c r="D1188" t="n">
        <v>824.5</v>
      </c>
    </row>
    <row r="1189">
      <c r="A1189" s="90" t="n">
        <v>33208</v>
      </c>
      <c r="B1189" t="n">
        <v>614.5</v>
      </c>
      <c r="C1189" t="n">
        <v>2438</v>
      </c>
      <c r="E1189" t="n">
        <v>3271.8</v>
      </c>
    </row>
    <row r="1190">
      <c r="A1190" s="90" t="n">
        <v>33210</v>
      </c>
      <c r="D1190" t="n">
        <v>815.3</v>
      </c>
    </row>
    <row r="1191">
      <c r="A1191" s="90" t="n">
        <v>33217</v>
      </c>
      <c r="D1191" t="n">
        <v>821.8</v>
      </c>
    </row>
    <row r="1192">
      <c r="A1192" s="90" t="n">
        <v>33224</v>
      </c>
      <c r="D1192" t="n">
        <v>824.2</v>
      </c>
    </row>
    <row r="1193">
      <c r="A1193" s="90" t="n">
        <v>33231</v>
      </c>
      <c r="D1193" t="n">
        <v>828.1</v>
      </c>
    </row>
    <row r="1194">
      <c r="A1194" s="90" t="n">
        <v>33238</v>
      </c>
      <c r="D1194" t="n">
        <v>828.9</v>
      </c>
    </row>
    <row r="1195">
      <c r="A1195" s="90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90" t="n">
        <v>33245</v>
      </c>
      <c r="D1196" t="n">
        <v>826.6</v>
      </c>
    </row>
    <row r="1197">
      <c r="A1197" s="90" t="n">
        <v>33252</v>
      </c>
      <c r="D1197" t="n">
        <v>825.7</v>
      </c>
    </row>
    <row r="1198">
      <c r="A1198" s="90" t="n">
        <v>33259</v>
      </c>
      <c r="D1198" t="n">
        <v>826.2</v>
      </c>
    </row>
    <row r="1199">
      <c r="A1199" s="90" t="n">
        <v>33266</v>
      </c>
      <c r="D1199" t="n">
        <v>828.4</v>
      </c>
    </row>
    <row r="1200">
      <c r="A1200" s="90" t="n">
        <v>33270</v>
      </c>
      <c r="B1200" t="n">
        <v>617.7</v>
      </c>
      <c r="C1200" t="n">
        <v>2451.4</v>
      </c>
      <c r="E1200" t="n">
        <v>3304.5</v>
      </c>
    </row>
    <row r="1201">
      <c r="A1201" s="90" t="n">
        <v>33273</v>
      </c>
      <c r="D1201" t="n">
        <v>830.9</v>
      </c>
    </row>
    <row r="1202">
      <c r="A1202" s="90" t="n">
        <v>33280</v>
      </c>
      <c r="D1202" t="n">
        <v>833.5</v>
      </c>
    </row>
    <row r="1203">
      <c r="A1203" s="90" t="n">
        <v>33287</v>
      </c>
      <c r="D1203" t="n">
        <v>832.4</v>
      </c>
    </row>
    <row r="1204">
      <c r="A1204" s="90" t="n">
        <v>33294</v>
      </c>
      <c r="D1204" t="n">
        <v>832</v>
      </c>
    </row>
    <row r="1205">
      <c r="A1205" s="90" t="n">
        <v>33298</v>
      </c>
      <c r="B1205" t="n">
        <v>622.2</v>
      </c>
      <c r="C1205" t="n">
        <v>2464.3</v>
      </c>
      <c r="E1205" t="n">
        <v>3321.9</v>
      </c>
    </row>
    <row r="1206">
      <c r="A1206" s="90" t="n">
        <v>33301</v>
      </c>
      <c r="D1206" t="n">
        <v>834.6</v>
      </c>
    </row>
    <row r="1207">
      <c r="A1207" s="90" t="n">
        <v>33308</v>
      </c>
      <c r="D1207" t="n">
        <v>836.5</v>
      </c>
    </row>
    <row r="1208">
      <c r="A1208" s="90" t="n">
        <v>33315</v>
      </c>
      <c r="D1208" t="n">
        <v>836</v>
      </c>
    </row>
    <row r="1209">
      <c r="A1209" s="90" t="n">
        <v>33322</v>
      </c>
      <c r="D1209" t="n">
        <v>840.2</v>
      </c>
    </row>
    <row r="1210">
      <c r="A1210" s="90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90" t="n">
        <v>33336</v>
      </c>
      <c r="D1211" t="n">
        <v>842.7</v>
      </c>
    </row>
    <row r="1212">
      <c r="A1212" s="90" t="n">
        <v>33343</v>
      </c>
      <c r="D1212" t="n">
        <v>845</v>
      </c>
    </row>
    <row r="1213">
      <c r="A1213" s="90" t="n">
        <v>33350</v>
      </c>
      <c r="D1213" t="n">
        <v>842.6</v>
      </c>
    </row>
    <row r="1214">
      <c r="A1214" s="90" t="n">
        <v>33357</v>
      </c>
      <c r="D1214" t="n">
        <v>841.2</v>
      </c>
    </row>
    <row r="1215">
      <c r="A1215" s="90" t="n">
        <v>33359</v>
      </c>
      <c r="B1215" t="n">
        <v>626</v>
      </c>
      <c r="C1215" t="n">
        <v>2465.3</v>
      </c>
      <c r="E1215" t="n">
        <v>3343</v>
      </c>
    </row>
    <row r="1216">
      <c r="A1216" s="90" t="n">
        <v>33364</v>
      </c>
      <c r="D1216" t="n">
        <v>846.4</v>
      </c>
    </row>
    <row r="1217">
      <c r="A1217" s="90" t="n">
        <v>33371</v>
      </c>
      <c r="D1217" t="n">
        <v>848.3</v>
      </c>
    </row>
    <row r="1218">
      <c r="A1218" s="90" t="n">
        <v>33378</v>
      </c>
      <c r="D1218" t="n">
        <v>850.8</v>
      </c>
    </row>
    <row r="1219">
      <c r="A1219" s="90" t="n">
        <v>33385</v>
      </c>
      <c r="D1219" t="n">
        <v>849.7</v>
      </c>
    </row>
    <row r="1220">
      <c r="A1220" s="90" t="n">
        <v>33390</v>
      </c>
      <c r="B1220" t="n">
        <v>629.9</v>
      </c>
      <c r="C1220" t="n">
        <v>2464.6</v>
      </c>
      <c r="E1220" t="n">
        <v>3351.9</v>
      </c>
    </row>
    <row r="1221">
      <c r="A1221" s="90" t="n">
        <v>33392</v>
      </c>
      <c r="D1221" t="n">
        <v>848.1</v>
      </c>
    </row>
    <row r="1222">
      <c r="A1222" s="90" t="n">
        <v>33399</v>
      </c>
      <c r="D1222" t="n">
        <v>855.6</v>
      </c>
    </row>
    <row r="1223">
      <c r="A1223" s="90" t="n">
        <v>33406</v>
      </c>
      <c r="D1223" t="n">
        <v>856.5</v>
      </c>
    </row>
    <row r="1224">
      <c r="A1224" s="90" t="n">
        <v>33413</v>
      </c>
      <c r="D1224" t="n">
        <v>856.1</v>
      </c>
    </row>
    <row r="1225">
      <c r="A1225" s="90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90" t="n">
        <v>33427</v>
      </c>
      <c r="D1226" t="n">
        <v>859.5</v>
      </c>
    </row>
    <row r="1227">
      <c r="A1227" s="90" t="n">
        <v>33434</v>
      </c>
      <c r="D1227" t="n">
        <v>861.4</v>
      </c>
    </row>
    <row r="1228">
      <c r="A1228" s="90" t="n">
        <v>33441</v>
      </c>
      <c r="D1228" t="n">
        <v>861.1</v>
      </c>
    </row>
    <row r="1229">
      <c r="A1229" s="90" t="n">
        <v>33448</v>
      </c>
      <c r="D1229" t="n">
        <v>862.7</v>
      </c>
    </row>
    <row r="1230">
      <c r="A1230" s="90" t="n">
        <v>33451</v>
      </c>
      <c r="B1230" t="n">
        <v>634.6</v>
      </c>
      <c r="C1230" t="n">
        <v>2456.1</v>
      </c>
      <c r="E1230" t="n">
        <v>3355</v>
      </c>
    </row>
    <row r="1231">
      <c r="A1231" s="90" t="n">
        <v>33455</v>
      </c>
      <c r="D1231" t="n">
        <v>866.3</v>
      </c>
    </row>
    <row r="1232">
      <c r="A1232" s="90" t="n">
        <v>33462</v>
      </c>
      <c r="D1232" t="n">
        <v>865.3</v>
      </c>
    </row>
    <row r="1233">
      <c r="A1233" s="90" t="n">
        <v>33469</v>
      </c>
      <c r="D1233" t="n">
        <v>865</v>
      </c>
    </row>
    <row r="1234">
      <c r="A1234" s="90" t="n">
        <v>33476</v>
      </c>
      <c r="D1234" t="n">
        <v>869.1</v>
      </c>
    </row>
    <row r="1235">
      <c r="A1235" s="90" t="n">
        <v>33482</v>
      </c>
      <c r="B1235" t="n">
        <v>634.8</v>
      </c>
      <c r="C1235" t="n">
        <v>2448.8</v>
      </c>
      <c r="E1235" t="n">
        <v>3354.9</v>
      </c>
    </row>
    <row r="1236">
      <c r="A1236" s="90" t="n">
        <v>33483</v>
      </c>
      <c r="D1236" t="n">
        <v>868.3</v>
      </c>
    </row>
    <row r="1237">
      <c r="A1237" s="90" t="n">
        <v>33490</v>
      </c>
      <c r="D1237" t="n">
        <v>870.5</v>
      </c>
    </row>
    <row r="1238">
      <c r="A1238" s="90" t="n">
        <v>33497</v>
      </c>
      <c r="D1238" t="n">
        <v>869.8</v>
      </c>
    </row>
    <row r="1239">
      <c r="A1239" s="90" t="n">
        <v>33504</v>
      </c>
      <c r="D1239" t="n">
        <v>869.5</v>
      </c>
    </row>
    <row r="1240">
      <c r="A1240" s="90" t="n">
        <v>33511</v>
      </c>
      <c r="D1240" t="n">
        <v>871.8</v>
      </c>
    </row>
    <row r="1241">
      <c r="A1241" s="90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90" t="n">
        <v>33518</v>
      </c>
      <c r="D1242" t="n">
        <v>874.6</v>
      </c>
    </row>
    <row r="1243">
      <c r="A1243" s="90" t="n">
        <v>33525</v>
      </c>
      <c r="D1243" t="n">
        <v>875.4</v>
      </c>
    </row>
    <row r="1244">
      <c r="A1244" s="90" t="n">
        <v>33532</v>
      </c>
      <c r="D1244" t="n">
        <v>879.5</v>
      </c>
    </row>
    <row r="1245">
      <c r="A1245" s="90" t="n">
        <v>33539</v>
      </c>
      <c r="D1245" t="n">
        <v>880.8</v>
      </c>
    </row>
    <row r="1246">
      <c r="A1246" s="90" t="n">
        <v>33543</v>
      </c>
      <c r="B1246" t="n">
        <v>644.1</v>
      </c>
      <c r="C1246" t="n">
        <v>2442.3</v>
      </c>
      <c r="E1246" t="n">
        <v>3365.5</v>
      </c>
    </row>
    <row r="1247">
      <c r="A1247" s="90" t="n">
        <v>33546</v>
      </c>
      <c r="D1247" t="n">
        <v>882.4</v>
      </c>
    </row>
    <row r="1248">
      <c r="A1248" s="90" t="n">
        <v>33553</v>
      </c>
      <c r="D1248" t="n">
        <v>885.8</v>
      </c>
    </row>
    <row r="1249">
      <c r="A1249" s="90" t="n">
        <v>33560</v>
      </c>
      <c r="D1249" t="n">
        <v>886.6</v>
      </c>
    </row>
    <row r="1250">
      <c r="A1250" s="90" t="n">
        <v>33567</v>
      </c>
      <c r="D1250" t="n">
        <v>887.4</v>
      </c>
    </row>
    <row r="1251">
      <c r="A1251" s="90" t="n">
        <v>33573</v>
      </c>
      <c r="B1251" t="n">
        <v>649.1</v>
      </c>
      <c r="C1251" t="n">
        <v>2440.1</v>
      </c>
      <c r="E1251" t="n">
        <v>3372.2</v>
      </c>
    </row>
    <row r="1252">
      <c r="A1252" s="90" t="n">
        <v>33574</v>
      </c>
      <c r="D1252" t="n">
        <v>896.1</v>
      </c>
    </row>
    <row r="1253">
      <c r="A1253" s="90" t="n">
        <v>33581</v>
      </c>
      <c r="D1253" t="n">
        <v>894.6</v>
      </c>
    </row>
    <row r="1254">
      <c r="A1254" s="90" t="n">
        <v>33588</v>
      </c>
      <c r="D1254" t="n">
        <v>897.6</v>
      </c>
    </row>
    <row r="1255">
      <c r="A1255" s="90" t="n">
        <v>33595</v>
      </c>
      <c r="D1255" t="n">
        <v>897.6</v>
      </c>
    </row>
    <row r="1256">
      <c r="A1256" s="90" t="n">
        <v>33602</v>
      </c>
      <c r="D1256" t="n">
        <v>897.5</v>
      </c>
    </row>
    <row r="1257">
      <c r="A1257" s="90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90" t="n">
        <v>33609</v>
      </c>
      <c r="D1258" t="n">
        <v>901.9</v>
      </c>
    </row>
    <row r="1259">
      <c r="A1259" s="90" t="n">
        <v>33616</v>
      </c>
      <c r="D1259" t="n">
        <v>906.8</v>
      </c>
    </row>
    <row r="1260">
      <c r="A1260" s="90" t="n">
        <v>33623</v>
      </c>
      <c r="D1260" t="n">
        <v>909.3</v>
      </c>
    </row>
    <row r="1261">
      <c r="A1261" s="90" t="n">
        <v>33630</v>
      </c>
      <c r="D1261" t="n">
        <v>918.2</v>
      </c>
    </row>
    <row r="1262">
      <c r="A1262" s="90" t="n">
        <v>33635</v>
      </c>
      <c r="B1262" t="n">
        <v>667.5</v>
      </c>
      <c r="C1262" t="n">
        <v>2453.1</v>
      </c>
      <c r="E1262" t="n">
        <v>3400</v>
      </c>
    </row>
    <row r="1263">
      <c r="A1263" s="90" t="n">
        <v>33637</v>
      </c>
      <c r="D1263" t="n">
        <v>917.7</v>
      </c>
    </row>
    <row r="1264">
      <c r="A1264" s="90" t="n">
        <v>33644</v>
      </c>
      <c r="D1264" t="n">
        <v>923.6</v>
      </c>
    </row>
    <row r="1265">
      <c r="A1265" s="90" t="n">
        <v>33651</v>
      </c>
      <c r="D1265" t="n">
        <v>925.4</v>
      </c>
    </row>
    <row r="1266">
      <c r="A1266" s="90" t="n">
        <v>33658</v>
      </c>
      <c r="D1266" t="n">
        <v>928.6</v>
      </c>
    </row>
    <row r="1267">
      <c r="A1267" s="90" t="n">
        <v>33664</v>
      </c>
      <c r="B1267" t="n">
        <v>673.4</v>
      </c>
      <c r="C1267" t="n">
        <v>2447.1</v>
      </c>
      <c r="E1267" t="n">
        <v>3403.9</v>
      </c>
    </row>
    <row r="1268">
      <c r="A1268" s="90" t="n">
        <v>33665</v>
      </c>
      <c r="D1268" t="n">
        <v>926.9</v>
      </c>
    </row>
    <row r="1269">
      <c r="A1269" s="90" t="n">
        <v>33672</v>
      </c>
      <c r="D1269" t="n">
        <v>933.1</v>
      </c>
    </row>
    <row r="1270">
      <c r="A1270" s="90" t="n">
        <v>33679</v>
      </c>
      <c r="D1270" t="n">
        <v>938.2</v>
      </c>
    </row>
    <row r="1271">
      <c r="A1271" s="90" t="n">
        <v>33686</v>
      </c>
      <c r="D1271" t="n">
        <v>937.9</v>
      </c>
    </row>
    <row r="1272">
      <c r="A1272" s="90" t="n">
        <v>33693</v>
      </c>
      <c r="D1272" t="n">
        <v>939.7</v>
      </c>
    </row>
    <row r="1273">
      <c r="A1273" s="90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90" t="n">
        <v>33700</v>
      </c>
      <c r="D1274" t="n">
        <v>941</v>
      </c>
    </row>
    <row r="1275">
      <c r="A1275" s="90" t="n">
        <v>33707</v>
      </c>
      <c r="D1275" t="n">
        <v>941.3</v>
      </c>
    </row>
    <row r="1276">
      <c r="A1276" s="90" t="n">
        <v>33714</v>
      </c>
      <c r="D1276" t="n">
        <v>945.7</v>
      </c>
    </row>
    <row r="1277">
      <c r="A1277" s="90" t="n">
        <v>33721</v>
      </c>
      <c r="D1277" t="n">
        <v>945.6</v>
      </c>
    </row>
    <row r="1278">
      <c r="A1278" s="90" t="n">
        <v>33725</v>
      </c>
      <c r="B1278" t="n">
        <v>680.5</v>
      </c>
      <c r="C1278" t="n">
        <v>2432.8</v>
      </c>
      <c r="E1278" t="n">
        <v>3398.6</v>
      </c>
    </row>
    <row r="1279">
      <c r="A1279" s="90" t="n">
        <v>33728</v>
      </c>
      <c r="D1279" t="n">
        <v>946.5</v>
      </c>
    </row>
    <row r="1280">
      <c r="A1280" s="90" t="n">
        <v>33735</v>
      </c>
      <c r="D1280" t="n">
        <v>949.4</v>
      </c>
    </row>
    <row r="1281">
      <c r="A1281" s="90" t="n">
        <v>33742</v>
      </c>
      <c r="D1281" t="n">
        <v>949.8</v>
      </c>
    </row>
    <row r="1282">
      <c r="A1282" s="90" t="n">
        <v>33749</v>
      </c>
      <c r="D1282" t="n">
        <v>952.3</v>
      </c>
    </row>
    <row r="1283">
      <c r="A1283" s="90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90" t="n">
        <v>33763</v>
      </c>
      <c r="D1284" t="n">
        <v>951.1</v>
      </c>
    </row>
    <row r="1285">
      <c r="A1285" s="90" t="n">
        <v>33770</v>
      </c>
      <c r="D1285" t="n">
        <v>955.6</v>
      </c>
    </row>
    <row r="1286">
      <c r="A1286" s="90" t="n">
        <v>33777</v>
      </c>
      <c r="D1286" t="n">
        <v>954.8</v>
      </c>
    </row>
    <row r="1287">
      <c r="A1287" s="90" t="n">
        <v>33784</v>
      </c>
      <c r="D1287" t="n">
        <v>955.2</v>
      </c>
    </row>
    <row r="1288">
      <c r="A1288" s="90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90" t="n">
        <v>33791</v>
      </c>
      <c r="D1289" t="n">
        <v>959.3</v>
      </c>
    </row>
    <row r="1290">
      <c r="A1290" s="90" t="n">
        <v>33798</v>
      </c>
      <c r="D1290" t="n">
        <v>960.4</v>
      </c>
    </row>
    <row r="1291">
      <c r="A1291" s="90" t="n">
        <v>33805</v>
      </c>
      <c r="D1291" t="n">
        <v>964.8</v>
      </c>
    </row>
    <row r="1292">
      <c r="A1292" s="90" t="n">
        <v>33812</v>
      </c>
      <c r="D1292" t="n">
        <v>966.8</v>
      </c>
    </row>
    <row r="1293">
      <c r="A1293" s="90" t="n">
        <v>33817</v>
      </c>
      <c r="B1293" t="n">
        <v>691.5</v>
      </c>
      <c r="C1293" t="n">
        <v>2413.9</v>
      </c>
      <c r="E1293" t="n">
        <v>3398.8</v>
      </c>
    </row>
    <row r="1294">
      <c r="A1294" s="90" t="n">
        <v>33819</v>
      </c>
      <c r="D1294" t="n">
        <v>965.8</v>
      </c>
    </row>
    <row r="1295">
      <c r="A1295" s="90" t="n">
        <v>33826</v>
      </c>
      <c r="D1295" t="n">
        <v>972.7</v>
      </c>
    </row>
    <row r="1296">
      <c r="A1296" s="90" t="n">
        <v>33833</v>
      </c>
      <c r="D1296" t="n">
        <v>972.9</v>
      </c>
    </row>
    <row r="1297">
      <c r="A1297" s="90" t="n">
        <v>33840</v>
      </c>
      <c r="D1297" t="n">
        <v>974.2</v>
      </c>
    </row>
    <row r="1298">
      <c r="A1298" s="90" t="n">
        <v>33847</v>
      </c>
      <c r="D1298" t="n">
        <v>978.5</v>
      </c>
    </row>
    <row r="1299">
      <c r="A1299" s="90" t="n">
        <v>33848</v>
      </c>
      <c r="B1299" t="n">
        <v>700.2</v>
      </c>
      <c r="C1299" t="n">
        <v>2416.9</v>
      </c>
      <c r="E1299" t="n">
        <v>3410.3</v>
      </c>
    </row>
    <row r="1300">
      <c r="A1300" s="90" t="n">
        <v>33854</v>
      </c>
      <c r="D1300" t="n">
        <v>979.3</v>
      </c>
    </row>
    <row r="1301">
      <c r="A1301" s="90" t="n">
        <v>33861</v>
      </c>
      <c r="D1301" t="n">
        <v>985.6</v>
      </c>
    </row>
    <row r="1302">
      <c r="A1302" s="90" t="n">
        <v>33868</v>
      </c>
      <c r="D1302" t="n">
        <v>990.1</v>
      </c>
    </row>
    <row r="1303">
      <c r="A1303" s="90" t="n">
        <v>33875</v>
      </c>
      <c r="D1303" t="n">
        <v>994.2</v>
      </c>
    </row>
    <row r="1304">
      <c r="A1304" s="90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90" t="n">
        <v>33882</v>
      </c>
      <c r="D1305" t="n">
        <v>997.6</v>
      </c>
    </row>
    <row r="1306">
      <c r="A1306" s="90" t="n">
        <v>33889</v>
      </c>
      <c r="D1306" t="n">
        <v>999.5</v>
      </c>
    </row>
    <row r="1307">
      <c r="A1307" s="90" t="n">
        <v>33896</v>
      </c>
      <c r="D1307" t="n">
        <v>1001</v>
      </c>
    </row>
    <row r="1308">
      <c r="A1308" s="90" t="n">
        <v>33903</v>
      </c>
      <c r="D1308" t="n">
        <v>1009.2</v>
      </c>
    </row>
    <row r="1309">
      <c r="A1309" s="90" t="n">
        <v>33909</v>
      </c>
      <c r="B1309" t="n">
        <v>714.8</v>
      </c>
      <c r="C1309" t="n">
        <v>2411.3</v>
      </c>
      <c r="E1309" t="n">
        <v>3426.5</v>
      </c>
    </row>
    <row r="1310">
      <c r="A1310" s="90" t="n">
        <v>33910</v>
      </c>
      <c r="D1310" t="n">
        <v>1011.7</v>
      </c>
    </row>
    <row r="1311">
      <c r="A1311" s="90" t="n">
        <v>33917</v>
      </c>
      <c r="D1311" t="n">
        <v>1014.8</v>
      </c>
    </row>
    <row r="1312">
      <c r="A1312" s="90" t="n">
        <v>33924</v>
      </c>
      <c r="D1312" t="n">
        <v>1017</v>
      </c>
    </row>
    <row r="1313">
      <c r="A1313" s="90" t="n">
        <v>33931</v>
      </c>
      <c r="D1313" t="n">
        <v>1014.4</v>
      </c>
    </row>
    <row r="1314">
      <c r="A1314" s="90" t="n">
        <v>33938</v>
      </c>
      <c r="D1314" t="n">
        <v>1017.9</v>
      </c>
    </row>
    <row r="1315">
      <c r="A1315" s="90" t="n">
        <v>33939</v>
      </c>
      <c r="B1315" t="n">
        <v>720.2</v>
      </c>
      <c r="C1315" t="n">
        <v>2406.7</v>
      </c>
      <c r="E1315" t="n">
        <v>3424.7</v>
      </c>
    </row>
    <row r="1316">
      <c r="A1316" s="90" t="n">
        <v>33945</v>
      </c>
      <c r="D1316" t="n">
        <v>1021.4</v>
      </c>
    </row>
    <row r="1317">
      <c r="A1317" s="90" t="n">
        <v>33952</v>
      </c>
      <c r="D1317" t="n">
        <v>1025.9</v>
      </c>
    </row>
    <row r="1318">
      <c r="A1318" s="90" t="n">
        <v>33959</v>
      </c>
      <c r="D1318" t="n">
        <v>1022.8</v>
      </c>
    </row>
    <row r="1319">
      <c r="A1319" s="90" t="n">
        <v>33966</v>
      </c>
      <c r="D1319" t="n">
        <v>1028.4</v>
      </c>
    </row>
    <row r="1320">
      <c r="A1320" s="90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90" t="n">
        <v>33973</v>
      </c>
      <c r="D1321" t="n">
        <v>1027.8</v>
      </c>
    </row>
    <row r="1322">
      <c r="A1322" s="90" t="n">
        <v>33980</v>
      </c>
      <c r="D1322" t="n">
        <v>1031.1</v>
      </c>
    </row>
    <row r="1323">
      <c r="A1323" s="90" t="n">
        <v>33987</v>
      </c>
      <c r="D1323" t="n">
        <v>1029.6</v>
      </c>
    </row>
    <row r="1324">
      <c r="A1324" s="90" t="n">
        <v>33994</v>
      </c>
      <c r="D1324" t="n">
        <v>1030.9</v>
      </c>
    </row>
    <row r="1325">
      <c r="A1325" s="90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90" t="n">
        <v>34008</v>
      </c>
      <c r="D1326" t="n">
        <v>1030</v>
      </c>
    </row>
    <row r="1327">
      <c r="A1327" s="90" t="n">
        <v>34015</v>
      </c>
      <c r="D1327" t="n">
        <v>1034.1</v>
      </c>
    </row>
    <row r="1328">
      <c r="A1328" s="90" t="n">
        <v>34022</v>
      </c>
      <c r="D1328" t="n">
        <v>1034.7</v>
      </c>
    </row>
    <row r="1329">
      <c r="A1329" s="90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90" t="n">
        <v>34036</v>
      </c>
      <c r="D1330" t="n">
        <v>1035.3</v>
      </c>
    </row>
    <row r="1331">
      <c r="A1331" s="90" t="n">
        <v>34043</v>
      </c>
      <c r="D1331" t="n">
        <v>1036.8</v>
      </c>
    </row>
    <row r="1332">
      <c r="A1332" s="90" t="n">
        <v>34050</v>
      </c>
      <c r="D1332" t="n">
        <v>1038.6</v>
      </c>
    </row>
    <row r="1333">
      <c r="A1333" s="90" t="n">
        <v>34057</v>
      </c>
      <c r="D1333" t="n">
        <v>1040.4</v>
      </c>
    </row>
    <row r="1334">
      <c r="A1334" s="90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90" t="n">
        <v>34064</v>
      </c>
      <c r="D1335" t="n">
        <v>1045.4</v>
      </c>
    </row>
    <row r="1336">
      <c r="A1336" s="90" t="n">
        <v>34071</v>
      </c>
      <c r="D1336" t="n">
        <v>1045.9</v>
      </c>
    </row>
    <row r="1337">
      <c r="A1337" s="90" t="n">
        <v>34078</v>
      </c>
      <c r="D1337" t="n">
        <v>1045.5</v>
      </c>
    </row>
    <row r="1338">
      <c r="A1338" s="90" t="n">
        <v>34085</v>
      </c>
      <c r="D1338" t="n">
        <v>1047.2</v>
      </c>
    </row>
    <row r="1339">
      <c r="A1339" s="90" t="n">
        <v>34090</v>
      </c>
      <c r="B1339" t="n">
        <v>739.2</v>
      </c>
      <c r="C1339" t="n">
        <v>2383.4</v>
      </c>
      <c r="E1339" t="n">
        <v>3436.9</v>
      </c>
    </row>
    <row r="1340">
      <c r="A1340" s="90" t="n">
        <v>34092</v>
      </c>
      <c r="D1340" t="n">
        <v>1056.3</v>
      </c>
    </row>
    <row r="1341">
      <c r="A1341" s="90" t="n">
        <v>34099</v>
      </c>
      <c r="D1341" t="n">
        <v>1064.1</v>
      </c>
    </row>
    <row r="1342">
      <c r="A1342" s="90" t="n">
        <v>34106</v>
      </c>
      <c r="D1342" t="n">
        <v>1066</v>
      </c>
    </row>
    <row r="1343">
      <c r="A1343" s="90" t="n">
        <v>34113</v>
      </c>
      <c r="D1343" t="n">
        <v>1063.6</v>
      </c>
    </row>
    <row r="1344">
      <c r="A1344" s="90" t="n">
        <v>34120</v>
      </c>
      <c r="D1344" t="n">
        <v>1073</v>
      </c>
    </row>
    <row r="1345">
      <c r="A1345" s="90" t="n">
        <v>34121</v>
      </c>
      <c r="B1345" t="n">
        <v>745</v>
      </c>
      <c r="C1345" t="n">
        <v>2385.6</v>
      </c>
      <c r="E1345" t="n">
        <v>3442.4</v>
      </c>
    </row>
    <row r="1346">
      <c r="A1346" s="90" t="n">
        <v>34127</v>
      </c>
      <c r="D1346" t="n">
        <v>1071.3</v>
      </c>
    </row>
    <row r="1347">
      <c r="A1347" s="90" t="n">
        <v>34134</v>
      </c>
      <c r="D1347" t="n">
        <v>1074.1</v>
      </c>
    </row>
    <row r="1348">
      <c r="A1348" s="90" t="n">
        <v>34141</v>
      </c>
      <c r="D1348" t="n">
        <v>1076.4</v>
      </c>
    </row>
    <row r="1349">
      <c r="A1349" s="90" t="n">
        <v>34148</v>
      </c>
      <c r="D1349" t="n">
        <v>1077.6</v>
      </c>
    </row>
    <row r="1350">
      <c r="A1350" s="90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90" t="n">
        <v>34155</v>
      </c>
      <c r="D1351" t="n">
        <v>1079.3</v>
      </c>
    </row>
    <row r="1352">
      <c r="A1352" s="90" t="n">
        <v>34162</v>
      </c>
      <c r="D1352" t="n">
        <v>1083.3</v>
      </c>
    </row>
    <row r="1353">
      <c r="A1353" s="90" t="n">
        <v>34169</v>
      </c>
      <c r="D1353" t="n">
        <v>1085.3</v>
      </c>
    </row>
    <row r="1354">
      <c r="A1354" s="90" t="n">
        <v>34176</v>
      </c>
      <c r="D1354" t="n">
        <v>1086.5</v>
      </c>
    </row>
    <row r="1355">
      <c r="A1355" s="90" t="n">
        <v>34182</v>
      </c>
      <c r="B1355" t="n">
        <v>755.7</v>
      </c>
      <c r="C1355" t="n">
        <v>2379.6</v>
      </c>
      <c r="E1355" t="n">
        <v>3445.7</v>
      </c>
    </row>
    <row r="1356">
      <c r="A1356" s="90" t="n">
        <v>34183</v>
      </c>
      <c r="D1356" t="n">
        <v>1088.3</v>
      </c>
    </row>
    <row r="1357">
      <c r="A1357" s="90" t="n">
        <v>34190</v>
      </c>
      <c r="D1357" t="n">
        <v>1092.4</v>
      </c>
    </row>
    <row r="1358">
      <c r="A1358" s="90" t="n">
        <v>34197</v>
      </c>
      <c r="D1358" t="n">
        <v>1095.4</v>
      </c>
    </row>
    <row r="1359">
      <c r="A1359" s="90" t="n">
        <v>34204</v>
      </c>
      <c r="D1359" t="n">
        <v>1093.1</v>
      </c>
    </row>
    <row r="1360">
      <c r="A1360" s="90" t="n">
        <v>34211</v>
      </c>
      <c r="D1360" t="n">
        <v>1096.8</v>
      </c>
    </row>
    <row r="1361">
      <c r="A1361" s="90" t="n">
        <v>34213</v>
      </c>
      <c r="B1361" t="n">
        <v>761.5</v>
      </c>
      <c r="C1361" t="n">
        <v>2380.8</v>
      </c>
      <c r="E1361" t="n">
        <v>3452.2</v>
      </c>
    </row>
    <row r="1362">
      <c r="A1362" s="90" t="n">
        <v>34218</v>
      </c>
      <c r="D1362" t="n">
        <v>1100.6</v>
      </c>
    </row>
    <row r="1363">
      <c r="A1363" s="90" t="n">
        <v>34225</v>
      </c>
      <c r="D1363" t="n">
        <v>1103</v>
      </c>
    </row>
    <row r="1364">
      <c r="A1364" s="90" t="n">
        <v>34232</v>
      </c>
      <c r="D1364" t="n">
        <v>1106.9</v>
      </c>
    </row>
    <row r="1365">
      <c r="A1365" s="90" t="n">
        <v>34239</v>
      </c>
      <c r="D1365" t="n">
        <v>1103.9</v>
      </c>
    </row>
    <row r="1366">
      <c r="A1366" s="90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90" t="n">
        <v>34246</v>
      </c>
      <c r="D1367" t="n">
        <v>1108.3</v>
      </c>
    </row>
    <row r="1368">
      <c r="A1368" s="90" t="n">
        <v>34253</v>
      </c>
      <c r="D1368" t="n">
        <v>1110.1</v>
      </c>
    </row>
    <row r="1369">
      <c r="A1369" s="90" t="n">
        <v>34260</v>
      </c>
      <c r="D1369" t="n">
        <v>1112.8</v>
      </c>
    </row>
    <row r="1370">
      <c r="A1370" s="90" t="n">
        <v>34267</v>
      </c>
      <c r="D1370" t="n">
        <v>1113</v>
      </c>
    </row>
    <row r="1371">
      <c r="A1371" s="90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90" t="n">
        <v>34281</v>
      </c>
      <c r="D1372" t="n">
        <v>1121.7</v>
      </c>
    </row>
    <row r="1373">
      <c r="A1373" s="90" t="n">
        <v>34288</v>
      </c>
      <c r="D1373" t="n">
        <v>1126.8</v>
      </c>
    </row>
    <row r="1374">
      <c r="A1374" s="90" t="n">
        <v>34295</v>
      </c>
      <c r="D1374" t="n">
        <v>1123.2</v>
      </c>
    </row>
    <row r="1375">
      <c r="A1375" s="90" t="n">
        <v>34302</v>
      </c>
      <c r="D1375" t="n">
        <v>1124.7</v>
      </c>
    </row>
    <row r="1376">
      <c r="A1376" s="90" t="n">
        <v>34304</v>
      </c>
      <c r="B1376" t="n">
        <v>772.1</v>
      </c>
      <c r="C1376" t="n">
        <v>2374.9</v>
      </c>
      <c r="E1376" t="n">
        <v>3474.5</v>
      </c>
    </row>
    <row r="1377">
      <c r="A1377" s="90" t="n">
        <v>34309</v>
      </c>
      <c r="D1377" t="n">
        <v>1128.1</v>
      </c>
    </row>
    <row r="1378">
      <c r="A1378" s="90" t="n">
        <v>34316</v>
      </c>
      <c r="D1378" t="n">
        <v>1129.5</v>
      </c>
    </row>
    <row r="1379">
      <c r="A1379" s="90" t="n">
        <v>34323</v>
      </c>
      <c r="D1379" t="n">
        <v>1129.5</v>
      </c>
    </row>
    <row r="1380">
      <c r="A1380" s="90" t="n">
        <v>34330</v>
      </c>
      <c r="D1380" t="n">
        <v>1131.9</v>
      </c>
    </row>
    <row r="1381">
      <c r="A1381" s="90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90" t="n">
        <v>34337</v>
      </c>
      <c r="D1382" t="n">
        <v>1128.4</v>
      </c>
    </row>
    <row r="1383">
      <c r="A1383" s="90" t="n">
        <v>34344</v>
      </c>
      <c r="D1383" t="n">
        <v>1131</v>
      </c>
    </row>
    <row r="1384">
      <c r="A1384" s="90" t="n">
        <v>34351</v>
      </c>
      <c r="D1384" t="n">
        <v>1131.3</v>
      </c>
    </row>
    <row r="1385">
      <c r="A1385" s="90" t="n">
        <v>34358</v>
      </c>
      <c r="D1385" t="n">
        <v>1132.4</v>
      </c>
    </row>
    <row r="1386">
      <c r="A1386" s="90" t="n">
        <v>34365</v>
      </c>
      <c r="D1386" t="n">
        <v>1132.7</v>
      </c>
    </row>
    <row r="1387">
      <c r="A1387" s="90" t="n">
        <v>34366</v>
      </c>
      <c r="B1387" t="n">
        <v>774.6</v>
      </c>
      <c r="C1387" t="n">
        <v>2369.3</v>
      </c>
      <c r="E1387" t="n">
        <v>3475.7</v>
      </c>
    </row>
    <row r="1388">
      <c r="A1388" s="90" t="n">
        <v>34372</v>
      </c>
      <c r="D1388" t="n">
        <v>1134.5</v>
      </c>
    </row>
    <row r="1389">
      <c r="A1389" s="90" t="n">
        <v>34379</v>
      </c>
      <c r="D1389" t="n">
        <v>1136.7</v>
      </c>
    </row>
    <row r="1390">
      <c r="A1390" s="90" t="n">
        <v>34386</v>
      </c>
      <c r="D1390" t="n">
        <v>1137.4</v>
      </c>
    </row>
    <row r="1391">
      <c r="A1391" s="90" t="n">
        <v>34393</v>
      </c>
      <c r="D1391" t="n">
        <v>1136.5</v>
      </c>
    </row>
    <row r="1392">
      <c r="A1392" s="90" t="n">
        <v>34394</v>
      </c>
      <c r="B1392" t="n">
        <v>775.1</v>
      </c>
      <c r="C1392" t="n">
        <v>2365.8</v>
      </c>
      <c r="E1392" t="n">
        <v>3480.1</v>
      </c>
    </row>
    <row r="1393">
      <c r="A1393" s="90" t="n">
        <v>34400</v>
      </c>
      <c r="D1393" t="n">
        <v>1138.3</v>
      </c>
    </row>
    <row r="1394">
      <c r="A1394" s="90" t="n">
        <v>34407</v>
      </c>
      <c r="D1394" t="n">
        <v>1139.6</v>
      </c>
    </row>
    <row r="1395">
      <c r="A1395" s="90" t="n">
        <v>34414</v>
      </c>
      <c r="D1395" t="n">
        <v>1139.2</v>
      </c>
    </row>
    <row r="1396">
      <c r="A1396" s="90" t="n">
        <v>34421</v>
      </c>
      <c r="D1396" t="n">
        <v>1141.5</v>
      </c>
    </row>
    <row r="1397">
      <c r="A1397" s="90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90" t="n">
        <v>34428</v>
      </c>
      <c r="D1398" t="n">
        <v>1144.7</v>
      </c>
    </row>
    <row r="1399">
      <c r="A1399" s="90" t="n">
        <v>34435</v>
      </c>
      <c r="D1399" t="n">
        <v>1143.8</v>
      </c>
    </row>
    <row r="1400">
      <c r="A1400" s="90" t="n">
        <v>34442</v>
      </c>
      <c r="D1400" t="n">
        <v>1139</v>
      </c>
    </row>
    <row r="1401">
      <c r="A1401" s="90" t="n">
        <v>34449</v>
      </c>
      <c r="D1401" t="n">
        <v>1137.9</v>
      </c>
    </row>
    <row r="1402">
      <c r="A1402" s="90" t="n">
        <v>34455</v>
      </c>
      <c r="B1402" t="n">
        <v>775.1</v>
      </c>
      <c r="C1402" t="n">
        <v>2366.6</v>
      </c>
      <c r="E1402" t="n">
        <v>3490.8</v>
      </c>
    </row>
    <row r="1403">
      <c r="A1403" s="90" t="n">
        <v>34456</v>
      </c>
      <c r="D1403" t="n">
        <v>1141.8</v>
      </c>
    </row>
    <row r="1404">
      <c r="A1404" s="90" t="n">
        <v>34463</v>
      </c>
      <c r="D1404" t="n">
        <v>1144.9</v>
      </c>
    </row>
    <row r="1405">
      <c r="A1405" s="90" t="n">
        <v>34470</v>
      </c>
      <c r="D1405" t="n">
        <v>1145.1</v>
      </c>
    </row>
    <row r="1406">
      <c r="A1406" s="90" t="n">
        <v>34477</v>
      </c>
      <c r="D1406" t="n">
        <v>1141.2</v>
      </c>
    </row>
    <row r="1407">
      <c r="A1407" s="90" t="n">
        <v>34484</v>
      </c>
      <c r="D1407" t="n">
        <v>1142.3</v>
      </c>
    </row>
    <row r="1408">
      <c r="A1408" s="90" t="n">
        <v>34486</v>
      </c>
      <c r="B1408" t="n">
        <v>774.3</v>
      </c>
      <c r="C1408" t="n">
        <v>2352.6</v>
      </c>
      <c r="E1408" t="n">
        <v>3479.5</v>
      </c>
    </row>
    <row r="1409">
      <c r="A1409" s="90" t="n">
        <v>34491</v>
      </c>
      <c r="D1409" t="n">
        <v>1144.3</v>
      </c>
    </row>
    <row r="1410">
      <c r="A1410" s="90" t="n">
        <v>34498</v>
      </c>
      <c r="D1410" t="n">
        <v>1145.4</v>
      </c>
    </row>
    <row r="1411">
      <c r="A1411" s="90" t="n">
        <v>34505</v>
      </c>
      <c r="D1411" t="n">
        <v>1146.4</v>
      </c>
    </row>
    <row r="1412">
      <c r="A1412" s="90" t="n">
        <v>34512</v>
      </c>
      <c r="D1412" t="n">
        <v>1145.3</v>
      </c>
    </row>
    <row r="1413">
      <c r="A1413" s="90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90" t="n">
        <v>34519</v>
      </c>
      <c r="D1414" t="n">
        <v>1143.5</v>
      </c>
    </row>
    <row r="1415">
      <c r="A1415" s="90" t="n">
        <v>34526</v>
      </c>
      <c r="D1415" t="n">
        <v>1151.5</v>
      </c>
    </row>
    <row r="1416">
      <c r="A1416" s="90" t="n">
        <v>34533</v>
      </c>
      <c r="D1416" t="n">
        <v>1151.2</v>
      </c>
    </row>
    <row r="1417">
      <c r="A1417" s="90" t="n">
        <v>34540</v>
      </c>
      <c r="D1417" t="n">
        <v>1151.4</v>
      </c>
    </row>
    <row r="1418">
      <c r="A1418" s="90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90" t="n">
        <v>34554</v>
      </c>
      <c r="D1419" t="n">
        <v>1148</v>
      </c>
    </row>
    <row r="1420">
      <c r="A1420" s="90" t="n">
        <v>34561</v>
      </c>
      <c r="D1420" t="n">
        <v>1151.6</v>
      </c>
    </row>
    <row r="1421">
      <c r="A1421" s="90" t="n">
        <v>34568</v>
      </c>
      <c r="D1421" t="n">
        <v>1150.2</v>
      </c>
    </row>
    <row r="1422">
      <c r="A1422" s="90" t="n">
        <v>34575</v>
      </c>
      <c r="D1422" t="n">
        <v>1151.6</v>
      </c>
    </row>
    <row r="1423">
      <c r="A1423" s="90" t="n">
        <v>34578</v>
      </c>
      <c r="B1423" t="n">
        <v>771.5</v>
      </c>
      <c r="C1423" t="n">
        <v>2335</v>
      </c>
      <c r="E1423" t="n">
        <v>3486.1</v>
      </c>
    </row>
    <row r="1424">
      <c r="A1424" s="90" t="n">
        <v>34582</v>
      </c>
      <c r="D1424" t="n">
        <v>1153</v>
      </c>
    </row>
    <row r="1425">
      <c r="A1425" s="90" t="n">
        <v>34589</v>
      </c>
      <c r="D1425" t="n">
        <v>1152.7</v>
      </c>
    </row>
    <row r="1426">
      <c r="A1426" s="90" t="n">
        <v>34596</v>
      </c>
      <c r="D1426" t="n">
        <v>1152.2</v>
      </c>
    </row>
    <row r="1427">
      <c r="A1427" s="90" t="n">
        <v>34603</v>
      </c>
      <c r="D1427" t="n">
        <v>1152.3</v>
      </c>
    </row>
    <row r="1428">
      <c r="A1428" s="90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90" t="n">
        <v>34610</v>
      </c>
      <c r="D1429" t="n">
        <v>1147.7</v>
      </c>
    </row>
    <row r="1430">
      <c r="A1430" s="90" t="n">
        <v>34617</v>
      </c>
      <c r="D1430" t="n">
        <v>1152.6</v>
      </c>
    </row>
    <row r="1431">
      <c r="A1431" s="90" t="n">
        <v>34624</v>
      </c>
      <c r="D1431" t="n">
        <v>1152.7</v>
      </c>
    </row>
    <row r="1432">
      <c r="A1432" s="90" t="n">
        <v>34631</v>
      </c>
      <c r="D1432" t="n">
        <v>1148.2</v>
      </c>
    </row>
    <row r="1433">
      <c r="A1433" s="90" t="n">
        <v>34638</v>
      </c>
      <c r="D1433" t="n">
        <v>1148.1</v>
      </c>
    </row>
    <row r="1434">
      <c r="A1434" s="90" t="n">
        <v>34639</v>
      </c>
      <c r="B1434" t="n">
        <v>768.3</v>
      </c>
      <c r="C1434" t="n">
        <v>2327.9</v>
      </c>
      <c r="E1434" t="n">
        <v>3487.2</v>
      </c>
    </row>
    <row r="1435">
      <c r="A1435" s="90" t="n">
        <v>34645</v>
      </c>
      <c r="D1435" t="n">
        <v>1148.2</v>
      </c>
    </row>
    <row r="1436">
      <c r="A1436" s="90" t="n">
        <v>34652</v>
      </c>
      <c r="D1436" t="n">
        <v>1151.8</v>
      </c>
    </row>
    <row r="1437">
      <c r="A1437" s="90" t="n">
        <v>34659</v>
      </c>
      <c r="D1437" t="n">
        <v>1152.4</v>
      </c>
    </row>
    <row r="1438">
      <c r="A1438" s="90" t="n">
        <v>34666</v>
      </c>
      <c r="D1438" t="n">
        <v>1151.2</v>
      </c>
    </row>
    <row r="1439">
      <c r="A1439" s="90" t="n">
        <v>34669</v>
      </c>
      <c r="B1439" t="n">
        <v>766.6</v>
      </c>
      <c r="C1439" t="n">
        <v>2322.7</v>
      </c>
      <c r="E1439" t="n">
        <v>3486.4</v>
      </c>
    </row>
    <row r="1440">
      <c r="A1440" s="90" t="n">
        <v>34673</v>
      </c>
      <c r="D1440" t="n">
        <v>1152.2</v>
      </c>
    </row>
    <row r="1441">
      <c r="A1441" s="90" t="n">
        <v>34680</v>
      </c>
      <c r="D1441" t="n">
        <v>1154.5</v>
      </c>
    </row>
    <row r="1442">
      <c r="A1442" s="90" t="n">
        <v>34687</v>
      </c>
      <c r="D1442" t="n">
        <v>1150.4</v>
      </c>
    </row>
    <row r="1443">
      <c r="A1443" s="90" t="n">
        <v>34694</v>
      </c>
      <c r="D1443" t="n">
        <v>1149.3</v>
      </c>
    </row>
    <row r="1444">
      <c r="A1444" s="90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90" t="n">
        <v>34701</v>
      </c>
      <c r="D1445" t="n">
        <v>1145.9</v>
      </c>
    </row>
    <row r="1446">
      <c r="A1446" s="90" t="n">
        <v>34708</v>
      </c>
      <c r="D1446" t="n">
        <v>1154.4</v>
      </c>
    </row>
    <row r="1447">
      <c r="A1447" s="90" t="n">
        <v>34715</v>
      </c>
      <c r="D1447" t="n">
        <v>1154.4</v>
      </c>
    </row>
    <row r="1448">
      <c r="A1448" s="90" t="n">
        <v>34722</v>
      </c>
      <c r="D1448" t="n">
        <v>1150.4</v>
      </c>
    </row>
    <row r="1449">
      <c r="A1449" s="90" t="n">
        <v>34729</v>
      </c>
      <c r="D1449" t="n">
        <v>1148</v>
      </c>
    </row>
    <row r="1450">
      <c r="A1450" s="90" t="n">
        <v>34731</v>
      </c>
      <c r="B1450" t="n">
        <v>760.4</v>
      </c>
      <c r="C1450" t="n">
        <v>2312.7</v>
      </c>
      <c r="E1450" t="n">
        <v>3489.9</v>
      </c>
    </row>
    <row r="1451">
      <c r="A1451" s="90" t="n">
        <v>34736</v>
      </c>
      <c r="D1451" t="n">
        <v>1150.5</v>
      </c>
    </row>
    <row r="1452">
      <c r="A1452" s="90" t="n">
        <v>34743</v>
      </c>
      <c r="D1452" t="n">
        <v>1148</v>
      </c>
    </row>
    <row r="1453">
      <c r="A1453" s="90" t="n">
        <v>34750</v>
      </c>
      <c r="D1453" t="n">
        <v>1145.3</v>
      </c>
    </row>
    <row r="1454">
      <c r="A1454" s="90" t="n">
        <v>34757</v>
      </c>
      <c r="D1454" t="n">
        <v>1146.2</v>
      </c>
    </row>
    <row r="1455">
      <c r="A1455" s="90" t="n">
        <v>34759</v>
      </c>
      <c r="B1455" t="n">
        <v>758.4</v>
      </c>
      <c r="C1455" t="n">
        <v>2308.9</v>
      </c>
      <c r="E1455" t="n">
        <v>3491.1</v>
      </c>
    </row>
    <row r="1456">
      <c r="A1456" s="90" t="n">
        <v>34764</v>
      </c>
      <c r="D1456" t="n">
        <v>1147.2</v>
      </c>
    </row>
    <row r="1457">
      <c r="A1457" s="90" t="n">
        <v>34771</v>
      </c>
      <c r="D1457" t="n">
        <v>1148.3</v>
      </c>
    </row>
    <row r="1458">
      <c r="A1458" s="90" t="n">
        <v>34778</v>
      </c>
      <c r="D1458" t="n">
        <v>1147.2</v>
      </c>
    </row>
    <row r="1459">
      <c r="A1459" s="90" t="n">
        <v>34785</v>
      </c>
      <c r="D1459" t="n">
        <v>1147.2</v>
      </c>
    </row>
    <row r="1460">
      <c r="A1460" s="90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90" t="n">
        <v>34792</v>
      </c>
      <c r="D1461" t="n">
        <v>1141.5</v>
      </c>
    </row>
    <row r="1462">
      <c r="A1462" s="90" t="n">
        <v>34799</v>
      </c>
      <c r="D1462" t="n">
        <v>1151.4</v>
      </c>
    </row>
    <row r="1463">
      <c r="A1463" s="90" t="n">
        <v>34806</v>
      </c>
      <c r="D1463" t="n">
        <v>1149.1</v>
      </c>
    </row>
    <row r="1464">
      <c r="A1464" s="90" t="n">
        <v>34813</v>
      </c>
      <c r="D1464" t="n">
        <v>1149.8</v>
      </c>
    </row>
    <row r="1465">
      <c r="A1465" s="90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90" t="n">
        <v>34827</v>
      </c>
      <c r="D1466" t="n">
        <v>1144.8</v>
      </c>
    </row>
    <row r="1467">
      <c r="A1467" s="90" t="n">
        <v>34834</v>
      </c>
      <c r="D1467" t="n">
        <v>1146.7</v>
      </c>
    </row>
    <row r="1468">
      <c r="A1468" s="90" t="n">
        <v>34841</v>
      </c>
      <c r="D1468" t="n">
        <v>1146</v>
      </c>
    </row>
    <row r="1469">
      <c r="A1469" s="90" t="n">
        <v>34848</v>
      </c>
      <c r="D1469" t="n">
        <v>1142.8</v>
      </c>
    </row>
    <row r="1470">
      <c r="A1470" s="90" t="n">
        <v>34851</v>
      </c>
      <c r="B1470" t="n">
        <v>750.8</v>
      </c>
      <c r="C1470" t="n">
        <v>2328.7</v>
      </c>
      <c r="E1470" t="n">
        <v>3548.9</v>
      </c>
    </row>
    <row r="1471">
      <c r="A1471" s="90" t="n">
        <v>34855</v>
      </c>
      <c r="D1471" t="n">
        <v>1145.5</v>
      </c>
    </row>
    <row r="1472">
      <c r="A1472" s="90" t="n">
        <v>34862</v>
      </c>
      <c r="D1472" t="n">
        <v>1146.3</v>
      </c>
    </row>
    <row r="1473">
      <c r="A1473" s="90" t="n">
        <v>34869</v>
      </c>
      <c r="D1473" t="n">
        <v>1143.4</v>
      </c>
    </row>
    <row r="1474">
      <c r="A1474" s="90" t="n">
        <v>34876</v>
      </c>
      <c r="D1474" t="n">
        <v>1143.8</v>
      </c>
    </row>
    <row r="1475">
      <c r="A1475" s="90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90" t="n">
        <v>34883</v>
      </c>
      <c r="D1476" t="n">
        <v>1141</v>
      </c>
    </row>
    <row r="1477">
      <c r="A1477" s="90" t="n">
        <v>34890</v>
      </c>
      <c r="D1477" t="n">
        <v>1149</v>
      </c>
    </row>
    <row r="1478">
      <c r="A1478" s="90" t="n">
        <v>34897</v>
      </c>
      <c r="D1478" t="n">
        <v>1145.5</v>
      </c>
    </row>
    <row r="1479">
      <c r="A1479" s="90" t="n">
        <v>34904</v>
      </c>
      <c r="D1479" t="n">
        <v>1143</v>
      </c>
    </row>
    <row r="1480">
      <c r="A1480" s="90" t="n">
        <v>34911</v>
      </c>
      <c r="D1480" t="n">
        <v>1146.2</v>
      </c>
    </row>
    <row r="1481">
      <c r="A1481" s="90" t="n">
        <v>34912</v>
      </c>
      <c r="B1481" t="n">
        <v>749.1</v>
      </c>
      <c r="C1481" t="n">
        <v>2347.3</v>
      </c>
      <c r="E1481" t="n">
        <v>3589</v>
      </c>
    </row>
    <row r="1482">
      <c r="A1482" s="90" t="n">
        <v>34918</v>
      </c>
      <c r="D1482" t="n">
        <v>1146</v>
      </c>
    </row>
    <row r="1483">
      <c r="A1483" s="90" t="n">
        <v>34925</v>
      </c>
      <c r="D1483" t="n">
        <v>1147.4</v>
      </c>
    </row>
    <row r="1484">
      <c r="A1484" s="90" t="n">
        <v>34932</v>
      </c>
      <c r="D1484" t="n">
        <v>1146.3</v>
      </c>
    </row>
    <row r="1485">
      <c r="A1485" s="90" t="n">
        <v>34939</v>
      </c>
      <c r="D1485" t="n">
        <v>1143.4</v>
      </c>
    </row>
    <row r="1486">
      <c r="A1486" s="90" t="n">
        <v>34943</v>
      </c>
      <c r="B1486" t="n">
        <v>745.9</v>
      </c>
      <c r="C1486" t="n">
        <v>2352.8</v>
      </c>
      <c r="E1486" t="n">
        <v>3602.1</v>
      </c>
    </row>
    <row r="1487">
      <c r="A1487" s="90" t="n">
        <v>34946</v>
      </c>
      <c r="D1487" t="n">
        <v>1142.7</v>
      </c>
    </row>
    <row r="1488">
      <c r="A1488" s="90" t="n">
        <v>34953</v>
      </c>
      <c r="D1488" t="n">
        <v>1148.6</v>
      </c>
    </row>
    <row r="1489">
      <c r="A1489" s="90" t="n">
        <v>34960</v>
      </c>
      <c r="D1489" t="n">
        <v>1142.1</v>
      </c>
    </row>
    <row r="1490">
      <c r="A1490" s="90" t="n">
        <v>34967</v>
      </c>
      <c r="D1490" t="n">
        <v>1140</v>
      </c>
    </row>
    <row r="1491">
      <c r="A1491" s="90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90" t="n">
        <v>34974</v>
      </c>
      <c r="D1492" t="n">
        <v>1133.8</v>
      </c>
    </row>
    <row r="1493">
      <c r="A1493" s="90" t="n">
        <v>34981</v>
      </c>
      <c r="D1493" t="n">
        <v>1137.3</v>
      </c>
    </row>
    <row r="1494">
      <c r="A1494" s="90" t="n">
        <v>34988</v>
      </c>
      <c r="D1494" t="n">
        <v>1141.2</v>
      </c>
    </row>
    <row r="1495">
      <c r="A1495" s="90" t="n">
        <v>34995</v>
      </c>
      <c r="D1495" t="n">
        <v>1136.1</v>
      </c>
    </row>
    <row r="1496">
      <c r="A1496" s="90" t="n">
        <v>35002</v>
      </c>
      <c r="D1496" t="n">
        <v>1135.2</v>
      </c>
    </row>
    <row r="1497">
      <c r="A1497" s="90" t="n">
        <v>35004</v>
      </c>
      <c r="B1497" t="n">
        <v>737.9</v>
      </c>
      <c r="C1497" t="n">
        <v>2355.2</v>
      </c>
      <c r="E1497" t="n">
        <v>3619.9</v>
      </c>
    </row>
    <row r="1498">
      <c r="A1498" s="90" t="n">
        <v>35009</v>
      </c>
      <c r="D1498" t="n">
        <v>1137.9</v>
      </c>
    </row>
    <row r="1499">
      <c r="A1499" s="90" t="n">
        <v>35016</v>
      </c>
      <c r="D1499" t="n">
        <v>1134.3</v>
      </c>
    </row>
    <row r="1500">
      <c r="A1500" s="90" t="n">
        <v>35023</v>
      </c>
      <c r="D1500" t="n">
        <v>1134.6</v>
      </c>
    </row>
    <row r="1501">
      <c r="A1501" s="90" t="n">
        <v>35030</v>
      </c>
      <c r="D1501" t="n">
        <v>1133.8</v>
      </c>
    </row>
    <row r="1502">
      <c r="A1502" s="90" t="n">
        <v>35034</v>
      </c>
      <c r="B1502" t="n">
        <v>732.6</v>
      </c>
      <c r="C1502" t="n">
        <v>2358.3</v>
      </c>
      <c r="E1502" t="n">
        <v>3629.5</v>
      </c>
    </row>
    <row r="1503">
      <c r="A1503" s="90" t="n">
        <v>35037</v>
      </c>
      <c r="D1503" t="n">
        <v>1125.5</v>
      </c>
    </row>
    <row r="1504">
      <c r="A1504" s="90" t="n">
        <v>35044</v>
      </c>
      <c r="D1504" t="n">
        <v>1131</v>
      </c>
    </row>
    <row r="1505">
      <c r="A1505" s="90" t="n">
        <v>35051</v>
      </c>
      <c r="D1505" t="n">
        <v>1122.7</v>
      </c>
    </row>
    <row r="1506">
      <c r="A1506" s="90" t="n">
        <v>35058</v>
      </c>
      <c r="D1506" t="n">
        <v>1127</v>
      </c>
    </row>
    <row r="1507">
      <c r="A1507" s="90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90" t="n">
        <v>35072</v>
      </c>
      <c r="D1508" t="n">
        <v>1124.9</v>
      </c>
    </row>
    <row r="1509">
      <c r="A1509" s="90" t="n">
        <v>35079</v>
      </c>
      <c r="D1509" t="n">
        <v>1129.4</v>
      </c>
    </row>
    <row r="1510">
      <c r="A1510" s="90" t="n">
        <v>35086</v>
      </c>
      <c r="D1510" t="n">
        <v>1120.8</v>
      </c>
    </row>
    <row r="1511">
      <c r="A1511" s="90" t="n">
        <v>35093</v>
      </c>
      <c r="D1511" t="n">
        <v>1117.9</v>
      </c>
    </row>
    <row r="1512">
      <c r="A1512" s="90" t="n">
        <v>35096</v>
      </c>
      <c r="B1512" t="n">
        <v>721.6</v>
      </c>
      <c r="C1512" t="n">
        <v>2362.5</v>
      </c>
      <c r="E1512" t="n">
        <v>3661.8</v>
      </c>
    </row>
    <row r="1513">
      <c r="A1513" s="90" t="n">
        <v>35100</v>
      </c>
      <c r="D1513" t="n">
        <v>1121.5</v>
      </c>
    </row>
    <row r="1514">
      <c r="A1514" s="90" t="n">
        <v>35107</v>
      </c>
      <c r="D1514" t="n">
        <v>1118.6</v>
      </c>
    </row>
    <row r="1515">
      <c r="A1515" s="90" t="n">
        <v>35114</v>
      </c>
      <c r="D1515" t="n">
        <v>1115.7</v>
      </c>
    </row>
    <row r="1516">
      <c r="A1516" s="90" t="n">
        <v>35121</v>
      </c>
      <c r="D1516" t="n">
        <v>1116.9</v>
      </c>
    </row>
    <row r="1517">
      <c r="A1517" s="90" t="n">
        <v>35125</v>
      </c>
      <c r="B1517" t="n">
        <v>721.9</v>
      </c>
      <c r="C1517" t="n">
        <v>2371</v>
      </c>
      <c r="E1517" t="n">
        <v>3686.9</v>
      </c>
    </row>
    <row r="1518">
      <c r="A1518" s="90" t="n">
        <v>35128</v>
      </c>
      <c r="D1518" t="n">
        <v>1123</v>
      </c>
    </row>
    <row r="1519">
      <c r="A1519" s="90" t="n">
        <v>35135</v>
      </c>
      <c r="D1519" t="n">
        <v>1118.7</v>
      </c>
    </row>
    <row r="1520">
      <c r="A1520" s="90" t="n">
        <v>35142</v>
      </c>
      <c r="D1520" t="n">
        <v>1120.8</v>
      </c>
    </row>
    <row r="1521">
      <c r="A1521" s="90" t="n">
        <v>35149</v>
      </c>
      <c r="D1521" t="n">
        <v>1123.2</v>
      </c>
    </row>
    <row r="1522">
      <c r="A1522" s="90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90" t="n">
        <v>35163</v>
      </c>
      <c r="D1523" t="n">
        <v>1124.1</v>
      </c>
    </row>
    <row r="1524">
      <c r="A1524" s="90" t="n">
        <v>35170</v>
      </c>
      <c r="D1524" t="n">
        <v>1130.4</v>
      </c>
    </row>
    <row r="1525">
      <c r="A1525" s="90" t="n">
        <v>35177</v>
      </c>
      <c r="D1525" t="n">
        <v>1125</v>
      </c>
    </row>
    <row r="1526">
      <c r="A1526" s="90" t="n">
        <v>35184</v>
      </c>
      <c r="D1526" t="n">
        <v>1118.6</v>
      </c>
    </row>
    <row r="1527">
      <c r="A1527" s="90" t="n">
        <v>35186</v>
      </c>
      <c r="B1527" t="n">
        <v>713.9</v>
      </c>
      <c r="C1527" t="n">
        <v>2371.9</v>
      </c>
      <c r="E1527" t="n">
        <v>3709.6</v>
      </c>
    </row>
    <row r="1528">
      <c r="A1528" s="90" t="n">
        <v>35191</v>
      </c>
      <c r="D1528" t="n">
        <v>1123</v>
      </c>
    </row>
    <row r="1529">
      <c r="A1529" s="90" t="n">
        <v>35198</v>
      </c>
      <c r="D1529" t="n">
        <v>1117.6</v>
      </c>
    </row>
    <row r="1530">
      <c r="A1530" s="90" t="n">
        <v>35205</v>
      </c>
      <c r="D1530" t="n">
        <v>1117.3</v>
      </c>
    </row>
    <row r="1531">
      <c r="A1531" s="90" t="n">
        <v>35212</v>
      </c>
      <c r="D1531" t="n">
        <v>1110.8</v>
      </c>
    </row>
    <row r="1532">
      <c r="A1532" s="90" t="n">
        <v>35217</v>
      </c>
      <c r="B1532" t="n">
        <v>711.7</v>
      </c>
      <c r="C1532" t="n">
        <v>2375.6</v>
      </c>
      <c r="E1532" t="n">
        <v>3722.5</v>
      </c>
    </row>
    <row r="1533">
      <c r="A1533" s="90" t="n">
        <v>35219</v>
      </c>
      <c r="D1533" t="n">
        <v>1114.2</v>
      </c>
    </row>
    <row r="1534">
      <c r="A1534" s="90" t="n">
        <v>35226</v>
      </c>
      <c r="D1534" t="n">
        <v>1114.9</v>
      </c>
    </row>
    <row r="1535">
      <c r="A1535" s="90" t="n">
        <v>35233</v>
      </c>
      <c r="D1535" t="n">
        <v>1114.5</v>
      </c>
    </row>
    <row r="1536">
      <c r="A1536" s="90" t="n">
        <v>35240</v>
      </c>
      <c r="D1536" t="n">
        <v>1113</v>
      </c>
    </row>
    <row r="1537">
      <c r="A1537" s="90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90" t="n">
        <v>35254</v>
      </c>
      <c r="D1538" t="n">
        <v>1109</v>
      </c>
    </row>
    <row r="1539">
      <c r="A1539" s="90" t="n">
        <v>35261</v>
      </c>
      <c r="D1539" t="n">
        <v>1115.1</v>
      </c>
    </row>
    <row r="1540">
      <c r="A1540" s="90" t="n">
        <v>35268</v>
      </c>
      <c r="D1540" t="n">
        <v>1113.1</v>
      </c>
    </row>
    <row r="1541">
      <c r="A1541" s="90" t="n">
        <v>35275</v>
      </c>
      <c r="D1541" t="n">
        <v>1112.1</v>
      </c>
    </row>
    <row r="1542">
      <c r="A1542" s="90" t="n">
        <v>35278</v>
      </c>
      <c r="B1542" t="n">
        <v>700.8</v>
      </c>
      <c r="C1542" t="n">
        <v>2381.7</v>
      </c>
      <c r="E1542" t="n">
        <v>3744</v>
      </c>
    </row>
    <row r="1543">
      <c r="A1543" s="90" t="n">
        <v>35282</v>
      </c>
      <c r="D1543" t="n">
        <v>1108.5</v>
      </c>
    </row>
    <row r="1544">
      <c r="A1544" s="90" t="n">
        <v>35289</v>
      </c>
      <c r="D1544" t="n">
        <v>1106.1</v>
      </c>
    </row>
    <row r="1545">
      <c r="A1545" s="90" t="n">
        <v>35296</v>
      </c>
      <c r="D1545" t="n">
        <v>1098.1</v>
      </c>
    </row>
    <row r="1546">
      <c r="A1546" s="90" t="n">
        <v>35303</v>
      </c>
      <c r="D1546" t="n">
        <v>1098.6</v>
      </c>
    </row>
    <row r="1547">
      <c r="A1547" s="90" t="n">
        <v>35309</v>
      </c>
      <c r="B1547" t="n">
        <v>695.1</v>
      </c>
      <c r="C1547" t="n">
        <v>2380.1</v>
      </c>
      <c r="E1547" t="n">
        <v>3753.4</v>
      </c>
    </row>
    <row r="1548">
      <c r="A1548" s="90" t="n">
        <v>35310</v>
      </c>
      <c r="D1548" t="n">
        <v>1097.9</v>
      </c>
    </row>
    <row r="1549">
      <c r="A1549" s="90" t="n">
        <v>35317</v>
      </c>
      <c r="D1549" t="n">
        <v>1103.8</v>
      </c>
    </row>
    <row r="1550">
      <c r="A1550" s="90" t="n">
        <v>35324</v>
      </c>
      <c r="D1550" t="n">
        <v>1096.7</v>
      </c>
    </row>
    <row r="1551">
      <c r="A1551" s="90" t="n">
        <v>35331</v>
      </c>
      <c r="D1551" t="n">
        <v>1091.7</v>
      </c>
    </row>
    <row r="1552">
      <c r="A1552" s="90" t="n">
        <v>35338</v>
      </c>
      <c r="D1552" t="n">
        <v>1091.8</v>
      </c>
    </row>
    <row r="1553">
      <c r="A1553" s="90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90" t="n">
        <v>35345</v>
      </c>
      <c r="D1554" t="n">
        <v>1088.5</v>
      </c>
    </row>
    <row r="1555">
      <c r="A1555" s="90" t="n">
        <v>35352</v>
      </c>
      <c r="D1555" t="n">
        <v>1091.6</v>
      </c>
    </row>
    <row r="1556">
      <c r="A1556" s="90" t="n">
        <v>35359</v>
      </c>
      <c r="D1556" t="n">
        <v>1086.7</v>
      </c>
    </row>
    <row r="1557">
      <c r="A1557" s="90" t="n">
        <v>35366</v>
      </c>
      <c r="D1557" t="n">
        <v>1077.8</v>
      </c>
    </row>
    <row r="1558">
      <c r="A1558" s="90" t="n">
        <v>35370</v>
      </c>
      <c r="B1558" t="n">
        <v>682.7</v>
      </c>
      <c r="C1558" t="n">
        <v>2391.4</v>
      </c>
      <c r="E1558" t="n">
        <v>3795.1</v>
      </c>
    </row>
    <row r="1559">
      <c r="A1559" s="90" t="n">
        <v>35373</v>
      </c>
      <c r="D1559" t="n">
        <v>1081.2</v>
      </c>
    </row>
    <row r="1560">
      <c r="A1560" s="90" t="n">
        <v>35380</v>
      </c>
      <c r="D1560" t="n">
        <v>1088.1</v>
      </c>
    </row>
    <row r="1561">
      <c r="A1561" s="90" t="n">
        <v>35387</v>
      </c>
      <c r="D1561" t="n">
        <v>1087.7</v>
      </c>
    </row>
    <row r="1562">
      <c r="A1562" s="90" t="n">
        <v>35394</v>
      </c>
      <c r="D1562" t="n">
        <v>1078.1</v>
      </c>
    </row>
    <row r="1563">
      <c r="A1563" s="90" t="n">
        <v>35400</v>
      </c>
      <c r="B1563" t="n">
        <v>679.6</v>
      </c>
      <c r="C1563" t="n">
        <v>2400.1</v>
      </c>
      <c r="E1563" t="n">
        <v>3818.6</v>
      </c>
    </row>
    <row r="1564">
      <c r="A1564" s="90" t="n">
        <v>35401</v>
      </c>
      <c r="D1564" t="n">
        <v>1081</v>
      </c>
    </row>
    <row r="1565">
      <c r="A1565" s="90" t="n">
        <v>35408</v>
      </c>
      <c r="D1565" t="n">
        <v>1091.1</v>
      </c>
    </row>
    <row r="1566">
      <c r="A1566" s="90" t="n">
        <v>35415</v>
      </c>
      <c r="D1566" t="n">
        <v>1083.9</v>
      </c>
    </row>
    <row r="1567">
      <c r="A1567" s="90" t="n">
        <v>35422</v>
      </c>
      <c r="D1567" t="n">
        <v>1080.2</v>
      </c>
    </row>
    <row r="1568">
      <c r="A1568" s="90" t="n">
        <v>35429</v>
      </c>
      <c r="D1568" t="n">
        <v>1070.7</v>
      </c>
    </row>
    <row r="1569">
      <c r="A1569" s="90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90" t="n">
        <v>35436</v>
      </c>
      <c r="D1570" t="n">
        <v>1079.6</v>
      </c>
    </row>
    <row r="1571">
      <c r="A1571" s="90" t="n">
        <v>35443</v>
      </c>
      <c r="D1571" t="n">
        <v>1089.9</v>
      </c>
    </row>
    <row r="1572">
      <c r="A1572" s="90" t="n">
        <v>35450</v>
      </c>
      <c r="D1572" t="n">
        <v>1081.7</v>
      </c>
    </row>
    <row r="1573">
      <c r="A1573" s="90" t="n">
        <v>35457</v>
      </c>
      <c r="D1573" t="n">
        <v>1075.8</v>
      </c>
    </row>
    <row r="1574">
      <c r="A1574" s="90" t="n">
        <v>35462</v>
      </c>
      <c r="B1574" t="n">
        <v>675.5</v>
      </c>
      <c r="C1574" t="n">
        <v>2408.5</v>
      </c>
      <c r="E1574" t="n">
        <v>3846.3</v>
      </c>
    </row>
    <row r="1575">
      <c r="A1575" s="90" t="n">
        <v>35464</v>
      </c>
      <c r="D1575" t="n">
        <v>1077.2</v>
      </c>
    </row>
    <row r="1576">
      <c r="A1576" s="90" t="n">
        <v>35471</v>
      </c>
      <c r="D1576" t="n">
        <v>1086.5</v>
      </c>
    </row>
    <row r="1577">
      <c r="A1577" s="90" t="n">
        <v>35478</v>
      </c>
      <c r="D1577" t="n">
        <v>1078.2</v>
      </c>
    </row>
    <row r="1578">
      <c r="A1578" s="90" t="n">
        <v>35485</v>
      </c>
      <c r="D1578" t="n">
        <v>1075.3</v>
      </c>
    </row>
    <row r="1579">
      <c r="A1579" s="90" t="n">
        <v>35490</v>
      </c>
      <c r="B1579" t="n">
        <v>671.2</v>
      </c>
      <c r="C1579" t="n">
        <v>2416.3</v>
      </c>
      <c r="E1579" t="n">
        <v>3861.2</v>
      </c>
    </row>
    <row r="1580">
      <c r="A1580" s="90" t="n">
        <v>35492</v>
      </c>
      <c r="D1580" t="n">
        <v>1073.6</v>
      </c>
    </row>
    <row r="1581">
      <c r="A1581" s="90" t="n">
        <v>35499</v>
      </c>
      <c r="D1581" t="n">
        <v>1081.3</v>
      </c>
    </row>
    <row r="1582">
      <c r="A1582" s="90" t="n">
        <v>35506</v>
      </c>
      <c r="D1582" t="n">
        <v>1075.2</v>
      </c>
    </row>
    <row r="1583">
      <c r="A1583" s="90" t="n">
        <v>35513</v>
      </c>
      <c r="D1583" t="n">
        <v>1069.4</v>
      </c>
    </row>
    <row r="1584">
      <c r="A1584" s="90" t="n">
        <v>35520</v>
      </c>
      <c r="D1584" t="n">
        <v>1063.6</v>
      </c>
    </row>
    <row r="1585">
      <c r="A1585" s="90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90" t="n">
        <v>35527</v>
      </c>
      <c r="D1586" t="n">
        <v>1069.7</v>
      </c>
    </row>
    <row r="1587">
      <c r="A1587" s="90" t="n">
        <v>35534</v>
      </c>
      <c r="D1587" t="n">
        <v>1066.6</v>
      </c>
    </row>
    <row r="1588">
      <c r="A1588" s="90" t="n">
        <v>35541</v>
      </c>
      <c r="D1588" t="n">
        <v>1064.1</v>
      </c>
    </row>
    <row r="1589">
      <c r="A1589" s="90" t="n">
        <v>35548</v>
      </c>
      <c r="D1589" t="n">
        <v>1055.5</v>
      </c>
    </row>
    <row r="1590">
      <c r="A1590" s="90" t="n">
        <v>35551</v>
      </c>
      <c r="B1590" t="n">
        <v>665.3</v>
      </c>
      <c r="C1590" t="n">
        <v>2432.3</v>
      </c>
      <c r="E1590" t="n">
        <v>3889.2</v>
      </c>
    </row>
    <row r="1591">
      <c r="A1591" s="90" t="n">
        <v>35555</v>
      </c>
      <c r="D1591" t="n">
        <v>1062.7</v>
      </c>
    </row>
    <row r="1592">
      <c r="A1592" s="90" t="n">
        <v>35562</v>
      </c>
      <c r="D1592" t="n">
        <v>1067.3</v>
      </c>
    </row>
    <row r="1593">
      <c r="A1593" s="90" t="n">
        <v>35569</v>
      </c>
      <c r="D1593" t="n">
        <v>1063.3</v>
      </c>
    </row>
    <row r="1594">
      <c r="A1594" s="90" t="n">
        <v>35576</v>
      </c>
      <c r="D1594" t="n">
        <v>1060.6</v>
      </c>
    </row>
    <row r="1595">
      <c r="A1595" s="90" t="n">
        <v>35582</v>
      </c>
      <c r="B1595" t="n">
        <v>665.5</v>
      </c>
      <c r="C1595" t="n">
        <v>2438.2</v>
      </c>
      <c r="E1595" t="n">
        <v>3906</v>
      </c>
    </row>
    <row r="1596">
      <c r="A1596" s="90" t="n">
        <v>35583</v>
      </c>
      <c r="D1596" t="n">
        <v>1065.1</v>
      </c>
    </row>
    <row r="1597">
      <c r="A1597" s="90" t="n">
        <v>35590</v>
      </c>
      <c r="D1597" t="n">
        <v>1072.3</v>
      </c>
    </row>
    <row r="1598">
      <c r="A1598" s="90" t="n">
        <v>35597</v>
      </c>
      <c r="D1598" t="n">
        <v>1068.6</v>
      </c>
    </row>
    <row r="1599">
      <c r="A1599" s="90" t="n">
        <v>35604</v>
      </c>
      <c r="D1599" t="n">
        <v>1061.7</v>
      </c>
    </row>
    <row r="1600">
      <c r="A1600" s="90" t="n">
        <v>35611</v>
      </c>
      <c r="D1600" t="n">
        <v>1062.1</v>
      </c>
    </row>
    <row r="1601">
      <c r="A1601" s="90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90" t="n">
        <v>35618</v>
      </c>
      <c r="D1602" t="n">
        <v>1065.6</v>
      </c>
    </row>
    <row r="1603">
      <c r="A1603" s="90" t="n">
        <v>35625</v>
      </c>
      <c r="D1603" t="n">
        <v>1069.3</v>
      </c>
    </row>
    <row r="1604">
      <c r="A1604" s="90" t="n">
        <v>35632</v>
      </c>
      <c r="D1604" t="n">
        <v>1064</v>
      </c>
    </row>
    <row r="1605">
      <c r="A1605" s="90" t="n">
        <v>35639</v>
      </c>
      <c r="D1605" t="n">
        <v>1060.6</v>
      </c>
    </row>
    <row r="1606">
      <c r="A1606" s="90" t="n">
        <v>35643</v>
      </c>
      <c r="B1606" t="n">
        <v>668.7</v>
      </c>
      <c r="C1606" t="n">
        <v>2461.1</v>
      </c>
      <c r="E1606" t="n">
        <v>3957.4</v>
      </c>
    </row>
    <row r="1607">
      <c r="A1607" s="90" t="n">
        <v>35646</v>
      </c>
      <c r="D1607" t="n">
        <v>1071</v>
      </c>
    </row>
    <row r="1608">
      <c r="A1608" s="90" t="n">
        <v>35653</v>
      </c>
      <c r="D1608" t="n">
        <v>1080.2</v>
      </c>
    </row>
    <row r="1609">
      <c r="A1609" s="90" t="n">
        <v>35660</v>
      </c>
      <c r="D1609" t="n">
        <v>1076.4</v>
      </c>
    </row>
    <row r="1610">
      <c r="A1610" s="90" t="n">
        <v>35667</v>
      </c>
      <c r="D1610" t="n">
        <v>1074.5</v>
      </c>
    </row>
    <row r="1611">
      <c r="A1611" s="90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90" t="n">
        <v>35681</v>
      </c>
      <c r="D1612" t="n">
        <v>1077.6</v>
      </c>
    </row>
    <row r="1613">
      <c r="A1613" s="90" t="n">
        <v>35688</v>
      </c>
      <c r="D1613" t="n">
        <v>1066.5</v>
      </c>
    </row>
    <row r="1614">
      <c r="A1614" s="90" t="n">
        <v>35695</v>
      </c>
      <c r="D1614" t="n">
        <v>1062.2</v>
      </c>
    </row>
    <row r="1615">
      <c r="A1615" s="90" t="n">
        <v>35702</v>
      </c>
      <c r="D1615" t="n">
        <v>1060.1</v>
      </c>
    </row>
    <row r="1616">
      <c r="A1616" s="90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90" t="n">
        <v>35709</v>
      </c>
      <c r="D1617" t="n">
        <v>1068.8</v>
      </c>
    </row>
    <row r="1618">
      <c r="A1618" s="90" t="n">
        <v>35716</v>
      </c>
      <c r="D1618" t="n">
        <v>1066.3</v>
      </c>
    </row>
    <row r="1619">
      <c r="A1619" s="90" t="n">
        <v>35723</v>
      </c>
      <c r="D1619" t="n">
        <v>1064.5</v>
      </c>
    </row>
    <row r="1620">
      <c r="A1620" s="90" t="n">
        <v>35730</v>
      </c>
      <c r="D1620" t="n">
        <v>1058.7</v>
      </c>
    </row>
    <row r="1621">
      <c r="A1621" s="90" t="n">
        <v>35735</v>
      </c>
      <c r="B1621" t="n">
        <v>662.3</v>
      </c>
      <c r="C1621" t="n">
        <v>2482.9</v>
      </c>
      <c r="E1621" t="n">
        <v>4014.8</v>
      </c>
    </row>
    <row r="1622">
      <c r="A1622" s="90" t="n">
        <v>35737</v>
      </c>
      <c r="D1622" t="n">
        <v>1073.1</v>
      </c>
    </row>
    <row r="1623">
      <c r="A1623" s="90" t="n">
        <v>35744</v>
      </c>
      <c r="D1623" t="n">
        <v>1075.4</v>
      </c>
    </row>
    <row r="1624">
      <c r="A1624" s="90" t="n">
        <v>35751</v>
      </c>
      <c r="D1624" t="n">
        <v>1070.4</v>
      </c>
    </row>
    <row r="1625">
      <c r="A1625" s="90" t="n">
        <v>35758</v>
      </c>
      <c r="D1625" t="n">
        <v>1066.4</v>
      </c>
    </row>
    <row r="1626">
      <c r="A1626" s="90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90" t="n">
        <v>35772</v>
      </c>
      <c r="D1627" t="n">
        <v>1072.2</v>
      </c>
    </row>
    <row r="1628">
      <c r="A1628" s="90" t="n">
        <v>35779</v>
      </c>
      <c r="D1628" t="n">
        <v>1072.9</v>
      </c>
    </row>
    <row r="1629">
      <c r="A1629" s="90" t="n">
        <v>35786</v>
      </c>
      <c r="D1629" t="n">
        <v>1070.6</v>
      </c>
    </row>
    <row r="1630">
      <c r="A1630" s="90" t="n">
        <v>35793</v>
      </c>
      <c r="D1630" t="n">
        <v>1071.4</v>
      </c>
    </row>
    <row r="1631">
      <c r="A1631" s="90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90" t="n">
        <v>35800</v>
      </c>
      <c r="D1632" t="n">
        <v>1080.9</v>
      </c>
    </row>
    <row r="1633">
      <c r="A1633" s="90" t="n">
        <v>35807</v>
      </c>
      <c r="D1633" t="n">
        <v>1078</v>
      </c>
    </row>
    <row r="1634">
      <c r="A1634" s="90" t="n">
        <v>35814</v>
      </c>
      <c r="D1634" t="n">
        <v>1070.3</v>
      </c>
    </row>
    <row r="1635">
      <c r="A1635" s="90" t="n">
        <v>35821</v>
      </c>
      <c r="D1635" t="n">
        <v>1070.9</v>
      </c>
    </row>
    <row r="1636">
      <c r="A1636" s="90" t="n">
        <v>35827</v>
      </c>
      <c r="B1636" t="n">
        <v>665.3</v>
      </c>
      <c r="C1636" t="n">
        <v>2524</v>
      </c>
      <c r="E1636" t="n">
        <v>4088.9</v>
      </c>
    </row>
    <row r="1637">
      <c r="A1637" s="90" t="n">
        <v>35828</v>
      </c>
      <c r="D1637" t="n">
        <v>1072.2</v>
      </c>
    </row>
    <row r="1638">
      <c r="A1638" s="90" t="n">
        <v>35835</v>
      </c>
      <c r="D1638" t="n">
        <v>1080.1</v>
      </c>
    </row>
    <row r="1639">
      <c r="A1639" s="90" t="n">
        <v>35842</v>
      </c>
      <c r="D1639" t="n">
        <v>1077.4</v>
      </c>
    </row>
    <row r="1640">
      <c r="A1640" s="90" t="n">
        <v>35849</v>
      </c>
      <c r="D1640" t="n">
        <v>1076.8</v>
      </c>
    </row>
    <row r="1641">
      <c r="A1641" s="90" t="n">
        <v>35855</v>
      </c>
      <c r="B1641" t="n">
        <v>664.8</v>
      </c>
      <c r="C1641" t="n">
        <v>2539.7</v>
      </c>
      <c r="E1641" t="n">
        <v>4114.3</v>
      </c>
    </row>
    <row r="1642">
      <c r="A1642" s="90" t="n">
        <v>35856</v>
      </c>
      <c r="D1642" t="n">
        <v>1079.3</v>
      </c>
    </row>
    <row r="1643">
      <c r="A1643" s="90" t="n">
        <v>35863</v>
      </c>
      <c r="D1643" t="n">
        <v>1085.8</v>
      </c>
    </row>
    <row r="1644">
      <c r="A1644" s="90" t="n">
        <v>35870</v>
      </c>
      <c r="D1644" t="n">
        <v>1081.7</v>
      </c>
    </row>
    <row r="1645">
      <c r="A1645" s="90" t="n">
        <v>35877</v>
      </c>
      <c r="D1645" t="n">
        <v>1074.4</v>
      </c>
    </row>
    <row r="1646">
      <c r="A1646" s="90" t="n">
        <v>35884</v>
      </c>
      <c r="D1646" t="n">
        <v>1064.8</v>
      </c>
    </row>
    <row r="1647">
      <c r="A1647" s="90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90" t="n">
        <v>35891</v>
      </c>
      <c r="D1648" t="n">
        <v>1079.1</v>
      </c>
    </row>
    <row r="1649">
      <c r="A1649" s="90" t="n">
        <v>35898</v>
      </c>
      <c r="D1649" t="n">
        <v>1078.2</v>
      </c>
    </row>
    <row r="1650">
      <c r="A1650" s="90" t="n">
        <v>35905</v>
      </c>
      <c r="D1650" t="n">
        <v>1079.4</v>
      </c>
    </row>
    <row r="1651">
      <c r="A1651" s="90" t="n">
        <v>35912</v>
      </c>
      <c r="D1651" t="n">
        <v>1068.5</v>
      </c>
    </row>
    <row r="1652">
      <c r="A1652" s="90" t="n">
        <v>35916</v>
      </c>
      <c r="B1652" t="n">
        <v>663.7</v>
      </c>
      <c r="C1652" t="n">
        <v>2561.1</v>
      </c>
      <c r="E1652" t="n">
        <v>4164.4</v>
      </c>
    </row>
    <row r="1653">
      <c r="A1653" s="90" t="n">
        <v>35919</v>
      </c>
      <c r="D1653" t="n">
        <v>1078.9</v>
      </c>
    </row>
    <row r="1654">
      <c r="A1654" s="90" t="n">
        <v>35926</v>
      </c>
      <c r="D1654" t="n">
        <v>1084.4</v>
      </c>
    </row>
    <row r="1655">
      <c r="A1655" s="90" t="n">
        <v>35933</v>
      </c>
      <c r="D1655" t="n">
        <v>1081.2</v>
      </c>
    </row>
    <row r="1656">
      <c r="A1656" s="90" t="n">
        <v>35940</v>
      </c>
      <c r="D1656" t="n">
        <v>1072.9</v>
      </c>
    </row>
    <row r="1657">
      <c r="A1657" s="90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90" t="n">
        <v>35954</v>
      </c>
      <c r="D1658" t="n">
        <v>1081</v>
      </c>
    </row>
    <row r="1659">
      <c r="A1659" s="90" t="n">
        <v>35961</v>
      </c>
      <c r="D1659" t="n">
        <v>1083.8</v>
      </c>
    </row>
    <row r="1660">
      <c r="A1660" s="90" t="n">
        <v>35968</v>
      </c>
      <c r="D1660" t="n">
        <v>1071.8</v>
      </c>
    </row>
    <row r="1661">
      <c r="A1661" s="90" t="n">
        <v>35975</v>
      </c>
      <c r="D1661" t="n">
        <v>1066.9</v>
      </c>
    </row>
    <row r="1662">
      <c r="A1662" s="90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90" t="n">
        <v>35982</v>
      </c>
      <c r="D1663" t="n">
        <v>1083.2</v>
      </c>
    </row>
    <row r="1664">
      <c r="A1664" s="90" t="n">
        <v>35989</v>
      </c>
      <c r="D1664" t="n">
        <v>1075</v>
      </c>
    </row>
    <row r="1665">
      <c r="A1665" s="90" t="n">
        <v>35996</v>
      </c>
      <c r="D1665" t="n">
        <v>1072.7</v>
      </c>
    </row>
    <row r="1666">
      <c r="A1666" s="90" t="n">
        <v>36003</v>
      </c>
      <c r="D1666" t="n">
        <v>1067.7</v>
      </c>
    </row>
    <row r="1667">
      <c r="A1667" s="90" t="n">
        <v>36008</v>
      </c>
      <c r="B1667" t="n">
        <v>658.4</v>
      </c>
      <c r="C1667" t="n">
        <v>2587.9</v>
      </c>
      <c r="E1667" t="n">
        <v>4228.7</v>
      </c>
    </row>
    <row r="1668">
      <c r="A1668" s="90" t="n">
        <v>36010</v>
      </c>
      <c r="D1668" t="n">
        <v>1079.8</v>
      </c>
    </row>
    <row r="1669">
      <c r="A1669" s="90" t="n">
        <v>36017</v>
      </c>
      <c r="D1669" t="n">
        <v>1084.1</v>
      </c>
    </row>
    <row r="1670">
      <c r="A1670" s="90" t="n">
        <v>36024</v>
      </c>
      <c r="D1670" t="n">
        <v>1075.4</v>
      </c>
    </row>
    <row r="1671">
      <c r="A1671" s="90" t="n">
        <v>36031</v>
      </c>
      <c r="D1671" t="n">
        <v>1072.4</v>
      </c>
    </row>
    <row r="1672">
      <c r="A1672" s="90" t="n">
        <v>36038</v>
      </c>
      <c r="D1672" t="n">
        <v>1069.8</v>
      </c>
    </row>
    <row r="1673">
      <c r="A1673" s="90" t="n">
        <v>36039</v>
      </c>
      <c r="B1673" t="n">
        <v>660.5</v>
      </c>
      <c r="C1673" t="n">
        <v>2610.2</v>
      </c>
      <c r="E1673" t="n">
        <v>4267.6</v>
      </c>
    </row>
    <row r="1674">
      <c r="A1674" s="90" t="n">
        <v>36045</v>
      </c>
      <c r="D1674" t="n">
        <v>1076.2</v>
      </c>
    </row>
    <row r="1675">
      <c r="A1675" s="90" t="n">
        <v>36052</v>
      </c>
      <c r="D1675" t="n">
        <v>1083.9</v>
      </c>
    </row>
    <row r="1676">
      <c r="A1676" s="90" t="n">
        <v>36059</v>
      </c>
      <c r="D1676" t="n">
        <v>1083.4</v>
      </c>
    </row>
    <row r="1677">
      <c r="A1677" s="90" t="n">
        <v>36066</v>
      </c>
      <c r="D1677" t="n">
        <v>1074.5</v>
      </c>
    </row>
    <row r="1678">
      <c r="A1678" s="90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90" t="n">
        <v>36073</v>
      </c>
      <c r="D1679" t="n">
        <v>1084.2</v>
      </c>
    </row>
    <row r="1680">
      <c r="A1680" s="90" t="n">
        <v>36080</v>
      </c>
      <c r="D1680" t="n">
        <v>1084</v>
      </c>
    </row>
    <row r="1681">
      <c r="A1681" s="90" t="n">
        <v>36087</v>
      </c>
      <c r="D1681" t="n">
        <v>1086.1</v>
      </c>
    </row>
    <row r="1682">
      <c r="A1682" s="90" t="n">
        <v>36094</v>
      </c>
      <c r="D1682" t="n">
        <v>1086.9</v>
      </c>
    </row>
    <row r="1683">
      <c r="A1683" s="90" t="n">
        <v>36100</v>
      </c>
      <c r="B1683" t="n">
        <v>667.2</v>
      </c>
      <c r="C1683" t="n">
        <v>2648.6</v>
      </c>
      <c r="E1683" t="n">
        <v>4346.4</v>
      </c>
    </row>
    <row r="1684">
      <c r="A1684" s="90" t="n">
        <v>36101</v>
      </c>
      <c r="D1684" t="n">
        <v>1088.9</v>
      </c>
    </row>
    <row r="1685">
      <c r="A1685" s="90" t="n">
        <v>36108</v>
      </c>
      <c r="D1685" t="n">
        <v>1096.1</v>
      </c>
    </row>
    <row r="1686">
      <c r="A1686" s="90" t="n">
        <v>36115</v>
      </c>
      <c r="D1686" t="n">
        <v>1097.2</v>
      </c>
    </row>
    <row r="1687">
      <c r="A1687" s="90" t="n">
        <v>36122</v>
      </c>
      <c r="D1687" t="n">
        <v>1092.4</v>
      </c>
    </row>
    <row r="1688">
      <c r="A1688" s="90" t="n">
        <v>36129</v>
      </c>
      <c r="D1688" t="n">
        <v>1096.1</v>
      </c>
    </row>
    <row r="1689">
      <c r="A1689" s="90" t="n">
        <v>36130</v>
      </c>
      <c r="B1689" t="n">
        <v>666.1</v>
      </c>
      <c r="C1689" t="n">
        <v>2661.3</v>
      </c>
      <c r="E1689" t="n">
        <v>4375.2</v>
      </c>
    </row>
    <row r="1690">
      <c r="A1690" s="90" t="n">
        <v>36136</v>
      </c>
      <c r="D1690" t="n">
        <v>1094.2</v>
      </c>
    </row>
    <row r="1691">
      <c r="A1691" s="90" t="n">
        <v>36143</v>
      </c>
      <c r="D1691" t="n">
        <v>1095.1</v>
      </c>
    </row>
    <row r="1692">
      <c r="A1692" s="90" t="n">
        <v>36150</v>
      </c>
      <c r="D1692" t="n">
        <v>1094.5</v>
      </c>
    </row>
    <row r="1693">
      <c r="A1693" s="90" t="n">
        <v>36157</v>
      </c>
      <c r="D1693" t="n">
        <v>1091.6</v>
      </c>
    </row>
    <row r="1694">
      <c r="A1694" s="90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90" t="n">
        <v>36164</v>
      </c>
      <c r="D1695" t="n">
        <v>1107.1</v>
      </c>
    </row>
    <row r="1696">
      <c r="A1696" s="90" t="n">
        <v>36171</v>
      </c>
      <c r="D1696" t="n">
        <v>1102.7</v>
      </c>
    </row>
    <row r="1697">
      <c r="A1697" s="90" t="n">
        <v>36178</v>
      </c>
      <c r="D1697" t="n">
        <v>1095.3</v>
      </c>
    </row>
    <row r="1698">
      <c r="A1698" s="90" t="n">
        <v>36185</v>
      </c>
      <c r="D1698" t="n">
        <v>1093.9</v>
      </c>
    </row>
    <row r="1699">
      <c r="A1699" s="90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90" t="n">
        <v>36199</v>
      </c>
      <c r="D1700" t="n">
        <v>1095.4</v>
      </c>
    </row>
    <row r="1701">
      <c r="A1701" s="90" t="n">
        <v>36206</v>
      </c>
      <c r="D1701" t="n">
        <v>1097.4</v>
      </c>
    </row>
    <row r="1702">
      <c r="A1702" s="90" t="n">
        <v>36213</v>
      </c>
      <c r="D1702" t="n">
        <v>1099.8</v>
      </c>
    </row>
    <row r="1703">
      <c r="A1703" s="90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90" t="n">
        <v>36227</v>
      </c>
      <c r="D1704" t="n">
        <v>1098.6</v>
      </c>
    </row>
    <row r="1705">
      <c r="A1705" s="90" t="n">
        <v>36234</v>
      </c>
      <c r="D1705" t="n">
        <v>1097.6</v>
      </c>
    </row>
    <row r="1706">
      <c r="A1706" s="90" t="n">
        <v>36241</v>
      </c>
      <c r="D1706" t="n">
        <v>1097.3</v>
      </c>
    </row>
    <row r="1707">
      <c r="A1707" s="90" t="n">
        <v>36248</v>
      </c>
      <c r="D1707" t="n">
        <v>1093.8</v>
      </c>
    </row>
    <row r="1708">
      <c r="A1708" s="90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90" t="n">
        <v>36255</v>
      </c>
      <c r="D1709" t="n">
        <v>1101.5</v>
      </c>
    </row>
    <row r="1710">
      <c r="A1710" s="90" t="n">
        <v>36262</v>
      </c>
      <c r="D1710" t="n">
        <v>1104.2</v>
      </c>
    </row>
    <row r="1711">
      <c r="A1711" s="90" t="n">
        <v>36269</v>
      </c>
      <c r="D1711" t="n">
        <v>1099.5</v>
      </c>
    </row>
    <row r="1712">
      <c r="A1712" s="90" t="n">
        <v>36276</v>
      </c>
      <c r="D1712" t="n">
        <v>1095.1</v>
      </c>
    </row>
    <row r="1713">
      <c r="A1713" s="90" t="n">
        <v>36281</v>
      </c>
      <c r="B1713" t="n">
        <v>664.9</v>
      </c>
      <c r="C1713" t="n">
        <v>2702</v>
      </c>
      <c r="E1713" t="n">
        <v>4485.3</v>
      </c>
    </row>
    <row r="1714">
      <c r="A1714" s="90" t="n">
        <v>36283</v>
      </c>
      <c r="D1714" t="n">
        <v>1109.2</v>
      </c>
    </row>
    <row r="1715">
      <c r="A1715" s="90" t="n">
        <v>36290</v>
      </c>
      <c r="D1715" t="n">
        <v>1109.9</v>
      </c>
    </row>
    <row r="1716">
      <c r="A1716" s="90" t="n">
        <v>36297</v>
      </c>
      <c r="D1716" t="n">
        <v>1102.9</v>
      </c>
    </row>
    <row r="1717">
      <c r="A1717" s="90" t="n">
        <v>36304</v>
      </c>
      <c r="D1717" t="n">
        <v>1099.3</v>
      </c>
    </row>
    <row r="1718">
      <c r="A1718" s="90" t="n">
        <v>36311</v>
      </c>
      <c r="D1718" t="n">
        <v>1099.2</v>
      </c>
    </row>
    <row r="1719">
      <c r="A1719" s="90" t="n">
        <v>36312</v>
      </c>
      <c r="B1719" t="n">
        <v>662.5</v>
      </c>
      <c r="C1719" t="n">
        <v>2715.2</v>
      </c>
      <c r="E1719" t="n">
        <v>4507.2</v>
      </c>
    </row>
    <row r="1720">
      <c r="A1720" s="90" t="n">
        <v>36318</v>
      </c>
      <c r="D1720" t="n">
        <v>1100.6</v>
      </c>
    </row>
    <row r="1721">
      <c r="A1721" s="90" t="n">
        <v>36325</v>
      </c>
      <c r="D1721" t="n">
        <v>1103.1</v>
      </c>
    </row>
    <row r="1722">
      <c r="A1722" s="90" t="n">
        <v>36332</v>
      </c>
      <c r="D1722" t="n">
        <v>1101.6</v>
      </c>
    </row>
    <row r="1723">
      <c r="A1723" s="90" t="n">
        <v>36339</v>
      </c>
      <c r="D1723" t="n">
        <v>1095.1</v>
      </c>
    </row>
    <row r="1724">
      <c r="A1724" s="90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90" t="n">
        <v>36346</v>
      </c>
      <c r="D1725" t="n">
        <v>1091.5</v>
      </c>
    </row>
    <row r="1726">
      <c r="A1726" s="90" t="n">
        <v>36353</v>
      </c>
      <c r="D1726" t="n">
        <v>1107.5</v>
      </c>
    </row>
    <row r="1727">
      <c r="A1727" s="90" t="n">
        <v>36360</v>
      </c>
      <c r="D1727" t="n">
        <v>1097.2</v>
      </c>
    </row>
    <row r="1728">
      <c r="A1728" s="90" t="n">
        <v>36367</v>
      </c>
      <c r="D1728" t="n">
        <v>1096.5</v>
      </c>
    </row>
    <row r="1729">
      <c r="A1729" s="90" t="n">
        <v>36373</v>
      </c>
      <c r="B1729" t="n">
        <v>657.8</v>
      </c>
      <c r="C1729" t="n">
        <v>2723.9</v>
      </c>
      <c r="E1729" t="n">
        <v>4551.7</v>
      </c>
    </row>
    <row r="1730">
      <c r="A1730" s="90" t="n">
        <v>36374</v>
      </c>
      <c r="D1730" t="n">
        <v>1099.9</v>
      </c>
    </row>
    <row r="1731">
      <c r="A1731" s="90" t="n">
        <v>36381</v>
      </c>
      <c r="D1731" t="n">
        <v>1110.9</v>
      </c>
    </row>
    <row r="1732">
      <c r="A1732" s="90" t="n">
        <v>36388</v>
      </c>
      <c r="D1732" t="n">
        <v>1106.2</v>
      </c>
    </row>
    <row r="1733">
      <c r="A1733" s="90" t="n">
        <v>36395</v>
      </c>
      <c r="D1733" t="n">
        <v>1096.9</v>
      </c>
    </row>
    <row r="1734">
      <c r="A1734" s="90" t="n">
        <v>36402</v>
      </c>
      <c r="D1734" t="n">
        <v>1082.8</v>
      </c>
    </row>
    <row r="1735">
      <c r="A1735" s="90" t="n">
        <v>36404</v>
      </c>
      <c r="B1735" t="n">
        <v>653.5</v>
      </c>
      <c r="C1735" t="n">
        <v>2722.1</v>
      </c>
      <c r="E1735" t="n">
        <v>4567.7</v>
      </c>
    </row>
    <row r="1736">
      <c r="A1736" s="90" t="n">
        <v>36409</v>
      </c>
      <c r="D1736" t="n">
        <v>1092.3</v>
      </c>
    </row>
    <row r="1737">
      <c r="A1737" s="90" t="n">
        <v>36416</v>
      </c>
      <c r="D1737" t="n">
        <v>1100.4</v>
      </c>
    </row>
    <row r="1738">
      <c r="A1738" s="90" t="n">
        <v>36423</v>
      </c>
      <c r="D1738" t="n">
        <v>1100.9</v>
      </c>
    </row>
    <row r="1739">
      <c r="A1739" s="90" t="n">
        <v>36430</v>
      </c>
      <c r="D1739" t="n">
        <v>1089.6</v>
      </c>
    </row>
    <row r="1740">
      <c r="A1740" s="90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90" t="n">
        <v>36437</v>
      </c>
      <c r="D1741" t="n">
        <v>1101</v>
      </c>
    </row>
    <row r="1742">
      <c r="A1742" s="90" t="n">
        <v>36444</v>
      </c>
      <c r="D1742" t="n">
        <v>1106.8</v>
      </c>
    </row>
    <row r="1743">
      <c r="A1743" s="90" t="n">
        <v>36451</v>
      </c>
      <c r="D1743" t="n">
        <v>1103</v>
      </c>
    </row>
    <row r="1744">
      <c r="A1744" s="90" t="n">
        <v>36458</v>
      </c>
      <c r="D1744" t="n">
        <v>1101.6</v>
      </c>
    </row>
    <row r="1745">
      <c r="A1745" s="90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90" t="n">
        <v>36472</v>
      </c>
      <c r="D1746" t="n">
        <v>1110.4</v>
      </c>
    </row>
    <row r="1747">
      <c r="A1747" s="90" t="n">
        <v>36479</v>
      </c>
      <c r="D1747" t="n">
        <v>1116.5</v>
      </c>
    </row>
    <row r="1748">
      <c r="A1748" s="90" t="n">
        <v>36486</v>
      </c>
      <c r="D1748" t="n">
        <v>1113</v>
      </c>
    </row>
    <row r="1749">
      <c r="A1749" s="90" t="n">
        <v>36493</v>
      </c>
      <c r="D1749" t="n">
        <v>1104.8</v>
      </c>
    </row>
    <row r="1750">
      <c r="A1750" s="90" t="n">
        <v>36495</v>
      </c>
      <c r="B1750" t="n">
        <v>664.8</v>
      </c>
      <c r="C1750" t="n">
        <v>2747.6</v>
      </c>
      <c r="E1750" t="n">
        <v>4638</v>
      </c>
    </row>
    <row r="1751">
      <c r="A1751" s="90" t="n">
        <v>36500</v>
      </c>
      <c r="D1751" t="n">
        <v>1110.3</v>
      </c>
    </row>
    <row r="1752">
      <c r="A1752" s="90" t="n">
        <v>36507</v>
      </c>
      <c r="D1752" t="n">
        <v>1122</v>
      </c>
    </row>
    <row r="1753">
      <c r="A1753" s="90" t="n">
        <v>36514</v>
      </c>
      <c r="D1753" t="n">
        <v>1120.5</v>
      </c>
    </row>
    <row r="1754">
      <c r="A1754" s="90" t="n">
        <v>36521</v>
      </c>
      <c r="D1754" t="n">
        <v>1126.5</v>
      </c>
    </row>
    <row r="1755">
      <c r="A1755" s="90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90" t="n">
        <v>36528</v>
      </c>
      <c r="D1756" t="n">
        <v>1138.6</v>
      </c>
    </row>
    <row r="1757">
      <c r="A1757" s="90" t="n">
        <v>36535</v>
      </c>
      <c r="D1757" t="n">
        <v>1133.4</v>
      </c>
    </row>
    <row r="1758">
      <c r="A1758" s="90" t="n">
        <v>36542</v>
      </c>
      <c r="D1758" t="n">
        <v>1125.1</v>
      </c>
    </row>
    <row r="1759">
      <c r="A1759" s="90" t="n">
        <v>36549</v>
      </c>
      <c r="D1759" t="n">
        <v>1122.3</v>
      </c>
    </row>
    <row r="1760">
      <c r="A1760" s="90" t="n">
        <v>36556</v>
      </c>
      <c r="D1760" t="n">
        <v>1108.9</v>
      </c>
    </row>
    <row r="1761">
      <c r="A1761" s="90" t="n">
        <v>36557</v>
      </c>
      <c r="B1761" t="n">
        <v>652.1</v>
      </c>
      <c r="C1761" t="n">
        <v>2752.6</v>
      </c>
      <c r="E1761" t="n">
        <v>4679.4</v>
      </c>
    </row>
    <row r="1762">
      <c r="A1762" s="90" t="n">
        <v>36563</v>
      </c>
      <c r="D1762" t="n">
        <v>1114.3</v>
      </c>
    </row>
    <row r="1763">
      <c r="A1763" s="90" t="n">
        <v>36570</v>
      </c>
      <c r="D1763" t="n">
        <v>1112.2</v>
      </c>
    </row>
    <row r="1764">
      <c r="A1764" s="90" t="n">
        <v>36577</v>
      </c>
      <c r="D1764" t="n">
        <v>1106.4</v>
      </c>
    </row>
    <row r="1765">
      <c r="A1765" s="90" t="n">
        <v>36584</v>
      </c>
      <c r="D1765" t="n">
        <v>1101.8</v>
      </c>
    </row>
    <row r="1766">
      <c r="A1766" s="90" t="n">
        <v>36586</v>
      </c>
      <c r="B1766" t="n">
        <v>647.7</v>
      </c>
      <c r="C1766" t="n">
        <v>2754.5</v>
      </c>
      <c r="E1766" t="n">
        <v>4710.2</v>
      </c>
    </row>
    <row r="1767">
      <c r="A1767" s="90" t="n">
        <v>36591</v>
      </c>
      <c r="D1767" t="n">
        <v>1107.1</v>
      </c>
    </row>
    <row r="1768">
      <c r="A1768" s="90" t="n">
        <v>36598</v>
      </c>
      <c r="D1768" t="n">
        <v>1105.5</v>
      </c>
    </row>
    <row r="1769">
      <c r="A1769" s="90" t="n">
        <v>36605</v>
      </c>
      <c r="D1769" t="n">
        <v>1106.5</v>
      </c>
    </row>
    <row r="1770">
      <c r="A1770" s="90" t="n">
        <v>36612</v>
      </c>
      <c r="D1770" t="n">
        <v>1104.9</v>
      </c>
    </row>
    <row r="1771">
      <c r="A1771" s="90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90" t="n">
        <v>36619</v>
      </c>
      <c r="D1772" t="n">
        <v>1117.8</v>
      </c>
    </row>
    <row r="1773">
      <c r="A1773" s="90" t="n">
        <v>36626</v>
      </c>
      <c r="D1773" t="n">
        <v>1121.8</v>
      </c>
    </row>
    <row r="1774">
      <c r="A1774" s="90" t="n">
        <v>36633</v>
      </c>
      <c r="D1774" t="n">
        <v>1118.2</v>
      </c>
    </row>
    <row r="1775">
      <c r="A1775" s="90" t="n">
        <v>36640</v>
      </c>
      <c r="D1775" t="n">
        <v>1114.9</v>
      </c>
    </row>
    <row r="1776">
      <c r="A1776" s="90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90" t="n">
        <v>36654</v>
      </c>
      <c r="D1777" t="n">
        <v>1106.5</v>
      </c>
    </row>
    <row r="1778">
      <c r="A1778" s="90" t="n">
        <v>36661</v>
      </c>
      <c r="D1778" t="n">
        <v>1111.2</v>
      </c>
    </row>
    <row r="1779">
      <c r="A1779" s="90" t="n">
        <v>36668</v>
      </c>
      <c r="D1779" t="n">
        <v>1105.1</v>
      </c>
    </row>
    <row r="1780">
      <c r="A1780" s="90" t="n">
        <v>36675</v>
      </c>
      <c r="D1780" t="n">
        <v>1097.8</v>
      </c>
    </row>
    <row r="1781">
      <c r="A1781" s="90" t="n">
        <v>36678</v>
      </c>
      <c r="B1781" t="n">
        <v>640.3</v>
      </c>
      <c r="C1781" t="n">
        <v>2771.1</v>
      </c>
      <c r="E1781" t="n">
        <v>4771.8</v>
      </c>
    </row>
    <row r="1782">
      <c r="A1782" s="90" t="n">
        <v>36682</v>
      </c>
      <c r="D1782" t="n">
        <v>1102</v>
      </c>
    </row>
    <row r="1783">
      <c r="A1783" s="90" t="n">
        <v>36689</v>
      </c>
      <c r="D1783" t="n">
        <v>1104.4</v>
      </c>
    </row>
    <row r="1784">
      <c r="A1784" s="90" t="n">
        <v>36696</v>
      </c>
      <c r="D1784" t="n">
        <v>1101.1</v>
      </c>
    </row>
    <row r="1785">
      <c r="A1785" s="90" t="n">
        <v>36703</v>
      </c>
      <c r="D1785" t="n">
        <v>1099</v>
      </c>
    </row>
    <row r="1786">
      <c r="A1786" s="90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90" t="n">
        <v>36710</v>
      </c>
      <c r="D1787" t="n">
        <v>1109.4</v>
      </c>
    </row>
    <row r="1788">
      <c r="A1788" s="90" t="n">
        <v>36717</v>
      </c>
      <c r="D1788" t="n">
        <v>1114.6</v>
      </c>
    </row>
    <row r="1789">
      <c r="A1789" s="90" t="n">
        <v>36724</v>
      </c>
      <c r="D1789" t="n">
        <v>1100.9</v>
      </c>
    </row>
    <row r="1790">
      <c r="A1790" s="90" t="n">
        <v>36731</v>
      </c>
      <c r="D1790" t="n">
        <v>1099.5</v>
      </c>
    </row>
    <row r="1791">
      <c r="A1791" s="90" t="n">
        <v>36738</v>
      </c>
      <c r="D1791" t="n">
        <v>1096.2</v>
      </c>
    </row>
    <row r="1792">
      <c r="A1792" s="90" t="n">
        <v>36739</v>
      </c>
      <c r="B1792" t="n">
        <v>637.1</v>
      </c>
      <c r="C1792" t="n">
        <v>2789.5</v>
      </c>
      <c r="E1792" t="n">
        <v>4817.5</v>
      </c>
    </row>
    <row r="1793">
      <c r="A1793" s="90" t="n">
        <v>36745</v>
      </c>
      <c r="D1793" t="n">
        <v>1097.9</v>
      </c>
    </row>
    <row r="1794">
      <c r="A1794" s="90" t="n">
        <v>36752</v>
      </c>
      <c r="D1794" t="n">
        <v>1100.3</v>
      </c>
    </row>
    <row r="1795">
      <c r="A1795" s="90" t="n">
        <v>36759</v>
      </c>
      <c r="D1795" t="n">
        <v>1102.2</v>
      </c>
    </row>
    <row r="1796">
      <c r="A1796" s="90" t="n">
        <v>36766</v>
      </c>
      <c r="D1796" t="n">
        <v>1101.4</v>
      </c>
    </row>
    <row r="1797">
      <c r="A1797" s="90" t="n">
        <v>36770</v>
      </c>
      <c r="B1797" t="n">
        <v>633.5</v>
      </c>
      <c r="C1797" t="n">
        <v>2795.6</v>
      </c>
      <c r="E1797" t="n">
        <v>4853.2</v>
      </c>
    </row>
    <row r="1798">
      <c r="A1798" s="90" t="n">
        <v>36773</v>
      </c>
      <c r="D1798" t="n">
        <v>1097.7</v>
      </c>
    </row>
    <row r="1799">
      <c r="A1799" s="90" t="n">
        <v>36780</v>
      </c>
      <c r="D1799" t="n">
        <v>1106.5</v>
      </c>
    </row>
    <row r="1800">
      <c r="A1800" s="90" t="n">
        <v>36787</v>
      </c>
      <c r="D1800" t="n">
        <v>1098.5</v>
      </c>
    </row>
    <row r="1801">
      <c r="A1801" s="90" t="n">
        <v>36794</v>
      </c>
      <c r="D1801" t="n">
        <v>1096.7</v>
      </c>
    </row>
    <row r="1802">
      <c r="A1802" s="90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90" t="n">
        <v>36801</v>
      </c>
      <c r="D1803" t="n">
        <v>1097.9</v>
      </c>
    </row>
    <row r="1804">
      <c r="A1804" s="90" t="n">
        <v>36808</v>
      </c>
      <c r="D1804" t="n">
        <v>1099.9</v>
      </c>
    </row>
    <row r="1805">
      <c r="A1805" s="90" t="n">
        <v>36815</v>
      </c>
      <c r="D1805" t="n">
        <v>1100.2</v>
      </c>
    </row>
    <row r="1806">
      <c r="A1806" s="90" t="n">
        <v>36822</v>
      </c>
      <c r="D1806" t="n">
        <v>1099.3</v>
      </c>
    </row>
    <row r="1807">
      <c r="A1807" s="90" t="n">
        <v>36829</v>
      </c>
      <c r="D1807" t="n">
        <v>1096.8</v>
      </c>
    </row>
    <row r="1808">
      <c r="A1808" s="90" t="n">
        <v>36831</v>
      </c>
      <c r="B1808" t="n">
        <v>627.1</v>
      </c>
      <c r="C1808" t="n">
        <v>2801.5</v>
      </c>
      <c r="E1808" t="n">
        <v>4880.3</v>
      </c>
    </row>
    <row r="1809">
      <c r="A1809" s="90" t="n">
        <v>36836</v>
      </c>
      <c r="D1809" t="n">
        <v>1091.7</v>
      </c>
    </row>
    <row r="1810">
      <c r="A1810" s="90" t="n">
        <v>36843</v>
      </c>
      <c r="D1810" t="n">
        <v>1089.9</v>
      </c>
    </row>
    <row r="1811">
      <c r="A1811" s="90" t="n">
        <v>36850</v>
      </c>
      <c r="D1811" t="n">
        <v>1093.9</v>
      </c>
    </row>
    <row r="1812">
      <c r="A1812" s="90" t="n">
        <v>36857</v>
      </c>
      <c r="D1812" t="n">
        <v>1096.6</v>
      </c>
    </row>
    <row r="1813">
      <c r="A1813" s="90" t="n">
        <v>36861</v>
      </c>
      <c r="B1813" t="n">
        <v>623.5</v>
      </c>
      <c r="C1813" t="n">
        <v>2820.7</v>
      </c>
      <c r="E1813" t="n">
        <v>4925</v>
      </c>
    </row>
    <row r="1814">
      <c r="A1814" s="90" t="n">
        <v>36864</v>
      </c>
      <c r="D1814" t="n">
        <v>1086.4</v>
      </c>
    </row>
    <row r="1815">
      <c r="A1815" s="90" t="n">
        <v>36871</v>
      </c>
      <c r="D1815" t="n">
        <v>1092.9</v>
      </c>
    </row>
    <row r="1816">
      <c r="A1816" s="90" t="n">
        <v>36878</v>
      </c>
      <c r="D1816" t="n">
        <v>1084.4</v>
      </c>
    </row>
    <row r="1817">
      <c r="A1817" s="90" t="n">
        <v>36885</v>
      </c>
      <c r="D1817" t="n">
        <v>1090.1</v>
      </c>
    </row>
    <row r="1818">
      <c r="A1818" s="90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90" t="n">
        <v>36899</v>
      </c>
      <c r="D1819" t="n">
        <v>1094.2</v>
      </c>
    </row>
    <row r="1820">
      <c r="A1820" s="90" t="n">
        <v>36906</v>
      </c>
      <c r="D1820" t="n">
        <v>1096.2</v>
      </c>
    </row>
    <row r="1821">
      <c r="A1821" s="90" t="n">
        <v>36913</v>
      </c>
      <c r="D1821" t="n">
        <v>1101.7</v>
      </c>
    </row>
    <row r="1822">
      <c r="A1822" s="90" t="n">
        <v>36920</v>
      </c>
      <c r="D1822" t="n">
        <v>1094.8</v>
      </c>
    </row>
    <row r="1823">
      <c r="A1823" s="90" t="n">
        <v>36923</v>
      </c>
      <c r="B1823" t="n">
        <v>625.7</v>
      </c>
      <c r="C1823" t="n">
        <v>2848.9</v>
      </c>
      <c r="E1823" t="n">
        <v>5014.1</v>
      </c>
    </row>
    <row r="1824">
      <c r="A1824" s="90" t="n">
        <v>36927</v>
      </c>
      <c r="D1824" t="n">
        <v>1099.7</v>
      </c>
    </row>
    <row r="1825">
      <c r="A1825" s="90" t="n">
        <v>36934</v>
      </c>
      <c r="D1825" t="n">
        <v>1099.3</v>
      </c>
    </row>
    <row r="1826">
      <c r="A1826" s="90" t="n">
        <v>36941</v>
      </c>
      <c r="D1826" t="n">
        <v>1098.8</v>
      </c>
    </row>
    <row r="1827">
      <c r="A1827" s="90" t="n">
        <v>36948</v>
      </c>
      <c r="D1827" t="n">
        <v>1104.4</v>
      </c>
    </row>
    <row r="1828">
      <c r="A1828" s="90" t="n">
        <v>36951</v>
      </c>
      <c r="B1828" t="n">
        <v>629.7</v>
      </c>
      <c r="C1828" t="n">
        <v>2880.2</v>
      </c>
      <c r="E1828" t="n">
        <v>5072</v>
      </c>
    </row>
    <row r="1829">
      <c r="A1829" s="90" t="n">
        <v>36955</v>
      </c>
      <c r="D1829" t="n">
        <v>1109.3</v>
      </c>
    </row>
    <row r="1830">
      <c r="A1830" s="90" t="n">
        <v>36962</v>
      </c>
      <c r="D1830" t="n">
        <v>1108.3</v>
      </c>
    </row>
    <row r="1831">
      <c r="A1831" s="90" t="n">
        <v>36969</v>
      </c>
      <c r="D1831" t="n">
        <v>1107.7</v>
      </c>
    </row>
    <row r="1832">
      <c r="A1832" s="90" t="n">
        <v>36976</v>
      </c>
      <c r="D1832" t="n">
        <v>1106.7</v>
      </c>
    </row>
    <row r="1833">
      <c r="A1833" s="90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90" t="n">
        <v>36983</v>
      </c>
      <c r="D1834" t="n">
        <v>1113.9</v>
      </c>
    </row>
    <row r="1835">
      <c r="A1835" s="90" t="n">
        <v>36990</v>
      </c>
      <c r="D1835" t="n">
        <v>1114.9</v>
      </c>
    </row>
    <row r="1836">
      <c r="A1836" s="90" t="n">
        <v>36997</v>
      </c>
      <c r="D1836" t="n">
        <v>1118.2</v>
      </c>
    </row>
    <row r="1837">
      <c r="A1837" s="90" t="n">
        <v>37004</v>
      </c>
      <c r="D1837" t="n">
        <v>1117.7</v>
      </c>
    </row>
    <row r="1838">
      <c r="A1838" s="90" t="n">
        <v>37011</v>
      </c>
      <c r="D1838" t="n">
        <v>1116.8</v>
      </c>
    </row>
    <row r="1839">
      <c r="A1839" s="90" t="n">
        <v>37012</v>
      </c>
      <c r="B1839" t="n">
        <v>630.9</v>
      </c>
      <c r="C1839" t="n">
        <v>2895.1</v>
      </c>
      <c r="E1839" t="n">
        <v>5133</v>
      </c>
    </row>
    <row r="1840">
      <c r="A1840" s="90" t="n">
        <v>37018</v>
      </c>
      <c r="D1840" t="n">
        <v>1113.9</v>
      </c>
    </row>
    <row r="1841">
      <c r="A1841" s="90" t="n">
        <v>37025</v>
      </c>
      <c r="D1841" t="n">
        <v>1117.5</v>
      </c>
    </row>
    <row r="1842">
      <c r="A1842" s="90" t="n">
        <v>37032</v>
      </c>
      <c r="D1842" t="n">
        <v>1122.3</v>
      </c>
    </row>
    <row r="1843">
      <c r="A1843" s="90" t="n">
        <v>37039</v>
      </c>
      <c r="D1843" t="n">
        <v>1117.4</v>
      </c>
    </row>
    <row r="1844">
      <c r="A1844" s="90" t="n">
        <v>37043</v>
      </c>
      <c r="B1844" t="n">
        <v>633.8</v>
      </c>
      <c r="C1844" t="n">
        <v>2911.4</v>
      </c>
      <c r="E1844" t="n">
        <v>5173.5</v>
      </c>
    </row>
    <row r="1845">
      <c r="A1845" s="90" t="n">
        <v>37046</v>
      </c>
      <c r="D1845" t="n">
        <v>1125.2</v>
      </c>
    </row>
    <row r="1846">
      <c r="A1846" s="90" t="n">
        <v>37053</v>
      </c>
      <c r="D1846" t="n">
        <v>1126.2</v>
      </c>
    </row>
    <row r="1847">
      <c r="A1847" s="90" t="n">
        <v>37060</v>
      </c>
      <c r="D1847" t="n">
        <v>1126.4</v>
      </c>
    </row>
    <row r="1848">
      <c r="A1848" s="90" t="n">
        <v>37067</v>
      </c>
      <c r="D1848" t="n">
        <v>1124.1</v>
      </c>
    </row>
    <row r="1849">
      <c r="A1849" s="90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90" t="n">
        <v>37074</v>
      </c>
      <c r="D1850" t="n">
        <v>1129.9</v>
      </c>
    </row>
    <row r="1851">
      <c r="A1851" s="90" t="n">
        <v>37081</v>
      </c>
      <c r="D1851" t="n">
        <v>1133.9</v>
      </c>
    </row>
    <row r="1852">
      <c r="A1852" s="90" t="n">
        <v>37088</v>
      </c>
      <c r="D1852" t="n">
        <v>1142.1</v>
      </c>
    </row>
    <row r="1853">
      <c r="A1853" s="90" t="n">
        <v>37095</v>
      </c>
      <c r="D1853" t="n">
        <v>1142</v>
      </c>
    </row>
    <row r="1854">
      <c r="A1854" s="90" t="n">
        <v>37102</v>
      </c>
      <c r="D1854" t="n">
        <v>1139.4</v>
      </c>
    </row>
    <row r="1855">
      <c r="A1855" s="90" t="n">
        <v>37104</v>
      </c>
      <c r="B1855" t="n">
        <v>648.4</v>
      </c>
      <c r="C1855" t="n">
        <v>2952.2</v>
      </c>
      <c r="E1855" t="n">
        <v>5237.2</v>
      </c>
    </row>
    <row r="1856">
      <c r="A1856" s="90" t="n">
        <v>37109</v>
      </c>
      <c r="D1856" t="n">
        <v>1143.3</v>
      </c>
    </row>
    <row r="1857">
      <c r="A1857" s="90" t="n">
        <v>37116</v>
      </c>
      <c r="D1857" t="n">
        <v>1148.6</v>
      </c>
    </row>
    <row r="1858">
      <c r="A1858" s="90" t="n">
        <v>37123</v>
      </c>
      <c r="D1858" t="n">
        <v>1149.9</v>
      </c>
    </row>
    <row r="1859">
      <c r="A1859" s="90" t="n">
        <v>37130</v>
      </c>
      <c r="D1859" t="n">
        <v>1149</v>
      </c>
    </row>
    <row r="1860">
      <c r="A1860" s="90" t="n">
        <v>37135</v>
      </c>
      <c r="B1860" t="n">
        <v>677</v>
      </c>
      <c r="C1860" t="n">
        <v>3003</v>
      </c>
      <c r="E1860" t="n">
        <v>5348.4</v>
      </c>
    </row>
    <row r="1861">
      <c r="A1861" s="90" t="n">
        <v>37137</v>
      </c>
      <c r="D1861" t="n">
        <v>1165.5</v>
      </c>
    </row>
    <row r="1862">
      <c r="A1862" s="90" t="n">
        <v>37144</v>
      </c>
      <c r="D1862" t="n">
        <v>1167</v>
      </c>
    </row>
    <row r="1863">
      <c r="A1863" s="90" t="n">
        <v>37151</v>
      </c>
      <c r="D1863" t="n">
        <v>1292</v>
      </c>
    </row>
    <row r="1864">
      <c r="A1864" s="90" t="n">
        <v>37158</v>
      </c>
      <c r="D1864" t="n">
        <v>1206.1</v>
      </c>
    </row>
    <row r="1865">
      <c r="A1865" s="90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90" t="n">
        <v>37172</v>
      </c>
      <c r="D1866" t="n">
        <v>1166.9</v>
      </c>
    </row>
    <row r="1867">
      <c r="A1867" s="90" t="n">
        <v>37179</v>
      </c>
      <c r="D1867" t="n">
        <v>1166.7</v>
      </c>
    </row>
    <row r="1868">
      <c r="A1868" s="90" t="n">
        <v>37186</v>
      </c>
      <c r="D1868" t="n">
        <v>1167.2</v>
      </c>
    </row>
    <row r="1869">
      <c r="A1869" s="90" t="n">
        <v>37193</v>
      </c>
      <c r="D1869" t="n">
        <v>1161.2</v>
      </c>
    </row>
    <row r="1870">
      <c r="A1870" s="90" t="n">
        <v>37196</v>
      </c>
      <c r="B1870" t="n">
        <v>659.7</v>
      </c>
      <c r="C1870" t="n">
        <v>3031.4</v>
      </c>
      <c r="E1870" t="n">
        <v>5380.8</v>
      </c>
    </row>
    <row r="1871">
      <c r="A1871" s="90" t="n">
        <v>37200</v>
      </c>
      <c r="D1871" t="n">
        <v>1164.8</v>
      </c>
    </row>
    <row r="1872">
      <c r="A1872" s="90" t="n">
        <v>37207</v>
      </c>
      <c r="D1872" t="n">
        <v>1170.2</v>
      </c>
    </row>
    <row r="1873">
      <c r="A1873" s="90" t="n">
        <v>37214</v>
      </c>
      <c r="D1873" t="n">
        <v>1171.9</v>
      </c>
    </row>
    <row r="1874">
      <c r="A1874" s="90" t="n">
        <v>37221</v>
      </c>
      <c r="D1874" t="n">
        <v>1172.1</v>
      </c>
    </row>
    <row r="1875">
      <c r="A1875" s="90" t="n">
        <v>37226</v>
      </c>
      <c r="B1875" t="n">
        <v>667</v>
      </c>
      <c r="C1875" t="n">
        <v>3063</v>
      </c>
      <c r="E1875" t="n">
        <v>5433.8</v>
      </c>
    </row>
    <row r="1876">
      <c r="A1876" s="90" t="n">
        <v>37228</v>
      </c>
      <c r="D1876" t="n">
        <v>1176.5</v>
      </c>
    </row>
    <row r="1877">
      <c r="A1877" s="90" t="n">
        <v>37235</v>
      </c>
      <c r="D1877" t="n">
        <v>1186.3</v>
      </c>
    </row>
    <row r="1878">
      <c r="A1878" s="90" t="n">
        <v>37242</v>
      </c>
      <c r="D1878" t="n">
        <v>1183.6</v>
      </c>
    </row>
    <row r="1879">
      <c r="A1879" s="90" t="n">
        <v>37249</v>
      </c>
      <c r="D1879" t="n">
        <v>1181.7</v>
      </c>
    </row>
    <row r="1880">
      <c r="A1880" s="90" t="n">
        <v>37256</v>
      </c>
      <c r="D1880" t="n">
        <v>1184.2</v>
      </c>
    </row>
    <row r="1881">
      <c r="A1881" s="90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90" t="n">
        <v>37263</v>
      </c>
      <c r="D1882" t="n">
        <v>1190.3</v>
      </c>
    </row>
    <row r="1883">
      <c r="A1883" s="90" t="n">
        <v>37270</v>
      </c>
      <c r="D1883" t="n">
        <v>1194.6</v>
      </c>
    </row>
    <row r="1884">
      <c r="A1884" s="90" t="n">
        <v>37277</v>
      </c>
      <c r="D1884" t="n">
        <v>1193.6</v>
      </c>
    </row>
    <row r="1885">
      <c r="A1885" s="90" t="n">
        <v>37284</v>
      </c>
      <c r="D1885" t="n">
        <v>1184.6</v>
      </c>
    </row>
    <row r="1886">
      <c r="A1886" s="90" t="n">
        <v>37288</v>
      </c>
      <c r="B1886" t="n">
        <v>668.9</v>
      </c>
      <c r="C1886" t="n">
        <v>3080.6</v>
      </c>
      <c r="E1886" t="n">
        <v>5483.4</v>
      </c>
    </row>
    <row r="1887">
      <c r="A1887" s="90" t="n">
        <v>37291</v>
      </c>
      <c r="D1887" t="n">
        <v>1189.5</v>
      </c>
    </row>
    <row r="1888">
      <c r="A1888" s="90" t="n">
        <v>37298</v>
      </c>
      <c r="D1888" t="n">
        <v>1190.4</v>
      </c>
    </row>
    <row r="1889">
      <c r="A1889" s="90" t="n">
        <v>37305</v>
      </c>
      <c r="D1889" t="n">
        <v>1192.4</v>
      </c>
    </row>
    <row r="1890">
      <c r="A1890" s="90" t="n">
        <v>37312</v>
      </c>
      <c r="D1890" t="n">
        <v>1189.4</v>
      </c>
    </row>
    <row r="1891">
      <c r="A1891" s="90" t="n">
        <v>37316</v>
      </c>
      <c r="B1891" t="n">
        <v>668.5</v>
      </c>
      <c r="C1891" t="n">
        <v>3078.5</v>
      </c>
      <c r="E1891" t="n">
        <v>5495.2</v>
      </c>
    </row>
    <row r="1892">
      <c r="A1892" s="90" t="n">
        <v>37319</v>
      </c>
      <c r="D1892" t="n">
        <v>1191.1</v>
      </c>
    </row>
    <row r="1893">
      <c r="A1893" s="90" t="n">
        <v>37326</v>
      </c>
      <c r="D1893" t="n">
        <v>1198.6</v>
      </c>
    </row>
    <row r="1894">
      <c r="A1894" s="90" t="n">
        <v>37333</v>
      </c>
      <c r="D1894" t="n">
        <v>1196.1</v>
      </c>
    </row>
    <row r="1895">
      <c r="A1895" s="90" t="n">
        <v>37340</v>
      </c>
      <c r="D1895" t="n">
        <v>1193</v>
      </c>
    </row>
    <row r="1896">
      <c r="A1896" s="90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90" t="n">
        <v>37354</v>
      </c>
      <c r="D1897" t="n">
        <v>1185.1</v>
      </c>
    </row>
    <row r="1898">
      <c r="A1898" s="90" t="n">
        <v>37361</v>
      </c>
      <c r="D1898" t="n">
        <v>1187.5</v>
      </c>
    </row>
    <row r="1899">
      <c r="A1899" s="90" t="n">
        <v>37368</v>
      </c>
      <c r="D1899" t="n">
        <v>1188</v>
      </c>
    </row>
    <row r="1900">
      <c r="A1900" s="90" t="n">
        <v>37375</v>
      </c>
      <c r="D1900" t="n">
        <v>1187.9</v>
      </c>
    </row>
    <row r="1901">
      <c r="A1901" s="90" t="n">
        <v>37377</v>
      </c>
      <c r="B1901" t="n">
        <v>662.6</v>
      </c>
      <c r="C1901" t="n">
        <v>3076</v>
      </c>
      <c r="E1901" t="n">
        <v>5521.5</v>
      </c>
    </row>
    <row r="1902">
      <c r="A1902" s="90" t="n">
        <v>37382</v>
      </c>
      <c r="D1902" t="n">
        <v>1181.1</v>
      </c>
    </row>
    <row r="1903">
      <c r="A1903" s="90" t="n">
        <v>37389</v>
      </c>
      <c r="D1903" t="n">
        <v>1186.1</v>
      </c>
    </row>
    <row r="1904">
      <c r="A1904" s="90" t="n">
        <v>37396</v>
      </c>
      <c r="D1904" t="n">
        <v>1188.1</v>
      </c>
    </row>
    <row r="1905">
      <c r="A1905" s="90" t="n">
        <v>37403</v>
      </c>
      <c r="D1905" t="n">
        <v>1192.2</v>
      </c>
    </row>
    <row r="1906">
      <c r="A1906" s="90" t="n">
        <v>37408</v>
      </c>
      <c r="B1906" t="n">
        <v>664.4</v>
      </c>
      <c r="C1906" t="n">
        <v>3088.3</v>
      </c>
      <c r="E1906" t="n">
        <v>5546.5</v>
      </c>
    </row>
    <row r="1907">
      <c r="A1907" s="90" t="n">
        <v>37410</v>
      </c>
      <c r="D1907" t="n">
        <v>1204.2</v>
      </c>
    </row>
    <row r="1908">
      <c r="A1908" s="90" t="n">
        <v>37417</v>
      </c>
      <c r="D1908" t="n">
        <v>1192.3</v>
      </c>
    </row>
    <row r="1909">
      <c r="A1909" s="90" t="n">
        <v>37424</v>
      </c>
      <c r="D1909" t="n">
        <v>1188.9</v>
      </c>
    </row>
    <row r="1910">
      <c r="A1910" s="90" t="n">
        <v>37431</v>
      </c>
      <c r="D1910" t="n">
        <v>1193.3</v>
      </c>
    </row>
    <row r="1911">
      <c r="A1911" s="90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90" t="n">
        <v>37445</v>
      </c>
      <c r="D1912" t="n">
        <v>1193.4</v>
      </c>
    </row>
    <row r="1913">
      <c r="A1913" s="90" t="n">
        <v>37452</v>
      </c>
      <c r="D1913" t="n">
        <v>1202</v>
      </c>
    </row>
    <row r="1914">
      <c r="A1914" s="90" t="n">
        <v>37459</v>
      </c>
      <c r="D1914" t="n">
        <v>1203.1</v>
      </c>
    </row>
    <row r="1915">
      <c r="A1915" s="90" t="n">
        <v>37466</v>
      </c>
      <c r="D1915" t="n">
        <v>1203.7</v>
      </c>
    </row>
    <row r="1916">
      <c r="A1916" s="90" t="n">
        <v>37469</v>
      </c>
      <c r="B1916" t="n">
        <v>657.7</v>
      </c>
      <c r="C1916" t="n">
        <v>3120</v>
      </c>
      <c r="E1916" t="n">
        <v>5631.6</v>
      </c>
    </row>
    <row r="1917">
      <c r="A1917" s="90" t="n">
        <v>37473</v>
      </c>
      <c r="D1917" t="n">
        <v>1181.6</v>
      </c>
    </row>
    <row r="1918">
      <c r="A1918" s="90" t="n">
        <v>37480</v>
      </c>
      <c r="D1918" t="n">
        <v>1182.1</v>
      </c>
    </row>
    <row r="1919">
      <c r="A1919" s="90" t="n">
        <v>37487</v>
      </c>
      <c r="D1919" t="n">
        <v>1182.6</v>
      </c>
    </row>
    <row r="1920">
      <c r="A1920" s="90" t="n">
        <v>37494</v>
      </c>
      <c r="D1920" t="n">
        <v>1188.8</v>
      </c>
    </row>
    <row r="1921">
      <c r="A1921" s="90" t="n">
        <v>37500</v>
      </c>
      <c r="B1921" t="n">
        <v>661.6</v>
      </c>
      <c r="C1921" t="n">
        <v>3128.3</v>
      </c>
      <c r="E1921" t="n">
        <v>5656</v>
      </c>
    </row>
    <row r="1922">
      <c r="A1922" s="90" t="n">
        <v>37501</v>
      </c>
      <c r="D1922" t="n">
        <v>1203.3</v>
      </c>
    </row>
    <row r="1923">
      <c r="A1923" s="90" t="n">
        <v>37508</v>
      </c>
      <c r="D1923" t="n">
        <v>1191.5</v>
      </c>
    </row>
    <row r="1924">
      <c r="A1924" s="90" t="n">
        <v>37515</v>
      </c>
      <c r="D1924" t="n">
        <v>1191.8</v>
      </c>
    </row>
    <row r="1925">
      <c r="A1925" s="90" t="n">
        <v>37522</v>
      </c>
      <c r="D1925" t="n">
        <v>1192.8</v>
      </c>
    </row>
    <row r="1926">
      <c r="A1926" s="90" t="n">
        <v>37529</v>
      </c>
      <c r="D1926" t="n">
        <v>1206.3</v>
      </c>
    </row>
    <row r="1927">
      <c r="A1927" s="90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90" t="n">
        <v>37536</v>
      </c>
      <c r="D1928" t="n">
        <v>1188.1</v>
      </c>
    </row>
    <row r="1929">
      <c r="A1929" s="90" t="n">
        <v>37543</v>
      </c>
      <c r="D1929" t="n">
        <v>1206.7</v>
      </c>
    </row>
    <row r="1930">
      <c r="A1930" s="90" t="n">
        <v>37550</v>
      </c>
      <c r="D1930" t="n">
        <v>1207.4</v>
      </c>
    </row>
    <row r="1931">
      <c r="A1931" s="90" t="n">
        <v>37557</v>
      </c>
      <c r="D1931" t="n">
        <v>1212.1</v>
      </c>
    </row>
    <row r="1932">
      <c r="A1932" s="90" t="n">
        <v>37561</v>
      </c>
      <c r="B1932" t="n">
        <v>666.4</v>
      </c>
      <c r="C1932" t="n">
        <v>3168.4</v>
      </c>
      <c r="E1932" t="n">
        <v>5750.6</v>
      </c>
    </row>
    <row r="1933">
      <c r="A1933" s="90" t="n">
        <v>37564</v>
      </c>
      <c r="D1933" t="n">
        <v>1208</v>
      </c>
    </row>
    <row r="1934">
      <c r="A1934" s="90" t="n">
        <v>37571</v>
      </c>
      <c r="D1934" t="n">
        <v>1208.5</v>
      </c>
    </row>
    <row r="1935">
      <c r="A1935" s="90" t="n">
        <v>37578</v>
      </c>
      <c r="D1935" t="n">
        <v>1205.4</v>
      </c>
    </row>
    <row r="1936">
      <c r="A1936" s="90" t="n">
        <v>37585</v>
      </c>
      <c r="D1936" t="n">
        <v>1203.8</v>
      </c>
    </row>
    <row r="1937">
      <c r="A1937" s="90" t="n">
        <v>37591</v>
      </c>
      <c r="B1937" t="n">
        <v>671.2</v>
      </c>
      <c r="C1937" t="n">
        <v>3174.9</v>
      </c>
      <c r="E1937" t="n">
        <v>5772</v>
      </c>
    </row>
    <row r="1938">
      <c r="A1938" s="90" t="n">
        <v>37592</v>
      </c>
      <c r="D1938" t="n">
        <v>1226.5</v>
      </c>
    </row>
    <row r="1939">
      <c r="A1939" s="90" t="n">
        <v>37599</v>
      </c>
      <c r="D1939" t="n">
        <v>1218.8</v>
      </c>
    </row>
    <row r="1940">
      <c r="A1940" s="90" t="n">
        <v>37606</v>
      </c>
      <c r="D1940" t="n">
        <v>1217.3</v>
      </c>
    </row>
    <row r="1941">
      <c r="A1941" s="90" t="n">
        <v>37613</v>
      </c>
      <c r="D1941" t="n">
        <v>1223.4</v>
      </c>
    </row>
    <row r="1942">
      <c r="A1942" s="90" t="n">
        <v>37620</v>
      </c>
      <c r="D1942" t="n">
        <v>1220.2</v>
      </c>
    </row>
    <row r="1943">
      <c r="A1943" s="90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90" t="n">
        <v>37627</v>
      </c>
      <c r="D1944" t="n">
        <v>1215.7</v>
      </c>
    </row>
    <row r="1945">
      <c r="A1945" s="90" t="n">
        <v>37634</v>
      </c>
      <c r="D1945" t="n">
        <v>1221.8</v>
      </c>
    </row>
    <row r="1946">
      <c r="A1946" s="90" t="n">
        <v>37641</v>
      </c>
      <c r="D1946" t="n">
        <v>1229.7</v>
      </c>
    </row>
    <row r="1947">
      <c r="A1947" s="90" t="n">
        <v>37648</v>
      </c>
      <c r="D1947" t="n">
        <v>1229.4</v>
      </c>
    </row>
    <row r="1948">
      <c r="A1948" s="90" t="n">
        <v>37653</v>
      </c>
      <c r="B1948" t="n">
        <v>674.4</v>
      </c>
      <c r="C1948" t="n">
        <v>3181.2</v>
      </c>
      <c r="E1948" t="n">
        <v>5840.7</v>
      </c>
    </row>
    <row r="1949">
      <c r="A1949" s="90" t="n">
        <v>37655</v>
      </c>
      <c r="D1949" t="n">
        <v>1246.6</v>
      </c>
    </row>
    <row r="1950">
      <c r="A1950" s="90" t="n">
        <v>37662</v>
      </c>
      <c r="D1950" t="n">
        <v>1234.2</v>
      </c>
    </row>
    <row r="1951">
      <c r="A1951" s="90" t="n">
        <v>37669</v>
      </c>
      <c r="D1951" t="n">
        <v>1241.1</v>
      </c>
    </row>
    <row r="1952">
      <c r="A1952" s="90" t="n">
        <v>37676</v>
      </c>
      <c r="D1952" t="n">
        <v>1231.3</v>
      </c>
    </row>
    <row r="1953">
      <c r="A1953" s="90" t="n">
        <v>37681</v>
      </c>
      <c r="B1953" t="n">
        <v>673.9</v>
      </c>
      <c r="C1953" t="n">
        <v>3187.3</v>
      </c>
      <c r="E1953" t="n">
        <v>5861.4</v>
      </c>
    </row>
    <row r="1954">
      <c r="A1954" s="90" t="n">
        <v>37683</v>
      </c>
      <c r="D1954" t="n">
        <v>1245.6</v>
      </c>
    </row>
    <row r="1955">
      <c r="A1955" s="90" t="n">
        <v>37690</v>
      </c>
      <c r="D1955" t="n">
        <v>1242.5</v>
      </c>
    </row>
    <row r="1956">
      <c r="A1956" s="90" t="n">
        <v>37697</v>
      </c>
      <c r="D1956" t="n">
        <v>1235.9</v>
      </c>
    </row>
    <row r="1957">
      <c r="A1957" s="90" t="n">
        <v>37704</v>
      </c>
      <c r="D1957" t="n">
        <v>1235.9</v>
      </c>
    </row>
    <row r="1958">
      <c r="A1958" s="90" t="n">
        <v>37711</v>
      </c>
      <c r="D1958" t="n">
        <v>1240.4</v>
      </c>
    </row>
    <row r="1959">
      <c r="A1959" s="90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90" t="n">
        <v>37718</v>
      </c>
      <c r="D1960" t="n">
        <v>1235.8</v>
      </c>
    </row>
    <row r="1961">
      <c r="A1961" s="90" t="n">
        <v>37725</v>
      </c>
      <c r="D1961" t="n">
        <v>1249.9</v>
      </c>
    </row>
    <row r="1962">
      <c r="A1962" s="90" t="n">
        <v>37732</v>
      </c>
      <c r="D1962" t="n">
        <v>1255.9</v>
      </c>
    </row>
    <row r="1963">
      <c r="A1963" s="90" t="n">
        <v>37739</v>
      </c>
      <c r="D1963" t="n">
        <v>1255.4</v>
      </c>
    </row>
    <row r="1964">
      <c r="A1964" s="90" t="n">
        <v>37742</v>
      </c>
      <c r="B1964" t="n">
        <v>693.7</v>
      </c>
      <c r="C1964" t="n">
        <v>3258.2</v>
      </c>
      <c r="E1964" t="n">
        <v>5959.3</v>
      </c>
    </row>
    <row r="1965">
      <c r="A1965" s="90" t="n">
        <v>37746</v>
      </c>
      <c r="D1965" t="n">
        <v>1261.2</v>
      </c>
    </row>
    <row r="1966">
      <c r="A1966" s="90" t="n">
        <v>37753</v>
      </c>
      <c r="D1966" t="n">
        <v>1268.8</v>
      </c>
    </row>
    <row r="1967">
      <c r="A1967" s="90" t="n">
        <v>37760</v>
      </c>
      <c r="D1967" t="n">
        <v>1268.2</v>
      </c>
    </row>
    <row r="1968">
      <c r="A1968" s="90" t="n">
        <v>37767</v>
      </c>
      <c r="D1968" t="n">
        <v>1269.5</v>
      </c>
    </row>
    <row r="1969">
      <c r="A1969" s="90" t="n">
        <v>37773</v>
      </c>
      <c r="B1969" t="n">
        <v>699.6</v>
      </c>
      <c r="C1969" t="n">
        <v>3274.7</v>
      </c>
      <c r="E1969" t="n">
        <v>5996</v>
      </c>
    </row>
    <row r="1970">
      <c r="A1970" s="90" t="n">
        <v>37774</v>
      </c>
      <c r="D1970" t="n">
        <v>1276.4</v>
      </c>
    </row>
    <row r="1971">
      <c r="A1971" s="90" t="n">
        <v>37781</v>
      </c>
      <c r="D1971" t="n">
        <v>1279.1</v>
      </c>
    </row>
    <row r="1972">
      <c r="A1972" s="90" t="n">
        <v>37788</v>
      </c>
      <c r="D1972" t="n">
        <v>1287.6</v>
      </c>
    </row>
    <row r="1973">
      <c r="A1973" s="90" t="n">
        <v>37795</v>
      </c>
      <c r="D1973" t="n">
        <v>1276.9</v>
      </c>
    </row>
    <row r="1974">
      <c r="A1974" s="90" t="n">
        <v>37802</v>
      </c>
      <c r="D1974" t="n">
        <v>1281.7</v>
      </c>
    </row>
    <row r="1975">
      <c r="A1975" s="90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90" t="n">
        <v>37809</v>
      </c>
      <c r="D1976" t="n">
        <v>1276.4</v>
      </c>
    </row>
    <row r="1977">
      <c r="A1977" s="90" t="n">
        <v>37816</v>
      </c>
      <c r="D1977" t="n">
        <v>1289.1</v>
      </c>
    </row>
    <row r="1978">
      <c r="A1978" s="90" t="n">
        <v>37823</v>
      </c>
      <c r="D1978" t="n">
        <v>1292.1</v>
      </c>
    </row>
    <row r="1979">
      <c r="A1979" s="90" t="n">
        <v>37830</v>
      </c>
      <c r="D1979" t="n">
        <v>1286.4</v>
      </c>
    </row>
    <row r="1980">
      <c r="A1980" s="90" t="n">
        <v>37834</v>
      </c>
      <c r="B1980" t="n">
        <v>702.7</v>
      </c>
      <c r="C1980" t="n">
        <v>3306.7</v>
      </c>
      <c r="E1980" t="n">
        <v>6100.8</v>
      </c>
    </row>
    <row r="1981">
      <c r="A1981" s="90" t="n">
        <v>37837</v>
      </c>
      <c r="D1981" t="n">
        <v>1301.4</v>
      </c>
    </row>
    <row r="1982">
      <c r="A1982" s="90" t="n">
        <v>37844</v>
      </c>
      <c r="D1982" t="n">
        <v>1295.4</v>
      </c>
    </row>
    <row r="1983">
      <c r="A1983" s="90" t="n">
        <v>37851</v>
      </c>
      <c r="D1983" t="n">
        <v>1309.5</v>
      </c>
    </row>
    <row r="1984">
      <c r="A1984" s="90" t="n">
        <v>37858</v>
      </c>
      <c r="D1984" t="n">
        <v>1288.4</v>
      </c>
    </row>
    <row r="1985">
      <c r="A1985" s="90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90" t="n">
        <v>37872</v>
      </c>
      <c r="D1986" t="n">
        <v>1295.1</v>
      </c>
    </row>
    <row r="1987">
      <c r="A1987" s="90" t="n">
        <v>37879</v>
      </c>
      <c r="D1987" t="n">
        <v>1299.9</v>
      </c>
    </row>
    <row r="1988">
      <c r="A1988" s="90" t="n">
        <v>37886</v>
      </c>
      <c r="D1988" t="n">
        <v>1299.4</v>
      </c>
    </row>
    <row r="1989">
      <c r="A1989" s="90" t="n">
        <v>37893</v>
      </c>
      <c r="D1989" t="n">
        <v>1297.1</v>
      </c>
    </row>
    <row r="1990">
      <c r="A1990" s="90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90" t="n">
        <v>37900</v>
      </c>
      <c r="D1991" t="n">
        <v>1285.8</v>
      </c>
    </row>
    <row r="1992">
      <c r="A1992" s="90" t="n">
        <v>37907</v>
      </c>
      <c r="D1992" t="n">
        <v>1297</v>
      </c>
    </row>
    <row r="1993">
      <c r="A1993" s="90" t="n">
        <v>37914</v>
      </c>
      <c r="D1993" t="n">
        <v>1297.8</v>
      </c>
    </row>
    <row r="1994">
      <c r="A1994" s="90" t="n">
        <v>37921</v>
      </c>
      <c r="D1994" t="n">
        <v>1298.2</v>
      </c>
    </row>
    <row r="1995">
      <c r="A1995" s="90" t="n">
        <v>37926</v>
      </c>
      <c r="B1995" t="n">
        <v>702.2</v>
      </c>
      <c r="C1995" t="n">
        <v>3280.6</v>
      </c>
      <c r="E1995" t="n">
        <v>6069.1</v>
      </c>
    </row>
    <row r="1996">
      <c r="A1996" s="90" t="n">
        <v>37928</v>
      </c>
      <c r="D1996" t="n">
        <v>1316.5</v>
      </c>
    </row>
    <row r="1997">
      <c r="A1997" s="90" t="n">
        <v>37935</v>
      </c>
      <c r="D1997" t="n">
        <v>1306.2</v>
      </c>
    </row>
    <row r="1998">
      <c r="A1998" s="90" t="n">
        <v>37942</v>
      </c>
      <c r="D1998" t="n">
        <v>1297.7</v>
      </c>
    </row>
    <row r="1999">
      <c r="A1999" s="90" t="n">
        <v>37949</v>
      </c>
      <c r="D1999" t="n">
        <v>1293</v>
      </c>
    </row>
    <row r="2000">
      <c r="A2000" s="90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90" t="n">
        <v>37963</v>
      </c>
      <c r="D2001" t="n">
        <v>1304.9</v>
      </c>
    </row>
    <row r="2002">
      <c r="A2002" s="90" t="n">
        <v>37970</v>
      </c>
      <c r="D2002" t="n">
        <v>1311.8</v>
      </c>
    </row>
    <row r="2003">
      <c r="A2003" s="90" t="n">
        <v>37977</v>
      </c>
      <c r="D2003" t="n">
        <v>1308.4</v>
      </c>
    </row>
    <row r="2004">
      <c r="A2004" s="90" t="n">
        <v>37984</v>
      </c>
      <c r="D2004" t="n">
        <v>1302.8</v>
      </c>
    </row>
    <row r="2005">
      <c r="A2005" s="90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90" t="n">
        <v>37991</v>
      </c>
      <c r="D2006" t="n">
        <v>1303</v>
      </c>
    </row>
    <row r="2007">
      <c r="A2007" s="90" t="n">
        <v>37998</v>
      </c>
      <c r="D2007" t="n">
        <v>1300.4</v>
      </c>
    </row>
    <row r="2008">
      <c r="A2008" s="90" t="n">
        <v>38005</v>
      </c>
      <c r="D2008" t="n">
        <v>1307.5</v>
      </c>
    </row>
    <row r="2009">
      <c r="A2009" s="90" t="n">
        <v>38012</v>
      </c>
      <c r="D2009" t="n">
        <v>1307.9</v>
      </c>
    </row>
    <row r="2010">
      <c r="A2010" s="90" t="n">
        <v>38018</v>
      </c>
      <c r="B2010" t="n">
        <v>707.8</v>
      </c>
      <c r="C2010" t="n">
        <v>3274.9</v>
      </c>
      <c r="E2010" t="n">
        <v>6114.3</v>
      </c>
    </row>
    <row r="2011">
      <c r="A2011" s="90" t="n">
        <v>38019</v>
      </c>
      <c r="D2011" t="n">
        <v>1312.3</v>
      </c>
    </row>
    <row r="2012">
      <c r="A2012" s="90" t="n">
        <v>38026</v>
      </c>
      <c r="D2012" t="n">
        <v>1321</v>
      </c>
    </row>
    <row r="2013">
      <c r="A2013" s="90" t="n">
        <v>38033</v>
      </c>
      <c r="D2013" t="n">
        <v>1328.2</v>
      </c>
    </row>
    <row r="2014">
      <c r="A2014" s="90" t="n">
        <v>38040</v>
      </c>
      <c r="D2014" t="n">
        <v>1320.3</v>
      </c>
    </row>
    <row r="2015">
      <c r="A2015" s="90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90" t="n">
        <v>38054</v>
      </c>
      <c r="D2016" t="n">
        <v>1318.5</v>
      </c>
    </row>
    <row r="2017">
      <c r="A2017" s="90" t="n">
        <v>38061</v>
      </c>
      <c r="D2017" t="n">
        <v>1329.7</v>
      </c>
    </row>
    <row r="2018">
      <c r="A2018" s="90" t="n">
        <v>38068</v>
      </c>
      <c r="D2018" t="n">
        <v>1335.8</v>
      </c>
    </row>
    <row r="2019">
      <c r="A2019" s="90" t="n">
        <v>38075</v>
      </c>
      <c r="D2019" t="n">
        <v>1334.1</v>
      </c>
    </row>
    <row r="2020">
      <c r="A2020" s="90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90" t="n">
        <v>38082</v>
      </c>
      <c r="D2021" t="n">
        <v>1321.9</v>
      </c>
    </row>
    <row r="2022">
      <c r="A2022" s="90" t="n">
        <v>38089</v>
      </c>
      <c r="D2022" t="n">
        <v>1330.1</v>
      </c>
    </row>
    <row r="2023">
      <c r="A2023" s="90" t="n">
        <v>38096</v>
      </c>
      <c r="D2023" t="n">
        <v>1327.1</v>
      </c>
    </row>
    <row r="2024">
      <c r="A2024" s="90" t="n">
        <v>38103</v>
      </c>
      <c r="D2024" t="n">
        <v>1334.6</v>
      </c>
    </row>
    <row r="2025">
      <c r="A2025" s="90" t="n">
        <v>38108</v>
      </c>
      <c r="B2025" t="n">
        <v>708.4</v>
      </c>
      <c r="C2025" t="n">
        <v>3330.6</v>
      </c>
      <c r="E2025" t="n">
        <v>6268.1</v>
      </c>
    </row>
    <row r="2026">
      <c r="A2026" s="90" t="n">
        <v>38110</v>
      </c>
      <c r="D2026" t="n">
        <v>1357.7</v>
      </c>
    </row>
    <row r="2027">
      <c r="A2027" s="90" t="n">
        <v>38117</v>
      </c>
      <c r="D2027" t="n">
        <v>1328</v>
      </c>
    </row>
    <row r="2028">
      <c r="A2028" s="90" t="n">
        <v>38124</v>
      </c>
      <c r="D2028" t="n">
        <v>1336</v>
      </c>
    </row>
    <row r="2029">
      <c r="A2029" s="90" t="n">
        <v>38131</v>
      </c>
      <c r="D2029" t="n">
        <v>1335.6</v>
      </c>
    </row>
    <row r="2030">
      <c r="A2030" s="90" t="n">
        <v>38138</v>
      </c>
      <c r="D2030" t="n">
        <v>1323.1</v>
      </c>
    </row>
    <row r="2031">
      <c r="A2031" s="90" t="n">
        <v>38139</v>
      </c>
      <c r="B2031" t="n">
        <v>710.8</v>
      </c>
      <c r="C2031" t="n">
        <v>3319.5</v>
      </c>
      <c r="E2031" t="n">
        <v>6270.5</v>
      </c>
    </row>
    <row r="2032">
      <c r="A2032" s="90" t="n">
        <v>38145</v>
      </c>
      <c r="D2032" t="n">
        <v>1327.8</v>
      </c>
    </row>
    <row r="2033">
      <c r="A2033" s="90" t="n">
        <v>38152</v>
      </c>
      <c r="D2033" t="n">
        <v>1345.7</v>
      </c>
    </row>
    <row r="2034">
      <c r="A2034" s="90" t="n">
        <v>38159</v>
      </c>
      <c r="D2034" t="n">
        <v>1348</v>
      </c>
    </row>
    <row r="2035">
      <c r="A2035" s="90" t="n">
        <v>38166</v>
      </c>
      <c r="D2035" t="n">
        <v>1353</v>
      </c>
    </row>
    <row r="2036">
      <c r="A2036" s="90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90" t="n">
        <v>38173</v>
      </c>
      <c r="D2037" t="n">
        <v>1330.1</v>
      </c>
    </row>
    <row r="2038">
      <c r="A2038" s="90" t="n">
        <v>38180</v>
      </c>
      <c r="D2038" t="n">
        <v>1341.1</v>
      </c>
    </row>
    <row r="2039">
      <c r="A2039" s="90" t="n">
        <v>38187</v>
      </c>
      <c r="D2039" t="n">
        <v>1337.2</v>
      </c>
    </row>
    <row r="2040">
      <c r="A2040" s="90" t="n">
        <v>38194</v>
      </c>
      <c r="D2040" t="n">
        <v>1347.6</v>
      </c>
    </row>
    <row r="2041">
      <c r="A2041" s="90" t="n">
        <v>38200</v>
      </c>
      <c r="B2041" t="n">
        <v>715.8</v>
      </c>
      <c r="C2041" t="n">
        <v>3335.4</v>
      </c>
      <c r="E2041" t="n">
        <v>6310.6</v>
      </c>
    </row>
    <row r="2042">
      <c r="A2042" s="90" t="n">
        <v>38201</v>
      </c>
      <c r="D2042" t="n">
        <v>1346.8</v>
      </c>
    </row>
    <row r="2043">
      <c r="A2043" s="90" t="n">
        <v>38208</v>
      </c>
      <c r="D2043" t="n">
        <v>1352</v>
      </c>
    </row>
    <row r="2044">
      <c r="A2044" s="90" t="n">
        <v>38215</v>
      </c>
      <c r="D2044" t="n">
        <v>1355.2</v>
      </c>
    </row>
    <row r="2045">
      <c r="A2045" s="90" t="n">
        <v>38222</v>
      </c>
      <c r="D2045" t="n">
        <v>1362.5</v>
      </c>
    </row>
    <row r="2046">
      <c r="A2046" s="90" t="n">
        <v>38229</v>
      </c>
      <c r="D2046" t="n">
        <v>1351.4</v>
      </c>
    </row>
    <row r="2047">
      <c r="A2047" s="90" t="n">
        <v>38231</v>
      </c>
      <c r="B2047" t="n">
        <v>717.9</v>
      </c>
      <c r="C2047" t="n">
        <v>3343.2</v>
      </c>
      <c r="E2047" t="n">
        <v>6345.3</v>
      </c>
    </row>
    <row r="2048">
      <c r="A2048" s="90" t="n">
        <v>38236</v>
      </c>
      <c r="D2048" t="n">
        <v>1342.3</v>
      </c>
    </row>
    <row r="2049">
      <c r="A2049" s="90" t="n">
        <v>38243</v>
      </c>
      <c r="D2049" t="n">
        <v>1359.9</v>
      </c>
    </row>
    <row r="2050">
      <c r="A2050" s="90" t="n">
        <v>38250</v>
      </c>
      <c r="D2050" t="n">
        <v>1372.2</v>
      </c>
    </row>
    <row r="2051">
      <c r="A2051" s="90" t="n">
        <v>38257</v>
      </c>
      <c r="D2051" t="n">
        <v>1372</v>
      </c>
    </row>
    <row r="2052">
      <c r="A2052" s="90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90" t="n">
        <v>38264</v>
      </c>
      <c r="D2053" t="n">
        <v>1364.4</v>
      </c>
    </row>
    <row r="2054">
      <c r="A2054" s="90" t="n">
        <v>38271</v>
      </c>
      <c r="D2054" t="n">
        <v>1365.5</v>
      </c>
    </row>
    <row r="2055">
      <c r="A2055" s="90" t="n">
        <v>38278</v>
      </c>
      <c r="D2055" t="n">
        <v>1359.7</v>
      </c>
    </row>
    <row r="2056">
      <c r="A2056" s="90" t="n">
        <v>38285</v>
      </c>
      <c r="D2056" t="n">
        <v>1368.5</v>
      </c>
    </row>
    <row r="2057">
      <c r="A2057" s="90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90" t="n">
        <v>38299</v>
      </c>
      <c r="D2058" t="n">
        <v>1363.9</v>
      </c>
    </row>
    <row r="2059">
      <c r="A2059" s="90" t="n">
        <v>38306</v>
      </c>
      <c r="D2059" t="n">
        <v>1371.2</v>
      </c>
    </row>
    <row r="2060">
      <c r="A2060" s="90" t="n">
        <v>38313</v>
      </c>
      <c r="D2060" t="n">
        <v>1379.2</v>
      </c>
    </row>
    <row r="2061">
      <c r="A2061" s="90" t="n">
        <v>38320</v>
      </c>
      <c r="D2061" t="n">
        <v>1387.5</v>
      </c>
    </row>
    <row r="2062">
      <c r="A2062" s="90" t="n">
        <v>38322</v>
      </c>
      <c r="B2062" t="n">
        <v>717.8</v>
      </c>
      <c r="C2062" t="n">
        <v>3348.1</v>
      </c>
      <c r="E2062" t="n">
        <v>6418.3</v>
      </c>
    </row>
    <row r="2063">
      <c r="A2063" s="90" t="n">
        <v>38327</v>
      </c>
      <c r="D2063" t="n">
        <v>1359.6</v>
      </c>
    </row>
    <row r="2064">
      <c r="A2064" s="90" t="n">
        <v>38334</v>
      </c>
      <c r="D2064" t="n">
        <v>1369.7</v>
      </c>
    </row>
    <row r="2065">
      <c r="A2065" s="90" t="n">
        <v>38341</v>
      </c>
      <c r="D2065" t="n">
        <v>1380</v>
      </c>
    </row>
    <row r="2066">
      <c r="A2066" s="90" t="n">
        <v>38348</v>
      </c>
      <c r="D2066" t="n">
        <v>1387.5</v>
      </c>
    </row>
    <row r="2067">
      <c r="A2067" s="90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90" t="n">
        <v>38355</v>
      </c>
      <c r="D2068" t="n">
        <v>1373.7</v>
      </c>
    </row>
    <row r="2069">
      <c r="A2069" s="90" t="n">
        <v>38362</v>
      </c>
      <c r="D2069" t="n">
        <v>1347.5</v>
      </c>
    </row>
    <row r="2070">
      <c r="A2070" s="90" t="n">
        <v>38369</v>
      </c>
      <c r="D2070" t="n">
        <v>1348.5</v>
      </c>
    </row>
    <row r="2071">
      <c r="A2071" s="90" t="n">
        <v>38376</v>
      </c>
      <c r="D2071" t="n">
        <v>1362.7</v>
      </c>
    </row>
    <row r="2072">
      <c r="A2072" s="90" t="n">
        <v>38383</v>
      </c>
      <c r="D2072" t="n">
        <v>1364.9</v>
      </c>
    </row>
    <row r="2073">
      <c r="A2073" s="90" t="n">
        <v>38384</v>
      </c>
      <c r="B2073" t="n">
        <v>712.6</v>
      </c>
      <c r="C2073" t="n">
        <v>3343.5</v>
      </c>
      <c r="E2073" t="n">
        <v>6432.8</v>
      </c>
    </row>
    <row r="2074">
      <c r="A2074" s="90" t="n">
        <v>38390</v>
      </c>
      <c r="D2074" t="n">
        <v>1353.7</v>
      </c>
    </row>
    <row r="2075">
      <c r="A2075" s="90" t="n">
        <v>38397</v>
      </c>
      <c r="D2075" t="n">
        <v>1368.7</v>
      </c>
    </row>
    <row r="2076">
      <c r="A2076" s="90" t="n">
        <v>38404</v>
      </c>
      <c r="D2076" t="n">
        <v>1381.5</v>
      </c>
    </row>
    <row r="2077">
      <c r="A2077" s="90" t="n">
        <v>38411</v>
      </c>
      <c r="D2077" t="n">
        <v>1380.5</v>
      </c>
    </row>
    <row r="2078">
      <c r="A2078" s="90" t="n">
        <v>38412</v>
      </c>
      <c r="B2078" t="n">
        <v>709.9</v>
      </c>
      <c r="C2078" t="n">
        <v>3336</v>
      </c>
      <c r="E2078" t="n">
        <v>6441.9</v>
      </c>
    </row>
    <row r="2079">
      <c r="A2079" s="90" t="n">
        <v>38418</v>
      </c>
      <c r="D2079" t="n">
        <v>1362.8</v>
      </c>
    </row>
    <row r="2080">
      <c r="A2080" s="90" t="n">
        <v>38425</v>
      </c>
      <c r="D2080" t="n">
        <v>1370.1</v>
      </c>
    </row>
    <row r="2081">
      <c r="A2081" s="90" t="n">
        <v>38432</v>
      </c>
      <c r="D2081" t="n">
        <v>1376.3</v>
      </c>
    </row>
    <row r="2082">
      <c r="A2082" s="90" t="n">
        <v>38439</v>
      </c>
      <c r="D2082" t="n">
        <v>1378.4</v>
      </c>
    </row>
    <row r="2083">
      <c r="A2083" s="90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90" t="n">
        <v>38446</v>
      </c>
      <c r="D2084" t="n">
        <v>1361.1</v>
      </c>
    </row>
    <row r="2085">
      <c r="A2085" s="90" t="n">
        <v>38453</v>
      </c>
      <c r="D2085" t="n">
        <v>1355.3</v>
      </c>
    </row>
    <row r="2086">
      <c r="A2086" s="90" t="n">
        <v>38460</v>
      </c>
      <c r="D2086" t="n">
        <v>1355.1</v>
      </c>
    </row>
    <row r="2087">
      <c r="A2087" s="90" t="n">
        <v>38467</v>
      </c>
      <c r="D2087" t="n">
        <v>1361.7</v>
      </c>
    </row>
    <row r="2088">
      <c r="A2088" s="90" t="n">
        <v>38473</v>
      </c>
      <c r="B2088" t="n">
        <v>705.6</v>
      </c>
      <c r="C2088" t="n">
        <v>3343.6</v>
      </c>
      <c r="E2088" t="n">
        <v>6473.3</v>
      </c>
    </row>
    <row r="2089">
      <c r="A2089" s="90" t="n">
        <v>38474</v>
      </c>
      <c r="D2089" t="n">
        <v>1360.4</v>
      </c>
    </row>
    <row r="2090">
      <c r="A2090" s="90" t="n">
        <v>38481</v>
      </c>
      <c r="D2090" t="n">
        <v>1361.8</v>
      </c>
    </row>
    <row r="2091">
      <c r="A2091" s="90" t="n">
        <v>38488</v>
      </c>
      <c r="D2091" t="n">
        <v>1357.6</v>
      </c>
    </row>
    <row r="2092">
      <c r="A2092" s="90" t="n">
        <v>38495</v>
      </c>
      <c r="D2092" t="n">
        <v>1367.4</v>
      </c>
    </row>
    <row r="2093">
      <c r="A2093" s="90" t="n">
        <v>38502</v>
      </c>
      <c r="D2093" t="n">
        <v>1379.4</v>
      </c>
    </row>
    <row r="2094">
      <c r="A2094" s="90" t="n">
        <v>38504</v>
      </c>
      <c r="B2094" t="n">
        <v>712.5</v>
      </c>
      <c r="C2094" t="n">
        <v>3358.7</v>
      </c>
      <c r="E2094" t="n">
        <v>6505.8</v>
      </c>
    </row>
    <row r="2095">
      <c r="A2095" s="90" t="n">
        <v>38509</v>
      </c>
      <c r="D2095" t="n">
        <v>1361.7</v>
      </c>
    </row>
    <row r="2096">
      <c r="A2096" s="90" t="n">
        <v>38516</v>
      </c>
      <c r="D2096" t="n">
        <v>1372.6</v>
      </c>
    </row>
    <row r="2097">
      <c r="A2097" s="90" t="n">
        <v>38523</v>
      </c>
      <c r="D2097" t="n">
        <v>1389.9</v>
      </c>
    </row>
    <row r="2098">
      <c r="A2098" s="90" t="n">
        <v>38530</v>
      </c>
      <c r="D2098" t="n">
        <v>1395.5</v>
      </c>
    </row>
    <row r="2099">
      <c r="A2099" s="90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90" t="n">
        <v>38537</v>
      </c>
      <c r="D2100" t="n">
        <v>1375.6</v>
      </c>
    </row>
    <row r="2101">
      <c r="A2101" s="90" t="n">
        <v>38544</v>
      </c>
      <c r="D2101" t="n">
        <v>1364.8</v>
      </c>
    </row>
    <row r="2102">
      <c r="A2102" s="90" t="n">
        <v>38551</v>
      </c>
      <c r="D2102" t="n">
        <v>1364.4</v>
      </c>
    </row>
    <row r="2103">
      <c r="A2103" s="90" t="n">
        <v>38558</v>
      </c>
      <c r="D2103" t="n">
        <v>1379.6</v>
      </c>
    </row>
    <row r="2104">
      <c r="A2104" s="90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90" t="n">
        <v>38572</v>
      </c>
      <c r="D2105" t="n">
        <v>1366.5</v>
      </c>
    </row>
    <row r="2106">
      <c r="A2106" s="90" t="n">
        <v>38579</v>
      </c>
      <c r="D2106" t="n">
        <v>1375.6</v>
      </c>
    </row>
    <row r="2107">
      <c r="A2107" s="90" t="n">
        <v>38586</v>
      </c>
      <c r="D2107" t="n">
        <v>1388.5</v>
      </c>
    </row>
    <row r="2108">
      <c r="A2108" s="90" t="n">
        <v>38593</v>
      </c>
      <c r="D2108" t="n">
        <v>1386.5</v>
      </c>
    </row>
    <row r="2109">
      <c r="A2109" s="90" t="n">
        <v>38596</v>
      </c>
      <c r="B2109" t="n">
        <v>693.5</v>
      </c>
      <c r="C2109" t="n">
        <v>3322.1</v>
      </c>
      <c r="E2109" t="n">
        <v>6604.3</v>
      </c>
    </row>
    <row r="2110">
      <c r="A2110" s="90" t="n">
        <v>38600</v>
      </c>
      <c r="D2110" t="n">
        <v>1364.4</v>
      </c>
    </row>
    <row r="2111">
      <c r="A2111" s="90" t="n">
        <v>38607</v>
      </c>
      <c r="D2111" t="n">
        <v>1366.9</v>
      </c>
    </row>
    <row r="2112">
      <c r="A2112" s="90" t="n">
        <v>38614</v>
      </c>
      <c r="D2112" t="n">
        <v>1380.1</v>
      </c>
    </row>
    <row r="2113">
      <c r="A2113" s="90" t="n">
        <v>38621</v>
      </c>
      <c r="D2113" t="n">
        <v>1388.5</v>
      </c>
    </row>
    <row r="2114">
      <c r="A2114" s="90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90" t="n">
        <v>38628</v>
      </c>
      <c r="D2115" t="n">
        <v>1396.7</v>
      </c>
    </row>
    <row r="2116">
      <c r="A2116" s="90" t="n">
        <v>38635</v>
      </c>
      <c r="D2116" t="n">
        <v>1372.5</v>
      </c>
    </row>
    <row r="2117">
      <c r="A2117" s="90" t="n">
        <v>38642</v>
      </c>
      <c r="D2117" t="n">
        <v>1365.5</v>
      </c>
    </row>
    <row r="2118">
      <c r="A2118" s="90" t="n">
        <v>38649</v>
      </c>
      <c r="D2118" t="n">
        <v>1382</v>
      </c>
    </row>
    <row r="2119">
      <c r="A2119" s="90" t="n">
        <v>38656</v>
      </c>
      <c r="D2119" t="n">
        <v>1377.3</v>
      </c>
    </row>
    <row r="2120">
      <c r="A2120" s="90" t="n">
        <v>38657</v>
      </c>
      <c r="B2120" t="n">
        <v>694.6</v>
      </c>
      <c r="C2120" t="n">
        <v>3359.4</v>
      </c>
      <c r="E2120" t="n">
        <v>6655</v>
      </c>
    </row>
    <row r="2121">
      <c r="A2121" s="90" t="n">
        <v>38663</v>
      </c>
      <c r="D2121" t="n">
        <v>1360.5</v>
      </c>
    </row>
    <row r="2122">
      <c r="A2122" s="90" t="n">
        <v>38670</v>
      </c>
      <c r="D2122" t="n">
        <v>1370.9</v>
      </c>
    </row>
    <row r="2123">
      <c r="A2123" s="90" t="n">
        <v>38677</v>
      </c>
      <c r="D2123" t="n">
        <v>1388</v>
      </c>
    </row>
    <row r="2124">
      <c r="A2124" s="90" t="n">
        <v>38684</v>
      </c>
      <c r="D2124" t="n">
        <v>1386.3</v>
      </c>
    </row>
    <row r="2125">
      <c r="A2125" s="90" t="n">
        <v>38687</v>
      </c>
      <c r="B2125" t="n">
        <v>693.7</v>
      </c>
      <c r="C2125" t="n">
        <v>3373</v>
      </c>
      <c r="E2125" t="n">
        <v>6681.9</v>
      </c>
    </row>
    <row r="2126">
      <c r="A2126" s="90" t="n">
        <v>38691</v>
      </c>
      <c r="D2126" t="n">
        <v>1371.5</v>
      </c>
    </row>
    <row r="2127">
      <c r="A2127" s="90" t="n">
        <v>38698</v>
      </c>
      <c r="D2127" t="n">
        <v>1368</v>
      </c>
    </row>
    <row r="2128">
      <c r="A2128" s="90" t="n">
        <v>38705</v>
      </c>
      <c r="D2128" t="n">
        <v>1373.1</v>
      </c>
    </row>
    <row r="2129">
      <c r="A2129" s="90" t="n">
        <v>38712</v>
      </c>
      <c r="D2129" t="n">
        <v>1383</v>
      </c>
    </row>
    <row r="2130">
      <c r="A2130" s="90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90" t="n">
        <v>38719</v>
      </c>
      <c r="D2131" t="n">
        <v>1375.5</v>
      </c>
    </row>
    <row r="2132">
      <c r="A2132" s="90" t="n">
        <v>38726</v>
      </c>
      <c r="D2132" t="n">
        <v>1372</v>
      </c>
    </row>
    <row r="2133">
      <c r="A2133" s="90" t="n">
        <v>38733</v>
      </c>
      <c r="D2133" t="n">
        <v>1375.8</v>
      </c>
    </row>
    <row r="2134">
      <c r="A2134" s="90" t="n">
        <v>38740</v>
      </c>
      <c r="D2134" t="n">
        <v>1383.1</v>
      </c>
    </row>
    <row r="2135">
      <c r="A2135" s="90" t="n">
        <v>38747</v>
      </c>
      <c r="D2135" t="n">
        <v>1389.8</v>
      </c>
    </row>
    <row r="2136">
      <c r="A2136" s="90" t="n">
        <v>38749</v>
      </c>
      <c r="B2136" t="n">
        <v>691.3</v>
      </c>
      <c r="C2136" t="n">
        <v>3384.5</v>
      </c>
      <c r="E2136" t="n">
        <v>6748.6</v>
      </c>
    </row>
    <row r="2137">
      <c r="A2137" s="90" t="n">
        <v>38754</v>
      </c>
      <c r="D2137" t="n">
        <v>1369.2</v>
      </c>
    </row>
    <row r="2138">
      <c r="A2138" s="90" t="n">
        <v>38761</v>
      </c>
      <c r="D2138" t="n">
        <v>1368.6</v>
      </c>
    </row>
    <row r="2139">
      <c r="A2139" s="90" t="n">
        <v>38768</v>
      </c>
      <c r="D2139" t="n">
        <v>1383.3</v>
      </c>
    </row>
    <row r="2140">
      <c r="A2140" s="90" t="n">
        <v>38775</v>
      </c>
      <c r="D2140" t="n">
        <v>1393</v>
      </c>
    </row>
    <row r="2141">
      <c r="A2141" s="90" t="n">
        <v>38777</v>
      </c>
      <c r="B2141" t="n">
        <v>692.6</v>
      </c>
      <c r="C2141" t="n">
        <v>3386.5</v>
      </c>
      <c r="E2141" t="n">
        <v>6762.9</v>
      </c>
    </row>
    <row r="2142">
      <c r="A2142" s="90" t="n">
        <v>38782</v>
      </c>
      <c r="D2142" t="n">
        <v>1366.2</v>
      </c>
    </row>
    <row r="2143">
      <c r="A2143" s="90" t="n">
        <v>38789</v>
      </c>
      <c r="D2143" t="n">
        <v>1371</v>
      </c>
    </row>
    <row r="2144">
      <c r="A2144" s="90" t="n">
        <v>38796</v>
      </c>
      <c r="D2144" t="n">
        <v>1387.9</v>
      </c>
    </row>
    <row r="2145">
      <c r="A2145" s="90" t="n">
        <v>38803</v>
      </c>
      <c r="D2145" t="n">
        <v>1394.8</v>
      </c>
    </row>
    <row r="2146">
      <c r="A2146" s="90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90" t="n">
        <v>38810</v>
      </c>
      <c r="D2147" t="n">
        <v>1401.4</v>
      </c>
    </row>
    <row r="2148">
      <c r="A2148" s="90" t="n">
        <v>38817</v>
      </c>
      <c r="D2148" t="n">
        <v>1375.7</v>
      </c>
    </row>
    <row r="2149">
      <c r="A2149" s="90" t="n">
        <v>38824</v>
      </c>
      <c r="D2149" t="n">
        <v>1379.4</v>
      </c>
    </row>
    <row r="2150">
      <c r="A2150" s="90" t="n">
        <v>38831</v>
      </c>
      <c r="D2150" t="n">
        <v>1388.1</v>
      </c>
    </row>
    <row r="2151">
      <c r="A2151" s="90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90" t="n">
        <v>38845</v>
      </c>
      <c r="D2152" t="n">
        <v>1373.8</v>
      </c>
    </row>
    <row r="2153">
      <c r="A2153" s="90" t="n">
        <v>38852</v>
      </c>
      <c r="D2153" t="n">
        <v>1389.4</v>
      </c>
    </row>
    <row r="2154">
      <c r="A2154" s="90" t="n">
        <v>38859</v>
      </c>
      <c r="D2154" t="n">
        <v>1394.8</v>
      </c>
    </row>
    <row r="2155">
      <c r="A2155" s="90" t="n">
        <v>38866</v>
      </c>
      <c r="D2155" t="n">
        <v>1397.9</v>
      </c>
    </row>
    <row r="2156">
      <c r="A2156" s="90" t="n">
        <v>38869</v>
      </c>
      <c r="B2156" t="n">
        <v>681.6</v>
      </c>
      <c r="C2156" t="n">
        <v>3391.9</v>
      </c>
      <c r="E2156" t="n">
        <v>6844.9</v>
      </c>
    </row>
    <row r="2157">
      <c r="A2157" s="90" t="n">
        <v>38873</v>
      </c>
      <c r="D2157" t="n">
        <v>1369.1</v>
      </c>
    </row>
    <row r="2158">
      <c r="A2158" s="90" t="n">
        <v>38880</v>
      </c>
      <c r="D2158" t="n">
        <v>1367.7</v>
      </c>
    </row>
    <row r="2159">
      <c r="A2159" s="90" t="n">
        <v>38887</v>
      </c>
      <c r="D2159" t="n">
        <v>1370.9</v>
      </c>
    </row>
    <row r="2160">
      <c r="A2160" s="90" t="n">
        <v>38894</v>
      </c>
      <c r="D2160" t="n">
        <v>1383.6</v>
      </c>
    </row>
    <row r="2161">
      <c r="A2161" s="90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90" t="n">
        <v>38901</v>
      </c>
      <c r="D2162" t="n">
        <v>1390.5</v>
      </c>
    </row>
    <row r="2163">
      <c r="A2163" s="90" t="n">
        <v>38908</v>
      </c>
      <c r="D2163" t="n">
        <v>1372.4</v>
      </c>
    </row>
    <row r="2164">
      <c r="A2164" s="90" t="n">
        <v>38915</v>
      </c>
      <c r="D2164" t="n">
        <v>1359.2</v>
      </c>
    </row>
    <row r="2165">
      <c r="A2165" s="90" t="n">
        <v>38922</v>
      </c>
      <c r="D2165" t="n">
        <v>1377.5</v>
      </c>
    </row>
    <row r="2166">
      <c r="A2166" s="90" t="n">
        <v>38929</v>
      </c>
      <c r="D2166" t="n">
        <v>1372.9</v>
      </c>
    </row>
    <row r="2167">
      <c r="A2167" s="90" t="n">
        <v>38930</v>
      </c>
      <c r="B2167" t="n">
        <v>673.4</v>
      </c>
      <c r="C2167" t="n">
        <v>3394.1</v>
      </c>
      <c r="E2167" t="n">
        <v>6917.1</v>
      </c>
    </row>
    <row r="2168">
      <c r="A2168" s="90" t="n">
        <v>38936</v>
      </c>
      <c r="D2168" t="n">
        <v>1357.2</v>
      </c>
    </row>
    <row r="2169">
      <c r="A2169" s="90" t="n">
        <v>38943</v>
      </c>
      <c r="D2169" t="n">
        <v>1364.8</v>
      </c>
    </row>
    <row r="2170">
      <c r="A2170" s="90" t="n">
        <v>38950</v>
      </c>
      <c r="D2170" t="n">
        <v>1382.8</v>
      </c>
    </row>
    <row r="2171">
      <c r="A2171" s="90" t="n">
        <v>38957</v>
      </c>
      <c r="D2171" t="n">
        <v>1384</v>
      </c>
    </row>
    <row r="2172">
      <c r="A2172" s="90" t="n">
        <v>38961</v>
      </c>
      <c r="B2172" t="n">
        <v>672.8</v>
      </c>
      <c r="C2172" t="n">
        <v>3424.2</v>
      </c>
      <c r="E2172" t="n">
        <v>6944.2</v>
      </c>
    </row>
    <row r="2173">
      <c r="A2173" s="90" t="n">
        <v>38964</v>
      </c>
      <c r="D2173" t="n">
        <v>1373.8</v>
      </c>
    </row>
    <row r="2174">
      <c r="A2174" s="90" t="n">
        <v>38971</v>
      </c>
      <c r="D2174" t="n">
        <v>1365.4</v>
      </c>
    </row>
    <row r="2175">
      <c r="A2175" s="90" t="n">
        <v>38978</v>
      </c>
      <c r="D2175" t="n">
        <v>1357.6</v>
      </c>
    </row>
    <row r="2176">
      <c r="A2176" s="90" t="n">
        <v>38985</v>
      </c>
      <c r="D2176" t="n">
        <v>1364.9</v>
      </c>
    </row>
    <row r="2177">
      <c r="A2177" s="90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90" t="n">
        <v>38992</v>
      </c>
      <c r="D2178" t="n">
        <v>1364.3</v>
      </c>
    </row>
    <row r="2179">
      <c r="A2179" s="90" t="n">
        <v>38999</v>
      </c>
      <c r="D2179" t="n">
        <v>1368.1</v>
      </c>
    </row>
    <row r="2180">
      <c r="A2180" s="90" t="n">
        <v>39006</v>
      </c>
      <c r="D2180" t="n">
        <v>1360.6</v>
      </c>
    </row>
    <row r="2181">
      <c r="A2181" s="90" t="n">
        <v>39013</v>
      </c>
      <c r="D2181" t="n">
        <v>1380.3</v>
      </c>
    </row>
    <row r="2182">
      <c r="A2182" s="90" t="n">
        <v>39020</v>
      </c>
      <c r="D2182" t="n">
        <v>1376.4</v>
      </c>
    </row>
    <row r="2183">
      <c r="A2183" s="90" t="n">
        <v>39022</v>
      </c>
      <c r="B2183" t="n">
        <v>678.6</v>
      </c>
      <c r="C2183" t="n">
        <v>3479.4</v>
      </c>
      <c r="E2183" t="n">
        <v>7028.4</v>
      </c>
    </row>
    <row r="2184">
      <c r="A2184" s="90" t="n">
        <v>39027</v>
      </c>
      <c r="D2184" t="n">
        <v>1351.1</v>
      </c>
    </row>
    <row r="2185">
      <c r="A2185" s="90" t="n">
        <v>39034</v>
      </c>
      <c r="D2185" t="n">
        <v>1361.3</v>
      </c>
    </row>
    <row r="2186">
      <c r="A2186" s="90" t="n">
        <v>39041</v>
      </c>
      <c r="D2186" t="n">
        <v>1380.2</v>
      </c>
    </row>
    <row r="2187">
      <c r="A2187" s="90" t="n">
        <v>39048</v>
      </c>
      <c r="D2187" t="n">
        <v>1386.4</v>
      </c>
    </row>
    <row r="2188">
      <c r="A2188" s="90" t="n">
        <v>39052</v>
      </c>
      <c r="B2188" t="n">
        <v>672.9</v>
      </c>
      <c r="C2188" t="n">
        <v>3481.8</v>
      </c>
      <c r="E2188" t="n">
        <v>7071.6</v>
      </c>
    </row>
    <row r="2189">
      <c r="A2189" s="90" t="n">
        <v>39055</v>
      </c>
      <c r="D2189" t="n">
        <v>1374.1</v>
      </c>
    </row>
    <row r="2190">
      <c r="A2190" s="90" t="n">
        <v>39062</v>
      </c>
      <c r="D2190" t="n">
        <v>1360.3</v>
      </c>
    </row>
    <row r="2191">
      <c r="A2191" s="90" t="n">
        <v>39069</v>
      </c>
      <c r="D2191" t="n">
        <v>1359.2</v>
      </c>
    </row>
    <row r="2192">
      <c r="A2192" s="90" t="n">
        <v>39076</v>
      </c>
      <c r="D2192" t="n">
        <v>1380.4</v>
      </c>
    </row>
    <row r="2193">
      <c r="A2193" s="90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90" t="n">
        <v>39090</v>
      </c>
      <c r="D2194" t="n">
        <v>1355.7</v>
      </c>
    </row>
    <row r="2195">
      <c r="A2195" s="90" t="n">
        <v>39097</v>
      </c>
      <c r="D2195" t="n">
        <v>1382.9</v>
      </c>
    </row>
    <row r="2196">
      <c r="A2196" s="90" t="n">
        <v>39104</v>
      </c>
      <c r="D2196" t="n">
        <v>1373.2</v>
      </c>
    </row>
    <row r="2197">
      <c r="A2197" s="90" t="n">
        <v>39111</v>
      </c>
      <c r="D2197" t="n">
        <v>1377</v>
      </c>
    </row>
    <row r="2198">
      <c r="A2198" s="90" t="n">
        <v>39114</v>
      </c>
      <c r="B2198" t="n">
        <v>667.4</v>
      </c>
      <c r="C2198" t="n">
        <v>3488.9</v>
      </c>
      <c r="E2198" t="n">
        <v>7125.3</v>
      </c>
    </row>
    <row r="2199">
      <c r="A2199" s="90" t="n">
        <v>39118</v>
      </c>
      <c r="D2199" t="n">
        <v>1369.9</v>
      </c>
    </row>
    <row r="2200">
      <c r="A2200" s="90" t="n">
        <v>39125</v>
      </c>
      <c r="D2200" t="n">
        <v>1361.7</v>
      </c>
    </row>
    <row r="2201">
      <c r="A2201" s="90" t="n">
        <v>39132</v>
      </c>
      <c r="D2201" t="n">
        <v>1361.7</v>
      </c>
    </row>
    <row r="2202">
      <c r="A2202" s="90" t="n">
        <v>39139</v>
      </c>
      <c r="D2202" t="n">
        <v>1362</v>
      </c>
    </row>
    <row r="2203">
      <c r="A2203" s="90" t="n">
        <v>39142</v>
      </c>
      <c r="B2203" t="n">
        <v>665.7</v>
      </c>
      <c r="C2203" t="n">
        <v>3487.3</v>
      </c>
      <c r="E2203" t="n">
        <v>7159.1</v>
      </c>
    </row>
    <row r="2204">
      <c r="A2204" s="90" t="n">
        <v>39146</v>
      </c>
      <c r="D2204" t="n">
        <v>1358.6</v>
      </c>
    </row>
    <row r="2205">
      <c r="A2205" s="90" t="n">
        <v>39153</v>
      </c>
      <c r="D2205" t="n">
        <v>1363.5</v>
      </c>
    </row>
    <row r="2206">
      <c r="A2206" s="90" t="n">
        <v>39160</v>
      </c>
      <c r="D2206" t="n">
        <v>1360.2</v>
      </c>
    </row>
    <row r="2207">
      <c r="A2207" s="90" t="n">
        <v>39167</v>
      </c>
      <c r="D2207" t="n">
        <v>1373.6</v>
      </c>
    </row>
    <row r="2208">
      <c r="A2208" s="90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90" t="n">
        <v>39174</v>
      </c>
      <c r="D2209" t="n">
        <v>1377.5</v>
      </c>
    </row>
    <row r="2210">
      <c r="A2210" s="90" t="n">
        <v>39181</v>
      </c>
      <c r="D2210" t="n">
        <v>1379.6</v>
      </c>
    </row>
    <row r="2211">
      <c r="A2211" s="90" t="n">
        <v>39188</v>
      </c>
      <c r="D2211" t="n">
        <v>1374.5</v>
      </c>
    </row>
    <row r="2212">
      <c r="A2212" s="90" t="n">
        <v>39195</v>
      </c>
      <c r="D2212" t="n">
        <v>1375.7</v>
      </c>
    </row>
    <row r="2213">
      <c r="A2213" s="90" t="n">
        <v>39202</v>
      </c>
      <c r="D2213" t="n">
        <v>1382.5</v>
      </c>
    </row>
    <row r="2214">
      <c r="A2214" s="90" t="n">
        <v>39203</v>
      </c>
      <c r="B2214" t="n">
        <v>667.9</v>
      </c>
      <c r="C2214" t="n">
        <v>3504.3</v>
      </c>
      <c r="E2214" t="n">
        <v>7245.4</v>
      </c>
    </row>
    <row r="2215">
      <c r="A2215" s="90" t="n">
        <v>39209</v>
      </c>
      <c r="D2215" t="n">
        <v>1367.2</v>
      </c>
    </row>
    <row r="2216">
      <c r="A2216" s="90" t="n">
        <v>39216</v>
      </c>
      <c r="D2216" t="n">
        <v>1382.3</v>
      </c>
    </row>
    <row r="2217">
      <c r="A2217" s="90" t="n">
        <v>39223</v>
      </c>
      <c r="D2217" t="n">
        <v>1384.1</v>
      </c>
    </row>
    <row r="2218">
      <c r="A2218" s="90" t="n">
        <v>39230</v>
      </c>
      <c r="D2218" t="n">
        <v>1388.5</v>
      </c>
    </row>
    <row r="2219">
      <c r="A2219" s="90" t="n">
        <v>39234</v>
      </c>
      <c r="B2219" t="n">
        <v>660.2</v>
      </c>
      <c r="C2219" t="n">
        <v>3512.3</v>
      </c>
      <c r="E2219" t="n">
        <v>7278.6</v>
      </c>
    </row>
    <row r="2220">
      <c r="A2220" s="90" t="n">
        <v>39237</v>
      </c>
      <c r="D2220" t="n">
        <v>1384.6</v>
      </c>
    </row>
    <row r="2221">
      <c r="A2221" s="90" t="n">
        <v>39244</v>
      </c>
      <c r="D2221" t="n">
        <v>1370.7</v>
      </c>
    </row>
    <row r="2222">
      <c r="A2222" s="90" t="n">
        <v>39251</v>
      </c>
      <c r="D2222" t="n">
        <v>1356.3</v>
      </c>
    </row>
    <row r="2223">
      <c r="A2223" s="90" t="n">
        <v>39258</v>
      </c>
      <c r="D2223" t="n">
        <v>1362.9</v>
      </c>
    </row>
    <row r="2224">
      <c r="A2224" s="90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90" t="n">
        <v>39265</v>
      </c>
      <c r="D2225" t="n">
        <v>1375.8</v>
      </c>
    </row>
    <row r="2226">
      <c r="A2226" s="90" t="n">
        <v>39272</v>
      </c>
      <c r="D2226" t="n">
        <v>1370.5</v>
      </c>
    </row>
    <row r="2227">
      <c r="A2227" s="90" t="n">
        <v>39279</v>
      </c>
      <c r="D2227" t="n">
        <v>1373.5</v>
      </c>
    </row>
    <row r="2228">
      <c r="A2228" s="90" t="n">
        <v>39286</v>
      </c>
      <c r="D2228" t="n">
        <v>1373.2</v>
      </c>
    </row>
    <row r="2229">
      <c r="A2229" s="90" t="n">
        <v>39293</v>
      </c>
      <c r="D2229" t="n">
        <v>1370.4</v>
      </c>
    </row>
    <row r="2230">
      <c r="A2230" s="90" t="n">
        <v>39295</v>
      </c>
      <c r="B2230" t="n">
        <v>662.7</v>
      </c>
      <c r="C2230" t="n">
        <v>3556.2</v>
      </c>
      <c r="E2230" t="n">
        <v>7385.1</v>
      </c>
    </row>
    <row r="2231">
      <c r="A2231" s="90" t="n">
        <v>39300</v>
      </c>
      <c r="D2231" t="n">
        <v>1359.9</v>
      </c>
    </row>
    <row r="2232">
      <c r="A2232" s="90" t="n">
        <v>39307</v>
      </c>
      <c r="D2232" t="n">
        <v>1364.1</v>
      </c>
    </row>
    <row r="2233">
      <c r="A2233" s="90" t="n">
        <v>39314</v>
      </c>
      <c r="D2233" t="n">
        <v>1372.8</v>
      </c>
    </row>
    <row r="2234">
      <c r="A2234" s="90" t="n">
        <v>39321</v>
      </c>
      <c r="D2234" t="n">
        <v>1385.6</v>
      </c>
    </row>
    <row r="2235">
      <c r="A2235" s="90" t="n">
        <v>39326</v>
      </c>
      <c r="B2235" t="n">
        <v>659.7</v>
      </c>
      <c r="C2235" t="n">
        <v>3549.9</v>
      </c>
      <c r="E2235" t="n">
        <v>7403.2</v>
      </c>
    </row>
    <row r="2236">
      <c r="A2236" s="90" t="n">
        <v>39328</v>
      </c>
      <c r="D2236" t="n">
        <v>1412.6</v>
      </c>
    </row>
    <row r="2237">
      <c r="A2237" s="90" t="n">
        <v>39335</v>
      </c>
      <c r="D2237" t="n">
        <v>1382.1</v>
      </c>
    </row>
    <row r="2238">
      <c r="A2238" s="90" t="n">
        <v>39342</v>
      </c>
      <c r="D2238" t="n">
        <v>1373.5</v>
      </c>
    </row>
    <row r="2239">
      <c r="A2239" s="90" t="n">
        <v>39349</v>
      </c>
      <c r="D2239" t="n">
        <v>1365.4</v>
      </c>
    </row>
    <row r="2240">
      <c r="A2240" s="90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90" t="n">
        <v>39363</v>
      </c>
      <c r="D2241" t="n">
        <v>1376.8</v>
      </c>
    </row>
    <row r="2242">
      <c r="A2242" s="90" t="n">
        <v>39370</v>
      </c>
      <c r="D2242" t="n">
        <v>1382.9</v>
      </c>
    </row>
    <row r="2243">
      <c r="A2243" s="90" t="n">
        <v>39377</v>
      </c>
      <c r="D2243" t="n">
        <v>1383.1</v>
      </c>
    </row>
    <row r="2244">
      <c r="A2244" s="90" t="n">
        <v>39384</v>
      </c>
      <c r="D2244" t="n">
        <v>1379.7</v>
      </c>
    </row>
    <row r="2245">
      <c r="A2245" s="90" t="n">
        <v>39387</v>
      </c>
      <c r="B2245" t="n">
        <v>650.7</v>
      </c>
      <c r="C2245" t="n">
        <v>3529.7</v>
      </c>
      <c r="E2245" t="n">
        <v>7441.8</v>
      </c>
    </row>
    <row r="2246">
      <c r="A2246" s="90" t="n">
        <v>39391</v>
      </c>
      <c r="D2246" t="n">
        <v>1369.6</v>
      </c>
    </row>
    <row r="2247">
      <c r="A2247" s="90" t="n">
        <v>39398</v>
      </c>
      <c r="D2247" t="n">
        <v>1367.8</v>
      </c>
    </row>
    <row r="2248">
      <c r="A2248" s="90" t="n">
        <v>39405</v>
      </c>
      <c r="D2248" t="n">
        <v>1367.2</v>
      </c>
    </row>
    <row r="2249">
      <c r="A2249" s="90" t="n">
        <v>39412</v>
      </c>
      <c r="D2249" t="n">
        <v>1374.5</v>
      </c>
    </row>
    <row r="2250">
      <c r="A2250" s="90" t="n">
        <v>39417</v>
      </c>
      <c r="B2250" t="n">
        <v>649.5</v>
      </c>
      <c r="C2250" t="n">
        <v>3533.6</v>
      </c>
      <c r="E2250" t="n">
        <v>7471.6</v>
      </c>
    </row>
    <row r="2251">
      <c r="A2251" s="90" t="n">
        <v>39419</v>
      </c>
      <c r="D2251" t="n">
        <v>1384.8</v>
      </c>
    </row>
    <row r="2252">
      <c r="A2252" s="90" t="n">
        <v>39426</v>
      </c>
      <c r="D2252" t="n">
        <v>1377.6</v>
      </c>
    </row>
    <row r="2253">
      <c r="A2253" s="90" t="n">
        <v>39433</v>
      </c>
      <c r="D2253" t="n">
        <v>1365.1</v>
      </c>
    </row>
    <row r="2254">
      <c r="A2254" s="90" t="n">
        <v>39440</v>
      </c>
      <c r="D2254" t="n">
        <v>1378.1</v>
      </c>
    </row>
    <row r="2255">
      <c r="A2255" s="90" t="n">
        <v>39447</v>
      </c>
      <c r="D2255" t="n">
        <v>1367.9</v>
      </c>
    </row>
    <row r="2256">
      <c r="A2256" s="90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90" t="n">
        <v>39454</v>
      </c>
      <c r="D2257" t="n">
        <v>1367.3</v>
      </c>
    </row>
    <row r="2258">
      <c r="A2258" s="90" t="n">
        <v>39461</v>
      </c>
      <c r="D2258" t="n">
        <v>1370.2</v>
      </c>
    </row>
    <row r="2259">
      <c r="A2259" s="90" t="n">
        <v>39468</v>
      </c>
      <c r="D2259" t="n">
        <v>1390</v>
      </c>
    </row>
    <row r="2260">
      <c r="A2260" s="90" t="n">
        <v>39475</v>
      </c>
      <c r="D2260" t="n">
        <v>1379.6</v>
      </c>
    </row>
    <row r="2261">
      <c r="A2261" s="90" t="n">
        <v>39479</v>
      </c>
      <c r="B2261" t="n">
        <v>649</v>
      </c>
      <c r="C2261" t="n">
        <v>3568.9</v>
      </c>
      <c r="E2261" t="n">
        <v>7590.6</v>
      </c>
    </row>
    <row r="2262">
      <c r="A2262" s="90" t="n">
        <v>39482</v>
      </c>
      <c r="D2262" t="n">
        <v>1386.1</v>
      </c>
    </row>
    <row r="2263">
      <c r="A2263" s="90" t="n">
        <v>39489</v>
      </c>
      <c r="D2263" t="n">
        <v>1374.4</v>
      </c>
    </row>
    <row r="2264">
      <c r="A2264" s="90" t="n">
        <v>39496</v>
      </c>
      <c r="D2264" t="n">
        <v>1375</v>
      </c>
    </row>
    <row r="2265">
      <c r="A2265" s="90" t="n">
        <v>39503</v>
      </c>
      <c r="D2265" t="n">
        <v>1376.9</v>
      </c>
    </row>
    <row r="2266">
      <c r="A2266" s="90" t="n">
        <v>39508</v>
      </c>
      <c r="B2266" t="n">
        <v>650.6</v>
      </c>
      <c r="C2266" t="n">
        <v>3586.9</v>
      </c>
      <c r="E2266" t="n">
        <v>7656.2</v>
      </c>
    </row>
    <row r="2267">
      <c r="A2267" s="90" t="n">
        <v>39510</v>
      </c>
      <c r="D2267" t="n">
        <v>1401</v>
      </c>
    </row>
    <row r="2268">
      <c r="A2268" s="90" t="n">
        <v>39517</v>
      </c>
      <c r="D2268" t="n">
        <v>1391.3</v>
      </c>
    </row>
    <row r="2269">
      <c r="A2269" s="90" t="n">
        <v>39524</v>
      </c>
      <c r="D2269" t="n">
        <v>1381.5</v>
      </c>
    </row>
    <row r="2270">
      <c r="A2270" s="90" t="n">
        <v>39531</v>
      </c>
      <c r="D2270" t="n">
        <v>1387.1</v>
      </c>
    </row>
    <row r="2271">
      <c r="A2271" s="90" t="n">
        <v>39538</v>
      </c>
      <c r="D2271" t="n">
        <v>1389.7</v>
      </c>
    </row>
    <row r="2272">
      <c r="A2272" s="90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90" t="n">
        <v>39545</v>
      </c>
      <c r="D2273" t="n">
        <v>1374.2</v>
      </c>
    </row>
    <row r="2274">
      <c r="A2274" s="90" t="n">
        <v>39552</v>
      </c>
      <c r="D2274" t="n">
        <v>1389.2</v>
      </c>
    </row>
    <row r="2275">
      <c r="A2275" s="90" t="n">
        <v>39559</v>
      </c>
      <c r="D2275" t="n">
        <v>1403.8</v>
      </c>
    </row>
    <row r="2276">
      <c r="A2276" s="90" t="n">
        <v>39566</v>
      </c>
      <c r="D2276" t="n">
        <v>1397.7</v>
      </c>
    </row>
    <row r="2277">
      <c r="A2277" s="90" t="n">
        <v>39569</v>
      </c>
      <c r="B2277" t="n">
        <v>647.5</v>
      </c>
      <c r="C2277" t="n">
        <v>3583.1</v>
      </c>
      <c r="E2277" t="n">
        <v>7711.2</v>
      </c>
    </row>
    <row r="2278">
      <c r="A2278" s="90" t="n">
        <v>39573</v>
      </c>
      <c r="D2278" t="n">
        <v>1393.5</v>
      </c>
    </row>
    <row r="2279">
      <c r="A2279" s="90" t="n">
        <v>39580</v>
      </c>
      <c r="D2279" t="n">
        <v>1392</v>
      </c>
    </row>
    <row r="2280">
      <c r="A2280" s="90" t="n">
        <v>39587</v>
      </c>
      <c r="D2280" t="n">
        <v>1385.7</v>
      </c>
    </row>
    <row r="2281">
      <c r="A2281" s="90" t="n">
        <v>39594</v>
      </c>
      <c r="D2281" t="n">
        <v>1394</v>
      </c>
    </row>
    <row r="2282">
      <c r="A2282" s="90" t="n">
        <v>39600</v>
      </c>
      <c r="B2282" t="n">
        <v>645.9</v>
      </c>
      <c r="C2282" t="n">
        <v>3554.1</v>
      </c>
      <c r="E2282" t="n">
        <v>7728.9</v>
      </c>
    </row>
    <row r="2283">
      <c r="A2283" s="90" t="n">
        <v>39601</v>
      </c>
      <c r="D2283" t="n">
        <v>1405.2</v>
      </c>
    </row>
    <row r="2284">
      <c r="A2284" s="90" t="n">
        <v>39608</v>
      </c>
      <c r="D2284" t="n">
        <v>1410.9</v>
      </c>
    </row>
    <row r="2285">
      <c r="A2285" s="90" t="n">
        <v>39615</v>
      </c>
      <c r="D2285" t="n">
        <v>1403.7</v>
      </c>
    </row>
    <row r="2286">
      <c r="A2286" s="90" t="n">
        <v>39622</v>
      </c>
      <c r="D2286" t="n">
        <v>1398.9</v>
      </c>
    </row>
    <row r="2287">
      <c r="A2287" s="90" t="n">
        <v>39629</v>
      </c>
      <c r="D2287" t="n">
        <v>1404.6</v>
      </c>
    </row>
    <row r="2288">
      <c r="A2288" s="90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90" t="n">
        <v>39636</v>
      </c>
      <c r="D2289" t="n">
        <v>1412.6</v>
      </c>
    </row>
    <row r="2290">
      <c r="A2290" s="90" t="n">
        <v>39643</v>
      </c>
      <c r="D2290" t="n">
        <v>1421.5</v>
      </c>
    </row>
    <row r="2291">
      <c r="A2291" s="90" t="n">
        <v>39650</v>
      </c>
      <c r="D2291" t="n">
        <v>1426.9</v>
      </c>
    </row>
    <row r="2292">
      <c r="A2292" s="90" t="n">
        <v>39657</v>
      </c>
      <c r="D2292" t="n">
        <v>1422.3</v>
      </c>
    </row>
    <row r="2293">
      <c r="A2293" s="90" t="n">
        <v>39661</v>
      </c>
      <c r="B2293" t="n">
        <v>643.6</v>
      </c>
      <c r="C2293" t="n">
        <v>3562.2</v>
      </c>
      <c r="E2293" t="n">
        <v>7790.2</v>
      </c>
    </row>
    <row r="2294">
      <c r="A2294" s="90" t="n">
        <v>39664</v>
      </c>
      <c r="D2294" t="n">
        <v>1423.5</v>
      </c>
    </row>
    <row r="2295">
      <c r="A2295" s="90" t="n">
        <v>39671</v>
      </c>
      <c r="D2295" t="n">
        <v>1412.7</v>
      </c>
    </row>
    <row r="2296">
      <c r="A2296" s="90" t="n">
        <v>39678</v>
      </c>
      <c r="D2296" t="n">
        <v>1394.4</v>
      </c>
    </row>
    <row r="2297">
      <c r="A2297" s="90" t="n">
        <v>39685</v>
      </c>
      <c r="D2297" t="n">
        <v>1404.9</v>
      </c>
    </row>
    <row r="2298">
      <c r="A2298" s="90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90" t="n">
        <v>39699</v>
      </c>
      <c r="D2299" t="n">
        <v>1423.9</v>
      </c>
    </row>
    <row r="2300">
      <c r="A2300" s="90" t="n">
        <v>39706</v>
      </c>
      <c r="D2300" t="n">
        <v>1437</v>
      </c>
    </row>
    <row r="2301">
      <c r="A2301" s="90" t="n">
        <v>39713</v>
      </c>
      <c r="D2301" t="n">
        <v>1490.1</v>
      </c>
    </row>
    <row r="2302">
      <c r="A2302" s="90" t="n">
        <v>39720</v>
      </c>
      <c r="D2302" t="n">
        <v>1504.6</v>
      </c>
    </row>
    <row r="2303">
      <c r="A2303" s="90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90" t="n">
        <v>39727</v>
      </c>
      <c r="D2304" t="n">
        <v>1461</v>
      </c>
    </row>
    <row r="2305">
      <c r="A2305" s="90" t="n">
        <v>39734</v>
      </c>
      <c r="D2305" t="n">
        <v>1464.9</v>
      </c>
    </row>
    <row r="2306">
      <c r="A2306" s="90" t="n">
        <v>39741</v>
      </c>
      <c r="D2306" t="n">
        <v>1457.4</v>
      </c>
    </row>
    <row r="2307">
      <c r="A2307" s="90" t="n">
        <v>39748</v>
      </c>
      <c r="D2307" t="n">
        <v>1483.7</v>
      </c>
    </row>
    <row r="2308">
      <c r="A2308" s="90" t="n">
        <v>39753</v>
      </c>
      <c r="B2308" t="n">
        <v>710.6</v>
      </c>
      <c r="C2308" t="n">
        <v>3760.6</v>
      </c>
      <c r="E2308" t="n">
        <v>8015.8</v>
      </c>
    </row>
    <row r="2309">
      <c r="A2309" s="90" t="n">
        <v>39755</v>
      </c>
      <c r="D2309" t="n">
        <v>1520</v>
      </c>
    </row>
    <row r="2310">
      <c r="A2310" s="90" t="n">
        <v>39762</v>
      </c>
      <c r="D2310" t="n">
        <v>1505.5</v>
      </c>
    </row>
    <row r="2311">
      <c r="A2311" s="90" t="n">
        <v>39769</v>
      </c>
      <c r="D2311" t="n">
        <v>1506.8</v>
      </c>
    </row>
    <row r="2312">
      <c r="A2312" s="90" t="n">
        <v>39776</v>
      </c>
      <c r="D2312" t="n">
        <v>1518.3</v>
      </c>
    </row>
    <row r="2313">
      <c r="A2313" s="90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90" t="n">
        <v>39790</v>
      </c>
      <c r="D2314" t="n">
        <v>1590</v>
      </c>
    </row>
    <row r="2315">
      <c r="A2315" s="90" t="n">
        <v>39797</v>
      </c>
      <c r="D2315" t="n">
        <v>1612</v>
      </c>
    </row>
    <row r="2316">
      <c r="A2316" s="90" t="n">
        <v>39804</v>
      </c>
      <c r="D2316" t="n">
        <v>1610.2</v>
      </c>
    </row>
    <row r="2317">
      <c r="A2317" s="90" t="n">
        <v>39811</v>
      </c>
      <c r="D2317" t="n">
        <v>1597.3</v>
      </c>
    </row>
    <row r="2318">
      <c r="A2318" s="90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90" t="n">
        <v>39818</v>
      </c>
      <c r="D2319" t="n">
        <v>1629.7</v>
      </c>
    </row>
    <row r="2320">
      <c r="A2320" s="90" t="n">
        <v>39825</v>
      </c>
      <c r="D2320" t="n">
        <v>1609.5</v>
      </c>
    </row>
    <row r="2321">
      <c r="A2321" s="90" t="n">
        <v>39832</v>
      </c>
      <c r="D2321" t="n">
        <v>1561.1</v>
      </c>
    </row>
    <row r="2322">
      <c r="A2322" s="90" t="n">
        <v>39839</v>
      </c>
      <c r="D2322" t="n">
        <v>1555.1</v>
      </c>
    </row>
    <row r="2323">
      <c r="A2323" s="90" t="n">
        <v>39845</v>
      </c>
      <c r="B2323" t="n">
        <v>736.8</v>
      </c>
      <c r="C2323" t="n">
        <v>3903.6</v>
      </c>
      <c r="E2323" t="n">
        <v>8303.1</v>
      </c>
    </row>
    <row r="2324">
      <c r="A2324" s="90" t="n">
        <v>39846</v>
      </c>
      <c r="D2324" t="n">
        <v>1567.4</v>
      </c>
    </row>
    <row r="2325">
      <c r="A2325" s="90" t="n">
        <v>39853</v>
      </c>
      <c r="D2325" t="n">
        <v>1575.7</v>
      </c>
    </row>
    <row r="2326">
      <c r="A2326" s="90" t="n">
        <v>39860</v>
      </c>
      <c r="D2326" t="n">
        <v>1565</v>
      </c>
    </row>
    <row r="2327">
      <c r="A2327" s="90" t="n">
        <v>39867</v>
      </c>
      <c r="D2327" t="n">
        <v>1558.9</v>
      </c>
    </row>
    <row r="2328">
      <c r="A2328" s="90" t="n">
        <v>39873</v>
      </c>
      <c r="B2328" t="n">
        <v>743</v>
      </c>
      <c r="C2328" t="n">
        <v>3938.6</v>
      </c>
      <c r="E2328" t="n">
        <v>8369.299999999999</v>
      </c>
    </row>
    <row r="2329">
      <c r="A2329" s="90" t="n">
        <v>39874</v>
      </c>
      <c r="D2329" t="n">
        <v>1570.1</v>
      </c>
    </row>
    <row r="2330">
      <c r="A2330" s="90" t="n">
        <v>39881</v>
      </c>
      <c r="D2330" t="n">
        <v>1583.8</v>
      </c>
    </row>
    <row r="2331">
      <c r="A2331" s="90" t="n">
        <v>39888</v>
      </c>
      <c r="D2331" t="n">
        <v>1575.7</v>
      </c>
    </row>
    <row r="2332">
      <c r="A2332" s="90" t="n">
        <v>39895</v>
      </c>
      <c r="D2332" t="n">
        <v>1575.1</v>
      </c>
    </row>
    <row r="2333">
      <c r="A2333" s="90" t="n">
        <v>39902</v>
      </c>
      <c r="D2333" t="n">
        <v>1572.3</v>
      </c>
    </row>
    <row r="2334">
      <c r="A2334" s="90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90" t="n">
        <v>39909</v>
      </c>
      <c r="D2335" t="n">
        <v>1655.6</v>
      </c>
    </row>
    <row r="2336">
      <c r="A2336" s="90" t="n">
        <v>39916</v>
      </c>
      <c r="D2336" t="n">
        <v>1604.1</v>
      </c>
    </row>
    <row r="2337">
      <c r="A2337" s="90" t="n">
        <v>39923</v>
      </c>
      <c r="D2337" t="n">
        <v>1595.4</v>
      </c>
    </row>
    <row r="2338">
      <c r="A2338" s="90" t="n">
        <v>39930</v>
      </c>
      <c r="D2338" t="n">
        <v>1598</v>
      </c>
    </row>
    <row r="2339">
      <c r="A2339" s="90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90" t="n">
        <v>39937</v>
      </c>
      <c r="D2340" t="n">
        <v>1611.3</v>
      </c>
    </row>
    <row r="2341">
      <c r="A2341" s="90" t="n">
        <v>39944</v>
      </c>
      <c r="D2341" t="n">
        <v>1617.5</v>
      </c>
    </row>
    <row r="2342">
      <c r="A2342" s="90" t="n">
        <v>39951</v>
      </c>
      <c r="D2342" t="n">
        <v>1617.1</v>
      </c>
    </row>
    <row r="2343">
      <c r="A2343" s="90" t="n">
        <v>39958</v>
      </c>
      <c r="D2343" t="n">
        <v>1623.4</v>
      </c>
    </row>
    <row r="2344">
      <c r="A2344" s="90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90" t="n">
        <v>39972</v>
      </c>
      <c r="D2345" t="n">
        <v>1650.5</v>
      </c>
    </row>
    <row r="2346">
      <c r="A2346" s="90" t="n">
        <v>39979</v>
      </c>
      <c r="D2346" t="n">
        <v>1659.5</v>
      </c>
    </row>
    <row r="2347">
      <c r="A2347" s="90" t="n">
        <v>39986</v>
      </c>
      <c r="D2347" t="n">
        <v>1671.6</v>
      </c>
    </row>
    <row r="2348">
      <c r="A2348" s="90" t="n">
        <v>39993</v>
      </c>
      <c r="D2348" t="n">
        <v>1660.7</v>
      </c>
    </row>
    <row r="2349">
      <c r="A2349" s="90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90" t="n">
        <v>40000</v>
      </c>
      <c r="D2350" t="n">
        <v>1653.2</v>
      </c>
    </row>
    <row r="2351">
      <c r="A2351" s="90" t="n">
        <v>40007</v>
      </c>
      <c r="D2351" t="n">
        <v>1663.9</v>
      </c>
    </row>
    <row r="2352">
      <c r="A2352" s="90" t="n">
        <v>40014</v>
      </c>
      <c r="D2352" t="n">
        <v>1662.6</v>
      </c>
    </row>
    <row r="2353">
      <c r="A2353" s="90" t="n">
        <v>40021</v>
      </c>
      <c r="D2353" t="n">
        <v>1659.2</v>
      </c>
    </row>
    <row r="2354">
      <c r="A2354" s="90" t="n">
        <v>40026</v>
      </c>
      <c r="B2354" t="n">
        <v>770.5</v>
      </c>
      <c r="C2354" t="n">
        <v>3919.8</v>
      </c>
      <c r="E2354" t="n">
        <v>8445</v>
      </c>
    </row>
    <row r="2355">
      <c r="A2355" s="90" t="n">
        <v>40028</v>
      </c>
      <c r="D2355" t="n">
        <v>1679.3</v>
      </c>
    </row>
    <row r="2356">
      <c r="A2356" s="90" t="n">
        <v>40035</v>
      </c>
      <c r="D2356" t="n">
        <v>1669.5</v>
      </c>
    </row>
    <row r="2357">
      <c r="A2357" s="90" t="n">
        <v>40042</v>
      </c>
      <c r="D2357" t="n">
        <v>1668.9</v>
      </c>
    </row>
    <row r="2358">
      <c r="A2358" s="90" t="n">
        <v>40049</v>
      </c>
      <c r="D2358" t="n">
        <v>1649.2</v>
      </c>
    </row>
    <row r="2359">
      <c r="A2359" s="90" t="n">
        <v>40056</v>
      </c>
      <c r="D2359" t="n">
        <v>1644.2</v>
      </c>
    </row>
    <row r="2360">
      <c r="A2360" s="90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90" t="n">
        <v>40063</v>
      </c>
      <c r="D2361" t="n">
        <v>1660.5</v>
      </c>
    </row>
    <row r="2362">
      <c r="A2362" s="90" t="n">
        <v>40070</v>
      </c>
      <c r="D2362" t="n">
        <v>1674.9</v>
      </c>
    </row>
    <row r="2363">
      <c r="A2363" s="90" t="n">
        <v>40077</v>
      </c>
      <c r="D2363" t="n">
        <v>1662.9</v>
      </c>
    </row>
    <row r="2364">
      <c r="A2364" s="90" t="n">
        <v>40084</v>
      </c>
      <c r="D2364" t="n">
        <v>1662.1</v>
      </c>
    </row>
    <row r="2365">
      <c r="A2365" s="90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90" t="n">
        <v>40091</v>
      </c>
      <c r="D2366" t="n">
        <v>1662.2</v>
      </c>
    </row>
    <row r="2367">
      <c r="A2367" s="90" t="n">
        <v>40098</v>
      </c>
      <c r="D2367" t="n">
        <v>1674.6</v>
      </c>
    </row>
    <row r="2368">
      <c r="A2368" s="90" t="n">
        <v>40105</v>
      </c>
      <c r="D2368" t="n">
        <v>1680.9</v>
      </c>
    </row>
    <row r="2369">
      <c r="A2369" s="90" t="n">
        <v>40112</v>
      </c>
      <c r="D2369" t="n">
        <v>1685.4</v>
      </c>
    </row>
    <row r="2370">
      <c r="A2370" s="90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90" t="n">
        <v>40119</v>
      </c>
      <c r="D2371" t="n">
        <v>1682.6</v>
      </c>
    </row>
    <row r="2372">
      <c r="A2372" s="90" t="n">
        <v>40126</v>
      </c>
      <c r="D2372" t="n">
        <v>1680.4</v>
      </c>
    </row>
    <row r="2373">
      <c r="A2373" s="90" t="n">
        <v>40133</v>
      </c>
      <c r="D2373" t="n">
        <v>1680.8</v>
      </c>
    </row>
    <row r="2374">
      <c r="A2374" s="90" t="n">
        <v>40140</v>
      </c>
      <c r="D2374" t="n">
        <v>1683</v>
      </c>
    </row>
    <row r="2375">
      <c r="A2375" s="90" t="n">
        <v>40147</v>
      </c>
      <c r="D2375" t="n">
        <v>1688.2</v>
      </c>
    </row>
    <row r="2376">
      <c r="A2376" s="90" t="n">
        <v>40148</v>
      </c>
      <c r="B2376" t="n">
        <v>778.8</v>
      </c>
      <c r="C2376" t="n">
        <v>3909</v>
      </c>
      <c r="E2376" t="n">
        <v>8496</v>
      </c>
    </row>
    <row r="2377">
      <c r="A2377" s="90" t="n">
        <v>40154</v>
      </c>
      <c r="D2377" t="n">
        <v>1684.8</v>
      </c>
    </row>
    <row r="2378">
      <c r="A2378" s="90" t="n">
        <v>40161</v>
      </c>
      <c r="D2378" t="n">
        <v>1691.1</v>
      </c>
    </row>
    <row r="2379">
      <c r="A2379" s="90" t="n">
        <v>40168</v>
      </c>
      <c r="D2379" t="n">
        <v>1698.6</v>
      </c>
    </row>
    <row r="2380">
      <c r="A2380" s="90" t="n">
        <v>40175</v>
      </c>
      <c r="D2380" t="n">
        <v>1690.1</v>
      </c>
    </row>
    <row r="2381">
      <c r="A2381" s="90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90" t="n">
        <v>40182</v>
      </c>
      <c r="D2382" t="n">
        <v>1708.6</v>
      </c>
    </row>
    <row r="2383">
      <c r="A2383" s="90" t="n">
        <v>40189</v>
      </c>
      <c r="D2383" t="n">
        <v>1665.4</v>
      </c>
    </row>
    <row r="2384">
      <c r="A2384" s="90" t="n">
        <v>40196</v>
      </c>
      <c r="D2384" t="n">
        <v>1669.7</v>
      </c>
    </row>
    <row r="2385">
      <c r="A2385" s="90" t="n">
        <v>40203</v>
      </c>
      <c r="D2385" t="n">
        <v>1672.6</v>
      </c>
    </row>
    <row r="2386">
      <c r="A2386" s="90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90" t="n">
        <v>40217</v>
      </c>
      <c r="D2387" t="n">
        <v>1688.6</v>
      </c>
    </row>
    <row r="2388">
      <c r="A2388" s="90" t="n">
        <v>40224</v>
      </c>
      <c r="D2388" t="n">
        <v>1717.2</v>
      </c>
    </row>
    <row r="2389">
      <c r="A2389" s="90" t="n">
        <v>40231</v>
      </c>
      <c r="D2389" t="n">
        <v>1702.1</v>
      </c>
    </row>
    <row r="2390">
      <c r="A2390" s="90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90" t="n">
        <v>40245</v>
      </c>
      <c r="D2391" t="n">
        <v>1704.2</v>
      </c>
    </row>
    <row r="2392">
      <c r="A2392" s="90" t="n">
        <v>40252</v>
      </c>
      <c r="D2392" t="n">
        <v>1722.9</v>
      </c>
    </row>
    <row r="2393">
      <c r="A2393" s="90" t="n">
        <v>40259</v>
      </c>
      <c r="D2393" t="n">
        <v>1722.2</v>
      </c>
    </row>
    <row r="2394">
      <c r="A2394" s="90" t="n">
        <v>40266</v>
      </c>
      <c r="D2394" t="n">
        <v>1708.3</v>
      </c>
    </row>
    <row r="2395">
      <c r="A2395" s="90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90" t="n">
        <v>40273</v>
      </c>
      <c r="D2396" t="n">
        <v>1686</v>
      </c>
    </row>
    <row r="2397">
      <c r="A2397" s="90" t="n">
        <v>40280</v>
      </c>
      <c r="D2397" t="n">
        <v>1697.7</v>
      </c>
    </row>
    <row r="2398">
      <c r="A2398" s="90" t="n">
        <v>40287</v>
      </c>
      <c r="D2398" t="n">
        <v>1699.4</v>
      </c>
    </row>
    <row r="2399">
      <c r="A2399" s="90" t="n">
        <v>40294</v>
      </c>
      <c r="D2399" t="n">
        <v>1692.3</v>
      </c>
    </row>
    <row r="2400">
      <c r="A2400" s="90" t="n">
        <v>40299</v>
      </c>
      <c r="B2400" t="n">
        <v>787</v>
      </c>
      <c r="C2400" t="n">
        <v>3953.2</v>
      </c>
      <c r="E2400" t="n">
        <v>8589.9</v>
      </c>
    </row>
    <row r="2401">
      <c r="A2401" s="90" t="n">
        <v>40301</v>
      </c>
      <c r="D2401" t="n">
        <v>1728.3</v>
      </c>
    </row>
    <row r="2402">
      <c r="A2402" s="90" t="n">
        <v>40308</v>
      </c>
      <c r="D2402" t="n">
        <v>1710.7</v>
      </c>
    </row>
    <row r="2403">
      <c r="A2403" s="90" t="n">
        <v>40315</v>
      </c>
      <c r="D2403" t="n">
        <v>1702.8</v>
      </c>
    </row>
    <row r="2404">
      <c r="A2404" s="90" t="n">
        <v>40322</v>
      </c>
      <c r="D2404" t="n">
        <v>1707.5</v>
      </c>
    </row>
    <row r="2405">
      <c r="A2405" s="90" t="n">
        <v>40329</v>
      </c>
      <c r="D2405" t="n">
        <v>1711.5</v>
      </c>
    </row>
    <row r="2406">
      <c r="A2406" s="90" t="n">
        <v>40330</v>
      </c>
      <c r="B2406" t="n">
        <v>797.2</v>
      </c>
      <c r="C2406" t="n">
        <v>3963.6</v>
      </c>
      <c r="E2406" t="n">
        <v>8609</v>
      </c>
    </row>
    <row r="2407">
      <c r="A2407" s="90" t="n">
        <v>40336</v>
      </c>
      <c r="D2407" t="n">
        <v>1717.9</v>
      </c>
    </row>
    <row r="2408">
      <c r="A2408" s="90" t="n">
        <v>40343</v>
      </c>
      <c r="D2408" t="n">
        <v>1722.3</v>
      </c>
    </row>
    <row r="2409">
      <c r="A2409" s="90" t="n">
        <v>40350</v>
      </c>
      <c r="D2409" t="n">
        <v>1741.3</v>
      </c>
    </row>
    <row r="2410">
      <c r="A2410" s="90" t="n">
        <v>40357</v>
      </c>
      <c r="D2410" t="n">
        <v>1748.3</v>
      </c>
    </row>
    <row r="2411">
      <c r="A2411" s="90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90" t="n">
        <v>40364</v>
      </c>
      <c r="D2412" t="n">
        <v>1719.3</v>
      </c>
    </row>
    <row r="2413">
      <c r="A2413" s="90" t="n">
        <v>40371</v>
      </c>
      <c r="D2413" t="n">
        <v>1722.3</v>
      </c>
    </row>
    <row r="2414">
      <c r="A2414" s="90" t="n">
        <v>40378</v>
      </c>
      <c r="D2414" t="n">
        <v>1718.8</v>
      </c>
    </row>
    <row r="2415">
      <c r="A2415" s="90" t="n">
        <v>40385</v>
      </c>
      <c r="D2415" t="n">
        <v>1730.6</v>
      </c>
    </row>
    <row r="2416">
      <c r="A2416" s="90" t="n">
        <v>40391</v>
      </c>
      <c r="B2416" t="n">
        <v>802.4</v>
      </c>
      <c r="C2416" t="n">
        <v>3978.1</v>
      </c>
      <c r="E2416" t="n">
        <v>8669.1</v>
      </c>
    </row>
    <row r="2417">
      <c r="A2417" s="90" t="n">
        <v>40392</v>
      </c>
      <c r="D2417" t="n">
        <v>1729.2</v>
      </c>
    </row>
    <row r="2418">
      <c r="A2418" s="90" t="n">
        <v>40399</v>
      </c>
      <c r="D2418" t="n">
        <v>1743.4</v>
      </c>
    </row>
    <row r="2419">
      <c r="A2419" s="90" t="n">
        <v>40406</v>
      </c>
      <c r="D2419" t="n">
        <v>1742.1</v>
      </c>
    </row>
    <row r="2420">
      <c r="A2420" s="90" t="n">
        <v>40413</v>
      </c>
      <c r="D2420" t="n">
        <v>1757.4</v>
      </c>
    </row>
    <row r="2421">
      <c r="A2421" s="90" t="n">
        <v>40420</v>
      </c>
      <c r="D2421" t="n">
        <v>1757.3</v>
      </c>
    </row>
    <row r="2422">
      <c r="A2422" s="90" t="n">
        <v>40422</v>
      </c>
      <c r="B2422" t="n">
        <v>809.2</v>
      </c>
      <c r="C2422" t="n">
        <v>3985.8</v>
      </c>
      <c r="E2422" t="n">
        <v>8700.1</v>
      </c>
    </row>
    <row r="2423">
      <c r="A2423" s="90" t="n">
        <v>40427</v>
      </c>
      <c r="D2423" t="n">
        <v>1749.5</v>
      </c>
    </row>
    <row r="2424">
      <c r="A2424" s="90" t="n">
        <v>40434</v>
      </c>
      <c r="D2424" t="n">
        <v>1768.6</v>
      </c>
    </row>
    <row r="2425">
      <c r="A2425" s="90" t="n">
        <v>40441</v>
      </c>
      <c r="D2425" t="n">
        <v>1769.6</v>
      </c>
    </row>
    <row r="2426">
      <c r="A2426" s="90" t="n">
        <v>40448</v>
      </c>
      <c r="D2426" t="n">
        <v>1770.2</v>
      </c>
    </row>
    <row r="2427">
      <c r="A2427" s="90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90" t="n">
        <v>40455</v>
      </c>
      <c r="D2428" t="n">
        <v>1776.2</v>
      </c>
    </row>
    <row r="2429">
      <c r="A2429" s="90" t="n">
        <v>40462</v>
      </c>
      <c r="D2429" t="n">
        <v>1789.5</v>
      </c>
    </row>
    <row r="2430">
      <c r="A2430" s="90" t="n">
        <v>40469</v>
      </c>
      <c r="D2430" t="n">
        <v>1776.5</v>
      </c>
    </row>
    <row r="2431">
      <c r="A2431" s="90" t="n">
        <v>40476</v>
      </c>
      <c r="D2431" t="n">
        <v>1789.5</v>
      </c>
    </row>
    <row r="2432">
      <c r="A2432" s="90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90" t="n">
        <v>40490</v>
      </c>
      <c r="D2433" t="n">
        <v>1867.7</v>
      </c>
    </row>
    <row r="2434">
      <c r="A2434" s="90" t="n">
        <v>40497</v>
      </c>
      <c r="D2434" t="n">
        <v>1802</v>
      </c>
    </row>
    <row r="2435">
      <c r="A2435" s="90" t="n">
        <v>40504</v>
      </c>
      <c r="D2435" t="n">
        <v>1819</v>
      </c>
    </row>
    <row r="2436">
      <c r="A2436" s="90" t="n">
        <v>40511</v>
      </c>
      <c r="D2436" t="n">
        <v>1836.1</v>
      </c>
    </row>
    <row r="2437">
      <c r="A2437" s="90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90" t="n">
        <v>40518</v>
      </c>
      <c r="D2438" t="n">
        <v>1812.3</v>
      </c>
    </row>
    <row r="2439">
      <c r="A2439" s="90" t="n">
        <v>40525</v>
      </c>
      <c r="D2439" t="n">
        <v>1829</v>
      </c>
    </row>
    <row r="2440">
      <c r="A2440" s="90" t="n">
        <v>40532</v>
      </c>
      <c r="D2440" t="n">
        <v>1840.8</v>
      </c>
    </row>
    <row r="2441">
      <c r="A2441" s="90" t="n">
        <v>40539</v>
      </c>
      <c r="D2441" t="n">
        <v>1853.6</v>
      </c>
    </row>
    <row r="2442">
      <c r="A2442" s="90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90" t="n">
        <v>40546</v>
      </c>
      <c r="D2443" t="n">
        <v>1849.9</v>
      </c>
    </row>
    <row r="2444">
      <c r="A2444" s="90" t="n">
        <v>40553</v>
      </c>
      <c r="D2444" t="n">
        <v>1834.5</v>
      </c>
    </row>
    <row r="2445">
      <c r="A2445" s="90" t="n">
        <v>40560</v>
      </c>
      <c r="D2445" t="n">
        <v>1858.3</v>
      </c>
    </row>
    <row r="2446">
      <c r="A2446" s="90" t="n">
        <v>40567</v>
      </c>
      <c r="D2446" t="n">
        <v>1854.1</v>
      </c>
    </row>
    <row r="2447">
      <c r="A2447" s="90" t="n">
        <v>40574</v>
      </c>
      <c r="D2447" t="n">
        <v>1868.8</v>
      </c>
    </row>
    <row r="2448">
      <c r="A2448" s="90" t="n">
        <v>40575</v>
      </c>
      <c r="B2448" t="n">
        <v>842.8</v>
      </c>
      <c r="C2448" t="n">
        <v>4004.9</v>
      </c>
      <c r="E2448" t="n">
        <v>8886.9</v>
      </c>
    </row>
    <row r="2449">
      <c r="A2449" s="90" t="n">
        <v>40581</v>
      </c>
      <c r="D2449" t="n">
        <v>1850.4</v>
      </c>
    </row>
    <row r="2450">
      <c r="A2450" s="90" t="n">
        <v>40588</v>
      </c>
      <c r="D2450" t="n">
        <v>1859.1</v>
      </c>
    </row>
    <row r="2451">
      <c r="A2451" s="90" t="n">
        <v>40595</v>
      </c>
      <c r="D2451" t="n">
        <v>1885.8</v>
      </c>
    </row>
    <row r="2452">
      <c r="A2452" s="90" t="n">
        <v>40602</v>
      </c>
      <c r="D2452" t="n">
        <v>1895.2</v>
      </c>
    </row>
    <row r="2453">
      <c r="A2453" s="90" t="n">
        <v>40603</v>
      </c>
      <c r="B2453" t="n">
        <v>850.3</v>
      </c>
      <c r="C2453" t="n">
        <v>4009.7</v>
      </c>
      <c r="E2453" t="n">
        <v>8943.5</v>
      </c>
    </row>
    <row r="2454">
      <c r="A2454" s="90" t="n">
        <v>40609</v>
      </c>
      <c r="D2454" t="n">
        <v>1875.6</v>
      </c>
    </row>
    <row r="2455">
      <c r="A2455" s="90" t="n">
        <v>40616</v>
      </c>
      <c r="D2455" t="n">
        <v>1889.6</v>
      </c>
    </row>
    <row r="2456">
      <c r="A2456" s="90" t="n">
        <v>40623</v>
      </c>
      <c r="D2456" t="n">
        <v>1901.2</v>
      </c>
    </row>
    <row r="2457">
      <c r="A2457" s="90" t="n">
        <v>40630</v>
      </c>
      <c r="D2457" t="n">
        <v>1897.1</v>
      </c>
    </row>
    <row r="2458">
      <c r="A2458" s="90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90" t="n">
        <v>40637</v>
      </c>
      <c r="D2459" t="n">
        <v>1895.4</v>
      </c>
    </row>
    <row r="2460">
      <c r="A2460" s="90" t="n">
        <v>40644</v>
      </c>
      <c r="D2460" t="n">
        <v>1896.4</v>
      </c>
    </row>
    <row r="2461">
      <c r="A2461" s="90" t="n">
        <v>40651</v>
      </c>
      <c r="D2461" t="n">
        <v>1892.8</v>
      </c>
    </row>
    <row r="2462">
      <c r="A2462" s="90" t="n">
        <v>40658</v>
      </c>
      <c r="D2462" t="n">
        <v>1902.2</v>
      </c>
    </row>
    <row r="2463">
      <c r="A2463" s="90" t="n">
        <v>40664</v>
      </c>
      <c r="B2463" t="n">
        <v>863.7</v>
      </c>
      <c r="C2463" t="n">
        <v>4037</v>
      </c>
      <c r="E2463" t="n">
        <v>9075.5</v>
      </c>
    </row>
    <row r="2464">
      <c r="A2464" s="90" t="n">
        <v>40665</v>
      </c>
      <c r="D2464" t="n">
        <v>1920.6</v>
      </c>
    </row>
    <row r="2465">
      <c r="A2465" s="90" t="n">
        <v>40672</v>
      </c>
      <c r="D2465" t="n">
        <v>1928.1</v>
      </c>
    </row>
    <row r="2466">
      <c r="A2466" s="90" t="n">
        <v>40679</v>
      </c>
      <c r="D2466" t="n">
        <v>1930.7</v>
      </c>
    </row>
    <row r="2467">
      <c r="A2467" s="90" t="n">
        <v>40686</v>
      </c>
      <c r="D2467" t="n">
        <v>1942.2</v>
      </c>
    </row>
    <row r="2468">
      <c r="A2468" s="90" t="n">
        <v>40693</v>
      </c>
      <c r="D2468" t="n">
        <v>1956.5</v>
      </c>
    </row>
    <row r="2469">
      <c r="A2469" s="90" t="n">
        <v>40695</v>
      </c>
      <c r="B2469" t="n">
        <v>873.4</v>
      </c>
      <c r="C2469" t="n">
        <v>4070.6</v>
      </c>
      <c r="E2469" t="n">
        <v>9151</v>
      </c>
    </row>
    <row r="2470">
      <c r="A2470" s="90" t="n">
        <v>40700</v>
      </c>
      <c r="D2470" t="n">
        <v>1936</v>
      </c>
    </row>
    <row r="2471">
      <c r="A2471" s="90" t="n">
        <v>40707</v>
      </c>
      <c r="D2471" t="n">
        <v>1951.5</v>
      </c>
    </row>
    <row r="2472">
      <c r="A2472" s="90" t="n">
        <v>40714</v>
      </c>
      <c r="D2472" t="n">
        <v>1961.5</v>
      </c>
    </row>
    <row r="2473">
      <c r="A2473" s="90" t="n">
        <v>40721</v>
      </c>
      <c r="D2473" t="n">
        <v>1959.4</v>
      </c>
    </row>
    <row r="2474">
      <c r="A2474" s="90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90" t="n">
        <v>40728</v>
      </c>
      <c r="D2475" t="n">
        <v>1985.7</v>
      </c>
    </row>
    <row r="2476">
      <c r="A2476" s="90" t="n">
        <v>40735</v>
      </c>
      <c r="D2476" t="n">
        <v>1983.7</v>
      </c>
    </row>
    <row r="2477">
      <c r="A2477" s="90" t="n">
        <v>40742</v>
      </c>
      <c r="D2477" t="n">
        <v>1975.8</v>
      </c>
    </row>
    <row r="2478">
      <c r="A2478" s="90" t="n">
        <v>40749</v>
      </c>
      <c r="D2478" t="n">
        <v>2001.2</v>
      </c>
    </row>
    <row r="2479">
      <c r="A2479" s="90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90" t="n">
        <v>40763</v>
      </c>
      <c r="D2480" t="n">
        <v>2094.4</v>
      </c>
    </row>
    <row r="2481">
      <c r="A2481" s="90" t="n">
        <v>40770</v>
      </c>
      <c r="D2481" t="n">
        <v>2109.1</v>
      </c>
    </row>
    <row r="2482">
      <c r="A2482" s="90" t="n">
        <v>40777</v>
      </c>
      <c r="D2482" t="n">
        <v>2136</v>
      </c>
    </row>
    <row r="2483">
      <c r="A2483" s="90" t="n">
        <v>40784</v>
      </c>
      <c r="D2483" t="n">
        <v>2122.4</v>
      </c>
    </row>
    <row r="2484">
      <c r="A2484" s="90" t="n">
        <v>40787</v>
      </c>
      <c r="B2484" t="n">
        <v>935.6</v>
      </c>
      <c r="C2484" t="n">
        <v>4205</v>
      </c>
      <c r="E2484" t="n">
        <v>9528.299999999999</v>
      </c>
    </row>
    <row r="2485">
      <c r="A2485" s="90" t="n">
        <v>40791</v>
      </c>
      <c r="D2485" t="n">
        <v>2110.1</v>
      </c>
    </row>
    <row r="2486">
      <c r="A2486" s="90" t="n">
        <v>40798</v>
      </c>
      <c r="D2486" t="n">
        <v>2118.7</v>
      </c>
    </row>
    <row r="2487">
      <c r="A2487" s="90" t="n">
        <v>40805</v>
      </c>
      <c r="D2487" t="n">
        <v>2120.9</v>
      </c>
    </row>
    <row r="2488">
      <c r="A2488" s="90" t="n">
        <v>40812</v>
      </c>
      <c r="D2488" t="n">
        <v>2128</v>
      </c>
    </row>
    <row r="2489">
      <c r="A2489" s="90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90" t="n">
        <v>40819</v>
      </c>
      <c r="D2490" t="n">
        <v>2176.7</v>
      </c>
    </row>
    <row r="2491">
      <c r="A2491" s="90" t="n">
        <v>40826</v>
      </c>
      <c r="D2491" t="n">
        <v>2150.8</v>
      </c>
    </row>
    <row r="2492">
      <c r="A2492" s="90" t="n">
        <v>40833</v>
      </c>
      <c r="D2492" t="n">
        <v>2128.2</v>
      </c>
    </row>
    <row r="2493">
      <c r="A2493" s="90" t="n">
        <v>40840</v>
      </c>
      <c r="D2493" t="n">
        <v>2126.6</v>
      </c>
    </row>
    <row r="2494">
      <c r="A2494" s="90" t="n">
        <v>40847</v>
      </c>
      <c r="D2494" t="n">
        <v>2136.2</v>
      </c>
    </row>
    <row r="2495">
      <c r="A2495" s="90" t="n">
        <v>40848</v>
      </c>
      <c r="B2495" t="n">
        <v>960.5</v>
      </c>
      <c r="C2495" t="n">
        <v>4231.5</v>
      </c>
      <c r="E2495" t="n">
        <v>9612.6</v>
      </c>
    </row>
    <row r="2496">
      <c r="A2496" s="90" t="n">
        <v>40854</v>
      </c>
      <c r="D2496" t="n">
        <v>2147.3</v>
      </c>
    </row>
    <row r="2497">
      <c r="A2497" s="90" t="n">
        <v>40861</v>
      </c>
      <c r="D2497" t="n">
        <v>2171.9</v>
      </c>
    </row>
    <row r="2498">
      <c r="A2498" s="90" t="n">
        <v>40868</v>
      </c>
      <c r="D2498" t="n">
        <v>2179.4</v>
      </c>
    </row>
    <row r="2499">
      <c r="A2499" s="90" t="n">
        <v>40875</v>
      </c>
      <c r="D2499" t="n">
        <v>2171.2</v>
      </c>
    </row>
    <row r="2500">
      <c r="A2500" s="90" t="n">
        <v>40878</v>
      </c>
      <c r="B2500" t="n">
        <v>953.1</v>
      </c>
      <c r="C2500" t="n">
        <v>4251.4</v>
      </c>
      <c r="E2500" t="n">
        <v>9660.1</v>
      </c>
    </row>
    <row r="2501">
      <c r="A2501" s="90" t="n">
        <v>40882</v>
      </c>
      <c r="D2501" t="n">
        <v>2158.5</v>
      </c>
    </row>
    <row r="2502">
      <c r="A2502" s="90" t="n">
        <v>40889</v>
      </c>
      <c r="D2502" t="n">
        <v>2165.7</v>
      </c>
    </row>
    <row r="2503">
      <c r="A2503" s="90" t="n">
        <v>40896</v>
      </c>
      <c r="D2503" t="n">
        <v>2149.8</v>
      </c>
    </row>
    <row r="2504">
      <c r="A2504" s="90" t="n">
        <v>40903</v>
      </c>
      <c r="D2504" t="n">
        <v>2156.3</v>
      </c>
    </row>
    <row r="2505">
      <c r="A2505" s="90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90" t="n">
        <v>40910</v>
      </c>
      <c r="D2506" t="n">
        <v>2199.2</v>
      </c>
    </row>
    <row r="2507">
      <c r="A2507" s="90" t="n">
        <v>40917</v>
      </c>
      <c r="D2507" t="n">
        <v>2199.3</v>
      </c>
    </row>
    <row r="2508">
      <c r="A2508" s="90" t="n">
        <v>40924</v>
      </c>
      <c r="D2508" t="n">
        <v>2198.1</v>
      </c>
    </row>
    <row r="2509">
      <c r="A2509" s="90" t="n">
        <v>40931</v>
      </c>
      <c r="D2509" t="n">
        <v>2207.4</v>
      </c>
    </row>
    <row r="2510">
      <c r="A2510" s="90" t="n">
        <v>40938</v>
      </c>
      <c r="D2510" t="n">
        <v>2204.3</v>
      </c>
    </row>
    <row r="2511">
      <c r="A2511" s="90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90" t="n">
        <v>40945</v>
      </c>
      <c r="D2512" t="n">
        <v>2197.3</v>
      </c>
    </row>
    <row r="2513">
      <c r="A2513" s="90" t="n">
        <v>40952</v>
      </c>
      <c r="D2513" t="n">
        <v>2211.8</v>
      </c>
    </row>
    <row r="2514">
      <c r="A2514" s="90" t="n">
        <v>40959</v>
      </c>
      <c r="D2514" t="n">
        <v>2217.4</v>
      </c>
    </row>
    <row r="2515">
      <c r="A2515" s="90" t="n">
        <v>40966</v>
      </c>
      <c r="D2515" t="n">
        <v>2210.4</v>
      </c>
    </row>
    <row r="2516">
      <c r="A2516" s="90" t="n">
        <v>40969</v>
      </c>
      <c r="B2516" t="n">
        <v>973.7</v>
      </c>
      <c r="C2516" t="n">
        <v>4296.5</v>
      </c>
      <c r="E2516" t="n">
        <v>9830.6</v>
      </c>
    </row>
    <row r="2517">
      <c r="A2517" s="90" t="n">
        <v>40973</v>
      </c>
      <c r="D2517" t="n">
        <v>2213.7</v>
      </c>
    </row>
    <row r="2518">
      <c r="A2518" s="90" t="n">
        <v>40980</v>
      </c>
      <c r="D2518" t="n">
        <v>2228.9</v>
      </c>
    </row>
    <row r="2519">
      <c r="A2519" s="90" t="n">
        <v>40987</v>
      </c>
      <c r="D2519" t="n">
        <v>2227.9</v>
      </c>
    </row>
    <row r="2520">
      <c r="A2520" s="90" t="n">
        <v>40994</v>
      </c>
      <c r="D2520" t="n">
        <v>2227.2</v>
      </c>
    </row>
    <row r="2521">
      <c r="A2521" s="90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90" t="n">
        <v>41001</v>
      </c>
      <c r="D2522" t="n">
        <v>2247.1</v>
      </c>
    </row>
    <row r="2523">
      <c r="A2523" s="90" t="n">
        <v>41008</v>
      </c>
      <c r="D2523" t="n">
        <v>2249.9</v>
      </c>
    </row>
    <row r="2524">
      <c r="A2524" s="90" t="n">
        <v>41015</v>
      </c>
      <c r="D2524" t="n">
        <v>2241.8</v>
      </c>
    </row>
    <row r="2525">
      <c r="A2525" s="90" t="n">
        <v>41022</v>
      </c>
      <c r="D2525" t="n">
        <v>2247.4</v>
      </c>
    </row>
    <row r="2526">
      <c r="A2526" s="90" t="n">
        <v>41029</v>
      </c>
      <c r="D2526" t="n">
        <v>2253.5</v>
      </c>
    </row>
    <row r="2527">
      <c r="A2527" s="90" t="n">
        <v>41030</v>
      </c>
      <c r="B2527" t="n">
        <v>986.5</v>
      </c>
      <c r="C2527" t="n">
        <v>4341</v>
      </c>
      <c r="E2527" t="n">
        <v>9928.4</v>
      </c>
    </row>
    <row r="2528">
      <c r="A2528" s="90" t="n">
        <v>41036</v>
      </c>
      <c r="D2528" t="n">
        <v>2241.3</v>
      </c>
    </row>
    <row r="2529">
      <c r="A2529" s="90" t="n">
        <v>41043</v>
      </c>
      <c r="D2529" t="n">
        <v>2267.3</v>
      </c>
    </row>
    <row r="2530">
      <c r="A2530" s="90" t="n">
        <v>41050</v>
      </c>
      <c r="D2530" t="n">
        <v>2261.9</v>
      </c>
    </row>
    <row r="2531">
      <c r="A2531" s="90" t="n">
        <v>41057</v>
      </c>
      <c r="D2531" t="n">
        <v>2256.6</v>
      </c>
    </row>
    <row r="2532">
      <c r="A2532" s="90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90" t="n">
        <v>41064</v>
      </c>
      <c r="D2533" t="n">
        <v>2255.2</v>
      </c>
    </row>
    <row r="2534">
      <c r="A2534" s="90" t="n">
        <v>41071</v>
      </c>
      <c r="D2534" t="n">
        <v>2290.5</v>
      </c>
    </row>
    <row r="2535">
      <c r="A2535" s="90" t="n">
        <v>41078</v>
      </c>
      <c r="D2535" t="n">
        <v>2274.6</v>
      </c>
    </row>
    <row r="2536">
      <c r="A2536" s="90" t="n">
        <v>41085</v>
      </c>
      <c r="D2536" t="n">
        <v>2272.9</v>
      </c>
    </row>
    <row r="2537">
      <c r="A2537" s="90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90" t="n">
        <v>41092</v>
      </c>
      <c r="D2538" t="n">
        <v>2284.4</v>
      </c>
    </row>
    <row r="2539">
      <c r="A2539" s="90" t="n">
        <v>41099</v>
      </c>
      <c r="D2539" t="n">
        <v>2337.5</v>
      </c>
    </row>
    <row r="2540">
      <c r="A2540" s="90" t="n">
        <v>41106</v>
      </c>
      <c r="D2540" t="n">
        <v>2316.2</v>
      </c>
    </row>
    <row r="2541">
      <c r="A2541" s="90" t="n">
        <v>41113</v>
      </c>
      <c r="D2541" t="n">
        <v>2317.7</v>
      </c>
    </row>
    <row r="2542">
      <c r="A2542" s="90" t="n">
        <v>41120</v>
      </c>
      <c r="D2542" t="n">
        <v>2311.7</v>
      </c>
    </row>
    <row r="2543">
      <c r="A2543" s="90" t="n">
        <v>41122</v>
      </c>
      <c r="B2543" t="n">
        <v>1023.9</v>
      </c>
      <c r="C2543" t="n">
        <v>4402.1</v>
      </c>
      <c r="E2543" t="n">
        <v>10121.3</v>
      </c>
    </row>
    <row r="2544">
      <c r="A2544" s="90" t="n">
        <v>41127</v>
      </c>
      <c r="D2544" t="n">
        <v>2310.6</v>
      </c>
    </row>
    <row r="2545">
      <c r="A2545" s="90" t="n">
        <v>41134</v>
      </c>
      <c r="D2545" t="n">
        <v>2350</v>
      </c>
    </row>
    <row r="2546">
      <c r="A2546" s="90" t="n">
        <v>41141</v>
      </c>
      <c r="D2546" t="n">
        <v>2341.8</v>
      </c>
    </row>
    <row r="2547">
      <c r="A2547" s="90" t="n">
        <v>41148</v>
      </c>
      <c r="D2547" t="n">
        <v>2346.2</v>
      </c>
    </row>
    <row r="2548">
      <c r="A2548" s="90" t="n">
        <v>41153</v>
      </c>
      <c r="B2548" t="n">
        <v>1033.1</v>
      </c>
      <c r="C2548" t="n">
        <v>4415.6</v>
      </c>
      <c r="E2548" t="n">
        <v>10200.8</v>
      </c>
    </row>
    <row r="2549">
      <c r="A2549" s="90" t="n">
        <v>41155</v>
      </c>
      <c r="D2549" t="n">
        <v>2420.7</v>
      </c>
    </row>
    <row r="2550">
      <c r="A2550" s="90" t="n">
        <v>41162</v>
      </c>
      <c r="D2550" t="n">
        <v>2405.4</v>
      </c>
    </row>
    <row r="2551">
      <c r="A2551" s="90" t="n">
        <v>41169</v>
      </c>
      <c r="D2551" t="n">
        <v>2379.6</v>
      </c>
    </row>
    <row r="2552">
      <c r="A2552" s="90" t="n">
        <v>41176</v>
      </c>
      <c r="D2552" t="n">
        <v>2378.6</v>
      </c>
    </row>
    <row r="2553">
      <c r="A2553" s="90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90" t="n">
        <v>41190</v>
      </c>
      <c r="D2554" t="n">
        <v>2422.4</v>
      </c>
    </row>
    <row r="2555">
      <c r="A2555" s="90" t="n">
        <v>41197</v>
      </c>
      <c r="D2555" t="n">
        <v>2422.2</v>
      </c>
    </row>
    <row r="2556">
      <c r="A2556" s="90" t="n">
        <v>41204</v>
      </c>
      <c r="D2556" t="n">
        <v>2417.1</v>
      </c>
    </row>
    <row r="2557">
      <c r="A2557" s="90" t="n">
        <v>41211</v>
      </c>
      <c r="D2557" t="n">
        <v>2429.4</v>
      </c>
    </row>
    <row r="2558">
      <c r="A2558" s="90" t="n">
        <v>41214</v>
      </c>
      <c r="B2558" t="n">
        <v>1055.7</v>
      </c>
      <c r="C2558" t="n">
        <v>4470.3</v>
      </c>
      <c r="E2558" t="n">
        <v>10337.6</v>
      </c>
    </row>
    <row r="2559">
      <c r="A2559" s="90" t="n">
        <v>41218</v>
      </c>
      <c r="D2559" t="n">
        <v>2430.2</v>
      </c>
    </row>
    <row r="2560">
      <c r="A2560" s="90" t="n">
        <v>41225</v>
      </c>
      <c r="D2560" t="n">
        <v>2414.8</v>
      </c>
    </row>
    <row r="2561">
      <c r="A2561" s="90" t="n">
        <v>41232</v>
      </c>
      <c r="D2561" t="n">
        <v>2420.5</v>
      </c>
    </row>
    <row r="2562">
      <c r="A2562" s="90" t="n">
        <v>41239</v>
      </c>
      <c r="D2562" t="n">
        <v>2405.2</v>
      </c>
    </row>
    <row r="2563">
      <c r="A2563" s="90" t="n">
        <v>41244</v>
      </c>
      <c r="B2563" t="n">
        <v>1064.2</v>
      </c>
      <c r="C2563" t="n">
        <v>4523.7</v>
      </c>
      <c r="E2563" t="n">
        <v>10459.7</v>
      </c>
    </row>
    <row r="2564">
      <c r="A2564" s="90" t="n">
        <v>41246</v>
      </c>
      <c r="D2564" t="n">
        <v>2467.5</v>
      </c>
    </row>
    <row r="2565">
      <c r="A2565" s="90" t="n">
        <v>41253</v>
      </c>
      <c r="D2565" t="n">
        <v>2469.3</v>
      </c>
    </row>
    <row r="2566">
      <c r="A2566" s="90" t="n">
        <v>41260</v>
      </c>
      <c r="D2566" t="n">
        <v>2438.6</v>
      </c>
    </row>
    <row r="2567">
      <c r="A2567" s="90" t="n">
        <v>41267</v>
      </c>
      <c r="D2567" t="n">
        <v>2474.4</v>
      </c>
    </row>
    <row r="2568">
      <c r="A2568" s="90" t="n">
        <v>41274</v>
      </c>
      <c r="D2568" t="n">
        <v>2459.7</v>
      </c>
    </row>
    <row r="2569">
      <c r="A2569" s="90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90" t="n">
        <v>41281</v>
      </c>
      <c r="D2570" t="n">
        <v>2459.6</v>
      </c>
    </row>
    <row r="2571">
      <c r="A2571" s="90" t="n">
        <v>41288</v>
      </c>
      <c r="D2571" t="n">
        <v>2480.1</v>
      </c>
    </row>
    <row r="2572">
      <c r="A2572" s="90" t="n">
        <v>41295</v>
      </c>
      <c r="D2572" t="n">
        <v>2488.5</v>
      </c>
    </row>
    <row r="2573">
      <c r="A2573" s="90" t="n">
        <v>41302</v>
      </c>
      <c r="D2573" t="n">
        <v>2465.2</v>
      </c>
    </row>
    <row r="2574">
      <c r="A2574" s="90" t="n">
        <v>41306</v>
      </c>
      <c r="B2574" t="n">
        <v>1060.6</v>
      </c>
      <c r="C2574" t="n">
        <v>4499.9</v>
      </c>
      <c r="E2574" t="n">
        <v>10482</v>
      </c>
    </row>
    <row r="2575">
      <c r="A2575" s="90" t="n">
        <v>41309</v>
      </c>
      <c r="D2575" t="n">
        <v>2474</v>
      </c>
    </row>
    <row r="2576">
      <c r="A2576" s="90" t="n">
        <v>41316</v>
      </c>
      <c r="D2576" t="n">
        <v>2484.3</v>
      </c>
    </row>
    <row r="2577">
      <c r="A2577" s="90" t="n">
        <v>41323</v>
      </c>
      <c r="D2577" t="n">
        <v>2469.4</v>
      </c>
    </row>
    <row r="2578">
      <c r="A2578" s="90" t="n">
        <v>41330</v>
      </c>
      <c r="D2578" t="n">
        <v>2465.9</v>
      </c>
    </row>
    <row r="2579">
      <c r="A2579" s="90" t="n">
        <v>41334</v>
      </c>
      <c r="B2579" t="n">
        <v>1066.6</v>
      </c>
      <c r="C2579" t="n">
        <v>4541.9</v>
      </c>
      <c r="E2579" t="n">
        <v>10550</v>
      </c>
    </row>
    <row r="2580">
      <c r="A2580" s="90" t="n">
        <v>41337</v>
      </c>
      <c r="D2580" t="n">
        <v>2461.8</v>
      </c>
    </row>
    <row r="2581">
      <c r="A2581" s="90" t="n">
        <v>41344</v>
      </c>
      <c r="D2581" t="n">
        <v>2468.3</v>
      </c>
    </row>
    <row r="2582">
      <c r="A2582" s="90" t="n">
        <v>41351</v>
      </c>
      <c r="D2582" t="n">
        <v>2466.8</v>
      </c>
    </row>
    <row r="2583">
      <c r="A2583" s="90" t="n">
        <v>41358</v>
      </c>
      <c r="D2583" t="n">
        <v>2488.8</v>
      </c>
    </row>
    <row r="2584">
      <c r="A2584" s="90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90" t="n">
        <v>41372</v>
      </c>
      <c r="D2585" t="n">
        <v>2486.3</v>
      </c>
    </row>
    <row r="2586">
      <c r="A2586" s="90" t="n">
        <v>41379</v>
      </c>
      <c r="D2586" t="n">
        <v>2514.6</v>
      </c>
    </row>
    <row r="2587">
      <c r="A2587" s="90" t="n">
        <v>41386</v>
      </c>
      <c r="D2587" t="n">
        <v>2527.4</v>
      </c>
    </row>
    <row r="2588">
      <c r="A2588" s="90" t="n">
        <v>41393</v>
      </c>
      <c r="D2588" t="n">
        <v>2534.5</v>
      </c>
    </row>
    <row r="2589">
      <c r="A2589" s="90" t="n">
        <v>41395</v>
      </c>
      <c r="B2589" t="n">
        <v>1090.1</v>
      </c>
      <c r="C2589" t="n">
        <v>4583.2</v>
      </c>
      <c r="E2589" t="n">
        <v>10628.2</v>
      </c>
    </row>
    <row r="2590">
      <c r="A2590" s="90" t="n">
        <v>41400</v>
      </c>
      <c r="D2590" t="n">
        <v>2501.5</v>
      </c>
    </row>
    <row r="2591">
      <c r="A2591" s="90" t="n">
        <v>41407</v>
      </c>
      <c r="D2591" t="n">
        <v>2523.3</v>
      </c>
    </row>
    <row r="2592">
      <c r="A2592" s="90" t="n">
        <v>41414</v>
      </c>
      <c r="D2592" t="n">
        <v>2524.1</v>
      </c>
    </row>
    <row r="2593">
      <c r="A2593" s="90" t="n">
        <v>41421</v>
      </c>
      <c r="D2593" t="n">
        <v>2535.9</v>
      </c>
    </row>
    <row r="2594">
      <c r="A2594" s="90" t="n">
        <v>41426</v>
      </c>
      <c r="B2594" t="n">
        <v>1087.7</v>
      </c>
      <c r="C2594" t="n">
        <v>4596.7</v>
      </c>
      <c r="E2594" t="n">
        <v>10684.9</v>
      </c>
    </row>
    <row r="2595">
      <c r="A2595" s="90" t="n">
        <v>41428</v>
      </c>
      <c r="D2595" t="n">
        <v>2585.8</v>
      </c>
    </row>
    <row r="2596">
      <c r="A2596" s="90" t="n">
        <v>41435</v>
      </c>
      <c r="D2596" t="n">
        <v>2538.9</v>
      </c>
    </row>
    <row r="2597">
      <c r="A2597" s="90" t="n">
        <v>41442</v>
      </c>
      <c r="D2597" t="n">
        <v>2513.2</v>
      </c>
    </row>
    <row r="2598">
      <c r="A2598" s="90" t="n">
        <v>41449</v>
      </c>
      <c r="D2598" t="n">
        <v>2522.4</v>
      </c>
    </row>
    <row r="2599">
      <c r="A2599" s="90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90" t="n">
        <v>41463</v>
      </c>
      <c r="D2600" t="n">
        <v>2526.9</v>
      </c>
    </row>
    <row r="2601">
      <c r="A2601" s="90" t="n">
        <v>41470</v>
      </c>
      <c r="D2601" t="n">
        <v>2544</v>
      </c>
    </row>
    <row r="2602">
      <c r="A2602" s="90" t="n">
        <v>41477</v>
      </c>
      <c r="D2602" t="n">
        <v>2565.6</v>
      </c>
    </row>
    <row r="2603">
      <c r="A2603" s="90" t="n">
        <v>41484</v>
      </c>
      <c r="D2603" t="n">
        <v>2552.2</v>
      </c>
    </row>
    <row r="2604">
      <c r="A2604" s="90" t="n">
        <v>41487</v>
      </c>
      <c r="B2604" t="n">
        <v>1094.8</v>
      </c>
      <c r="C2604" t="n">
        <v>4621.9</v>
      </c>
      <c r="E2604" t="n">
        <v>10790.2</v>
      </c>
    </row>
    <row r="2605">
      <c r="A2605" s="90" t="n">
        <v>41491</v>
      </c>
      <c r="D2605" t="n">
        <v>2533.6</v>
      </c>
    </row>
    <row r="2606">
      <c r="A2606" s="90" t="n">
        <v>41498</v>
      </c>
      <c r="D2606" t="n">
        <v>2545.5</v>
      </c>
    </row>
    <row r="2607">
      <c r="A2607" s="90" t="n">
        <v>41505</v>
      </c>
      <c r="D2607" t="n">
        <v>2537.8</v>
      </c>
    </row>
    <row r="2608">
      <c r="A2608" s="90" t="n">
        <v>41512</v>
      </c>
      <c r="D2608" t="n">
        <v>2562.8</v>
      </c>
    </row>
    <row r="2609">
      <c r="A2609" s="90" t="n">
        <v>41518</v>
      </c>
      <c r="B2609" t="n">
        <v>1106.8</v>
      </c>
      <c r="C2609" t="n">
        <v>4642.1</v>
      </c>
      <c r="E2609" t="n">
        <v>10841.3</v>
      </c>
    </row>
    <row r="2610">
      <c r="A2610" s="90" t="n">
        <v>41519</v>
      </c>
      <c r="D2610" t="n">
        <v>2585.5</v>
      </c>
    </row>
    <row r="2611">
      <c r="A2611" s="90" t="n">
        <v>41526</v>
      </c>
      <c r="D2611" t="n">
        <v>2581.2</v>
      </c>
    </row>
    <row r="2612">
      <c r="A2612" s="90" t="n">
        <v>41533</v>
      </c>
      <c r="D2612" t="n">
        <v>2572.1</v>
      </c>
    </row>
    <row r="2613">
      <c r="A2613" s="90" t="n">
        <v>41540</v>
      </c>
      <c r="D2613" t="n">
        <v>2590.7</v>
      </c>
    </row>
    <row r="2614">
      <c r="A2614" s="90" t="n">
        <v>41547</v>
      </c>
      <c r="D2614" t="n">
        <v>2589.9</v>
      </c>
    </row>
    <row r="2615">
      <c r="A2615" s="90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90" t="n">
        <v>41554</v>
      </c>
      <c r="D2616" t="n">
        <v>2568.8</v>
      </c>
    </row>
    <row r="2617">
      <c r="A2617" s="90" t="n">
        <v>41561</v>
      </c>
      <c r="D2617" t="n">
        <v>2641.1</v>
      </c>
    </row>
    <row r="2618">
      <c r="A2618" s="90" t="n">
        <v>41568</v>
      </c>
      <c r="D2618" t="n">
        <v>2662.6</v>
      </c>
    </row>
    <row r="2619">
      <c r="A2619" s="90" t="n">
        <v>41575</v>
      </c>
      <c r="D2619" t="n">
        <v>2625.4</v>
      </c>
    </row>
    <row r="2620">
      <c r="A2620" s="90" t="n">
        <v>41579</v>
      </c>
      <c r="B2620" t="n">
        <v>1125.4</v>
      </c>
      <c r="C2620" t="n">
        <v>4685.6</v>
      </c>
      <c r="E2620" t="n">
        <v>10969</v>
      </c>
    </row>
    <row r="2621">
      <c r="A2621" s="90" t="n">
        <v>41582</v>
      </c>
      <c r="D2621" t="n">
        <v>2604.8</v>
      </c>
    </row>
    <row r="2622">
      <c r="A2622" s="90" t="n">
        <v>41589</v>
      </c>
      <c r="D2622" t="n">
        <v>2615</v>
      </c>
    </row>
    <row r="2623">
      <c r="A2623" s="90" t="n">
        <v>41596</v>
      </c>
      <c r="D2623" t="n">
        <v>2622.8</v>
      </c>
    </row>
    <row r="2624">
      <c r="A2624" s="90" t="n">
        <v>41603</v>
      </c>
      <c r="D2624" t="n">
        <v>2627.9</v>
      </c>
    </row>
    <row r="2625">
      <c r="A2625" s="90" t="n">
        <v>41609</v>
      </c>
      <c r="B2625" t="n">
        <v>1135.1</v>
      </c>
      <c r="C2625" t="n">
        <v>4698.7</v>
      </c>
      <c r="E2625" t="n">
        <v>11028.8</v>
      </c>
    </row>
    <row r="2626">
      <c r="A2626" s="90" t="n">
        <v>41610</v>
      </c>
      <c r="D2626" t="n">
        <v>2654.5</v>
      </c>
    </row>
    <row r="2627">
      <c r="A2627" s="90" t="n">
        <v>41617</v>
      </c>
      <c r="D2627" t="n">
        <v>2672.8</v>
      </c>
    </row>
    <row r="2628">
      <c r="A2628" s="90" t="n">
        <v>41624</v>
      </c>
      <c r="D2628" t="n">
        <v>2656.2</v>
      </c>
    </row>
    <row r="2629">
      <c r="A2629" s="90" t="n">
        <v>41631</v>
      </c>
      <c r="D2629" t="n">
        <v>2682.7</v>
      </c>
    </row>
    <row r="2630">
      <c r="A2630" s="90" t="n">
        <v>41638</v>
      </c>
      <c r="D2630" t="n">
        <v>2648.4</v>
      </c>
    </row>
    <row r="2631">
      <c r="A2631" s="90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90" t="n">
        <v>41645</v>
      </c>
      <c r="D2632" t="n">
        <v>2668.2</v>
      </c>
    </row>
    <row r="2633">
      <c r="A2633" s="90" t="n">
        <v>41652</v>
      </c>
      <c r="D2633" t="n">
        <v>2673.9</v>
      </c>
    </row>
    <row r="2634">
      <c r="A2634" s="90" t="n">
        <v>41659</v>
      </c>
      <c r="D2634" t="n">
        <v>2704.5</v>
      </c>
    </row>
    <row r="2635">
      <c r="A2635" s="90" t="n">
        <v>41666</v>
      </c>
      <c r="D2635" t="n">
        <v>2694.1</v>
      </c>
    </row>
    <row r="2636">
      <c r="A2636" s="90" t="n">
        <v>41671</v>
      </c>
      <c r="B2636" t="n">
        <v>1156.8</v>
      </c>
      <c r="C2636" t="n">
        <v>4738.3</v>
      </c>
      <c r="E2636" t="n">
        <v>11161</v>
      </c>
    </row>
    <row r="2637">
      <c r="A2637" s="90" t="n">
        <v>41673</v>
      </c>
      <c r="D2637" t="n">
        <v>2766.9</v>
      </c>
    </row>
    <row r="2638">
      <c r="A2638" s="90" t="n">
        <v>41680</v>
      </c>
      <c r="D2638" t="n">
        <v>2719.4</v>
      </c>
    </row>
    <row r="2639">
      <c r="A2639" s="90" t="n">
        <v>41687</v>
      </c>
      <c r="D2639" t="n">
        <v>2711.3</v>
      </c>
    </row>
    <row r="2640">
      <c r="A2640" s="90" t="n">
        <v>41694</v>
      </c>
      <c r="D2640" t="n">
        <v>2707.1</v>
      </c>
    </row>
    <row r="2641">
      <c r="A2641" s="90" t="n">
        <v>41699</v>
      </c>
      <c r="B2641" t="n">
        <v>1165.7</v>
      </c>
      <c r="C2641" t="n">
        <v>4745.3</v>
      </c>
      <c r="E2641" t="n">
        <v>11200.2</v>
      </c>
    </row>
    <row r="2642">
      <c r="A2642" s="90" t="n">
        <v>41701</v>
      </c>
      <c r="D2642" t="n">
        <v>2764.5</v>
      </c>
    </row>
    <row r="2643">
      <c r="A2643" s="90" t="n">
        <v>41708</v>
      </c>
      <c r="D2643" t="n">
        <v>2762.5</v>
      </c>
    </row>
    <row r="2644">
      <c r="A2644" s="90" t="n">
        <v>41715</v>
      </c>
      <c r="D2644" t="n">
        <v>2740.1</v>
      </c>
    </row>
    <row r="2645">
      <c r="A2645" s="90" t="n">
        <v>41722</v>
      </c>
      <c r="D2645" t="n">
        <v>2749.5</v>
      </c>
    </row>
    <row r="2646">
      <c r="A2646" s="90" t="n">
        <v>41729</v>
      </c>
      <c r="D2646" t="n">
        <v>2762.3</v>
      </c>
    </row>
    <row r="2647">
      <c r="A2647" s="90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90" t="n">
        <v>41736</v>
      </c>
      <c r="D2648" t="n">
        <v>2739.3</v>
      </c>
    </row>
    <row r="2649">
      <c r="A2649" s="90" t="n">
        <v>41743</v>
      </c>
      <c r="D2649" t="n">
        <v>2790</v>
      </c>
    </row>
    <row r="2650">
      <c r="A2650" s="90" t="n">
        <v>41750</v>
      </c>
      <c r="D2650" t="n">
        <v>2789.5</v>
      </c>
    </row>
    <row r="2651">
      <c r="A2651" s="90" t="n">
        <v>41757</v>
      </c>
      <c r="D2651" t="n">
        <v>2793.1</v>
      </c>
    </row>
    <row r="2652">
      <c r="A2652" s="90" t="n">
        <v>41760</v>
      </c>
      <c r="B2652" t="n">
        <v>1178.2</v>
      </c>
      <c r="C2652" t="n">
        <v>4780.7</v>
      </c>
      <c r="E2652" t="n">
        <v>11326.3</v>
      </c>
    </row>
    <row r="2653">
      <c r="A2653" s="90" t="n">
        <v>41764</v>
      </c>
      <c r="D2653" t="n">
        <v>2783.9</v>
      </c>
    </row>
    <row r="2654">
      <c r="A2654" s="90" t="n">
        <v>41771</v>
      </c>
      <c r="D2654" t="n">
        <v>2798.8</v>
      </c>
    </row>
    <row r="2655">
      <c r="A2655" s="90" t="n">
        <v>41778</v>
      </c>
      <c r="D2655" t="n">
        <v>2782.3</v>
      </c>
    </row>
    <row r="2656">
      <c r="A2656" s="90" t="n">
        <v>41785</v>
      </c>
      <c r="D2656" t="n">
        <v>2792.3</v>
      </c>
    </row>
    <row r="2657">
      <c r="A2657" s="90" t="n">
        <v>41791</v>
      </c>
      <c r="B2657" t="n">
        <v>1191.7</v>
      </c>
      <c r="C2657" t="n">
        <v>4797.3</v>
      </c>
      <c r="E2657" t="n">
        <v>11380.7</v>
      </c>
    </row>
    <row r="2658">
      <c r="A2658" s="90" t="n">
        <v>41792</v>
      </c>
      <c r="D2658" t="n">
        <v>2820.5</v>
      </c>
    </row>
    <row r="2659">
      <c r="A2659" s="90" t="n">
        <v>41799</v>
      </c>
      <c r="D2659" t="n">
        <v>2831.3</v>
      </c>
    </row>
    <row r="2660">
      <c r="A2660" s="90" t="n">
        <v>41806</v>
      </c>
      <c r="D2660" t="n">
        <v>2825.5</v>
      </c>
    </row>
    <row r="2661">
      <c r="A2661" s="90" t="n">
        <v>41813</v>
      </c>
      <c r="D2661" t="n">
        <v>2829.2</v>
      </c>
    </row>
    <row r="2662">
      <c r="A2662" s="90" t="n">
        <v>41820</v>
      </c>
      <c r="D2662" t="n">
        <v>2834.5</v>
      </c>
    </row>
    <row r="2663">
      <c r="A2663" s="90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90" t="n">
        <v>41827</v>
      </c>
      <c r="D2664" t="n">
        <v>2812.5</v>
      </c>
    </row>
    <row r="2665">
      <c r="A2665" s="90" t="n">
        <v>41834</v>
      </c>
      <c r="D2665" t="n">
        <v>2853.2</v>
      </c>
    </row>
    <row r="2666">
      <c r="A2666" s="90" t="n">
        <v>41841</v>
      </c>
      <c r="D2666" t="n">
        <v>2860.9</v>
      </c>
    </row>
    <row r="2667">
      <c r="A2667" s="90" t="n">
        <v>41848</v>
      </c>
      <c r="D2667" t="n">
        <v>2841.4</v>
      </c>
    </row>
    <row r="2668">
      <c r="A2668" s="90" t="n">
        <v>41852</v>
      </c>
      <c r="B2668" t="n">
        <v>1180.9</v>
      </c>
      <c r="C2668" t="n">
        <v>4830</v>
      </c>
      <c r="E2668" t="n">
        <v>11469.4</v>
      </c>
    </row>
    <row r="2669">
      <c r="A2669" s="90" t="n">
        <v>41855</v>
      </c>
      <c r="D2669" t="n">
        <v>2841.9</v>
      </c>
    </row>
    <row r="2670">
      <c r="A2670" s="90" t="n">
        <v>41862</v>
      </c>
      <c r="D2670" t="n">
        <v>2807.8</v>
      </c>
    </row>
    <row r="2671">
      <c r="A2671" s="90" t="n">
        <v>41869</v>
      </c>
      <c r="D2671" t="n">
        <v>2781.3</v>
      </c>
    </row>
    <row r="2672">
      <c r="A2672" s="90" t="n">
        <v>41876</v>
      </c>
      <c r="D2672" t="n">
        <v>2794.1</v>
      </c>
    </row>
    <row r="2673">
      <c r="A2673" s="90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90" t="n">
        <v>41890</v>
      </c>
      <c r="D2674" t="n">
        <v>2841</v>
      </c>
    </row>
    <row r="2675">
      <c r="A2675" s="90" t="n">
        <v>41897</v>
      </c>
      <c r="D2675" t="n">
        <v>2870.6</v>
      </c>
    </row>
    <row r="2676">
      <c r="A2676" s="90" t="n">
        <v>41904</v>
      </c>
      <c r="D2676" t="n">
        <v>2873</v>
      </c>
    </row>
    <row r="2677">
      <c r="A2677" s="90" t="n">
        <v>41911</v>
      </c>
      <c r="D2677" t="n">
        <v>2874</v>
      </c>
    </row>
    <row r="2678">
      <c r="A2678" s="90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90" t="n">
        <v>41918</v>
      </c>
      <c r="D2679" t="n">
        <v>2851.7</v>
      </c>
    </row>
    <row r="2680">
      <c r="A2680" s="90" t="n">
        <v>41925</v>
      </c>
      <c r="D2680" t="n">
        <v>2857.2</v>
      </c>
    </row>
    <row r="2681">
      <c r="A2681" s="90" t="n">
        <v>41932</v>
      </c>
      <c r="D2681" t="n">
        <v>2862.6</v>
      </c>
    </row>
    <row r="2682">
      <c r="A2682" s="90" t="n">
        <v>41939</v>
      </c>
      <c r="D2682" t="n">
        <v>2869.6</v>
      </c>
    </row>
    <row r="2683">
      <c r="A2683" s="90" t="n">
        <v>41944</v>
      </c>
      <c r="B2683" t="n">
        <v>1219</v>
      </c>
      <c r="C2683" t="n">
        <v>4896.8</v>
      </c>
      <c r="E2683" t="n">
        <v>11604.7</v>
      </c>
    </row>
    <row r="2684">
      <c r="A2684" s="90" t="n">
        <v>41946</v>
      </c>
      <c r="D2684" t="n">
        <v>2919.6</v>
      </c>
    </row>
    <row r="2685">
      <c r="A2685" s="90" t="n">
        <v>41953</v>
      </c>
      <c r="D2685" t="n">
        <v>2891.6</v>
      </c>
    </row>
    <row r="2686">
      <c r="A2686" s="90" t="n">
        <v>41960</v>
      </c>
      <c r="D2686" t="n">
        <v>2871.4</v>
      </c>
    </row>
    <row r="2687">
      <c r="A2687" s="90" t="n">
        <v>41967</v>
      </c>
      <c r="D2687" t="n">
        <v>2880.7</v>
      </c>
    </row>
    <row r="2688">
      <c r="A2688" s="90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90" t="n">
        <v>41981</v>
      </c>
      <c r="D2689" t="n">
        <v>2929</v>
      </c>
    </row>
    <row r="2690">
      <c r="A2690" s="90" t="n">
        <v>41988</v>
      </c>
      <c r="D2690" t="n">
        <v>2944.2</v>
      </c>
    </row>
    <row r="2691">
      <c r="A2691" s="90" t="n">
        <v>41995</v>
      </c>
      <c r="D2691" t="n">
        <v>2959.7</v>
      </c>
    </row>
    <row r="2692">
      <c r="A2692" s="90" t="n">
        <v>42002</v>
      </c>
      <c r="D2692" t="n">
        <v>2937.8</v>
      </c>
    </row>
    <row r="2693">
      <c r="A2693" s="90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90" t="n">
        <v>42009</v>
      </c>
      <c r="D2694" t="n">
        <v>2934</v>
      </c>
    </row>
    <row r="2695">
      <c r="A2695" s="90" t="n">
        <v>42016</v>
      </c>
      <c r="D2695" t="n">
        <v>2930.6</v>
      </c>
    </row>
    <row r="2696">
      <c r="A2696" s="90" t="n">
        <v>42023</v>
      </c>
      <c r="D2696" t="n">
        <v>2917.8</v>
      </c>
    </row>
    <row r="2697">
      <c r="A2697" s="90" t="n">
        <v>42030</v>
      </c>
      <c r="D2697" t="n">
        <v>2935.5</v>
      </c>
    </row>
    <row r="2698">
      <c r="A2698" s="90" t="n">
        <v>42036</v>
      </c>
      <c r="B2698" t="n">
        <v>1277</v>
      </c>
      <c r="C2698" t="n">
        <v>5041.1</v>
      </c>
      <c r="E2698" t="n">
        <v>11863.9</v>
      </c>
    </row>
    <row r="2699">
      <c r="A2699" s="90" t="n">
        <v>42037</v>
      </c>
      <c r="D2699" t="n">
        <v>2999.4</v>
      </c>
    </row>
    <row r="2700">
      <c r="A2700" s="90" t="n">
        <v>42044</v>
      </c>
      <c r="D2700" t="n">
        <v>3002.2</v>
      </c>
    </row>
    <row r="2701">
      <c r="A2701" s="90" t="n">
        <v>42051</v>
      </c>
      <c r="D2701" t="n">
        <v>3005.6</v>
      </c>
    </row>
    <row r="2702">
      <c r="A2702" s="90" t="n">
        <v>42058</v>
      </c>
      <c r="D2702" t="n">
        <v>3006.4</v>
      </c>
    </row>
    <row r="2703">
      <c r="A2703" s="90" t="n">
        <v>42064</v>
      </c>
      <c r="B2703" t="n">
        <v>1270.6</v>
      </c>
      <c r="C2703" t="n">
        <v>5034.2</v>
      </c>
      <c r="E2703" t="n">
        <v>11879.6</v>
      </c>
    </row>
    <row r="2704">
      <c r="A2704" s="90" t="n">
        <v>42065</v>
      </c>
      <c r="D2704" t="n">
        <v>3015.5</v>
      </c>
    </row>
    <row r="2705">
      <c r="A2705" s="90" t="n">
        <v>42072</v>
      </c>
      <c r="D2705" t="n">
        <v>3013.2</v>
      </c>
    </row>
    <row r="2706">
      <c r="A2706" s="90" t="n">
        <v>42079</v>
      </c>
      <c r="D2706" t="n">
        <v>2995.8</v>
      </c>
    </row>
    <row r="2707">
      <c r="A2707" s="90" t="n">
        <v>42086</v>
      </c>
      <c r="D2707" t="n">
        <v>3000.2</v>
      </c>
    </row>
    <row r="2708">
      <c r="A2708" s="90" t="n">
        <v>42093</v>
      </c>
      <c r="D2708" t="n">
        <v>2987.5</v>
      </c>
    </row>
    <row r="2709">
      <c r="A2709" s="90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90" t="n">
        <v>42100</v>
      </c>
      <c r="D2710" t="n">
        <v>2977.8</v>
      </c>
    </row>
    <row r="2711">
      <c r="A2711" s="90" t="n">
        <v>42107</v>
      </c>
      <c r="D2711" t="n">
        <v>3014.8</v>
      </c>
    </row>
    <row r="2712">
      <c r="A2712" s="90" t="n">
        <v>42114</v>
      </c>
      <c r="D2712" t="n">
        <v>3015.8</v>
      </c>
    </row>
    <row r="2713">
      <c r="A2713" s="90" t="n">
        <v>42121</v>
      </c>
      <c r="D2713" t="n">
        <v>2994.4</v>
      </c>
    </row>
    <row r="2714">
      <c r="A2714" s="90" t="n">
        <v>42125</v>
      </c>
      <c r="B2714" t="n">
        <v>1258.2</v>
      </c>
      <c r="C2714" t="n">
        <v>5046.5</v>
      </c>
      <c r="E2714" t="n">
        <v>11960.3</v>
      </c>
    </row>
    <row r="2715">
      <c r="A2715" s="90" t="n">
        <v>42128</v>
      </c>
      <c r="D2715" t="n">
        <v>2995.3</v>
      </c>
    </row>
    <row r="2716">
      <c r="A2716" s="90" t="n">
        <v>42135</v>
      </c>
      <c r="D2716" t="n">
        <v>2997.1</v>
      </c>
    </row>
    <row r="2717">
      <c r="A2717" s="90" t="n">
        <v>42142</v>
      </c>
      <c r="D2717" t="n">
        <v>2970.3</v>
      </c>
    </row>
    <row r="2718">
      <c r="A2718" s="90" t="n">
        <v>42149</v>
      </c>
      <c r="D2718" t="n">
        <v>2994.8</v>
      </c>
    </row>
    <row r="2719">
      <c r="A2719" s="90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90" t="n">
        <v>42163</v>
      </c>
      <c r="D2720" t="n">
        <v>2990.7</v>
      </c>
    </row>
    <row r="2721">
      <c r="A2721" s="90" t="n">
        <v>42170</v>
      </c>
      <c r="D2721" t="n">
        <v>3012.6</v>
      </c>
    </row>
    <row r="2722">
      <c r="A2722" s="90" t="n">
        <v>42177</v>
      </c>
      <c r="D2722" t="n">
        <v>3037.1</v>
      </c>
    </row>
    <row r="2723">
      <c r="A2723" s="90" t="n">
        <v>42184</v>
      </c>
      <c r="D2723" t="n">
        <v>3047.2</v>
      </c>
    </row>
    <row r="2724">
      <c r="A2724" s="90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90" t="n">
        <v>42191</v>
      </c>
      <c r="D2725" t="n">
        <v>3022.5</v>
      </c>
    </row>
    <row r="2726">
      <c r="A2726" s="90" t="n">
        <v>42198</v>
      </c>
      <c r="D2726" t="n">
        <v>3035.5</v>
      </c>
    </row>
    <row r="2727">
      <c r="A2727" s="90" t="n">
        <v>42205</v>
      </c>
      <c r="D2727" t="n">
        <v>3038.4</v>
      </c>
    </row>
    <row r="2728">
      <c r="A2728" s="90" t="n">
        <v>42212</v>
      </c>
      <c r="D2728" t="n">
        <v>3033.5</v>
      </c>
    </row>
    <row r="2729">
      <c r="A2729" s="90" t="n">
        <v>42217</v>
      </c>
      <c r="B2729" t="n">
        <v>1272.5</v>
      </c>
      <c r="C2729" t="n">
        <v>5087.3</v>
      </c>
      <c r="E2729" t="n">
        <v>12109.5</v>
      </c>
    </row>
    <row r="2730">
      <c r="A2730" s="90" t="n">
        <v>42219</v>
      </c>
      <c r="D2730" t="n">
        <v>3092</v>
      </c>
    </row>
    <row r="2731">
      <c r="A2731" s="90" t="n">
        <v>42226</v>
      </c>
      <c r="D2731" t="n">
        <v>3033.6</v>
      </c>
    </row>
    <row r="2732">
      <c r="A2732" s="90" t="n">
        <v>42233</v>
      </c>
      <c r="D2732" t="n">
        <v>3013.6</v>
      </c>
    </row>
    <row r="2733">
      <c r="A2733" s="90" t="n">
        <v>42240</v>
      </c>
      <c r="D2733" t="n">
        <v>3025.7</v>
      </c>
    </row>
    <row r="2734">
      <c r="A2734" s="90" t="n">
        <v>42247</v>
      </c>
      <c r="D2734" t="n">
        <v>3018.5</v>
      </c>
    </row>
    <row r="2735">
      <c r="A2735" s="90" t="n">
        <v>42248</v>
      </c>
      <c r="B2735" t="n">
        <v>1283</v>
      </c>
      <c r="C2735" t="n">
        <v>5121.9</v>
      </c>
      <c r="E2735" t="n">
        <v>12164.5</v>
      </c>
    </row>
    <row r="2736">
      <c r="A2736" s="90" t="n">
        <v>42254</v>
      </c>
      <c r="D2736" t="n">
        <v>3012</v>
      </c>
    </row>
    <row r="2737">
      <c r="A2737" s="90" t="n">
        <v>42261</v>
      </c>
      <c r="D2737" t="n">
        <v>3048.2</v>
      </c>
    </row>
    <row r="2738">
      <c r="A2738" s="90" t="n">
        <v>42268</v>
      </c>
      <c r="D2738" t="n">
        <v>3074.9</v>
      </c>
    </row>
    <row r="2739">
      <c r="A2739" s="90" t="n">
        <v>42275</v>
      </c>
      <c r="D2739" t="n">
        <v>3053.2</v>
      </c>
    </row>
    <row r="2740">
      <c r="A2740" s="90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90" t="n">
        <v>42282</v>
      </c>
      <c r="D2741" t="n">
        <v>3016.1</v>
      </c>
    </row>
    <row r="2742">
      <c r="A2742" s="90" t="n">
        <v>42289</v>
      </c>
      <c r="D2742" t="n">
        <v>2999.1</v>
      </c>
    </row>
    <row r="2743">
      <c r="A2743" s="90" t="n">
        <v>42296</v>
      </c>
      <c r="D2743" t="n">
        <v>2996.2</v>
      </c>
    </row>
    <row r="2744">
      <c r="A2744" s="90" t="n">
        <v>42303</v>
      </c>
      <c r="D2744" t="n">
        <v>3023.1</v>
      </c>
    </row>
    <row r="2745">
      <c r="A2745" s="90" t="n">
        <v>42309</v>
      </c>
      <c r="B2745" t="n">
        <v>1295</v>
      </c>
      <c r="C2745" t="n">
        <v>5161.8</v>
      </c>
      <c r="E2745" t="n">
        <v>12286</v>
      </c>
    </row>
    <row r="2746">
      <c r="A2746" s="90" t="n">
        <v>42310</v>
      </c>
      <c r="D2746" t="n">
        <v>3067.6</v>
      </c>
    </row>
    <row r="2747">
      <c r="A2747" s="90" t="n">
        <v>42317</v>
      </c>
      <c r="D2747" t="n">
        <v>3077.4</v>
      </c>
    </row>
    <row r="2748">
      <c r="A2748" s="90" t="n">
        <v>42324</v>
      </c>
      <c r="D2748" t="n">
        <v>3072.7</v>
      </c>
    </row>
    <row r="2749">
      <c r="A2749" s="90" t="n">
        <v>42331</v>
      </c>
      <c r="D2749" t="n">
        <v>3095.2</v>
      </c>
    </row>
    <row r="2750">
      <c r="A2750" s="90" t="n">
        <v>42338</v>
      </c>
      <c r="D2750" t="n">
        <v>3084.4</v>
      </c>
    </row>
    <row r="2751">
      <c r="A2751" s="90" t="n">
        <v>42339</v>
      </c>
      <c r="B2751" t="n">
        <v>1302.1</v>
      </c>
      <c r="C2751" t="n">
        <v>5191.8</v>
      </c>
      <c r="E2751" t="n">
        <v>12344</v>
      </c>
    </row>
    <row r="2752">
      <c r="A2752" s="90" t="n">
        <v>42345</v>
      </c>
      <c r="D2752" t="n">
        <v>3038.9</v>
      </c>
    </row>
    <row r="2753">
      <c r="A2753" s="90" t="n">
        <v>42352</v>
      </c>
      <c r="D2753" t="n">
        <v>3083.8</v>
      </c>
    </row>
    <row r="2754">
      <c r="A2754" s="90" t="n">
        <v>42359</v>
      </c>
      <c r="D2754" t="n">
        <v>3116.8</v>
      </c>
    </row>
    <row r="2755">
      <c r="A2755" s="90" t="n">
        <v>42366</v>
      </c>
      <c r="D2755" t="n">
        <v>3099.9</v>
      </c>
    </row>
    <row r="2756">
      <c r="A2756" s="90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90" t="n">
        <v>42373</v>
      </c>
      <c r="D2757" t="n">
        <v>3177.3</v>
      </c>
    </row>
    <row r="2758">
      <c r="A2758" s="90" t="n">
        <v>42380</v>
      </c>
      <c r="D2758" t="n">
        <v>3090.4</v>
      </c>
    </row>
    <row r="2759">
      <c r="A2759" s="90" t="n">
        <v>42387</v>
      </c>
      <c r="D2759" t="n">
        <v>3079.7</v>
      </c>
    </row>
    <row r="2760">
      <c r="A2760" s="90" t="n">
        <v>42394</v>
      </c>
      <c r="D2760" t="n">
        <v>3093.3</v>
      </c>
    </row>
    <row r="2761">
      <c r="A2761" s="90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90" t="n">
        <v>42408</v>
      </c>
      <c r="D2762" t="n">
        <v>3084.2</v>
      </c>
    </row>
    <row r="2763">
      <c r="A2763" s="90" t="n">
        <v>42415</v>
      </c>
      <c r="D2763" t="n">
        <v>3138.4</v>
      </c>
    </row>
    <row r="2764">
      <c r="A2764" s="90" t="n">
        <v>42422</v>
      </c>
      <c r="D2764" t="n">
        <v>3134.3</v>
      </c>
    </row>
    <row r="2765">
      <c r="A2765" s="90" t="n">
        <v>42429</v>
      </c>
      <c r="D2765" t="n">
        <v>3165.8</v>
      </c>
    </row>
    <row r="2766">
      <c r="A2766" s="90" t="n">
        <v>42430</v>
      </c>
      <c r="B2766" t="n">
        <v>1324.8</v>
      </c>
      <c r="C2766" t="n">
        <v>5296.4</v>
      </c>
      <c r="E2766" t="n">
        <v>12609.7</v>
      </c>
    </row>
    <row r="2767">
      <c r="A2767" s="90" t="n">
        <v>42436</v>
      </c>
      <c r="D2767" t="n">
        <v>3107.5</v>
      </c>
    </row>
    <row r="2768">
      <c r="A2768" s="90" t="n">
        <v>42443</v>
      </c>
      <c r="D2768" t="n">
        <v>3134.2</v>
      </c>
    </row>
    <row r="2769">
      <c r="A2769" s="90" t="n">
        <v>42450</v>
      </c>
      <c r="D2769" t="n">
        <v>3174.5</v>
      </c>
    </row>
    <row r="2770">
      <c r="A2770" s="90" t="n">
        <v>42457</v>
      </c>
      <c r="D2770" t="n">
        <v>3181</v>
      </c>
    </row>
    <row r="2771">
      <c r="A2771" s="90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90" t="n">
        <v>42464</v>
      </c>
      <c r="D2772" t="n">
        <v>3180.7</v>
      </c>
    </row>
    <row r="2773">
      <c r="A2773" s="90" t="n">
        <v>42471</v>
      </c>
      <c r="D2773" t="n">
        <v>3198.4</v>
      </c>
    </row>
    <row r="2774">
      <c r="A2774" s="90" t="n">
        <v>42478</v>
      </c>
      <c r="D2774" t="n">
        <v>3182.4</v>
      </c>
    </row>
    <row r="2775">
      <c r="A2775" s="90" t="n">
        <v>42485</v>
      </c>
      <c r="D2775" t="n">
        <v>3203.5</v>
      </c>
    </row>
    <row r="2776">
      <c r="A2776" s="90" t="n">
        <v>42491</v>
      </c>
      <c r="B2776" t="n">
        <v>1351.5</v>
      </c>
      <c r="C2776" t="n">
        <v>5328.8</v>
      </c>
      <c r="E2776" t="n">
        <v>12765.6</v>
      </c>
    </row>
    <row r="2777">
      <c r="A2777" s="90" t="n">
        <v>42492</v>
      </c>
      <c r="D2777" t="n">
        <v>3242.5</v>
      </c>
    </row>
    <row r="2778">
      <c r="A2778" s="90" t="n">
        <v>42499</v>
      </c>
      <c r="D2778" t="n">
        <v>3255.3</v>
      </c>
    </row>
    <row r="2779">
      <c r="A2779" s="90" t="n">
        <v>42506</v>
      </c>
      <c r="D2779" t="n">
        <v>3236.6</v>
      </c>
    </row>
    <row r="2780">
      <c r="A2780" s="90" t="n">
        <v>42513</v>
      </c>
      <c r="D2780" t="n">
        <v>3248.8</v>
      </c>
    </row>
    <row r="2781">
      <c r="A2781" s="90" t="n">
        <v>42520</v>
      </c>
      <c r="D2781" t="n">
        <v>3218.7</v>
      </c>
    </row>
    <row r="2782">
      <c r="A2782" s="90" t="n">
        <v>42522</v>
      </c>
      <c r="B2782" t="n">
        <v>1351.3</v>
      </c>
      <c r="C2782" t="n">
        <v>5341.7</v>
      </c>
      <c r="E2782" t="n">
        <v>12831.9</v>
      </c>
    </row>
    <row r="2783">
      <c r="A2783" s="90" t="n">
        <v>42527</v>
      </c>
      <c r="D2783" t="n">
        <v>3207</v>
      </c>
    </row>
    <row r="2784">
      <c r="A2784" s="90" t="n">
        <v>42534</v>
      </c>
      <c r="D2784" t="n">
        <v>3256.1</v>
      </c>
    </row>
    <row r="2785">
      <c r="A2785" s="90" t="n">
        <v>42541</v>
      </c>
      <c r="D2785" t="n">
        <v>3270.2</v>
      </c>
    </row>
    <row r="2786">
      <c r="A2786" s="90" t="n">
        <v>42548</v>
      </c>
      <c r="D2786" t="n">
        <v>3247.8</v>
      </c>
    </row>
    <row r="2787">
      <c r="A2787" s="90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90" t="n">
        <v>42555</v>
      </c>
      <c r="D2788" t="n">
        <v>3251.2</v>
      </c>
    </row>
    <row r="2789">
      <c r="A2789" s="90" t="n">
        <v>42562</v>
      </c>
      <c r="D2789" t="n">
        <v>3260.8</v>
      </c>
    </row>
    <row r="2790">
      <c r="A2790" s="90" t="n">
        <v>42569</v>
      </c>
      <c r="D2790" t="n">
        <v>3243.4</v>
      </c>
    </row>
    <row r="2791">
      <c r="A2791" s="90" t="n">
        <v>42576</v>
      </c>
      <c r="D2791" t="n">
        <v>3253.9</v>
      </c>
    </row>
    <row r="2792">
      <c r="A2792" s="90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90" t="n">
        <v>42590</v>
      </c>
      <c r="D2793" t="n">
        <v>3299.2</v>
      </c>
    </row>
    <row r="2794">
      <c r="A2794" s="90" t="n">
        <v>42597</v>
      </c>
      <c r="D2794" t="n">
        <v>3323.6</v>
      </c>
    </row>
    <row r="2795">
      <c r="A2795" s="90" t="n">
        <v>42604</v>
      </c>
      <c r="D2795" t="n">
        <v>3344.1</v>
      </c>
    </row>
    <row r="2796">
      <c r="A2796" s="90" t="n">
        <v>42611</v>
      </c>
      <c r="D2796" t="n">
        <v>3323.7</v>
      </c>
    </row>
    <row r="2797">
      <c r="A2797" s="90" t="n">
        <v>42614</v>
      </c>
      <c r="B2797" t="n">
        <v>1379.8</v>
      </c>
      <c r="C2797" t="n">
        <v>5406</v>
      </c>
      <c r="E2797" t="n">
        <v>13037.9</v>
      </c>
    </row>
    <row r="2798">
      <c r="A2798" s="90" t="n">
        <v>42618</v>
      </c>
      <c r="D2798" t="n">
        <v>3288.9</v>
      </c>
    </row>
    <row r="2799">
      <c r="A2799" s="90" t="n">
        <v>42625</v>
      </c>
      <c r="D2799" t="n">
        <v>3333.2</v>
      </c>
    </row>
    <row r="2800">
      <c r="A2800" s="90" t="n">
        <v>42632</v>
      </c>
      <c r="D2800" t="n">
        <v>3324.8</v>
      </c>
    </row>
    <row r="2801">
      <c r="A2801" s="90" t="n">
        <v>42639</v>
      </c>
      <c r="D2801" t="n">
        <v>3322.3</v>
      </c>
    </row>
    <row r="2802">
      <c r="A2802" s="90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90" t="n">
        <v>42646</v>
      </c>
      <c r="D2803" t="n">
        <v>3374.5</v>
      </c>
    </row>
    <row r="2804">
      <c r="A2804" s="90" t="n">
        <v>42653</v>
      </c>
      <c r="D2804" t="n">
        <v>3362.5</v>
      </c>
    </row>
    <row r="2805">
      <c r="A2805" s="90" t="n">
        <v>42660</v>
      </c>
      <c r="D2805" t="n">
        <v>3309.1</v>
      </c>
    </row>
    <row r="2806">
      <c r="A2806" s="90" t="n">
        <v>42667</v>
      </c>
      <c r="D2806" t="n">
        <v>3318.6</v>
      </c>
    </row>
    <row r="2807">
      <c r="A2807" s="90" t="n">
        <v>42674</v>
      </c>
      <c r="D2807" t="n">
        <v>3328.7</v>
      </c>
    </row>
    <row r="2808">
      <c r="A2808" s="90" t="n">
        <v>42675</v>
      </c>
      <c r="B2808" t="n">
        <v>1386.2</v>
      </c>
      <c r="C2808" t="n">
        <v>5444.2</v>
      </c>
      <c r="E2808" t="n">
        <v>13176.5</v>
      </c>
    </row>
    <row r="2809">
      <c r="A2809" s="90" t="n">
        <v>42681</v>
      </c>
      <c r="D2809" t="n">
        <v>3305.2</v>
      </c>
    </row>
    <row r="2810">
      <c r="A2810" s="90" t="n">
        <v>42688</v>
      </c>
      <c r="D2810" t="n">
        <v>3368</v>
      </c>
    </row>
    <row r="2811">
      <c r="A2811" s="90" t="n">
        <v>42695</v>
      </c>
      <c r="D2811" t="n">
        <v>3385.6</v>
      </c>
    </row>
    <row r="2812">
      <c r="A2812" s="90" t="n">
        <v>42702</v>
      </c>
      <c r="D2812" t="n">
        <v>3360.5</v>
      </c>
    </row>
    <row r="2813">
      <c r="A2813" s="90" t="n">
        <v>42705</v>
      </c>
      <c r="B2813" t="n">
        <v>1376.9</v>
      </c>
      <c r="C2813" t="n">
        <v>5444.2</v>
      </c>
      <c r="E2813" t="n">
        <v>13209.6</v>
      </c>
    </row>
    <row r="2814">
      <c r="A2814" s="90" t="n">
        <v>42709</v>
      </c>
      <c r="D2814" t="n">
        <v>3324.3</v>
      </c>
    </row>
    <row r="2815">
      <c r="A2815" s="90" t="n">
        <v>42716</v>
      </c>
      <c r="D2815" t="n">
        <v>3347.2</v>
      </c>
    </row>
    <row r="2816">
      <c r="A2816" s="90" t="n">
        <v>42723</v>
      </c>
      <c r="D2816" t="n">
        <v>3328.7</v>
      </c>
    </row>
    <row r="2817">
      <c r="A2817" s="90" t="n">
        <v>42730</v>
      </c>
      <c r="D2817" t="n">
        <v>3345.9</v>
      </c>
    </row>
    <row r="2818">
      <c r="A2818" s="90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90" t="n">
        <v>42737</v>
      </c>
      <c r="D2819" t="n">
        <v>3351.8</v>
      </c>
    </row>
    <row r="2820">
      <c r="A2820" s="90" t="n">
        <v>42744</v>
      </c>
      <c r="D2820" t="n">
        <v>3383.8</v>
      </c>
    </row>
    <row r="2821">
      <c r="A2821" s="90" t="n">
        <v>42751</v>
      </c>
      <c r="D2821" t="n">
        <v>3388.8</v>
      </c>
    </row>
    <row r="2822">
      <c r="A2822" s="90" t="n">
        <v>42758</v>
      </c>
      <c r="D2822" t="n">
        <v>3394.6</v>
      </c>
    </row>
    <row r="2823">
      <c r="A2823" s="90" t="n">
        <v>42765</v>
      </c>
      <c r="D2823" t="n">
        <v>3399.7</v>
      </c>
    </row>
    <row r="2824">
      <c r="A2824" s="90" t="n">
        <v>42767</v>
      </c>
      <c r="B2824" t="n">
        <v>1394.5</v>
      </c>
      <c r="C2824" t="n">
        <v>5471.8</v>
      </c>
      <c r="E2824" t="n">
        <v>13351.4</v>
      </c>
    </row>
    <row r="2825">
      <c r="A2825" s="90" t="n">
        <v>42772</v>
      </c>
      <c r="D2825" t="n">
        <v>3364.4</v>
      </c>
    </row>
    <row r="2826">
      <c r="A2826" s="90" t="n">
        <v>42779</v>
      </c>
      <c r="D2826" t="n">
        <v>3394.4</v>
      </c>
    </row>
    <row r="2827">
      <c r="A2827" s="90" t="n">
        <v>42786</v>
      </c>
      <c r="D2827" t="n">
        <v>3426.8</v>
      </c>
    </row>
    <row r="2828">
      <c r="A2828" s="90" t="n">
        <v>42793</v>
      </c>
      <c r="D2828" t="n">
        <v>3420.9</v>
      </c>
    </row>
    <row r="2829">
      <c r="A2829" s="90" t="n">
        <v>42795</v>
      </c>
      <c r="B2829" t="n">
        <v>1414.8</v>
      </c>
      <c r="C2829" t="n">
        <v>5502.7</v>
      </c>
      <c r="E2829" t="n">
        <v>13420.6</v>
      </c>
    </row>
    <row r="2830">
      <c r="A2830" s="90" t="n">
        <v>42800</v>
      </c>
      <c r="D2830" t="n">
        <v>3394.1</v>
      </c>
    </row>
    <row r="2831">
      <c r="A2831" s="90" t="n">
        <v>42807</v>
      </c>
      <c r="D2831" t="n">
        <v>3446.1</v>
      </c>
    </row>
    <row r="2832">
      <c r="A2832" s="90" t="n">
        <v>42814</v>
      </c>
      <c r="D2832" t="n">
        <v>3458.6</v>
      </c>
    </row>
    <row r="2833">
      <c r="A2833" s="90" t="n">
        <v>42821</v>
      </c>
      <c r="D2833" t="n">
        <v>3445.8</v>
      </c>
    </row>
    <row r="2834">
      <c r="A2834" s="90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90" t="n">
        <v>42828</v>
      </c>
      <c r="D2835" t="n">
        <v>3518.4</v>
      </c>
    </row>
    <row r="2836">
      <c r="A2836" s="90" t="n">
        <v>42835</v>
      </c>
      <c r="D2836" t="n">
        <v>3457</v>
      </c>
    </row>
    <row r="2837">
      <c r="A2837" s="90" t="n">
        <v>42842</v>
      </c>
      <c r="D2837" t="n">
        <v>3441.1</v>
      </c>
    </row>
    <row r="2838">
      <c r="A2838" s="90" t="n">
        <v>42849</v>
      </c>
      <c r="D2838" t="n">
        <v>3446.2</v>
      </c>
    </row>
    <row r="2839">
      <c r="A2839" s="90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90" t="n">
        <v>42863</v>
      </c>
      <c r="D2840" t="n">
        <v>3502.8</v>
      </c>
    </row>
    <row r="2841">
      <c r="A2841" s="90" t="n">
        <v>42870</v>
      </c>
      <c r="D2841" t="n">
        <v>3526.1</v>
      </c>
    </row>
    <row r="2842">
      <c r="A2842" s="90" t="n">
        <v>42877</v>
      </c>
      <c r="D2842" t="n">
        <v>3538.9</v>
      </c>
    </row>
    <row r="2843">
      <c r="A2843" s="90" t="n">
        <v>42884</v>
      </c>
      <c r="D2843" t="n">
        <v>3525.2</v>
      </c>
    </row>
    <row r="2844">
      <c r="A2844" s="90" t="n">
        <v>42887</v>
      </c>
      <c r="B2844" t="n">
        <v>1443.7</v>
      </c>
      <c r="C2844" t="n">
        <v>5553.2</v>
      </c>
      <c r="E2844" t="n">
        <v>13558.9</v>
      </c>
    </row>
    <row r="2845">
      <c r="A2845" s="90" t="n">
        <v>42891</v>
      </c>
      <c r="D2845" t="n">
        <v>3489.2</v>
      </c>
    </row>
    <row r="2846">
      <c r="A2846" s="90" t="n">
        <v>42898</v>
      </c>
      <c r="D2846" t="n">
        <v>3514.5</v>
      </c>
    </row>
    <row r="2847">
      <c r="A2847" s="90" t="n">
        <v>42905</v>
      </c>
      <c r="D2847" t="n">
        <v>3512.4</v>
      </c>
    </row>
    <row r="2848">
      <c r="A2848" s="90" t="n">
        <v>42912</v>
      </c>
      <c r="D2848" t="n">
        <v>3553</v>
      </c>
    </row>
    <row r="2849">
      <c r="A2849" s="90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90" t="n">
        <v>42919</v>
      </c>
      <c r="D2850" t="n">
        <v>3580.7</v>
      </c>
    </row>
    <row r="2851">
      <c r="A2851" s="90" t="n">
        <v>42926</v>
      </c>
      <c r="D2851" t="n">
        <v>3552.4</v>
      </c>
    </row>
    <row r="2852">
      <c r="A2852" s="90" t="n">
        <v>42933</v>
      </c>
      <c r="D2852" t="n">
        <v>3519.5</v>
      </c>
    </row>
    <row r="2853">
      <c r="A2853" s="90" t="n">
        <v>42940</v>
      </c>
      <c r="D2853" t="n">
        <v>3553.4</v>
      </c>
    </row>
    <row r="2854">
      <c r="A2854" s="90" t="n">
        <v>42947</v>
      </c>
      <c r="D2854" t="n">
        <v>3567.4</v>
      </c>
    </row>
    <row r="2855">
      <c r="A2855" s="90" t="n">
        <v>42948</v>
      </c>
      <c r="B2855" t="n">
        <v>1463.3</v>
      </c>
      <c r="C2855" t="n">
        <v>5579.3</v>
      </c>
      <c r="E2855" t="n">
        <v>13679.6</v>
      </c>
    </row>
    <row r="2856">
      <c r="A2856" s="90" t="n">
        <v>42954</v>
      </c>
      <c r="D2856" t="n">
        <v>3540.5</v>
      </c>
    </row>
    <row r="2857">
      <c r="A2857" s="90" t="n">
        <v>42961</v>
      </c>
      <c r="D2857" t="n">
        <v>3582.6</v>
      </c>
    </row>
    <row r="2858">
      <c r="A2858" s="90" t="n">
        <v>42968</v>
      </c>
      <c r="D2858" t="n">
        <v>3635.1</v>
      </c>
    </row>
    <row r="2859">
      <c r="A2859" s="90" t="n">
        <v>42975</v>
      </c>
      <c r="D2859" t="n">
        <v>3597.7</v>
      </c>
    </row>
    <row r="2860">
      <c r="A2860" s="90" t="n">
        <v>42979</v>
      </c>
      <c r="B2860" t="n">
        <v>1449.1</v>
      </c>
      <c r="C2860" t="n">
        <v>5568.2</v>
      </c>
      <c r="E2860" t="n">
        <v>13722.1</v>
      </c>
    </row>
    <row r="2861">
      <c r="A2861" s="90" t="n">
        <v>42982</v>
      </c>
      <c r="D2861" t="n">
        <v>3550.7</v>
      </c>
    </row>
    <row r="2862">
      <c r="A2862" s="90" t="n">
        <v>42989</v>
      </c>
      <c r="D2862" t="n">
        <v>3588.1</v>
      </c>
    </row>
    <row r="2863">
      <c r="A2863" s="90" t="n">
        <v>42996</v>
      </c>
      <c r="D2863" t="n">
        <v>3574.8</v>
      </c>
    </row>
    <row r="2864">
      <c r="A2864" s="90" t="n">
        <v>43003</v>
      </c>
      <c r="D2864" t="n">
        <v>3568.4</v>
      </c>
    </row>
    <row r="2865">
      <c r="A2865" s="90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90" t="n">
        <v>43010</v>
      </c>
      <c r="D2866" t="n">
        <v>3581.7</v>
      </c>
    </row>
    <row r="2867">
      <c r="A2867" s="90" t="n">
        <v>43017</v>
      </c>
      <c r="D2867" t="n">
        <v>3618.2</v>
      </c>
    </row>
    <row r="2868">
      <c r="A2868" s="90" t="n">
        <v>43024</v>
      </c>
      <c r="D2868" t="n">
        <v>3593.9</v>
      </c>
    </row>
    <row r="2869">
      <c r="A2869" s="90" t="n">
        <v>43031</v>
      </c>
      <c r="D2869" t="n">
        <v>3612.7</v>
      </c>
    </row>
    <row r="2870">
      <c r="A2870" s="90" t="n">
        <v>43038</v>
      </c>
      <c r="D2870" t="n">
        <v>3598.9</v>
      </c>
    </row>
    <row r="2871">
      <c r="A2871" s="90" t="n">
        <v>43040</v>
      </c>
      <c r="B2871" t="n">
        <v>1468.4</v>
      </c>
      <c r="C2871" t="n">
        <v>5582.3</v>
      </c>
      <c r="E2871" t="n">
        <v>13804.1</v>
      </c>
    </row>
    <row r="2872">
      <c r="A2872" s="90" t="n">
        <v>43045</v>
      </c>
      <c r="D2872" t="n">
        <v>3591.9</v>
      </c>
    </row>
    <row r="2873">
      <c r="A2873" s="90" t="n">
        <v>43052</v>
      </c>
      <c r="D2873" t="n">
        <v>3631.3</v>
      </c>
    </row>
    <row r="2874">
      <c r="A2874" s="90" t="n">
        <v>43059</v>
      </c>
      <c r="D2874" t="n">
        <v>3644.9</v>
      </c>
    </row>
    <row r="2875">
      <c r="A2875" s="90" t="n">
        <v>43066</v>
      </c>
      <c r="D2875" t="n">
        <v>3641.9</v>
      </c>
    </row>
    <row r="2876">
      <c r="A2876" s="90" t="n">
        <v>43070</v>
      </c>
      <c r="B2876" t="n">
        <v>1457</v>
      </c>
      <c r="C2876" t="n">
        <v>5590</v>
      </c>
      <c r="E2876" t="n">
        <v>13852.3</v>
      </c>
    </row>
    <row r="2877">
      <c r="A2877" s="90" t="n">
        <v>43073</v>
      </c>
      <c r="D2877" t="n">
        <v>3619.2</v>
      </c>
    </row>
    <row r="2878">
      <c r="A2878" s="90" t="n">
        <v>43080</v>
      </c>
      <c r="D2878" t="n">
        <v>3632.1</v>
      </c>
    </row>
    <row r="2879">
      <c r="A2879" s="90" t="n">
        <v>43087</v>
      </c>
      <c r="D2879" t="n">
        <v>3608.5</v>
      </c>
    </row>
    <row r="2880">
      <c r="A2880" s="90" t="n">
        <v>43094</v>
      </c>
      <c r="D2880" t="n">
        <v>3595.6</v>
      </c>
    </row>
    <row r="2881">
      <c r="A2881" s="90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1.449</v>
      </c>
    </row>
    <row r="2882">
      <c r="A2882" s="90" t="n">
        <v>43108</v>
      </c>
      <c r="D2882" t="n">
        <v>3642.1</v>
      </c>
    </row>
    <row r="2883">
      <c r="A2883" s="90" t="n">
        <v>43115</v>
      </c>
      <c r="D2883" t="n">
        <v>3670.6</v>
      </c>
    </row>
    <row r="2884">
      <c r="A2884" s="90" t="n">
        <v>43122</v>
      </c>
      <c r="D2884" t="n">
        <v>3663</v>
      </c>
    </row>
    <row r="2885">
      <c r="A2885" s="90" t="n">
        <v>43129</v>
      </c>
      <c r="D2885" t="n">
        <v>3636.4</v>
      </c>
    </row>
    <row r="2886">
      <c r="A2886" s="90" t="n">
        <v>43132</v>
      </c>
      <c r="B2886" t="n">
        <v>1450.9</v>
      </c>
      <c r="C2886" t="n">
        <v>5576.6</v>
      </c>
      <c r="E2886" t="n">
        <v>13910.2</v>
      </c>
    </row>
    <row r="2887">
      <c r="A2887" s="90" t="n">
        <v>43136</v>
      </c>
      <c r="D2887" t="n">
        <v>3622.6</v>
      </c>
    </row>
    <row r="2888">
      <c r="A2888" s="90" t="n">
        <v>43143</v>
      </c>
      <c r="D2888" t="n">
        <v>3607.4</v>
      </c>
    </row>
    <row r="2889">
      <c r="A2889" s="90" t="n">
        <v>43150</v>
      </c>
      <c r="D2889" t="n">
        <v>3611.8</v>
      </c>
    </row>
    <row r="2890">
      <c r="A2890" s="90" t="n">
        <v>43157</v>
      </c>
      <c r="D2890" t="n">
        <v>3624.3</v>
      </c>
    </row>
    <row r="2891">
      <c r="A2891" s="90" t="n">
        <v>43160</v>
      </c>
      <c r="B2891" t="n">
        <v>1467.8</v>
      </c>
      <c r="C2891" t="n">
        <v>5595.6</v>
      </c>
      <c r="E2891" t="n">
        <v>13965.5</v>
      </c>
    </row>
    <row r="2892">
      <c r="A2892" s="90" t="n">
        <v>43164</v>
      </c>
      <c r="D2892" t="n">
        <v>3655.3</v>
      </c>
    </row>
    <row r="2893">
      <c r="A2893" s="90" t="n">
        <v>43171</v>
      </c>
      <c r="D2893" t="n">
        <v>3670.8</v>
      </c>
    </row>
    <row r="2894">
      <c r="A2894" s="90" t="n">
        <v>43178</v>
      </c>
      <c r="D2894" t="n">
        <v>3660.6</v>
      </c>
    </row>
    <row r="2895">
      <c r="A2895" s="90" t="n">
        <v>43185</v>
      </c>
      <c r="D2895" t="n">
        <v>3657.7</v>
      </c>
    </row>
    <row r="2896">
      <c r="A2896" s="90" t="n">
        <v>43191</v>
      </c>
      <c r="B2896" t="n">
        <v>1461.2</v>
      </c>
      <c r="C2896" t="n">
        <v>5591.8</v>
      </c>
      <c r="E2896" t="n">
        <v>13987.7</v>
      </c>
      <c r="F2896" t="n">
        <v>1.458</v>
      </c>
    </row>
    <row r="2897">
      <c r="A2897" s="90" t="n">
        <v>43192</v>
      </c>
      <c r="D2897" t="n">
        <v>3659.2</v>
      </c>
    </row>
    <row r="2898">
      <c r="A2898" s="90" t="n">
        <v>43199</v>
      </c>
      <c r="D2898" t="n">
        <v>3660.9</v>
      </c>
    </row>
    <row r="2899">
      <c r="A2899" s="90" t="n">
        <v>43206</v>
      </c>
      <c r="D2899" t="n">
        <v>3647</v>
      </c>
    </row>
    <row r="2900">
      <c r="A2900" s="90" t="n">
        <v>43213</v>
      </c>
      <c r="D2900" t="n">
        <v>3669.8</v>
      </c>
    </row>
    <row r="2901">
      <c r="A2901" s="90" t="n">
        <v>43220</v>
      </c>
      <c r="D2901" t="n">
        <v>3669.5</v>
      </c>
    </row>
    <row r="2902">
      <c r="A2902" s="90" t="n">
        <v>43221</v>
      </c>
      <c r="B2902" t="n">
        <v>1455.8</v>
      </c>
      <c r="C2902" t="n">
        <v>5599</v>
      </c>
      <c r="E2902" t="n">
        <v>14041.2</v>
      </c>
    </row>
    <row r="2903">
      <c r="A2903" s="90" t="n">
        <v>43227</v>
      </c>
      <c r="D2903" t="n">
        <v>3637.2</v>
      </c>
    </row>
    <row r="2904">
      <c r="A2904" s="90" t="n">
        <v>43234</v>
      </c>
      <c r="D2904" t="n">
        <v>3655.2</v>
      </c>
    </row>
    <row r="2905">
      <c r="A2905" s="90" t="n">
        <v>43241</v>
      </c>
      <c r="D2905" t="n">
        <v>3666.8</v>
      </c>
    </row>
    <row r="2906">
      <c r="A2906" s="90" t="n">
        <v>43248</v>
      </c>
      <c r="D2906" t="n">
        <v>3664.2</v>
      </c>
    </row>
    <row r="2907">
      <c r="A2907" s="90" t="n">
        <v>43252</v>
      </c>
      <c r="B2907" t="n">
        <v>1454.4</v>
      </c>
      <c r="C2907" t="n">
        <v>5615.9</v>
      </c>
      <c r="E2907" t="n">
        <v>14102.6</v>
      </c>
    </row>
    <row r="2908">
      <c r="A2908" s="90" t="n">
        <v>43255</v>
      </c>
      <c r="D2908" t="n">
        <v>3672.2</v>
      </c>
    </row>
    <row r="2909">
      <c r="A2909" s="90" t="n">
        <v>43262</v>
      </c>
      <c r="D2909" t="n">
        <v>3654.6</v>
      </c>
    </row>
    <row r="2910">
      <c r="A2910" s="90" t="n">
        <v>43269</v>
      </c>
      <c r="D2910" t="n">
        <v>3651.1</v>
      </c>
    </row>
    <row r="2911">
      <c r="A2911" s="90" t="n">
        <v>43276</v>
      </c>
      <c r="D2911" t="n">
        <v>3655.1</v>
      </c>
    </row>
    <row r="2912">
      <c r="A2912" s="90" t="n">
        <v>43282</v>
      </c>
      <c r="B2912" t="n">
        <v>1463.3</v>
      </c>
      <c r="C2912" t="n">
        <v>5625</v>
      </c>
      <c r="E2912" t="n">
        <v>14137</v>
      </c>
      <c r="F2912" t="n">
        <v>1.459</v>
      </c>
    </row>
    <row r="2913">
      <c r="A2913" s="90" t="n">
        <v>43283</v>
      </c>
      <c r="D2913" t="n">
        <v>3673.2</v>
      </c>
    </row>
    <row r="2914">
      <c r="A2914" s="90" t="n">
        <v>43290</v>
      </c>
      <c r="D2914" t="n">
        <v>3682.1</v>
      </c>
    </row>
    <row r="2915">
      <c r="A2915" s="90" t="n">
        <v>43297</v>
      </c>
      <c r="D2915" t="n">
        <v>3681.5</v>
      </c>
    </row>
    <row r="2916">
      <c r="A2916" s="90" t="n">
        <v>43304</v>
      </c>
      <c r="D2916" t="n">
        <v>3677.6</v>
      </c>
    </row>
    <row r="2917">
      <c r="A2917" s="90" t="n">
        <v>43311</v>
      </c>
      <c r="D2917" t="n">
        <v>3681.9</v>
      </c>
    </row>
    <row r="2918">
      <c r="A2918" s="90" t="n">
        <v>43313</v>
      </c>
      <c r="B2918" t="n">
        <v>1467</v>
      </c>
      <c r="C2918" t="n">
        <v>5635.5</v>
      </c>
      <c r="E2918" t="n">
        <v>14187.4</v>
      </c>
    </row>
    <row r="2919">
      <c r="A2919" s="90" t="n">
        <v>43318</v>
      </c>
      <c r="D2919" t="n">
        <v>3661.4</v>
      </c>
    </row>
    <row r="2920">
      <c r="A2920" s="90" t="n">
        <v>43325</v>
      </c>
      <c r="D2920" t="n">
        <v>3677</v>
      </c>
    </row>
    <row r="2921">
      <c r="A2921" s="90" t="n">
        <v>43332</v>
      </c>
      <c r="D2921" t="n">
        <v>3676</v>
      </c>
    </row>
    <row r="2922">
      <c r="A2922" s="90" t="n">
        <v>43339</v>
      </c>
      <c r="D2922" t="n">
        <v>3695.2</v>
      </c>
    </row>
    <row r="2923">
      <c r="A2923" s="90" t="n">
        <v>43344</v>
      </c>
      <c r="B2923" t="n">
        <v>1467.6</v>
      </c>
      <c r="C2923" t="n">
        <v>5635.4</v>
      </c>
      <c r="E2923" t="n">
        <v>14214.6</v>
      </c>
    </row>
    <row r="2924">
      <c r="A2924" s="90" t="n">
        <v>43346</v>
      </c>
      <c r="D2924" t="n">
        <v>3779.6</v>
      </c>
    </row>
    <row r="2925">
      <c r="A2925" s="90" t="n">
        <v>43353</v>
      </c>
      <c r="D2925" t="n">
        <v>3710.1</v>
      </c>
    </row>
    <row r="2926">
      <c r="A2926" s="90" t="n">
        <v>43360</v>
      </c>
      <c r="D2926" t="n">
        <v>3691.7</v>
      </c>
    </row>
    <row r="2927">
      <c r="A2927" s="90" t="n">
        <v>43367</v>
      </c>
      <c r="D2927" t="n">
        <v>3704.6</v>
      </c>
    </row>
    <row r="2928">
      <c r="A2928" s="90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90" t="n">
        <v>43381</v>
      </c>
      <c r="D2929" t="n">
        <v>3708.5</v>
      </c>
    </row>
    <row r="2930">
      <c r="A2930" s="90" t="n">
        <v>43388</v>
      </c>
      <c r="D2930" t="n">
        <v>3723.5</v>
      </c>
    </row>
    <row r="2931">
      <c r="A2931" s="90" t="n">
        <v>43395</v>
      </c>
      <c r="D2931" t="n">
        <v>3744.5</v>
      </c>
    </row>
    <row r="2932">
      <c r="A2932" s="90" t="n">
        <v>43402</v>
      </c>
      <c r="D2932" t="n">
        <v>3729.1</v>
      </c>
    </row>
    <row r="2933">
      <c r="A2933" s="90" t="n">
        <v>43405</v>
      </c>
      <c r="B2933" t="n">
        <v>1466.7</v>
      </c>
      <c r="C2933" t="n">
        <v>5636.7</v>
      </c>
      <c r="E2933" t="n">
        <v>14241.6</v>
      </c>
    </row>
    <row r="2934">
      <c r="A2934" s="90" t="n">
        <v>43409</v>
      </c>
      <c r="D2934" t="n">
        <v>3689.6</v>
      </c>
    </row>
    <row r="2935">
      <c r="A2935" s="90" t="n">
        <v>43416</v>
      </c>
      <c r="D2935" t="n">
        <v>3687.3</v>
      </c>
    </row>
    <row r="2936">
      <c r="A2936" s="90" t="n">
        <v>43423</v>
      </c>
      <c r="D2936" t="n">
        <v>3688.2</v>
      </c>
    </row>
    <row r="2937">
      <c r="A2937" s="90" t="n">
        <v>43430</v>
      </c>
      <c r="D2937" t="n">
        <v>3692.6</v>
      </c>
    </row>
    <row r="2938">
      <c r="A2938" s="90" t="n">
        <v>43435</v>
      </c>
      <c r="B2938" t="n">
        <v>1490.2</v>
      </c>
      <c r="C2938" t="n">
        <v>5685.5</v>
      </c>
      <c r="E2938" t="n">
        <v>14358.8</v>
      </c>
    </row>
    <row r="2939">
      <c r="A2939" s="90" t="n">
        <v>43437</v>
      </c>
      <c r="D2939" t="n">
        <v>3780.5</v>
      </c>
    </row>
    <row r="2940">
      <c r="A2940" s="90" t="n">
        <v>43444</v>
      </c>
      <c r="D2940" t="n">
        <v>3769.8</v>
      </c>
    </row>
    <row r="2941">
      <c r="A2941" s="90" t="n">
        <v>43451</v>
      </c>
      <c r="D2941" t="n">
        <v>3712.9</v>
      </c>
    </row>
    <row r="2942">
      <c r="A2942" s="90" t="n">
        <v>43458</v>
      </c>
      <c r="D2942" t="n">
        <v>3760.7</v>
      </c>
    </row>
    <row r="2943">
      <c r="A2943" s="90" t="n">
        <v>43465</v>
      </c>
      <c r="D2943" t="n">
        <v>3744.6</v>
      </c>
    </row>
    <row r="2944">
      <c r="A2944" s="90" t="n">
        <v>43466</v>
      </c>
      <c r="B2944" t="n">
        <v>1487.2</v>
      </c>
      <c r="C2944" t="n">
        <v>5715.8</v>
      </c>
      <c r="E2944" t="n">
        <v>14430.8</v>
      </c>
      <c r="F2944" t="n">
        <v>1.452</v>
      </c>
    </row>
    <row r="2945">
      <c r="A2945" s="90" t="n">
        <v>43472</v>
      </c>
      <c r="D2945" t="n">
        <v>3722.2</v>
      </c>
    </row>
    <row r="2946">
      <c r="A2946" s="90" t="n">
        <v>43479</v>
      </c>
      <c r="D2946" t="n">
        <v>3720.3</v>
      </c>
    </row>
    <row r="2947">
      <c r="A2947" s="90" t="n">
        <v>43486</v>
      </c>
      <c r="D2947" t="n">
        <v>3757.1</v>
      </c>
    </row>
    <row r="2948">
      <c r="A2948" s="90" t="n">
        <v>43493</v>
      </c>
      <c r="D2948" t="n">
        <v>3753.4</v>
      </c>
    </row>
    <row r="2949">
      <c r="A2949" s="90" t="n">
        <v>43497</v>
      </c>
      <c r="B2949" t="n">
        <v>1486.5</v>
      </c>
      <c r="C2949" t="n">
        <v>5717.2</v>
      </c>
      <c r="E2949" t="n">
        <v>14472.3</v>
      </c>
    </row>
    <row r="2950">
      <c r="A2950" s="90" t="n">
        <v>43500</v>
      </c>
      <c r="D2950" t="n">
        <v>3792.3</v>
      </c>
    </row>
    <row r="2951">
      <c r="A2951" s="90" t="n">
        <v>43507</v>
      </c>
      <c r="D2951" t="n">
        <v>3768.8</v>
      </c>
    </row>
    <row r="2952">
      <c r="A2952" s="90" t="n">
        <v>43514</v>
      </c>
      <c r="D2952" t="n">
        <v>3757.9</v>
      </c>
    </row>
    <row r="2953">
      <c r="A2953" s="90" t="n">
        <v>43521</v>
      </c>
      <c r="D2953" t="n">
        <v>3743</v>
      </c>
    </row>
    <row r="2954">
      <c r="A2954" s="90" t="n">
        <v>43525</v>
      </c>
      <c r="B2954" t="n">
        <v>1468.3</v>
      </c>
      <c r="C2954" t="n">
        <v>5706.7</v>
      </c>
      <c r="E2954" t="n">
        <v>14510.7</v>
      </c>
    </row>
    <row r="2955">
      <c r="A2955" s="90" t="n">
        <v>43528</v>
      </c>
      <c r="D2955" t="n">
        <v>3766.8</v>
      </c>
    </row>
    <row r="2956">
      <c r="A2956" s="90" t="n">
        <v>43535</v>
      </c>
      <c r="D2956" t="n">
        <v>3736.9</v>
      </c>
    </row>
    <row r="2957">
      <c r="A2957" s="90" t="n">
        <v>43542</v>
      </c>
      <c r="D2957" t="n">
        <v>3716.7</v>
      </c>
    </row>
    <row r="2958">
      <c r="A2958" s="90" t="n">
        <v>43549</v>
      </c>
      <c r="D2958" t="n">
        <v>3728.3</v>
      </c>
    </row>
    <row r="2959">
      <c r="A2959" s="90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1.453</v>
      </c>
    </row>
    <row r="2960">
      <c r="A2960" s="90" t="n">
        <v>43563</v>
      </c>
      <c r="D2960" t="n">
        <v>3747.3</v>
      </c>
    </row>
    <row r="2961">
      <c r="A2961" s="90" t="n">
        <v>43570</v>
      </c>
      <c r="D2961" t="n">
        <v>3797.5</v>
      </c>
    </row>
    <row r="2962">
      <c r="A2962" s="90" t="n">
        <v>43577</v>
      </c>
      <c r="D2962" t="n">
        <v>3790.6</v>
      </c>
    </row>
    <row r="2963">
      <c r="A2963" s="90" t="n">
        <v>43584</v>
      </c>
      <c r="D2963" t="n">
        <v>3814</v>
      </c>
    </row>
    <row r="2964">
      <c r="A2964" s="90" t="n">
        <v>43586</v>
      </c>
      <c r="B2964" t="n">
        <v>1481.7</v>
      </c>
      <c r="C2964" t="n">
        <v>5730.9</v>
      </c>
      <c r="E2964" t="n">
        <v>14632.5</v>
      </c>
    </row>
    <row r="2965">
      <c r="A2965" s="90" t="n">
        <v>43591</v>
      </c>
      <c r="D2965" t="n">
        <v>3766.3</v>
      </c>
    </row>
    <row r="2966">
      <c r="A2966" s="90" t="n">
        <v>43598</v>
      </c>
      <c r="D2966" t="n">
        <v>3773.5</v>
      </c>
    </row>
    <row r="2967">
      <c r="A2967" s="90" t="n">
        <v>43605</v>
      </c>
      <c r="D2967" t="n">
        <v>3782.7</v>
      </c>
    </row>
    <row r="2968">
      <c r="A2968" s="90" t="n">
        <v>43612</v>
      </c>
      <c r="D2968" t="n">
        <v>3810.8</v>
      </c>
    </row>
    <row r="2969">
      <c r="A2969" s="90" t="n">
        <v>43617</v>
      </c>
      <c r="B2969" t="n">
        <v>1497.6</v>
      </c>
      <c r="C2969" t="n">
        <v>5778</v>
      </c>
      <c r="E2969" t="n">
        <v>14754.8</v>
      </c>
    </row>
    <row r="2970">
      <c r="A2970" s="90" t="n">
        <v>43619</v>
      </c>
      <c r="D2970" t="n">
        <v>3877</v>
      </c>
    </row>
    <row r="2971">
      <c r="A2971" s="90" t="n">
        <v>43626</v>
      </c>
      <c r="D2971" t="n">
        <v>3840.5</v>
      </c>
    </row>
    <row r="2972">
      <c r="A2972" s="90" t="n">
        <v>43633</v>
      </c>
      <c r="D2972" t="n">
        <v>3833.5</v>
      </c>
    </row>
    <row r="2973">
      <c r="A2973" s="90" t="n">
        <v>43640</v>
      </c>
      <c r="D2973" t="n">
        <v>3830.7</v>
      </c>
    </row>
    <row r="2974">
      <c r="A2974" s="90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1.443</v>
      </c>
    </row>
    <row r="2975">
      <c r="A2975" s="90" t="n">
        <v>43654</v>
      </c>
      <c r="D2975" t="n">
        <v>3838.3</v>
      </c>
    </row>
    <row r="2976">
      <c r="A2976" s="90" t="n">
        <v>43661</v>
      </c>
      <c r="D2976" t="n">
        <v>3857.4</v>
      </c>
    </row>
    <row r="2977">
      <c r="A2977" s="90" t="n">
        <v>43668</v>
      </c>
      <c r="D2977" t="n">
        <v>3876.3</v>
      </c>
    </row>
    <row r="2978">
      <c r="A2978" s="90" t="n">
        <v>43675</v>
      </c>
      <c r="D2978" t="n">
        <v>3873.6</v>
      </c>
    </row>
    <row r="2979">
      <c r="A2979" s="90" t="n">
        <v>43678</v>
      </c>
      <c r="B2979" t="n">
        <v>1506.3</v>
      </c>
      <c r="C2979" t="n">
        <v>5824</v>
      </c>
      <c r="E2979" t="n">
        <v>14919.8</v>
      </c>
    </row>
    <row r="2980">
      <c r="A2980" s="90" t="n">
        <v>43682</v>
      </c>
      <c r="D2980" t="n">
        <v>3876</v>
      </c>
    </row>
    <row r="2981">
      <c r="A2981" s="90" t="n">
        <v>43689</v>
      </c>
      <c r="D2981" t="n">
        <v>3862</v>
      </c>
    </row>
    <row r="2982">
      <c r="A2982" s="90" t="n">
        <v>43696</v>
      </c>
      <c r="D2982" t="n">
        <v>3833.2</v>
      </c>
    </row>
    <row r="2983">
      <c r="A2983" s="90" t="n">
        <v>43703</v>
      </c>
      <c r="D2983" t="n">
        <v>3845.8</v>
      </c>
    </row>
    <row r="2984">
      <c r="A2984" s="90" t="n">
        <v>43709</v>
      </c>
      <c r="B2984" t="n">
        <v>1519.9</v>
      </c>
      <c r="C2984" t="n">
        <v>5847.6</v>
      </c>
      <c r="E2984" t="n">
        <v>15004.8</v>
      </c>
    </row>
    <row r="2985">
      <c r="A2985" s="90" t="n">
        <v>43710</v>
      </c>
      <c r="D2985" t="n">
        <v>3878.9</v>
      </c>
    </row>
    <row r="2986">
      <c r="A2986" s="90" t="n">
        <v>43717</v>
      </c>
      <c r="D2986" t="n">
        <v>3896.9</v>
      </c>
    </row>
    <row r="2987">
      <c r="A2987" s="90" t="n">
        <v>43724</v>
      </c>
      <c r="D2987" t="n">
        <v>3896.8</v>
      </c>
    </row>
    <row r="2988">
      <c r="A2988" s="90" t="n">
        <v>43731</v>
      </c>
      <c r="D2988" t="n">
        <v>3912</v>
      </c>
    </row>
    <row r="2989">
      <c r="A2989" s="90" t="n">
        <v>43738</v>
      </c>
      <c r="D2989" t="n">
        <v>3929.1</v>
      </c>
    </row>
    <row r="2990">
      <c r="A2990" s="90" t="n">
        <v>43739</v>
      </c>
      <c r="B2990" t="n">
        <v>1529.4</v>
      </c>
      <c r="C2990" t="n">
        <v>5885.7</v>
      </c>
      <c r="E2990" t="n">
        <v>15144.2</v>
      </c>
      <c r="F2990" t="n">
        <v>1.425</v>
      </c>
    </row>
    <row r="2991">
      <c r="A2991" s="90" t="n">
        <v>43745</v>
      </c>
      <c r="D2991" t="n">
        <v>3894.7</v>
      </c>
    </row>
    <row r="2992">
      <c r="A2992" s="90" t="n">
        <v>43752</v>
      </c>
      <c r="D2992" t="n">
        <v>3931.6</v>
      </c>
    </row>
    <row r="2993">
      <c r="A2993" s="90" t="n">
        <v>43759</v>
      </c>
      <c r="D2993" t="n">
        <v>3929.9</v>
      </c>
    </row>
    <row r="2994">
      <c r="A2994" s="90" t="n">
        <v>43766</v>
      </c>
      <c r="D2994" t="n">
        <v>3935.3</v>
      </c>
    </row>
    <row r="2995">
      <c r="A2995" s="90" t="n">
        <v>43770</v>
      </c>
      <c r="B2995" t="n">
        <v>1534.3</v>
      </c>
      <c r="C2995" t="n">
        <v>5915.7</v>
      </c>
      <c r="E2995" t="n">
        <v>15249.9</v>
      </c>
    </row>
    <row r="2996">
      <c r="A2996" s="90" t="n">
        <v>43773</v>
      </c>
      <c r="D2996" t="n">
        <v>3956.2</v>
      </c>
    </row>
    <row r="2997">
      <c r="A2997" s="90" t="n">
        <v>43780</v>
      </c>
      <c r="D2997" t="n">
        <v>3956.4</v>
      </c>
    </row>
    <row r="2998">
      <c r="A2998" s="90" t="n">
        <v>43787</v>
      </c>
      <c r="D2998" t="n">
        <v>3928.9</v>
      </c>
    </row>
    <row r="2999">
      <c r="A2999" s="90" t="n">
        <v>43794</v>
      </c>
      <c r="D2999" t="n">
        <v>3963.3</v>
      </c>
    </row>
    <row r="3000">
      <c r="A3000" s="90" t="n">
        <v>43800</v>
      </c>
      <c r="B3000" t="n">
        <v>1551.6</v>
      </c>
      <c r="C3000" t="n">
        <v>5931.6</v>
      </c>
      <c r="E3000" t="n">
        <v>15319.1</v>
      </c>
    </row>
    <row r="3001">
      <c r="A3001" s="90" t="n">
        <v>43801</v>
      </c>
      <c r="D3001" t="n">
        <v>3954.6</v>
      </c>
    </row>
    <row r="3002">
      <c r="A3002" s="90" t="n">
        <v>43808</v>
      </c>
      <c r="D3002" t="n">
        <v>3979.3</v>
      </c>
    </row>
    <row r="3003">
      <c r="A3003" s="90" t="n">
        <v>43815</v>
      </c>
      <c r="D3003" t="n">
        <v>3992.9</v>
      </c>
    </row>
    <row r="3004">
      <c r="A3004" s="90" t="n">
        <v>43822</v>
      </c>
      <c r="D3004" t="n">
        <v>3999.9</v>
      </c>
    </row>
    <row r="3005">
      <c r="A3005" s="90" t="n">
        <v>43829</v>
      </c>
      <c r="D3005" t="n">
        <v>3964.4</v>
      </c>
    </row>
    <row r="3006">
      <c r="A3006" s="90" t="n">
        <v>43831</v>
      </c>
      <c r="B3006" t="n">
        <v>1543.8</v>
      </c>
      <c r="C3006" t="n">
        <v>5954</v>
      </c>
      <c r="E3006" t="n">
        <v>15401.8</v>
      </c>
      <c r="F3006" t="n">
        <v>1.379</v>
      </c>
    </row>
    <row r="3007">
      <c r="A3007" s="90" t="n">
        <v>43836</v>
      </c>
      <c r="D3007" t="n">
        <v>3948.9</v>
      </c>
    </row>
    <row r="3008">
      <c r="A3008" s="90" t="n">
        <v>43843</v>
      </c>
      <c r="D3008" t="n">
        <v>3950.6</v>
      </c>
    </row>
    <row r="3009">
      <c r="A3009" s="90" t="n">
        <v>43850</v>
      </c>
      <c r="D3009" t="n">
        <v>3978.9</v>
      </c>
    </row>
    <row r="3010">
      <c r="A3010" s="90" t="n">
        <v>43857</v>
      </c>
      <c r="D3010" t="n">
        <v>3963.1</v>
      </c>
    </row>
    <row r="3011">
      <c r="A3011" s="90" t="n">
        <v>43862</v>
      </c>
      <c r="B3011" t="n">
        <v>1545.5</v>
      </c>
      <c r="C3011" t="n">
        <v>5968.4</v>
      </c>
      <c r="E3011" t="n">
        <v>15458.7</v>
      </c>
    </row>
    <row r="3012">
      <c r="A3012" s="90" t="n">
        <v>43864</v>
      </c>
      <c r="D3012" t="n">
        <v>4082.2</v>
      </c>
    </row>
    <row r="3013">
      <c r="A3013" s="90" t="n">
        <v>43871</v>
      </c>
      <c r="D3013" t="n">
        <v>4013.7</v>
      </c>
    </row>
    <row r="3014">
      <c r="A3014" s="90" t="n">
        <v>43878</v>
      </c>
      <c r="D3014" t="n">
        <v>3984.5</v>
      </c>
    </row>
    <row r="3015">
      <c r="A3015" s="90" t="n">
        <v>43885</v>
      </c>
      <c r="D3015" t="n">
        <v>3972.3</v>
      </c>
    </row>
    <row r="3016">
      <c r="A3016" s="90" t="n">
        <v>43891</v>
      </c>
      <c r="B3016" t="n">
        <v>1650.8</v>
      </c>
      <c r="C3016" t="n">
        <v>6193.2</v>
      </c>
      <c r="E3016" t="n">
        <v>15988.6</v>
      </c>
    </row>
    <row r="3017">
      <c r="A3017" s="90" t="n">
        <v>43892</v>
      </c>
      <c r="D3017" t="n">
        <v>4029.1</v>
      </c>
    </row>
    <row r="3018">
      <c r="A3018" s="90" t="n">
        <v>43899</v>
      </c>
      <c r="D3018" t="n">
        <v>4064.6</v>
      </c>
    </row>
    <row r="3019">
      <c r="A3019" s="90" t="n">
        <v>43906</v>
      </c>
      <c r="D3019" t="n">
        <v>4127.7</v>
      </c>
    </row>
    <row r="3020">
      <c r="A3020" s="90" t="n">
        <v>43913</v>
      </c>
      <c r="D3020" t="n">
        <v>4314.5</v>
      </c>
    </row>
    <row r="3021">
      <c r="A3021" s="90" t="n">
        <v>43920</v>
      </c>
      <c r="D3021" t="n">
        <v>4514</v>
      </c>
    </row>
    <row r="3022">
      <c r="A3022" s="90" t="n">
        <v>43922</v>
      </c>
      <c r="B3022" t="n">
        <v>1866.4</v>
      </c>
      <c r="C3022" t="n">
        <v>6639.2</v>
      </c>
      <c r="E3022" t="n">
        <v>17002.5</v>
      </c>
      <c r="F3022" t="n">
        <v>1.112</v>
      </c>
    </row>
    <row r="3023">
      <c r="A3023" s="90" t="n">
        <v>43927</v>
      </c>
      <c r="D3023" t="n">
        <v>4592.2</v>
      </c>
    </row>
    <row r="3024">
      <c r="A3024" s="90" t="n">
        <v>43934</v>
      </c>
      <c r="D3024" t="n">
        <v>4717.8</v>
      </c>
    </row>
    <row r="3025">
      <c r="A3025" s="90" t="n">
        <v>43941</v>
      </c>
      <c r="D3025" t="n">
        <v>4851.2</v>
      </c>
    </row>
    <row r="3026">
      <c r="A3026" s="90" t="n">
        <v>43948</v>
      </c>
      <c r="D3026" t="n">
        <v>4899.4</v>
      </c>
    </row>
    <row r="3027">
      <c r="A3027" s="90" t="n">
        <v>43952</v>
      </c>
      <c r="B3027" t="n">
        <v>6342.4</v>
      </c>
      <c r="C3027" t="n">
        <v>6968.4</v>
      </c>
      <c r="E3027" t="n">
        <v>17835.2</v>
      </c>
    </row>
    <row r="3028">
      <c r="A3028" s="90" t="n">
        <v>43955</v>
      </c>
      <c r="D3028" t="n">
        <v>15982.2</v>
      </c>
    </row>
    <row r="3029">
      <c r="A3029" s="90" t="n">
        <v>43962</v>
      </c>
      <c r="D3029" t="n">
        <v>16201.5</v>
      </c>
    </row>
    <row r="3030">
      <c r="A3030" s="90" t="n">
        <v>43969</v>
      </c>
      <c r="D3030" t="n">
        <v>16292.5</v>
      </c>
    </row>
    <row r="3031">
      <c r="A3031" s="90" t="n">
        <v>43976</v>
      </c>
      <c r="D3031" t="n">
        <v>16319.8</v>
      </c>
    </row>
    <row r="3032">
      <c r="A3032" s="90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90" t="n">
        <v>43990</v>
      </c>
      <c r="D3033" t="n">
        <v>16467.2</v>
      </c>
    </row>
    <row r="3034">
      <c r="A3034" s="90" t="n">
        <v>43997</v>
      </c>
      <c r="D3034" t="n">
        <v>16554.6</v>
      </c>
    </row>
    <row r="3035">
      <c r="A3035" s="90" t="n">
        <v>44004</v>
      </c>
      <c r="D3035" t="n">
        <v>16654.9</v>
      </c>
    </row>
    <row r="3036">
      <c r="A3036" s="90" t="n">
        <v>44011</v>
      </c>
      <c r="D3036" t="n">
        <v>16656.6</v>
      </c>
    </row>
    <row r="3037">
      <c r="A3037" s="90" t="n">
        <v>44013</v>
      </c>
      <c r="B3037" t="n">
        <v>6484</v>
      </c>
      <c r="C3037" t="n">
        <v>7069.5</v>
      </c>
      <c r="E3037" t="n">
        <v>18277.8</v>
      </c>
      <c r="F3037" t="n">
        <v>1.161</v>
      </c>
    </row>
    <row r="3038">
      <c r="A3038" s="90" t="n">
        <v>44018</v>
      </c>
      <c r="D3038" t="n">
        <v>16763.2</v>
      </c>
    </row>
    <row r="3039">
      <c r="A3039" s="90" t="n">
        <v>44025</v>
      </c>
      <c r="D3039" t="n">
        <v>16836.7</v>
      </c>
    </row>
    <row r="3040">
      <c r="A3040" s="90" t="n">
        <v>44032</v>
      </c>
      <c r="D3040" t="n">
        <v>16781.8</v>
      </c>
    </row>
    <row r="3041">
      <c r="A3041" s="90" t="n">
        <v>44039</v>
      </c>
      <c r="D3041" t="n">
        <v>16753.2</v>
      </c>
    </row>
    <row r="3042">
      <c r="A3042" s="90" t="n">
        <v>44044</v>
      </c>
      <c r="B3042" t="n">
        <v>6509.2</v>
      </c>
      <c r="C3042" t="n">
        <v>7072</v>
      </c>
      <c r="E3042" t="n">
        <v>18357.4</v>
      </c>
    </row>
    <row r="3043">
      <c r="A3043" s="90" t="n">
        <v>44046</v>
      </c>
      <c r="D3043" t="n">
        <v>16734.6</v>
      </c>
    </row>
    <row r="3044">
      <c r="A3044" s="90" t="n">
        <v>44053</v>
      </c>
      <c r="D3044" t="n">
        <v>16888.9</v>
      </c>
    </row>
    <row r="3045">
      <c r="A3045" s="90" t="n">
        <v>44060</v>
      </c>
      <c r="D3045" t="n">
        <v>16938.6</v>
      </c>
    </row>
    <row r="3046">
      <c r="A3046" s="90" t="n">
        <v>44067</v>
      </c>
      <c r="D3046" t="n">
        <v>16880.5</v>
      </c>
    </row>
    <row r="3047">
      <c r="A3047" s="90" t="n">
        <v>44074</v>
      </c>
      <c r="D3047" t="n">
        <v>16962.7</v>
      </c>
    </row>
    <row r="3048">
      <c r="A3048" s="90" t="n">
        <v>44075</v>
      </c>
      <c r="B3048" t="n">
        <v>6595.8</v>
      </c>
      <c r="C3048" t="n">
        <v>7139.1</v>
      </c>
      <c r="E3048" t="n">
        <v>18575.2</v>
      </c>
    </row>
    <row r="3049">
      <c r="A3049" s="90" t="n">
        <v>44081</v>
      </c>
      <c r="D3049" t="n">
        <v>17087.6</v>
      </c>
    </row>
    <row r="3050">
      <c r="A3050" s="90" t="n">
        <v>44088</v>
      </c>
      <c r="D3050" t="n">
        <v>17214.6</v>
      </c>
    </row>
    <row r="3051">
      <c r="A3051" s="90" t="n">
        <v>44095</v>
      </c>
      <c r="D3051" t="n">
        <v>17237.7</v>
      </c>
    </row>
    <row r="3052">
      <c r="A3052" s="90" t="n">
        <v>44102</v>
      </c>
      <c r="D3052" t="n">
        <v>17174.9</v>
      </c>
    </row>
    <row r="3053">
      <c r="A3053" s="90" t="n">
        <v>44105</v>
      </c>
      <c r="B3053" t="n">
        <v>6669.9</v>
      </c>
      <c r="C3053" t="n">
        <v>7196.3</v>
      </c>
      <c r="E3053" t="n">
        <v>18735.7</v>
      </c>
      <c r="F3053" t="n">
        <v>1.146</v>
      </c>
    </row>
    <row r="3054">
      <c r="A3054" s="90" t="n">
        <v>44109</v>
      </c>
      <c r="D3054" t="n">
        <v>17224.2</v>
      </c>
    </row>
    <row r="3055">
      <c r="A3055" s="90" t="n">
        <v>44116</v>
      </c>
      <c r="D3055" t="n">
        <v>17331.8</v>
      </c>
    </row>
    <row r="3056">
      <c r="A3056" s="90" t="n">
        <v>44123</v>
      </c>
      <c r="D3056" t="n">
        <v>17350.6</v>
      </c>
    </row>
    <row r="3057">
      <c r="A3057" s="90" t="n">
        <v>44130</v>
      </c>
      <c r="D3057" t="n">
        <v>17376.1</v>
      </c>
    </row>
    <row r="3058">
      <c r="A3058" s="90" t="n">
        <v>44136</v>
      </c>
      <c r="B3058" t="n">
        <v>6760.8</v>
      </c>
      <c r="C3058" t="n">
        <v>7275.9</v>
      </c>
      <c r="E3058" t="n">
        <v>18969.8</v>
      </c>
    </row>
    <row r="3059">
      <c r="A3059" s="90" t="n">
        <v>44137</v>
      </c>
      <c r="D3059" t="n">
        <v>17431.2</v>
      </c>
    </row>
    <row r="3060">
      <c r="A3060" s="90" t="n">
        <v>44144</v>
      </c>
      <c r="D3060" t="n">
        <v>17593.4</v>
      </c>
    </row>
    <row r="3061">
      <c r="A3061" s="90" t="n">
        <v>44151</v>
      </c>
      <c r="D3061" t="n">
        <v>17638.4</v>
      </c>
    </row>
    <row r="3062">
      <c r="A3062" s="90" t="n">
        <v>44158</v>
      </c>
      <c r="D3062" t="n">
        <v>17657.9</v>
      </c>
    </row>
    <row r="3063">
      <c r="A3063" s="90" t="n">
        <v>44165</v>
      </c>
      <c r="D3063" t="n">
        <v>17547.6</v>
      </c>
    </row>
    <row r="3064">
      <c r="A3064" s="90" t="n">
        <v>44166</v>
      </c>
      <c r="B3064" t="n">
        <v>6818.4</v>
      </c>
      <c r="C3064" t="n">
        <v>7311.7</v>
      </c>
      <c r="E3064" t="n">
        <v>19124.8</v>
      </c>
    </row>
    <row r="3065">
      <c r="A3065" s="90" t="n">
        <v>44172</v>
      </c>
      <c r="D3065" t="n">
        <v>17777.4</v>
      </c>
    </row>
    <row r="3066">
      <c r="A3066" s="90" t="n">
        <v>44179</v>
      </c>
      <c r="D3066" t="n">
        <v>17853.5</v>
      </c>
    </row>
    <row r="3067">
      <c r="A3067" s="90" t="n">
        <v>44186</v>
      </c>
      <c r="D3067" t="n">
        <v>17762.7</v>
      </c>
    </row>
    <row r="3068">
      <c r="A3068" s="90" t="n">
        <v>44193</v>
      </c>
      <c r="D3068" t="n">
        <v>17659.6</v>
      </c>
    </row>
    <row r="3069">
      <c r="A3069" s="90" t="n">
        <v>44197</v>
      </c>
      <c r="B3069" t="n">
        <v>6905.8</v>
      </c>
      <c r="C3069" t="n">
        <v>7388.4</v>
      </c>
      <c r="E3069" t="n">
        <v>19372.5</v>
      </c>
      <c r="F3069" t="n">
        <v>1.138</v>
      </c>
    </row>
    <row r="3070">
      <c r="A3070" s="90" t="n">
        <v>44200</v>
      </c>
      <c r="D3070" t="n">
        <v>17769.8</v>
      </c>
    </row>
    <row r="3071">
      <c r="A3071" s="90" t="n">
        <v>44207</v>
      </c>
      <c r="D3071" t="n">
        <v>18141.9</v>
      </c>
    </row>
    <row r="3072">
      <c r="A3072" s="90" t="n">
        <v>44214</v>
      </c>
      <c r="D3072" t="n">
        <v>18151</v>
      </c>
    </row>
    <row r="3073">
      <c r="A3073" s="90" t="n">
        <v>44221</v>
      </c>
      <c r="D3073" t="n">
        <v>18107.6</v>
      </c>
    </row>
    <row r="3074">
      <c r="A3074" s="90" t="n">
        <v>44228</v>
      </c>
      <c r="B3074" t="n">
        <v>6974.6</v>
      </c>
      <c r="C3074" t="n">
        <v>7448.5</v>
      </c>
      <c r="D3074" t="n">
        <v>18104.6</v>
      </c>
      <c r="E3074" t="n">
        <v>19615.2</v>
      </c>
    </row>
    <row r="3075">
      <c r="A3075" s="90" t="n">
        <v>44256</v>
      </c>
      <c r="B3075" t="n">
        <v>7033.7</v>
      </c>
      <c r="C3075" t="n">
        <v>7491.2</v>
      </c>
      <c r="E3075" t="n">
        <v>19853.8</v>
      </c>
    </row>
    <row r="3076">
      <c r="A3076" s="90" t="n">
        <v>44287</v>
      </c>
      <c r="B3076" t="n">
        <v>7096.2</v>
      </c>
      <c r="C3076" t="n">
        <v>7539.8</v>
      </c>
      <c r="E3076" t="n">
        <v>20110.7</v>
      </c>
      <c r="F3076" t="n">
        <v>1.134</v>
      </c>
    </row>
    <row r="3077">
      <c r="A3077" s="90" t="n">
        <v>44317</v>
      </c>
      <c r="B3077" t="n">
        <v>7170.4</v>
      </c>
      <c r="C3077" t="n">
        <v>7601.9</v>
      </c>
      <c r="E3077" t="n">
        <v>20418.7</v>
      </c>
    </row>
    <row r="3078">
      <c r="A3078" s="90" t="n">
        <v>44348</v>
      </c>
      <c r="B3078" t="n">
        <v>7130.2</v>
      </c>
      <c r="C3078" t="n">
        <v>7551.1</v>
      </c>
      <c r="E3078" t="n">
        <v>20460.1</v>
      </c>
    </row>
    <row r="3079">
      <c r="A3079" s="90" t="n">
        <v>44378</v>
      </c>
      <c r="B3079" t="n">
        <v>7161.3</v>
      </c>
      <c r="C3079" t="n">
        <v>7574</v>
      </c>
      <c r="E3079" t="n">
        <v>20615.3</v>
      </c>
      <c r="F3079" t="n">
        <v>1.132</v>
      </c>
    </row>
    <row r="3080">
      <c r="A3080" s="90" t="n">
        <v>44409</v>
      </c>
      <c r="B3080" t="n">
        <v>7224.2</v>
      </c>
      <c r="C3080" t="n">
        <v>7629.4</v>
      </c>
      <c r="E3080" t="n">
        <v>20835.3</v>
      </c>
    </row>
    <row r="3081">
      <c r="A3081" s="90" t="n">
        <v>44440</v>
      </c>
      <c r="B3081" t="n">
        <v>7247.1</v>
      </c>
      <c r="C3081" t="n">
        <v>7645.8</v>
      </c>
      <c r="E3081" t="n">
        <v>20965.8</v>
      </c>
    </row>
    <row r="3082">
      <c r="A3082" s="90" t="n">
        <v>44470</v>
      </c>
      <c r="B3082" t="n">
        <v>7253.9</v>
      </c>
      <c r="C3082" t="n">
        <v>7644.5</v>
      </c>
      <c r="E3082" t="n">
        <v>21143.9</v>
      </c>
      <c r="F3082" t="n">
        <v>1.142</v>
      </c>
    </row>
    <row r="3083">
      <c r="A3083" s="90" t="n">
        <v>44501</v>
      </c>
      <c r="B3083" t="n">
        <v>7281.1</v>
      </c>
      <c r="C3083" t="n">
        <v>7665.2</v>
      </c>
      <c r="E3083" t="n">
        <v>21349.3</v>
      </c>
    </row>
    <row r="3084">
      <c r="A3084" s="90" t="n">
        <v>44531</v>
      </c>
      <c r="B3084" t="n">
        <v>7293.4</v>
      </c>
      <c r="C3084" t="n">
        <v>7671.5</v>
      </c>
      <c r="E3084" t="n">
        <v>21489.9</v>
      </c>
    </row>
    <row r="3085">
      <c r="A3085" s="90" t="n">
        <v>44562</v>
      </c>
      <c r="B3085" t="n">
        <v>7301.6</v>
      </c>
      <c r="C3085" t="n">
        <v>7679</v>
      </c>
      <c r="E3085" t="n">
        <v>21649.6</v>
      </c>
      <c r="F3085" t="n">
        <v>1.14</v>
      </c>
    </row>
    <row r="3086">
      <c r="A3086" s="90" t="n">
        <v>44593</v>
      </c>
      <c r="B3086" t="n">
        <v>7270.4</v>
      </c>
      <c r="C3086" t="n">
        <v>7638.9</v>
      </c>
      <c r="E3086" t="n">
        <v>21708.4</v>
      </c>
    </row>
    <row r="3087">
      <c r="A3087" s="90" t="n">
        <v>44621</v>
      </c>
      <c r="B3087" t="n">
        <v>7194.5</v>
      </c>
      <c r="C3087" t="n">
        <v>7556.2</v>
      </c>
      <c r="E3087" t="n">
        <v>21739.7</v>
      </c>
    </row>
    <row r="3088">
      <c r="A3088" s="90" t="n">
        <v>44652</v>
      </c>
      <c r="B3088" t="n">
        <v>7142.4</v>
      </c>
      <c r="C3088" t="n">
        <v>7498.1</v>
      </c>
      <c r="E3088" t="n">
        <v>21644.2</v>
      </c>
      <c r="F3088" t="n">
        <v>1.167</v>
      </c>
    </row>
    <row r="3089">
      <c r="A3089" s="90" t="n">
        <v>44682</v>
      </c>
      <c r="B3089" t="n">
        <v>7077.1</v>
      </c>
      <c r="C3089" t="n">
        <v>7427.5</v>
      </c>
      <c r="E3089" t="n">
        <v>21649.2</v>
      </c>
    </row>
    <row r="3090">
      <c r="A3090" s="90" t="n">
        <v>44713</v>
      </c>
      <c r="B3090" t="n">
        <v>6960.6</v>
      </c>
      <c r="C3090" t="n">
        <v>7316.5</v>
      </c>
      <c r="E3090" t="n">
        <v>21607.6</v>
      </c>
    </row>
    <row r="3091">
      <c r="A3091" s="90" t="n">
        <v>44743</v>
      </c>
      <c r="B3091" t="n">
        <v>6953.8</v>
      </c>
      <c r="C3091" t="n">
        <v>7327.5</v>
      </c>
      <c r="E3091" t="n">
        <v>21636.1</v>
      </c>
      <c r="F3091" t="n">
        <v>1.189</v>
      </c>
    </row>
    <row r="3092">
      <c r="A3092" s="90" t="n">
        <v>44774</v>
      </c>
      <c r="B3092" t="n">
        <v>6925.3</v>
      </c>
      <c r="C3092" t="n">
        <v>7317.6</v>
      </c>
      <c r="E3092" t="n">
        <v>21632.3</v>
      </c>
    </row>
    <row r="3093">
      <c r="A3093" s="90" t="n">
        <v>44805</v>
      </c>
      <c r="B3093" t="n">
        <v>6835</v>
      </c>
      <c r="C3093" t="n">
        <v>7246.1</v>
      </c>
      <c r="E3093" t="n">
        <v>21503.5</v>
      </c>
    </row>
    <row r="3094">
      <c r="A3094" s="90" t="n">
        <v>44835</v>
      </c>
      <c r="B3094" t="n">
        <v>6743.5</v>
      </c>
      <c r="C3094" t="n">
        <v>7184.8</v>
      </c>
      <c r="E3094" t="n">
        <v>21415.2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58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7" min="1" max="1"/>
    <col width="9.1640625" customWidth="1" style="77" min="2" max="3"/>
    <col width="10.6640625" bestFit="1" customWidth="1" style="77" min="4" max="4"/>
    <col width="9.1640625" customWidth="1" style="77" min="5" max="29"/>
    <col width="9.1640625" customWidth="1" style="77" min="30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90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90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90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90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90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90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90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90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90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90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90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90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90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90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90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90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90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90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90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90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90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90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90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90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90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90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90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90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90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90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90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90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90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90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90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90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90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90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90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90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90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90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90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90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90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90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90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90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90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90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90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90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90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90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90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90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90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90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90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90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90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90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90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90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90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90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90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90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90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90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90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90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90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90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90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90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90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90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90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90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90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90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90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90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90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90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90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90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90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90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90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90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90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90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90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90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90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90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90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90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90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90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90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90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90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90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90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90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90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90" t="n">
        <v>21947</v>
      </c>
      <c r="B111" t="n">
        <v>0.394589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90" t="n">
        <v>21976</v>
      </c>
      <c r="B112" t="n">
        <v>0.3977549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90" t="n">
        <v>22007</v>
      </c>
      <c r="B113" t="n">
        <v>0.4003325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90" t="n">
        <v>22037</v>
      </c>
      <c r="B114" t="n">
        <v>0.4047872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90" t="n">
        <v>22068</v>
      </c>
      <c r="B115" t="n">
        <v>0.4070285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90" t="n">
        <v>22098</v>
      </c>
      <c r="B116" t="n">
        <v>0.4082052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90" t="n">
        <v>22129</v>
      </c>
      <c r="B117" t="n">
        <v>0.4096901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90" t="n">
        <v>22160</v>
      </c>
      <c r="B118" t="n">
        <v>0.4099703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90" t="n">
        <v>22190</v>
      </c>
      <c r="B119" t="n">
        <v>0.4107547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90" t="n">
        <v>22221</v>
      </c>
      <c r="B120" t="n">
        <v>0.4103345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90" t="n">
        <v>22251</v>
      </c>
      <c r="B121" t="n">
        <v>0.4091858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90" t="n">
        <v>22282</v>
      </c>
      <c r="B122" t="n">
        <v>0.407897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90" t="n">
        <v>22313</v>
      </c>
      <c r="B123" t="n">
        <v>0.4071966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90" t="n">
        <v>22341</v>
      </c>
      <c r="B124" t="n">
        <v>0.4070285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90" t="n">
        <v>22372</v>
      </c>
      <c r="B125" t="n">
        <v>0.4090737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90" t="n">
        <v>22402</v>
      </c>
      <c r="B126" t="n">
        <v>0.4121836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90" t="n">
        <v>22433</v>
      </c>
      <c r="B127" t="n">
        <v>0.4138086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90" t="n">
        <v>22463</v>
      </c>
      <c r="B128" t="n">
        <v>0.4156297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90" t="n">
        <v>22494</v>
      </c>
      <c r="B129" t="n">
        <v>0.4170585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90" t="n">
        <v>22525</v>
      </c>
      <c r="B130" t="n">
        <v>0.4196921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90" t="n">
        <v>22555</v>
      </c>
      <c r="B131" t="n">
        <v>0.4231382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90" t="n">
        <v>22586</v>
      </c>
      <c r="B132" t="n">
        <v>0.424455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90" t="n">
        <v>22616</v>
      </c>
      <c r="B133" t="n">
        <v>0.4264441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90" t="n">
        <v>22647</v>
      </c>
      <c r="B134" t="n">
        <v>0.4296661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90" t="n">
        <v>22678</v>
      </c>
      <c r="B135" t="n">
        <v>0.4324397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90" t="n">
        <v>22706</v>
      </c>
      <c r="B136" t="n">
        <v>0.4358578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90" t="n">
        <v>22737</v>
      </c>
      <c r="B137" t="n">
        <v>0.4392198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90" t="n">
        <v>22767</v>
      </c>
      <c r="B138" t="n">
        <v>0.4415452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90" t="n">
        <v>22798</v>
      </c>
      <c r="B139" t="n">
        <v>0.4440667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90" t="n">
        <v>22828</v>
      </c>
      <c r="B140" t="n">
        <v>0.4482132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90" t="n">
        <v>22859</v>
      </c>
      <c r="B141" t="n">
        <v>0.4506227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90" t="n">
        <v>22890</v>
      </c>
      <c r="B142" t="n">
        <v>0.452752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90" t="n">
        <v>22920</v>
      </c>
      <c r="B143" t="n">
        <v>0.4560019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90" t="n">
        <v>22951</v>
      </c>
      <c r="B144" t="n">
        <v>0.4583553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90" t="n">
        <v>22981</v>
      </c>
      <c r="B145" t="n">
        <v>0.461129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90" t="n">
        <v>23012</v>
      </c>
      <c r="B146" t="n">
        <v>0.4639867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90" t="n">
        <v>23043</v>
      </c>
      <c r="B147" t="n">
        <v>0.4669565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90" t="n">
        <v>23071</v>
      </c>
      <c r="B148" t="n">
        <v>0.4707388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90" t="n">
        <v>23102</v>
      </c>
      <c r="B149" t="n">
        <v>0.4747732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90" t="n">
        <v>23132</v>
      </c>
      <c r="B150" t="n">
        <v>0.477883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90" t="n">
        <v>23163</v>
      </c>
      <c r="B151" t="n">
        <v>0.4817213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90" t="n">
        <v>23193</v>
      </c>
      <c r="B152" t="n">
        <v>0.486148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90" t="n">
        <v>23224</v>
      </c>
      <c r="B153" t="n">
        <v>0.4900984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90" t="n">
        <v>23255</v>
      </c>
      <c r="B154" t="n">
        <v>0.4941048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90" t="n">
        <v>23285</v>
      </c>
      <c r="B155" t="n">
        <v>0.4972707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90" t="n">
        <v>23316</v>
      </c>
      <c r="B156" t="n">
        <v>0.5021456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90" t="n">
        <v>23346</v>
      </c>
      <c r="B157" t="n">
        <v>0.5085895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90" t="n">
        <v>23377</v>
      </c>
      <c r="B158" t="n">
        <v>0.5132683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90" t="n">
        <v>23408</v>
      </c>
      <c r="B159" t="n">
        <v>0.5172186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90" t="n">
        <v>23437</v>
      </c>
      <c r="B160" t="n">
        <v>0.5236906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90" t="n">
        <v>23468</v>
      </c>
      <c r="B161" t="n">
        <v>0.5301344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90" t="n">
        <v>23498</v>
      </c>
      <c r="B162" t="n">
        <v>0.5353175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90" t="n">
        <v>23529</v>
      </c>
      <c r="B163" t="n">
        <v>0.541033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90" t="n">
        <v>23559</v>
      </c>
      <c r="B164" t="n">
        <v>0.5457118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90" t="n">
        <v>23590</v>
      </c>
      <c r="B165" t="n">
        <v>0.5506988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90" t="n">
        <v>23621</v>
      </c>
      <c r="B166" t="n">
        <v>0.5552095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90" t="n">
        <v>23651</v>
      </c>
      <c r="B167" t="n">
        <v>0.5590478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90" t="n">
        <v>23682</v>
      </c>
      <c r="B168" t="n">
        <v>0.5636706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90" t="n">
        <v>23712</v>
      </c>
      <c r="B169" t="n">
        <v>0.5669485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90" t="n">
        <v>23743</v>
      </c>
      <c r="B170" t="n">
        <v>0.569414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90" t="n">
        <v>23774</v>
      </c>
      <c r="B171" t="n">
        <v>0.5732523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90" t="n">
        <v>23802</v>
      </c>
      <c r="B172" t="n">
        <v>0.5791919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90" t="n">
        <v>23833</v>
      </c>
      <c r="B173" t="n">
        <v>0.58275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0.1688954</v>
      </c>
    </row>
    <row r="174">
      <c r="A174" s="90" t="n">
        <v>23863</v>
      </c>
      <c r="B174" t="n">
        <v>0.58275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0.1700497</v>
      </c>
    </row>
    <row r="175">
      <c r="A175" s="90" t="n">
        <v>23894</v>
      </c>
      <c r="B175" t="n">
        <v>0.5855517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0.1692102</v>
      </c>
    </row>
    <row r="176">
      <c r="A176" s="90" t="n">
        <v>23924</v>
      </c>
      <c r="B176" t="n">
        <v>0.5883534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0.1689828</v>
      </c>
    </row>
    <row r="177">
      <c r="A177" s="90" t="n">
        <v>23955</v>
      </c>
      <c r="B177" t="n">
        <v>0.5883534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0.169455</v>
      </c>
    </row>
    <row r="178">
      <c r="A178" s="90" t="n">
        <v>23986</v>
      </c>
      <c r="B178" t="n">
        <v>0.5883534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0.1691577</v>
      </c>
    </row>
    <row r="179">
      <c r="A179" s="90" t="n">
        <v>24016</v>
      </c>
      <c r="B179" t="n">
        <v>0.5911551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0.1697698</v>
      </c>
    </row>
    <row r="180">
      <c r="A180" s="90" t="n">
        <v>24047</v>
      </c>
      <c r="B180" t="n">
        <v>0.5939568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0.1707143</v>
      </c>
    </row>
    <row r="181">
      <c r="A181" s="90" t="n">
        <v>24077</v>
      </c>
      <c r="B181" t="n">
        <v>0.5967584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0.171921</v>
      </c>
    </row>
    <row r="182">
      <c r="A182" s="90" t="n">
        <v>24108</v>
      </c>
      <c r="B182" t="n">
        <v>0.5995601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0.172848</v>
      </c>
    </row>
    <row r="183">
      <c r="A183" s="90" t="n">
        <v>24139</v>
      </c>
      <c r="B183" t="n">
        <v>0.6051635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0.1734076</v>
      </c>
    </row>
    <row r="184">
      <c r="A184" s="90" t="n">
        <v>24167</v>
      </c>
      <c r="B184" t="n">
        <v>0.6107669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0.1738274</v>
      </c>
    </row>
    <row r="185">
      <c r="A185" s="90" t="n">
        <v>24198</v>
      </c>
      <c r="B185" t="n">
        <v>0.6107669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0.1750516</v>
      </c>
    </row>
    <row r="186">
      <c r="A186" s="90" t="n">
        <v>24228</v>
      </c>
      <c r="B186" t="n">
        <v>0.6135685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0.1777275</v>
      </c>
    </row>
    <row r="187">
      <c r="A187" s="90" t="n">
        <v>24259</v>
      </c>
      <c r="B187" t="n">
        <v>0.6191719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0.1802635</v>
      </c>
    </row>
    <row r="188">
      <c r="A188" s="90" t="n">
        <v>24289</v>
      </c>
      <c r="B188" t="n">
        <v>0.6219736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0.1830618</v>
      </c>
    </row>
    <row r="189">
      <c r="A189" s="90" t="n">
        <v>24320</v>
      </c>
      <c r="B189" t="n">
        <v>0.6247753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0.184426</v>
      </c>
    </row>
    <row r="190">
      <c r="A190" s="90" t="n">
        <v>24351</v>
      </c>
      <c r="B190" t="n">
        <v>0.6303787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0.1855278</v>
      </c>
    </row>
    <row r="191">
      <c r="A191" s="90" t="n">
        <v>24381</v>
      </c>
      <c r="B191" t="n">
        <v>0.635982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0.1870319</v>
      </c>
    </row>
    <row r="192">
      <c r="A192" s="90" t="n">
        <v>24412</v>
      </c>
      <c r="B192" t="n">
        <v>0.6415854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0.1872418</v>
      </c>
    </row>
    <row r="193">
      <c r="A193" s="90" t="n">
        <v>24442</v>
      </c>
      <c r="B193" t="n">
        <v>0.6443871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0.1880113</v>
      </c>
    </row>
    <row r="194">
      <c r="A194" s="90" t="n">
        <v>24473</v>
      </c>
      <c r="B194" t="n">
        <v>0.6471887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0.1895154</v>
      </c>
    </row>
    <row r="195">
      <c r="A195" s="90" t="n">
        <v>24504</v>
      </c>
      <c r="B195" t="n">
        <v>0.6527921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0.190145</v>
      </c>
    </row>
    <row r="196">
      <c r="A196" s="90" t="n">
        <v>24532</v>
      </c>
      <c r="B196" t="n">
        <v>0.6583955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0.1908971</v>
      </c>
    </row>
    <row r="197">
      <c r="A197" s="90" t="n">
        <v>24563</v>
      </c>
      <c r="B197" t="n">
        <v>0.6583955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0.1920863</v>
      </c>
    </row>
    <row r="198">
      <c r="A198" s="90" t="n">
        <v>24593</v>
      </c>
      <c r="B198" t="n">
        <v>0.6611972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0.192716</v>
      </c>
    </row>
    <row r="199">
      <c r="A199" s="90" t="n">
        <v>24624</v>
      </c>
      <c r="B199" t="n">
        <v>0.6696022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0.1942026</v>
      </c>
    </row>
    <row r="200">
      <c r="A200" s="90" t="n">
        <v>24654</v>
      </c>
      <c r="B200" t="n">
        <v>0.6752056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0.1954793</v>
      </c>
    </row>
    <row r="201">
      <c r="A201" s="90" t="n">
        <v>24685</v>
      </c>
      <c r="B201" t="n">
        <v>0.680809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0.1961614</v>
      </c>
    </row>
    <row r="202">
      <c r="A202" s="90" t="n">
        <v>24716</v>
      </c>
      <c r="B202" t="n">
        <v>0.6864123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0.1964762</v>
      </c>
    </row>
    <row r="203">
      <c r="A203" s="90" t="n">
        <v>24746</v>
      </c>
      <c r="B203" t="n">
        <v>0.689214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0.196721</v>
      </c>
    </row>
    <row r="204">
      <c r="A204" s="90" t="n">
        <v>24777</v>
      </c>
      <c r="B204" t="n">
        <v>0.6920156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0.1986624</v>
      </c>
    </row>
    <row r="205">
      <c r="A205" s="90" t="n">
        <v>24807</v>
      </c>
      <c r="B205" t="n">
        <v>0.697619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0.2013382</v>
      </c>
    </row>
    <row r="206">
      <c r="A206" s="90" t="n">
        <v>24838</v>
      </c>
      <c r="B206" t="n">
        <v>0.7032224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0.2036294</v>
      </c>
    </row>
    <row r="207">
      <c r="A207" s="90" t="n">
        <v>24869</v>
      </c>
      <c r="B207" t="n">
        <v>0.7060241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0.2049935</v>
      </c>
    </row>
    <row r="208">
      <c r="A208" s="90" t="n">
        <v>24898</v>
      </c>
      <c r="B208" t="n">
        <v>0.7088258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0.2060254</v>
      </c>
    </row>
    <row r="209">
      <c r="A209" s="90" t="n">
        <v>24929</v>
      </c>
      <c r="B209" t="n">
        <v>0.7116274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0.2080892</v>
      </c>
    </row>
    <row r="210">
      <c r="A210" s="90" t="n">
        <v>24959</v>
      </c>
      <c r="B210" t="n">
        <v>0.7144291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0.2107825</v>
      </c>
    </row>
    <row r="211">
      <c r="A211" s="90" t="n">
        <v>24990</v>
      </c>
      <c r="B211" t="n">
        <v>0.7228342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0.213301</v>
      </c>
    </row>
    <row r="212">
      <c r="A212" s="90" t="n">
        <v>25020</v>
      </c>
      <c r="B212" t="n">
        <v>0.7312393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0.2157845</v>
      </c>
    </row>
    <row r="213">
      <c r="A213" s="90" t="n">
        <v>25051</v>
      </c>
      <c r="B213" t="n">
        <v>0.7340409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0.2183729</v>
      </c>
    </row>
    <row r="214">
      <c r="A214" s="90" t="n">
        <v>25082</v>
      </c>
      <c r="B214" t="n">
        <v>0.7368426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0.2206815</v>
      </c>
    </row>
    <row r="215">
      <c r="A215" s="90" t="n">
        <v>25112</v>
      </c>
      <c r="B215" t="n">
        <v>0.7424459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0.2229377</v>
      </c>
    </row>
    <row r="216">
      <c r="A216" s="90" t="n">
        <v>25143</v>
      </c>
      <c r="B216" t="n">
        <v>0.7452477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0.2277822</v>
      </c>
    </row>
    <row r="217">
      <c r="A217" s="90" t="n">
        <v>25173</v>
      </c>
      <c r="B217" t="n">
        <v>0.7480493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0.2299859</v>
      </c>
    </row>
    <row r="218">
      <c r="A218" s="90" t="n">
        <v>25204</v>
      </c>
      <c r="B218" t="n">
        <v>0.7564543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0.2295837</v>
      </c>
    </row>
    <row r="219">
      <c r="A219" s="90" t="n">
        <v>25235</v>
      </c>
      <c r="B219" t="n">
        <v>0.7648594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0.2324869</v>
      </c>
    </row>
    <row r="220">
      <c r="A220" s="90" t="n">
        <v>25263</v>
      </c>
      <c r="B220" t="n">
        <v>0.7704628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0.2356175</v>
      </c>
    </row>
    <row r="221">
      <c r="A221" s="90" t="n">
        <v>25294</v>
      </c>
      <c r="B221" t="n">
        <v>0.7760662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0.2371566</v>
      </c>
    </row>
    <row r="222">
      <c r="A222" s="90" t="n">
        <v>25324</v>
      </c>
      <c r="B222" t="n">
        <v>0.7816695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0.2386257</v>
      </c>
    </row>
    <row r="223">
      <c r="A223" s="90" t="n">
        <v>25355</v>
      </c>
      <c r="B223" t="n">
        <v>0.7900746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0.2386257</v>
      </c>
    </row>
    <row r="224">
      <c r="A224" s="90" t="n">
        <v>25385</v>
      </c>
      <c r="B224" t="n">
        <v>0.7984796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0.2374539</v>
      </c>
    </row>
    <row r="225">
      <c r="A225" s="90" t="n">
        <v>25416</v>
      </c>
      <c r="B225" t="n">
        <v>0.804083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0.2387481</v>
      </c>
    </row>
    <row r="226">
      <c r="A226" s="90" t="n">
        <v>25447</v>
      </c>
      <c r="B226" t="n">
        <v>0.8068846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0.2428406</v>
      </c>
    </row>
    <row r="227">
      <c r="A227" s="90" t="n">
        <v>25477</v>
      </c>
      <c r="B227" t="n">
        <v>0.8096864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0.2474229</v>
      </c>
    </row>
    <row r="228">
      <c r="A228" s="90" t="n">
        <v>25508</v>
      </c>
      <c r="B228" t="n">
        <v>0.8152897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0.2506059</v>
      </c>
    </row>
    <row r="229">
      <c r="A229" s="90" t="n">
        <v>25538</v>
      </c>
      <c r="B229" t="n">
        <v>0.8208931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0.2536141</v>
      </c>
    </row>
    <row r="230">
      <c r="A230" s="90" t="n">
        <v>25569</v>
      </c>
      <c r="B230" t="n">
        <v>0.8236947999999999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0.2541913</v>
      </c>
    </row>
    <row r="231">
      <c r="A231" s="90" t="n">
        <v>25600</v>
      </c>
      <c r="B231" t="n">
        <v>0.8264964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0.253072</v>
      </c>
    </row>
    <row r="232">
      <c r="A232" s="90" t="n">
        <v>25628</v>
      </c>
      <c r="B232" t="n">
        <v>0.8320997999999999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0.255468</v>
      </c>
    </row>
    <row r="233">
      <c r="A233" s="90" t="n">
        <v>25659</v>
      </c>
      <c r="B233" t="n">
        <v>0.8349015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0.2588085</v>
      </c>
    </row>
    <row r="234">
      <c r="A234" s="90" t="n">
        <v>25689</v>
      </c>
      <c r="B234" t="n">
        <v>0.8377032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0.2605574</v>
      </c>
    </row>
    <row r="235">
      <c r="A235" s="90" t="n">
        <v>25720</v>
      </c>
      <c r="B235" t="n">
        <v>0.8405049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0.262971</v>
      </c>
    </row>
    <row r="236">
      <c r="A236" s="90" t="n">
        <v>25750</v>
      </c>
      <c r="B236" t="n">
        <v>0.8433065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0.2652621</v>
      </c>
    </row>
    <row r="237">
      <c r="A237" s="90" t="n">
        <v>25781</v>
      </c>
      <c r="B237" t="n">
        <v>0.8461083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0.266294</v>
      </c>
    </row>
    <row r="238">
      <c r="A238" s="90" t="n">
        <v>25812</v>
      </c>
      <c r="B238" t="n">
        <v>0.8489099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0.2679904</v>
      </c>
    </row>
    <row r="239">
      <c r="A239" s="90" t="n">
        <v>25842</v>
      </c>
      <c r="B239" t="n">
        <v>0.8517116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0.2705439</v>
      </c>
    </row>
    <row r="240">
      <c r="A240" s="90" t="n">
        <v>25873</v>
      </c>
      <c r="B240" t="n">
        <v>0.8545133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0.2720655</v>
      </c>
    </row>
    <row r="241">
      <c r="A241" s="90" t="n">
        <v>25903</v>
      </c>
      <c r="B241" t="n">
        <v>0.8601167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0.2735346</v>
      </c>
    </row>
    <row r="242">
      <c r="A242" s="90" t="n">
        <v>25934</v>
      </c>
      <c r="B242" t="n">
        <v>0.8629183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0.2764903</v>
      </c>
    </row>
    <row r="243">
      <c r="A243" s="90" t="n">
        <v>25965</v>
      </c>
      <c r="B243" t="n">
        <v>0.8685217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0.2787989</v>
      </c>
    </row>
    <row r="244">
      <c r="A244" s="90" t="n">
        <v>25993</v>
      </c>
      <c r="B244" t="n">
        <v>0.8769266999999999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0.2806353</v>
      </c>
    </row>
    <row r="245">
      <c r="A245" s="90" t="n">
        <v>26024</v>
      </c>
      <c r="B245" t="n">
        <v>0.8825301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0.2831888</v>
      </c>
    </row>
    <row r="246">
      <c r="A246" s="90" t="n">
        <v>26054</v>
      </c>
      <c r="B246" t="n">
        <v>0.8909352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0.2858297</v>
      </c>
    </row>
    <row r="247">
      <c r="A247" s="90" t="n">
        <v>26085</v>
      </c>
      <c r="B247" t="n">
        <v>0.8993402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0.2870889</v>
      </c>
    </row>
    <row r="248">
      <c r="A248" s="90" t="n">
        <v>26115</v>
      </c>
      <c r="B248" t="n">
        <v>0.9021419000000001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0.2871064</v>
      </c>
    </row>
    <row r="249">
      <c r="A249" s="90" t="n">
        <v>26146</v>
      </c>
      <c r="B249" t="n">
        <v>0.9077452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0.2894675</v>
      </c>
    </row>
    <row r="250">
      <c r="A250" s="90" t="n">
        <v>26177</v>
      </c>
      <c r="B250" t="n">
        <v>0.918952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0.2917936</v>
      </c>
    </row>
    <row r="251">
      <c r="A251" s="90" t="n">
        <v>26207</v>
      </c>
      <c r="B251" t="n">
        <v>0.927357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0.2930528</v>
      </c>
    </row>
    <row r="252">
      <c r="A252" s="90" t="n">
        <v>26238</v>
      </c>
      <c r="B252" t="n">
        <v>0.9301587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0.295169</v>
      </c>
    </row>
    <row r="253">
      <c r="A253" s="90" t="n">
        <v>26268</v>
      </c>
      <c r="B253" t="n">
        <v>0.9357621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0.2974776</v>
      </c>
    </row>
    <row r="254">
      <c r="A254" s="90" t="n">
        <v>26299</v>
      </c>
      <c r="B254" t="n">
        <v>0.9441671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0.2997512</v>
      </c>
    </row>
    <row r="255">
      <c r="A255" s="90" t="n">
        <v>26330</v>
      </c>
      <c r="B255" t="n">
        <v>0.9525722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0.3028294</v>
      </c>
    </row>
    <row r="256">
      <c r="A256" s="90" t="n">
        <v>26359</v>
      </c>
      <c r="B256" t="n">
        <v>0.9609773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0.3056802</v>
      </c>
    </row>
    <row r="257">
      <c r="A257" s="90" t="n">
        <v>26390</v>
      </c>
      <c r="B257" t="n">
        <v>0.9693823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0.3074116</v>
      </c>
    </row>
    <row r="258">
      <c r="A258" s="90" t="n">
        <v>26420</v>
      </c>
      <c r="B258" t="n">
        <v>0.980589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0.3094404</v>
      </c>
    </row>
    <row r="259">
      <c r="A259" s="90" t="n">
        <v>26451</v>
      </c>
      <c r="B259" t="n">
        <v>0.9917956999999999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0.3136203</v>
      </c>
    </row>
    <row r="260">
      <c r="A260" s="90" t="n">
        <v>26481</v>
      </c>
      <c r="B260" t="n">
        <v>1.008606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0.3195668</v>
      </c>
    </row>
    <row r="261">
      <c r="A261" s="90" t="n">
        <v>26512</v>
      </c>
      <c r="B261" t="n">
        <v>1.031019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0.325758</v>
      </c>
    </row>
    <row r="262">
      <c r="A262" s="90" t="n">
        <v>26543</v>
      </c>
      <c r="B262" t="n">
        <v>1.050631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0.3313371</v>
      </c>
    </row>
    <row r="263">
      <c r="A263" s="90" t="n">
        <v>26573</v>
      </c>
      <c r="B263" t="n">
        <v>1.070243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</v>
      </c>
    </row>
    <row r="264">
      <c r="A264" s="90" t="n">
        <v>26604</v>
      </c>
      <c r="B264" t="n">
        <v>1.089855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0.3392948</v>
      </c>
    </row>
    <row r="265">
      <c r="A265" s="90" t="n">
        <v>26634</v>
      </c>
      <c r="B265" t="n">
        <v>1.112268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0.3462381</v>
      </c>
    </row>
    <row r="266">
      <c r="A266" s="90" t="n">
        <v>26665</v>
      </c>
      <c r="B266" t="n">
        <v>1.134682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0.3502082</v>
      </c>
    </row>
    <row r="267">
      <c r="A267" s="90" t="n">
        <v>26696</v>
      </c>
      <c r="B267" t="n">
        <v>1.154293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0.353059</v>
      </c>
    </row>
    <row r="268">
      <c r="A268" s="90" t="n">
        <v>26724</v>
      </c>
      <c r="B268" t="n">
        <v>1.171103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0.3598799</v>
      </c>
    </row>
    <row r="269">
      <c r="A269" s="90" t="n">
        <v>26755</v>
      </c>
      <c r="B269" t="n">
        <v>1.190715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0.3686596</v>
      </c>
    </row>
    <row r="270">
      <c r="A270" s="90" t="n">
        <v>26785</v>
      </c>
      <c r="B270" t="n">
        <v>1.218732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0.3780164</v>
      </c>
    </row>
    <row r="271">
      <c r="A271" s="90" t="n">
        <v>26816</v>
      </c>
      <c r="B271" t="n">
        <v>1.243947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0.386149</v>
      </c>
    </row>
    <row r="272">
      <c r="A272" s="90" t="n">
        <v>26846</v>
      </c>
      <c r="B272" t="n">
        <v>1.269162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0.3931623</v>
      </c>
    </row>
    <row r="273">
      <c r="A273" s="90" t="n">
        <v>26877</v>
      </c>
      <c r="B273" t="n">
        <v>1.294377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0.3998782</v>
      </c>
    </row>
    <row r="274">
      <c r="A274" s="90" t="n">
        <v>26908</v>
      </c>
      <c r="B274" t="n">
        <v>1.316791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0.4068914</v>
      </c>
    </row>
    <row r="275">
      <c r="A275" s="90" t="n">
        <v>26938</v>
      </c>
      <c r="B275" t="n">
        <v>1.333601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0.4123656</v>
      </c>
    </row>
    <row r="276">
      <c r="A276" s="90" t="n">
        <v>26969</v>
      </c>
      <c r="B276" t="n">
        <v>1.339204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0.4154438</v>
      </c>
    </row>
    <row r="277">
      <c r="A277" s="90" t="n">
        <v>26999</v>
      </c>
      <c r="B277" t="n">
        <v>1.350411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0.4191166</v>
      </c>
    </row>
    <row r="278">
      <c r="A278" s="90" t="n">
        <v>27030</v>
      </c>
      <c r="B278" t="n">
        <v>1.367221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0.4235764</v>
      </c>
    </row>
    <row r="279">
      <c r="A279" s="90" t="n">
        <v>27061</v>
      </c>
      <c r="B279" t="n">
        <v>1.384031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0.4299075</v>
      </c>
    </row>
    <row r="280">
      <c r="A280" s="90" t="n">
        <v>27089</v>
      </c>
      <c r="B280" t="n">
        <v>1.400841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0.4375679</v>
      </c>
    </row>
    <row r="281">
      <c r="A281" s="90" t="n">
        <v>27120</v>
      </c>
      <c r="B281" t="n">
        <v>1.412048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0.4440565</v>
      </c>
    </row>
    <row r="282">
      <c r="A282" s="90" t="n">
        <v>27150</v>
      </c>
      <c r="B282" t="n">
        <v>1.428858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0.4505275</v>
      </c>
    </row>
    <row r="283">
      <c r="A283" s="90" t="n">
        <v>27181</v>
      </c>
      <c r="B283" t="n">
        <v>1.428858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0.4575408</v>
      </c>
    </row>
    <row r="284">
      <c r="A284" s="90" t="n">
        <v>27211</v>
      </c>
      <c r="B284" t="n">
        <v>1.409246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0.4620356</v>
      </c>
    </row>
    <row r="285">
      <c r="A285" s="90" t="n">
        <v>27242</v>
      </c>
      <c r="B285" t="n">
        <v>1.392436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0.4645541</v>
      </c>
    </row>
    <row r="286">
      <c r="A286" s="90" t="n">
        <v>27273</v>
      </c>
      <c r="B286" t="n">
        <v>1.386833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0.4669676</v>
      </c>
    </row>
    <row r="287">
      <c r="A287" s="90" t="n">
        <v>27303</v>
      </c>
      <c r="B287" t="n">
        <v>1.403643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0.4738235</v>
      </c>
    </row>
    <row r="288">
      <c r="A288" s="90" t="n">
        <v>27334</v>
      </c>
      <c r="B288" t="n">
        <v>1.428858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0.4841073</v>
      </c>
    </row>
    <row r="289">
      <c r="A289" s="90" t="n">
        <v>27364</v>
      </c>
      <c r="B289" t="n">
        <v>1.44847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0.4919775</v>
      </c>
    </row>
    <row r="290">
      <c r="A290" s="90" t="n">
        <v>27395</v>
      </c>
      <c r="B290" t="n">
        <v>1.473685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0.5022963</v>
      </c>
    </row>
    <row r="291">
      <c r="A291" s="90" t="n">
        <v>27426</v>
      </c>
      <c r="B291" t="n">
        <v>1.507305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0.5112858</v>
      </c>
    </row>
    <row r="292">
      <c r="A292" s="90" t="n">
        <v>27454</v>
      </c>
      <c r="B292" t="n">
        <v>1.540926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0.5191386</v>
      </c>
    </row>
    <row r="293">
      <c r="A293" s="90" t="n">
        <v>27485</v>
      </c>
      <c r="B293" t="n">
        <v>1.574546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0.526694</v>
      </c>
    </row>
    <row r="294">
      <c r="A294" s="90" t="n">
        <v>27515</v>
      </c>
      <c r="B294" t="n">
        <v>1.602563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0.5303842</v>
      </c>
    </row>
    <row r="295">
      <c r="A295" s="90" t="n">
        <v>27546</v>
      </c>
      <c r="B295" t="n">
        <v>1.624976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0.5372401</v>
      </c>
    </row>
    <row r="296">
      <c r="A296" s="90" t="n">
        <v>27576</v>
      </c>
      <c r="B296" t="n">
        <v>1.655795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0.5477862</v>
      </c>
    </row>
    <row r="297">
      <c r="A297" s="90" t="n">
        <v>27607</v>
      </c>
      <c r="B297" t="n">
        <v>1.686613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0.5581225</v>
      </c>
    </row>
    <row r="298">
      <c r="A298" s="90" t="n">
        <v>27638</v>
      </c>
      <c r="B298" t="n">
        <v>1.706225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0.565468</v>
      </c>
    </row>
    <row r="299">
      <c r="A299" s="90" t="n">
        <v>27668</v>
      </c>
      <c r="B299" t="n">
        <v>1.725837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0.5720441000000001</v>
      </c>
    </row>
    <row r="300">
      <c r="A300" s="90" t="n">
        <v>27699</v>
      </c>
      <c r="B300" t="n">
        <v>1.745448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0.5820655</v>
      </c>
    </row>
    <row r="301">
      <c r="A301" s="90" t="n">
        <v>27729</v>
      </c>
      <c r="B301" t="n">
        <v>1.76506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0.5915623</v>
      </c>
    </row>
    <row r="302">
      <c r="A302" s="90" t="n">
        <v>27760</v>
      </c>
      <c r="B302" t="n">
        <v>1.784672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0.5969141</v>
      </c>
    </row>
    <row r="303">
      <c r="A303" s="90" t="n">
        <v>27791</v>
      </c>
      <c r="B303" t="n">
        <v>1.793077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0.601094</v>
      </c>
    </row>
    <row r="304">
      <c r="A304" s="90" t="n">
        <v>27820</v>
      </c>
      <c r="B304" t="n">
        <v>1.804284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0.6048017999999999</v>
      </c>
    </row>
    <row r="305">
      <c r="A305" s="90" t="n">
        <v>27851</v>
      </c>
      <c r="B305" t="n">
        <v>1.829499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0.6095589</v>
      </c>
    </row>
    <row r="306">
      <c r="A306" s="90" t="n">
        <v>27881</v>
      </c>
      <c r="B306" t="n">
        <v>1.851912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0.6139662</v>
      </c>
    </row>
    <row r="307">
      <c r="A307" s="90" t="n">
        <v>27912</v>
      </c>
      <c r="B307" t="n">
        <v>1.868722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0.6198776</v>
      </c>
    </row>
    <row r="308">
      <c r="A308" s="90" t="n">
        <v>27942</v>
      </c>
      <c r="B308" t="n">
        <v>1.888334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0.6254917</v>
      </c>
    </row>
    <row r="309">
      <c r="A309" s="90" t="n">
        <v>27973</v>
      </c>
      <c r="B309" t="n">
        <v>2.036824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0.6290246</v>
      </c>
    </row>
    <row r="310">
      <c r="A310" s="90" t="n">
        <v>28004</v>
      </c>
      <c r="B310" t="n">
        <v>2.188114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0.6350235</v>
      </c>
    </row>
    <row r="311">
      <c r="A311" s="90" t="n">
        <v>28034</v>
      </c>
      <c r="B311" t="n">
        <v>2.207726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0.6417219</v>
      </c>
    </row>
    <row r="312">
      <c r="A312" s="90" t="n">
        <v>28065</v>
      </c>
      <c r="B312" t="n">
        <v>2.227338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0.6463391000000001</v>
      </c>
    </row>
    <row r="313">
      <c r="A313" s="90" t="n">
        <v>28095</v>
      </c>
      <c r="B313" t="n">
        <v>2.258156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0.6489276</v>
      </c>
    </row>
    <row r="314">
      <c r="A314" s="90" t="n">
        <v>28126</v>
      </c>
      <c r="B314" t="n">
        <v>2.288975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0.651446</v>
      </c>
    </row>
    <row r="315">
      <c r="A315" s="90" t="n">
        <v>28157</v>
      </c>
      <c r="B315" t="n">
        <v>2.319793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0.6535972</v>
      </c>
    </row>
    <row r="316">
      <c r="A316" s="90" t="n">
        <v>28185</v>
      </c>
      <c r="B316" t="n">
        <v>2.345009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0.6577247000000001</v>
      </c>
    </row>
    <row r="317">
      <c r="A317" s="90" t="n">
        <v>28216</v>
      </c>
      <c r="B317" t="n">
        <v>2.359017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0.6643707</v>
      </c>
    </row>
    <row r="318">
      <c r="A318" s="90" t="n">
        <v>28246</v>
      </c>
      <c r="B318" t="n">
        <v>2.375827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0.6734127</v>
      </c>
    </row>
    <row r="319">
      <c r="A319" s="90" t="n">
        <v>28277</v>
      </c>
      <c r="B319" t="n">
        <v>2.392637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0.6838015</v>
      </c>
    </row>
    <row r="320">
      <c r="A320" s="90" t="n">
        <v>28307</v>
      </c>
      <c r="B320" t="n">
        <v>2.403844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0.6873518</v>
      </c>
    </row>
    <row r="321">
      <c r="A321" s="90" t="n">
        <v>28338</v>
      </c>
      <c r="B321" t="n">
        <v>2.412249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0.688786</v>
      </c>
    </row>
    <row r="322">
      <c r="A322" s="90" t="n">
        <v>28369</v>
      </c>
      <c r="B322" t="n">
        <v>2.417852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0.6941028</v>
      </c>
    </row>
    <row r="323">
      <c r="A323" s="90" t="n">
        <v>28399</v>
      </c>
      <c r="B323" t="n">
        <v>2.426257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0.6980204</v>
      </c>
    </row>
    <row r="324">
      <c r="A324" s="90" t="n">
        <v>28430</v>
      </c>
      <c r="B324" t="n">
        <v>2.443068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0.7027425</v>
      </c>
    </row>
    <row r="325">
      <c r="A325" s="90" t="n">
        <v>28460</v>
      </c>
      <c r="B325" t="n">
        <v>2.465481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0.7105428</v>
      </c>
    </row>
    <row r="326">
      <c r="A326" s="90" t="n">
        <v>28491</v>
      </c>
      <c r="B326" t="n">
        <v>2.485093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0.7260209</v>
      </c>
    </row>
    <row r="327">
      <c r="A327" s="90" t="n">
        <v>28522</v>
      </c>
      <c r="B327" t="n">
        <v>2.507506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0.739278</v>
      </c>
    </row>
    <row r="328">
      <c r="A328" s="90" t="n">
        <v>28550</v>
      </c>
      <c r="B328" t="n">
        <v>2.538325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0.7458714</v>
      </c>
    </row>
    <row r="329">
      <c r="A329" s="90" t="n">
        <v>28581</v>
      </c>
      <c r="B329" t="n">
        <v>2.569143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0.7577118</v>
      </c>
    </row>
    <row r="330">
      <c r="A330" s="90" t="n">
        <v>28611</v>
      </c>
      <c r="B330" t="n">
        <v>2.599962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0.7710912</v>
      </c>
    </row>
    <row r="331">
      <c r="A331" s="90" t="n">
        <v>28642</v>
      </c>
      <c r="B331" t="n">
        <v>2.625177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0.782127</v>
      </c>
    </row>
    <row r="332">
      <c r="A332" s="90" t="n">
        <v>28672</v>
      </c>
      <c r="B332" t="n">
        <v>2.64759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0.794597</v>
      </c>
    </row>
    <row r="333">
      <c r="A333" s="90" t="n">
        <v>28703</v>
      </c>
      <c r="B333" t="n">
        <v>2.675607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0.8112994</v>
      </c>
    </row>
    <row r="334">
      <c r="A334" s="90" t="n">
        <v>28734</v>
      </c>
      <c r="B334" t="n">
        <v>2.703624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0.8056678</v>
      </c>
    </row>
    <row r="335">
      <c r="A335" s="90" t="n">
        <v>28764</v>
      </c>
      <c r="B335" t="n">
        <v>2.726038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0.8108621</v>
      </c>
    </row>
    <row r="336">
      <c r="A336" s="90" t="n">
        <v>28795</v>
      </c>
      <c r="B336" t="n">
        <v>2.748451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0.8378483</v>
      </c>
    </row>
    <row r="337">
      <c r="A337" s="90" t="n">
        <v>28825</v>
      </c>
      <c r="B337" t="n">
        <v>2.773666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0.8464706</v>
      </c>
    </row>
    <row r="338">
      <c r="A338" s="90" t="n">
        <v>28856</v>
      </c>
      <c r="B338" t="n">
        <v>2.807286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0.8501434</v>
      </c>
    </row>
    <row r="339">
      <c r="A339" s="90" t="n">
        <v>28887</v>
      </c>
      <c r="B339" t="n">
        <v>2.849312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0.8580835999999999</v>
      </c>
    </row>
    <row r="340">
      <c r="A340" s="90" t="n">
        <v>28915</v>
      </c>
      <c r="B340" t="n">
        <v>2.885733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0.8688221</v>
      </c>
    </row>
    <row r="341">
      <c r="A341" s="90" t="n">
        <v>28946</v>
      </c>
      <c r="B341" t="n">
        <v>2.922155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0.8765174</v>
      </c>
    </row>
    <row r="342">
      <c r="A342" s="90" t="n">
        <v>28976</v>
      </c>
      <c r="B342" t="n">
        <v>2.952974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0.8841778</v>
      </c>
    </row>
    <row r="343">
      <c r="A343" s="90" t="n">
        <v>29007</v>
      </c>
      <c r="B343" t="n">
        <v>2.972585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0.8909462</v>
      </c>
    </row>
    <row r="344">
      <c r="A344" s="90" t="n">
        <v>29037</v>
      </c>
      <c r="B344" t="n">
        <v>2.989396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0.8980644</v>
      </c>
    </row>
    <row r="345">
      <c r="A345" s="90" t="n">
        <v>29068</v>
      </c>
      <c r="B345" t="n">
        <v>3.011809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0.9114788</v>
      </c>
    </row>
    <row r="346">
      <c r="A346" s="90" t="n">
        <v>29099</v>
      </c>
      <c r="B346" t="n">
        <v>3.037024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0.9245259</v>
      </c>
    </row>
    <row r="347">
      <c r="A347" s="90" t="n">
        <v>29129</v>
      </c>
      <c r="B347" t="n">
        <v>3.062239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0.9387798000000001</v>
      </c>
    </row>
    <row r="348">
      <c r="A348" s="90" t="n">
        <v>29160</v>
      </c>
      <c r="B348" t="n">
        <v>3.098661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0.9564791</v>
      </c>
    </row>
    <row r="349">
      <c r="A349" s="90" t="n">
        <v>29190</v>
      </c>
      <c r="B349" t="n">
        <v>3.137885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0.9732165</v>
      </c>
    </row>
    <row r="350">
      <c r="A350" s="90" t="n">
        <v>29221</v>
      </c>
      <c r="B350" t="n">
        <v>3.191117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3.121308</v>
      </c>
      <c r="Y350" t="n">
        <v>0.2636047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0.9873304000000001</v>
      </c>
    </row>
    <row r="351">
      <c r="A351" s="90" t="n">
        <v>29252</v>
      </c>
      <c r="B351" t="n">
        <v>3.24715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3.15608</v>
      </c>
      <c r="Y351" t="n">
        <v>0.2695267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0.9988385</v>
      </c>
    </row>
    <row r="352">
      <c r="A352" s="90" t="n">
        <v>29281</v>
      </c>
      <c r="B352" t="n">
        <v>3.275167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3.178643</v>
      </c>
      <c r="Y352" t="n">
        <v>0.2718809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1.018881</v>
      </c>
    </row>
    <row r="353">
      <c r="A353" s="90" t="n">
        <v>29312</v>
      </c>
      <c r="B353" t="n">
        <v>3.294779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3.199176</v>
      </c>
      <c r="Y353" t="n">
        <v>0.2754049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1.02948</v>
      </c>
    </row>
    <row r="354">
      <c r="A354" s="90" t="n">
        <v>29342</v>
      </c>
      <c r="B354" t="n">
        <v>3.322796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3.230577</v>
      </c>
      <c r="Y354" t="n">
        <v>0.2792588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1.033555</v>
      </c>
    </row>
    <row r="355">
      <c r="A355" s="90" t="n">
        <v>29373</v>
      </c>
      <c r="B355" t="n">
        <v>3.356416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3.269585</v>
      </c>
      <c r="Y355" t="n">
        <v>0.2828582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1.053668</v>
      </c>
    </row>
    <row r="356">
      <c r="A356" s="90" t="n">
        <v>29403</v>
      </c>
      <c r="B356" t="n">
        <v>3.398441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3.315254</v>
      </c>
      <c r="Y356" t="n">
        <v>0.2942897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1.082648</v>
      </c>
    </row>
    <row r="357">
      <c r="A357" s="90" t="n">
        <v>29434</v>
      </c>
      <c r="B357" t="n">
        <v>3.440467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3.358244</v>
      </c>
      <c r="Y357" t="n">
        <v>0.3064779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1.107028</v>
      </c>
    </row>
    <row r="358">
      <c r="A358" s="90" t="n">
        <v>29465</v>
      </c>
      <c r="B358" t="n">
        <v>3.471285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3.394344</v>
      </c>
      <c r="Y358" t="n">
        <v>0.3139972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1.130271</v>
      </c>
    </row>
    <row r="359">
      <c r="A359" s="90" t="n">
        <v>29495</v>
      </c>
      <c r="B359" t="n">
        <v>3.510509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3.433036</v>
      </c>
      <c r="Y359" t="n">
        <v>0.3235863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1.158919</v>
      </c>
    </row>
    <row r="360">
      <c r="A360" s="90" t="n">
        <v>29526</v>
      </c>
      <c r="B360" t="n">
        <v>3.555336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3.473231</v>
      </c>
      <c r="Y360" t="n">
        <v>0.3311426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1.180291</v>
      </c>
    </row>
    <row r="361">
      <c r="A361" s="90" t="n">
        <v>29556</v>
      </c>
      <c r="B361" t="n">
        <v>3.594559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3.505599</v>
      </c>
      <c r="Y361" t="n">
        <v>0.3370309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1.198515</v>
      </c>
    </row>
    <row r="362">
      <c r="A362" s="90" t="n">
        <v>29587</v>
      </c>
      <c r="B362" t="n">
        <v>3.628179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3.541546</v>
      </c>
      <c r="Y362" t="n">
        <v>0.3425815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1.220639</v>
      </c>
    </row>
    <row r="363">
      <c r="A363" s="90" t="n">
        <v>29618</v>
      </c>
      <c r="B363" t="n">
        <v>3.656196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3.579478</v>
      </c>
      <c r="Y363" t="n">
        <v>0.3475522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1.244722</v>
      </c>
    </row>
    <row r="364">
      <c r="A364" s="90" t="n">
        <v>29646</v>
      </c>
      <c r="B364" t="n">
        <v>3.687015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3.622397</v>
      </c>
      <c r="Y364" t="n">
        <v>0.3527123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1.272758</v>
      </c>
    </row>
    <row r="365">
      <c r="A365" s="90" t="n">
        <v>29677</v>
      </c>
      <c r="B365" t="n">
        <v>3.720635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3.684197</v>
      </c>
      <c r="Y365" t="n">
        <v>0.3644102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1.307352</v>
      </c>
    </row>
    <row r="366">
      <c r="A366" s="90" t="n">
        <v>29707</v>
      </c>
      <c r="B366" t="n">
        <v>3.759858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3.72326</v>
      </c>
      <c r="Y366" t="n">
        <v>0.3779683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1.334723</v>
      </c>
    </row>
    <row r="367">
      <c r="A367" s="90" t="n">
        <v>29738</v>
      </c>
      <c r="B367" t="n">
        <v>3.804685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3.763457</v>
      </c>
      <c r="Y367" t="n">
        <v>0.3856526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1.348942</v>
      </c>
    </row>
    <row r="368">
      <c r="A368" s="90" t="n">
        <v>29768</v>
      </c>
      <c r="B368" t="n">
        <v>3.841107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3.811145</v>
      </c>
      <c r="Y368" t="n">
        <v>0.3988322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1.366011</v>
      </c>
    </row>
    <row r="369">
      <c r="A369" s="90" t="n">
        <v>29799</v>
      </c>
      <c r="B369" t="n">
        <v>3.869124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3.860149</v>
      </c>
      <c r="Y369" t="n">
        <v>0.4108073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1.381507</v>
      </c>
    </row>
    <row r="370">
      <c r="A370" s="90" t="n">
        <v>29830</v>
      </c>
      <c r="B370" t="n">
        <v>3.899943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3.89992</v>
      </c>
      <c r="Y370" t="n">
        <v>0.415379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1.38121</v>
      </c>
    </row>
    <row r="371">
      <c r="A371" s="90" t="n">
        <v>29860</v>
      </c>
      <c r="B371" t="n">
        <v>3.936364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3.95343</v>
      </c>
      <c r="Y371" t="n">
        <v>0.4293053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1.388153</v>
      </c>
    </row>
    <row r="372">
      <c r="A372" s="90" t="n">
        <v>29891</v>
      </c>
      <c r="B372" t="n">
        <v>3.972786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4.000427</v>
      </c>
      <c r="Y372" t="n">
        <v>0.4450052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1.409927</v>
      </c>
    </row>
    <row r="373">
      <c r="A373" s="90" t="n">
        <v>29921</v>
      </c>
      <c r="B373" t="n">
        <v>4.003605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4.059443</v>
      </c>
      <c r="Y373" t="n">
        <v>0.4598673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1.422747</v>
      </c>
    </row>
    <row r="374">
      <c r="A374" s="90" t="n">
        <v>29952</v>
      </c>
      <c r="B374" t="n">
        <v>4.037225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4.11019</v>
      </c>
      <c r="Y374" t="n">
        <v>0.472731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1.428186</v>
      </c>
    </row>
    <row r="375">
      <c r="A375" s="90" t="n">
        <v>29983</v>
      </c>
      <c r="B375" t="n">
        <v>4.073647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0.1771602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4.159522</v>
      </c>
      <c r="Y375" t="n">
        <v>0.4780644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1.436022</v>
      </c>
    </row>
    <row r="376">
      <c r="A376" s="90" t="n">
        <v>30011</v>
      </c>
      <c r="B376" t="n">
        <v>4.107267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0.1804298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4.217952</v>
      </c>
      <c r="Y376" t="n">
        <v>0.4836769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1.458408</v>
      </c>
    </row>
    <row r="377">
      <c r="A377" s="90" t="n">
        <v>30042</v>
      </c>
      <c r="B377" t="n">
        <v>4.149292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0.1843362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4.257179</v>
      </c>
      <c r="Y377" t="n">
        <v>0.4927524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1.469741</v>
      </c>
    </row>
    <row r="378">
      <c r="A378" s="90" t="n">
        <v>30072</v>
      </c>
      <c r="B378" t="n">
        <v>4.210929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0.1894794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4.291299</v>
      </c>
      <c r="Y378" t="n">
        <v>0.5011232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1.465456</v>
      </c>
    </row>
    <row r="379">
      <c r="A379" s="90" t="n">
        <v>30103</v>
      </c>
      <c r="B379" t="n">
        <v>4.252954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0.1929925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4.327039</v>
      </c>
      <c r="Y379" t="n">
        <v>0.5068828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1.478084</v>
      </c>
    </row>
    <row r="380">
      <c r="A380" s="90" t="n">
        <v>30133</v>
      </c>
      <c r="B380" t="n">
        <v>4.269765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0.1952641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4.365263</v>
      </c>
      <c r="Y380" t="n">
        <v>0.5161981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1.498127</v>
      </c>
    </row>
    <row r="381">
      <c r="A381" s="90" t="n">
        <v>30164</v>
      </c>
      <c r="B381" t="n">
        <v>4.292178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0.1968184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4.437092</v>
      </c>
      <c r="Y381" t="n">
        <v>0.5262561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1.520338</v>
      </c>
    </row>
    <row r="382">
      <c r="A382" s="90" t="n">
        <v>30195</v>
      </c>
      <c r="B382" t="n">
        <v>4.3286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0.1985209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4.508682</v>
      </c>
      <c r="Y382" t="n">
        <v>0.5360063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1.548339</v>
      </c>
    </row>
    <row r="383">
      <c r="A383" s="90" t="n">
        <v>30225</v>
      </c>
      <c r="B383" t="n">
        <v>4.36222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0.199678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4.557351</v>
      </c>
      <c r="Y383" t="n">
        <v>0.5446548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</v>
      </c>
    </row>
    <row r="384">
      <c r="A384" s="90" t="n">
        <v>30256</v>
      </c>
      <c r="B384" t="n">
        <v>4.395841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0.2011369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4.609124</v>
      </c>
      <c r="Y384" t="n">
        <v>0.5523272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1.597816</v>
      </c>
    </row>
    <row r="385">
      <c r="A385" s="90" t="n">
        <v>30286</v>
      </c>
      <c r="B385" t="n">
        <v>4.449072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0.2044386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4.673555</v>
      </c>
      <c r="Y385" t="n">
        <v>0.5638127000000001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1.62942</v>
      </c>
    </row>
    <row r="386">
      <c r="A386" s="90" t="n">
        <v>30317</v>
      </c>
      <c r="B386" t="n">
        <v>4.493899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0.2080067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0.02095638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4.774269</v>
      </c>
      <c r="Y386" t="n">
        <v>0.5716869999999999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1.660463</v>
      </c>
    </row>
    <row r="387">
      <c r="A387" s="90" t="n">
        <v>30348</v>
      </c>
      <c r="B387" t="n">
        <v>4.535924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0.2107538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0.02273102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4.848263</v>
      </c>
      <c r="Y387" t="n">
        <v>0.5754922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1.689741</v>
      </c>
    </row>
    <row r="388">
      <c r="A388" s="90" t="n">
        <v>30376</v>
      </c>
      <c r="B388" t="n">
        <v>4.608768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0.2120934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0.02456616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4.899871</v>
      </c>
      <c r="Y388" t="n">
        <v>0.5841421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1.72033</v>
      </c>
    </row>
    <row r="389">
      <c r="A389" s="90" t="n">
        <v>30407</v>
      </c>
      <c r="B389" t="n">
        <v>4.670405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0.2164136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0.02604945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4.948092</v>
      </c>
      <c r="Y389" t="n">
        <v>0.5923724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1.74938</v>
      </c>
    </row>
    <row r="390">
      <c r="A390" s="90" t="n">
        <v>30437</v>
      </c>
      <c r="B390" t="n">
        <v>4.718034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0.2239999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0.02811953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5.002801</v>
      </c>
      <c r="Y390" t="n">
        <v>0.6004297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1.775736</v>
      </c>
    </row>
    <row r="391">
      <c r="A391" s="90" t="n">
        <v>30468</v>
      </c>
      <c r="B391" t="n">
        <v>4.776869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0.2301079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0.03042492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5.058341</v>
      </c>
      <c r="Y391" t="n">
        <v>0.6103981000000001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1.80309</v>
      </c>
    </row>
    <row r="392">
      <c r="A392" s="90" t="n">
        <v>30498</v>
      </c>
      <c r="B392" t="n">
        <v>4.824498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0.2363056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0.03285186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5.117202</v>
      </c>
      <c r="Y392" t="n">
        <v>0.6195716999999999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1.815157</v>
      </c>
    </row>
    <row r="393">
      <c r="A393" s="90" t="n">
        <v>30529</v>
      </c>
      <c r="B393" t="n">
        <v>4.872127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0.2426289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0.03660587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5.174607</v>
      </c>
      <c r="Y393" t="n">
        <v>0.6251571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1.826438</v>
      </c>
    </row>
    <row r="394">
      <c r="A394" s="90" t="n">
        <v>30560</v>
      </c>
      <c r="B394" t="n">
        <v>4.922557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0.2478385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0.04088387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5.229511</v>
      </c>
      <c r="Y394" t="n">
        <v>0.6300814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1.857814</v>
      </c>
    </row>
    <row r="395">
      <c r="A395" s="90" t="n">
        <v>30590</v>
      </c>
      <c r="B395" t="n">
        <v>4.970185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0.2550698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0.04735094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5.299479</v>
      </c>
      <c r="Y395" t="n">
        <v>0.6387624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1.873117</v>
      </c>
    </row>
    <row r="396">
      <c r="A396" s="90" t="n">
        <v>30621</v>
      </c>
      <c r="B396" t="n">
        <v>5.020616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0.2631028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0.05619404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5.370055</v>
      </c>
      <c r="Y396" t="n">
        <v>0.6489027000000001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1.880008</v>
      </c>
    </row>
    <row r="397">
      <c r="A397" s="90" t="n">
        <v>30651</v>
      </c>
      <c r="B397" t="n">
        <v>5.082253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0.2669076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0.06447954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5.443465</v>
      </c>
      <c r="Y397" t="n">
        <v>0.6593793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1.902167</v>
      </c>
    </row>
    <row r="398">
      <c r="A398" s="90" t="n">
        <v>30682</v>
      </c>
      <c r="B398" t="n">
        <v>5.146691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0.2689406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0.07366810999999999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5.51683</v>
      </c>
      <c r="Y398" t="n">
        <v>0.667749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1.932459</v>
      </c>
    </row>
    <row r="399">
      <c r="A399" s="90" t="n">
        <v>30713</v>
      </c>
      <c r="B399" t="n">
        <v>5.213932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0.2721787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0.08497535000000001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5.585199</v>
      </c>
      <c r="Y399" t="n">
        <v>0.6768302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1.963817</v>
      </c>
    </row>
    <row r="400">
      <c r="A400" s="90" t="n">
        <v>30742</v>
      </c>
      <c r="B400" t="n">
        <v>5.272767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0.2759508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0.0976125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5.658075</v>
      </c>
      <c r="Y400" t="n">
        <v>0.6907395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1.979593</v>
      </c>
    </row>
    <row r="401">
      <c r="A401" s="90" t="n">
        <v>30773</v>
      </c>
      <c r="B401" t="n">
        <v>5.306387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0.2804758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0.1130177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5.723198</v>
      </c>
      <c r="Y401" t="n">
        <v>0.703072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2.003431</v>
      </c>
    </row>
    <row r="402">
      <c r="A402" s="90" t="n">
        <v>30803</v>
      </c>
      <c r="B402" t="n">
        <v>5.337206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0.2839648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0.129933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5.788457</v>
      </c>
      <c r="Y402" t="n">
        <v>0.7133692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</v>
      </c>
    </row>
    <row r="403">
      <c r="A403" s="90" t="n">
        <v>30834</v>
      </c>
      <c r="B403" t="n">
        <v>5.379231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0.2875637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0.1477882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5.857329</v>
      </c>
      <c r="Y403" t="n">
        <v>0.7276662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2.056704</v>
      </c>
    </row>
    <row r="404">
      <c r="A404" s="90" t="n">
        <v>30864</v>
      </c>
      <c r="B404" t="n">
        <v>5.435265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0.2922286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0.1693428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5.921258</v>
      </c>
      <c r="Y404" t="n">
        <v>0.7389858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2.087065</v>
      </c>
    </row>
    <row r="405">
      <c r="A405" s="90" t="n">
        <v>30895</v>
      </c>
      <c r="B405" t="n">
        <v>5.508109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0.2977995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0.1977101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5.986214</v>
      </c>
      <c r="Y405" t="n">
        <v>0.7506048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2.115276</v>
      </c>
    </row>
    <row r="406">
      <c r="A406" s="90" t="n">
        <v>30926</v>
      </c>
      <c r="B406" t="n">
        <v>5.575349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0.3064968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0.2353674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6.0695</v>
      </c>
      <c r="Y406" t="n">
        <v>0.7662395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2.145533</v>
      </c>
    </row>
    <row r="407">
      <c r="A407" s="90" t="n">
        <v>30956</v>
      </c>
      <c r="B407" t="n">
        <v>5.634184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0.3144127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0.2814284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6.152277</v>
      </c>
      <c r="Y407" t="n">
        <v>0.778868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2.185916</v>
      </c>
    </row>
    <row r="408">
      <c r="A408" s="90" t="n">
        <v>30987</v>
      </c>
      <c r="B408" t="n">
        <v>5.70983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0.3203237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0.3354055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6.25516</v>
      </c>
      <c r="Y408" t="n">
        <v>0.7969978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2.232647</v>
      </c>
    </row>
    <row r="409">
      <c r="A409" s="90" t="n">
        <v>31017</v>
      </c>
      <c r="B409" t="n">
        <v>5.79388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0.3286074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0.3871072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6.376673</v>
      </c>
      <c r="Y409" t="n">
        <v>0.8192173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2.256573</v>
      </c>
    </row>
    <row r="410">
      <c r="A410" s="90" t="n">
        <v>31048</v>
      </c>
      <c r="B410" t="n">
        <v>5.886336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0.3373963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0.4360051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6.487885</v>
      </c>
      <c r="Y410" t="n">
        <v>0.8320675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2.268588</v>
      </c>
    </row>
    <row r="411">
      <c r="A411" s="90" t="n">
        <v>31079</v>
      </c>
      <c r="B411" t="n">
        <v>5.975989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0.3438236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0.4852705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6.561763</v>
      </c>
      <c r="Y411" t="n">
        <v>0.8443255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2.293161</v>
      </c>
    </row>
    <row r="412">
      <c r="A412" s="90" t="n">
        <v>31107</v>
      </c>
      <c r="B412" t="n">
        <v>6.051635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0.3510439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0.5413556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6.628424</v>
      </c>
      <c r="Y412" t="n">
        <v>0.8617224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2.305578</v>
      </c>
    </row>
    <row r="413">
      <c r="A413" s="90" t="n">
        <v>31138</v>
      </c>
      <c r="B413" t="n">
        <v>6.124479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0.3577805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0.6177174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6.696743</v>
      </c>
      <c r="Y413" t="n">
        <v>0.8776766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2.322298</v>
      </c>
    </row>
    <row r="414">
      <c r="A414" s="90" t="n">
        <v>31168</v>
      </c>
      <c r="B414" t="n">
        <v>6.200124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0.3643512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0.6879233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6.771735</v>
      </c>
      <c r="Y414" t="n">
        <v>0.894068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2.353272</v>
      </c>
    </row>
    <row r="415">
      <c r="A415" s="90" t="n">
        <v>31199</v>
      </c>
      <c r="B415" t="n">
        <v>6.244951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0.3732317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0.7561027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6.855994</v>
      </c>
      <c r="Y415" t="n">
        <v>0.9104681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2.389038</v>
      </c>
    </row>
    <row r="416">
      <c r="A416" s="90" t="n">
        <v>31229</v>
      </c>
      <c r="B416" t="n">
        <v>6.329001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0.3834624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0.9078448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6.94465</v>
      </c>
      <c r="Y416" t="n">
        <v>0.9286384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2.417528</v>
      </c>
    </row>
    <row r="417">
      <c r="A417" s="90" t="n">
        <v>31260</v>
      </c>
      <c r="B417" t="n">
        <v>6.446672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0.3955098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1.02495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7.03632</v>
      </c>
      <c r="Y417" t="n">
        <v>0.9519377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2.441996</v>
      </c>
    </row>
    <row r="418">
      <c r="A418" s="90" t="n">
        <v>31291</v>
      </c>
      <c r="B418" t="n">
        <v>6.525119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0.4043901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1.04713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7.112939</v>
      </c>
      <c r="Y418" t="n">
        <v>0.9725714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2.448309</v>
      </c>
    </row>
    <row r="419">
      <c r="A419" s="90" t="n">
        <v>31321</v>
      </c>
      <c r="B419" t="n">
        <v>6.586756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0.4145186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1.076969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7.177387</v>
      </c>
      <c r="Y419" t="n">
        <v>0.9845446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2.461024</v>
      </c>
    </row>
    <row r="420">
      <c r="A420" s="90" t="n">
        <v>31352</v>
      </c>
      <c r="B420" t="n">
        <v>6.634385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0.4281403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1.115038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7.239546</v>
      </c>
      <c r="Y420" t="n">
        <v>0.9961939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2.486017</v>
      </c>
    </row>
    <row r="421">
      <c r="A421" s="90" t="n">
        <v>31382</v>
      </c>
      <c r="B421" t="n">
        <v>6.673609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0.4399306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1.142666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7.4833</v>
      </c>
      <c r="Y421" t="n">
        <v>1.018159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2.508438</v>
      </c>
    </row>
    <row r="422">
      <c r="A422" s="90" t="n">
        <v>31413</v>
      </c>
      <c r="B422" t="n">
        <v>6.693221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0.4526618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1.149873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7.714456</v>
      </c>
      <c r="Y422" t="n">
        <v>1.04291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2.528009</v>
      </c>
    </row>
    <row r="423">
      <c r="A423" s="90" t="n">
        <v>31444</v>
      </c>
      <c r="B423" t="n">
        <v>6.707229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0.4650041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1.17231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7.767271</v>
      </c>
      <c r="Y423" t="n">
        <v>1.059512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2.566031</v>
      </c>
    </row>
    <row r="424">
      <c r="A424" s="90" t="n">
        <v>31472</v>
      </c>
      <c r="B424" t="n">
        <v>6.766064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0.4760328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1.195892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7.843073</v>
      </c>
      <c r="Y424" t="n">
        <v>1.085409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2.581352</v>
      </c>
    </row>
    <row r="425">
      <c r="A425" s="90" t="n">
        <v>31503</v>
      </c>
      <c r="B425" t="n">
        <v>6.87533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0.4847502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1.199049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7.923274</v>
      </c>
      <c r="Y425" t="n">
        <v>1.110449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2.586581</v>
      </c>
    </row>
    <row r="426">
      <c r="A426" s="90" t="n">
        <v>31533</v>
      </c>
      <c r="B426" t="n">
        <v>6.964983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0.494508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1.187813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8.000328</v>
      </c>
      <c r="Y426" t="n">
        <v>1.134883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2.62135</v>
      </c>
    </row>
    <row r="427">
      <c r="A427" s="90" t="n">
        <v>31564</v>
      </c>
      <c r="B427" t="n">
        <v>7.015414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0.5069458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1.17525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8.073922</v>
      </c>
      <c r="Y427" t="n">
        <v>1.161105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2.638017</v>
      </c>
    </row>
    <row r="428">
      <c r="A428" s="90" t="n">
        <v>31594</v>
      </c>
      <c r="B428" t="n">
        <v>7.057439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0.5173837999999999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1.184665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8.146364999999999</v>
      </c>
      <c r="Y428" t="n">
        <v>1.181304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2.653076</v>
      </c>
    </row>
    <row r="429">
      <c r="A429" s="90" t="n">
        <v>31625</v>
      </c>
      <c r="B429" t="n">
        <v>7.105068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0.5252473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1.219658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8.233212</v>
      </c>
      <c r="Y429" t="n">
        <v>1.197803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2.673678</v>
      </c>
    </row>
    <row r="430">
      <c r="A430" s="90" t="n">
        <v>31656</v>
      </c>
      <c r="B430" t="n">
        <v>7.138688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0.5320979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1.256735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8.337260000000001</v>
      </c>
      <c r="Y430" t="n">
        <v>1.21262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</v>
      </c>
    </row>
    <row r="431">
      <c r="A431" s="90" t="n">
        <v>31686</v>
      </c>
      <c r="B431" t="n">
        <v>7.180713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0.5419031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1.292036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8.447433999999999</v>
      </c>
      <c r="Y431" t="n">
        <v>1.230879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2.718853</v>
      </c>
    </row>
    <row r="432">
      <c r="A432" s="90" t="n">
        <v>31717</v>
      </c>
      <c r="B432" t="n">
        <v>7.211532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0.5543399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1.321336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8.557179</v>
      </c>
      <c r="Y432" t="n">
        <v>1.252011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2.739911</v>
      </c>
    </row>
    <row r="433">
      <c r="A433" s="90" t="n">
        <v>31747</v>
      </c>
      <c r="B433" t="n">
        <v>7.253557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0.5672228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1.351372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8.697251</v>
      </c>
      <c r="Y433" t="n">
        <v>1.275737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2.751034</v>
      </c>
    </row>
    <row r="434">
      <c r="A434" s="90" t="n">
        <v>31778</v>
      </c>
      <c r="B434" t="n">
        <v>7.343211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0.5793111</v>
      </c>
      <c r="I434" t="n">
        <v/>
      </c>
      <c r="J434" t="n">
        <v/>
      </c>
      <c r="K434" t="n">
        <v>22.63851</v>
      </c>
      <c r="L434" t="n">
        <v>19.34158</v>
      </c>
      <c r="M434" t="n">
        <v>9.223305</v>
      </c>
      <c r="N434" t="n">
        <v/>
      </c>
      <c r="O434" t="n">
        <v/>
      </c>
      <c r="P434" t="n">
        <v>1.260513</v>
      </c>
      <c r="Q434" t="n">
        <v>3.097813</v>
      </c>
      <c r="R434" t="n">
        <v>1.402272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8.815683</v>
      </c>
      <c r="Y434" t="n">
        <v>1.298686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2.747693</v>
      </c>
    </row>
    <row r="435">
      <c r="A435" s="90" t="n">
        <v>31809</v>
      </c>
      <c r="B435" t="n">
        <v>7.421658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0.5926051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1.451147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9.048500000000001</v>
      </c>
      <c r="Y435" t="n">
        <v>1.443124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2.765358</v>
      </c>
    </row>
    <row r="436">
      <c r="A436" s="90" t="n">
        <v>31837</v>
      </c>
      <c r="B436" t="n">
        <v>7.455278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0.6074627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1.499289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9.154038</v>
      </c>
      <c r="Y436" t="n">
        <v>1.461772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2.803502</v>
      </c>
    </row>
    <row r="437">
      <c r="A437" s="90" t="n">
        <v>31868</v>
      </c>
      <c r="B437" t="n">
        <v>7.480493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0.6240941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1.557045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9.286628</v>
      </c>
      <c r="Y437" t="n">
        <v>1.485511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2.84357</v>
      </c>
    </row>
    <row r="438">
      <c r="A438" s="90" t="n">
        <v>31898</v>
      </c>
      <c r="B438" t="n">
        <v>7.561742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0.6405283000000001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1.606656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9.409667000000001</v>
      </c>
      <c r="Y438" t="n">
        <v>1.509243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2.881418</v>
      </c>
    </row>
    <row r="439">
      <c r="A439" s="90" t="n">
        <v>31929</v>
      </c>
      <c r="B439" t="n">
        <v>7.662603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0.6531698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1.648812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9.527856</v>
      </c>
      <c r="Y439" t="n">
        <v>1.529595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2.90209</v>
      </c>
    </row>
    <row r="440">
      <c r="A440" s="90" t="n">
        <v>31959</v>
      </c>
      <c r="B440" t="n">
        <v>7.75786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0.6665503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1.683814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9.665098</v>
      </c>
      <c r="Y440" t="n">
        <v>1.557455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2.945884</v>
      </c>
    </row>
    <row r="441">
      <c r="A441" s="90" t="n">
        <v>31990</v>
      </c>
      <c r="B441" t="n">
        <v>7.847514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0.6823825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1.701846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9.810288999999999</v>
      </c>
      <c r="Y441" t="n">
        <v>1.58598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2.977784</v>
      </c>
    </row>
    <row r="442">
      <c r="A442" s="90" t="n">
        <v>32021</v>
      </c>
      <c r="B442" t="n">
        <v>7.925961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0.7040808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1.710503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9.951817</v>
      </c>
      <c r="Y442" t="n">
        <v>1.605817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3.026895</v>
      </c>
    </row>
    <row r="443">
      <c r="A443" s="90" t="n">
        <v>32051</v>
      </c>
      <c r="B443" t="n">
        <v>8.015615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0.7225006</v>
      </c>
      <c r="I443" t="n">
        <v/>
      </c>
      <c r="J443" t="n">
        <v/>
      </c>
      <c r="K443" t="n">
        <v>23.46243</v>
      </c>
      <c r="L443" t="n">
        <v>20.09507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1.713331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10.10615</v>
      </c>
      <c r="Y443" t="n">
        <v>1.631465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3.092935</v>
      </c>
    </row>
    <row r="444">
      <c r="A444" s="90" t="n">
        <v>32082</v>
      </c>
      <c r="B444" t="n">
        <v>8.122078999999999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0.7300134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1.736834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10.23212</v>
      </c>
      <c r="Y444" t="n">
        <v>1.657866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3.167667</v>
      </c>
    </row>
    <row r="445">
      <c r="A445" s="90" t="n">
        <v>32112</v>
      </c>
      <c r="B445" t="n">
        <v>8.197723999999999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0.7393202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10.36389</v>
      </c>
      <c r="Y445" t="n">
        <v>1.686929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3.231976</v>
      </c>
    </row>
    <row r="446">
      <c r="A446" s="90" t="n">
        <v>32143</v>
      </c>
      <c r="B446" t="n">
        <v>8.234146000000001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0.7532761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1.785428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10.52895</v>
      </c>
      <c r="Y446" t="n">
        <v>1.718265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3.270907</v>
      </c>
    </row>
    <row r="447">
      <c r="A447" s="90" t="n">
        <v>32174</v>
      </c>
      <c r="B447" t="n">
        <v>8.278973000000001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0.7677739</v>
      </c>
      <c r="I447" t="n">
        <v/>
      </c>
      <c r="J447" t="n">
        <v/>
      </c>
      <c r="K447" t="n">
        <v>23.62288</v>
      </c>
      <c r="L447" t="n">
        <v>20.8135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1.811573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10.66584</v>
      </c>
      <c r="Y447" t="n">
        <v>1.735182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3.330109</v>
      </c>
    </row>
    <row r="448">
      <c r="A448" s="90" t="n">
        <v>32203</v>
      </c>
      <c r="B448" t="n">
        <v>8.354618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0.7795639</v>
      </c>
      <c r="I448" t="n">
        <v/>
      </c>
      <c r="J448" t="n">
        <v/>
      </c>
      <c r="K448" t="n">
        <v>23.45168</v>
      </c>
      <c r="L448" t="n">
        <v>20.78639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1.852949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10.81557</v>
      </c>
      <c r="Y448" t="n">
        <v>1.755516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3.403862</v>
      </c>
    </row>
    <row r="449">
      <c r="A449" s="90" t="n">
        <v>32234</v>
      </c>
      <c r="B449" t="n">
        <v>8.444272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0.7908524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1.892324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10.95155</v>
      </c>
      <c r="Y449" t="n">
        <v>1.777837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3.465232</v>
      </c>
    </row>
    <row r="450">
      <c r="A450" s="90" t="n">
        <v>32264</v>
      </c>
      <c r="B450" t="n">
        <v>8.525520999999999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0.8049688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1.918462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11.07301</v>
      </c>
      <c r="Y450" t="n">
        <v>1.803361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3.521758</v>
      </c>
    </row>
    <row r="451">
      <c r="A451" s="90" t="n">
        <v>32295</v>
      </c>
      <c r="B451" t="n">
        <v>8.631985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0.8258457</v>
      </c>
      <c r="I451" t="n">
        <v/>
      </c>
      <c r="J451" t="n">
        <v/>
      </c>
      <c r="K451" t="n">
        <v>24.00524</v>
      </c>
      <c r="L451" t="n">
        <v>21.27416</v>
      </c>
      <c r="M451" t="n">
        <v>13.54963</v>
      </c>
      <c r="N451" t="n">
        <v/>
      </c>
      <c r="O451" t="n">
        <v/>
      </c>
      <c r="P451" t="n">
        <v>1.548043</v>
      </c>
      <c r="Q451" t="n">
        <v>4.611727</v>
      </c>
      <c r="R451" t="n">
        <v>1.947173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11.18868</v>
      </c>
      <c r="Y451" t="n">
        <v>1.833903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3.602122</v>
      </c>
    </row>
    <row r="452">
      <c r="A452" s="90" t="n">
        <v>32325</v>
      </c>
      <c r="B452" t="n">
        <v>8.727242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0.8416772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1.990702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11.2842</v>
      </c>
      <c r="Y452" t="n">
        <v>1.868347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3.671939</v>
      </c>
    </row>
    <row r="453">
      <c r="A453" s="90" t="n">
        <v>32356</v>
      </c>
      <c r="B453" t="n">
        <v>8.802887999999999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0.8551166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2.034314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11.37644</v>
      </c>
      <c r="Y453" t="n">
        <v>1.907021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3.750449</v>
      </c>
    </row>
    <row r="454">
      <c r="A454" s="90" t="n">
        <v>32387</v>
      </c>
      <c r="B454" t="n">
        <v>8.917757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0.8723916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11.47192</v>
      </c>
      <c r="Y454" t="n">
        <v>1.944881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3.850069</v>
      </c>
    </row>
    <row r="455">
      <c r="A455" s="90" t="n">
        <v>32417</v>
      </c>
      <c r="B455" t="n">
        <v>9.088659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0.8864498</v>
      </c>
      <c r="I455" t="n">
        <v/>
      </c>
      <c r="J455" t="n">
        <v/>
      </c>
      <c r="K455" t="n">
        <v>24.56776</v>
      </c>
      <c r="L455" t="n">
        <v>21.7571</v>
      </c>
      <c r="M455" t="n">
        <v>14.42639</v>
      </c>
      <c r="N455" t="n">
        <v/>
      </c>
      <c r="O455" t="n">
        <v/>
      </c>
      <c r="P455" t="n">
        <v>1.650658</v>
      </c>
      <c r="Q455" t="n">
        <v>5.047574</v>
      </c>
      <c r="R455" t="n">
        <v>2.052324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11.57162</v>
      </c>
      <c r="Y455" t="n">
        <v>1.980017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3.933564</v>
      </c>
    </row>
    <row r="456">
      <c r="A456" s="90" t="n">
        <v>32448</v>
      </c>
      <c r="B456" t="n">
        <v>9.276372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0.9108423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2.003029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11.68379</v>
      </c>
      <c r="Y456" t="n">
        <v>2.015249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3.994567</v>
      </c>
    </row>
    <row r="457">
      <c r="A457" s="90" t="n">
        <v>32478</v>
      </c>
      <c r="B457" t="n">
        <v>9.475291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0.9283664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11.79196</v>
      </c>
      <c r="Y457" t="n">
        <v>2.054008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4.072412</v>
      </c>
    </row>
    <row r="458">
      <c r="A458" s="90" t="n">
        <v>32509</v>
      </c>
      <c r="B458" t="n">
        <v>9.702228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0.9395213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2.019794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11.87944</v>
      </c>
      <c r="Y458" t="n">
        <v>2.076797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4.157743</v>
      </c>
    </row>
    <row r="459">
      <c r="A459" s="90" t="n">
        <v>32540</v>
      </c>
      <c r="B459" t="n">
        <v>9.917956999999999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0.9619218</v>
      </c>
      <c r="I459" t="n">
        <v/>
      </c>
      <c r="J459" t="n">
        <v/>
      </c>
      <c r="K459" t="n">
        <v>20.39935</v>
      </c>
      <c r="L459" t="n">
        <v>22.59151</v>
      </c>
      <c r="M459" t="n">
        <v>15.15616</v>
      </c>
      <c r="N459" t="n">
        <v/>
      </c>
      <c r="O459" t="n">
        <v/>
      </c>
      <c r="P459" t="n">
        <v>1.747706</v>
      </c>
      <c r="Q459" t="n">
        <v>5.357343</v>
      </c>
      <c r="R459" t="n">
        <v>2.121248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11.99057</v>
      </c>
      <c r="Y459" t="n">
        <v>2.107384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4.231181</v>
      </c>
    </row>
    <row r="460">
      <c r="A460" s="90" t="n">
        <v>32568</v>
      </c>
      <c r="B460" t="n">
        <v>10.11408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0.9873362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2.190842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12.10925</v>
      </c>
      <c r="Y460" t="n">
        <v>2.151595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4.313399</v>
      </c>
    </row>
    <row r="461">
      <c r="A461" s="90" t="n">
        <v>32599</v>
      </c>
      <c r="B461" t="n">
        <v>10.29618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1.006974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2.250241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12.21378</v>
      </c>
      <c r="Y461" t="n">
        <v>2.18277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4.351036</v>
      </c>
    </row>
    <row r="462">
      <c r="A462" s="90" t="n">
        <v>32629</v>
      </c>
      <c r="B462" t="n">
        <v>10.45588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1.036173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2.305706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12.31836</v>
      </c>
      <c r="Y462" t="n">
        <v>2.216283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4.421536</v>
      </c>
    </row>
    <row r="463">
      <c r="A463" s="90" t="n">
        <v>32660</v>
      </c>
      <c r="B463" t="n">
        <v>10.66601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1.075355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2.348839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12.4699</v>
      </c>
      <c r="Y463" t="n">
        <v>2.265806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4.548142</v>
      </c>
    </row>
    <row r="464">
      <c r="A464" s="90" t="n">
        <v>32690</v>
      </c>
      <c r="B464" t="n">
        <v>10.89855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1.109027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2.383199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12.65211</v>
      </c>
      <c r="Y464" t="n">
        <v>2.311024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4.635012</v>
      </c>
    </row>
    <row r="465">
      <c r="A465" s="90" t="n">
        <v>32721</v>
      </c>
      <c r="B465" t="n">
        <v>11.09747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1.145248</v>
      </c>
      <c r="I465" t="n">
        <v/>
      </c>
      <c r="J465" t="n">
        <v/>
      </c>
      <c r="K465" t="n">
        <v>19.95938</v>
      </c>
      <c r="L465" t="n">
        <v>23.58496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2.404618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12.81074</v>
      </c>
      <c r="Y465" t="n">
        <v>2.346443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4.719923</v>
      </c>
    </row>
    <row r="466">
      <c r="A466" s="90" t="n">
        <v>32752</v>
      </c>
      <c r="B466" t="n">
        <v>11.20673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1.166666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2.452028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12.94841</v>
      </c>
      <c r="Y466" t="n">
        <v>2.390849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4.778425</v>
      </c>
    </row>
    <row r="467">
      <c r="A467" s="90" t="n">
        <v>32782</v>
      </c>
      <c r="B467" t="n">
        <v>11.26276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1.180009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2.50071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13.10348</v>
      </c>
      <c r="Y467" t="n">
        <v>2.443386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</v>
      </c>
    </row>
    <row r="468">
      <c r="A468" s="90" t="n">
        <v>32813</v>
      </c>
      <c r="B468" t="n">
        <v>11.35802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1.208202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2.528971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13.26669</v>
      </c>
      <c r="Y468" t="n">
        <v>2.495159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4.952183</v>
      </c>
    </row>
    <row r="469">
      <c r="A469" s="90" t="n">
        <v>32843</v>
      </c>
      <c r="B469" t="n">
        <v>11.45048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1.236183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2.555822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13.43953</v>
      </c>
      <c r="Y469" t="n">
        <v>2.533222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5.006628</v>
      </c>
    </row>
    <row r="470">
      <c r="A470" s="90" t="n">
        <v>32874</v>
      </c>
      <c r="B470" t="n">
        <v>11.55134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1.262644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3.722154</v>
      </c>
      <c r="O470" t="n">
        <v/>
      </c>
      <c r="P470" t="n">
        <v>2.062484</v>
      </c>
      <c r="Q470" t="n">
        <v>6.589669</v>
      </c>
      <c r="R470" t="n">
        <v>2.586482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13.60153</v>
      </c>
      <c r="Y470" t="n">
        <v>2.590232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5.114625</v>
      </c>
    </row>
    <row r="471">
      <c r="A471" s="90" t="n">
        <v>32905</v>
      </c>
      <c r="B471" t="n">
        <v>11.67461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3.847608</v>
      </c>
      <c r="O471" t="n">
        <v>1.361583</v>
      </c>
      <c r="P471" t="n">
        <v>2.089263</v>
      </c>
      <c r="Q471" t="n">
        <v>6.712185</v>
      </c>
      <c r="R471" t="n">
        <v>2.632573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13.75263</v>
      </c>
      <c r="Y471" t="n">
        <v>2.631103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5.184302</v>
      </c>
    </row>
    <row r="472">
      <c r="A472" s="90" t="n">
        <v>32933</v>
      </c>
      <c r="B472" t="n">
        <v>11.79789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1.337721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3.973869</v>
      </c>
      <c r="O472" t="n">
        <v>1.438037</v>
      </c>
      <c r="P472" t="n">
        <v>2.118918</v>
      </c>
      <c r="Q472" t="n">
        <v>6.892989</v>
      </c>
      <c r="R472" t="n">
        <v>2.696089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13.86466</v>
      </c>
      <c r="Y472" t="n">
        <v>2.661974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5.208053</v>
      </c>
    </row>
    <row r="473">
      <c r="A473" s="90" t="n">
        <v>32964</v>
      </c>
      <c r="B473" t="n">
        <v>11.92957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1.371763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4.100938</v>
      </c>
      <c r="O473" t="n">
        <v>1.5416</v>
      </c>
      <c r="P473" t="n">
        <v>2.155439</v>
      </c>
      <c r="Q473" t="n">
        <v>6.972162</v>
      </c>
      <c r="R473" t="n">
        <v>2.779199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14.02087</v>
      </c>
      <c r="Y473" t="n">
        <v>2.703046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5.27035</v>
      </c>
    </row>
    <row r="474">
      <c r="A474" s="90" t="n">
        <v>32994</v>
      </c>
      <c r="B474" t="n">
        <v>12.03043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1.387665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4.228815</v>
      </c>
      <c r="O474" t="n">
        <v>1.569356</v>
      </c>
      <c r="P474" t="n">
        <v>2.18222</v>
      </c>
      <c r="Q474" t="n">
        <v>7.055731</v>
      </c>
      <c r="R474" t="n">
        <v>2.851379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14.10751</v>
      </c>
      <c r="Y474" t="n">
        <v>2.735653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5.337177</v>
      </c>
    </row>
    <row r="475">
      <c r="A475" s="90" t="n">
        <v>33025</v>
      </c>
      <c r="B475" t="n">
        <v>12.09486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18.87737</v>
      </c>
      <c r="N475" t="n">
        <v>4.35723</v>
      </c>
      <c r="O475" t="n">
        <v>1.590602</v>
      </c>
      <c r="P475" t="n">
        <v>2.198584</v>
      </c>
      <c r="Q475" t="n">
        <v>7.166275</v>
      </c>
      <c r="R475" t="n">
        <v>2.91584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14.22146</v>
      </c>
      <c r="Y475" t="n">
        <v>2.77231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5.36161</v>
      </c>
    </row>
    <row r="476">
      <c r="A476" s="90" t="n">
        <v>33055</v>
      </c>
      <c r="B476" t="n">
        <v>12.1453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1.445053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18.98499</v>
      </c>
      <c r="N476" t="n">
        <v>4.486453</v>
      </c>
      <c r="O476" t="n">
        <v>1.648504</v>
      </c>
      <c r="P476" t="n">
        <v>2.222058</v>
      </c>
      <c r="Q476" t="n">
        <v>7.212004</v>
      </c>
      <c r="R476" t="n">
        <v>2.975262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14.34108</v>
      </c>
      <c r="Y476" t="n">
        <v>2.806752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5.374255</v>
      </c>
    </row>
    <row r="477">
      <c r="A477" s="90" t="n">
        <v>33086</v>
      </c>
      <c r="B477" t="n">
        <v>12.21534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1.480581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19.07302</v>
      </c>
      <c r="N477" t="n">
        <v>4.616484</v>
      </c>
      <c r="O477" t="n">
        <v>1.686617</v>
      </c>
      <c r="P477" t="n">
        <v>2.241195</v>
      </c>
      <c r="Q477" t="n">
        <v>7.277062</v>
      </c>
      <c r="R477" t="n">
        <v>3.048371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14.46723</v>
      </c>
      <c r="Y477" t="n">
        <v>2.83346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5.404984</v>
      </c>
    </row>
    <row r="478">
      <c r="A478" s="90" t="n">
        <v>33117</v>
      </c>
      <c r="B478" t="n">
        <v>12.34702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1.520686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4.747322</v>
      </c>
      <c r="O478" t="n">
        <v>1.730471</v>
      </c>
      <c r="P478" t="n">
        <v>2.266864</v>
      </c>
      <c r="Q478" t="n">
        <v>7.382695</v>
      </c>
      <c r="R478" t="n">
        <v>3.108604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14.59151</v>
      </c>
      <c r="Y478" t="n">
        <v>2.866549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5.403585</v>
      </c>
    </row>
    <row r="479">
      <c r="A479" s="90" t="n">
        <v>33147</v>
      </c>
      <c r="B479" t="n">
        <v>12.45628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1.563629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4.879237</v>
      </c>
      <c r="O479" t="n">
        <v>1.766847</v>
      </c>
      <c r="P479" t="n">
        <v>2.295778</v>
      </c>
      <c r="Q479" t="n">
        <v>7.495289</v>
      </c>
      <c r="R479" t="n">
        <v>3.142874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14.69248</v>
      </c>
      <c r="Y479" t="n">
        <v>2.893816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5.411438</v>
      </c>
    </row>
    <row r="480">
      <c r="A480" s="90" t="n">
        <v>33178</v>
      </c>
      <c r="B480" t="n">
        <v>12.55994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1.595482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</v>
      </c>
      <c r="N480" t="n">
        <v>5.011959</v>
      </c>
      <c r="O480" t="n">
        <v>1.810111</v>
      </c>
      <c r="P480" t="n">
        <v>2.324341</v>
      </c>
      <c r="Q480" t="n">
        <v>7.585234</v>
      </c>
      <c r="R480" t="n">
        <v>3.194196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14.77522</v>
      </c>
      <c r="Y480" t="n">
        <v>2.926086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5.52358</v>
      </c>
    </row>
    <row r="481">
      <c r="A481" s="90" t="n">
        <v>33208</v>
      </c>
      <c r="B481" t="n">
        <v>12.67481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1.627679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19.60085</v>
      </c>
      <c r="N481" t="n">
        <v>5.160901</v>
      </c>
      <c r="O481" t="n">
        <v>1.869222</v>
      </c>
      <c r="P481" t="n">
        <v>2.354901</v>
      </c>
      <c r="Q481" t="n">
        <v>7.566935</v>
      </c>
      <c r="R481" t="n">
        <v>3.279618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14.90109</v>
      </c>
      <c r="Y481" t="n">
        <v>2.96715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5.62981</v>
      </c>
    </row>
    <row r="482">
      <c r="A482" s="90" t="n">
        <v>33239</v>
      </c>
      <c r="B482" t="n">
        <v>12.66641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1.660724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5.276538</v>
      </c>
      <c r="O482" t="n">
        <v>1.913423</v>
      </c>
      <c r="P482" t="n">
        <v>2.378565</v>
      </c>
      <c r="Q482" t="n">
        <v>7.50345</v>
      </c>
      <c r="R482" t="n">
        <v>3.438817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15.00737</v>
      </c>
      <c r="Y482" t="n">
        <v>2.993037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5.667762</v>
      </c>
    </row>
    <row r="483">
      <c r="A483" s="90" t="n">
        <v>33270</v>
      </c>
      <c r="B483" t="n">
        <v>12.60197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1.684307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19.72358</v>
      </c>
      <c r="N483" t="n">
        <v>5.37128</v>
      </c>
      <c r="O483" t="n">
        <v>1.934546</v>
      </c>
      <c r="P483" t="n">
        <v>2.411737</v>
      </c>
      <c r="Q483" t="n">
        <v>7.583294</v>
      </c>
      <c r="R483" t="n">
        <v>3.565749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15.10145</v>
      </c>
      <c r="Y483" t="n">
        <v>3.013932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5.837497</v>
      </c>
    </row>
    <row r="484">
      <c r="A484" s="90" t="n">
        <v>33298</v>
      </c>
      <c r="B484" t="n">
        <v>12.62158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1.704033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5.48878</v>
      </c>
      <c r="O484" t="n">
        <v>1.911813</v>
      </c>
      <c r="P484" t="n">
        <v>2.445956</v>
      </c>
      <c r="Q484" t="n">
        <v>7.735173</v>
      </c>
      <c r="R484" t="n">
        <v>3.632843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15.21637</v>
      </c>
      <c r="Y484" t="n">
        <v>3.049846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5.976031</v>
      </c>
    </row>
    <row r="485">
      <c r="A485" s="90" t="n">
        <v>33329</v>
      </c>
      <c r="B485" t="n">
        <v>12.6496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1.740004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19.91028</v>
      </c>
      <c r="N485" t="n">
        <v>5.598561</v>
      </c>
      <c r="O485" t="n">
        <v>1.918892</v>
      </c>
      <c r="P485" t="n">
        <v>2.474186</v>
      </c>
      <c r="Q485" t="n">
        <v>7.842461</v>
      </c>
      <c r="R485" t="n">
        <v>3.695171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15.32942</v>
      </c>
      <c r="Y485" t="n">
        <v>3.095502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6.004189</v>
      </c>
    </row>
    <row r="486">
      <c r="A486" s="90" t="n">
        <v>33359</v>
      </c>
      <c r="B486" t="n">
        <v>12.70003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1.786224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5.755978</v>
      </c>
      <c r="O486" t="n">
        <v>1.973093</v>
      </c>
      <c r="P486" t="n">
        <v>2.513268</v>
      </c>
      <c r="Q486" t="n">
        <v>7.930514</v>
      </c>
      <c r="R486" t="n">
        <v>3.759888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15.44675</v>
      </c>
      <c r="Y486" t="n">
        <v>3.142663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6.117731</v>
      </c>
    </row>
    <row r="487">
      <c r="A487" s="90" t="n">
        <v>33390</v>
      </c>
      <c r="B487" t="n">
        <v>12.77007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1.814198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20.02426</v>
      </c>
      <c r="N487" t="n">
        <v>5.897116</v>
      </c>
      <c r="O487" t="n">
        <v>2.016941</v>
      </c>
      <c r="P487" t="n">
        <v>2.543087</v>
      </c>
      <c r="Q487" t="n">
        <v>7.988161</v>
      </c>
      <c r="R487" t="n">
        <v>3.792033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15.54298</v>
      </c>
      <c r="Y487" t="n">
        <v>3.186063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</v>
      </c>
    </row>
    <row r="488">
      <c r="A488" s="90" t="n">
        <v>33420</v>
      </c>
      <c r="B488" t="n">
        <v>12.80929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1.814973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20.03482</v>
      </c>
      <c r="N488" t="n">
        <v>6.010414</v>
      </c>
      <c r="O488" t="n">
        <v>2.091114</v>
      </c>
      <c r="P488" t="n">
        <v>2.562158</v>
      </c>
      <c r="Q488" t="n">
        <v>8.067864</v>
      </c>
      <c r="R488" t="n">
        <v>3.782996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15.62408</v>
      </c>
      <c r="Y488" t="n">
        <v>3.227599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6.178366</v>
      </c>
    </row>
    <row r="489">
      <c r="A489" s="90" t="n">
        <v>33451</v>
      </c>
      <c r="B489" t="n">
        <v>12.84852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1.812271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20.04687</v>
      </c>
      <c r="N489" t="n">
        <v>6.135763</v>
      </c>
      <c r="O489" t="n">
        <v>2.120657</v>
      </c>
      <c r="P489" t="n">
        <v>2.593009</v>
      </c>
      <c r="Q489" t="n">
        <v>8.189533000000001</v>
      </c>
      <c r="R489" t="n">
        <v>3.848685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15.69206</v>
      </c>
      <c r="Y489" t="n">
        <v>3.271176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6.189105</v>
      </c>
    </row>
    <row r="490">
      <c r="A490" s="90" t="n">
        <v>33482</v>
      </c>
      <c r="B490" t="n">
        <v>12.90735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1.865261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6.266966</v>
      </c>
      <c r="O490" t="n">
        <v>2.114997</v>
      </c>
      <c r="P490" t="n">
        <v>2.631315</v>
      </c>
      <c r="Q490" t="n">
        <v>8.287991</v>
      </c>
      <c r="R490" t="n">
        <v>3.876221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15.78421</v>
      </c>
      <c r="Y490" t="n">
        <v>3.33304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6.246452</v>
      </c>
    </row>
    <row r="491">
      <c r="A491" s="90" t="n">
        <v>33512</v>
      </c>
      <c r="B491" t="n">
        <v>12.93257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1.966895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</v>
      </c>
      <c r="N491" t="n">
        <v>6.415795</v>
      </c>
      <c r="O491" t="n">
        <v>2.149671</v>
      </c>
      <c r="P491" t="n">
        <v>2.680513</v>
      </c>
      <c r="Q491" t="n">
        <v>8.353813000000001</v>
      </c>
      <c r="R491" t="n">
        <v>3.871753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15.90274</v>
      </c>
      <c r="Y491" t="n">
        <v>3.400369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6.298694</v>
      </c>
    </row>
    <row r="492">
      <c r="A492" s="90" t="n">
        <v>33543</v>
      </c>
      <c r="B492" t="n">
        <v>12.91015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2.067236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20.13504</v>
      </c>
      <c r="N492" t="n">
        <v>6.608016</v>
      </c>
      <c r="O492" t="n">
        <v>2.17834</v>
      </c>
      <c r="P492" t="n">
        <v>2.743272</v>
      </c>
      <c r="Q492" t="n">
        <v>8.412444000000001</v>
      </c>
      <c r="R492" t="n">
        <v>4.015499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16.01387</v>
      </c>
      <c r="Y492" t="n">
        <v>3.454366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6.347524</v>
      </c>
    </row>
    <row r="493">
      <c r="A493" s="90" t="n">
        <v>33573</v>
      </c>
      <c r="B493" t="n">
        <v>12.94097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2.150633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6.923165</v>
      </c>
      <c r="O493" t="n">
        <v>2.204942</v>
      </c>
      <c r="P493" t="n">
        <v>2.792468</v>
      </c>
      <c r="Q493" t="n">
        <v>8.500567</v>
      </c>
      <c r="R493" t="n">
        <v>4.476471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16.11954</v>
      </c>
      <c r="Y493" t="n">
        <v>3.508597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6.364489</v>
      </c>
    </row>
    <row r="494">
      <c r="A494" s="90" t="n">
        <v>33604</v>
      </c>
      <c r="B494" t="n">
        <v>12.9886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2.236673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7.224803</v>
      </c>
      <c r="O494" t="n">
        <v>2.239434</v>
      </c>
      <c r="P494" t="n">
        <v>2.831384</v>
      </c>
      <c r="Q494" t="n">
        <v>8.575295000000001</v>
      </c>
      <c r="R494" t="n">
        <v>4.97033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16.23388</v>
      </c>
      <c r="Y494" t="n">
        <v>3.572964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6.435811</v>
      </c>
    </row>
    <row r="495">
      <c r="A495" s="90" t="n">
        <v>33635</v>
      </c>
      <c r="B495" t="n">
        <v>13.01942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2.31216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20.41514</v>
      </c>
      <c r="N495" t="n">
        <v>7.372245</v>
      </c>
      <c r="O495" t="n">
        <v>2.263876</v>
      </c>
      <c r="P495" t="n">
        <v>2.877242</v>
      </c>
      <c r="Q495" t="n">
        <v>8.598919</v>
      </c>
      <c r="R495" t="n">
        <v>5.252357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16.34872</v>
      </c>
      <c r="Y495" t="n">
        <v>3.625677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6.525461</v>
      </c>
    </row>
    <row r="496">
      <c r="A496" s="90" t="n">
        <v>33664</v>
      </c>
      <c r="B496" t="n">
        <v>13.00821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2.39119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7.50879</v>
      </c>
      <c r="O496" t="n">
        <v>2.305664</v>
      </c>
      <c r="P496" t="n">
        <v>2.916583</v>
      </c>
      <c r="Q496" t="n">
        <v>8.602059000000001</v>
      </c>
      <c r="R496" t="n">
        <v>5.402404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16.44216</v>
      </c>
      <c r="Y496" t="n">
        <v>3.678492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6.527053</v>
      </c>
    </row>
    <row r="497">
      <c r="A497" s="90" t="n">
        <v>33695</v>
      </c>
      <c r="B497" t="n">
        <v>13.03063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2.478043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7.75811</v>
      </c>
      <c r="O497" t="n">
        <v>2.370161</v>
      </c>
      <c r="P497" t="n">
        <v>2.947616</v>
      </c>
      <c r="Q497" t="n">
        <v>8.637072</v>
      </c>
      <c r="R497" t="n">
        <v>5.514459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16.49738</v>
      </c>
      <c r="Y497" t="n">
        <v>3.730611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6.571196</v>
      </c>
    </row>
    <row r="498">
      <c r="A498" s="90" t="n">
        <v>33725</v>
      </c>
      <c r="B498" t="n">
        <v>13.12028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2.542717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20.50238</v>
      </c>
      <c r="N498" t="n">
        <v>7.951936</v>
      </c>
      <c r="O498" t="n">
        <v>2.439597</v>
      </c>
      <c r="P498" t="n">
        <v>2.993605</v>
      </c>
      <c r="Q498" t="n">
        <v>8.687632000000001</v>
      </c>
      <c r="R498" t="n">
        <v>5.588897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16.56001</v>
      </c>
      <c r="Y498" t="n">
        <v>3.780309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</v>
      </c>
    </row>
    <row r="499">
      <c r="A499" s="90" t="n">
        <v>33756</v>
      </c>
      <c r="B499" t="n">
        <v>13.1595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2.618662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8.118306</v>
      </c>
      <c r="O499" t="n">
        <v>2.483678</v>
      </c>
      <c r="P499" t="n">
        <v>3.044239</v>
      </c>
      <c r="Q499" t="n">
        <v>8.666492</v>
      </c>
      <c r="R499" t="n">
        <v>5.665667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16.62457</v>
      </c>
      <c r="Y499" t="n">
        <v>3.834157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6.594212</v>
      </c>
    </row>
    <row r="500">
      <c r="A500" s="90" t="n">
        <v>33786</v>
      </c>
      <c r="B500" t="n">
        <v>13.21554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2.66794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20.58709</v>
      </c>
      <c r="N500" t="n">
        <v>8.324614</v>
      </c>
      <c r="O500" t="n">
        <v>2.503967</v>
      </c>
      <c r="P500" t="n">
        <v>3.087719</v>
      </c>
      <c r="Q500" t="n">
        <v>8.76732</v>
      </c>
      <c r="R500" t="n">
        <v>5.753461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16.7037</v>
      </c>
      <c r="Y500" t="n">
        <v>3.889265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6.69231</v>
      </c>
    </row>
    <row r="501">
      <c r="A501" s="90" t="n">
        <v>33817</v>
      </c>
      <c r="B501" t="n">
        <v>13.3248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2.673824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8.517303999999999</v>
      </c>
      <c r="O501" t="n">
        <v>2.5298</v>
      </c>
      <c r="P501" t="n">
        <v>3.125258</v>
      </c>
      <c r="Q501" t="n">
        <v>8.794103</v>
      </c>
      <c r="R501" t="n">
        <v>5.759396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16.7885</v>
      </c>
      <c r="Y501" t="n">
        <v>3.945343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6.749606</v>
      </c>
    </row>
    <row r="502">
      <c r="A502" s="90" t="n">
        <v>33848</v>
      </c>
      <c r="B502" t="n">
        <v>13.38084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2.722701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8.685389000000001</v>
      </c>
      <c r="O502" t="n">
        <v>2.566596</v>
      </c>
      <c r="P502" t="n">
        <v>3.144758</v>
      </c>
      <c r="Q502" t="n">
        <v>8.722004</v>
      </c>
      <c r="R502" t="n">
        <v>5.969265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16.87754</v>
      </c>
      <c r="Y502" t="n">
        <v>4.000263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6.782853</v>
      </c>
    </row>
    <row r="503">
      <c r="A503" s="90" t="n">
        <v>33878</v>
      </c>
      <c r="B503" t="n">
        <v>13.37804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2.813915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8.804555000000001</v>
      </c>
      <c r="O503" t="n">
        <v>2.618265</v>
      </c>
      <c r="P503" t="n">
        <v>3.181611</v>
      </c>
      <c r="Q503" t="n">
        <v>8.752135000000001</v>
      </c>
      <c r="R503" t="n">
        <v>6.119885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16.99831</v>
      </c>
      <c r="Y503" t="n">
        <v>4.054146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90" t="n">
        <v>33909</v>
      </c>
      <c r="B504" t="n">
        <v>13.41446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2.893695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21.02526</v>
      </c>
      <c r="N504" t="n">
        <v>8.926258000000001</v>
      </c>
      <c r="O504" t="n">
        <v>2.674046</v>
      </c>
      <c r="P504" t="n">
        <v>3.22471</v>
      </c>
      <c r="Q504" t="n">
        <v>8.777243</v>
      </c>
      <c r="R504" t="n">
        <v>6.122407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17.09783</v>
      </c>
      <c r="Y504" t="n">
        <v>4.110559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6.898283</v>
      </c>
    </row>
    <row r="505">
      <c r="A505" s="90" t="n">
        <v>33939</v>
      </c>
      <c r="B505" t="n">
        <v>13.47609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2.989666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20.98201</v>
      </c>
      <c r="N505" t="n">
        <v>9.020161999999999</v>
      </c>
      <c r="O505" t="n">
        <v>2.690278</v>
      </c>
      <c r="P505" t="n">
        <v>3.246403</v>
      </c>
      <c r="Q505" t="n">
        <v>8.829141999999999</v>
      </c>
      <c r="R505" t="n">
        <v>6.244242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17.1795</v>
      </c>
      <c r="Y505" t="n">
        <v>4.161834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6.89573</v>
      </c>
    </row>
    <row r="506">
      <c r="A506" s="90" t="n">
        <v>33970</v>
      </c>
      <c r="B506" t="n">
        <v>13.56015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3.070398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20.9565</v>
      </c>
      <c r="N506" t="n">
        <v>9.139138000000001</v>
      </c>
      <c r="O506" t="n">
        <v>2.701066</v>
      </c>
      <c r="P506" t="n">
        <v>3.275181</v>
      </c>
      <c r="Q506" t="n">
        <v>8.854608000000001</v>
      </c>
      <c r="R506" t="n">
        <v>6.43188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17.26401</v>
      </c>
      <c r="Y506" t="n">
        <v>4.217286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6.865018</v>
      </c>
    </row>
    <row r="507">
      <c r="A507" s="90" t="n">
        <v>34001</v>
      </c>
      <c r="B507" t="n">
        <v>13.66101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3.140599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21.02735</v>
      </c>
      <c r="N507" t="n">
        <v>9.307603</v>
      </c>
      <c r="O507" t="n">
        <v>2.753246</v>
      </c>
      <c r="P507" t="n">
        <v>3.306375</v>
      </c>
      <c r="Q507" t="n">
        <v>8.875814</v>
      </c>
      <c r="R507" t="n">
        <v>6.573858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17.34548</v>
      </c>
      <c r="Y507" t="n">
        <v>4.267911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6.868097</v>
      </c>
    </row>
    <row r="508">
      <c r="A508" s="90" t="n">
        <v>34029</v>
      </c>
      <c r="B508" t="n">
        <v>13.73385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3.226202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21.10267</v>
      </c>
      <c r="N508" t="n">
        <v>9.434618</v>
      </c>
      <c r="O508" t="n">
        <v>2.818631</v>
      </c>
      <c r="P508" t="n">
        <v>3.342468</v>
      </c>
      <c r="Q508" t="n">
        <v>8.860041000000001</v>
      </c>
      <c r="R508" t="n">
        <v>6.675957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17.4071</v>
      </c>
      <c r="Y508" t="n">
        <v>4.319941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6.876737</v>
      </c>
    </row>
    <row r="509">
      <c r="A509" s="90" t="n">
        <v>34060</v>
      </c>
      <c r="B509" t="n">
        <v>13.77027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3.300756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9.563919</v>
      </c>
      <c r="O509" t="n">
        <v>2.844302</v>
      </c>
      <c r="P509" t="n">
        <v>3.411236</v>
      </c>
      <c r="Q509" t="n">
        <v>8.862294</v>
      </c>
      <c r="R509" t="n">
        <v>6.77851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17.48921</v>
      </c>
      <c r="Y509" t="n">
        <v>4.361985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6.868569</v>
      </c>
    </row>
    <row r="510">
      <c r="A510" s="90" t="n">
        <v>34090</v>
      </c>
      <c r="B510" t="n">
        <v>13.79829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3.395696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9.679988</v>
      </c>
      <c r="O510" t="n">
        <v>2.843684</v>
      </c>
      <c r="P510" t="n">
        <v>3.466968</v>
      </c>
      <c r="Q510" t="n">
        <v>8.869861999999999</v>
      </c>
      <c r="R510" t="n">
        <v>6.838104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17.64259</v>
      </c>
      <c r="Y510" t="n">
        <v>4.413063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6.856921</v>
      </c>
    </row>
    <row r="511">
      <c r="A511" s="90" t="n">
        <v>34121</v>
      </c>
      <c r="B511" t="n">
        <v>13.91036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3.521675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9.747705</v>
      </c>
      <c r="O511" t="n">
        <v>2.875759</v>
      </c>
      <c r="P511" t="n">
        <v>3.490485</v>
      </c>
      <c r="Q511" t="n">
        <v>8.937452</v>
      </c>
      <c r="R511" t="n">
        <v>6.920106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17.74137</v>
      </c>
      <c r="Y511" t="n">
        <v>4.453103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6.854595</v>
      </c>
    </row>
    <row r="512">
      <c r="A512" s="90" t="n">
        <v>34151</v>
      </c>
      <c r="B512" t="n">
        <v>14.02803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3.673386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21.34277</v>
      </c>
      <c r="N512" t="n">
        <v>9.881346000000001</v>
      </c>
      <c r="O512" t="n">
        <v>2.93056</v>
      </c>
      <c r="P512" t="n">
        <v>3.526952</v>
      </c>
      <c r="Q512" t="n">
        <v>9.141386000000001</v>
      </c>
      <c r="R512" t="n">
        <v>7.064507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17.82576</v>
      </c>
      <c r="Y512" t="n">
        <v>4.49732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6.868499</v>
      </c>
    </row>
    <row r="513">
      <c r="A513" s="90" t="n">
        <v>34182</v>
      </c>
      <c r="B513" t="n">
        <v>14.03643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3.809705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9.994808000000001</v>
      </c>
      <c r="O513" t="n">
        <v>3.009543</v>
      </c>
      <c r="P513" t="n">
        <v>3.577121</v>
      </c>
      <c r="Q513" t="n">
        <v>9.220406000000001</v>
      </c>
      <c r="R513" t="n">
        <v>7.228383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17.92835</v>
      </c>
      <c r="Y513" t="n">
        <v>4.565278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6.964551</v>
      </c>
    </row>
    <row r="514">
      <c r="A514" s="90" t="n">
        <v>34213</v>
      </c>
      <c r="B514" t="n">
        <v>14.07285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3.90695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10.09271</v>
      </c>
      <c r="O514" t="n">
        <v>3.087968</v>
      </c>
      <c r="P514" t="n">
        <v>3.615468</v>
      </c>
      <c r="Q514" t="n">
        <v>9.144838</v>
      </c>
      <c r="R514" t="n">
        <v>7.374523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18.02655</v>
      </c>
      <c r="Y514" t="n">
        <v>4.622831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7.072461</v>
      </c>
    </row>
    <row r="515">
      <c r="A515" s="90" t="n">
        <v>34243</v>
      </c>
      <c r="B515" t="n">
        <v>14.16531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4.022388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21.60696</v>
      </c>
      <c r="N515" t="n">
        <v>10.19198</v>
      </c>
      <c r="O515" t="n">
        <v>3.138422</v>
      </c>
      <c r="P515" t="n">
        <v>3.646096</v>
      </c>
      <c r="Q515" t="n">
        <v>9.119567</v>
      </c>
      <c r="R515" t="n">
        <v>7.557895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18.13141</v>
      </c>
      <c r="Y515" t="n">
        <v>4.691822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7.151006</v>
      </c>
    </row>
    <row r="516">
      <c r="A516" s="90" t="n">
        <v>34274</v>
      </c>
      <c r="B516" t="n">
        <v>14.23255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4.176898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10.26217</v>
      </c>
      <c r="O516" t="n">
        <v>3.190482</v>
      </c>
      <c r="P516" t="n">
        <v>3.698002</v>
      </c>
      <c r="Q516" t="n">
        <v>9.179973</v>
      </c>
      <c r="R516" t="n">
        <v>7.87938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18.24399</v>
      </c>
      <c r="Y516" t="n">
        <v>4.777122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7.262028</v>
      </c>
    </row>
    <row r="517">
      <c r="A517" s="90" t="n">
        <v>34304</v>
      </c>
      <c r="B517" t="n">
        <v>14.29419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4.319404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10.39157</v>
      </c>
      <c r="O517" t="n">
        <v>3.248032</v>
      </c>
      <c r="P517" t="n">
        <v>3.765539</v>
      </c>
      <c r="Q517" t="n">
        <v>9.312113999999999</v>
      </c>
      <c r="R517" t="n">
        <v>8.127268000000001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18.3541</v>
      </c>
      <c r="Y517" t="n">
        <v>4.850855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7.332563</v>
      </c>
    </row>
    <row r="518">
      <c r="A518" s="90" t="n">
        <v>34335</v>
      </c>
      <c r="B518" t="n">
        <v>14.40625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4.476154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22.06283</v>
      </c>
      <c r="N518" t="n">
        <v>10.5192</v>
      </c>
      <c r="O518" t="n">
        <v>3.306293</v>
      </c>
      <c r="P518" t="n">
        <v>3.836406</v>
      </c>
      <c r="Q518" t="n">
        <v>9.396003</v>
      </c>
      <c r="R518" t="n">
        <v>8.242571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18.49449</v>
      </c>
      <c r="Y518" t="n">
        <v>4.964294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7.422616</v>
      </c>
    </row>
    <row r="519">
      <c r="A519" s="90" t="n">
        <v>34366</v>
      </c>
      <c r="B519" t="n">
        <v>14.52392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4.628302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</v>
      </c>
      <c r="O519" t="n">
        <v>3.404782</v>
      </c>
      <c r="P519" t="n">
        <v>3.905887</v>
      </c>
      <c r="Q519" t="n">
        <v>9.383606</v>
      </c>
      <c r="R519" t="n">
        <v>8.448172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18.62481</v>
      </c>
      <c r="Y519" t="n">
        <v>5.08137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7.577398</v>
      </c>
    </row>
    <row r="520">
      <c r="A520" s="90" t="n">
        <v>34394</v>
      </c>
      <c r="B520" t="n">
        <v>14.6472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4.747706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10.72477</v>
      </c>
      <c r="O520" t="n">
        <v>3.459284</v>
      </c>
      <c r="P520" t="n">
        <v>3.960797</v>
      </c>
      <c r="Q520" t="n">
        <v>9.502678</v>
      </c>
      <c r="R520" t="n">
        <v>8.850474999999999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18.75108</v>
      </c>
      <c r="Y520" t="n">
        <v>5.171556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7.674779</v>
      </c>
    </row>
    <row r="521">
      <c r="A521" s="90" t="n">
        <v>34425</v>
      </c>
      <c r="B521" t="n">
        <v>14.78728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4.888046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22.36515</v>
      </c>
      <c r="N521" t="n">
        <v>10.89165</v>
      </c>
      <c r="O521" t="n">
        <v>3.476745</v>
      </c>
      <c r="P521" t="n">
        <v>4.026421</v>
      </c>
      <c r="Q521" t="n">
        <v>9.546569999999999</v>
      </c>
      <c r="R521" t="n">
        <v>9.035351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18.89575</v>
      </c>
      <c r="Y521" t="n">
        <v>5.351661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7.744037</v>
      </c>
    </row>
    <row r="522">
      <c r="A522" s="90" t="n">
        <v>34455</v>
      </c>
      <c r="B522" t="n">
        <v>14.89935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5.068696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22.43817</v>
      </c>
      <c r="N522" t="n">
        <v>11.04293</v>
      </c>
      <c r="O522" t="n">
        <v>3.518213</v>
      </c>
      <c r="P522" t="n">
        <v>4.093244</v>
      </c>
      <c r="Q522" t="n">
        <v>9.437055000000001</v>
      </c>
      <c r="R522" t="n">
        <v>9.070301000000001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19.07043</v>
      </c>
      <c r="Y522" t="n">
        <v>5.562435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90" t="n">
        <v>34486</v>
      </c>
      <c r="B523" t="n">
        <v>14.9806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5.215226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11.18499</v>
      </c>
      <c r="O523" t="n">
        <v>3.540255</v>
      </c>
      <c r="P523" t="n">
        <v>4.142064</v>
      </c>
      <c r="Q523" t="n">
        <v>9.433172000000001</v>
      </c>
      <c r="R523" t="n">
        <v>9.303438999999999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19.20259</v>
      </c>
      <c r="Y523" t="n">
        <v>5.732671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7.900725</v>
      </c>
    </row>
    <row r="524">
      <c r="A524" s="90" t="n">
        <v>34516</v>
      </c>
      <c r="B524" t="n">
        <v>15.04224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5.348237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11.27493</v>
      </c>
      <c r="O524" t="n">
        <v>3.572779</v>
      </c>
      <c r="P524" t="n">
        <v>4.208702</v>
      </c>
      <c r="Q524" t="n">
        <v>9.449413</v>
      </c>
      <c r="R524" t="n">
        <v>9.499511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19.40797</v>
      </c>
      <c r="Y524" t="n">
        <v>5.920443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7.940653</v>
      </c>
    </row>
    <row r="525">
      <c r="A525" s="90" t="n">
        <v>34547</v>
      </c>
      <c r="B525" t="n">
        <v>15.1431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5.514242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22.58616</v>
      </c>
      <c r="N525" t="n">
        <v>11.39019</v>
      </c>
      <c r="O525" t="n">
        <v>3.630134</v>
      </c>
      <c r="P525" t="n">
        <v>4.264457</v>
      </c>
      <c r="Q525" t="n">
        <v>9.451738000000001</v>
      </c>
      <c r="R525" t="n">
        <v>9.713329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19.54513</v>
      </c>
      <c r="Y525" t="n">
        <v>6.04748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8.064111</v>
      </c>
    </row>
    <row r="526">
      <c r="A526" s="90" t="n">
        <v>34578</v>
      </c>
      <c r="B526" t="n">
        <v>15.19913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5.684278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22.70085</v>
      </c>
      <c r="N526" t="n">
        <v>11.53682</v>
      </c>
      <c r="O526" t="n">
        <v>3.699441</v>
      </c>
      <c r="P526" t="n">
        <v>4.337437</v>
      </c>
      <c r="Q526" t="n">
        <v>9.486117</v>
      </c>
      <c r="R526" t="n">
        <v>9.902844999999999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19.69041</v>
      </c>
      <c r="Y526" t="n">
        <v>6.166388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8.107485</v>
      </c>
    </row>
    <row r="527">
      <c r="A527" s="90" t="n">
        <v>34608</v>
      </c>
      <c r="B527" t="n">
        <v>15.29719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5.849614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11.66631</v>
      </c>
      <c r="O527" t="n">
        <v>3.757281</v>
      </c>
      <c r="P527" t="n">
        <v>4.435031</v>
      </c>
      <c r="Q527" t="n">
        <v>9.530014</v>
      </c>
      <c r="R527" t="n">
        <v>10.01016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19.82463</v>
      </c>
      <c r="Y527" t="n">
        <v>6.303346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8.187393999999999</v>
      </c>
    </row>
    <row r="528">
      <c r="A528" s="90" t="n">
        <v>34639</v>
      </c>
      <c r="B528" t="n">
        <v>15.4905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11.86833</v>
      </c>
      <c r="O528" t="n">
        <v>3.814572</v>
      </c>
      <c r="P528" t="n">
        <v>4.49903</v>
      </c>
      <c r="Q528" t="n">
        <v>9.559862000000001</v>
      </c>
      <c r="R528" t="n">
        <v>10.15385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19.94775</v>
      </c>
      <c r="Y528" t="n">
        <v>6.426569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8.335074000000001</v>
      </c>
    </row>
    <row r="529">
      <c r="A529" s="90" t="n">
        <v>34669</v>
      </c>
      <c r="B529" t="n">
        <v>15.653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6.173739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11.90052</v>
      </c>
      <c r="O529" t="n">
        <v>3.893908</v>
      </c>
      <c r="P529" t="n">
        <v>4.548928</v>
      </c>
      <c r="Q529" t="n">
        <v>9.590674999999999</v>
      </c>
      <c r="R529" t="n">
        <v>10.23057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20.07563</v>
      </c>
      <c r="Y529" t="n">
        <v>6.52704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8.44685</v>
      </c>
    </row>
    <row r="530">
      <c r="A530" s="90" t="n">
        <v>34700</v>
      </c>
      <c r="B530" t="n">
        <v>15.72024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6.332555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11.92524</v>
      </c>
      <c r="O530" t="n">
        <v>3.986418</v>
      </c>
      <c r="P530" t="n">
        <v>4.585485</v>
      </c>
      <c r="Q530" t="n">
        <v>9.585978000000001</v>
      </c>
      <c r="R530" t="n">
        <v>10.24622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20.24086</v>
      </c>
      <c r="Y530" t="n">
        <v>6.66153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8.474308000000001</v>
      </c>
    </row>
    <row r="531">
      <c r="A531" s="90" t="n">
        <v>34731</v>
      </c>
      <c r="B531" t="n">
        <v>15.75106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6.478168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23.25347</v>
      </c>
      <c r="N531" t="n">
        <v>12.09278</v>
      </c>
      <c r="O531" t="n">
        <v>4.085904</v>
      </c>
      <c r="P531" t="n">
        <v>4.628234</v>
      </c>
      <c r="Q531" t="n">
        <v>9.587081</v>
      </c>
      <c r="R531" t="n">
        <v>10.37191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20.3388</v>
      </c>
      <c r="Y531" t="n">
        <v>6.782928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8.466595</v>
      </c>
    </row>
    <row r="532">
      <c r="A532" s="90" t="n">
        <v>34759</v>
      </c>
      <c r="B532" t="n">
        <v>15.87994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6.668708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23.53127</v>
      </c>
      <c r="N532" t="n">
        <v>12.26578</v>
      </c>
      <c r="O532" t="n">
        <v>4.17741</v>
      </c>
      <c r="P532" t="n">
        <v>4.764046</v>
      </c>
      <c r="Q532" t="n">
        <v>9.615411</v>
      </c>
      <c r="R532" t="n">
        <v>10.54703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20.47979</v>
      </c>
      <c r="Y532" t="n">
        <v>6.931805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8.575642</v>
      </c>
    </row>
    <row r="533">
      <c r="A533" s="90" t="n">
        <v>34790</v>
      </c>
      <c r="B533" t="n">
        <v>16.01162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6.867691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23.72335</v>
      </c>
      <c r="N533" t="n">
        <v>12.4114</v>
      </c>
      <c r="O533" t="n">
        <v>4.238122</v>
      </c>
      <c r="P533" t="n">
        <v>4.822098</v>
      </c>
      <c r="Q533" t="n">
        <v>9.597218</v>
      </c>
      <c r="R533" t="n">
        <v>10.75062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20.62511</v>
      </c>
      <c r="Y533" t="n">
        <v>7.070204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8.777241999999999</v>
      </c>
    </row>
    <row r="534">
      <c r="A534" s="90" t="n">
        <v>34820</v>
      </c>
      <c r="B534" t="n">
        <v>16.09847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7.038505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12.52536</v>
      </c>
      <c r="O534" t="n">
        <v>4.291777</v>
      </c>
      <c r="P534" t="n">
        <v>4.806061</v>
      </c>
      <c r="Q534" t="n">
        <v>9.601129999999999</v>
      </c>
      <c r="R534" t="n">
        <v>11.01049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20.79783</v>
      </c>
      <c r="Y534" t="n">
        <v>7.193303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9.033811999999999</v>
      </c>
    </row>
    <row r="535">
      <c r="A535" s="90" t="n">
        <v>34851</v>
      </c>
      <c r="B535" t="n">
        <v>16.1461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7.205766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23.99668</v>
      </c>
      <c r="N535" t="n">
        <v>12.70834</v>
      </c>
      <c r="O535" t="n">
        <v>4.383917</v>
      </c>
      <c r="P535" t="n">
        <v>4.858943</v>
      </c>
      <c r="Q535" t="n">
        <v>9.658422</v>
      </c>
      <c r="R535" t="n">
        <v>11.23633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20.98643</v>
      </c>
      <c r="Y535" t="n">
        <v>7.317714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9.194837</v>
      </c>
    </row>
    <row r="536">
      <c r="A536" s="90" t="n">
        <v>34881</v>
      </c>
      <c r="B536" t="n">
        <v>16.20774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7.330547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24.23395</v>
      </c>
      <c r="N536" t="n">
        <v>12.91944</v>
      </c>
      <c r="O536" t="n">
        <v>4.495667</v>
      </c>
      <c r="P536" t="n">
        <v>4.904411</v>
      </c>
      <c r="Q536" t="n">
        <v>9.660066</v>
      </c>
      <c r="R536" t="n">
        <v>11.41498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21.15622</v>
      </c>
      <c r="Y536" t="n">
        <v>7.462931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9.256522</v>
      </c>
    </row>
    <row r="537">
      <c r="A537" s="90" t="n">
        <v>34912</v>
      </c>
      <c r="B537" t="n">
        <v>16.33941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7.420648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24.52648</v>
      </c>
      <c r="N537" t="n">
        <v>13.09746</v>
      </c>
      <c r="O537" t="n">
        <v>4.601474</v>
      </c>
      <c r="P537" t="n">
        <v>4.962574</v>
      </c>
      <c r="Q537" t="n">
        <v>9.686919</v>
      </c>
      <c r="R537" t="n">
        <v>11.62752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21.3554</v>
      </c>
      <c r="Y537" t="n">
        <v>7.625239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9.321425</v>
      </c>
    </row>
    <row r="538">
      <c r="A538" s="90" t="n">
        <v>34943</v>
      </c>
      <c r="B538" t="n">
        <v>16.50751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7.61343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13.34954</v>
      </c>
      <c r="O538" t="n">
        <v>4.694549</v>
      </c>
      <c r="P538" t="n">
        <v>5.037403</v>
      </c>
      <c r="Q538" t="n">
        <v>9.764265</v>
      </c>
      <c r="R538" t="n">
        <v>11.84519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21.53504</v>
      </c>
      <c r="Y538" t="n">
        <v>7.760314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9.364572000000001</v>
      </c>
    </row>
    <row r="539">
      <c r="A539" s="90" t="n">
        <v>34973</v>
      </c>
      <c r="B539" t="n">
        <v>16.68402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7.881913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24.9387</v>
      </c>
      <c r="N539" t="n">
        <v>13.59315</v>
      </c>
      <c r="O539" t="n">
        <v>4.788361</v>
      </c>
      <c r="P539" t="n">
        <v>5.1109</v>
      </c>
      <c r="Q539" t="n">
        <v>9.77097</v>
      </c>
      <c r="R539" t="n">
        <v>12.06084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21.70052</v>
      </c>
      <c r="Y539" t="n">
        <v>7.887898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9.420661000000001</v>
      </c>
    </row>
    <row r="540">
      <c r="A540" s="90" t="n">
        <v>35004</v>
      </c>
      <c r="B540" t="n">
        <v>16.83251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7.999508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25.13871</v>
      </c>
      <c r="N540" t="n">
        <v>13.78575</v>
      </c>
      <c r="O540" t="n">
        <v>4.893164</v>
      </c>
      <c r="P540" t="n">
        <v>5.158834</v>
      </c>
      <c r="Q540" t="n">
        <v>9.727136</v>
      </c>
      <c r="R540" t="n">
        <v>12.29097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21.91519</v>
      </c>
      <c r="Y540" t="n">
        <v>8.069058999999999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9.505239</v>
      </c>
    </row>
    <row r="541">
      <c r="A541" s="90" t="n">
        <v>35034</v>
      </c>
      <c r="B541" t="n">
        <v>17.02303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8.049109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25.62245</v>
      </c>
      <c r="N541" t="n">
        <v>14.04978</v>
      </c>
      <c r="O541" t="n">
        <v>4.987531</v>
      </c>
      <c r="P541" t="n">
        <v>5.206399</v>
      </c>
      <c r="Q541" t="n">
        <v>9.769175000000001</v>
      </c>
      <c r="R541" t="n">
        <v>12.43968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22.15891</v>
      </c>
      <c r="Y541" t="n">
        <v>8.32551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9.668521</v>
      </c>
    </row>
    <row r="542">
      <c r="A542" s="90" t="n">
        <v>35065</v>
      </c>
      <c r="B542" t="n">
        <v>17.17432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8.161930999999999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26.42798</v>
      </c>
      <c r="N542" t="n">
        <v>14.33192</v>
      </c>
      <c r="O542" t="n">
        <v>5.067066</v>
      </c>
      <c r="P542" t="n">
        <v>5.27354</v>
      </c>
      <c r="Q542" t="n">
        <v>9.899778</v>
      </c>
      <c r="R542" t="n">
        <v>12.65368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22.44924</v>
      </c>
      <c r="Y542" t="n">
        <v>8.630746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9.828846</v>
      </c>
    </row>
    <row r="543">
      <c r="A543" s="90" t="n">
        <v>35096</v>
      </c>
      <c r="B543" t="n">
        <v>17.26397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8.321145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14.65201</v>
      </c>
      <c r="O543" t="n">
        <v>5.178958</v>
      </c>
      <c r="P543" t="n">
        <v>5.337564</v>
      </c>
      <c r="Q543" t="n">
        <v>9.973144</v>
      </c>
      <c r="R543" t="n">
        <v>12.974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22.65967</v>
      </c>
      <c r="Y543" t="n">
        <v>8.853272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10.02116</v>
      </c>
    </row>
    <row r="544">
      <c r="A544" s="90" t="n">
        <v>35125</v>
      </c>
      <c r="B544" t="n">
        <v>17.37043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8.510604000000001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14.93524</v>
      </c>
      <c r="O544" t="n">
        <v>5.332672</v>
      </c>
      <c r="P544" t="n">
        <v>5.44497</v>
      </c>
      <c r="Q544" t="n">
        <v>10.02459</v>
      </c>
      <c r="R544" t="n">
        <v>13.22138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22.88718</v>
      </c>
      <c r="Y544" t="n">
        <v>9.018769000000001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10.24996</v>
      </c>
    </row>
    <row r="545">
      <c r="A545" s="90" t="n">
        <v>35156</v>
      </c>
      <c r="B545" t="n">
        <v>17.46569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8.680263999999999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</v>
      </c>
      <c r="O545" t="n">
        <v>5.475049</v>
      </c>
      <c r="P545" t="n">
        <v>5.532153</v>
      </c>
      <c r="Q545" t="n">
        <v>10.10721</v>
      </c>
      <c r="R545" t="n">
        <v>13.49306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23.08509</v>
      </c>
      <c r="Y545" t="n">
        <v>9.219621999999999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10.39089</v>
      </c>
    </row>
    <row r="546">
      <c r="A546" s="90" t="n">
        <v>35186</v>
      </c>
      <c r="B546" t="n">
        <v>17.51892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8.818773999999999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15.45133</v>
      </c>
      <c r="O546" t="n">
        <v>5.58922</v>
      </c>
      <c r="P546" t="n">
        <v>5.561161</v>
      </c>
      <c r="Q546" t="n">
        <v>10.17305</v>
      </c>
      <c r="R546" t="n">
        <v>13.8448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23.30062</v>
      </c>
      <c r="Y546" t="n">
        <v>9.421695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10.55749</v>
      </c>
    </row>
    <row r="547">
      <c r="A547" s="90" t="n">
        <v>35217</v>
      </c>
      <c r="B547" t="n">
        <v>17.61418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8.967642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</v>
      </c>
      <c r="O547" t="n">
        <v>5.691286</v>
      </c>
      <c r="P547" t="n">
        <v>5.631154</v>
      </c>
      <c r="Q547" t="n">
        <v>10.18427</v>
      </c>
      <c r="R547" t="n">
        <v>14.12321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23.49494</v>
      </c>
      <c r="Y547" t="n">
        <v>9.601478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10.81014</v>
      </c>
    </row>
    <row r="548">
      <c r="A548" s="90" t="n">
        <v>35247</v>
      </c>
      <c r="B548" t="n">
        <v>17.8047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9.163498000000001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28.16895</v>
      </c>
      <c r="N548" t="n">
        <v>15.98207</v>
      </c>
      <c r="O548" t="n">
        <v>5.784675</v>
      </c>
      <c r="P548" t="n">
        <v>5.713132</v>
      </c>
      <c r="Q548" t="n">
        <v>10.17818</v>
      </c>
      <c r="R548" t="n">
        <v>14.39812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23.68861</v>
      </c>
      <c r="Y548" t="n">
        <v>9.786633999999999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10.99221</v>
      </c>
    </row>
    <row r="549">
      <c r="A549" s="90" t="n">
        <v>35278</v>
      </c>
      <c r="B549" t="n">
        <v>17.95038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9.350896000000001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28.41325</v>
      </c>
      <c r="N549" t="n">
        <v>16.27163</v>
      </c>
      <c r="O549" t="n">
        <v>5.848485</v>
      </c>
      <c r="P549" t="n">
        <v>5.774502</v>
      </c>
      <c r="Q549" t="n">
        <v>10.22822</v>
      </c>
      <c r="R549" t="n">
        <v>14.78978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23.88292</v>
      </c>
      <c r="Y549" t="n">
        <v>10.00744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11.10687</v>
      </c>
    </row>
    <row r="550">
      <c r="A550" s="90" t="n">
        <v>35309</v>
      </c>
      <c r="B550" t="n">
        <v>17.96719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9.542047999999999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28.66115</v>
      </c>
      <c r="N550" t="n">
        <v>16.53499</v>
      </c>
      <c r="O550" t="n">
        <v>5.923763</v>
      </c>
      <c r="P550" t="n">
        <v>5.842963</v>
      </c>
      <c r="Q550" t="n">
        <v>10.28307</v>
      </c>
      <c r="R550" t="n">
        <v>15.04405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24.10011</v>
      </c>
      <c r="Y550" t="n">
        <v>10.2642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11.16726</v>
      </c>
    </row>
    <row r="551">
      <c r="A551" s="90" t="n">
        <v>35339</v>
      </c>
      <c r="B551" t="n">
        <v>18.12409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9.723091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28.87112</v>
      </c>
      <c r="N551" t="n">
        <v>16.77691</v>
      </c>
      <c r="O551" t="n">
        <v>6.077827</v>
      </c>
      <c r="P551" t="n">
        <v>5.897906</v>
      </c>
      <c r="Q551" t="n">
        <v>10.27889</v>
      </c>
      <c r="R551" t="n">
        <v>15.27562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24.36105</v>
      </c>
      <c r="Y551" t="n">
        <v>10.50707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11.28853</v>
      </c>
    </row>
    <row r="552">
      <c r="A552" s="90" t="n">
        <v>35370</v>
      </c>
      <c r="B552" t="n">
        <v>18.40706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9.843090999999999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29.27368</v>
      </c>
      <c r="N552" t="n">
        <v>17.05245</v>
      </c>
      <c r="O552" t="n">
        <v>6.27933</v>
      </c>
      <c r="P552" t="n">
        <v>5.962363</v>
      </c>
      <c r="Q552" t="n">
        <v>10.31674</v>
      </c>
      <c r="R552" t="n">
        <v>15.55086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24.62257</v>
      </c>
      <c r="Y552" t="n">
        <v>10.79714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11.40053</v>
      </c>
    </row>
    <row r="553">
      <c r="A553" s="90" t="n">
        <v>35400</v>
      </c>
      <c r="B553" t="n">
        <v>18.56115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10.18248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</v>
      </c>
      <c r="N553" t="n">
        <v>17.27211</v>
      </c>
      <c r="O553" t="n">
        <v>6.4574</v>
      </c>
      <c r="P553" t="n">
        <v>6.050006</v>
      </c>
      <c r="Q553" t="n">
        <v>10.45908</v>
      </c>
      <c r="R553" t="n">
        <v>15.76498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24.90181</v>
      </c>
      <c r="Y553" t="n">
        <v>11.10778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11.43084</v>
      </c>
    </row>
    <row r="554">
      <c r="A554" s="90" t="n">
        <v>35431</v>
      </c>
      <c r="B554" t="n">
        <v>18.67041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10.5125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29.82654</v>
      </c>
      <c r="N554" t="n">
        <v>17.44374</v>
      </c>
      <c r="O554" t="n">
        <v>6.598531</v>
      </c>
      <c r="P554" t="n">
        <v>6.157489</v>
      </c>
      <c r="Q554" t="n">
        <v>10.50854</v>
      </c>
      <c r="R554" t="n">
        <v>16.07568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25.15746</v>
      </c>
      <c r="Y554" t="n">
        <v>11.38842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11.59725</v>
      </c>
    </row>
    <row r="555">
      <c r="A555" s="90" t="n">
        <v>35462</v>
      </c>
      <c r="B555" t="n">
        <v>18.79929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10.60055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30.31374</v>
      </c>
      <c r="N555" t="n">
        <v>17.61115</v>
      </c>
      <c r="O555" t="n">
        <v>6.718781</v>
      </c>
      <c r="P555" t="n">
        <v>6.260836</v>
      </c>
      <c r="Q555" t="n">
        <v>10.57753</v>
      </c>
      <c r="R555" t="n">
        <v>16.39139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25.34551</v>
      </c>
      <c r="Y555" t="n">
        <v>11.60286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11.78413</v>
      </c>
    </row>
    <row r="556">
      <c r="A556" s="90" t="n">
        <v>35490</v>
      </c>
      <c r="B556" t="n">
        <v>18.91416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10.71256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17.76644</v>
      </c>
      <c r="O556" t="n">
        <v>6.824524</v>
      </c>
      <c r="P556" t="n">
        <v>6.354182</v>
      </c>
      <c r="Q556" t="n">
        <v>10.64474</v>
      </c>
      <c r="R556" t="n">
        <v>16.61296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25.55237</v>
      </c>
      <c r="Y556" t="n">
        <v>11.79613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11.95953</v>
      </c>
    </row>
    <row r="557">
      <c r="A557" s="90" t="n">
        <v>35521</v>
      </c>
      <c r="B557" t="n">
        <v>19.02903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10.92676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17.94182</v>
      </c>
      <c r="O557" t="n">
        <v>6.913844</v>
      </c>
      <c r="P557" t="n">
        <v>6.42922</v>
      </c>
      <c r="Q557" t="n">
        <v>10.74691</v>
      </c>
      <c r="R557" t="n">
        <v>16.84559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25.75884</v>
      </c>
      <c r="Y557" t="n">
        <v>11.96179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90" t="n">
        <v>35551</v>
      </c>
      <c r="B558" t="n">
        <v>19.17752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11.12397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30.79831</v>
      </c>
      <c r="N558" t="n">
        <v>18.25892</v>
      </c>
      <c r="O558" t="n">
        <v>6.994459</v>
      </c>
      <c r="P558" t="n">
        <v>6.495253</v>
      </c>
      <c r="Q558" t="n">
        <v>10.86526</v>
      </c>
      <c r="R558" t="n">
        <v>17.10498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25.94041</v>
      </c>
      <c r="Y558" t="n">
        <v>12.14699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12.33896</v>
      </c>
    </row>
    <row r="559">
      <c r="A559" s="90" t="n">
        <v>35582</v>
      </c>
      <c r="B559" t="n">
        <v>19.29239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11.35058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31.35865</v>
      </c>
      <c r="N559" t="n">
        <v>18.56122</v>
      </c>
      <c r="O559" t="n">
        <v>7.104663</v>
      </c>
      <c r="P559" t="n">
        <v>6.591904</v>
      </c>
      <c r="Q559" t="n">
        <v>10.84021</v>
      </c>
      <c r="R559" t="n">
        <v>17.421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26.19041</v>
      </c>
      <c r="Y559" t="n">
        <v>12.42174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12.46331</v>
      </c>
    </row>
    <row r="560">
      <c r="A560" s="90" t="n">
        <v>35612</v>
      </c>
      <c r="B560" t="n">
        <v>19.36523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11.64689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32.03392</v>
      </c>
      <c r="N560" t="n">
        <v>18.89875</v>
      </c>
      <c r="O560" t="n">
        <v>7.220211</v>
      </c>
      <c r="P560" t="n">
        <v>6.673553</v>
      </c>
      <c r="Q560" t="n">
        <v>10.92542</v>
      </c>
      <c r="R560" t="n">
        <v>17.69846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26.4643</v>
      </c>
      <c r="Y560" t="n">
        <v>12.75877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12.56515</v>
      </c>
    </row>
    <row r="561">
      <c r="A561" s="90" t="n">
        <v>35643</v>
      </c>
      <c r="B561" t="n">
        <v>19.43247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11.84519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19.21557</v>
      </c>
      <c r="O561" t="n">
        <v>7.380085</v>
      </c>
      <c r="P561" t="n">
        <v>6.733028</v>
      </c>
      <c r="Q561" t="n">
        <v>11.01565</v>
      </c>
      <c r="R561" t="n">
        <v>17.87684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26.77414</v>
      </c>
      <c r="Y561" t="n">
        <v>13.07122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12.74657</v>
      </c>
    </row>
    <row r="562">
      <c r="A562" s="90" t="n">
        <v>35674</v>
      </c>
      <c r="B562" t="n">
        <v>19.46329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31.63608</v>
      </c>
      <c r="N562" t="n">
        <v>19.45389</v>
      </c>
      <c r="O562" t="n">
        <v>7.535261</v>
      </c>
      <c r="P562" t="n">
        <v>6.807507</v>
      </c>
      <c r="Q562" t="n">
        <v>11.09088</v>
      </c>
      <c r="R562" t="n">
        <v>18.12867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26.94612</v>
      </c>
      <c r="Y562" t="n">
        <v>13.20245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13.00673</v>
      </c>
    </row>
    <row r="563">
      <c r="A563" s="90" t="n">
        <v>35704</v>
      </c>
      <c r="B563" t="n">
        <v>19.54734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12.39378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19.87747</v>
      </c>
      <c r="O563" t="n">
        <v>7.729321</v>
      </c>
      <c r="P563" t="n">
        <v>6.900248</v>
      </c>
      <c r="Q563" t="n">
        <v>11.21893</v>
      </c>
      <c r="R563" t="n">
        <v>18.38529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27.18109</v>
      </c>
      <c r="Y563" t="n">
        <v>13.43983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13.30422</v>
      </c>
    </row>
    <row r="564">
      <c r="A564" s="90" t="n">
        <v>35735</v>
      </c>
      <c r="B564" t="n">
        <v>19.67622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12.71941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32.01253</v>
      </c>
      <c r="N564" t="n">
        <v>20.149</v>
      </c>
      <c r="O564" t="n">
        <v>7.756963</v>
      </c>
      <c r="P564" t="n">
        <v>7.008625</v>
      </c>
      <c r="Q564" t="n">
        <v>11.31841</v>
      </c>
      <c r="R564" t="n">
        <v>18.62073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27.48266</v>
      </c>
      <c r="Y564" t="n">
        <v>13.81668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13.45251</v>
      </c>
    </row>
    <row r="565">
      <c r="A565" s="90" t="n">
        <v>35765</v>
      </c>
      <c r="B565" t="n">
        <v>19.77988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13.07161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20.48281</v>
      </c>
      <c r="O565" t="n">
        <v>7.851746</v>
      </c>
      <c r="P565" t="n">
        <v>7.115165</v>
      </c>
      <c r="Q565" t="n">
        <v>11.43372</v>
      </c>
      <c r="R565" t="n">
        <v>18.92972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27.75471</v>
      </c>
      <c r="Y565" t="n">
        <v>14.09515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13.46523</v>
      </c>
    </row>
    <row r="566">
      <c r="A566" s="90" t="n">
        <v>35796</v>
      </c>
      <c r="B566" t="n">
        <v>19.88915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13.28342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20.51326</v>
      </c>
      <c r="O566" t="n">
        <v>9.1999</v>
      </c>
      <c r="P566" t="n">
        <v>7.197979</v>
      </c>
      <c r="Q566" t="n">
        <v>11.57543</v>
      </c>
      <c r="R566" t="n">
        <v>19.19859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28.03094</v>
      </c>
      <c r="Y566" t="n">
        <v>14.3803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13.59867</v>
      </c>
    </row>
    <row r="567">
      <c r="A567" s="90" t="n">
        <v>35827</v>
      </c>
      <c r="B567" t="n">
        <v>19.9816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13.38232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33.08441</v>
      </c>
      <c r="N567" t="n">
        <v>20.42136</v>
      </c>
      <c r="O567" t="n">
        <v>10.13579</v>
      </c>
      <c r="P567" t="n">
        <v>7.301435</v>
      </c>
      <c r="Q567" t="n">
        <v>11.71373</v>
      </c>
      <c r="R567" t="n">
        <v>19.41039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28.28371</v>
      </c>
      <c r="Y567" t="n">
        <v>14.57931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13.90754</v>
      </c>
    </row>
    <row r="568">
      <c r="A568" s="90" t="n">
        <v>35855</v>
      </c>
      <c r="B568" t="n">
        <v>20.05445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13.57975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33.26125</v>
      </c>
      <c r="N568" t="n">
        <v>20.99408</v>
      </c>
      <c r="O568" t="n">
        <v>10.21984</v>
      </c>
      <c r="P568" t="n">
        <v>7.467092</v>
      </c>
      <c r="Q568" t="n">
        <v>11.86561</v>
      </c>
      <c r="R568" t="n">
        <v>19.38817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28.50277</v>
      </c>
      <c r="Y568" t="n">
        <v>14.80556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14.02958</v>
      </c>
    </row>
    <row r="569">
      <c r="A569" s="90" t="n">
        <v>35886</v>
      </c>
      <c r="B569" t="n">
        <v>20.15811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13.74264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21.54143</v>
      </c>
      <c r="O569" t="n">
        <v>10.50697</v>
      </c>
      <c r="P569" t="n">
        <v>7.595877</v>
      </c>
      <c r="Q569" t="n">
        <v>12.02549</v>
      </c>
      <c r="R569" t="n">
        <v>19.55833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28.75539</v>
      </c>
      <c r="Y569" t="n">
        <v>15.09491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14.13859</v>
      </c>
    </row>
    <row r="570">
      <c r="A570" s="90" t="n">
        <v>35916</v>
      </c>
      <c r="B570" t="n">
        <v>20.28418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13.94115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</v>
      </c>
      <c r="N570" t="n">
        <v>21.88202</v>
      </c>
      <c r="O570" t="n">
        <v>10.94937</v>
      </c>
      <c r="P570" t="n">
        <v>7.678203</v>
      </c>
      <c r="Q570" t="n">
        <v>12.19087</v>
      </c>
      <c r="R570" t="n">
        <v>19.92869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29.04681</v>
      </c>
      <c r="Y570" t="n">
        <v>15.43905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14.32534</v>
      </c>
    </row>
    <row r="571">
      <c r="A571" s="90" t="n">
        <v>35947</v>
      </c>
      <c r="B571" t="n">
        <v>20.42427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14.14613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33.97687</v>
      </c>
      <c r="N571" t="n">
        <v>22.18554</v>
      </c>
      <c r="O571" t="n">
        <v>12.16559</v>
      </c>
      <c r="P571" t="n">
        <v>7.781397</v>
      </c>
      <c r="Q571" t="n">
        <v>12.35153</v>
      </c>
      <c r="R571" t="n">
        <v>20.18773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29.30605</v>
      </c>
      <c r="Y571" t="n">
        <v>15.79076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14.47538</v>
      </c>
    </row>
    <row r="572">
      <c r="A572" s="90" t="n">
        <v>35977</v>
      </c>
      <c r="B572" t="n">
        <v>20.65681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14.22245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34.30387</v>
      </c>
      <c r="N572" t="n">
        <v>22.52082</v>
      </c>
      <c r="O572" t="n">
        <v>12.83269</v>
      </c>
      <c r="P572" t="n">
        <v>7.901356</v>
      </c>
      <c r="Q572" t="n">
        <v>12.49437</v>
      </c>
      <c r="R572" t="n">
        <v>20.5465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29.5826</v>
      </c>
      <c r="Y572" t="n">
        <v>16.15402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14.60594</v>
      </c>
    </row>
    <row r="573">
      <c r="A573" s="90" t="n">
        <v>36008</v>
      </c>
      <c r="B573" t="n">
        <v>20.87254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14.33693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34.5642</v>
      </c>
      <c r="N573" t="n">
        <v>22.89418</v>
      </c>
      <c r="O573" t="n">
        <v>12.58121</v>
      </c>
      <c r="P573" t="n">
        <v>8.079919</v>
      </c>
      <c r="Q573" t="n">
        <v>12.626</v>
      </c>
      <c r="R573" t="n">
        <v>20.8479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29.83906</v>
      </c>
      <c r="Y573" t="n">
        <v>16.41441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14.72963</v>
      </c>
    </row>
    <row r="574">
      <c r="A574" s="90" t="n">
        <v>36039</v>
      </c>
      <c r="B574" t="n">
        <v>21.01542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14.34125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34.71741</v>
      </c>
      <c r="N574" t="n">
        <v>23.13154</v>
      </c>
      <c r="O574" t="n">
        <v>12.57286</v>
      </c>
      <c r="P574" t="n">
        <v>8.246589</v>
      </c>
      <c r="Q574" t="n">
        <v>12.78166</v>
      </c>
      <c r="R574" t="n">
        <v>21.15269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30.17327</v>
      </c>
      <c r="Y574" t="n">
        <v>16.82749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14.85265</v>
      </c>
    </row>
    <row r="575">
      <c r="A575" s="90" t="n">
        <v>36069</v>
      </c>
      <c r="B575" t="n">
        <v>21.12189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14.24595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34.88266</v>
      </c>
      <c r="N575" t="n">
        <v>23.2699</v>
      </c>
      <c r="O575" t="n">
        <v>12.519</v>
      </c>
      <c r="P575" t="n">
        <v>8.376474999999999</v>
      </c>
      <c r="Q575" t="n">
        <v>12.97385</v>
      </c>
      <c r="R575" t="n">
        <v>21.62841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30.43948</v>
      </c>
      <c r="Y575" t="n">
        <v>17.04229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14.87621</v>
      </c>
    </row>
    <row r="576">
      <c r="A576" s="90" t="n">
        <v>36100</v>
      </c>
      <c r="B576" t="n">
        <v>21.19473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14.23278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34.95115</v>
      </c>
      <c r="N576" t="n">
        <v>23.5286</v>
      </c>
      <c r="O576" t="n">
        <v>12.54263</v>
      </c>
      <c r="P576" t="n">
        <v>8.477225000000001</v>
      </c>
      <c r="Q576" t="n">
        <v>13.17164</v>
      </c>
      <c r="R576" t="n">
        <v>21.9509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30.64282</v>
      </c>
      <c r="Y576" t="n">
        <v>17.04719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15.02679</v>
      </c>
    </row>
    <row r="577">
      <c r="A577" s="90" t="n">
        <v>36130</v>
      </c>
      <c r="B577" t="n">
        <v>21.318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14.25678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23.83756</v>
      </c>
      <c r="O577" t="n">
        <v>12.93419</v>
      </c>
      <c r="P577" t="n">
        <v>8.552349</v>
      </c>
      <c r="Q577" t="n">
        <v>13.36471</v>
      </c>
      <c r="R577" t="n">
        <v>22.17666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30.93238</v>
      </c>
      <c r="Y577" t="n">
        <v>17.34742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15.21242</v>
      </c>
    </row>
    <row r="578">
      <c r="A578" s="90" t="n">
        <v>36161</v>
      </c>
      <c r="B578" t="n">
        <v>21.49731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14.37053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24.15362</v>
      </c>
      <c r="O578" t="n">
        <v>13.39988</v>
      </c>
      <c r="P578" t="n">
        <v>8.667878999999999</v>
      </c>
      <c r="Q578" t="n">
        <v>13.55872</v>
      </c>
      <c r="R578" t="n">
        <v>22.51902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31.22057</v>
      </c>
      <c r="Y578" t="n">
        <v>17.72876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15.26563</v>
      </c>
    </row>
    <row r="579">
      <c r="A579" s="90" t="n">
        <v>36192</v>
      </c>
      <c r="B579" t="n">
        <v>21.6486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14.56322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35.01503</v>
      </c>
      <c r="N579" t="n">
        <v>24.53649</v>
      </c>
      <c r="O579" t="n">
        <v>13.79843</v>
      </c>
      <c r="P579" t="n">
        <v>8.793066</v>
      </c>
      <c r="Q579" t="n">
        <v>13.74295</v>
      </c>
      <c r="R579" t="n">
        <v>22.75113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31.49372</v>
      </c>
      <c r="Y579" t="n">
        <v>18.06149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15.07998</v>
      </c>
    </row>
    <row r="580">
      <c r="A580" s="90" t="n">
        <v>36220</v>
      </c>
      <c r="B580" t="n">
        <v>21.82231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14.63428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</v>
      </c>
      <c r="N580" t="n">
        <v>24.72243</v>
      </c>
      <c r="O580" t="n">
        <v>13.98854</v>
      </c>
      <c r="P580" t="n">
        <v>8.949646</v>
      </c>
      <c r="Q580" t="n">
        <v>13.91555</v>
      </c>
      <c r="R580" t="n">
        <v>23.07887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31.70324</v>
      </c>
      <c r="Y580" t="n">
        <v>18.34992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15.07489</v>
      </c>
    </row>
    <row r="581">
      <c r="A581" s="90" t="n">
        <v>36251</v>
      </c>
      <c r="B581" t="n">
        <v>22.05205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14.70112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24.73622</v>
      </c>
      <c r="O581" t="n">
        <v>14.12927</v>
      </c>
      <c r="P581" t="n">
        <v>9.056244</v>
      </c>
      <c r="Q581" t="n">
        <v>14.08532</v>
      </c>
      <c r="R581" t="n">
        <v>23.53089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31.95331</v>
      </c>
      <c r="Y581" t="n">
        <v>18.63248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15.32682</v>
      </c>
    </row>
    <row r="582">
      <c r="A582" s="90" t="n">
        <v>36281</v>
      </c>
      <c r="B582" t="n">
        <v>22.29019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14.78386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35.16426</v>
      </c>
      <c r="N582" t="n">
        <v>24.97791</v>
      </c>
      <c r="O582" t="n">
        <v>14.31181</v>
      </c>
      <c r="P582" t="n">
        <v>9.122043</v>
      </c>
      <c r="Q582" t="n">
        <v>14.26329</v>
      </c>
      <c r="R582" t="n">
        <v>23.82329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32.22696</v>
      </c>
      <c r="Y582" t="n">
        <v>18.98457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15.41033</v>
      </c>
    </row>
    <row r="583">
      <c r="A583" s="90" t="n">
        <v>36312</v>
      </c>
      <c r="B583" t="n">
        <v>22.49751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14.82193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</v>
      </c>
      <c r="N583" t="n">
        <v>25.17285</v>
      </c>
      <c r="O583" t="n">
        <v>14.2508</v>
      </c>
      <c r="P583" t="n">
        <v>9.221332</v>
      </c>
      <c r="Q583" t="n">
        <v>14.45124</v>
      </c>
      <c r="R583" t="n">
        <v>24.03595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32.48383</v>
      </c>
      <c r="Y583" t="n">
        <v>19.30258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90" t="n">
        <v>36342</v>
      </c>
      <c r="B584" t="n">
        <v>22.65441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14.83727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25.29454</v>
      </c>
      <c r="O584" t="n">
        <v>14.20318</v>
      </c>
      <c r="P584" t="n">
        <v>9.353161999999999</v>
      </c>
      <c r="Q584" t="n">
        <v>14.64447</v>
      </c>
      <c r="R584" t="n">
        <v>24.42227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32.71812</v>
      </c>
      <c r="Y584" t="n">
        <v>19.53411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15.79736</v>
      </c>
    </row>
    <row r="585">
      <c r="A585" s="90" t="n">
        <v>36373</v>
      </c>
      <c r="B585" t="n">
        <v>22.78889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14.89208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35.4221</v>
      </c>
      <c r="N585" t="n">
        <v>25.60938</v>
      </c>
      <c r="O585" t="n">
        <v>14.50525</v>
      </c>
      <c r="P585" t="n">
        <v>9.500515</v>
      </c>
      <c r="Q585" t="n">
        <v>14.83462</v>
      </c>
      <c r="R585" t="n">
        <v>24.8702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32.94925</v>
      </c>
      <c r="Y585" t="n">
        <v>19.85449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15.79071</v>
      </c>
    </row>
    <row r="586">
      <c r="A586" s="90" t="n">
        <v>36404</v>
      </c>
      <c r="B586" t="n">
        <v>22.94298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14.98092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25.90838</v>
      </c>
      <c r="O586" t="n">
        <v>14.88413</v>
      </c>
      <c r="P586" t="n">
        <v>9.623896999999999</v>
      </c>
      <c r="Q586" t="n">
        <v>15.01057</v>
      </c>
      <c r="R586" t="n">
        <v>25.20211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33.15843</v>
      </c>
      <c r="Y586" t="n">
        <v>20.17735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15.98155</v>
      </c>
    </row>
    <row r="587">
      <c r="A587" s="90" t="n">
        <v>36434</v>
      </c>
      <c r="B587" t="n">
        <v>23.12789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15.02836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26.1248</v>
      </c>
      <c r="O587" t="n">
        <v>14.84825</v>
      </c>
      <c r="P587" t="n">
        <v>9.752648000000001</v>
      </c>
      <c r="Q587" t="n">
        <v>15.17673</v>
      </c>
      <c r="R587" t="n">
        <v>25.52386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33.42667</v>
      </c>
      <c r="Y587" t="n">
        <v>20.51678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16.26009</v>
      </c>
    </row>
    <row r="588">
      <c r="A588" s="90" t="n">
        <v>36465</v>
      </c>
      <c r="B588" t="n">
        <v>23.31841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15.08507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35.70214</v>
      </c>
      <c r="N588" t="n">
        <v>26.39337</v>
      </c>
      <c r="O588" t="n">
        <v>14.70467</v>
      </c>
      <c r="P588" t="n">
        <v>9.855180000000001</v>
      </c>
      <c r="Q588" t="n">
        <v>15.34073</v>
      </c>
      <c r="R588" t="n">
        <v>25.85019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33.71503</v>
      </c>
      <c r="Y588" t="n">
        <v>21.022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16.52212</v>
      </c>
    </row>
    <row r="589">
      <c r="A589" s="90" t="n">
        <v>36495</v>
      </c>
      <c r="B589" t="n">
        <v>23.41366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15.17107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26.85606</v>
      </c>
      <c r="O589" t="n">
        <v>14.74371</v>
      </c>
      <c r="P589" t="n">
        <v>10.04146</v>
      </c>
      <c r="Q589" t="n">
        <v>15.50191</v>
      </c>
      <c r="R589" t="n">
        <v>26.15453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34.03466</v>
      </c>
      <c r="Y589" t="n">
        <v>21.52895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16.78068</v>
      </c>
    </row>
    <row r="590">
      <c r="A590" s="90" t="n">
        <v>36526</v>
      </c>
      <c r="B590" t="n">
        <v>23.44448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15.33658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35.93224</v>
      </c>
      <c r="N590" t="n">
        <v>27.25714</v>
      </c>
      <c r="O590" t="n">
        <v>14.80523</v>
      </c>
      <c r="P590" t="n">
        <v>10.1776</v>
      </c>
      <c r="Q590" t="n">
        <v>15.6591</v>
      </c>
      <c r="R590" t="n">
        <v>26.58291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34.30376</v>
      </c>
      <c r="Y590" t="n">
        <v>21.91813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16.80903</v>
      </c>
    </row>
    <row r="591">
      <c r="A591" s="90" t="n">
        <v>36557</v>
      </c>
      <c r="B591" t="n">
        <v>23.52013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15.20103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36.17014</v>
      </c>
      <c r="N591" t="n">
        <v>27.64157</v>
      </c>
      <c r="O591" t="n">
        <v>14.98777</v>
      </c>
      <c r="P591" t="n">
        <v>10.25099</v>
      </c>
      <c r="Q591" t="n">
        <v>15.81323</v>
      </c>
      <c r="R591" t="n">
        <v>27.02077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34.50778</v>
      </c>
      <c r="Y591" t="n">
        <v>22.21313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16.79705</v>
      </c>
    </row>
    <row r="592">
      <c r="A592" s="90" t="n">
        <v>36586</v>
      </c>
      <c r="B592" t="n">
        <v>23.62379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15.01363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36.82878</v>
      </c>
      <c r="N592" t="n">
        <v>28.24763</v>
      </c>
      <c r="O592" t="n">
        <v>15.15074</v>
      </c>
      <c r="P592" t="n">
        <v>10.35824</v>
      </c>
      <c r="Q592" t="n">
        <v>15.96292</v>
      </c>
      <c r="R592" t="n">
        <v>27.46906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34.78339</v>
      </c>
      <c r="Y592" t="n">
        <v>22.60145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16.77211</v>
      </c>
    </row>
    <row r="593">
      <c r="A593" s="90" t="n">
        <v>36617</v>
      </c>
      <c r="B593" t="n">
        <v>23.78068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15.07329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37.28976</v>
      </c>
      <c r="N593" t="n">
        <v>28.83681</v>
      </c>
      <c r="O593" t="n">
        <v>15.32567</v>
      </c>
      <c r="P593" t="n">
        <v>10.45477</v>
      </c>
      <c r="Q593" t="n">
        <v>16.10706</v>
      </c>
      <c r="R593" t="n">
        <v>27.84183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35.13765</v>
      </c>
      <c r="Y593" t="n">
        <v>22.90911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16.78719</v>
      </c>
    </row>
    <row r="594">
      <c r="A594" s="90" t="n">
        <v>36647</v>
      </c>
      <c r="B594" t="n">
        <v>23.9796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15.1166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37.7547</v>
      </c>
      <c r="N594" t="n">
        <v>29.26157</v>
      </c>
      <c r="O594" t="n">
        <v>15.53429</v>
      </c>
      <c r="P594" t="n">
        <v>10.57086</v>
      </c>
      <c r="Q594" t="n">
        <v>16.24347</v>
      </c>
      <c r="R594" t="n">
        <v>28.13534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35.24326</v>
      </c>
      <c r="Y594" t="n">
        <v>23.249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90" t="n">
        <v>36678</v>
      </c>
      <c r="B595" t="n">
        <v>24.1421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15.14025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38.31775</v>
      </c>
      <c r="N595" t="n">
        <v>29.55843</v>
      </c>
      <c r="O595" t="n">
        <v>15.67749</v>
      </c>
      <c r="P595" t="n">
        <v>10.70087</v>
      </c>
      <c r="Q595" t="n">
        <v>16.37674</v>
      </c>
      <c r="R595" t="n">
        <v>28.4722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35.47104</v>
      </c>
      <c r="Y595" t="n">
        <v>23.64035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90" t="n">
        <v>36708</v>
      </c>
      <c r="B596" t="n">
        <v>24.29059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15.24119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38.47032</v>
      </c>
      <c r="N596" t="n">
        <v>29.8429</v>
      </c>
      <c r="O596" t="n">
        <v>15.74661</v>
      </c>
      <c r="P596" t="n">
        <v>10.82681</v>
      </c>
      <c r="Q596" t="n">
        <v>16.5167</v>
      </c>
      <c r="R596" t="n">
        <v>28.79924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35.66721</v>
      </c>
      <c r="Y596" t="n">
        <v>23.84165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16.90157</v>
      </c>
    </row>
    <row r="597">
      <c r="A597" s="90" t="n">
        <v>36739</v>
      </c>
      <c r="B597" t="n">
        <v>24.4671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15.29615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38.63461</v>
      </c>
      <c r="N597" t="n">
        <v>30.47947</v>
      </c>
      <c r="O597" t="n">
        <v>15.82709</v>
      </c>
      <c r="P597" t="n">
        <v>10.91949</v>
      </c>
      <c r="Q597" t="n">
        <v>16.66068</v>
      </c>
      <c r="R597" t="n">
        <v>29.1166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35.8802</v>
      </c>
      <c r="Y597" t="n">
        <v>23.97054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16.96478</v>
      </c>
    </row>
    <row r="598">
      <c r="A598" s="90" t="n">
        <v>36770</v>
      </c>
      <c r="B598" t="n">
        <v>24.60718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15.34711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38.77076</v>
      </c>
      <c r="N598" t="n">
        <v>31.28286</v>
      </c>
      <c r="O598" t="n">
        <v>15.87884</v>
      </c>
      <c r="P598" t="n">
        <v>11.04442</v>
      </c>
      <c r="Q598" t="n">
        <v>16.81042</v>
      </c>
      <c r="R598" t="n">
        <v>29.37061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36.11678</v>
      </c>
      <c r="Y598" t="n">
        <v>24.13907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17.29512</v>
      </c>
    </row>
    <row r="599">
      <c r="A599" s="90" t="n">
        <v>36800</v>
      </c>
      <c r="B599" t="n">
        <v>24.71925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15.54081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38.98712</v>
      </c>
      <c r="N599" t="n">
        <v>31.75614</v>
      </c>
      <c r="O599" t="n">
        <v>16.16258</v>
      </c>
      <c r="P599" t="n">
        <v>11.21075</v>
      </c>
      <c r="Q599" t="n">
        <v>16.98198</v>
      </c>
      <c r="R599" t="n">
        <v>29.66566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36.29356</v>
      </c>
      <c r="Y599" t="n">
        <v>24.33367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17.51263</v>
      </c>
    </row>
    <row r="600">
      <c r="A600" s="90" t="n">
        <v>36831</v>
      </c>
      <c r="B600" t="n">
        <v>24.62399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15.73135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39.43516</v>
      </c>
      <c r="N600" t="n">
        <v>32.086</v>
      </c>
      <c r="O600" t="n">
        <v>16.52472</v>
      </c>
      <c r="P600" t="n">
        <v>11.44868</v>
      </c>
      <c r="Q600" t="n">
        <v>17.17207</v>
      </c>
      <c r="R600" t="n">
        <v>30.16907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36.45617</v>
      </c>
      <c r="Y600" t="n">
        <v>24.6222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90" t="n">
        <v>36861</v>
      </c>
      <c r="B601" t="n">
        <v>24.51472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15.79482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39.83875</v>
      </c>
      <c r="N601" t="n">
        <v>32.16827</v>
      </c>
      <c r="O601" t="n">
        <v>16.79229</v>
      </c>
      <c r="P601" t="n">
        <v>11.70729</v>
      </c>
      <c r="Q601" t="n">
        <v>17.35549</v>
      </c>
      <c r="R601" t="n">
        <v>30.67809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36.89124</v>
      </c>
      <c r="Y601" t="n">
        <v>24.86897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17.87615</v>
      </c>
    </row>
    <row r="602">
      <c r="A602" s="90" t="n">
        <v>36892</v>
      </c>
      <c r="B602" t="n">
        <v>24.70244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15.82272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40.34298</v>
      </c>
      <c r="N602" t="n">
        <v>32.30059</v>
      </c>
      <c r="O602" t="n">
        <v>16.95087</v>
      </c>
      <c r="P602" t="n">
        <v>11.84291</v>
      </c>
      <c r="Q602" t="n">
        <v>17.52728</v>
      </c>
      <c r="R602" t="n">
        <v>31.09717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37.35063</v>
      </c>
      <c r="Y602" t="n">
        <v>25.15886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18.21088</v>
      </c>
    </row>
    <row r="603">
      <c r="A603" s="90" t="n">
        <v>36923</v>
      </c>
      <c r="B603" t="n">
        <v>24.99101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15.95621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40.5233</v>
      </c>
      <c r="N603" t="n">
        <v>32.78435</v>
      </c>
      <c r="O603" t="n">
        <v>17.17239</v>
      </c>
      <c r="P603" t="n">
        <v>11.93126</v>
      </c>
      <c r="Q603" t="n">
        <v>17.70635</v>
      </c>
      <c r="R603" t="n">
        <v>31.8405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37.68445</v>
      </c>
      <c r="Y603" t="n">
        <v>25.68138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18.42743</v>
      </c>
    </row>
    <row r="604">
      <c r="A604" s="90" t="n">
        <v>36951</v>
      </c>
      <c r="B604" t="n">
        <v>25.27678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16.03375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40.87006</v>
      </c>
      <c r="N604" t="n">
        <v>33.27316</v>
      </c>
      <c r="O604" t="n">
        <v>17.58521</v>
      </c>
      <c r="P604" t="n">
        <v>12.06677</v>
      </c>
      <c r="Q604" t="n">
        <v>17.90319</v>
      </c>
      <c r="R604" t="n">
        <v>32.40323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38.17185</v>
      </c>
      <c r="Y604" t="n">
        <v>26.47847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18.68355</v>
      </c>
    </row>
    <row r="605">
      <c r="A605" s="90" t="n">
        <v>36982</v>
      </c>
      <c r="B605" t="n">
        <v>25.53174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16.03559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41.39342</v>
      </c>
      <c r="N605" t="n">
        <v>33.70138</v>
      </c>
      <c r="O605" t="n">
        <v>18.05528</v>
      </c>
      <c r="P605" t="n">
        <v>12.22381</v>
      </c>
      <c r="Q605" t="n">
        <v>18.10699</v>
      </c>
      <c r="R605" t="n">
        <v>32.52715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38.63737</v>
      </c>
      <c r="Y605" t="n">
        <v>27.16197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18.89666</v>
      </c>
    </row>
    <row r="606">
      <c r="A606" s="90" t="n">
        <v>37012</v>
      </c>
      <c r="B606" t="n">
        <v>25.81471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16.11855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41.46165</v>
      </c>
      <c r="N606" t="n">
        <v>34.19304</v>
      </c>
      <c r="O606" t="n">
        <v>18.21256</v>
      </c>
      <c r="P606" t="n">
        <v>12.41516</v>
      </c>
      <c r="Q606" t="n">
        <v>18.31321</v>
      </c>
      <c r="R606" t="n">
        <v>32.82201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38.81603</v>
      </c>
      <c r="Y606" t="n">
        <v>27.55502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19.06471</v>
      </c>
    </row>
    <row r="607">
      <c r="A607" s="90" t="n">
        <v>37043</v>
      </c>
      <c r="B607" t="n">
        <v>26.11449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16.2677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41.56803</v>
      </c>
      <c r="N607" t="n">
        <v>34.52384</v>
      </c>
      <c r="O607" t="n">
        <v>18.19463</v>
      </c>
      <c r="P607" t="n">
        <v>12.59801</v>
      </c>
      <c r="Q607" t="n">
        <v>18.52725</v>
      </c>
      <c r="R607" t="n">
        <v>33.18924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39.1515</v>
      </c>
      <c r="Y607" t="n">
        <v>27.98775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19.31936</v>
      </c>
    </row>
    <row r="608">
      <c r="A608" s="90" t="n">
        <v>37073</v>
      </c>
      <c r="B608" t="n">
        <v>26.20414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16.37706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41.95413</v>
      </c>
      <c r="N608" t="n">
        <v>34.71345</v>
      </c>
      <c r="O608" t="n">
        <v>18.00674</v>
      </c>
      <c r="P608" t="n">
        <v>12.73767</v>
      </c>
      <c r="Q608" t="n">
        <v>18.74914</v>
      </c>
      <c r="R608" t="n">
        <v>33.43453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39.42712</v>
      </c>
      <c r="Y608" t="n">
        <v>28.37478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19.63998</v>
      </c>
    </row>
    <row r="609">
      <c r="A609" s="90" t="n">
        <v>37104</v>
      </c>
      <c r="B609" t="n">
        <v>26.36664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16.50525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42.44922</v>
      </c>
      <c r="N609" t="n">
        <v>35.27348</v>
      </c>
      <c r="O609" t="n">
        <v>17.81949</v>
      </c>
      <c r="P609" t="n">
        <v>12.86392</v>
      </c>
      <c r="Q609" t="n">
        <v>18.98635</v>
      </c>
      <c r="R609" t="n">
        <v>33.69766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39.78471</v>
      </c>
      <c r="Y609" t="n">
        <v>28.94417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20.06903</v>
      </c>
    </row>
    <row r="610">
      <c r="A610" s="90" t="n">
        <v>37135</v>
      </c>
      <c r="B610" t="n">
        <v>26.76448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16.64544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42.7535</v>
      </c>
      <c r="N610" t="n">
        <v>35.87106</v>
      </c>
      <c r="O610" t="n">
        <v>18.04943</v>
      </c>
      <c r="P610" t="n">
        <v>12.97775</v>
      </c>
      <c r="Q610" t="n">
        <v>19.23208</v>
      </c>
      <c r="R610" t="n">
        <v>34.18702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40.49869</v>
      </c>
      <c r="Y610" t="n">
        <v>29.65695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20.20994</v>
      </c>
    </row>
    <row r="611">
      <c r="A611" s="90" t="n">
        <v>37165</v>
      </c>
      <c r="B611" t="n">
        <v>27.15951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16.89518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43.10553</v>
      </c>
      <c r="N611" t="n">
        <v>36.38918</v>
      </c>
      <c r="O611" t="n">
        <v>18.43945</v>
      </c>
      <c r="P611" t="n">
        <v>13.08113</v>
      </c>
      <c r="Q611" t="n">
        <v>19.45749</v>
      </c>
      <c r="R611" t="n">
        <v>34.579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40.68011</v>
      </c>
      <c r="Y611" t="n">
        <v>30.16313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20.20008</v>
      </c>
    </row>
    <row r="612">
      <c r="A612" s="90" t="n">
        <v>37196</v>
      </c>
      <c r="B612" t="n">
        <v>27.52654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17.08308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43.53116</v>
      </c>
      <c r="N612" t="n">
        <v>36.70445</v>
      </c>
      <c r="O612" t="n">
        <v>18.80783</v>
      </c>
      <c r="P612" t="n">
        <v>13.23063</v>
      </c>
      <c r="Q612" t="n">
        <v>19.65967</v>
      </c>
      <c r="R612" t="n">
        <v>34.74297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40.97651</v>
      </c>
      <c r="Y612" t="n">
        <v>30.40152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20.48094</v>
      </c>
    </row>
    <row r="613">
      <c r="A613" s="90" t="n">
        <v>37226</v>
      </c>
      <c r="B613" t="n">
        <v>27.81231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17.13853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43.70455</v>
      </c>
      <c r="N613" t="n">
        <v>37.13822</v>
      </c>
      <c r="O613" t="n">
        <v>19.00094</v>
      </c>
      <c r="P613" t="n">
        <v>13.40002</v>
      </c>
      <c r="Q613" t="n">
        <v>19.863</v>
      </c>
      <c r="R613" t="n">
        <v>34.85701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41.21476</v>
      </c>
      <c r="Y613" t="n">
        <v>30.44298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20.87074</v>
      </c>
    </row>
    <row r="614">
      <c r="A614" s="90" t="n">
        <v>37257</v>
      </c>
      <c r="B614" t="n">
        <v>28.07566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17.14333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43.44713</v>
      </c>
      <c r="N614" t="n">
        <v>37.61102</v>
      </c>
      <c r="O614" t="n">
        <v>19.16421</v>
      </c>
      <c r="P614" t="n">
        <v>13.51709</v>
      </c>
      <c r="Q614" t="n">
        <v>20.07222</v>
      </c>
      <c r="R614" t="n">
        <v>34.70692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41.2318</v>
      </c>
      <c r="Y614" t="n">
        <v>30.09413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21.56528</v>
      </c>
    </row>
    <row r="615">
      <c r="A615" s="90" t="n">
        <v>37288</v>
      </c>
      <c r="B615" t="n">
        <v>28.29139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17.14559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43.2914</v>
      </c>
      <c r="N615" t="n">
        <v>37.22915</v>
      </c>
      <c r="O615" t="n">
        <v>19.25138</v>
      </c>
      <c r="P615" t="n">
        <v>13.6293</v>
      </c>
      <c r="Q615" t="n">
        <v>20.27951</v>
      </c>
      <c r="R615" t="n">
        <v>34.48629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41.36969</v>
      </c>
      <c r="Y615" t="n">
        <v>29.97204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22.21115</v>
      </c>
    </row>
    <row r="616">
      <c r="A616" s="90" t="n">
        <v>37316</v>
      </c>
      <c r="B616" t="n">
        <v>28.56316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17.25201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43.55123</v>
      </c>
      <c r="N616" t="n">
        <v>36.79562</v>
      </c>
      <c r="O616" t="n">
        <v>19.26405</v>
      </c>
      <c r="P616" t="n">
        <v>13.76843</v>
      </c>
      <c r="Q616" t="n">
        <v>20.49522</v>
      </c>
      <c r="R616" t="n">
        <v>34.58804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41.55074</v>
      </c>
      <c r="Y616" t="n">
        <v>30.19494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</v>
      </c>
    </row>
    <row r="617">
      <c r="A617" s="90" t="n">
        <v>37347</v>
      </c>
      <c r="B617" t="n">
        <v>28.36424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17.41845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43.66452</v>
      </c>
      <c r="N617" t="n">
        <v>37.14535</v>
      </c>
      <c r="O617" t="n">
        <v>19.22424</v>
      </c>
      <c r="P617" t="n">
        <v>13.94097</v>
      </c>
      <c r="Q617" t="n">
        <v>20.7202</v>
      </c>
      <c r="R617" t="n">
        <v>34.93269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41.64084</v>
      </c>
      <c r="Y617" t="n">
        <v>30.32588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22.73349</v>
      </c>
    </row>
    <row r="618">
      <c r="A618" s="90" t="n">
        <v>37377</v>
      </c>
      <c r="B618" t="n">
        <v>28.07566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17.58132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43.86196</v>
      </c>
      <c r="N618" t="n">
        <v>37.55087</v>
      </c>
      <c r="O618" t="n">
        <v>19.1845</v>
      </c>
      <c r="P618" t="n">
        <v>14.35914</v>
      </c>
      <c r="Q618" t="n">
        <v>20.94656</v>
      </c>
      <c r="R618" t="n">
        <v>35.26976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41.84584</v>
      </c>
      <c r="Y618" t="n">
        <v>30.65075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23.25072</v>
      </c>
    </row>
    <row r="619">
      <c r="A619" s="90" t="n">
        <v>37408</v>
      </c>
      <c r="B619" t="n">
        <v>27.99442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17.62736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43.99026</v>
      </c>
      <c r="N619" t="n">
        <v>37.65265</v>
      </c>
      <c r="O619" t="n">
        <v>19.24552</v>
      </c>
      <c r="P619" t="n">
        <v>14.70696</v>
      </c>
      <c r="Q619" t="n">
        <v>21.18389</v>
      </c>
      <c r="R619" t="n">
        <v>35.429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42.0581</v>
      </c>
      <c r="Y619" t="n">
        <v>31.00476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23.46189</v>
      </c>
    </row>
    <row r="620">
      <c r="A620" s="90" t="n">
        <v>37438</v>
      </c>
      <c r="B620" t="n">
        <v>28.08687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17.72613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43.96249</v>
      </c>
      <c r="N620" t="n">
        <v>37.86114</v>
      </c>
      <c r="O620" t="n">
        <v>19.48093</v>
      </c>
      <c r="P620" t="n">
        <v>14.81467</v>
      </c>
      <c r="Q620" t="n">
        <v>21.42385</v>
      </c>
      <c r="R620" t="n">
        <v>35.24886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42.366</v>
      </c>
      <c r="Y620" t="n">
        <v>31.37526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23.42544</v>
      </c>
    </row>
    <row r="621">
      <c r="A621" s="90" t="n">
        <v>37469</v>
      </c>
      <c r="B621" t="n">
        <v>28.56036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17.87828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44.24023</v>
      </c>
      <c r="N621" t="n">
        <v>38.40352</v>
      </c>
      <c r="O621" t="n">
        <v>19.75081</v>
      </c>
      <c r="P621" t="n">
        <v>14.97889</v>
      </c>
      <c r="Q621" t="n">
        <v>21.64597</v>
      </c>
      <c r="R621" t="n">
        <v>35.26358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42.66741</v>
      </c>
      <c r="Y621" t="n">
        <v>31.68961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23.71424</v>
      </c>
    </row>
    <row r="622">
      <c r="A622" s="90" t="n">
        <v>37500</v>
      </c>
      <c r="B622" t="n">
        <v>28.83212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18.05273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44.66819</v>
      </c>
      <c r="N622" t="n">
        <v>38.71</v>
      </c>
      <c r="O622" t="n">
        <v>19.89742</v>
      </c>
      <c r="P622" t="n">
        <v>15.12812</v>
      </c>
      <c r="Q622" t="n">
        <v>21.85909</v>
      </c>
      <c r="R622" t="n">
        <v>35.64092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42.85146</v>
      </c>
      <c r="Y622" t="n">
        <v>31.83716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23.86351</v>
      </c>
    </row>
    <row r="623">
      <c r="A623" s="90" t="n">
        <v>37530</v>
      </c>
      <c r="B623" t="n">
        <v>29.00582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18.20341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45.03992</v>
      </c>
      <c r="N623" t="n">
        <v>39.1168</v>
      </c>
      <c r="O623" t="n">
        <v>19.90388</v>
      </c>
      <c r="P623" t="n">
        <v>15.26559</v>
      </c>
      <c r="Q623" t="n">
        <v>22.08961</v>
      </c>
      <c r="R623" t="n">
        <v>35.90813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43.11377</v>
      </c>
      <c r="Y623" t="n">
        <v>32.05033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24.15258</v>
      </c>
    </row>
    <row r="624">
      <c r="A624" s="90" t="n">
        <v>37561</v>
      </c>
      <c r="B624" t="n">
        <v>29.2944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18.3054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45.33532</v>
      </c>
      <c r="N624" t="n">
        <v>39.9598</v>
      </c>
      <c r="O624" t="n">
        <v>19.9094</v>
      </c>
      <c r="P624" t="n">
        <v>15.42774</v>
      </c>
      <c r="Q624" t="n">
        <v>22.36234</v>
      </c>
      <c r="R624" t="n">
        <v>36.04206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43.45634</v>
      </c>
      <c r="Y624" t="n">
        <v>32.24265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24.61349</v>
      </c>
    </row>
    <row r="625">
      <c r="A625" s="90" t="n">
        <v>37591</v>
      </c>
      <c r="B625" t="n">
        <v>29.6362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18.48114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45.44733</v>
      </c>
      <c r="N625" t="n">
        <v>40.74359</v>
      </c>
      <c r="O625" t="n">
        <v>19.9397</v>
      </c>
      <c r="P625" t="n">
        <v>15.57108</v>
      </c>
      <c r="Q625" t="n">
        <v>22.68001</v>
      </c>
      <c r="R625" t="n">
        <v>36.36617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43.65197</v>
      </c>
      <c r="Y625" t="n">
        <v>32.46373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24.82865</v>
      </c>
    </row>
    <row r="626">
      <c r="A626" s="90" t="n">
        <v>37622</v>
      </c>
      <c r="B626" t="n">
        <v>29.95559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18.67056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45.36709</v>
      </c>
      <c r="N626" t="n">
        <v>41.50998</v>
      </c>
      <c r="O626" t="n">
        <v>19.98559</v>
      </c>
      <c r="P626" t="n">
        <v>15.69335</v>
      </c>
      <c r="Q626" t="n">
        <v>22.99959</v>
      </c>
      <c r="R626" t="n">
        <v>36.8114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43.88774</v>
      </c>
      <c r="Y626" t="n">
        <v>32.75549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25.11056</v>
      </c>
    </row>
    <row r="627">
      <c r="A627" s="90" t="n">
        <v>37653</v>
      </c>
      <c r="B627" t="n">
        <v>30.20774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18.89323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45.65561</v>
      </c>
      <c r="N627" t="n">
        <v>41.99254</v>
      </c>
      <c r="O627" t="n">
        <v>20.18415</v>
      </c>
      <c r="P627" t="n">
        <v>15.80506</v>
      </c>
      <c r="Q627" t="n">
        <v>23.30667</v>
      </c>
      <c r="R627" t="n">
        <v>37.20923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44.13456</v>
      </c>
      <c r="Y627" t="n">
        <v>33.05766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25.39422</v>
      </c>
    </row>
    <row r="628">
      <c r="A628" s="90" t="n">
        <v>37681</v>
      </c>
      <c r="B628" t="n">
        <v>30.48511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19.1116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45.8809</v>
      </c>
      <c r="N628" t="n">
        <v>42.06824</v>
      </c>
      <c r="O628" t="n">
        <v>20.35237</v>
      </c>
      <c r="P628" t="n">
        <v>15.84547</v>
      </c>
      <c r="Q628" t="n">
        <v>23.65201</v>
      </c>
      <c r="R628" t="n">
        <v>37.31412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44.29063</v>
      </c>
      <c r="Y628" t="n">
        <v>33.22325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25.57473</v>
      </c>
    </row>
    <row r="629">
      <c r="A629" s="90" t="n">
        <v>37712</v>
      </c>
      <c r="B629" t="n">
        <v>30.83532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19.21268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45.97179</v>
      </c>
      <c r="N629" t="n">
        <v>42.31966</v>
      </c>
      <c r="O629" t="n">
        <v>20.43513</v>
      </c>
      <c r="P629" t="n">
        <v>15.96908</v>
      </c>
      <c r="Q629" t="n">
        <v>24.04226</v>
      </c>
      <c r="R629" t="n">
        <v>37.17942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44.47112</v>
      </c>
      <c r="Y629" t="n">
        <v>33.27596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26.02059</v>
      </c>
    </row>
    <row r="630">
      <c r="A630" s="90" t="n">
        <v>37742</v>
      </c>
      <c r="B630" t="n">
        <v>31.28919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19.42822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46.06089</v>
      </c>
      <c r="N630" t="n">
        <v>42.87053</v>
      </c>
      <c r="O630" t="n">
        <v>20.57022</v>
      </c>
      <c r="P630" t="n">
        <v>16.21034</v>
      </c>
      <c r="Q630" t="n">
        <v>24.43196</v>
      </c>
      <c r="R630" t="n">
        <v>37.24537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44.78297</v>
      </c>
      <c r="Y630" t="n">
        <v>33.34639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26.53006</v>
      </c>
    </row>
    <row r="631">
      <c r="A631" s="90" t="n">
        <v>37773</v>
      </c>
      <c r="B631" t="n">
        <v>31.60579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19.80623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46.30514</v>
      </c>
      <c r="N631" t="n">
        <v>43.55558</v>
      </c>
      <c r="O631" t="n">
        <v>20.6298</v>
      </c>
      <c r="P631" t="n">
        <v>16.42286</v>
      </c>
      <c r="Q631" t="n">
        <v>24.79387</v>
      </c>
      <c r="R631" t="n">
        <v>37.31356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44.993</v>
      </c>
      <c r="Y631" t="n">
        <v>33.4725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</v>
      </c>
    </row>
    <row r="632">
      <c r="A632" s="90" t="n">
        <v>37803</v>
      </c>
      <c r="B632" t="n">
        <v>31.44329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20.02832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46.84634</v>
      </c>
      <c r="N632" t="n">
        <v>44.10311</v>
      </c>
      <c r="O632" t="n">
        <v>20.7093</v>
      </c>
      <c r="P632" t="n">
        <v>16.60148</v>
      </c>
      <c r="Q632" t="n">
        <v>25.14957</v>
      </c>
      <c r="R632" t="n">
        <v>37.49944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45.27944</v>
      </c>
      <c r="Y632" t="n">
        <v>33.7513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27.04328</v>
      </c>
    </row>
    <row r="633">
      <c r="A633" s="90" t="n">
        <v>37834</v>
      </c>
      <c r="B633" t="n">
        <v>31.62259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20.17424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47.12627</v>
      </c>
      <c r="N633" t="n">
        <v>44.12305</v>
      </c>
      <c r="O633" t="n">
        <v>20.88194</v>
      </c>
      <c r="P633" t="n">
        <v>16.7388</v>
      </c>
      <c r="Q633" t="n">
        <v>25.53171</v>
      </c>
      <c r="R633" t="n">
        <v>37.83708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45.61411</v>
      </c>
      <c r="Y633" t="n">
        <v>33.94255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27.04227</v>
      </c>
    </row>
    <row r="634">
      <c r="A634" s="90" t="n">
        <v>37865</v>
      </c>
      <c r="B634" t="n">
        <v>32.18013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20.29446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47.42658</v>
      </c>
      <c r="N634" t="n">
        <v>44.42924</v>
      </c>
      <c r="O634" t="n">
        <v>21.01863</v>
      </c>
      <c r="P634" t="n">
        <v>16.87585</v>
      </c>
      <c r="Q634" t="n">
        <v>25.94106</v>
      </c>
      <c r="R634" t="n">
        <v>38.17681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45.63145</v>
      </c>
      <c r="Y634" t="n">
        <v>34.16099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27.12006</v>
      </c>
    </row>
    <row r="635">
      <c r="A635" s="90" t="n">
        <v>37895</v>
      </c>
      <c r="B635" t="n">
        <v>32.50512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20.2805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47.78462</v>
      </c>
      <c r="N635" t="n">
        <v>45.19537</v>
      </c>
      <c r="O635" t="n">
        <v>21.15718</v>
      </c>
      <c r="P635" t="n">
        <v>17.10302</v>
      </c>
      <c r="Q635" t="n">
        <v>26.35884</v>
      </c>
      <c r="R635" t="n">
        <v>38.43875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45.75268</v>
      </c>
      <c r="Y635" t="n">
        <v>34.59692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27.49161</v>
      </c>
    </row>
    <row r="636">
      <c r="A636" s="90" t="n">
        <v>37926</v>
      </c>
      <c r="B636" t="n">
        <v>32.76848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48.20238</v>
      </c>
      <c r="N636" t="n">
        <v>45.8162</v>
      </c>
      <c r="O636" t="n">
        <v>21.42836</v>
      </c>
      <c r="P636" t="n">
        <v>17.32626</v>
      </c>
      <c r="Q636" t="n">
        <v>26.74733</v>
      </c>
      <c r="R636" t="n">
        <v>38.57797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45.91962</v>
      </c>
      <c r="Y636" t="n">
        <v>35.06544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90" t="n">
        <v>37956</v>
      </c>
      <c r="B637" t="n">
        <v>33.09908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20.72436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48.8439</v>
      </c>
      <c r="N637" t="n">
        <v>46.07851</v>
      </c>
      <c r="O637" t="n">
        <v>21.55904</v>
      </c>
      <c r="P637" t="n">
        <v>17.51785</v>
      </c>
      <c r="Q637" t="n">
        <v>27.09871</v>
      </c>
      <c r="R637" t="n">
        <v>38.6391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46.06479</v>
      </c>
      <c r="Y637" t="n">
        <v>35.3707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28.04887</v>
      </c>
    </row>
    <row r="638">
      <c r="A638" s="90" t="n">
        <v>37987</v>
      </c>
      <c r="B638" t="n">
        <v>33.32882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21.05402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49.92076</v>
      </c>
      <c r="N638" t="n">
        <v>46.69582</v>
      </c>
      <c r="O638" t="n">
        <v>21.51542</v>
      </c>
      <c r="P638" t="n">
        <v>17.76559</v>
      </c>
      <c r="Q638" t="n">
        <v>27.46705</v>
      </c>
      <c r="R638" t="n">
        <v>38.83389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46.34122</v>
      </c>
      <c r="Y638" t="n">
        <v>35.87064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</v>
      </c>
    </row>
    <row r="639">
      <c r="A639" s="90" t="n">
        <v>38018</v>
      </c>
      <c r="B639" t="n">
        <v>33.59778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21.28078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50.39224</v>
      </c>
      <c r="N639" t="n">
        <v>47.23204</v>
      </c>
      <c r="O639" t="n">
        <v>21.48142</v>
      </c>
      <c r="P639" t="n">
        <v>18.03639</v>
      </c>
      <c r="Q639" t="n">
        <v>27.84657</v>
      </c>
      <c r="R639" t="n">
        <v>39.0004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46.63964</v>
      </c>
      <c r="Y639" t="n">
        <v>36.27082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29.81039</v>
      </c>
    </row>
    <row r="640">
      <c r="A640" s="90" t="n">
        <v>38047</v>
      </c>
      <c r="B640" t="n">
        <v>34.01803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21.5378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50.40281</v>
      </c>
      <c r="N640" t="n">
        <v>47.10162</v>
      </c>
      <c r="O640" t="n">
        <v>21.5072</v>
      </c>
      <c r="P640" t="n">
        <v>18.31292</v>
      </c>
      <c r="Q640" t="n">
        <v>28.19962</v>
      </c>
      <c r="R640" t="n">
        <v>39.12058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46.8768</v>
      </c>
      <c r="Y640" t="n">
        <v>36.41119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</v>
      </c>
    </row>
    <row r="641">
      <c r="A641" s="90" t="n">
        <v>38078</v>
      </c>
      <c r="B641" t="n">
        <v>34.36544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21.70018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50.83695</v>
      </c>
      <c r="N641" t="n">
        <v>47.32878</v>
      </c>
      <c r="O641" t="n">
        <v>21.58955</v>
      </c>
      <c r="P641" t="n">
        <v>18.57175</v>
      </c>
      <c r="Q641" t="n">
        <v>28.57566</v>
      </c>
      <c r="R641" t="n">
        <v>39.48978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47.18236</v>
      </c>
      <c r="Y641" t="n">
        <v>36.81582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29.70589</v>
      </c>
    </row>
    <row r="642">
      <c r="A642" s="90" t="n">
        <v>38108</v>
      </c>
      <c r="B642" t="n">
        <v>34.53354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21.71334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50.98989</v>
      </c>
      <c r="N642" t="n">
        <v>47.7937</v>
      </c>
      <c r="O642" t="n">
        <v>21.84179</v>
      </c>
      <c r="P642" t="n">
        <v>18.75677</v>
      </c>
      <c r="Q642" t="n">
        <v>28.97564</v>
      </c>
      <c r="R642" t="n">
        <v>39.84063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47.62466</v>
      </c>
      <c r="Y642" t="n">
        <v>37.22299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29.70727</v>
      </c>
    </row>
    <row r="643">
      <c r="A643" s="90" t="n">
        <v>38139</v>
      </c>
      <c r="B643" t="n">
        <v>34.67923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22.16974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51.33303</v>
      </c>
      <c r="N643" t="n">
        <v>48.26739</v>
      </c>
      <c r="O643" t="n">
        <v>22.27279</v>
      </c>
      <c r="P643" t="n">
        <v>18.88158</v>
      </c>
      <c r="Q643" t="n">
        <v>29.34883</v>
      </c>
      <c r="R643" t="n">
        <v>40.15097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47.73908</v>
      </c>
      <c r="Y643" t="n">
        <v>37.43144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</v>
      </c>
    </row>
    <row r="644">
      <c r="A644" s="90" t="n">
        <v>38169</v>
      </c>
      <c r="B644" t="n">
        <v>35.01263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22.60472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51.74911</v>
      </c>
      <c r="N644" t="n">
        <v>48.93632</v>
      </c>
      <c r="O644" t="n">
        <v>22.48644</v>
      </c>
      <c r="P644" t="n">
        <v>18.9977</v>
      </c>
      <c r="Q644" t="n">
        <v>29.70762</v>
      </c>
      <c r="R644" t="n">
        <v>40.49987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47.90945</v>
      </c>
      <c r="Y644" t="n">
        <v>37.59307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29.97435</v>
      </c>
    </row>
    <row r="645">
      <c r="A645" s="90" t="n">
        <v>38200</v>
      </c>
      <c r="B645" t="n">
        <v>35.304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22.71755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52.07959</v>
      </c>
      <c r="N645" t="n">
        <v>49.58389</v>
      </c>
      <c r="O645" t="n">
        <v>22.61004</v>
      </c>
      <c r="P645" t="n">
        <v>19.14314</v>
      </c>
      <c r="Q645" t="n">
        <v>30.0749</v>
      </c>
      <c r="R645" t="n">
        <v>40.85028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48.14561</v>
      </c>
      <c r="Y645" t="n">
        <v>37.91063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29.90009</v>
      </c>
    </row>
    <row r="646">
      <c r="A646" s="90" t="n">
        <v>38231</v>
      </c>
      <c r="B646" t="n">
        <v>35.40487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23.05387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52.35252</v>
      </c>
      <c r="N646" t="n">
        <v>50.01952</v>
      </c>
      <c r="O646" t="n">
        <v>22.74047</v>
      </c>
      <c r="P646" t="n">
        <v>19.27585</v>
      </c>
      <c r="Q646" t="n">
        <v>30.43938</v>
      </c>
      <c r="R646" t="n">
        <v>41.08779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48.37789</v>
      </c>
      <c r="Y646" t="n">
        <v>38.21674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30.52113</v>
      </c>
    </row>
    <row r="647">
      <c r="A647" s="90" t="n">
        <v>38261</v>
      </c>
      <c r="B647" t="n">
        <v>35.53935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23.35348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52.56144</v>
      </c>
      <c r="N647" t="n">
        <v>50.3553</v>
      </c>
      <c r="O647" t="n">
        <v>22.79824</v>
      </c>
      <c r="P647" t="n">
        <v>19.43704</v>
      </c>
      <c r="Q647" t="n">
        <v>30.81153</v>
      </c>
      <c r="R647" t="n">
        <v>41.41624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48.63084</v>
      </c>
      <c r="Y647" t="n">
        <v>38.5249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31.25815</v>
      </c>
    </row>
    <row r="648">
      <c r="A648" s="90" t="n">
        <v>38292</v>
      </c>
      <c r="B648" t="n">
        <v>35.86715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23.56961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53.11039</v>
      </c>
      <c r="N648" t="n">
        <v>50.91353</v>
      </c>
      <c r="O648" t="n">
        <v>22.85875</v>
      </c>
      <c r="P648" t="n">
        <v>19.62199</v>
      </c>
      <c r="Q648" t="n">
        <v>31.2238</v>
      </c>
      <c r="R648" t="n">
        <v>41.92152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48.90853</v>
      </c>
      <c r="Y648" t="n">
        <v>38.94751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31.43836</v>
      </c>
    </row>
    <row r="649">
      <c r="A649" s="90" t="n">
        <v>38322</v>
      </c>
      <c r="B649" t="n">
        <v>36.15852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24.08909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53.57183</v>
      </c>
      <c r="N649" t="n">
        <v>51.4011</v>
      </c>
      <c r="O649" t="n">
        <v>23.06058</v>
      </c>
      <c r="P649" t="n">
        <v>19.82857</v>
      </c>
      <c r="Q649" t="n">
        <v>31.68365</v>
      </c>
      <c r="R649" t="n">
        <v>42.32251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49.09951</v>
      </c>
      <c r="Y649" t="n">
        <v>39.11519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31.62219</v>
      </c>
    </row>
    <row r="650">
      <c r="A650" s="90" t="n">
        <v>38353</v>
      </c>
      <c r="B650" t="n">
        <v>36.39106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24.66473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54.06977</v>
      </c>
      <c r="N650" t="n">
        <v>51.75667</v>
      </c>
      <c r="O650" t="n">
        <v>23.27019</v>
      </c>
      <c r="P650" t="n">
        <v>20.25499</v>
      </c>
      <c r="Q650" t="n">
        <v>32.17133</v>
      </c>
      <c r="R650" t="n">
        <v>42.70789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49.23502</v>
      </c>
      <c r="Y650" t="n">
        <v>39.24415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32.42759</v>
      </c>
    </row>
    <row r="651">
      <c r="A651" s="90" t="n">
        <v>38384</v>
      </c>
      <c r="B651" t="n">
        <v>36.632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24.9039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54.4571</v>
      </c>
      <c r="N651" t="n">
        <v>52.31371</v>
      </c>
      <c r="O651" t="n">
        <v>23.4021</v>
      </c>
      <c r="P651" t="n">
        <v>20.53226</v>
      </c>
      <c r="Q651" t="n">
        <v>32.66627</v>
      </c>
      <c r="R651" t="n">
        <v>43.14961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49.4078</v>
      </c>
      <c r="Y651" t="n">
        <v>39.49502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33.50932</v>
      </c>
    </row>
    <row r="652">
      <c r="A652" s="90" t="n">
        <v>38412</v>
      </c>
      <c r="B652" t="n">
        <v>36.80851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25.19955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54.7821</v>
      </c>
      <c r="N652" t="n">
        <v>53.19344</v>
      </c>
      <c r="O652" t="n">
        <v>23.67588</v>
      </c>
      <c r="P652" t="n">
        <v>20.56539</v>
      </c>
      <c r="Q652" t="n">
        <v>33.13094</v>
      </c>
      <c r="R652" t="n">
        <v>43.39953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49.60106</v>
      </c>
      <c r="Y652" t="n">
        <v>39.89442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33.69831</v>
      </c>
    </row>
    <row r="653">
      <c r="A653" s="90" t="n">
        <v>38443</v>
      </c>
      <c r="B653" t="n">
        <v>37.02424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25.58139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55.31069</v>
      </c>
      <c r="N653" t="n">
        <v>54.32483</v>
      </c>
      <c r="O653" t="n">
        <v>24.12606</v>
      </c>
      <c r="P653" t="n">
        <v>20.8876</v>
      </c>
      <c r="Q653" t="n">
        <v>33.56136</v>
      </c>
      <c r="R653" t="n">
        <v>43.71733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49.84465</v>
      </c>
      <c r="Y653" t="n">
        <v>40.48246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33.74707</v>
      </c>
    </row>
    <row r="654">
      <c r="A654" s="90" t="n">
        <v>38473</v>
      </c>
      <c r="B654" t="n">
        <v>37.35764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25.94507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55.97715</v>
      </c>
      <c r="N654" t="n">
        <v>55.23359</v>
      </c>
      <c r="O654" t="n">
        <v>24.40152</v>
      </c>
      <c r="P654" t="n">
        <v>21.25314</v>
      </c>
      <c r="Q654" t="n">
        <v>34.08271</v>
      </c>
      <c r="R654" t="n">
        <v>44.36804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50.11687</v>
      </c>
      <c r="Y654" t="n">
        <v>41.05867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34.26419</v>
      </c>
    </row>
    <row r="655">
      <c r="A655" s="90" t="n">
        <v>38504</v>
      </c>
      <c r="B655" t="n">
        <v>37.74147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26.30383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56.6556</v>
      </c>
      <c r="N655" t="n">
        <v>55.61333</v>
      </c>
      <c r="O655" t="n">
        <v>24.61522</v>
      </c>
      <c r="P655" t="n">
        <v>21.45936</v>
      </c>
      <c r="Q655" t="n">
        <v>34.71707</v>
      </c>
      <c r="R655" t="n">
        <v>44.96719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50.44882</v>
      </c>
      <c r="Y655" t="n">
        <v>41.62709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34.84026</v>
      </c>
    </row>
    <row r="656">
      <c r="A656" s="90" t="n">
        <v>38534</v>
      </c>
      <c r="B656" t="n">
        <v>37.97681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26.47293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57.27908</v>
      </c>
      <c r="N656" t="n">
        <v>55.9426</v>
      </c>
      <c r="O656" t="n">
        <v>25.0488</v>
      </c>
      <c r="P656" t="n">
        <v>21.68746</v>
      </c>
      <c r="Q656" t="n">
        <v>35.31264</v>
      </c>
      <c r="R656" t="n">
        <v>45.31483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50.80835</v>
      </c>
      <c r="Y656" t="n">
        <v>42.16887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35.50486</v>
      </c>
    </row>
    <row r="657">
      <c r="A657" s="90" t="n">
        <v>38565</v>
      </c>
      <c r="B657" t="n">
        <v>38.09448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26.61078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57.45352</v>
      </c>
      <c r="N657" t="n">
        <v>56.34964</v>
      </c>
      <c r="O657" t="n">
        <v>25.55486</v>
      </c>
      <c r="P657" t="n">
        <v>21.91241</v>
      </c>
      <c r="Q657" t="n">
        <v>35.83746</v>
      </c>
      <c r="R657" t="n">
        <v>45.50585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51.09821</v>
      </c>
      <c r="Y657" t="n">
        <v>42.53786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35.78051</v>
      </c>
    </row>
    <row r="658">
      <c r="A658" s="90" t="n">
        <v>38596</v>
      </c>
      <c r="B658" t="n">
        <v>38.41948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27.02942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57.93121</v>
      </c>
      <c r="N658" t="n">
        <v>56.99247</v>
      </c>
      <c r="O658" t="n">
        <v>26.18155</v>
      </c>
      <c r="P658" t="n">
        <v>22.41583</v>
      </c>
      <c r="Q658" t="n">
        <v>36.41407</v>
      </c>
      <c r="R658" t="n">
        <v>45.48978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51.41989</v>
      </c>
      <c r="Y658" t="n">
        <v>42.98838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36.14791</v>
      </c>
    </row>
    <row r="659">
      <c r="A659" s="90" t="n">
        <v>38626</v>
      </c>
      <c r="B659" t="n">
        <v>38.6156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27.57961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58.85546</v>
      </c>
      <c r="N659" t="n">
        <v>57.60753</v>
      </c>
      <c r="O659" t="n">
        <v>26.61066</v>
      </c>
      <c r="P659" t="n">
        <v>22.83817</v>
      </c>
      <c r="Q659" t="n">
        <v>37.10153</v>
      </c>
      <c r="R659" t="n">
        <v>45.54618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51.76954</v>
      </c>
      <c r="Y659" t="n">
        <v>43.55564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36.60409</v>
      </c>
    </row>
    <row r="660">
      <c r="A660" s="90" t="n">
        <v>38657</v>
      </c>
      <c r="B660" t="n">
        <v>38.67723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28.22033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59.2206</v>
      </c>
      <c r="N660" t="n">
        <v>58.18877</v>
      </c>
      <c r="O660" t="n">
        <v>26.69896</v>
      </c>
      <c r="P660" t="n">
        <v>23.00184</v>
      </c>
      <c r="Q660" t="n">
        <v>37.81456</v>
      </c>
      <c r="R660" t="n">
        <v>45.92287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51.99805</v>
      </c>
      <c r="Y660" t="n">
        <v>43.96391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36.77312</v>
      </c>
    </row>
    <row r="661">
      <c r="A661" s="90" t="n">
        <v>38687</v>
      </c>
      <c r="B661" t="n">
        <v>39.00783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28.51993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59.93179</v>
      </c>
      <c r="N661" t="n">
        <v>58.91221</v>
      </c>
      <c r="O661" t="n">
        <v>26.84932</v>
      </c>
      <c r="P661" t="n">
        <v>23.29244</v>
      </c>
      <c r="Q661" t="n">
        <v>38.46975</v>
      </c>
      <c r="R661" t="n">
        <v>46.07317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52.28329</v>
      </c>
      <c r="Y661" t="n">
        <v>44.46399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90" t="n">
        <v>38718</v>
      </c>
      <c r="B662" t="n">
        <v>39.4505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28.55878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60.39614</v>
      </c>
      <c r="N662" t="n">
        <v>59.78686</v>
      </c>
      <c r="O662" t="n">
        <v>27.19197</v>
      </c>
      <c r="P662" t="n">
        <v>23.46516</v>
      </c>
      <c r="Q662" t="n">
        <v>39.08581</v>
      </c>
      <c r="R662" t="n">
        <v>45.79615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52.59051</v>
      </c>
      <c r="Y662" t="n">
        <v>44.84326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90" t="n">
        <v>38749</v>
      </c>
      <c r="B663" t="n">
        <v>39.76709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28.83845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60.78692</v>
      </c>
      <c r="N663" t="n">
        <v>60.89386</v>
      </c>
      <c r="O663" t="n">
        <v>27.56912</v>
      </c>
      <c r="P663" t="n">
        <v>23.62107</v>
      </c>
      <c r="Q663" t="n">
        <v>39.6841</v>
      </c>
      <c r="R663" t="n">
        <v>45.85913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52.85979</v>
      </c>
      <c r="Y663" t="n">
        <v>45.19246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40.33769</v>
      </c>
    </row>
    <row r="664">
      <c r="A664" s="90" t="n">
        <v>38777</v>
      </c>
      <c r="B664" t="n">
        <v>40.14531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28.85606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62.09141</v>
      </c>
      <c r="N664" t="n">
        <v>62.83893</v>
      </c>
      <c r="O664" t="n">
        <v>27.86011</v>
      </c>
      <c r="P664" t="n">
        <v>24.33838</v>
      </c>
      <c r="Q664" t="n">
        <v>40.24675</v>
      </c>
      <c r="R664" t="n">
        <v>46.66678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53.24149</v>
      </c>
      <c r="Y664" t="n">
        <v>45.98093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41.67495</v>
      </c>
    </row>
    <row r="665">
      <c r="A665" s="90" t="n">
        <v>38808</v>
      </c>
      <c r="B665" t="n">
        <v>40.87095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29.40665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62.94968</v>
      </c>
      <c r="N665" t="n">
        <v>63.93609</v>
      </c>
      <c r="O665" t="n">
        <v>27.95644</v>
      </c>
      <c r="P665" t="n">
        <v>25.00314</v>
      </c>
      <c r="Q665" t="n">
        <v>40.80737</v>
      </c>
      <c r="R665" t="n">
        <v>47.2551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53.69057</v>
      </c>
      <c r="Y665" t="n">
        <v>46.66321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42.27647</v>
      </c>
    </row>
    <row r="666">
      <c r="A666" s="90" t="n">
        <v>38838</v>
      </c>
      <c r="B666" t="n">
        <v>41.38926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30.19624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62.97399</v>
      </c>
      <c r="N666" t="n">
        <v>63.55606</v>
      </c>
      <c r="O666" t="n">
        <v>28.43944</v>
      </c>
      <c r="P666" t="n">
        <v>25.23626</v>
      </c>
      <c r="Q666" t="n">
        <v>41.33091</v>
      </c>
      <c r="R666" t="n">
        <v>47.53238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53.98832</v>
      </c>
      <c r="Y666" t="n">
        <v>47.36233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90" t="n">
        <v>38869</v>
      </c>
      <c r="B667" t="n">
        <v>41.64421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30.6068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63.34789</v>
      </c>
      <c r="N667" t="n">
        <v>64.65788000000001</v>
      </c>
      <c r="O667" t="n">
        <v>28.94695</v>
      </c>
      <c r="P667" t="n">
        <v>25.46471</v>
      </c>
      <c r="Q667" t="n">
        <v>41.79917</v>
      </c>
      <c r="R667" t="n">
        <v>47.80965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54.3882</v>
      </c>
      <c r="Y667" t="n">
        <v>48.17333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43.13976</v>
      </c>
    </row>
    <row r="668">
      <c r="A668" s="90" t="n">
        <v>38899</v>
      </c>
      <c r="B668" t="n">
        <v>42.00563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31.30389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64.08727</v>
      </c>
      <c r="N668" t="n">
        <v>65.94444</v>
      </c>
      <c r="O668" t="n">
        <v>28.99599</v>
      </c>
      <c r="P668" t="n">
        <v>25.83794</v>
      </c>
      <c r="Q668" t="n">
        <v>42.30915</v>
      </c>
      <c r="R668" t="n">
        <v>48.18337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54.6686</v>
      </c>
      <c r="Y668" t="n">
        <v>48.50459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43.42157</v>
      </c>
    </row>
    <row r="669">
      <c r="A669" s="90" t="n">
        <v>38930</v>
      </c>
      <c r="B669" t="n">
        <v>42.42588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31.90455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64.67571</v>
      </c>
      <c r="N669" t="n">
        <v>66.09155</v>
      </c>
      <c r="O669" t="n">
        <v>29.22624</v>
      </c>
      <c r="P669" t="n">
        <v>26.39097</v>
      </c>
      <c r="Q669" t="n">
        <v>42.84776</v>
      </c>
      <c r="R669" t="n">
        <v>48.83673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54.89175</v>
      </c>
      <c r="Y669" t="n">
        <v>48.7174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43.56565</v>
      </c>
    </row>
    <row r="670">
      <c r="A670" s="90" t="n">
        <v>38961</v>
      </c>
      <c r="B670" t="n">
        <v>42.82933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32.0134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65.57161000000001</v>
      </c>
      <c r="N670" t="n">
        <v>66.29961</v>
      </c>
      <c r="O670" t="n">
        <v>29.57489</v>
      </c>
      <c r="P670" t="n">
        <v>26.89985</v>
      </c>
      <c r="Q670" t="n">
        <v>43.38371</v>
      </c>
      <c r="R670" t="n">
        <v>49.41191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55.23336</v>
      </c>
      <c r="Y670" t="n">
        <v>49.275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44.14301</v>
      </c>
    </row>
    <row r="671">
      <c r="A671" s="90" t="n">
        <v>38991</v>
      </c>
      <c r="B671" t="n">
        <v>43.25798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32.18114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66.58546</v>
      </c>
      <c r="N671" t="n">
        <v>66.35123</v>
      </c>
      <c r="O671" t="n">
        <v>30.05068</v>
      </c>
      <c r="P671" t="n">
        <v>27.16799</v>
      </c>
      <c r="Q671" t="n">
        <v>44.0172</v>
      </c>
      <c r="R671" t="n">
        <v>49.87757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55.60481</v>
      </c>
      <c r="Y671" t="n">
        <v>49.8743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45.04007</v>
      </c>
    </row>
    <row r="672">
      <c r="A672" s="90" t="n">
        <v>39022</v>
      </c>
      <c r="B672" t="n">
        <v>43.65862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32.87661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67.15554</v>
      </c>
      <c r="N672" t="n">
        <v>66.58074000000001</v>
      </c>
      <c r="O672" t="n">
        <v>30.50355</v>
      </c>
      <c r="P672" t="n">
        <v>27.4556</v>
      </c>
      <c r="Q672" t="n">
        <v>44.85639</v>
      </c>
      <c r="R672" t="n">
        <v>50.37373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55.92631</v>
      </c>
      <c r="Y672" t="n">
        <v>50.3075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90" t="n">
        <v>39052</v>
      </c>
      <c r="B673" t="n">
        <v>44.07047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33.29497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67.86302999999999</v>
      </c>
      <c r="N673" t="n">
        <v>67.14454000000001</v>
      </c>
      <c r="O673" t="n">
        <v>30.81024</v>
      </c>
      <c r="P673" t="n">
        <v>27.88753</v>
      </c>
      <c r="Q673" t="n">
        <v>45.8675</v>
      </c>
      <c r="R673" t="n">
        <v>51.04235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56.37838</v>
      </c>
      <c r="Y673" t="n">
        <v>50.91236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90" t="n">
        <v>39083</v>
      </c>
      <c r="B674" t="n">
        <v>44.51874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33.24562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68.50227</v>
      </c>
      <c r="N674" t="n">
        <v>67.64388</v>
      </c>
      <c r="O674" t="n">
        <v>31.17442</v>
      </c>
      <c r="P674" t="n">
        <v>28.2892</v>
      </c>
      <c r="Q674" t="n">
        <v>47.02999</v>
      </c>
      <c r="R674" t="n">
        <v>51.69816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56.75045</v>
      </c>
      <c r="Y674" t="n">
        <v>51.58514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90" t="n">
        <v>39114</v>
      </c>
      <c r="B675" t="n">
        <v>45.16033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33.69468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68.99491</v>
      </c>
      <c r="N675" t="n">
        <v>67.99563000000001</v>
      </c>
      <c r="O675" t="n">
        <v>31.5383</v>
      </c>
      <c r="P675" t="n">
        <v>28.77255</v>
      </c>
      <c r="Q675" t="n">
        <v>48.37229</v>
      </c>
      <c r="R675" t="n">
        <v>52.18668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56.98544</v>
      </c>
      <c r="Y675" t="n">
        <v>52.13246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90" t="n">
        <v>39142</v>
      </c>
      <c r="B676" t="n">
        <v>45.9448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69.84341999999999</v>
      </c>
      <c r="N676" t="n">
        <v>68.31506</v>
      </c>
      <c r="O676" t="n">
        <v>31.92796</v>
      </c>
      <c r="P676" t="n">
        <v>29.65061</v>
      </c>
      <c r="Q676" t="n">
        <v>49.96592</v>
      </c>
      <c r="R676" t="n">
        <v>52.52921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57.38702</v>
      </c>
      <c r="Y676" t="n">
        <v>52.68038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50.59856</v>
      </c>
    </row>
    <row r="677">
      <c r="A677" s="90" t="n">
        <v>39173</v>
      </c>
      <c r="B677" t="n">
        <v>46.64242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36.00227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70.67603</v>
      </c>
      <c r="N677" t="n">
        <v>68.57798</v>
      </c>
      <c r="O677" t="n">
        <v>32.26581</v>
      </c>
      <c r="P677" t="n">
        <v>30.16648</v>
      </c>
      <c r="Q677" t="n">
        <v>51.80834</v>
      </c>
      <c r="R677" t="n">
        <v>52.81646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57.87194</v>
      </c>
      <c r="Y677" t="n">
        <v>53.22622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51.20172</v>
      </c>
    </row>
    <row r="678">
      <c r="A678" s="90" t="n">
        <v>39203</v>
      </c>
      <c r="B678" t="n">
        <v>47.22517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36.54681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71.80143</v>
      </c>
      <c r="N678" t="n">
        <v>68.95356</v>
      </c>
      <c r="O678" t="n">
        <v>32.47444</v>
      </c>
      <c r="P678" t="n">
        <v>30.2391</v>
      </c>
      <c r="Q678" t="n">
        <v>53.67901</v>
      </c>
      <c r="R678" t="n">
        <v>53.12287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58.16517</v>
      </c>
      <c r="Y678" t="n">
        <v>53.9285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52.10321</v>
      </c>
    </row>
    <row r="679">
      <c r="A679" s="90" t="n">
        <v>39234</v>
      </c>
      <c r="B679" t="n">
        <v>48.07968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36.52514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72.84511999999999</v>
      </c>
      <c r="N679" t="n">
        <v>69.88682</v>
      </c>
      <c r="O679" t="n">
        <v>32.99313</v>
      </c>
      <c r="P679" t="n">
        <v>30.80192</v>
      </c>
      <c r="Q679" t="n">
        <v>55.58387</v>
      </c>
      <c r="R679" t="n">
        <v>53.65554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58.56519</v>
      </c>
      <c r="Y679" t="n">
        <v>54.63766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</v>
      </c>
    </row>
    <row r="680">
      <c r="A680" s="90" t="n">
        <v>39264</v>
      </c>
      <c r="B680" t="n">
        <v>49.02665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36.72447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73.67416</v>
      </c>
      <c r="N680" t="n">
        <v>70.83208</v>
      </c>
      <c r="O680" t="n">
        <v>33.82523</v>
      </c>
      <c r="P680" t="n">
        <v>31.54329</v>
      </c>
      <c r="Q680" t="n">
        <v>57.63438</v>
      </c>
      <c r="R680" t="n">
        <v>54.66809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58.9227</v>
      </c>
      <c r="Y680" t="n">
        <v>55.28251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53.80826</v>
      </c>
    </row>
    <row r="681">
      <c r="A681" s="90" t="n">
        <v>39295</v>
      </c>
      <c r="B681" t="n">
        <v>49.85034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37.04221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74.387</v>
      </c>
      <c r="N681" t="n">
        <v>71.76631</v>
      </c>
      <c r="O681" t="n">
        <v>34.36432</v>
      </c>
      <c r="P681" t="n">
        <v>32.06529</v>
      </c>
      <c r="Q681" t="n">
        <v>59.66856</v>
      </c>
      <c r="R681" t="n">
        <v>54.9876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59.5161</v>
      </c>
      <c r="Y681" t="n">
        <v>55.92401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54.61069</v>
      </c>
    </row>
    <row r="682">
      <c r="A682" s="90" t="n">
        <v>39326</v>
      </c>
      <c r="B682" t="n">
        <v>50.76369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37.56874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74.88608000000001</v>
      </c>
      <c r="N682" t="n">
        <v>72.73699000000001</v>
      </c>
      <c r="O682" t="n">
        <v>34.66786</v>
      </c>
      <c r="P682" t="n">
        <v>32.65668</v>
      </c>
      <c r="Q682" t="n">
        <v>61.7862</v>
      </c>
      <c r="R682" t="n">
        <v>54.9418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59.88149</v>
      </c>
      <c r="Y682" t="n">
        <v>56.35674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55.45541</v>
      </c>
    </row>
    <row r="683">
      <c r="A683" s="90" t="n">
        <v>39356</v>
      </c>
      <c r="B683" t="n">
        <v>51.86755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38.61749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74.94362</v>
      </c>
      <c r="N683" t="n">
        <v>73.88251</v>
      </c>
      <c r="O683" t="n">
        <v>34.96779</v>
      </c>
      <c r="P683" t="n">
        <v>33.28186</v>
      </c>
      <c r="Q683" t="n">
        <v>64.06158000000001</v>
      </c>
      <c r="R683" t="n">
        <v>55.1744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60.13079</v>
      </c>
      <c r="Y683" t="n">
        <v>56.61385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55.99045</v>
      </c>
    </row>
    <row r="684">
      <c r="A684" s="90" t="n">
        <v>39387</v>
      </c>
      <c r="B684" t="n">
        <v>53.25999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39.25306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75.20954</v>
      </c>
      <c r="N684" t="n">
        <v>74.44703</v>
      </c>
      <c r="O684" t="n">
        <v>35.35355</v>
      </c>
      <c r="P684" t="n">
        <v>33.84077</v>
      </c>
      <c r="Q684" t="n">
        <v>66.1571</v>
      </c>
      <c r="R684" t="n">
        <v>55.00826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60.49518</v>
      </c>
      <c r="Y684" t="n">
        <v>57.02768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56.72096</v>
      </c>
    </row>
    <row r="685">
      <c r="A685" s="90" t="n">
        <v>39417</v>
      </c>
      <c r="B685" t="n">
        <v>54.19576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39.44943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76.39548000000001</v>
      </c>
      <c r="N685" t="n">
        <v>74.55341</v>
      </c>
      <c r="O685" t="n">
        <v>36.25618</v>
      </c>
      <c r="P685" t="n">
        <v>34.40535</v>
      </c>
      <c r="Q685" t="n">
        <v>68.10549</v>
      </c>
      <c r="R685" t="n">
        <v>55.05448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60.89865</v>
      </c>
      <c r="Y685" t="n">
        <v>57.7819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57.71616</v>
      </c>
    </row>
    <row r="686">
      <c r="A686" s="90" t="n">
        <v>39448</v>
      </c>
      <c r="B686" t="n">
        <v>54.80372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39.61496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78.35441</v>
      </c>
      <c r="N686" t="n">
        <v>75.06717999999999</v>
      </c>
      <c r="O686" t="n">
        <v>36.76052</v>
      </c>
      <c r="P686" t="n">
        <v>34.97416</v>
      </c>
      <c r="Q686" t="n">
        <v>70.05381</v>
      </c>
      <c r="R686" t="n">
        <v>55.32652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61.36677</v>
      </c>
      <c r="Y686" t="n">
        <v>58.66881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58.89766</v>
      </c>
    </row>
    <row r="687">
      <c r="A687" s="90" t="n">
        <v>39479</v>
      </c>
      <c r="B687" t="n">
        <v>55.36966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39.94358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79.91798</v>
      </c>
      <c r="N687" t="n">
        <v>76.73614999999999</v>
      </c>
      <c r="O687" t="n">
        <v>36.86916</v>
      </c>
      <c r="P687" t="n">
        <v>35.61239</v>
      </c>
      <c r="Q687" t="n">
        <v>71.93932</v>
      </c>
      <c r="R687" t="n">
        <v>55.65318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61.98919</v>
      </c>
      <c r="Y687" t="n">
        <v>59.49268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60.12881</v>
      </c>
    </row>
    <row r="688">
      <c r="A688" s="90" t="n">
        <v>39508</v>
      </c>
      <c r="B688" t="n">
        <v>55.84875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40.16497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80.88002</v>
      </c>
      <c r="N688" t="n">
        <v>78.10912</v>
      </c>
      <c r="O688" t="n">
        <v>37.09291</v>
      </c>
      <c r="P688" t="n">
        <v>36.30758</v>
      </c>
      <c r="Q688" t="n">
        <v>73.63397999999999</v>
      </c>
      <c r="R688" t="n">
        <v>55.98991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62.53369</v>
      </c>
      <c r="Y688" t="n">
        <v>60.4259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60.94812</v>
      </c>
    </row>
    <row r="689">
      <c r="A689" s="90" t="n">
        <v>39539</v>
      </c>
      <c r="B689" t="n">
        <v>56.4287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41.03553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81.69540000000001</v>
      </c>
      <c r="N689" t="n">
        <v>78.16981</v>
      </c>
      <c r="O689" t="n">
        <v>37.38252</v>
      </c>
      <c r="P689" t="n">
        <v>36.73304</v>
      </c>
      <c r="Q689" t="n">
        <v>75.22147</v>
      </c>
      <c r="R689" t="n">
        <v>56.27518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62.99522</v>
      </c>
      <c r="Y689" t="n">
        <v>61.2933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61.75611</v>
      </c>
    </row>
    <row r="690">
      <c r="A690" s="90" t="n">
        <v>39569</v>
      </c>
      <c r="B690" t="n">
        <v>56.84615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41.54245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81.96436</v>
      </c>
      <c r="N690" t="n">
        <v>77.56117</v>
      </c>
      <c r="O690" t="n">
        <v>38.00879</v>
      </c>
      <c r="P690" t="n">
        <v>37.1142</v>
      </c>
      <c r="Q690" t="n">
        <v>77.15434999999999</v>
      </c>
      <c r="R690" t="n">
        <v>56.49876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63.27155</v>
      </c>
      <c r="Y690" t="n">
        <v>61.56453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62.84326</v>
      </c>
    </row>
    <row r="691">
      <c r="A691" s="90" t="n">
        <v>39600</v>
      </c>
      <c r="B691" t="n">
        <v>57.48773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41.50275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82.29523</v>
      </c>
      <c r="N691" t="n">
        <v>76.38518000000001</v>
      </c>
      <c r="O691" t="n">
        <v>38.71209</v>
      </c>
      <c r="P691" t="n">
        <v>37.70275</v>
      </c>
      <c r="Q691" t="n">
        <v>79.34676</v>
      </c>
      <c r="R691" t="n">
        <v>56.90744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63.47192</v>
      </c>
      <c r="Y691" t="n">
        <v>61.65014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</v>
      </c>
    </row>
    <row r="692">
      <c r="A692" s="90" t="n">
        <v>39630</v>
      </c>
      <c r="B692" t="n">
        <v>58.62802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41.96374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82.55607000000001</v>
      </c>
      <c r="N692" t="n">
        <v>77.30373</v>
      </c>
      <c r="O692" t="n">
        <v>39.12234</v>
      </c>
      <c r="P692" t="n">
        <v>38.07385</v>
      </c>
      <c r="Q692" t="n">
        <v>81.38454</v>
      </c>
      <c r="R692" t="n">
        <v>57.6254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63.83979</v>
      </c>
      <c r="Y692" t="n">
        <v>62.06421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64.28666</v>
      </c>
    </row>
    <row r="693">
      <c r="A693" s="90" t="n">
        <v>39661</v>
      </c>
      <c r="B693" t="n">
        <v>59.57499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42.71107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83.18977</v>
      </c>
      <c r="N693" t="n">
        <v>78.29111</v>
      </c>
      <c r="O693" t="n">
        <v>39.02028</v>
      </c>
      <c r="P693" t="n">
        <v>38.6682</v>
      </c>
      <c r="Q693" t="n">
        <v>83.35777</v>
      </c>
      <c r="R693" t="n">
        <v>58.24393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64.15129</v>
      </c>
      <c r="Y693" t="n">
        <v>62.58125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64.33396999999999</v>
      </c>
    </row>
    <row r="694">
      <c r="A694" s="90" t="n">
        <v>39692</v>
      </c>
      <c r="B694" t="n">
        <v>60.47713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43.68888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83.62153000000001</v>
      </c>
      <c r="N694" t="n">
        <v>78.33933</v>
      </c>
      <c r="O694" t="n">
        <v>39.88288</v>
      </c>
      <c r="P694" t="n">
        <v>39.34351</v>
      </c>
      <c r="Q694" t="n">
        <v>85.1036</v>
      </c>
      <c r="R694" t="n">
        <v>58.71367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64.63471</v>
      </c>
      <c r="Y694" t="n">
        <v>63.09239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64.59795</v>
      </c>
    </row>
    <row r="695">
      <c r="A695" s="90" t="n">
        <v>39722</v>
      </c>
      <c r="B695" t="n">
        <v>61.41569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44.44713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85.20354</v>
      </c>
      <c r="N695" t="n">
        <v>79.19271000000001</v>
      </c>
      <c r="O695" t="n">
        <v>41.23006</v>
      </c>
      <c r="P695" t="n">
        <v>39.96434</v>
      </c>
      <c r="Q695" t="n">
        <v>86.43982</v>
      </c>
      <c r="R695" t="n">
        <v>59.60906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65.37860999999999</v>
      </c>
      <c r="Y695" t="n">
        <v>64.26132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65.36951999999999</v>
      </c>
    </row>
    <row r="696">
      <c r="A696" s="90" t="n">
        <v>39753</v>
      </c>
      <c r="B696" t="n">
        <v>62.53917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44.95336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87.99599000000001</v>
      </c>
      <c r="N696" t="n">
        <v>79.81967</v>
      </c>
      <c r="O696" t="n">
        <v>41.94718</v>
      </c>
      <c r="P696" t="n">
        <v>40.56256</v>
      </c>
      <c r="Q696" t="n">
        <v>87.78527</v>
      </c>
      <c r="R696" t="n">
        <v>60.91813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65.99509</v>
      </c>
      <c r="Y696" t="n">
        <v>65.68124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90" t="n">
        <v>39783</v>
      </c>
      <c r="B697" t="n">
        <v>63.32084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45.78328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89.90335</v>
      </c>
      <c r="N697" t="n">
        <v>80.33659</v>
      </c>
      <c r="O697" t="n">
        <v>42.31048</v>
      </c>
      <c r="P697" t="n">
        <v>41.13558</v>
      </c>
      <c r="Q697" t="n">
        <v>89.18861</v>
      </c>
      <c r="R697" t="n">
        <v>61.88261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67.00893000000001</v>
      </c>
      <c r="Y697" t="n">
        <v>66.67140000000001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67.12297</v>
      </c>
    </row>
    <row r="698">
      <c r="A698" s="90" t="n">
        <v>39814</v>
      </c>
      <c r="B698" t="n">
        <v>63.7579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46.57058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91.39832</v>
      </c>
      <c r="N698" t="n">
        <v>81.8931</v>
      </c>
      <c r="O698" t="n">
        <v>42.64483</v>
      </c>
      <c r="P698" t="n">
        <v>41.97978</v>
      </c>
      <c r="Q698" t="n">
        <v>90.44477000000001</v>
      </c>
      <c r="R698" t="n">
        <v>62.95202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67.66396</v>
      </c>
      <c r="Y698" t="n">
        <v>67.62311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67.43597</v>
      </c>
    </row>
    <row r="699">
      <c r="A699" s="90" t="n">
        <v>39845</v>
      </c>
      <c r="B699" t="n">
        <v>64.68245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47.16078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92.21218</v>
      </c>
      <c r="N699" t="n">
        <v>83.60799</v>
      </c>
      <c r="O699" t="n">
        <v>43.4848</v>
      </c>
      <c r="P699" t="n">
        <v>42.79417</v>
      </c>
      <c r="Q699" t="n">
        <v>91.63162</v>
      </c>
      <c r="R699" t="n">
        <v>64.45708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68.09408999999999</v>
      </c>
      <c r="Y699" t="n">
        <v>68.43615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68.60702000000001</v>
      </c>
    </row>
    <row r="700">
      <c r="A700" s="90" t="n">
        <v>39873</v>
      </c>
      <c r="B700" t="n">
        <v>64.60680000000001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47.60213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92.21288</v>
      </c>
      <c r="N700" t="n">
        <v>84.5411</v>
      </c>
      <c r="O700" t="n">
        <v>44.22987</v>
      </c>
      <c r="P700" t="n">
        <v>43.48389</v>
      </c>
      <c r="Q700" t="n">
        <v>92.79858</v>
      </c>
      <c r="R700" t="n">
        <v>65.30896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68.4777</v>
      </c>
      <c r="Y700" t="n">
        <v>68.72619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68.45564</v>
      </c>
    </row>
    <row r="701">
      <c r="A701" s="90" t="n">
        <v>39904</v>
      </c>
      <c r="B701" t="n">
        <v>64.53957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47.74538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91.57653000000001</v>
      </c>
      <c r="N701" t="n">
        <v>85.31116</v>
      </c>
      <c r="O701" t="n">
        <v>44.60754</v>
      </c>
      <c r="P701" t="n">
        <v>44.24037</v>
      </c>
      <c r="Q701" t="n">
        <v>93.752</v>
      </c>
      <c r="R701" t="n">
        <v>65.44846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68.51031999999999</v>
      </c>
      <c r="Y701" t="n">
        <v>68.59618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90" t="n">
        <v>39934</v>
      </c>
      <c r="B702" t="n">
        <v>65.254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48.02695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90.74665</v>
      </c>
      <c r="N702" t="n">
        <v>85.67886</v>
      </c>
      <c r="O702" t="n">
        <v>44.85314</v>
      </c>
      <c r="P702" t="n">
        <v>44.97268</v>
      </c>
      <c r="Q702" t="n">
        <v>94.21514000000001</v>
      </c>
      <c r="R702" t="n">
        <v>65.54819000000001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68.76418</v>
      </c>
      <c r="Y702" t="n">
        <v>68.52866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67.98873</v>
      </c>
    </row>
    <row r="703">
      <c r="A703" s="90" t="n">
        <v>39965</v>
      </c>
      <c r="B703" t="n">
        <v>65.74709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48.45788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90.35334</v>
      </c>
      <c r="N703" t="n">
        <v>85.85848</v>
      </c>
      <c r="O703" t="n">
        <v>45.15517</v>
      </c>
      <c r="P703" t="n">
        <v>45.54815</v>
      </c>
      <c r="Q703" t="n">
        <v>94.27115999999999</v>
      </c>
      <c r="R703" t="n">
        <v>65.62999000000001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68.88449</v>
      </c>
      <c r="Y703" t="n">
        <v>68.58955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90" t="n">
        <v>39995</v>
      </c>
      <c r="B704" t="n">
        <v>66.11971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48.91024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90.48227</v>
      </c>
      <c r="N704" t="n">
        <v>85.61242</v>
      </c>
      <c r="O704" t="n">
        <v>45.43369</v>
      </c>
      <c r="P704" t="n">
        <v>46.12276</v>
      </c>
      <c r="Q704" t="n">
        <v>94.22166</v>
      </c>
      <c r="R704" t="n">
        <v>65.43657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69.04071</v>
      </c>
      <c r="Y704" t="n">
        <v>68.72363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</v>
      </c>
    </row>
    <row r="705">
      <c r="A705" s="90" t="n">
        <v>40026</v>
      </c>
      <c r="B705" t="n">
        <v>66.29622000000001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49.16473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91.20717999999999</v>
      </c>
      <c r="N705" t="n">
        <v>85.6156</v>
      </c>
      <c r="O705" t="n">
        <v>45.82233</v>
      </c>
      <c r="P705" t="n">
        <v>46.66395</v>
      </c>
      <c r="Q705" t="n">
        <v>94.1589</v>
      </c>
      <c r="R705" t="n">
        <v>65.24115999999999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69.16319</v>
      </c>
      <c r="Y705" t="n">
        <v>69.01613999999999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90" t="n">
        <v>40057</v>
      </c>
      <c r="B706" t="n">
        <v>66.40269000000001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49.1102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92.11743</v>
      </c>
      <c r="N706" t="n">
        <v>85.65922999999999</v>
      </c>
      <c r="O706" t="n">
        <v>46.27817</v>
      </c>
      <c r="P706" t="n">
        <v>47.14355</v>
      </c>
      <c r="Q706" t="n">
        <v>94.09206</v>
      </c>
      <c r="R706" t="n">
        <v>65.47852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69.31018</v>
      </c>
      <c r="Y706" t="n">
        <v>69.48981000000001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90" t="n">
        <v>40087</v>
      </c>
      <c r="B707" t="n">
        <v>66.35505999999999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49.2664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93.10281000000001</v>
      </c>
      <c r="N707" t="n">
        <v>85.18034</v>
      </c>
      <c r="O707" t="n">
        <v>46.4633</v>
      </c>
      <c r="P707" t="n">
        <v>47.68745</v>
      </c>
      <c r="Q707" t="n">
        <v>93.96486</v>
      </c>
      <c r="R707" t="n">
        <v>65.66114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69.63424999999999</v>
      </c>
      <c r="Y707" t="n">
        <v>70.15828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67.39655</v>
      </c>
    </row>
    <row r="708">
      <c r="A708" s="90" t="n">
        <v>40118</v>
      </c>
      <c r="B708" t="n">
        <v>66.28221000000001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49.6205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93.67989</v>
      </c>
      <c r="N708" t="n">
        <v>84.78167999999999</v>
      </c>
      <c r="O708" t="n">
        <v>46.85012</v>
      </c>
      <c r="P708" t="n">
        <v>48.27664</v>
      </c>
      <c r="Q708" t="n">
        <v>93.62202000000001</v>
      </c>
      <c r="R708" t="n">
        <v>66.06417999999999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69.95408</v>
      </c>
      <c r="Y708" t="n">
        <v>70.65434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90" t="n">
        <v>40148</v>
      </c>
      <c r="B709" t="n">
        <v>66.13652999999999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49.67704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93.37896000000001</v>
      </c>
      <c r="N709" t="n">
        <v>84.37273</v>
      </c>
      <c r="O709" t="n">
        <v>47.47656</v>
      </c>
      <c r="P709" t="n">
        <v>48.75244</v>
      </c>
      <c r="Q709" t="n">
        <v>93.08241</v>
      </c>
      <c r="R709" t="n">
        <v>66.14018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69.99911</v>
      </c>
      <c r="Y709" t="n">
        <v>70.74409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90" t="n">
        <v>40179</v>
      </c>
      <c r="B710" t="n">
        <v>66.15894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50.0947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96.96563999999999</v>
      </c>
      <c r="N710" t="n">
        <v>84.4513</v>
      </c>
      <c r="O710" t="n">
        <v>47.64731</v>
      </c>
      <c r="P710" t="n">
        <v>49.36239</v>
      </c>
      <c r="Q710" t="n">
        <v>92.45927</v>
      </c>
      <c r="R710" t="n">
        <v>66.12608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70.12184000000001</v>
      </c>
      <c r="Y710" t="n">
        <v>71.90572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68.33629999999999</v>
      </c>
    </row>
    <row r="711">
      <c r="A711" s="90" t="n">
        <v>40210</v>
      </c>
      <c r="B711" t="n">
        <v>66.65204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50.66787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101.3987</v>
      </c>
      <c r="N711" t="n">
        <v>85.24625</v>
      </c>
      <c r="O711" t="n">
        <v>47.71336</v>
      </c>
      <c r="P711" t="n">
        <v>50.14887</v>
      </c>
      <c r="Q711" t="n">
        <v>91.81712</v>
      </c>
      <c r="R711" t="n">
        <v>66.09081999999999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70.69634000000001</v>
      </c>
      <c r="Y711" t="n">
        <v>73.39595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68.84855</v>
      </c>
    </row>
    <row r="712">
      <c r="A712" s="90" t="n">
        <v>40238</v>
      </c>
      <c r="B712" t="n">
        <v>67.39729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50.80763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101.7457</v>
      </c>
      <c r="N712" t="n">
        <v>85.83327</v>
      </c>
      <c r="O712" t="n">
        <v>48.39354</v>
      </c>
      <c r="P712" t="n">
        <v>50.89152</v>
      </c>
      <c r="Q712" t="n">
        <v>91.13728</v>
      </c>
      <c r="R712" t="n">
        <v>65.90252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70.86929000000001</v>
      </c>
      <c r="Y712" t="n">
        <v>73.79687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69.05625000000001</v>
      </c>
    </row>
    <row r="713">
      <c r="A713" s="90" t="n">
        <v>40269</v>
      </c>
      <c r="B713" t="n">
        <v>67.98003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51.19631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100.853</v>
      </c>
      <c r="N713" t="n">
        <v>86.67504</v>
      </c>
      <c r="O713" t="n">
        <v>49.18651</v>
      </c>
      <c r="P713" t="n">
        <v>51.37198</v>
      </c>
      <c r="Q713" t="n">
        <v>90.35993000000001</v>
      </c>
      <c r="R713" t="n">
        <v>66.2654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71.17788</v>
      </c>
      <c r="Y713" t="n">
        <v>73.84969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</v>
      </c>
    </row>
    <row r="714">
      <c r="A714" s="90" t="n">
        <v>40299</v>
      </c>
      <c r="B714" t="n">
        <v>68.31623999999999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51.57974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100.2537</v>
      </c>
      <c r="N714" t="n">
        <v>87.66497</v>
      </c>
      <c r="O714" t="n">
        <v>49.70914</v>
      </c>
      <c r="P714" t="n">
        <v>51.81095</v>
      </c>
      <c r="Q714" t="n">
        <v>89.54711</v>
      </c>
      <c r="R714" t="n">
        <v>66.48975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71.61842</v>
      </c>
      <c r="Y714" t="n">
        <v>74.14415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90" t="n">
        <v>40330</v>
      </c>
      <c r="B715" t="n">
        <v>68.73088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52.06016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100.2352</v>
      </c>
      <c r="N715" t="n">
        <v>88.37815000000001</v>
      </c>
      <c r="O715" t="n">
        <v>50.56684</v>
      </c>
      <c r="P715" t="n">
        <v>52.44637</v>
      </c>
      <c r="Q715" t="n">
        <v>88.76714</v>
      </c>
      <c r="R715" t="n">
        <v>67.03316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71.91330000000001</v>
      </c>
      <c r="Y715" t="n">
        <v>74.72678000000001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69.45452</v>
      </c>
    </row>
    <row r="716">
      <c r="A716" s="90" t="n">
        <v>40360</v>
      </c>
      <c r="B716" t="n">
        <v>69.31923999999999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52.55654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100.1054</v>
      </c>
      <c r="N716" t="n">
        <v>88.74471</v>
      </c>
      <c r="O716" t="n">
        <v>51.29067</v>
      </c>
      <c r="P716" t="n">
        <v>53.21127</v>
      </c>
      <c r="Q716" t="n">
        <v>88.01714</v>
      </c>
      <c r="R716" t="n">
        <v>67.26537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72.14637</v>
      </c>
      <c r="Y716" t="n">
        <v>75.15367999999999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</v>
      </c>
    </row>
    <row r="717">
      <c r="A717" s="90" t="n">
        <v>40391</v>
      </c>
      <c r="B717" t="n">
        <v>69.9188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52.8081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99.85944000000001</v>
      </c>
      <c r="N717" t="n">
        <v>88.84263</v>
      </c>
      <c r="O717" t="n">
        <v>51.54492</v>
      </c>
      <c r="P717" t="n">
        <v>53.93836</v>
      </c>
      <c r="Q717" t="n">
        <v>87.30452</v>
      </c>
      <c r="R717" t="n">
        <v>66.92449000000001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72.52525</v>
      </c>
      <c r="Y717" t="n">
        <v>75.34474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70.31702</v>
      </c>
    </row>
    <row r="718">
      <c r="A718" s="90" t="n">
        <v>40422</v>
      </c>
      <c r="B718" t="n">
        <v>70.42870000000001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53.25465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99.69068</v>
      </c>
      <c r="N718" t="n">
        <v>88.307</v>
      </c>
      <c r="O718" t="n">
        <v>52.02149</v>
      </c>
      <c r="P718" t="n">
        <v>54.45184</v>
      </c>
      <c r="Q718" t="n">
        <v>86.63753</v>
      </c>
      <c r="R718" t="n">
        <v>66.92876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72.78455</v>
      </c>
      <c r="Y718" t="n">
        <v>75.48997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70.59018</v>
      </c>
    </row>
    <row r="719">
      <c r="A719" s="90" t="n">
        <v>40452</v>
      </c>
      <c r="B719" t="n">
        <v>71.01425999999999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53.74369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99.84535</v>
      </c>
      <c r="N719" t="n">
        <v>87.65743000000001</v>
      </c>
      <c r="O719" t="n">
        <v>52.78292</v>
      </c>
      <c r="P719" t="n">
        <v>55.49382</v>
      </c>
      <c r="Q719" t="n">
        <v>86.01361</v>
      </c>
      <c r="R719" t="n">
        <v>67.1215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73.19843</v>
      </c>
      <c r="Y719" t="n">
        <v>75.82597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90" t="n">
        <v>40483</v>
      </c>
      <c r="B720" t="n">
        <v>71.95282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54.18329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99.51101</v>
      </c>
      <c r="N720" t="n">
        <v>87.78297000000001</v>
      </c>
      <c r="O720" t="n">
        <v>53.52609</v>
      </c>
      <c r="P720" t="n">
        <v>56.39669</v>
      </c>
      <c r="Q720" t="n">
        <v>85.44056999999999</v>
      </c>
      <c r="R720" t="n">
        <v>67.54771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73.45374</v>
      </c>
      <c r="Y720" t="n">
        <v>76.10001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72.14709000000001</v>
      </c>
    </row>
    <row r="721">
      <c r="A721" s="90" t="n">
        <v>40513</v>
      </c>
      <c r="B721" t="n">
        <v>72.74850000000001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54.86057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98.5929</v>
      </c>
      <c r="N721" t="n">
        <v>87.21541000000001</v>
      </c>
      <c r="O721" t="n">
        <v>54.47383</v>
      </c>
      <c r="P721" t="n">
        <v>57.2337</v>
      </c>
      <c r="Q721" t="n">
        <v>84.94898000000001</v>
      </c>
      <c r="R721" t="n">
        <v>67.78851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73.69678</v>
      </c>
      <c r="Y721" t="n">
        <v>76.37375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72.81017</v>
      </c>
    </row>
    <row r="722">
      <c r="A722" s="90" t="n">
        <v>40544</v>
      </c>
      <c r="B722" t="n">
        <v>73.23038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55.52328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98.10877000000001</v>
      </c>
      <c r="N722" t="n">
        <v>86.99623</v>
      </c>
      <c r="O722" t="n">
        <v>55.49007</v>
      </c>
      <c r="P722" t="n">
        <v>57.98042</v>
      </c>
      <c r="Q722" t="n">
        <v>84.60115</v>
      </c>
      <c r="R722" t="n">
        <v>67.64737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73.92876</v>
      </c>
      <c r="Y722" t="n">
        <v>76.48633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90" t="n">
        <v>40575</v>
      </c>
      <c r="B723" t="n">
        <v>73.87197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56.07283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98.27697000000001</v>
      </c>
      <c r="N723" t="n">
        <v>87.52713</v>
      </c>
      <c r="O723" t="n">
        <v>56.01678</v>
      </c>
      <c r="P723" t="n">
        <v>58.48793</v>
      </c>
      <c r="Q723" t="n">
        <v>84.43562</v>
      </c>
      <c r="R723" t="n">
        <v>67.94492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74.36698</v>
      </c>
      <c r="Y723" t="n">
        <v>76.68942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90" t="n">
        <v>40603</v>
      </c>
      <c r="B724" t="n">
        <v>74.49114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56.8984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98.80991</v>
      </c>
      <c r="N724" t="n">
        <v>87.44114999999999</v>
      </c>
      <c r="O724" t="n">
        <v>56.44234</v>
      </c>
      <c r="P724" t="n">
        <v>59.30288</v>
      </c>
      <c r="Q724" t="n">
        <v>84.49773</v>
      </c>
      <c r="R724" t="n">
        <v>68.36609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74.88777</v>
      </c>
      <c r="Y724" t="n">
        <v>77.44916000000001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90" t="n">
        <v>40634</v>
      </c>
      <c r="B725" t="n">
        <v>74.98144000000001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57.35047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99.00855</v>
      </c>
      <c r="N725" t="n">
        <v>87.43742</v>
      </c>
      <c r="O725" t="n">
        <v>56.77438</v>
      </c>
      <c r="P725" t="n">
        <v>60.11048</v>
      </c>
      <c r="Q725" t="n">
        <v>84.7855</v>
      </c>
      <c r="R725" t="n">
        <v>68.58669999999999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75.40228</v>
      </c>
      <c r="Y725" t="n">
        <v>77.97783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73.11785999999999</v>
      </c>
    </row>
    <row r="726">
      <c r="A726" s="90" t="n">
        <v>40664</v>
      </c>
      <c r="B726" t="n">
        <v>75.37927999999999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58.07789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99.08792</v>
      </c>
      <c r="N726" t="n">
        <v>87.88873</v>
      </c>
      <c r="O726" t="n">
        <v>57.20158</v>
      </c>
      <c r="P726" t="n">
        <v>60.80894</v>
      </c>
      <c r="Q726" t="n">
        <v>85.16862</v>
      </c>
      <c r="R726" t="n">
        <v>69.29858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75.93702999999999</v>
      </c>
      <c r="Y726" t="n">
        <v>78.37882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73.22083000000001</v>
      </c>
    </row>
    <row r="727">
      <c r="A727" s="90" t="n">
        <v>40695</v>
      </c>
      <c r="B727" t="n">
        <v>75.40169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59.29408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99.02946</v>
      </c>
      <c r="N727" t="n">
        <v>88.06831</v>
      </c>
      <c r="O727" t="n">
        <v>57.7276</v>
      </c>
      <c r="P727" t="n">
        <v>61.4224</v>
      </c>
      <c r="Q727" t="n">
        <v>85.61903</v>
      </c>
      <c r="R727" t="n">
        <v>69.9799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76.43265</v>
      </c>
      <c r="Y727" t="n">
        <v>78.72444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90" t="n">
        <v>40725</v>
      </c>
      <c r="B728" t="n">
        <v>75.53897000000001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59.77978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98.62899</v>
      </c>
      <c r="N728" t="n">
        <v>88.72114999999999</v>
      </c>
      <c r="O728" t="n">
        <v>58.60151</v>
      </c>
      <c r="P728" t="n">
        <v>62.20903</v>
      </c>
      <c r="Q728" t="n">
        <v>86.24661</v>
      </c>
      <c r="R728" t="n">
        <v>70.69526999999999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77.27401999999999</v>
      </c>
      <c r="Y728" t="n">
        <v>78.98934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74.13867999999999</v>
      </c>
    </row>
    <row r="729">
      <c r="A729" s="90" t="n">
        <v>40756</v>
      </c>
      <c r="B729" t="n">
        <v>76.37388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60.89498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98.55968</v>
      </c>
      <c r="N729" t="n">
        <v>89.48215</v>
      </c>
      <c r="O729" t="n">
        <v>59.96376</v>
      </c>
      <c r="P729" t="n">
        <v>63.00852</v>
      </c>
      <c r="Q729" t="n">
        <v>87.04745</v>
      </c>
      <c r="R729" t="n">
        <v>71.86198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78.36404</v>
      </c>
      <c r="Y729" t="n">
        <v>79.59289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</v>
      </c>
    </row>
    <row r="730">
      <c r="A730" s="90" t="n">
        <v>40787</v>
      </c>
      <c r="B730" t="n">
        <v>77.2452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62.10904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98.64623</v>
      </c>
      <c r="N730" t="n">
        <v>90.89859</v>
      </c>
      <c r="O730" t="n">
        <v>60.70778</v>
      </c>
      <c r="P730" t="n">
        <v>63.65287</v>
      </c>
      <c r="Q730" t="n">
        <v>87.82154</v>
      </c>
      <c r="R730" t="n">
        <v>73.15655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78.82747999999999</v>
      </c>
      <c r="Y730" t="n">
        <v>80.2933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75.23277</v>
      </c>
    </row>
    <row r="731">
      <c r="A731" s="90" t="n">
        <v>40817</v>
      </c>
      <c r="B731" t="n">
        <v>77.72429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62.60814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98.03735</v>
      </c>
      <c r="N731" t="n">
        <v>92.34772</v>
      </c>
      <c r="O731" t="n">
        <v>61.28997</v>
      </c>
      <c r="P731" t="n">
        <v>64.26879</v>
      </c>
      <c r="Q731" t="n">
        <v>88.46034</v>
      </c>
      <c r="R731" t="n">
        <v>73.83418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79.12357</v>
      </c>
      <c r="Y731" t="n">
        <v>80.39784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90" t="n">
        <v>40848</v>
      </c>
      <c r="B732" t="n">
        <v>78.06609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63.65222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97.30052000000001</v>
      </c>
      <c r="N732" t="n">
        <v>92.56792</v>
      </c>
      <c r="O732" t="n">
        <v>62.23756</v>
      </c>
      <c r="P732" t="n">
        <v>64.91753</v>
      </c>
      <c r="Q732" t="n">
        <v>89.09663999999999</v>
      </c>
      <c r="R732" t="n">
        <v>74.17074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79.47658</v>
      </c>
      <c r="Y732" t="n">
        <v>80.42711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90" t="n">
        <v>40878</v>
      </c>
      <c r="B733" t="n">
        <v>78.51997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64.87755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96.46674</v>
      </c>
      <c r="N733" t="n">
        <v>92.17783</v>
      </c>
      <c r="O733" t="n">
        <v>63.49059</v>
      </c>
      <c r="P733" t="n">
        <v>66.11778</v>
      </c>
      <c r="Q733" t="n">
        <v>89.76569000000001</v>
      </c>
      <c r="R733" t="n">
        <v>75.12308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79.86947000000001</v>
      </c>
      <c r="Y733" t="n">
        <v>80.65047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78.47778</v>
      </c>
    </row>
    <row r="734">
      <c r="A734" s="90" t="n">
        <v>40909</v>
      </c>
      <c r="B734" t="n">
        <v>79.09990999999999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65.63502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96.28925</v>
      </c>
      <c r="N734" t="n">
        <v>90.45815</v>
      </c>
      <c r="O734" t="n">
        <v>64.91365999999999</v>
      </c>
      <c r="P734" t="n">
        <v>66.79622999999999</v>
      </c>
      <c r="Q734" t="n">
        <v>90.31177</v>
      </c>
      <c r="R734" t="n">
        <v>76.0181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80.40562</v>
      </c>
      <c r="Y734" t="n">
        <v>80.89543999999999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</v>
      </c>
    </row>
    <row r="735">
      <c r="A735" s="90" t="n">
        <v>40940</v>
      </c>
      <c r="B735" t="n">
        <v>79.59021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66.27858000000001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96.25552</v>
      </c>
      <c r="N735" t="n">
        <v>88.77003999999999</v>
      </c>
      <c r="O735" t="n">
        <v>65.89452</v>
      </c>
      <c r="P735" t="n">
        <v>66.89743</v>
      </c>
      <c r="Q735" t="n">
        <v>90.6636</v>
      </c>
      <c r="R735" t="n">
        <v>76.52272000000001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80.78552000000001</v>
      </c>
      <c r="Y735" t="n">
        <v>81.05673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78.76201</v>
      </c>
    </row>
    <row r="736">
      <c r="A736" s="90" t="n">
        <v>40969</v>
      </c>
      <c r="B736" t="n">
        <v>80.06368999999999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66.96595000000001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95.75475</v>
      </c>
      <c r="N736" t="n">
        <v>88.33015</v>
      </c>
      <c r="O736" t="n">
        <v>66.83452</v>
      </c>
      <c r="P736" t="n">
        <v>67.42928000000001</v>
      </c>
      <c r="Q736" t="n">
        <v>90.82443000000001</v>
      </c>
      <c r="R736" t="n">
        <v>76.98659000000001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81.20005999999999</v>
      </c>
      <c r="Y736" t="n">
        <v>81.15163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90" t="n">
        <v>41000</v>
      </c>
      <c r="B737" t="n">
        <v>80.48675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67.69147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96.11176</v>
      </c>
      <c r="N737" t="n">
        <v>87.70773</v>
      </c>
      <c r="O737" t="n">
        <v>67.8466</v>
      </c>
      <c r="P737" t="n">
        <v>68.09089</v>
      </c>
      <c r="Q737" t="n">
        <v>88.87139999999999</v>
      </c>
      <c r="R737" t="n">
        <v>77.34546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81.67637000000001</v>
      </c>
      <c r="Y737" t="n">
        <v>81.58282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90" t="n">
        <v>41030</v>
      </c>
      <c r="B738" t="n">
        <v>81.15635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68.55249000000001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96.58565</v>
      </c>
      <c r="N738" t="n">
        <v>87.68758</v>
      </c>
      <c r="O738" t="n">
        <v>68.89955999999999</v>
      </c>
      <c r="P738" t="n">
        <v>68.91785</v>
      </c>
      <c r="Q738" t="n">
        <v>86.73504</v>
      </c>
      <c r="R738" t="n">
        <v>77.77754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82.06498999999999</v>
      </c>
      <c r="Y738" t="n">
        <v>82.01233000000001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90" t="n">
        <v>41061</v>
      </c>
      <c r="B739" t="n">
        <v>81.88759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69.03903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96.60005</v>
      </c>
      <c r="N739" t="n">
        <v>88.20938</v>
      </c>
      <c r="O739" t="n">
        <v>69.80886</v>
      </c>
      <c r="P739" t="n">
        <v>70.32758</v>
      </c>
      <c r="Q739" t="n">
        <v>86.40366</v>
      </c>
      <c r="R739" t="n">
        <v>78.59851999999999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82.59520999999999</v>
      </c>
      <c r="Y739" t="n">
        <v>82.37755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78.61405000000001</v>
      </c>
    </row>
    <row r="740">
      <c r="A740" s="90" t="n">
        <v>41091</v>
      </c>
      <c r="B740" t="n">
        <v>82.30224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69.11095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96.7024</v>
      </c>
      <c r="N740" t="n">
        <v>87.89921</v>
      </c>
      <c r="O740" t="n">
        <v>70.31336</v>
      </c>
      <c r="P740" t="n">
        <v>71.29208</v>
      </c>
      <c r="Q740" t="n">
        <v>85.98086000000001</v>
      </c>
      <c r="R740" t="n">
        <v>79.47553000000001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83.05207</v>
      </c>
      <c r="Y740" t="n">
        <v>82.69282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79.80646</v>
      </c>
    </row>
    <row r="741">
      <c r="A741" s="90" t="n">
        <v>41122</v>
      </c>
      <c r="B741" t="n">
        <v>82.79533000000001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69.96499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96.85163</v>
      </c>
      <c r="N741" t="n">
        <v>87.8382</v>
      </c>
      <c r="O741" t="n">
        <v>71.00194999999999</v>
      </c>
      <c r="P741" t="n">
        <v>71.69177999999999</v>
      </c>
      <c r="Q741" t="n">
        <v>85.45679</v>
      </c>
      <c r="R741" t="n">
        <v>80.16779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83.51757000000001</v>
      </c>
      <c r="Y741" t="n">
        <v>83.01676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90" t="n">
        <v>41153</v>
      </c>
      <c r="B742" t="n">
        <v>83.24921000000001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71.61636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96.91967</v>
      </c>
      <c r="N742" t="n">
        <v>88.20724</v>
      </c>
      <c r="O742" t="n">
        <v>71.67303</v>
      </c>
      <c r="P742" t="n">
        <v>72.33672</v>
      </c>
      <c r="Q742" t="n">
        <v>85.01085</v>
      </c>
      <c r="R742" t="n">
        <v>80.44955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84.04241</v>
      </c>
      <c r="Y742" t="n">
        <v>83.47134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81.05911999999999</v>
      </c>
    </row>
    <row r="743">
      <c r="A743" s="90" t="n">
        <v>41183</v>
      </c>
      <c r="B743" t="n">
        <v>83.60222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72.84708999999999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97.20389</v>
      </c>
      <c r="N743" t="n">
        <v>88.81652</v>
      </c>
      <c r="O743" t="n">
        <v>72.45862</v>
      </c>
      <c r="P743" t="n">
        <v>72.80526</v>
      </c>
      <c r="Q743" t="n">
        <v>84.74043</v>
      </c>
      <c r="R743" t="n">
        <v>80.45489999999999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84.52261</v>
      </c>
      <c r="Y743" t="n">
        <v>83.91710999999999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90" t="n">
        <v>41214</v>
      </c>
      <c r="B744" t="n">
        <v>83.92722000000001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73.38929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97.0705</v>
      </c>
      <c r="N744" t="n">
        <v>88.83031</v>
      </c>
      <c r="O744" t="n">
        <v>73.42202</v>
      </c>
      <c r="P744" t="n">
        <v>73.48820000000001</v>
      </c>
      <c r="Q744" t="n">
        <v>84.57143000000001</v>
      </c>
      <c r="R744" t="n">
        <v>80.55108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84.92809</v>
      </c>
      <c r="Y744" t="n">
        <v>84.04588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90" t="n">
        <v>41244</v>
      </c>
      <c r="B745" t="n">
        <v>84.28863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74.6472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97.64259</v>
      </c>
      <c r="N745" t="n">
        <v>88.52399</v>
      </c>
      <c r="O745" t="n">
        <v>73.95171000000001</v>
      </c>
      <c r="P745" t="n">
        <v>74.17709000000001</v>
      </c>
      <c r="Q745" t="n">
        <v>84.50312</v>
      </c>
      <c r="R745" t="n">
        <v>80.5291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85.64785999999999</v>
      </c>
      <c r="Y745" t="n">
        <v>84.41106000000001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82.97807</v>
      </c>
    </row>
    <row r="746">
      <c r="A746" s="90" t="n">
        <v>41275</v>
      </c>
      <c r="B746" t="n">
        <v>84.82095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75.81786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98.99688999999999</v>
      </c>
      <c r="N746" t="n">
        <v>89.23199</v>
      </c>
      <c r="O746" t="n">
        <v>74.59144999999999</v>
      </c>
      <c r="P746" t="n">
        <v>74.86604</v>
      </c>
      <c r="Q746" t="n">
        <v>84.52992999999999</v>
      </c>
      <c r="R746" t="n">
        <v>80.56061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86.04187</v>
      </c>
      <c r="Y746" t="n">
        <v>85.09974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90" t="n">
        <v>41306</v>
      </c>
      <c r="B747" t="n">
        <v>85.19637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76.30136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99.73513</v>
      </c>
      <c r="N747" t="n">
        <v>90.4413</v>
      </c>
      <c r="O747" t="n">
        <v>75.65025</v>
      </c>
      <c r="P747" t="n">
        <v>75.50530999999999</v>
      </c>
      <c r="Q747" t="n">
        <v>84.60297</v>
      </c>
      <c r="R747" t="n">
        <v>80.68169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86.31673000000001</v>
      </c>
      <c r="Y747" t="n">
        <v>85.58041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84.28362</v>
      </c>
    </row>
    <row r="748">
      <c r="A748" s="90" t="n">
        <v>41334</v>
      </c>
      <c r="B748" t="n">
        <v>85.58861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77.535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99.95213</v>
      </c>
      <c r="N748" t="n">
        <v>92.13370999999999</v>
      </c>
      <c r="O748" t="n">
        <v>76.57335</v>
      </c>
      <c r="P748" t="n">
        <v>76.46850000000001</v>
      </c>
      <c r="Q748" t="n">
        <v>84.74718</v>
      </c>
      <c r="R748" t="n">
        <v>81.35836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86.8674</v>
      </c>
      <c r="Y748" t="n">
        <v>86.07053999999999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84.48283000000001</v>
      </c>
    </row>
    <row r="749">
      <c r="A749" s="90" t="n">
        <v>41365</v>
      </c>
      <c r="B749" t="n">
        <v>86.23018999999999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78.75027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100.1429</v>
      </c>
      <c r="N749" t="n">
        <v>92.99518999999999</v>
      </c>
      <c r="O749" t="n">
        <v>77.55507</v>
      </c>
      <c r="P749" t="n">
        <v>77.27903999999999</v>
      </c>
      <c r="Q749" t="n">
        <v>84.97607000000001</v>
      </c>
      <c r="R749" t="n">
        <v>82.58926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87.30799</v>
      </c>
      <c r="Y749" t="n">
        <v>86.57277999999999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84.79263</v>
      </c>
    </row>
    <row r="750">
      <c r="A750" s="90" t="n">
        <v>41395</v>
      </c>
      <c r="B750" t="n">
        <v>87.00906000000001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79.65154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100.6262</v>
      </c>
      <c r="N750" t="n">
        <v>92.62814</v>
      </c>
      <c r="O750" t="n">
        <v>78.809</v>
      </c>
      <c r="P750" t="n">
        <v>78.24915</v>
      </c>
      <c r="Q750" t="n">
        <v>85.24466</v>
      </c>
      <c r="R750" t="n">
        <v>83.55244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87.74762</v>
      </c>
      <c r="Y750" t="n">
        <v>87.17041999999999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90" t="n">
        <v>41426</v>
      </c>
      <c r="B751" t="n">
        <v>87.47414000000001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80.81782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101.1849</v>
      </c>
      <c r="N751" t="n">
        <v>92.35993000000001</v>
      </c>
      <c r="O751" t="n">
        <v>78.87822</v>
      </c>
      <c r="P751" t="n">
        <v>79.79736</v>
      </c>
      <c r="Q751" t="n">
        <v>85.53988</v>
      </c>
      <c r="R751" t="n">
        <v>84.07829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88.24737</v>
      </c>
      <c r="Y751" t="n">
        <v>87.94016000000001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90" t="n">
        <v>41456</v>
      </c>
      <c r="B752" t="n">
        <v>87.60863000000001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81.94382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101.5323</v>
      </c>
      <c r="N752" t="n">
        <v>91.86996000000001</v>
      </c>
      <c r="O752" t="n">
        <v>79.54201</v>
      </c>
      <c r="P752" t="n">
        <v>80.4289</v>
      </c>
      <c r="Q752" t="n">
        <v>85.92254</v>
      </c>
      <c r="R752" t="n">
        <v>84.39494000000001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88.64082000000001</v>
      </c>
      <c r="Y752" t="n">
        <v>88.65161000000001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90" t="n">
        <v>41487</v>
      </c>
      <c r="B753" t="n">
        <v>87.76832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82.76817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101.8476</v>
      </c>
      <c r="N753" t="n">
        <v>91.52343</v>
      </c>
      <c r="O753" t="n">
        <v>80.85387</v>
      </c>
      <c r="P753" t="n">
        <v>80.67558</v>
      </c>
      <c r="Q753" t="n">
        <v>86.41982</v>
      </c>
      <c r="R753" t="n">
        <v>84.88544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89.1694</v>
      </c>
      <c r="Y753" t="n">
        <v>89.29224000000001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90" t="n">
        <v>41518</v>
      </c>
      <c r="B754" t="n">
        <v>88.12133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83.45721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101.5688</v>
      </c>
      <c r="N754" t="n">
        <v>91.44276000000001</v>
      </c>
      <c r="O754" t="n">
        <v>81.60601</v>
      </c>
      <c r="P754" t="n">
        <v>81.55840999999999</v>
      </c>
      <c r="Q754" t="n">
        <v>86.92628000000001</v>
      </c>
      <c r="R754" t="n">
        <v>85.57283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89.64761</v>
      </c>
      <c r="Y754" t="n">
        <v>89.75512999999999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86.73907</v>
      </c>
    </row>
    <row r="755">
      <c r="A755" s="90" t="n">
        <v>41548</v>
      </c>
      <c r="B755" t="n">
        <v>88.76012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84.33872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101.1779</v>
      </c>
      <c r="N755" t="n">
        <v>91.65662</v>
      </c>
      <c r="O755" t="n">
        <v>82.41486999999999</v>
      </c>
      <c r="P755" t="n">
        <v>82.46393</v>
      </c>
      <c r="Q755" t="n">
        <v>87.39869</v>
      </c>
      <c r="R755" t="n">
        <v>86.15662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90.35187999999999</v>
      </c>
      <c r="Y755" t="n">
        <v>90.1506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87.15343</v>
      </c>
    </row>
    <row r="756">
      <c r="A756" s="90" t="n">
        <v>41579</v>
      </c>
      <c r="B756" t="n">
        <v>89.36528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85.36465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101.2107</v>
      </c>
      <c r="N756" t="n">
        <v>91.98929</v>
      </c>
      <c r="O756" t="n">
        <v>82.90501999999999</v>
      </c>
      <c r="P756" t="n">
        <v>83.69793</v>
      </c>
      <c r="Q756" t="n">
        <v>87.86087999999999</v>
      </c>
      <c r="R756" t="n">
        <v>86.63342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90.69405999999999</v>
      </c>
      <c r="Y756" t="n">
        <v>90.65654000000001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87.55589999999999</v>
      </c>
    </row>
    <row r="757">
      <c r="A757" s="90" t="n">
        <v>41609</v>
      </c>
      <c r="B757" t="n">
        <v>90.03488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85.91179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100.6508</v>
      </c>
      <c r="N757" t="n">
        <v>92.74437</v>
      </c>
      <c r="O757" t="n">
        <v>83.56206</v>
      </c>
      <c r="P757" t="n">
        <v>84.97423999999999</v>
      </c>
      <c r="Q757" t="n">
        <v>88.25217000000001</v>
      </c>
      <c r="R757" t="n">
        <v>87.21881999999999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91.18481</v>
      </c>
      <c r="Y757" t="n">
        <v>91.08556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88.00696000000001</v>
      </c>
    </row>
    <row r="758">
      <c r="A758" s="90" t="n">
        <v>41640</v>
      </c>
      <c r="B758" t="n">
        <v>90.65965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86.69495999999999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100.709</v>
      </c>
      <c r="N758" t="n">
        <v>93.41764999999999</v>
      </c>
      <c r="O758" t="n">
        <v>83.96827999999999</v>
      </c>
      <c r="P758" t="n">
        <v>85.74196999999999</v>
      </c>
      <c r="Q758" t="n">
        <v>88.58984</v>
      </c>
      <c r="R758" t="n">
        <v>87.87528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91.65161999999999</v>
      </c>
      <c r="Y758" t="n">
        <v>91.69859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90" t="n">
        <v>41671</v>
      </c>
      <c r="B759" t="n">
        <v>91.17236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88.03480999999999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101.8014</v>
      </c>
      <c r="N759" t="n">
        <v>93.78156</v>
      </c>
      <c r="O759" t="n">
        <v>84.23650000000001</v>
      </c>
      <c r="P759" t="n">
        <v>86.46075</v>
      </c>
      <c r="Q759" t="n">
        <v>88.95541</v>
      </c>
      <c r="R759" t="n">
        <v>88.4631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92.23832</v>
      </c>
      <c r="Y759" t="n">
        <v>92.42283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90" t="n">
        <v>41699</v>
      </c>
      <c r="B760" t="n">
        <v>91.58701000000001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88.89745000000001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101.3011</v>
      </c>
      <c r="N760" t="n">
        <v>94.04642</v>
      </c>
      <c r="O760" t="n">
        <v>84.51299</v>
      </c>
      <c r="P760" t="n">
        <v>86.9819</v>
      </c>
      <c r="Q760" t="n">
        <v>89.31674</v>
      </c>
      <c r="R760" t="n">
        <v>89.31368000000001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92.56905</v>
      </c>
      <c r="Y760" t="n">
        <v>92.50196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90" t="n">
        <v>41730</v>
      </c>
      <c r="B761" t="n">
        <v>92.0633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89.36299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100.2718</v>
      </c>
      <c r="N761" t="n">
        <v>94.76145</v>
      </c>
      <c r="O761" t="n">
        <v>85.53346999999999</v>
      </c>
      <c r="P761" t="n">
        <v>87.79392</v>
      </c>
      <c r="Q761" t="n">
        <v>89.7916</v>
      </c>
      <c r="R761" t="n">
        <v>90.15998999999999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92.91</v>
      </c>
      <c r="Y761" t="n">
        <v>92.49458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90" t="n">
        <v>41760</v>
      </c>
      <c r="B762" t="n">
        <v>92.74131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89.87916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100.1101</v>
      </c>
      <c r="N762" t="n">
        <v>95.37829000000001</v>
      </c>
      <c r="O762" t="n">
        <v>87.01186</v>
      </c>
      <c r="P762" t="n">
        <v>88.67983</v>
      </c>
      <c r="Q762" t="n">
        <v>90.50658</v>
      </c>
      <c r="R762" t="n">
        <v>90.88995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93.35872999999999</v>
      </c>
      <c r="Y762" t="n">
        <v>92.65886999999999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91.66689</v>
      </c>
    </row>
    <row r="763">
      <c r="A763" s="90" t="n">
        <v>41791</v>
      </c>
      <c r="B763" t="n">
        <v>93.30444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90.43774999999999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99.88506</v>
      </c>
      <c r="N763" t="n">
        <v>95.23390999999999</v>
      </c>
      <c r="O763" t="n">
        <v>87.99495</v>
      </c>
      <c r="P763" t="n">
        <v>89.3116</v>
      </c>
      <c r="Q763" t="n">
        <v>91.22573</v>
      </c>
      <c r="R763" t="n">
        <v>91.74382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93.80112</v>
      </c>
      <c r="Y763" t="n">
        <v>92.88225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90" t="n">
        <v>41821</v>
      </c>
      <c r="B764" t="n">
        <v>93.84237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91.17675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99.65219999999999</v>
      </c>
      <c r="N764" t="n">
        <v>95.64662</v>
      </c>
      <c r="O764" t="n">
        <v>88.94174</v>
      </c>
      <c r="P764" t="n">
        <v>90.13514000000001</v>
      </c>
      <c r="Q764" t="n">
        <v>91.77403</v>
      </c>
      <c r="R764" t="n">
        <v>91.97186000000001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94.33347000000001</v>
      </c>
      <c r="Y764" t="n">
        <v>93.40576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92.39757</v>
      </c>
    </row>
    <row r="765">
      <c r="A765" s="90" t="n">
        <v>41852</v>
      </c>
      <c r="B765" t="n">
        <v>94.53439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91.80382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99.83794</v>
      </c>
      <c r="N765" t="n">
        <v>96.47595</v>
      </c>
      <c r="O765" t="n">
        <v>89.61060000000001</v>
      </c>
      <c r="P765" t="n">
        <v>91.09347</v>
      </c>
      <c r="Q765" t="n">
        <v>92.29244</v>
      </c>
      <c r="R765" t="n">
        <v>92.75508000000001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94.76163</v>
      </c>
      <c r="Y765" t="n">
        <v>94.05137999999999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90" t="n">
        <v>41883</v>
      </c>
      <c r="B766" t="n">
        <v>95.25162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92.10545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100.0677</v>
      </c>
      <c r="N766" t="n">
        <v>96.77632</v>
      </c>
      <c r="O766" t="n">
        <v>90.8656</v>
      </c>
      <c r="P766" t="n">
        <v>91.92004</v>
      </c>
      <c r="Q766" t="n">
        <v>92.96449</v>
      </c>
      <c r="R766" t="n">
        <v>94.09674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95.16306</v>
      </c>
      <c r="Y766" t="n">
        <v>94.70786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90" t="n">
        <v>41913</v>
      </c>
      <c r="B767" t="n">
        <v>95.77273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92.73756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99.70581</v>
      </c>
      <c r="N767" t="n">
        <v>96.71402999999999</v>
      </c>
      <c r="O767" t="n">
        <v>92.44128000000001</v>
      </c>
      <c r="P767" t="n">
        <v>92.89429</v>
      </c>
      <c r="Q767" t="n">
        <v>93.79935</v>
      </c>
      <c r="R767" t="n">
        <v>94.66023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95.62538000000001</v>
      </c>
      <c r="Y767" t="n">
        <v>94.95095999999999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94.04329</v>
      </c>
    </row>
    <row r="768">
      <c r="A768" s="90" t="n">
        <v>41944</v>
      </c>
      <c r="B768" t="n">
        <v>96.07531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93.46850999999999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99.54018000000001</v>
      </c>
      <c r="N768" t="n">
        <v>96.7146</v>
      </c>
      <c r="O768" t="n">
        <v>93.3813</v>
      </c>
      <c r="P768" t="n">
        <v>93.98775999999999</v>
      </c>
      <c r="Q768" t="n">
        <v>94.69482000000001</v>
      </c>
      <c r="R768" t="n">
        <v>96.03155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96.089</v>
      </c>
      <c r="Y768" t="n">
        <v>95.20438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</v>
      </c>
    </row>
    <row r="769">
      <c r="A769" s="90" t="n">
        <v>41974</v>
      </c>
      <c r="B769" t="n">
        <v>96.60203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94.00172000000001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99.74321999999999</v>
      </c>
      <c r="N769" t="n">
        <v>97.3763</v>
      </c>
      <c r="O769" t="n">
        <v>93.97318</v>
      </c>
      <c r="P769" t="n">
        <v>94.74309</v>
      </c>
      <c r="Q769" t="n">
        <v>95.63424000000001</v>
      </c>
      <c r="R769" t="n">
        <v>97.66419999999999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96.69925000000001</v>
      </c>
      <c r="Y769" t="n">
        <v>95.85593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94.84641999999999</v>
      </c>
    </row>
    <row r="770">
      <c r="A770" s="90" t="n">
        <v>42005</v>
      </c>
      <c r="B770" t="n">
        <v>97.12314000000001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94.81444999999999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99.60865</v>
      </c>
      <c r="N770" t="n">
        <v>98.39806</v>
      </c>
      <c r="O770" t="n">
        <v>95.19379000000001</v>
      </c>
      <c r="P770" t="n">
        <v>95.43456</v>
      </c>
      <c r="Q770" t="n">
        <v>96.66092999999999</v>
      </c>
      <c r="R770" t="n">
        <v>98.47246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97.23281</v>
      </c>
      <c r="Y770" t="n">
        <v>96.41867999999999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94.99807</v>
      </c>
    </row>
    <row r="771">
      <c r="A771" s="90" t="n">
        <v>42036</v>
      </c>
      <c r="B771" t="n">
        <v>97.81796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95.84635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99.23711</v>
      </c>
      <c r="N771" t="n">
        <v>98.87218</v>
      </c>
      <c r="O771" t="n">
        <v>97.14249</v>
      </c>
      <c r="P771" t="n">
        <v>96.15666</v>
      </c>
      <c r="Q771" t="n">
        <v>97.73345999999999</v>
      </c>
      <c r="R771" t="n">
        <v>99.07786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97.98669</v>
      </c>
      <c r="Y771" t="n">
        <v>96.99365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90" t="n">
        <v>42064</v>
      </c>
      <c r="B772" t="n">
        <v>98.49036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96.70927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99.60814999999999</v>
      </c>
      <c r="N772" t="n">
        <v>98.74257</v>
      </c>
      <c r="O772" t="n">
        <v>98.16839</v>
      </c>
      <c r="P772" t="n">
        <v>97.02437999999999</v>
      </c>
      <c r="Q772" t="n">
        <v>98.74702000000001</v>
      </c>
      <c r="R772" t="n">
        <v>99.32858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98.37416</v>
      </c>
      <c r="Y772" t="n">
        <v>97.90236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96.98456</v>
      </c>
    </row>
    <row r="773">
      <c r="A773" s="90" t="n">
        <v>42095</v>
      </c>
      <c r="B773" t="n">
        <v>98.8826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97.20271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100.1236</v>
      </c>
      <c r="N773" t="n">
        <v>98.72256</v>
      </c>
      <c r="O773" t="n">
        <v>98.78548000000001</v>
      </c>
      <c r="P773" t="n">
        <v>97.81892999999999</v>
      </c>
      <c r="Q773" t="n">
        <v>99.59853</v>
      </c>
      <c r="R773" t="n">
        <v>99.50364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98.85543</v>
      </c>
      <c r="Y773" t="n">
        <v>98.6942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90" t="n">
        <v>42125</v>
      </c>
      <c r="B774" t="n">
        <v>99.25521999999999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98.24693000000001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100.0768</v>
      </c>
      <c r="N774" t="n">
        <v>99.5226</v>
      </c>
      <c r="O774" t="n">
        <v>99.23581</v>
      </c>
      <c r="P774" t="n">
        <v>98.57868000000001</v>
      </c>
      <c r="Q774" t="n">
        <v>100.3195</v>
      </c>
      <c r="R774" t="n">
        <v>99.482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99.3083</v>
      </c>
      <c r="Y774" t="n">
        <v>99.23264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90" t="n">
        <v>42156</v>
      </c>
      <c r="B775" t="n">
        <v>99.56901000000001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99.49421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99.72062</v>
      </c>
      <c r="N775" t="n">
        <v>99.52222999999999</v>
      </c>
      <c r="O775" t="n">
        <v>99.48523</v>
      </c>
      <c r="P775" t="n">
        <v>99.84487</v>
      </c>
      <c r="Q775" t="n">
        <v>100.9733</v>
      </c>
      <c r="R775" t="n">
        <v>99.27751000000001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99.68565</v>
      </c>
      <c r="Y775" t="n">
        <v>99.57163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90" t="n">
        <v>42186</v>
      </c>
      <c r="B776" t="n">
        <v>100.2162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100.2384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99.78891</v>
      </c>
      <c r="N776" t="n">
        <v>99.06007</v>
      </c>
      <c r="O776" t="n">
        <v>100.1818</v>
      </c>
      <c r="P776" t="n">
        <v>100.6861</v>
      </c>
      <c r="Q776" t="n">
        <v>101.4503</v>
      </c>
      <c r="R776" t="n">
        <v>99.16087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100.2229</v>
      </c>
      <c r="Y776" t="n">
        <v>100.2152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90" t="n">
        <v>42217</v>
      </c>
      <c r="B777" t="n">
        <v>100.7177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101.4183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100.2428</v>
      </c>
      <c r="N777" t="n">
        <v>99.54132</v>
      </c>
      <c r="O777" t="n">
        <v>101.1357</v>
      </c>
      <c r="P777" t="n">
        <v>101.3252</v>
      </c>
      <c r="Q777" t="n">
        <v>101.6116</v>
      </c>
      <c r="R777" t="n">
        <v>99.36346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100.8224</v>
      </c>
      <c r="Y777" t="n">
        <v>101.1166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90" t="n">
        <v>42248</v>
      </c>
      <c r="B778" t="n">
        <v>101.18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102.7239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100.2517</v>
      </c>
      <c r="N778" t="n">
        <v>100.2899</v>
      </c>
      <c r="O778" t="n">
        <v>102.5197</v>
      </c>
      <c r="P778" t="n">
        <v>102.1573</v>
      </c>
      <c r="Q778" t="n">
        <v>101.4107</v>
      </c>
      <c r="R778" t="n">
        <v>100.3502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101.3033</v>
      </c>
      <c r="Y778" t="n">
        <v>101.9011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90" t="n">
        <v>42278</v>
      </c>
      <c r="B779" t="n">
        <v>101.7207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103.7965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100.2695</v>
      </c>
      <c r="N779" t="n">
        <v>101.097</v>
      </c>
      <c r="O779" t="n">
        <v>102.9776</v>
      </c>
      <c r="P779" t="n">
        <v>102.7561</v>
      </c>
      <c r="Q779" t="n">
        <v>100.9895</v>
      </c>
      <c r="R779" t="n">
        <v>101.5869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101.6185</v>
      </c>
      <c r="Y779" t="n">
        <v>102.4353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90" t="n">
        <v>42309</v>
      </c>
      <c r="B780" t="n">
        <v>102.2586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104.4823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100.3045</v>
      </c>
      <c r="N780" t="n">
        <v>102.4559</v>
      </c>
      <c r="O780" t="n">
        <v>102.5325</v>
      </c>
      <c r="P780" t="n">
        <v>103.5811</v>
      </c>
      <c r="Q780" t="n">
        <v>100.5141</v>
      </c>
      <c r="R780" t="n">
        <v>102.133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102.091</v>
      </c>
      <c r="Y780" t="n">
        <v>102.6113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90" t="n">
        <v>42339</v>
      </c>
      <c r="B781" t="n">
        <v>102.7685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105.0267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100.7676</v>
      </c>
      <c r="N781" t="n">
        <v>103.7756</v>
      </c>
      <c r="O781" t="n">
        <v>102.6416</v>
      </c>
      <c r="P781" t="n">
        <v>104.636</v>
      </c>
      <c r="Q781" t="n">
        <v>99.99091</v>
      </c>
      <c r="R781" t="n">
        <v>102.2635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102.4989</v>
      </c>
      <c r="Y781" t="n">
        <v>102.9073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90" t="n">
        <v>42370</v>
      </c>
      <c r="B782" t="n">
        <v>103.1804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105.9136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101.6395</v>
      </c>
      <c r="N782" t="n">
        <v>104.0202</v>
      </c>
      <c r="O782" t="n">
        <v>103.3395</v>
      </c>
      <c r="P782" t="n">
        <v>105.6285</v>
      </c>
      <c r="Q782" t="n">
        <v>99.40437</v>
      </c>
      <c r="R782" t="n">
        <v>102.6193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103.2956</v>
      </c>
      <c r="Y782" t="n">
        <v>103.4664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90" t="n">
        <v>42401</v>
      </c>
      <c r="B783" t="n">
        <v>103.6399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106.801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102.483</v>
      </c>
      <c r="N783" t="n">
        <v>103.4715</v>
      </c>
      <c r="O783" t="n">
        <v>104.4958</v>
      </c>
      <c r="P783" t="n">
        <v>106.6381</v>
      </c>
      <c r="Q783" t="n">
        <v>98.75668</v>
      </c>
      <c r="R783" t="n">
        <v>103.2117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103.8842</v>
      </c>
      <c r="Y783" t="n">
        <v>104.1962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90" t="n">
        <v>42430</v>
      </c>
      <c r="B784" t="n">
        <v>104.1498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107.7505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103.1672</v>
      </c>
      <c r="N784" t="n">
        <v>103.2529</v>
      </c>
      <c r="O784" t="n">
        <v>105.3269</v>
      </c>
      <c r="P784" t="n">
        <v>107.2807</v>
      </c>
      <c r="Q784" t="n">
        <v>98.05580999999999</v>
      </c>
      <c r="R784" t="n">
        <v>103.2621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104.3795</v>
      </c>
      <c r="Y784" t="n">
        <v>104.8472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90" t="n">
        <v>42461</v>
      </c>
      <c r="B785" t="n">
        <v>104.5952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108.7234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103.2126</v>
      </c>
      <c r="N785" t="n">
        <v>103.2472</v>
      </c>
      <c r="O785" t="n">
        <v>105.9369</v>
      </c>
      <c r="P785" t="n">
        <v>108.4104</v>
      </c>
      <c r="Q785" t="n">
        <v>97.29808</v>
      </c>
      <c r="R785" t="n">
        <v>103.6493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104.9846</v>
      </c>
      <c r="Y785" t="n">
        <v>105.2996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90" t="n">
        <v>42491</v>
      </c>
      <c r="B786" t="n">
        <v>104.9314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109.4307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103.3465</v>
      </c>
      <c r="N786" t="n">
        <v>103.4722</v>
      </c>
      <c r="O786" t="n">
        <v>106.5111</v>
      </c>
      <c r="P786" t="n">
        <v>109.3104</v>
      </c>
      <c r="Q786" t="n">
        <v>96.46853</v>
      </c>
      <c r="R786" t="n">
        <v>104.7689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105.5549</v>
      </c>
      <c r="Y786" t="n">
        <v>105.9533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90" t="n">
        <v>42522</v>
      </c>
      <c r="B787" t="n">
        <v>105.3377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109.9097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105.3993</v>
      </c>
      <c r="N787" t="n">
        <v>104.073</v>
      </c>
      <c r="O787" t="n">
        <v>107.4927</v>
      </c>
      <c r="P787" t="n">
        <v>109.3151</v>
      </c>
      <c r="Q787" t="n">
        <v>95.72318</v>
      </c>
      <c r="R787" t="n">
        <v>105.5839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106.2422</v>
      </c>
      <c r="Y787" t="n">
        <v>107.2862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90" t="n">
        <v>42552</v>
      </c>
      <c r="B788" t="n">
        <v>106.0297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110.5173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107.7393</v>
      </c>
      <c r="N788" t="n">
        <v>104.281</v>
      </c>
      <c r="O788" t="n">
        <v>108.5878</v>
      </c>
      <c r="P788" t="n">
        <v>110.2634</v>
      </c>
      <c r="Q788" t="n">
        <v>95.27303000000001</v>
      </c>
      <c r="R788" t="n">
        <v>106.3376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106.9466</v>
      </c>
      <c r="Y788" t="n">
        <v>108.6463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90" t="n">
        <v>42583</v>
      </c>
      <c r="B789" t="n">
        <v>106.7637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111.2404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108.7118</v>
      </c>
      <c r="N789" t="n">
        <v>104.2473</v>
      </c>
      <c r="O789" t="n">
        <v>109.1512</v>
      </c>
      <c r="P789" t="n">
        <v>111.6638</v>
      </c>
      <c r="Q789" t="n">
        <v>95.12656</v>
      </c>
      <c r="R789" t="n">
        <v>106.6374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107.5755</v>
      </c>
      <c r="Y789" t="n">
        <v>109.3603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90" t="n">
        <v>42614</v>
      </c>
      <c r="B790" t="n">
        <v>107.1336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111.826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109.5168</v>
      </c>
      <c r="N790" t="n">
        <v>104.5428</v>
      </c>
      <c r="O790" t="n">
        <v>109.0556</v>
      </c>
      <c r="P790" t="n">
        <v>112.9333</v>
      </c>
      <c r="Q790" t="n">
        <v>95.29783999999999</v>
      </c>
      <c r="R790" t="n">
        <v>106.6531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108.1402</v>
      </c>
      <c r="Y790" t="n">
        <v>109.9855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107.1648</v>
      </c>
    </row>
    <row r="791">
      <c r="A791" s="90" t="n">
        <v>42644</v>
      </c>
      <c r="B791" t="n">
        <v>107.6294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111.9875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110.5494</v>
      </c>
      <c r="N791" t="n">
        <v>105.1398</v>
      </c>
      <c r="O791" t="n">
        <v>109.4764</v>
      </c>
      <c r="P791" t="n">
        <v>113.9786</v>
      </c>
      <c r="Q791" t="n">
        <v>95.74462</v>
      </c>
      <c r="R791" t="n">
        <v>107.1596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108.7654</v>
      </c>
      <c r="Y791" t="n">
        <v>110.9301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90" t="n">
        <v>42675</v>
      </c>
      <c r="B792" t="n">
        <v>108.4559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112.4833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111.0901</v>
      </c>
      <c r="N792" t="n">
        <v>105.9779</v>
      </c>
      <c r="O792" t="n">
        <v>111.1805</v>
      </c>
      <c r="P792" t="n">
        <v>114.4473</v>
      </c>
      <c r="Q792" t="n">
        <v>96.19054</v>
      </c>
      <c r="R792" t="n">
        <v>107.7402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109.4148</v>
      </c>
      <c r="Y792" t="n">
        <v>112.1765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90" t="n">
        <v>42705</v>
      </c>
      <c r="B793" t="n">
        <v>109.4646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113.0106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111.1105</v>
      </c>
      <c r="N793" t="n">
        <v>109.049</v>
      </c>
      <c r="O793" t="n">
        <v>112.6748</v>
      </c>
      <c r="P793" t="n">
        <v>113.1645</v>
      </c>
      <c r="Q793" t="n">
        <v>96.53201</v>
      </c>
      <c r="R793" t="n">
        <v>108.1599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109.938</v>
      </c>
      <c r="Y793" t="n">
        <v>113.2898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90" t="n">
        <v>42736</v>
      </c>
      <c r="B794" t="n">
        <v>110.3583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113.7363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111.5917</v>
      </c>
      <c r="N794" t="n">
        <v>111.0709</v>
      </c>
      <c r="O794" t="n">
        <v>113.6743</v>
      </c>
      <c r="P794" t="n">
        <v>112.252</v>
      </c>
      <c r="Q794" t="n">
        <v>96.86812999999999</v>
      </c>
      <c r="R794" t="n">
        <v>108.715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110.5641</v>
      </c>
      <c r="Y794" t="n">
        <v>114.282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90" t="n">
        <v>42767</v>
      </c>
      <c r="B795" t="n">
        <v>110.9831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114.4517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112.6498</v>
      </c>
      <c r="N795" t="n">
        <v>110.3332</v>
      </c>
      <c r="O795" t="n">
        <v>114.5266</v>
      </c>
      <c r="P795" t="n">
        <v>113.2879</v>
      </c>
      <c r="Q795" t="n">
        <v>97.20923000000001</v>
      </c>
      <c r="R795" t="n">
        <v>109.0622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111.1291</v>
      </c>
      <c r="Y795" t="n">
        <v>115.0763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111.652</v>
      </c>
    </row>
    <row r="796">
      <c r="A796" s="90" t="n">
        <v>42795</v>
      </c>
      <c r="B796" t="n">
        <v>111.3557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114.5097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113.8934</v>
      </c>
      <c r="N796" t="n">
        <v>110.638</v>
      </c>
      <c r="O796" t="n">
        <v>115.4727</v>
      </c>
      <c r="P796" t="n">
        <v>116.216</v>
      </c>
      <c r="Q796" t="n">
        <v>97.61906999999999</v>
      </c>
      <c r="R796" t="n">
        <v>109.1309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111.7886</v>
      </c>
      <c r="Y796" t="n">
        <v>116.0502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90" t="n">
        <v>42826</v>
      </c>
      <c r="B797" t="n">
        <v>111.9721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115.3668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114.7425</v>
      </c>
      <c r="N797" t="n">
        <v>111.6049</v>
      </c>
      <c r="O797" t="n">
        <v>116.4062</v>
      </c>
      <c r="P797" t="n">
        <v>117.1298</v>
      </c>
      <c r="Q797" t="n">
        <v>98.13142000000001</v>
      </c>
      <c r="R797" t="n">
        <v>109.2571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112.4761</v>
      </c>
      <c r="Y797" t="n">
        <v>117.2954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90" t="n">
        <v>42856</v>
      </c>
      <c r="B798" t="n">
        <v>112.7089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116.0159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115.0205</v>
      </c>
      <c r="N798" t="n">
        <v>112.404</v>
      </c>
      <c r="O798" t="n">
        <v>117.6562</v>
      </c>
      <c r="P798" t="n">
        <v>116.5616</v>
      </c>
      <c r="Q798" t="n">
        <v>98.63141</v>
      </c>
      <c r="R798" t="n">
        <v>109.7072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112.9384</v>
      </c>
      <c r="Y798" t="n">
        <v>118.0153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90" t="n">
        <v>42887</v>
      </c>
      <c r="B799" t="n">
        <v>113.3001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116.309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115.1617</v>
      </c>
      <c r="N799" t="n">
        <v>113.7021</v>
      </c>
      <c r="O799" t="n">
        <v>118.9115</v>
      </c>
      <c r="P799" t="n">
        <v>117.4433</v>
      </c>
      <c r="Q799" t="n">
        <v>99.06856000000001</v>
      </c>
      <c r="R799" t="n">
        <v>111.0409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113.2736</v>
      </c>
      <c r="Y799" t="n">
        <v>118.544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90" t="n">
        <v>42917</v>
      </c>
      <c r="B800" t="n">
        <v>113.7707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117.0774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115.4661</v>
      </c>
      <c r="N800" t="n">
        <v>114.5532</v>
      </c>
      <c r="O800" t="n">
        <v>119.3028</v>
      </c>
      <c r="P800" t="n">
        <v>118.0385</v>
      </c>
      <c r="Q800" t="n">
        <v>99.46514999999999</v>
      </c>
      <c r="R800" t="n">
        <v>112.2051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113.8079</v>
      </c>
      <c r="Y800" t="n">
        <v>119.1006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90" t="n">
        <v>42948</v>
      </c>
      <c r="B801" t="n">
        <v>114.0369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117.2431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116.3138</v>
      </c>
      <c r="N801" t="n">
        <v>115.2788</v>
      </c>
      <c r="O801" t="n">
        <v>119.7398</v>
      </c>
      <c r="P801" t="n">
        <v>118.535</v>
      </c>
      <c r="Q801" t="n">
        <v>99.86273</v>
      </c>
      <c r="R801" t="n">
        <v>112.9536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114.3208</v>
      </c>
      <c r="Y801" t="n">
        <v>119.9855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113.8327</v>
      </c>
    </row>
    <row r="802">
      <c r="A802" s="90" t="n">
        <v>42979</v>
      </c>
      <c r="B802" t="n">
        <v>114.4067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117.5128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117.3186</v>
      </c>
      <c r="N802" t="n">
        <v>117.1484</v>
      </c>
      <c r="O802" t="n">
        <v>120.4274</v>
      </c>
      <c r="P802" t="n">
        <v>119.2442</v>
      </c>
      <c r="Q802" t="n">
        <v>100.2001</v>
      </c>
      <c r="R802" t="n">
        <v>113.5286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114.8392</v>
      </c>
      <c r="Y802" t="n">
        <v>121.0894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90" t="n">
        <v>43009</v>
      </c>
      <c r="B803" t="n">
        <v>114.8522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118.209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117.9363</v>
      </c>
      <c r="N803" t="n">
        <v>118.5564</v>
      </c>
      <c r="O803" t="n">
        <v>121.2595</v>
      </c>
      <c r="P803" t="n">
        <v>121.0234</v>
      </c>
      <c r="Q803" t="n">
        <v>100.3614</v>
      </c>
      <c r="R803" t="n">
        <v>113.3916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115.4568</v>
      </c>
      <c r="Y803" t="n">
        <v>122.2454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90" t="n">
        <v>43040</v>
      </c>
      <c r="B804" t="n">
        <v>115.2276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119.0871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118.2419</v>
      </c>
      <c r="N804" t="n">
        <v>119.5556</v>
      </c>
      <c r="O804" t="n">
        <v>122.2036</v>
      </c>
      <c r="P804" t="n">
        <v>122.2668</v>
      </c>
      <c r="Q804" t="n">
        <v>100.5153</v>
      </c>
      <c r="R804" t="n">
        <v>113.3151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115.9231</v>
      </c>
      <c r="Y804" t="n">
        <v>123.2246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90" t="n">
        <v>43070</v>
      </c>
      <c r="B805" t="n">
        <v>115.2584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120.4795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118.2287</v>
      </c>
      <c r="N805" t="n">
        <v>120.281</v>
      </c>
      <c r="O805" t="n">
        <v>122.6267</v>
      </c>
      <c r="P805" t="n">
        <v>122.8887</v>
      </c>
      <c r="Q805" t="n">
        <v>100.8441</v>
      </c>
      <c r="R805" t="n">
        <v>113.7547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116.3079</v>
      </c>
      <c r="Y805" t="n">
        <v>123.4347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90" t="n">
        <v>43101</v>
      </c>
      <c r="B806" t="n">
        <v>115.3593</v>
      </c>
      <c r="C806" t="n">
        <v>125.8874</v>
      </c>
      <c r="D806" t="n">
        <v>117.8486</v>
      </c>
      <c r="E806" t="n">
        <v>107.9691</v>
      </c>
      <c r="F806" t="n">
        <v>120.5811</v>
      </c>
      <c r="G806" t="n">
        <v>129.0859</v>
      </c>
      <c r="H806" t="n">
        <v>121.165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118.765</v>
      </c>
      <c r="N806" t="n">
        <v>122.0457</v>
      </c>
      <c r="O806" t="n">
        <v>123.2196</v>
      </c>
      <c r="P806" t="n">
        <v>123.8216</v>
      </c>
      <c r="Q806" t="n">
        <v>101.2755</v>
      </c>
      <c r="R806" t="n">
        <v>113.9716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116.4403</v>
      </c>
      <c r="Y806" t="n">
        <v>123.6599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90" t="n">
        <v>43132</v>
      </c>
      <c r="B807" t="n">
        <v>115.5778</v>
      </c>
      <c r="C807" t="n">
        <v>126.5311</v>
      </c>
      <c r="D807" t="n">
        <v>118.8176</v>
      </c>
      <c r="E807" t="n">
        <v>108.2808</v>
      </c>
      <c r="F807" t="n">
        <v>120.8162</v>
      </c>
      <c r="G807" t="n">
        <v>130.5695</v>
      </c>
      <c r="H807" t="n">
        <v>121.2704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119.3207</v>
      </c>
      <c r="N807" t="n">
        <v>124.2951</v>
      </c>
      <c r="O807" t="n">
        <v>124.0943</v>
      </c>
      <c r="P807" t="n">
        <v>124.7564</v>
      </c>
      <c r="Q807" t="n">
        <v>101.7775</v>
      </c>
      <c r="R807" t="n">
        <v>113.6856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116.7954</v>
      </c>
      <c r="Y807" t="n">
        <v>124.3326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90" t="n">
        <v>43160</v>
      </c>
      <c r="B808" t="n">
        <v>115.575</v>
      </c>
      <c r="C808" t="n">
        <v>127.3854</v>
      </c>
      <c r="D808" t="n">
        <v>119.127</v>
      </c>
      <c r="E808" t="n">
        <v>108.2908</v>
      </c>
      <c r="F808" t="n">
        <v>121.526</v>
      </c>
      <c r="G808" t="n">
        <v>131.1126</v>
      </c>
      <c r="H808" t="n">
        <v>121.6535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118.602</v>
      </c>
      <c r="N808" t="n">
        <v>125.5894</v>
      </c>
      <c r="O808" t="n">
        <v>124.5713</v>
      </c>
      <c r="P808" t="n">
        <v>125.6895</v>
      </c>
      <c r="Q808" t="n">
        <v>102.3663</v>
      </c>
      <c r="R808" t="n">
        <v>113.9164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</v>
      </c>
      <c r="Y808" t="n">
        <v>125.027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90" t="n">
        <v>43191</v>
      </c>
      <c r="B809" t="n">
        <v>115.4181</v>
      </c>
      <c r="C809" t="n">
        <v>128.2491</v>
      </c>
      <c r="D809" t="n">
        <v>119.4132</v>
      </c>
      <c r="E809" t="n">
        <v>108.4202</v>
      </c>
      <c r="F809" t="n">
        <v>123.4717</v>
      </c>
      <c r="G809" t="n">
        <v>131.7365</v>
      </c>
      <c r="H809" t="n">
        <v>121.735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117.786</v>
      </c>
      <c r="N809" t="n">
        <v>127.289</v>
      </c>
      <c r="O809" t="n">
        <v>125.1125</v>
      </c>
      <c r="P809" t="n">
        <v>126.8122</v>
      </c>
      <c r="Q809" t="n">
        <v>103.0184</v>
      </c>
      <c r="R809" t="n">
        <v>114.6789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117.8237</v>
      </c>
      <c r="Y809" t="n">
        <v>125.829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90" t="n">
        <v>43221</v>
      </c>
      <c r="B810" t="n">
        <v>115.4489</v>
      </c>
      <c r="C810" t="n">
        <v>128.6957</v>
      </c>
      <c r="D810" t="n">
        <v>119.7786</v>
      </c>
      <c r="E810" t="n">
        <v>108.7153</v>
      </c>
      <c r="F810" t="n">
        <v>124.9933</v>
      </c>
      <c r="G810" t="n">
        <v>132.2975</v>
      </c>
      <c r="H810" t="n">
        <v>121.8855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118.5679</v>
      </c>
      <c r="N810" t="n">
        <v>128.8403</v>
      </c>
      <c r="O810" t="n">
        <v>125.5814</v>
      </c>
      <c r="P810" t="n">
        <v>127.9901</v>
      </c>
      <c r="Q810" t="n">
        <v>103.7161</v>
      </c>
      <c r="R810" t="n">
        <v>114.9696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118.4894</v>
      </c>
      <c r="Y810" t="n">
        <v>127.4489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90" t="n">
        <v>43252</v>
      </c>
      <c r="B811" t="n">
        <v>115.6423</v>
      </c>
      <c r="C811" t="n">
        <v>129.576</v>
      </c>
      <c r="D811" t="n">
        <v>120.5348</v>
      </c>
      <c r="E811" t="n">
        <v>108.7727</v>
      </c>
      <c r="F811" t="n">
        <v>125.7396</v>
      </c>
      <c r="G811" t="n">
        <v>132.8013</v>
      </c>
      <c r="H811" t="n">
        <v>122.321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119.3686</v>
      </c>
      <c r="N811" t="n">
        <v>131.041</v>
      </c>
      <c r="O811" t="n">
        <v>125.9678</v>
      </c>
      <c r="P811" t="n">
        <v>128.8645</v>
      </c>
      <c r="Q811" t="n">
        <v>104.3891</v>
      </c>
      <c r="R811" t="n">
        <v>114.948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119.2053</v>
      </c>
      <c r="Y811" t="n">
        <v>128.9198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90" t="n">
        <v>43282</v>
      </c>
      <c r="B812" t="n">
        <v>115.8468</v>
      </c>
      <c r="C812" t="n">
        <v>130.4622</v>
      </c>
      <c r="D812" t="n">
        <v>121.0157</v>
      </c>
      <c r="E812" t="n">
        <v>108.9035</v>
      </c>
      <c r="F812" t="n">
        <v>126.8182</v>
      </c>
      <c r="G812" t="n">
        <v>133.9594</v>
      </c>
      <c r="H812" t="n">
        <v>123.0101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119.3109</v>
      </c>
      <c r="N812" t="n">
        <v>133.1831</v>
      </c>
      <c r="O812" t="n">
        <v>126.6165</v>
      </c>
      <c r="P812" t="n">
        <v>129.6466</v>
      </c>
      <c r="Q812" t="n">
        <v>105.0022</v>
      </c>
      <c r="R812" t="n">
        <v>115.4509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119.6236</v>
      </c>
      <c r="Y812" t="n">
        <v>129.8871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90" t="n">
        <v>43313</v>
      </c>
      <c r="B813" t="n">
        <v>116.5108</v>
      </c>
      <c r="C813" t="n">
        <v>131.3856</v>
      </c>
      <c r="D813" t="n">
        <v>121.7234</v>
      </c>
      <c r="E813" t="n">
        <v>109.3182</v>
      </c>
      <c r="F813" t="n">
        <v>127.7573</v>
      </c>
      <c r="G813" t="n">
        <v>134.9996</v>
      </c>
      <c r="H813" t="n">
        <v>123.8855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119.4353</v>
      </c>
      <c r="N813" t="n">
        <v>133.9382</v>
      </c>
      <c r="O813" t="n">
        <v>127.0985</v>
      </c>
      <c r="P813" t="n">
        <v>130.8387</v>
      </c>
      <c r="Q813" t="n">
        <v>105.5971</v>
      </c>
      <c r="R813" t="n">
        <v>115.7939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120.1527</v>
      </c>
      <c r="Y813" t="n">
        <v>130.8539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90" t="n">
        <v>43344</v>
      </c>
      <c r="B814" t="n">
        <v>117.0095</v>
      </c>
      <c r="C814" t="n">
        <v>132.8934</v>
      </c>
      <c r="D814" t="n">
        <v>122.4337</v>
      </c>
      <c r="E814" t="n">
        <v>109.6353</v>
      </c>
      <c r="F814" t="n">
        <v>128.8906</v>
      </c>
      <c r="G814" t="n">
        <v>135.9704</v>
      </c>
      <c r="H814" t="n">
        <v>124.3164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119.9203</v>
      </c>
      <c r="N814" t="n">
        <v>133.9394</v>
      </c>
      <c r="O814" t="n">
        <v>128.0515</v>
      </c>
      <c r="P814" t="n">
        <v>131.7674</v>
      </c>
      <c r="Q814" t="n">
        <v>106.2291</v>
      </c>
      <c r="R814" t="n">
        <v>116.3762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120.7734</v>
      </c>
      <c r="Y814" t="n">
        <v>132.6013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90" t="n">
        <v>43374</v>
      </c>
      <c r="B815" t="n">
        <v>117.2336</v>
      </c>
      <c r="C815" t="n">
        <v>133.8896</v>
      </c>
      <c r="D815" t="n">
        <v>123.1122</v>
      </c>
      <c r="E815" t="n">
        <v>109.9593</v>
      </c>
      <c r="F815" t="n">
        <v>129.6778</v>
      </c>
      <c r="G815" t="n">
        <v>136.975</v>
      </c>
      <c r="H815" t="n">
        <v>124.761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120.9995</v>
      </c>
      <c r="N815" t="n">
        <v>134.2435</v>
      </c>
      <c r="O815" t="n">
        <v>129.7608</v>
      </c>
      <c r="P815" t="n">
        <v>132.5771</v>
      </c>
      <c r="Q815" t="n">
        <v>106.9454</v>
      </c>
      <c r="R815" t="n">
        <v>117.3688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121.2058</v>
      </c>
      <c r="Y815" t="n">
        <v>133.9453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90" t="n">
        <v>43405</v>
      </c>
      <c r="B816" t="n">
        <v>117.4914</v>
      </c>
      <c r="C816" t="n">
        <v>134.4371</v>
      </c>
      <c r="D816" t="n">
        <v>123.9604</v>
      </c>
      <c r="E816" t="n">
        <v>110.3706</v>
      </c>
      <c r="F816" t="n">
        <v>130.9885</v>
      </c>
      <c r="G816" t="n">
        <v>137.9958</v>
      </c>
      <c r="H816" t="n">
        <v>125.6246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121.6873</v>
      </c>
      <c r="N816" t="n">
        <v>135.0706</v>
      </c>
      <c r="O816" t="n">
        <v>130.635</v>
      </c>
      <c r="P816" t="n">
        <v>133.7899</v>
      </c>
      <c r="Q816" t="n">
        <v>107.6995</v>
      </c>
      <c r="R816" t="n">
        <v>118.5867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121.2899</v>
      </c>
      <c r="Y816" t="n">
        <v>133.3113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122.9753</v>
      </c>
    </row>
    <row r="817">
      <c r="A817" s="90" t="n">
        <v>43435</v>
      </c>
      <c r="B817" t="n">
        <v>117.8276</v>
      </c>
      <c r="C817" t="n">
        <v>136.1795</v>
      </c>
      <c r="D817" t="n">
        <v>125.6728</v>
      </c>
      <c r="E817" t="n">
        <v>110.7943</v>
      </c>
      <c r="F817" t="n">
        <v>132.9372</v>
      </c>
      <c r="G817" t="n">
        <v>139.0737</v>
      </c>
      <c r="H817" t="n">
        <v>127.0518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122.1627</v>
      </c>
      <c r="N817" t="n">
        <v>134.9756</v>
      </c>
      <c r="O817" t="n">
        <v>130.5066</v>
      </c>
      <c r="P817" t="n">
        <v>134.8019</v>
      </c>
      <c r="Q817" t="n">
        <v>108.3908</v>
      </c>
      <c r="R817" t="n">
        <v>119.2491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121.9249</v>
      </c>
      <c r="Y817" t="n">
        <v>133.2343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90" t="n">
        <v>43466</v>
      </c>
      <c r="B818" t="n">
        <v>118.4215</v>
      </c>
      <c r="C818" t="n">
        <v/>
      </c>
      <c r="D818" t="n">
        <v>125.3921</v>
      </c>
      <c r="E818" t="n">
        <v/>
      </c>
      <c r="F818" t="n">
        <v/>
      </c>
      <c r="G818" t="n">
        <v/>
      </c>
      <c r="H818" t="n">
        <v>127.6567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121.9979</v>
      </c>
      <c r="N818" t="n">
        <v>135.1888</v>
      </c>
      <c r="O818" t="n">
        <v/>
      </c>
      <c r="P818" t="n">
        <v/>
      </c>
      <c r="Q818" t="n">
        <v>108.9879</v>
      </c>
      <c r="R818" t="n">
        <v>119.7986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122.3662</v>
      </c>
      <c r="Y818" t="n">
        <v/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90" t="n">
        <v>43497</v>
      </c>
      <c r="B819" t="n">
        <v>119.0659</v>
      </c>
      <c r="C819" t="n">
        <v/>
      </c>
      <c r="D819" t="n">
        <v>126.1742</v>
      </c>
      <c r="E819" t="n">
        <v/>
      </c>
      <c r="F819" t="n">
        <v/>
      </c>
      <c r="G819" t="n">
        <v/>
      </c>
      <c r="H819" t="n">
        <v>127.8352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120.7775</v>
      </c>
      <c r="N819" t="n">
        <v>136.2269</v>
      </c>
      <c r="O819" t="n">
        <v/>
      </c>
      <c r="P819" t="n">
        <v/>
      </c>
      <c r="Q819" t="n">
        <v>109.5066</v>
      </c>
      <c r="R819" t="n">
        <v>121.1358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122.6316</v>
      </c>
      <c r="Y819" t="n">
        <v/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90" t="n">
        <v>43525</v>
      </c>
      <c r="B820" t="n">
        <v>119.7916</v>
      </c>
      <c r="C820" t="n">
        <v/>
      </c>
      <c r="D820" t="n">
        <v>127.8956</v>
      </c>
      <c r="E820" t="n">
        <v/>
      </c>
      <c r="F820" t="n">
        <v/>
      </c>
      <c r="G820" t="n">
        <v/>
      </c>
      <c r="H820" t="n">
        <v>128.9899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120.3235</v>
      </c>
      <c r="N820" t="n">
        <v>137.0343</v>
      </c>
      <c r="O820" t="n">
        <v/>
      </c>
      <c r="P820" t="n">
        <v/>
      </c>
      <c r="Q820" t="n">
        <v>109.9536</v>
      </c>
      <c r="R820" t="n">
        <v>121.7238</v>
      </c>
      <c r="S820" t="n">
        <v>110.539</v>
      </c>
      <c r="T820" t="n">
        <v>130.1355</v>
      </c>
      <c r="U820" t="n">
        <v/>
      </c>
      <c r="V820" t="n">
        <v>120.1252</v>
      </c>
      <c r="W820" t="n">
        <v/>
      </c>
      <c r="X820" t="n">
        <v>123.0148</v>
      </c>
      <c r="Y820" t="n">
        <v/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90" t="n">
        <v>43556</v>
      </c>
      <c r="B821" t="n">
        <v>120.251</v>
      </c>
      <c r="C821" t="n">
        <v/>
      </c>
      <c r="D821" t="n">
        <v>128.9886</v>
      </c>
      <c r="E821" t="n">
        <v/>
      </c>
      <c r="F821" t="n">
        <v/>
      </c>
      <c r="G821" t="n">
        <v/>
      </c>
      <c r="H821" t="n">
        <v>130.1141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120.5494</v>
      </c>
      <c r="N821" t="n">
        <v>137.846</v>
      </c>
      <c r="O821" t="n">
        <v/>
      </c>
      <c r="P821" t="n">
        <v/>
      </c>
      <c r="Q821" t="n">
        <v>110.3307</v>
      </c>
      <c r="R821" t="n">
        <v>122.6523</v>
      </c>
      <c r="S821" t="n">
        <v>110.6777</v>
      </c>
      <c r="T821" t="n">
        <v>131.2129</v>
      </c>
      <c r="U821" t="n">
        <v/>
      </c>
      <c r="V821" t="n">
        <v>120.375</v>
      </c>
      <c r="W821" t="n">
        <v/>
      </c>
      <c r="X821" t="n">
        <v>123.3807</v>
      </c>
      <c r="Y821" t="n">
        <v/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128.0405</v>
      </c>
    </row>
    <row r="822">
      <c r="A822" s="90" t="n">
        <v>43586</v>
      </c>
      <c r="B822" t="n">
        <v>120.2819</v>
      </c>
      <c r="C822" t="n">
        <v/>
      </c>
      <c r="D822" t="n">
        <v>129.0611</v>
      </c>
      <c r="E822" t="n">
        <v/>
      </c>
      <c r="F822" t="n">
        <v/>
      </c>
      <c r="G822" t="n">
        <v/>
      </c>
      <c r="H822" t="n">
        <v>130.9848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120.8505</v>
      </c>
      <c r="N822" t="n">
        <v>139.6759</v>
      </c>
      <c r="O822" t="n">
        <v/>
      </c>
      <c r="P822" t="n">
        <v/>
      </c>
      <c r="Q822" t="n">
        <v>110.6381</v>
      </c>
      <c r="R822" t="n">
        <v>123.662</v>
      </c>
      <c r="S822" t="n">
        <v>110.8374</v>
      </c>
      <c r="T822" t="n">
        <v>132.1298</v>
      </c>
      <c r="U822" t="n">
        <v/>
      </c>
      <c r="V822" t="n">
        <v>121.0175</v>
      </c>
      <c r="W822" t="n">
        <v/>
      </c>
      <c r="X822" t="n">
        <v>123.9862</v>
      </c>
      <c r="Y822" t="n">
        <v/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129.1638</v>
      </c>
    </row>
    <row r="823">
      <c r="A823" s="90" t="n">
        <v>43617</v>
      </c>
      <c r="B823" t="n">
        <v>120.1922</v>
      </c>
      <c r="C823" t="n">
        <v/>
      </c>
      <c r="D823" t="n">
        <v>129.5131</v>
      </c>
      <c r="E823" t="n">
        <v/>
      </c>
      <c r="F823" t="n">
        <v/>
      </c>
      <c r="G823" t="n">
        <v/>
      </c>
      <c r="H823" t="n">
        <v>131.775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121.1648</v>
      </c>
      <c r="N823" t="n">
        <v>140.0946</v>
      </c>
      <c r="O823" t="n">
        <v/>
      </c>
      <c r="P823" t="n">
        <v/>
      </c>
      <c r="Q823" t="n">
        <v>110.9913</v>
      </c>
      <c r="R823" t="n">
        <v>124.101</v>
      </c>
      <c r="S823" t="n">
        <v>110.9723</v>
      </c>
      <c r="T823" t="n">
        <v>132.8957</v>
      </c>
      <c r="U823" t="n">
        <v/>
      </c>
      <c r="V823" t="n">
        <v>121.613</v>
      </c>
      <c r="W823" t="n">
        <v/>
      </c>
      <c r="X823" t="n">
        <v>124.7122</v>
      </c>
      <c r="Y823" t="n">
        <v/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90" t="n">
        <v>43647</v>
      </c>
      <c r="B824" t="n">
        <v>119.4722</v>
      </c>
      <c r="C824" t="n">
        <v/>
      </c>
      <c r="D824" t="n">
        <v>130.6518</v>
      </c>
      <c r="E824" t="n">
        <v/>
      </c>
      <c r="F824" t="n">
        <v/>
      </c>
      <c r="G824" t="n">
        <v/>
      </c>
      <c r="H824" t="n">
        <v>132.5732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121.5244</v>
      </c>
      <c r="N824" t="n">
        <v>139.6945</v>
      </c>
      <c r="O824" t="n">
        <v/>
      </c>
      <c r="P824" t="n">
        <v/>
      </c>
      <c r="Q824" t="n">
        <v>109.8995</v>
      </c>
      <c r="R824" t="n">
        <v>124.3727</v>
      </c>
      <c r="S824" t="n">
        <v>111.1779</v>
      </c>
      <c r="T824" t="n">
        <v>133.8487</v>
      </c>
      <c r="U824" t="n">
        <v/>
      </c>
      <c r="V824" t="n">
        <v>122.0122</v>
      </c>
      <c r="W824" t="n">
        <v/>
      </c>
      <c r="X824" t="n">
        <v>125.2564</v>
      </c>
      <c r="Y824" t="n">
        <v/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90" t="n">
        <v>43678</v>
      </c>
      <c r="B825" t="n">
        <v>118.9875</v>
      </c>
      <c r="C825" t="n">
        <v/>
      </c>
      <c r="D825" t="n">
        <v>131.7502</v>
      </c>
      <c r="E825" t="n">
        <v/>
      </c>
      <c r="F825" t="n">
        <v/>
      </c>
      <c r="G825" t="n">
        <v/>
      </c>
      <c r="H825" t="n">
        <v>133.7275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122.026</v>
      </c>
      <c r="N825" t="n">
        <v>140.922</v>
      </c>
      <c r="O825" t="n">
        <v/>
      </c>
      <c r="P825" t="n">
        <v/>
      </c>
      <c r="Q825" t="n">
        <v>108.7908</v>
      </c>
      <c r="R825" t="n">
        <v>124.3582</v>
      </c>
      <c r="S825" t="n">
        <v>111.3694</v>
      </c>
      <c r="T825" t="n">
        <v>134.8647</v>
      </c>
      <c r="U825" t="n">
        <v/>
      </c>
      <c r="V825" t="n">
        <v>123.3637</v>
      </c>
      <c r="W825" t="n">
        <v/>
      </c>
      <c r="X825" t="n">
        <v>125.8904</v>
      </c>
      <c r="Y825" t="n">
        <v/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90" t="n">
        <v>43709</v>
      </c>
      <c r="B826" t="n">
        <v>119.3657</v>
      </c>
      <c r="C826" t="n">
        <v/>
      </c>
      <c r="D826" t="n">
        <v>132.6575</v>
      </c>
      <c r="E826" t="n">
        <v/>
      </c>
      <c r="F826" t="n">
        <v/>
      </c>
      <c r="G826" t="n">
        <v/>
      </c>
      <c r="H826" t="n">
        <v>135.4756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121.9666</v>
      </c>
      <c r="N826" t="n">
        <v>142.1758</v>
      </c>
      <c r="O826" t="n">
        <v/>
      </c>
      <c r="P826" t="n">
        <v/>
      </c>
      <c r="Q826" t="n">
        <v>109.2616</v>
      </c>
      <c r="R826" t="n">
        <v>124.8591</v>
      </c>
      <c r="S826" t="n">
        <v>111.6242</v>
      </c>
      <c r="T826" t="n">
        <v>135.7226</v>
      </c>
      <c r="U826" t="n">
        <v/>
      </c>
      <c r="V826" t="n">
        <v>123.6488</v>
      </c>
      <c r="W826" t="n">
        <v/>
      </c>
      <c r="X826" t="n">
        <v>126.4984</v>
      </c>
      <c r="Y826" t="n">
        <v/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90" t="n">
        <v>43739</v>
      </c>
      <c r="B827" t="n">
        <v>119.8644</v>
      </c>
      <c r="C827" t="n">
        <v/>
      </c>
      <c r="D827" t="n">
        <v>133.6296</v>
      </c>
      <c r="E827" t="n">
        <v/>
      </c>
      <c r="F827" t="n">
        <v/>
      </c>
      <c r="G827" t="n">
        <v/>
      </c>
      <c r="H827" t="n">
        <v>136.6523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121.3526</v>
      </c>
      <c r="N827" t="n">
        <v>143.3863</v>
      </c>
      <c r="O827" t="n">
        <v/>
      </c>
      <c r="P827" t="n">
        <v/>
      </c>
      <c r="Q827" t="n">
        <v>109.8457</v>
      </c>
      <c r="R827" t="n">
        <v>125.9491</v>
      </c>
      <c r="S827" t="n">
        <v>111.8715</v>
      </c>
      <c r="T827" t="n">
        <v>136.4365</v>
      </c>
      <c r="U827" t="n">
        <v/>
      </c>
      <c r="V827" t="n">
        <v>123.2678</v>
      </c>
      <c r="W827" t="n">
        <v/>
      </c>
      <c r="X827" t="n">
        <v>127.2964</v>
      </c>
      <c r="Y827" t="n">
        <v/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90" t="n">
        <v>43770</v>
      </c>
      <c r="B828" t="n">
        <v>120.4303</v>
      </c>
      <c r="C828" t="n">
        <v/>
      </c>
      <c r="D828" t="n">
        <v>134.4264</v>
      </c>
      <c r="E828" t="n">
        <v/>
      </c>
      <c r="F828" t="n">
        <v/>
      </c>
      <c r="G828" t="n">
        <v/>
      </c>
      <c r="H828" t="n">
        <v>137.8318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121.4137</v>
      </c>
      <c r="N828" t="n">
        <v>145.0222</v>
      </c>
      <c r="O828" t="n">
        <v/>
      </c>
      <c r="P828" t="n">
        <v/>
      </c>
      <c r="Q828" t="n">
        <v>110.488</v>
      </c>
      <c r="R828" t="n">
        <v>126.8256</v>
      </c>
      <c r="S828" t="n">
        <v>112.2447</v>
      </c>
      <c r="T828" t="n">
        <v>137.2464</v>
      </c>
      <c r="U828" t="n">
        <v/>
      </c>
      <c r="V828" t="n">
        <v>123.7453</v>
      </c>
      <c r="W828" t="n">
        <v/>
      </c>
      <c r="X828" t="n">
        <v>128.0284</v>
      </c>
      <c r="Y828" t="n">
        <v/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90" t="n">
        <v>43800</v>
      </c>
      <c r="B829" t="n">
        <v>120.8422</v>
      </c>
      <c r="C829" t="n">
        <v/>
      </c>
      <c r="D829" t="n">
        <v>135.5844</v>
      </c>
      <c r="E829" t="n">
        <v/>
      </c>
      <c r="F829" t="n">
        <v/>
      </c>
      <c r="G829" t="n">
        <v/>
      </c>
      <c r="H829" t="n">
        <v>138.387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121.883</v>
      </c>
      <c r="N829" t="n">
        <v>145.772</v>
      </c>
      <c r="O829" t="n">
        <v/>
      </c>
      <c r="P829" t="n">
        <v/>
      </c>
      <c r="Q829" t="n">
        <v>111.1854</v>
      </c>
      <c r="R829" t="n">
        <v>127.6506</v>
      </c>
      <c r="S829" t="n">
        <v>112.5142</v>
      </c>
      <c r="T829" t="n">
        <v>137.8909</v>
      </c>
      <c r="U829" t="n">
        <v/>
      </c>
      <c r="V829" t="n">
        <v>124.0303</v>
      </c>
      <c r="W829" t="n">
        <v/>
      </c>
      <c r="X829" t="n">
        <v>128.5861</v>
      </c>
      <c r="Y829" t="n">
        <v/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90" t="n">
        <v>43831</v>
      </c>
      <c r="B830" t="n">
        <v>121.3017</v>
      </c>
      <c r="C830" t="n">
        <v/>
      </c>
      <c r="D830" t="n">
        <v>136.0699</v>
      </c>
      <c r="E830" t="n">
        <v/>
      </c>
      <c r="F830" t="n">
        <v/>
      </c>
      <c r="G830" t="n">
        <v/>
      </c>
      <c r="H830" t="n">
        <v>138.5959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122.2681</v>
      </c>
      <c r="N830" t="n">
        <v>147.032</v>
      </c>
      <c r="O830" t="n">
        <v/>
      </c>
      <c r="P830" t="n">
        <v/>
      </c>
      <c r="Q830" t="n">
        <v>111.9834</v>
      </c>
      <c r="R830" t="n">
        <v>128.3856</v>
      </c>
      <c r="S830" t="n">
        <v>112.7615</v>
      </c>
      <c r="T830" t="n">
        <v>138.6937</v>
      </c>
      <c r="U830" t="n">
        <v/>
      </c>
      <c r="V830" t="n">
        <v>124.1792</v>
      </c>
      <c r="W830" t="n">
        <v/>
      </c>
      <c r="X830" t="n">
        <v>129.1777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90" t="n">
        <v>43862</v>
      </c>
      <c r="B831" t="n">
        <v>121.8816</v>
      </c>
      <c r="C831" t="n">
        <v/>
      </c>
      <c r="D831" t="n">
        <v>137.0216</v>
      </c>
      <c r="E831" t="n">
        <v/>
      </c>
      <c r="F831" t="n">
        <v/>
      </c>
      <c r="G831" t="n">
        <v/>
      </c>
      <c r="H831" t="n">
        <v>139.9695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123.0998</v>
      </c>
      <c r="N831" t="n">
        <v>149.2712</v>
      </c>
      <c r="O831" t="n">
        <v/>
      </c>
      <c r="P831" t="n">
        <v/>
      </c>
      <c r="Q831" t="n">
        <v>112.9041</v>
      </c>
      <c r="R831" t="n">
        <v>129.1805</v>
      </c>
      <c r="S831" t="n">
        <v>113.0156</v>
      </c>
      <c r="T831" t="n">
        <v>139.86</v>
      </c>
      <c r="U831" t="n">
        <v/>
      </c>
      <c r="V831" t="n">
        <v>124.7547</v>
      </c>
      <c r="W831" t="n">
        <v/>
      </c>
      <c r="X831" t="n">
        <v>129.7757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90" t="n">
        <v>43891</v>
      </c>
      <c r="B832" t="n">
        <v>123.8596</v>
      </c>
      <c r="C832" t="n">
        <v/>
      </c>
      <c r="D832" t="n">
        <v>140.9265</v>
      </c>
      <c r="E832" t="n">
        <v/>
      </c>
      <c r="F832" t="n">
        <v/>
      </c>
      <c r="G832" t="n">
        <v/>
      </c>
      <c r="H832" t="n">
        <v>144.1023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127.0744</v>
      </c>
      <c r="N832" t="n">
        <v>152.2264</v>
      </c>
      <c r="O832" t="n">
        <v/>
      </c>
      <c r="P832" t="n">
        <v/>
      </c>
      <c r="Q832" t="n">
        <v>113.9457</v>
      </c>
      <c r="R832" t="n">
        <v>133.8695</v>
      </c>
      <c r="S832" t="n">
        <v>113.4512</v>
      </c>
      <c r="T832" t="n">
        <v>140.9297</v>
      </c>
      <c r="U832" t="n">
        <v/>
      </c>
      <c r="V832" t="n">
        <v>128.0392</v>
      </c>
      <c r="W832" t="n">
        <v/>
      </c>
      <c r="X832" t="n">
        <v>133.234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90" t="n">
        <v>43922</v>
      </c>
      <c r="B833" t="n">
        <v>127.4401</v>
      </c>
      <c r="C833" t="n">
        <v/>
      </c>
      <c r="D833" t="n">
        <v>145.8582</v>
      </c>
      <c r="E833" t="n">
        <v/>
      </c>
      <c r="F833" t="n">
        <v/>
      </c>
      <c r="G833" t="n">
        <v/>
      </c>
      <c r="H833" t="n">
        <v>149.2473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130.8821</v>
      </c>
      <c r="N833" t="n">
        <v>155.0787</v>
      </c>
      <c r="O833" t="n">
        <v/>
      </c>
      <c r="P833" t="n">
        <v/>
      </c>
      <c r="Q833" t="n">
        <v>115.092</v>
      </c>
      <c r="R833" t="n">
        <v>139.0426</v>
      </c>
      <c r="S833" t="n">
        <v>113.9794</v>
      </c>
      <c r="T833" t="n">
        <v>142.0995</v>
      </c>
      <c r="U833" t="n">
        <v/>
      </c>
      <c r="V833" t="n">
        <v>132.0657</v>
      </c>
      <c r="W833" t="n">
        <v/>
      </c>
      <c r="X833" t="n">
        <v>139.1097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90" t="n">
        <v>43952</v>
      </c>
      <c r="B834" t="n">
        <v>129.4798</v>
      </c>
      <c r="C834" t="n">
        <v/>
      </c>
      <c r="D834" t="n">
        <v>148.167</v>
      </c>
      <c r="E834" t="n">
        <v/>
      </c>
      <c r="F834" t="n">
        <v/>
      </c>
      <c r="G834" t="n">
        <v/>
      </c>
      <c r="H834" t="n">
        <v>151.9615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132.179</v>
      </c>
      <c r="N834" t="n">
        <v>156.6918</v>
      </c>
      <c r="O834" t="n">
        <v/>
      </c>
      <c r="P834" t="n">
        <v/>
      </c>
      <c r="Q834" t="n">
        <v>116.294</v>
      </c>
      <c r="R834" t="n">
        <v>140.8794</v>
      </c>
      <c r="S834" t="n">
        <v>115.3935</v>
      </c>
      <c r="T834" t="n">
        <v>143.3289</v>
      </c>
      <c r="U834" t="n">
        <v/>
      </c>
      <c r="V834" t="n">
        <v>133.9946</v>
      </c>
      <c r="W834" t="n">
        <v/>
      </c>
      <c r="X834" t="n">
        <v>143.7491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90" t="n">
        <v>43983</v>
      </c>
      <c r="B835" t="n">
        <v>129.9645</v>
      </c>
      <c r="C835" t="n">
        <v/>
      </c>
      <c r="D835" t="n">
        <v>150.5811</v>
      </c>
      <c r="E835" t="n">
        <v/>
      </c>
      <c r="F835" t="n">
        <v/>
      </c>
      <c r="G835" t="n">
        <v/>
      </c>
      <c r="H835" t="n">
        <v>153.0695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133.6586</v>
      </c>
      <c r="N835" t="n">
        <v>158.7391</v>
      </c>
      <c r="O835" t="n">
        <v/>
      </c>
      <c r="P835" t="n">
        <v/>
      </c>
      <c r="Q835" t="n">
        <v>117.4781</v>
      </c>
      <c r="R835" t="n">
        <v>142.2874</v>
      </c>
      <c r="S835" t="n">
        <v>117.5072</v>
      </c>
      <c r="T835" t="n">
        <v>144.2846</v>
      </c>
      <c r="U835" t="n">
        <v/>
      </c>
      <c r="V835" t="n">
        <v>133.6678</v>
      </c>
      <c r="W835" t="n">
        <v/>
      </c>
      <c r="X835" t="n">
        <v>145.8723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90" t="n">
        <v>44013</v>
      </c>
      <c r="B836" t="n">
        <v>131.0291</v>
      </c>
      <c r="C836" t="n">
        <v/>
      </c>
      <c r="D836" t="n">
        <v>151.522</v>
      </c>
      <c r="E836" t="n">
        <v/>
      </c>
      <c r="F836" t="n">
        <v/>
      </c>
      <c r="G836" t="n">
        <v/>
      </c>
      <c r="H836" t="n">
        <v>153.4315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134.7057</v>
      </c>
      <c r="N836" t="n">
        <v>160.7678</v>
      </c>
      <c r="O836" t="n">
        <v/>
      </c>
      <c r="P836" t="n">
        <v/>
      </c>
      <c r="Q836" t="n">
        <v>118.5918</v>
      </c>
      <c r="R836" t="n">
        <v>144.0397</v>
      </c>
      <c r="S836" t="n">
        <v>118.4367</v>
      </c>
      <c r="T836" t="n">
        <v>145.228</v>
      </c>
      <c r="U836" t="n">
        <v/>
      </c>
      <c r="V836" t="n">
        <v>133.7984</v>
      </c>
      <c r="W836" t="n">
        <v/>
      </c>
      <c r="X836" t="n">
        <v>147.0168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90" t="n">
        <v>44044</v>
      </c>
      <c r="B837" t="n">
        <v>132.4972</v>
      </c>
      <c r="C837" t="n">
        <v/>
      </c>
      <c r="D837" t="n">
        <v>152.0014</v>
      </c>
      <c r="E837" t="n">
        <v/>
      </c>
      <c r="F837" t="n">
        <v/>
      </c>
      <c r="G837" t="n">
        <v/>
      </c>
      <c r="H837" t="n">
        <v>153.9849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134.7839</v>
      </c>
      <c r="N837" t="n">
        <v>162.8017</v>
      </c>
      <c r="O837" t="n">
        <v/>
      </c>
      <c r="P837" t="n">
        <v/>
      </c>
      <c r="Q837" t="n">
        <v>119.5895</v>
      </c>
      <c r="R837" t="n">
        <v>146.5044</v>
      </c>
      <c r="S837" t="n">
        <v>119.2864</v>
      </c>
      <c r="T837" t="n">
        <v>145.8374</v>
      </c>
      <c r="U837" t="n">
        <v/>
      </c>
      <c r="V837" t="n">
        <v>135.2283</v>
      </c>
      <c r="W837" t="n">
        <v/>
      </c>
      <c r="X837" t="n">
        <v>147.7337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90" t="n">
        <v>44075</v>
      </c>
      <c r="B838" t="n">
        <v>133.6403</v>
      </c>
      <c r="C838" t="n">
        <v/>
      </c>
      <c r="D838" t="n">
        <v>153.3331</v>
      </c>
      <c r="E838" t="n">
        <v/>
      </c>
      <c r="F838" t="n">
        <v/>
      </c>
      <c r="G838" t="n">
        <v/>
      </c>
      <c r="H838" t="n">
        <v>154.9611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134.8784</v>
      </c>
      <c r="N838" t="n">
        <v>165.3491</v>
      </c>
      <c r="O838" t="n">
        <v/>
      </c>
      <c r="P838" t="n">
        <v/>
      </c>
      <c r="Q838" t="n">
        <v>120.3922</v>
      </c>
      <c r="R838" t="n">
        <v>149.1319</v>
      </c>
      <c r="S838" t="n">
        <v>119.9403</v>
      </c>
      <c r="T838" t="n">
        <v>146.3757</v>
      </c>
      <c r="U838" t="n">
        <v/>
      </c>
      <c r="V838" t="n">
        <v>136.1451</v>
      </c>
      <c r="W838" t="n">
        <v/>
      </c>
      <c r="X838" t="n">
        <v>149.1068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90" t="n">
        <v>44105</v>
      </c>
      <c r="B839" t="n">
        <v>134.4388</v>
      </c>
      <c r="C839" t="n">
        <v/>
      </c>
      <c r="D839" t="n">
        <v>150.0113</v>
      </c>
      <c r="E839" t="n">
        <v/>
      </c>
      <c r="F839" t="n">
        <v/>
      </c>
      <c r="G839" t="n">
        <v/>
      </c>
      <c r="H839" t="n">
        <v>156.0288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135.159</v>
      </c>
      <c r="N839" t="n">
        <v>167.9346</v>
      </c>
      <c r="O839" t="n">
        <v/>
      </c>
      <c r="P839" t="n">
        <v/>
      </c>
      <c r="Q839" t="n">
        <v>121.0558</v>
      </c>
      <c r="R839" t="n">
        <v>151.4296</v>
      </c>
      <c r="S839" t="n">
        <v>120.3105</v>
      </c>
      <c r="T839" t="n">
        <v>147.6214</v>
      </c>
      <c r="U839" t="n">
        <v/>
      </c>
      <c r="V839" t="n">
        <v>137.4818</v>
      </c>
      <c r="W839" t="n">
        <v/>
      </c>
      <c r="X839" t="n">
        <v>149.9843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90" t="n">
        <v>44136</v>
      </c>
      <c r="B840" t="n">
        <v>135.2821</v>
      </c>
      <c r="C840" t="n">
        <v/>
      </c>
      <c r="D840" t="n">
        <v>150.6727</v>
      </c>
      <c r="E840" t="n">
        <v/>
      </c>
      <c r="F840" t="n">
        <v/>
      </c>
      <c r="G840" t="n">
        <v/>
      </c>
      <c r="H840" t="n">
        <v>156.137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135.0464</v>
      </c>
      <c r="N840" t="n">
        <v>169.8031</v>
      </c>
      <c r="O840" t="n">
        <v/>
      </c>
      <c r="P840" t="n">
        <v/>
      </c>
      <c r="Q840" t="n">
        <v>121.751</v>
      </c>
      <c r="R840" t="n">
        <v>153.8562</v>
      </c>
      <c r="S840" t="n">
        <v>120.7963</v>
      </c>
      <c r="T840" t="n">
        <v>149.0209</v>
      </c>
      <c r="U840" t="n">
        <v/>
      </c>
      <c r="V840" t="n">
        <v>138.5171</v>
      </c>
      <c r="W840" t="n">
        <v/>
      </c>
      <c r="X840" t="n">
        <v>151.3563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90" t="n">
        <v>44166</v>
      </c>
      <c r="B841" t="n">
        <v>136.0469</v>
      </c>
      <c r="C841" t="n">
        <v/>
      </c>
      <c r="D841" t="n">
        <v>151.3761</v>
      </c>
      <c r="E841" t="n">
        <v/>
      </c>
      <c r="F841" t="n">
        <v/>
      </c>
      <c r="G841" t="n">
        <v/>
      </c>
      <c r="H841" t="n">
        <v>156.4348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136.2252</v>
      </c>
      <c r="N841" t="n">
        <v>173.3132</v>
      </c>
      <c r="O841" t="n">
        <v/>
      </c>
      <c r="P841" t="n">
        <v/>
      </c>
      <c r="Q841" t="n">
        <v>122.5301</v>
      </c>
      <c r="R841" t="n">
        <v>156.1016</v>
      </c>
      <c r="S841" t="n">
        <v>121.1844</v>
      </c>
      <c r="T841" t="n">
        <v>149.5323</v>
      </c>
      <c r="U841" t="n">
        <v/>
      </c>
      <c r="V841" t="n">
        <v>139.108</v>
      </c>
      <c r="W841" t="n">
        <v/>
      </c>
      <c r="X841" t="n">
        <v>152.4043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158.7755</v>
      </c>
      <c r="AE841" t="n">
        <v>143.7466</v>
      </c>
    </row>
    <row r="842">
      <c r="A842" s="90" t="n">
        <v>44197</v>
      </c>
      <c r="B842" t="n">
        <v>136.7894</v>
      </c>
      <c r="C842" t="n">
        <v/>
      </c>
      <c r="D842" t="n">
        <v>152.325</v>
      </c>
      <c r="E842" t="n">
        <v/>
      </c>
      <c r="F842" t="n">
        <v/>
      </c>
      <c r="G842" t="n">
        <v/>
      </c>
      <c r="H842" t="n">
        <v>157.408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137.5973</v>
      </c>
      <c r="N842" t="n">
        <v>176.9132</v>
      </c>
      <c r="O842" t="n">
        <v/>
      </c>
      <c r="P842" t="n">
        <v/>
      </c>
      <c r="Q842" t="n">
        <v>123.3292</v>
      </c>
      <c r="R842" t="n">
        <v>158.0329</v>
      </c>
      <c r="S842" t="n">
        <v>121.7171</v>
      </c>
      <c r="T842" t="n">
        <v>150.1967</v>
      </c>
      <c r="U842" t="n">
        <v/>
      </c>
      <c r="V842" t="n">
        <v>139.9605</v>
      </c>
      <c r="W842" t="n">
        <v/>
      </c>
      <c r="X842" t="n">
        <v>153.9788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160.8311</v>
      </c>
      <c r="AE842" t="n">
        <v>144.7892</v>
      </c>
    </row>
    <row r="843">
      <c r="A843" s="90" t="n">
        <v>44228</v>
      </c>
      <c r="B843" t="n">
        <v>137.4814</v>
      </c>
      <c r="C843" t="n">
        <v/>
      </c>
      <c r="D843" t="n">
        <v>153.3966</v>
      </c>
      <c r="E843" t="n">
        <v/>
      </c>
      <c r="F843" t="n">
        <v/>
      </c>
      <c r="G843" t="n">
        <v/>
      </c>
      <c r="H843" t="n">
        <v>158.2904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138.1858</v>
      </c>
      <c r="N843" t="n">
        <v>179.3365</v>
      </c>
      <c r="O843" t="n">
        <v/>
      </c>
      <c r="P843" t="n">
        <v/>
      </c>
      <c r="Q843" t="n">
        <v>124.1201</v>
      </c>
      <c r="R843" t="n">
        <v>159.9045</v>
      </c>
      <c r="S843" t="n">
        <v>122.1499</v>
      </c>
      <c r="T843" t="n">
        <v>151.631</v>
      </c>
      <c r="U843" t="n">
        <v/>
      </c>
      <c r="V843" t="n">
        <v>141.9365</v>
      </c>
      <c r="W843" t="n">
        <v/>
      </c>
      <c r="X843" t="n">
        <v>155.4865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162.8452</v>
      </c>
      <c r="AE843" t="n">
        <v>145.1587</v>
      </c>
    </row>
    <row r="844">
      <c r="A844" s="90" t="n">
        <v>44256</v>
      </c>
      <c r="B844" t="n">
        <v>137.8316</v>
      </c>
      <c r="C844" t="n">
        <v/>
      </c>
      <c r="D844" t="n">
        <v>153.7122</v>
      </c>
      <c r="E844" t="n">
        <v/>
      </c>
      <c r="F844" t="n">
        <v/>
      </c>
      <c r="G844" t="n">
        <v/>
      </c>
      <c r="H844" t="n">
        <v>159.2321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139.0826</v>
      </c>
      <c r="N844" t="n">
        <v>181.8382</v>
      </c>
      <c r="O844" t="n">
        <v/>
      </c>
      <c r="P844" t="n">
        <v/>
      </c>
      <c r="Q844" t="n">
        <v>124.9445</v>
      </c>
      <c r="R844" t="n">
        <v>161.6879</v>
      </c>
      <c r="S844" t="n">
        <v>122.5465</v>
      </c>
      <c r="T844" t="n">
        <v>153.1997</v>
      </c>
      <c r="U844" t="n">
        <v/>
      </c>
      <c r="V844" t="n">
        <v>143.316</v>
      </c>
      <c r="W844" t="n">
        <v/>
      </c>
      <c r="X844" t="n">
        <v>156.939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164.8278</v>
      </c>
      <c r="AE844" t="n">
        <v>144.8994</v>
      </c>
    </row>
    <row r="845">
      <c r="A845" s="90" t="n">
        <v>44287</v>
      </c>
      <c r="B845" t="n">
        <v>138.1566</v>
      </c>
      <c r="C845" t="n">
        <v/>
      </c>
      <c r="D845" t="n">
        <v>153.7562</v>
      </c>
      <c r="E845" t="n">
        <v/>
      </c>
      <c r="F845" t="n">
        <v/>
      </c>
      <c r="G845" t="n">
        <v/>
      </c>
      <c r="H845" t="n">
        <v>160.1129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140.0871</v>
      </c>
      <c r="N845" t="n">
        <v>183.0132</v>
      </c>
      <c r="O845" t="n">
        <v/>
      </c>
      <c r="P845" t="n">
        <v/>
      </c>
      <c r="Q845" t="n">
        <v>125.8224</v>
      </c>
      <c r="R845" t="n">
        <v>163.6313</v>
      </c>
      <c r="S845" t="n">
        <v>122.9389</v>
      </c>
      <c r="T845" t="n">
        <v>155.7242</v>
      </c>
      <c r="U845" t="n">
        <v/>
      </c>
      <c r="V845" t="n">
        <v>144.3334</v>
      </c>
      <c r="W845" t="n">
        <v/>
      </c>
      <c r="X845" t="n">
        <v>158.5023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166.9606</v>
      </c>
      <c r="AE845" t="n">
        <v>144.8862</v>
      </c>
    </row>
    <row r="846">
      <c r="A846" s="90" t="n">
        <v>44317</v>
      </c>
      <c r="B846" t="n">
        <v>138.5152</v>
      </c>
      <c r="C846" t="n">
        <v/>
      </c>
      <c r="D846" t="n">
        <v>155.3269</v>
      </c>
      <c r="E846" t="n">
        <v/>
      </c>
      <c r="F846" t="n">
        <v/>
      </c>
      <c r="G846" t="n">
        <v/>
      </c>
      <c r="H846" t="n">
        <v>161.4133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140.8808</v>
      </c>
      <c r="N846" t="n">
        <v>183.3404</v>
      </c>
      <c r="O846" t="n">
        <v/>
      </c>
      <c r="P846" t="n">
        <v/>
      </c>
      <c r="Q846" t="n">
        <v>126.7349</v>
      </c>
      <c r="R846" t="n">
        <v>165.1172</v>
      </c>
      <c r="S846" t="n">
        <v>123.2839</v>
      </c>
      <c r="T846" t="n">
        <v>156.8199</v>
      </c>
      <c r="U846" t="n">
        <v/>
      </c>
      <c r="V846" t="n">
        <v>145.9569</v>
      </c>
      <c r="W846" t="n">
        <v/>
      </c>
      <c r="X846" t="n">
        <v>160.2537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169.5185</v>
      </c>
      <c r="AE846" t="n">
        <v>145.0969</v>
      </c>
    </row>
    <row r="847">
      <c r="A847" s="90" t="n">
        <v>44348</v>
      </c>
      <c r="B847" t="n">
        <v>139.4902</v>
      </c>
      <c r="C847" t="n">
        <v/>
      </c>
      <c r="D847" t="n">
        <v>156.1157</v>
      </c>
      <c r="E847" t="n">
        <v/>
      </c>
      <c r="F847" t="n">
        <v/>
      </c>
      <c r="G847" t="n">
        <v/>
      </c>
      <c r="H847" t="n">
        <v>162.8523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141.8726</v>
      </c>
      <c r="N847" t="n">
        <v>184.8385</v>
      </c>
      <c r="O847" t="n">
        <v/>
      </c>
      <c r="P847" t="n">
        <v/>
      </c>
      <c r="Q847" t="n">
        <v>127.7043</v>
      </c>
      <c r="R847" t="n">
        <v>167.4233</v>
      </c>
      <c r="S847" t="n">
        <v>123.5833</v>
      </c>
      <c r="T847" t="n">
        <v>156.9046</v>
      </c>
      <c r="U847" t="n">
        <v/>
      </c>
      <c r="V847" t="n">
        <v>147.0214</v>
      </c>
      <c r="W847" t="n">
        <v/>
      </c>
      <c r="X847" t="n">
        <v>160.7554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169.8622</v>
      </c>
      <c r="AE847" t="n">
        <v>145.0862</v>
      </c>
    </row>
    <row r="848">
      <c r="A848" s="90" t="n">
        <v>44378</v>
      </c>
      <c r="B848" t="n">
        <v>141.1712</v>
      </c>
      <c r="C848" t="n">
        <v/>
      </c>
      <c r="D848" t="n">
        <v>158.7728</v>
      </c>
      <c r="E848" t="n">
        <v/>
      </c>
      <c r="F848" t="n">
        <v/>
      </c>
      <c r="G848" t="n">
        <v/>
      </c>
      <c r="H848" t="n">
        <v>164.2444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142.4923</v>
      </c>
      <c r="N848" t="n">
        <v>187.644</v>
      </c>
      <c r="O848" t="n">
        <v/>
      </c>
      <c r="P848" t="n">
        <v/>
      </c>
      <c r="Q848" t="n">
        <v>128.7641</v>
      </c>
      <c r="R848" t="n">
        <v>171.2017</v>
      </c>
      <c r="S848" t="n">
        <v>123.8788</v>
      </c>
      <c r="T848" t="n">
        <v>158.2462</v>
      </c>
      <c r="U848" t="n">
        <v/>
      </c>
      <c r="V848" t="n">
        <v>148.1804</v>
      </c>
      <c r="W848" t="n">
        <v/>
      </c>
      <c r="X848" t="n">
        <v>161.9593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171.1507</v>
      </c>
      <c r="AE848" t="n">
        <v>145.7611</v>
      </c>
    </row>
    <row r="849">
      <c r="A849" s="90" t="n">
        <v>44409</v>
      </c>
      <c r="B849" t="n">
        <v>142.3059</v>
      </c>
      <c r="C849" t="n">
        <v/>
      </c>
      <c r="D849" t="n">
        <v>160.1562</v>
      </c>
      <c r="E849" t="n">
        <v/>
      </c>
      <c r="F849" t="n">
        <v/>
      </c>
      <c r="G849" t="n">
        <v/>
      </c>
      <c r="H849" t="n">
        <v>165.6469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142.99</v>
      </c>
      <c r="N849" t="n">
        <v>189.4197</v>
      </c>
      <c r="O849" t="n">
        <v/>
      </c>
      <c r="P849" t="n">
        <v/>
      </c>
      <c r="Q849" t="n">
        <v>129.9127</v>
      </c>
      <c r="R849" t="n">
        <v>173.1984</v>
      </c>
      <c r="S849" t="n">
        <v>124.1611</v>
      </c>
      <c r="T849" t="n">
        <v>159.6352</v>
      </c>
      <c r="U849" t="n">
        <v/>
      </c>
      <c r="V849" t="n">
        <v>149.2905</v>
      </c>
      <c r="W849" t="n">
        <v/>
      </c>
      <c r="X849" t="n">
        <v>163.3304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172.9788</v>
      </c>
      <c r="AE849" t="n">
        <v>147.4258</v>
      </c>
    </row>
    <row r="850">
      <c r="A850" s="90" t="n">
        <v>44440</v>
      </c>
      <c r="B850" t="n">
        <v>143.6619</v>
      </c>
      <c r="C850" t="n">
        <v/>
      </c>
      <c r="D850" t="n">
        <v>160.904</v>
      </c>
      <c r="E850" t="n">
        <v/>
      </c>
      <c r="F850" t="n">
        <v/>
      </c>
      <c r="G850" t="n">
        <v/>
      </c>
      <c r="H850" t="n">
        <v>166.47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144.5191</v>
      </c>
      <c r="N850" t="n">
        <v>191.435</v>
      </c>
      <c r="O850" t="n">
        <v/>
      </c>
      <c r="P850" t="n">
        <v/>
      </c>
      <c r="Q850" t="n">
        <v>131.1326</v>
      </c>
      <c r="R850" t="n">
        <v>174.8465</v>
      </c>
      <c r="S850" t="n">
        <v>124.4292</v>
      </c>
      <c r="T850" t="n">
        <v>160.4632</v>
      </c>
      <c r="U850" t="n">
        <v/>
      </c>
      <c r="V850" t="n">
        <v>150.3227</v>
      </c>
      <c r="W850" t="n">
        <v/>
      </c>
      <c r="X850" t="n">
        <v>164.3172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174.0614</v>
      </c>
      <c r="AE850" t="n">
        <v>148.7881</v>
      </c>
    </row>
    <row r="851">
      <c r="A851" s="90" t="n">
        <v>44470</v>
      </c>
      <c r="B851" t="n">
        <v>145.2056</v>
      </c>
      <c r="C851" t="n">
        <v/>
      </c>
      <c r="D851" t="n">
        <v>161.085</v>
      </c>
      <c r="E851" t="n">
        <v/>
      </c>
      <c r="F851" t="n">
        <v/>
      </c>
      <c r="G851" t="n">
        <v/>
      </c>
      <c r="H851" t="n">
        <v>168.026</v>
      </c>
      <c r="I851" t="n">
        <v>141.2069</v>
      </c>
      <c r="J851" t="n">
        <v>164.6461</v>
      </c>
      <c r="K851" t="n">
        <v/>
      </c>
      <c r="L851" t="n">
        <v>143.8717</v>
      </c>
      <c r="M851" t="n">
        <v>145.6655</v>
      </c>
      <c r="N851" t="n">
        <v>194.7839</v>
      </c>
      <c r="O851" t="n">
        <v/>
      </c>
      <c r="P851" t="n">
        <v/>
      </c>
      <c r="Q851" t="n">
        <v>132.3727</v>
      </c>
      <c r="R851" t="n">
        <v>176.3576</v>
      </c>
      <c r="S851" t="n">
        <v>124.7841</v>
      </c>
      <c r="T851" t="n">
        <v>161.3676</v>
      </c>
      <c r="U851" t="n">
        <v/>
      </c>
      <c r="V851" t="n">
        <v>150.6739</v>
      </c>
      <c r="W851" t="n">
        <v/>
      </c>
      <c r="X851" t="n">
        <v>165.4956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175.54</v>
      </c>
      <c r="AE851" t="n">
        <v>149.3955</v>
      </c>
    </row>
    <row r="852">
      <c r="A852" s="90" t="n">
        <v>44501</v>
      </c>
      <c r="B852" t="n">
        <v>146.2787</v>
      </c>
      <c r="C852" t="n">
        <v/>
      </c>
      <c r="D852" t="n">
        <v>162.9584</v>
      </c>
      <c r="E852" t="n">
        <v/>
      </c>
      <c r="F852" t="n">
        <v/>
      </c>
      <c r="G852" t="n">
        <v/>
      </c>
      <c r="H852" t="n">
        <v>170.4452</v>
      </c>
      <c r="I852" t="n">
        <v>141.7768</v>
      </c>
      <c r="J852" t="n">
        <v>165.2357</v>
      </c>
      <c r="K852" t="n">
        <v/>
      </c>
      <c r="L852" t="n">
        <v>144.9218</v>
      </c>
      <c r="M852" t="n">
        <v>146.4432</v>
      </c>
      <c r="N852" t="n">
        <v>199.0343</v>
      </c>
      <c r="O852" t="n">
        <v/>
      </c>
      <c r="P852" t="n">
        <v/>
      </c>
      <c r="Q852" t="n">
        <v>133.5994</v>
      </c>
      <c r="R852" t="n">
        <v>177.3359</v>
      </c>
      <c r="S852" t="n">
        <v>125.0816</v>
      </c>
      <c r="T852" t="n">
        <v>162.8601</v>
      </c>
      <c r="U852" t="n">
        <v/>
      </c>
      <c r="V852" t="n">
        <v>151.7477</v>
      </c>
      <c r="W852" t="n">
        <v/>
      </c>
      <c r="X852" t="n">
        <v>166.8836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177.2453</v>
      </c>
      <c r="AE852" t="n">
        <v>150.8331</v>
      </c>
    </row>
    <row r="853">
      <c r="A853" s="90" t="n">
        <v>44531</v>
      </c>
      <c r="B853" t="n">
        <v>147.9737</v>
      </c>
      <c r="C853" t="n">
        <v/>
      </c>
      <c r="D853" t="n">
        <v>163.4316</v>
      </c>
      <c r="E853" t="n">
        <v/>
      </c>
      <c r="F853" t="n">
        <v/>
      </c>
      <c r="G853" t="n">
        <v/>
      </c>
      <c r="H853" t="n">
        <v>173.7059</v>
      </c>
      <c r="I853" t="n">
        <v>142.3468</v>
      </c>
      <c r="J853" t="n">
        <v>164.1339</v>
      </c>
      <c r="K853" t="n">
        <v/>
      </c>
      <c r="L853" t="n">
        <v>145.7889</v>
      </c>
      <c r="M853" t="n">
        <v>147.1271</v>
      </c>
      <c r="N853" t="n">
        <v>203.0858</v>
      </c>
      <c r="O853" t="n">
        <v/>
      </c>
      <c r="P853" t="n">
        <v/>
      </c>
      <c r="Q853" t="n">
        <v>134.7799</v>
      </c>
      <c r="R853" t="n">
        <v>179.7892</v>
      </c>
      <c r="S853" t="n">
        <v>125.3068</v>
      </c>
      <c r="T853" t="n">
        <v>164.0382</v>
      </c>
      <c r="U853" t="n">
        <v/>
      </c>
      <c r="V853" t="n">
        <v>153.5463</v>
      </c>
      <c r="W853" t="n">
        <v/>
      </c>
      <c r="X853" t="n">
        <v>167.9107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178.4126</v>
      </c>
      <c r="AE853" t="n">
        <v>152.4504</v>
      </c>
    </row>
    <row r="854">
      <c r="A854" s="90" t="n">
        <v>44562</v>
      </c>
      <c r="B854" t="n">
        <v>149.142</v>
      </c>
      <c r="C854" t="n">
        <v/>
      </c>
      <c r="D854" t="n">
        <v>164.9759</v>
      </c>
      <c r="E854" t="n">
        <v/>
      </c>
      <c r="F854" t="n">
        <v/>
      </c>
      <c r="G854" t="n">
        <v/>
      </c>
      <c r="H854" t="n">
        <v>176.4992</v>
      </c>
      <c r="I854" t="n">
        <v>142.9167</v>
      </c>
      <c r="J854" t="n">
        <v>163.8779</v>
      </c>
      <c r="K854" t="n">
        <v/>
      </c>
      <c r="L854" t="n">
        <v>146.1151</v>
      </c>
      <c r="M854" t="n">
        <v>146.8216</v>
      </c>
      <c r="N854" t="n">
        <v>204.9187</v>
      </c>
      <c r="O854" t="n">
        <v/>
      </c>
      <c r="P854" t="n">
        <v/>
      </c>
      <c r="Q854" t="n">
        <v>135.8952</v>
      </c>
      <c r="R854" t="n">
        <v>180.9643</v>
      </c>
      <c r="S854" t="n">
        <v>125.7226</v>
      </c>
      <c r="T854" t="n">
        <v>165.025</v>
      </c>
      <c r="U854" t="n">
        <v/>
      </c>
      <c r="V854" t="n">
        <v>155.042</v>
      </c>
      <c r="W854" t="n">
        <v/>
      </c>
      <c r="X854" t="n">
        <v>168.956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179.7384</v>
      </c>
      <c r="AE854" t="n">
        <v>152.8845</v>
      </c>
    </row>
    <row r="855">
      <c r="A855" s="90" t="n">
        <v>44593</v>
      </c>
      <c r="B855" t="n">
        <v>149.3913</v>
      </c>
      <c r="C855" t="n">
        <v/>
      </c>
      <c r="D855" t="n">
        <v>166.0891</v>
      </c>
      <c r="E855" t="n">
        <v/>
      </c>
      <c r="F855" t="n">
        <v/>
      </c>
      <c r="G855" t="n">
        <v/>
      </c>
      <c r="H855" t="n">
        <v>177.2517</v>
      </c>
      <c r="I855" t="n">
        <v>143.4866</v>
      </c>
      <c r="J855" t="n">
        <v>166.2576</v>
      </c>
      <c r="K855" t="n">
        <v/>
      </c>
      <c r="L855" t="n">
        <v>146.2131</v>
      </c>
      <c r="M855" t="n">
        <v>147.4919</v>
      </c>
      <c r="N855" t="n">
        <v>207.455</v>
      </c>
      <c r="O855" t="n">
        <v/>
      </c>
      <c r="P855" t="n">
        <v/>
      </c>
      <c r="Q855" t="n">
        <v>136.9415</v>
      </c>
      <c r="R855" t="n">
        <v>181.9192</v>
      </c>
      <c r="S855" t="n">
        <v>126.0626</v>
      </c>
      <c r="T855" t="n">
        <v>165.9249</v>
      </c>
      <c r="U855" t="n">
        <v/>
      </c>
      <c r="V855" t="n">
        <v>155.4367</v>
      </c>
      <c r="W855" t="n">
        <v/>
      </c>
      <c r="X855" t="n">
        <v>169.5458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180.2274</v>
      </c>
      <c r="AE855" t="n">
        <v>153.6773</v>
      </c>
    </row>
    <row r="856">
      <c r="A856" s="90" t="n">
        <v>44621</v>
      </c>
      <c r="B856" t="n">
        <v>150.1758</v>
      </c>
      <c r="C856" t="n">
        <v/>
      </c>
      <c r="D856" t="n">
        <v>166.8028</v>
      </c>
      <c r="E856" t="n">
        <v/>
      </c>
      <c r="F856" t="n">
        <v/>
      </c>
      <c r="G856" t="n">
        <v/>
      </c>
      <c r="H856" t="n">
        <v>178.33</v>
      </c>
      <c r="I856" t="n">
        <v>144.0565</v>
      </c>
      <c r="J856" t="n">
        <v>167.8531</v>
      </c>
      <c r="K856" t="n">
        <v/>
      </c>
      <c r="L856" t="n">
        <v>146.8905</v>
      </c>
      <c r="M856" t="n">
        <v>149.168</v>
      </c>
      <c r="N856" t="n">
        <v>210.1499</v>
      </c>
      <c r="O856" t="n">
        <v/>
      </c>
      <c r="P856" t="n">
        <v/>
      </c>
      <c r="Q856" t="n">
        <v>137.9128</v>
      </c>
      <c r="R856" t="n">
        <v>182.5037</v>
      </c>
      <c r="S856" t="n">
        <v>126.3712</v>
      </c>
      <c r="T856" t="n">
        <v>166.2056</v>
      </c>
      <c r="U856" t="n">
        <v/>
      </c>
      <c r="V856" t="n">
        <v>156.2796</v>
      </c>
      <c r="W856" t="n">
        <v/>
      </c>
      <c r="X856" t="n">
        <v>170.0651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180.4856</v>
      </c>
      <c r="AE856" t="n">
        <v>155.6475</v>
      </c>
    </row>
    <row r="857">
      <c r="A857" s="90" t="n">
        <v>44652</v>
      </c>
      <c r="B857" t="n">
        <v>151.2096</v>
      </c>
      <c r="C857" t="n">
        <v/>
      </c>
      <c r="D857" t="n">
        <v>168.2473</v>
      </c>
      <c r="E857" t="n">
        <v/>
      </c>
      <c r="F857" t="n">
        <v/>
      </c>
      <c r="G857" t="n">
        <v/>
      </c>
      <c r="H857" t="n">
        <v>180.1563</v>
      </c>
      <c r="I857" t="n">
        <v>144.6265</v>
      </c>
      <c r="J857" t="n">
        <v>168.4131</v>
      </c>
      <c r="K857" t="n">
        <v/>
      </c>
      <c r="L857" t="n">
        <v>147.9379</v>
      </c>
      <c r="M857" t="n">
        <v>149.7143</v>
      </c>
      <c r="N857" t="n">
        <v>212.1145</v>
      </c>
      <c r="O857" t="n">
        <v/>
      </c>
      <c r="P857" t="n">
        <v/>
      </c>
      <c r="Q857" t="n">
        <v>138.7103</v>
      </c>
      <c r="R857" t="n">
        <v>182.6375</v>
      </c>
      <c r="S857" t="n">
        <v>126.7354</v>
      </c>
      <c r="T857" t="n">
        <v>166.5137</v>
      </c>
      <c r="U857" t="n">
        <v/>
      </c>
      <c r="V857" t="n">
        <v>158.0418</v>
      </c>
      <c r="W857" t="n">
        <v/>
      </c>
      <c r="X857" t="n">
        <v>169.9775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179.6927</v>
      </c>
      <c r="AE857" t="n">
        <v>156.4266</v>
      </c>
    </row>
    <row r="858">
      <c r="A858" s="90" t="n">
        <v>44682</v>
      </c>
      <c r="B858" t="n">
        <v>152.2715</v>
      </c>
      <c r="C858" t="n">
        <v/>
      </c>
      <c r="D858" t="n">
        <v>169.4483</v>
      </c>
      <c r="E858" t="n">
        <v/>
      </c>
      <c r="F858" t="n">
        <v/>
      </c>
      <c r="G858" t="n">
        <v/>
      </c>
      <c r="H858" t="n">
        <v>181.7175</v>
      </c>
      <c r="I858" t="n">
        <v>145.1964</v>
      </c>
      <c r="J858" t="n">
        <v>169.6828</v>
      </c>
      <c r="K858" t="n">
        <v/>
      </c>
      <c r="L858" t="n">
        <v>148.7015</v>
      </c>
      <c r="M858" t="n">
        <v>149.4972</v>
      </c>
      <c r="N858" t="n">
        <v>214.6976</v>
      </c>
      <c r="O858" t="n">
        <v/>
      </c>
      <c r="P858" t="n">
        <v/>
      </c>
      <c r="Q858" t="n">
        <v>139.2524</v>
      </c>
      <c r="R858" t="n">
        <v>184.3971</v>
      </c>
      <c r="S858" t="n">
        <v>126.7784</v>
      </c>
      <c r="T858" t="n">
        <v>167.6557</v>
      </c>
      <c r="U858" t="n">
        <v/>
      </c>
      <c r="V858" t="n">
        <v>158.9781</v>
      </c>
      <c r="W858" t="n">
        <v/>
      </c>
      <c r="X858" t="n">
        <v>170.2573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179.7343</v>
      </c>
      <c r="AE858" t="n">
        <v>156.0393</v>
      </c>
    </row>
    <row r="859">
      <c r="A859" s="90" t="n">
        <v>44713</v>
      </c>
      <c r="B859" t="n">
        <v>153.5126</v>
      </c>
      <c r="C859" t="n">
        <v/>
      </c>
      <c r="D859" t="n">
        <v>170.4432</v>
      </c>
      <c r="E859" t="n">
        <v/>
      </c>
      <c r="F859" t="n">
        <v/>
      </c>
      <c r="G859" t="n">
        <v/>
      </c>
      <c r="H859" t="n">
        <v>183.7686</v>
      </c>
      <c r="I859" t="n">
        <v>145.7663</v>
      </c>
      <c r="J859" t="n">
        <v>170.5555</v>
      </c>
      <c r="K859" t="n">
        <v/>
      </c>
      <c r="L859" t="n">
        <v>149.3259</v>
      </c>
      <c r="M859" t="n">
        <v>150.1173</v>
      </c>
      <c r="N859" t="n">
        <v>217.414</v>
      </c>
      <c r="O859" t="n">
        <v/>
      </c>
      <c r="P859" t="n">
        <v/>
      </c>
      <c r="Q859" t="n">
        <v>139.7118</v>
      </c>
      <c r="R859" t="n">
        <v>186.3001</v>
      </c>
      <c r="S859" t="n">
        <v>127.1975</v>
      </c>
      <c r="T859" t="n">
        <v>168.3754</v>
      </c>
      <c r="U859" t="n">
        <v/>
      </c>
      <c r="V859" t="n">
        <v>160.0662</v>
      </c>
      <c r="W859" t="n">
        <v/>
      </c>
      <c r="X859" t="n">
        <v>170.4611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179.3897</v>
      </c>
      <c r="AE859" t="n">
        <v>156.3431</v>
      </c>
    </row>
    <row r="860">
      <c r="A860" s="90" t="n">
        <v>44743</v>
      </c>
      <c r="B860" t="n">
        <v>154.482</v>
      </c>
      <c r="C860" t="n">
        <v/>
      </c>
      <c r="D860" t="n">
        <v>171.9078</v>
      </c>
      <c r="E860" t="n">
        <v/>
      </c>
      <c r="F860" t="n">
        <v/>
      </c>
      <c r="G860" t="n">
        <v/>
      </c>
      <c r="H860" t="n">
        <v>186.1368</v>
      </c>
      <c r="I860" t="n">
        <v>146.3363</v>
      </c>
      <c r="J860" t="n">
        <v>170.6628</v>
      </c>
      <c r="K860" t="n">
        <v/>
      </c>
      <c r="L860" t="n">
        <v>150.2893</v>
      </c>
      <c r="M860" t="n">
        <v>151.0079</v>
      </c>
      <c r="N860" t="n">
        <v>221.9641</v>
      </c>
      <c r="O860" t="n">
        <v/>
      </c>
      <c r="P860" t="n">
        <v/>
      </c>
      <c r="Q860" t="n">
        <v>140.2341</v>
      </c>
      <c r="R860" t="n">
        <v>187.776</v>
      </c>
      <c r="S860" t="n">
        <v>127.5478</v>
      </c>
      <c r="T860" t="n">
        <v>168.7211</v>
      </c>
      <c r="U860" t="n">
        <v/>
      </c>
      <c r="V860" t="n">
        <v>160.6782</v>
      </c>
      <c r="W860" t="n">
        <v/>
      </c>
      <c r="X860" t="n">
        <v>170.9783</v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179.6263</v>
      </c>
      <c r="AE860" t="n">
        <v>157.7999</v>
      </c>
    </row>
    <row r="861">
      <c r="A861" s="90" t="n">
        <v>44774</v>
      </c>
      <c r="B861" t="n">
        <v>155.0255</v>
      </c>
      <c r="C861" t="n">
        <v/>
      </c>
      <c r="D861" t="n">
        <v>172.6662</v>
      </c>
      <c r="E861" t="n">
        <v/>
      </c>
      <c r="F861" t="n">
        <v/>
      </c>
      <c r="G861" t="n">
        <v/>
      </c>
      <c r="H861" t="n">
        <v>188.2581</v>
      </c>
      <c r="I861" t="n">
        <v>146.9062</v>
      </c>
      <c r="J861" t="n">
        <v>171.4475</v>
      </c>
      <c r="K861" t="n">
        <v/>
      </c>
      <c r="L861" t="n">
        <v>151.2044</v>
      </c>
      <c r="M861" t="n">
        <v>151.7795</v>
      </c>
      <c r="N861" t="n">
        <v>226.7634</v>
      </c>
      <c r="O861" t="n">
        <v/>
      </c>
      <c r="P861" t="n">
        <v/>
      </c>
      <c r="Q861" t="n">
        <v>140.8281</v>
      </c>
      <c r="R861" t="n">
        <v>187.9462</v>
      </c>
      <c r="S861" t="n">
        <v>127.8438</v>
      </c>
      <c r="T861" t="n">
        <v>169.5486</v>
      </c>
      <c r="U861" t="n">
        <v/>
      </c>
      <c r="V861" t="n">
        <v>161.013</v>
      </c>
      <c r="W861" t="n">
        <v/>
      </c>
      <c r="X861" t="n">
        <v>171.2977</v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>179.5948</v>
      </c>
      <c r="AE861" t="n">
        <v>159.7893</v>
      </c>
    </row>
    <row r="862">
      <c r="A862" s="90" t="n">
        <v>44805</v>
      </c>
      <c r="B862" t="n">
        <v>155.1768</v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>190.1142</v>
      </c>
      <c r="I862" t="n">
        <v/>
      </c>
      <c r="J862" t="n">
        <v>172.244</v>
      </c>
      <c r="K862" t="n">
        <v/>
      </c>
      <c r="L862" t="n">
        <v>151.9405</v>
      </c>
      <c r="M862" t="n">
        <v>154.2406</v>
      </c>
      <c r="N862" t="n">
        <v>229.663</v>
      </c>
      <c r="O862" t="n">
        <v/>
      </c>
      <c r="P862" t="n">
        <v/>
      </c>
      <c r="Q862" t="n">
        <v>141.4765</v>
      </c>
      <c r="R862" t="n">
        <v/>
      </c>
      <c r="S862" t="n">
        <v>127.9992</v>
      </c>
      <c r="T862" t="n">
        <v/>
      </c>
      <c r="U862" t="n">
        <v/>
      </c>
      <c r="V862" t="n">
        <v>162.6059</v>
      </c>
      <c r="W862" t="n">
        <v/>
      </c>
      <c r="X862" t="n">
        <v/>
      </c>
      <c r="Y862" t="n">
        <v/>
      </c>
      <c r="Z862" t="n">
        <v/>
      </c>
      <c r="AA862" t="n">
        <v>192.5564</v>
      </c>
      <c r="AB862" t="n">
        <v/>
      </c>
      <c r="AC862" t="n">
        <v/>
      </c>
      <c r="AD862" t="n">
        <v>178.5238</v>
      </c>
      <c r="AE862" t="n">
        <v>161.4962</v>
      </c>
    </row>
    <row r="863">
      <c r="A863" s="90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>194.2675</v>
      </c>
      <c r="AB863" t="n">
        <v/>
      </c>
      <c r="AC863" t="n">
        <v/>
      </c>
      <c r="AD863" t="n">
        <v/>
      </c>
      <c r="AE863" t="n">
        <v/>
      </c>
    </row>
    <row r="864">
      <c r="A864" s="90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90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90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11" activePane="bottomLeft" state="frozen"/>
      <selection pane="bottomLeft" activeCell="M30" sqref="M30"/>
    </sheetView>
  </sheetViews>
  <sheetFormatPr baseColWidth="10" defaultRowHeight="15"/>
  <cols>
    <col width="18.5" customWidth="1" style="67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10325169</v>
      </c>
      <c r="C2" s="91" t="n">
        <v>44805</v>
      </c>
      <c r="D2" t="n">
        <v>9415256</v>
      </c>
      <c r="E2" t="inlineStr">
        <is>
          <t>ARS Million</t>
        </is>
      </c>
    </row>
    <row r="3">
      <c r="A3" t="inlineStr">
        <is>
          <t>Brazil</t>
        </is>
      </c>
      <c r="B3" t="n">
        <v>4795425</v>
      </c>
      <c r="C3" s="91" t="n">
        <v>44805</v>
      </c>
      <c r="D3" t="n">
        <v>4723684</v>
      </c>
      <c r="E3" t="inlineStr">
        <is>
          <t>BRL Million</t>
        </is>
      </c>
    </row>
    <row r="4">
      <c r="A4" t="inlineStr">
        <is>
          <t>Canada</t>
        </is>
      </c>
      <c r="B4" t="n">
        <v>2374338</v>
      </c>
      <c r="C4" s="91" t="n">
        <v>44805</v>
      </c>
      <c r="D4" t="n">
        <v>2358110</v>
      </c>
      <c r="E4" t="inlineStr">
        <is>
          <t>CAD Million</t>
        </is>
      </c>
    </row>
    <row r="5">
      <c r="A5" t="inlineStr">
        <is>
          <t>China</t>
        </is>
      </c>
      <c r="B5" t="n">
        <v>261290</v>
      </c>
      <c r="C5" s="91" t="n">
        <v>44835</v>
      </c>
      <c r="D5" t="n">
        <v>262660</v>
      </c>
      <c r="E5" t="inlineStr">
        <is>
          <t>CNY Billion</t>
        </is>
      </c>
    </row>
    <row r="6">
      <c r="A6" t="inlineStr">
        <is>
          <t>Euro Area</t>
        </is>
      </c>
      <c r="B6" t="n">
        <v>15397543</v>
      </c>
      <c r="C6" s="91" t="n">
        <v>44805</v>
      </c>
      <c r="D6" t="n">
        <v>15303375</v>
      </c>
      <c r="E6" t="inlineStr">
        <is>
          <t>EUR Million</t>
        </is>
      </c>
    </row>
    <row r="7">
      <c r="A7" t="inlineStr">
        <is>
          <t>France</t>
        </is>
      </c>
      <c r="B7" t="n">
        <v>3002201</v>
      </c>
      <c r="C7" s="91" t="n">
        <v>44805</v>
      </c>
      <c r="D7" t="n">
        <v>3013596</v>
      </c>
      <c r="E7" t="inlineStr">
        <is>
          <t>EUR Million</t>
        </is>
      </c>
    </row>
    <row r="8">
      <c r="A8" t="inlineStr">
        <is>
          <t>Germany</t>
        </is>
      </c>
      <c r="B8" t="n">
        <v>3809</v>
      </c>
      <c r="C8" s="91" t="n">
        <v>44805</v>
      </c>
      <c r="D8" t="n">
        <v>3821</v>
      </c>
      <c r="E8" t="inlineStr">
        <is>
          <t>EUR Billion</t>
        </is>
      </c>
    </row>
    <row r="9">
      <c r="A9" t="inlineStr">
        <is>
          <t>India</t>
        </is>
      </c>
      <c r="B9" t="n">
        <v>55296</v>
      </c>
      <c r="C9" s="91" t="n">
        <v>44835</v>
      </c>
      <c r="D9" t="n">
        <v>54312</v>
      </c>
      <c r="E9" t="inlineStr">
        <is>
          <t>INR Billion</t>
        </is>
      </c>
    </row>
    <row r="10">
      <c r="A10" t="inlineStr">
        <is>
          <t>Indonesia</t>
        </is>
      </c>
      <c r="B10" t="n">
        <v>8222200</v>
      </c>
      <c r="C10" s="91" t="n">
        <v>44835</v>
      </c>
      <c r="D10" t="n">
        <v>7962700</v>
      </c>
      <c r="E10" t="inlineStr">
        <is>
          <t>IDR Billion</t>
        </is>
      </c>
    </row>
    <row r="11">
      <c r="A11" t="inlineStr">
        <is>
          <t>Italy</t>
        </is>
      </c>
      <c r="B11" t="n">
        <v>1919341</v>
      </c>
      <c r="C11" s="91" t="n">
        <v>44805</v>
      </c>
      <c r="D11" t="n">
        <v>1924971</v>
      </c>
      <c r="E11" t="inlineStr">
        <is>
          <t>EUR Million</t>
        </is>
      </c>
    </row>
    <row r="12">
      <c r="A12" t="inlineStr">
        <is>
          <t>Japan</t>
        </is>
      </c>
      <c r="B12" t="n">
        <v>1206399</v>
      </c>
      <c r="C12" s="91" t="n">
        <v>44835</v>
      </c>
      <c r="D12" t="n">
        <v>1207930</v>
      </c>
      <c r="E12" t="inlineStr">
        <is>
          <t>JPY Billion</t>
        </is>
      </c>
    </row>
    <row r="13">
      <c r="A13" t="inlineStr">
        <is>
          <t>Mexico</t>
        </is>
      </c>
      <c r="B13" t="n">
        <v>11857554926</v>
      </c>
      <c r="C13" s="91" t="n">
        <v>44805</v>
      </c>
      <c r="D13" t="n">
        <v>11791395306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1155044</v>
      </c>
      <c r="C14" s="91" t="n">
        <v>44805</v>
      </c>
      <c r="D14" t="n">
        <v>1148750</v>
      </c>
      <c r="E14" t="inlineStr">
        <is>
          <t>EUR Million</t>
        </is>
      </c>
    </row>
    <row r="15">
      <c r="A15" t="inlineStr">
        <is>
          <t>Russia</t>
        </is>
      </c>
      <c r="B15" t="n">
        <v>75097</v>
      </c>
      <c r="C15" s="91" t="n">
        <v>44805</v>
      </c>
      <c r="D15" t="n">
        <v>73333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2139929</v>
      </c>
      <c r="C16" s="91" t="n">
        <v>44805</v>
      </c>
      <c r="D16" t="n">
        <v>2120470</v>
      </c>
      <c r="E16" t="inlineStr">
        <is>
          <t>SAR Million</t>
        </is>
      </c>
    </row>
    <row r="17">
      <c r="A17" t="inlineStr">
        <is>
          <t>Singapore</t>
        </is>
      </c>
      <c r="B17" t="n">
        <v>751096</v>
      </c>
      <c r="C17" s="91" t="n">
        <v>44805</v>
      </c>
      <c r="D17" t="n">
        <v>753645</v>
      </c>
      <c r="E17" t="inlineStr">
        <is>
          <t>SGD Million</t>
        </is>
      </c>
    </row>
    <row r="18">
      <c r="A18" t="inlineStr">
        <is>
          <t>South Africa</t>
        </is>
      </c>
      <c r="B18" t="n">
        <v>3828429</v>
      </c>
      <c r="C18" s="91" t="n">
        <v>44805</v>
      </c>
      <c r="D18" t="n">
        <v>3789888</v>
      </c>
      <c r="E18" t="inlineStr">
        <is>
          <t>ZAR Million</t>
        </is>
      </c>
    </row>
    <row r="19">
      <c r="A19" t="inlineStr">
        <is>
          <t>South Korea</t>
        </is>
      </c>
      <c r="B19" t="n">
        <v>3745708</v>
      </c>
      <c r="C19" s="91" t="n">
        <v>44805</v>
      </c>
      <c r="D19" t="n">
        <v>3738504</v>
      </c>
      <c r="E19" t="inlineStr">
        <is>
          <t>KRW Billion</t>
        </is>
      </c>
    </row>
    <row r="20">
      <c r="A20" t="inlineStr">
        <is>
          <t>Spain</t>
        </is>
      </c>
      <c r="B20" t="n">
        <v>1504468</v>
      </c>
      <c r="C20" s="91" t="n">
        <v>44805</v>
      </c>
      <c r="D20" t="n">
        <v>1509170</v>
      </c>
      <c r="E20" t="inlineStr">
        <is>
          <t>EUR Million</t>
        </is>
      </c>
    </row>
    <row r="21">
      <c r="A21" t="inlineStr">
        <is>
          <t>Switzerland</t>
        </is>
      </c>
      <c r="B21" t="n">
        <v>1076445</v>
      </c>
      <c r="C21" s="91" t="n">
        <v>44835</v>
      </c>
      <c r="D21" t="n">
        <v>1085991</v>
      </c>
      <c r="E21" t="inlineStr">
        <is>
          <t>CHF Million</t>
        </is>
      </c>
    </row>
    <row r="22">
      <c r="A22" t="inlineStr">
        <is>
          <t>Turkey</t>
        </is>
      </c>
      <c r="B22" t="n">
        <v>7729695772</v>
      </c>
      <c r="C22" s="91" t="n">
        <v>44835</v>
      </c>
      <c r="D22" t="n">
        <v>7429567349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3213819</v>
      </c>
      <c r="C23" s="91" t="n">
        <v>44805</v>
      </c>
      <c r="D23" t="n">
        <v>3112903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21415</v>
      </c>
      <c r="C24" s="91" t="n">
        <v>44835</v>
      </c>
      <c r="D24" t="n">
        <v>21503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6"/>
  <sheetViews>
    <sheetView zoomScale="160" zoomScaleNormal="160" workbookViewId="0">
      <pane ySplit="11" topLeftCell="A246" activePane="bottomLeft" state="frozen"/>
      <selection pane="bottomLeft" activeCell="O256" sqref="O256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  <row r="264">
      <c r="A264" s="68" t="n">
        <v>44562</v>
      </c>
      <c r="B264" s="65">
        <f>VLOOKUP(Table1[[#This Row],[Date]],'DB Money Supply'!$A:$F,6)</f>
        <v/>
      </c>
    </row>
    <row r="265">
      <c r="A265" s="68" t="n">
        <v>44652</v>
      </c>
      <c r="B265" s="65">
        <f>VLOOKUP(Table1[[#This Row],[Date]],'DB Money Supply'!$A:$F,6)</f>
        <v/>
      </c>
    </row>
    <row r="266">
      <c r="A266" s="68" t="n">
        <v>44743</v>
      </c>
      <c r="B266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70"/>
  <sheetViews>
    <sheetView zoomScale="180" zoomScaleNormal="180" workbookViewId="0">
      <pane ySplit="5" topLeftCell="A752" activePane="bottomLeft" state="frozen"/>
      <selection pane="bottomLeft" activeCell="R769" sqref="R769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7" min="4" max="6"/>
    <col width="13.33203125" customWidth="1" style="77" min="7" max="7"/>
    <col width="9.1640625" customWidth="1" style="77" min="8" max="32"/>
    <col width="9.1640625" customWidth="1" style="77" min="33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63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63">
        <f>(Table3032[[#This Row],[Real M1 Money Stock]]-B757)/B757</f>
        <v/>
      </c>
    </row>
    <row r="770">
      <c r="A770" s="25" t="n">
        <v>44805</v>
      </c>
      <c r="B770" s="26">
        <f>VLOOKUP(Table3032[[#This Row],[Month]],'DB Money Supply'!$A:$D,2)</f>
        <v/>
      </c>
      <c r="C770" s="63">
        <f>(Table3032[[#This Row],[Real M1 Money Stock]]-B758)/B758</f>
        <v/>
      </c>
    </row>
  </sheetData>
  <conditionalFormatting sqref="C18:C770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70"/>
  <sheetViews>
    <sheetView zoomScaleNormal="100" workbookViewId="0">
      <pane ySplit="5" topLeftCell="A741" activePane="bottomLeft" state="frozen"/>
      <selection pane="bottomLeft" activeCell="A764" sqref="A764:C770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7" min="4" max="6"/>
    <col width="13.33203125" customWidth="1" style="77" min="7" max="7"/>
    <col width="9.1640625" customWidth="1" style="77" min="8" max="32"/>
    <col width="9.1640625" customWidth="1" style="77" min="33" max="16384"/>
  </cols>
  <sheetData>
    <row r="1">
      <c r="A1" s="1" t="inlineStr">
        <is>
          <t>https://fred.stlouisfed.org/series/M2REAL</t>
        </is>
      </c>
    </row>
    <row r="2">
      <c r="A2" s="77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63">
        <f>(Table30[[#This Row],[Real M2 Money Stock]]-B757)/B757</f>
        <v/>
      </c>
    </row>
    <row r="770">
      <c r="A770" s="22" t="n">
        <v>44805</v>
      </c>
      <c r="B770" s="24">
        <f>VLOOKUP(Table30[[#This Row],[Month]],'DB Money Supply'!$A:$D,3)</f>
        <v/>
      </c>
      <c r="C770" s="27">
        <f>(Table30[[#This Row],[Real M2 Money Stock]]-B758)/B758</f>
        <v/>
      </c>
    </row>
  </sheetData>
  <conditionalFormatting sqref="C18:C77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1"/>
  <sheetViews>
    <sheetView zoomScale="110" zoomScaleNormal="110" workbookViewId="0">
      <pane ySplit="5" topLeftCell="A2380" activePane="bottomLeft" state="frozen"/>
      <selection pane="bottomLeft" activeCell="A2404" sqref="A2404:F2411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7" min="4" max="4"/>
    <col width="9.1640625" customWidth="1" style="77" min="5" max="29"/>
    <col width="9.1640625" customWidth="1" style="77" min="30" max="16384"/>
  </cols>
  <sheetData>
    <row r="1">
      <c r="A1" s="78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  <row r="2411">
      <c r="A2411" s="33" t="n">
        <v>44235</v>
      </c>
      <c r="B2411" s="24">
        <f>VLOOKUP(Table2634[[#This Row],[Date]],'DB Money Supply'!$A:$D,4)</f>
        <v/>
      </c>
      <c r="C2411" s="30">
        <f>(Table2634[[#This Row],[M1 Money Stock, Billions of Dollars, Weekly, Seasonally Adjusted]]-B2410)/B2410</f>
        <v/>
      </c>
      <c r="D2411" s="34">
        <f>(Table2634[[#This Row],[M1 Money Stock, Billions of Dollars, Weekly, Seasonally Adjusted]]-B2408)/B2408</f>
        <v/>
      </c>
      <c r="E2411" s="24">
        <f>AVERAGE(B2408:B2411)</f>
        <v/>
      </c>
      <c r="F2411" s="32">
        <f>(Table2634[[#This Row],[4 weeks average]]-B2359)/B2359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70"/>
  <sheetViews>
    <sheetView zoomScale="110" zoomScaleNormal="110" workbookViewId="0">
      <pane ySplit="5" topLeftCell="A740" activePane="bottomLeft" state="frozen"/>
      <selection pane="bottomLeft" activeCell="Z765" sqref="Z765"/>
    </sheetView>
  </sheetViews>
  <sheetFormatPr baseColWidth="10" defaultColWidth="9.1640625" defaultRowHeight="15"/>
  <cols>
    <col width="16.6640625" customWidth="1" style="16" min="1" max="1"/>
    <col width="19" customWidth="1" style="77" min="2" max="2"/>
    <col width="14.6640625" customWidth="1" style="16" min="3" max="3"/>
    <col width="14.6640625" customWidth="1" style="77" min="4" max="4"/>
    <col width="9.1640625" customWidth="1" style="77" min="5" max="29"/>
    <col width="9.1640625" customWidth="1" style="77" min="30" max="16384"/>
  </cols>
  <sheetData>
    <row r="1">
      <c r="A1" t="inlineStr">
        <is>
          <t>https://fred.stlouisfed.org/series/M2SL</t>
        </is>
      </c>
    </row>
    <row r="2">
      <c r="A2" s="77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7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5" t="n">
        <v>44774</v>
      </c>
      <c r="B769" s="57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  <row r="770">
      <c r="A770" s="55" t="n">
        <v>44805</v>
      </c>
      <c r="B770" s="57">
        <f>VLOOKUP(Table26[[#This Row],[Date]],'DB Money Supply'!$A:$E,5)</f>
        <v/>
      </c>
      <c r="C770" s="30">
        <f>(Table26[[#This Row],[M2 Money Stock, Billions of Dollars, Monthly, Seasonally Adjusted]]-B769)/B769</f>
        <v/>
      </c>
      <c r="D770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130" zoomScaleNormal="130" workbookViewId="0">
      <pane xSplit="4" topLeftCell="E1" activePane="topRight" state="frozen"/>
      <selection activeCell="AB17" sqref="AB17"/>
      <selection pane="topRight" activeCell="AB17" sqref="AB17"/>
    </sheetView>
  </sheetViews>
  <sheetFormatPr baseColWidth="10" defaultColWidth="9.1640625" defaultRowHeight="15"/>
  <cols>
    <col width="9.1640625" customWidth="1" style="77" min="1" max="3"/>
    <col width="28" customWidth="1" style="16" min="4" max="9"/>
    <col width="9.1640625" customWidth="1" style="77" min="10" max="34"/>
    <col width="9.1640625" customWidth="1" style="77" min="35" max="16384"/>
  </cols>
  <sheetData>
    <row r="2">
      <c r="D2" s="1" t="inlineStr">
        <is>
          <t>https://tradingeconomics.com/country-list/money-supply-m2?continent=g20</t>
        </is>
      </c>
    </row>
    <row r="7">
      <c r="D7" s="80" t="inlineStr">
        <is>
          <t>Country</t>
        </is>
      </c>
      <c r="E7" s="80" t="inlineStr">
        <is>
          <t>Last</t>
        </is>
      </c>
      <c r="F7" s="80" t="inlineStr">
        <is>
          <t>Month</t>
        </is>
      </c>
      <c r="G7" s="80" t="inlineStr">
        <is>
          <t>Previous</t>
        </is>
      </c>
      <c r="H7" s="80" t="inlineStr">
        <is>
          <t>mom annualized</t>
        </is>
      </c>
      <c r="I7" s="80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8"/>
  <sheetViews>
    <sheetView zoomScale="130" zoomScaleNormal="130" workbookViewId="0">
      <pane xSplit="1" ySplit="5" topLeftCell="B68" activePane="bottomRight" state="frozen"/>
      <selection pane="topRight" activeCell="B1" sqref="B1"/>
      <selection pane="bottomLeft" activeCell="A6" sqref="A6"/>
      <selection pane="bottomRight" activeCell="AE96" sqref="AE96"/>
    </sheetView>
  </sheetViews>
  <sheetFormatPr baseColWidth="10" defaultColWidth="8.83203125" defaultRowHeight="15"/>
  <cols>
    <col width="10.6640625" bestFit="1" customWidth="1" style="77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7" min="28" max="28"/>
    <col width="12.33203125" customWidth="1" style="77" min="29" max="29"/>
    <col width="9.1640625" customWidth="1" style="77" min="30" max="30"/>
    <col width="10.6640625" customWidth="1" style="77" min="31" max="31"/>
    <col width="10.6640625" bestFit="1" customWidth="1" style="77" min="32" max="32"/>
    <col width="9.1640625" customWidth="1" style="77" min="33" max="73"/>
  </cols>
  <sheetData>
    <row r="1" customFormat="1" s="77">
      <c r="C1" s="77" t="inlineStr">
        <is>
          <t>OECD</t>
        </is>
      </c>
      <c r="D1" s="77" t="inlineStr">
        <is>
          <t>USA</t>
        </is>
      </c>
      <c r="E1" s="77" t="inlineStr">
        <is>
          <t>CHN</t>
        </is>
      </c>
      <c r="F1" s="77" t="inlineStr">
        <is>
          <t>EA19</t>
        </is>
      </c>
      <c r="G1" s="77" t="inlineStr">
        <is>
          <t>JPN</t>
        </is>
      </c>
      <c r="H1" s="77" t="inlineStr">
        <is>
          <t>GBR</t>
        </is>
      </c>
      <c r="I1" s="77" t="inlineStr">
        <is>
          <t>CHE</t>
        </is>
      </c>
      <c r="J1" s="77" t="inlineStr">
        <is>
          <t>SWE</t>
        </is>
      </c>
      <c r="K1" s="77" t="inlineStr">
        <is>
          <t>NOR</t>
        </is>
      </c>
      <c r="L1" s="77" t="inlineStr">
        <is>
          <t>BRA</t>
        </is>
      </c>
      <c r="M1" s="77" t="inlineStr">
        <is>
          <t>MEX</t>
        </is>
      </c>
      <c r="N1" s="77" t="inlineStr">
        <is>
          <t>RUS</t>
        </is>
      </c>
      <c r="O1" s="77" t="inlineStr">
        <is>
          <t>IND</t>
        </is>
      </c>
      <c r="P1" s="77" t="inlineStr">
        <is>
          <t>CAN</t>
        </is>
      </c>
      <c r="Q1" s="77" t="inlineStr">
        <is>
          <t>AUS</t>
        </is>
      </c>
      <c r="R1" s="77" t="inlineStr">
        <is>
          <t>IDN</t>
        </is>
      </c>
      <c r="S1" s="77" t="inlineStr">
        <is>
          <t>KOR</t>
        </is>
      </c>
      <c r="T1" s="77" t="inlineStr">
        <is>
          <t>CHL</t>
        </is>
      </c>
      <c r="U1" s="77" t="inlineStr">
        <is>
          <t>DNK</t>
        </is>
      </c>
      <c r="V1" s="77" t="inlineStr">
        <is>
          <t>ISR</t>
        </is>
      </c>
      <c r="W1" s="77" t="inlineStr">
        <is>
          <t>TUR</t>
        </is>
      </c>
      <c r="X1" s="77" t="inlineStr">
        <is>
          <t>ZAF</t>
        </is>
      </c>
      <c r="Y1" s="77" t="inlineStr">
        <is>
          <t>NZL</t>
        </is>
      </c>
      <c r="Z1" s="77" t="inlineStr">
        <is>
          <t>CZE</t>
        </is>
      </c>
      <c r="AA1" s="77" t="inlineStr">
        <is>
          <t>POL</t>
        </is>
      </c>
      <c r="AI1" s="77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7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7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7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7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7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7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7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7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7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7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7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7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7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7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7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7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7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7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7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7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7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7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7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7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7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7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7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7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7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7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7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7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7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7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7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7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7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7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7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7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7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7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7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7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7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7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7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7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7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7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7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7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7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7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7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7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7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7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7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77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77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77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77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77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77">
      <c r="A96" s="20">
        <f>DATE(YEAR(B96)-1,MONTH(B96),DAY(B96))</f>
        <v/>
      </c>
      <c r="B96" s="12" t="n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/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/>
      </c>
      <c r="E96" s="14">
        <f>IF(VLOOKUP(B96,Data!$A:$AN,MATCH(yoy!$E$1,Data!$A$1:$AN$1,),)=0,"#N/A",(VLOOKUP(B96,Data!$A:$AN,MATCH(yoy!$E$1,Data!$A$1:$AN$1,),)-VLOOKUP(A96,Data!$A:$AN,MATCH(yoy!$E$1,Data!$A$1:$AN$1,),))/VLOOKUP(A96,Data!$A:$AN,MATCH(yoy!$E$1,Data!$A$1:$AN$1,),))</f>
        <v/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/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/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/>
      </c>
      <c r="I96" s="14">
        <f>IF(VLOOKUP(B96,Data!$A:$AN,MATCH(yoy!$I$1,Data!$A$1:$AN$1,),)=0,"#N/A",(VLOOKUP(B96,Data!$A:$AN,MATCH(yoy!$I$1,Data!$A$1:$AN$1,),)-VLOOKUP(A96,Data!$A:$AN,MATCH(yoy!$I$1,Data!$A$1:$AN$1,),))/VLOOKUP(A96,Data!$A:$AN,MATCH(yoy!$I$1,Data!$A$1:$AN$1,),))</f>
        <v/>
      </c>
      <c r="J96" s="14">
        <f>IF(VLOOKUP(B96,Data!$A:$AN,MATCH(yoy!$J$1,Data!$A$1:$AN$1,),)=0,"#N/A",(VLOOKUP(B96,Data!$A:$AN,MATCH(yoy!$J$1,Data!$A$1:$AN$1,),)-VLOOKUP(A96,Data!$A:$AN,MATCH(yoy!$J$1,Data!$A$1:$AN$1,),))/VLOOKUP(A96,Data!$A:$AN,MATCH(yoy!$J$1,Data!$A$1:$AN$1,),))</f>
        <v/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/>
      </c>
      <c r="L96" s="14">
        <f>IF(VLOOKUP(B96,Data!$A:$AN,MATCH(yoy!$L$1,Data!$A$1:$AN$1,),)=0,"#N/A",(VLOOKUP(B96,Data!$A:$AN,MATCH(yoy!$L$1,Data!$A$1:$AN$1,),)-VLOOKUP(A96,Data!$A:$AN,MATCH(yoy!$L$1,Data!$A$1:$AN$1,),))/VLOOKUP(A96,Data!$A:$AN,MATCH(yoy!$L$1,Data!$A$1:$AN$1,),))</f>
        <v/>
      </c>
      <c r="M96" s="14">
        <f>IF(VLOOKUP(B96,Data!$A:$AN,MATCH(yoy!$M$1,Data!$A$1:$AN$1,),)=0,"#N/A",(VLOOKUP(B96,Data!$A:$AN,MATCH(yoy!$M$1,Data!$A$1:$AN$1,),)-VLOOKUP(A96,Data!$A:$AN,MATCH(yoy!$M$1,Data!$A$1:$AN$1,),))/VLOOKUP(A96,Data!$A:$AN,MATCH(yoy!$M$1,Data!$A$1:$AN$1,),))</f>
        <v/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/>
      </c>
      <c r="O96" s="14">
        <f>IF(VLOOKUP(B96,Data!$A:$AN,MATCH(yoy!$O$1,Data!$A$1:$AN$1,),)=0,"#N/A",(VLOOKUP(B96,Data!$A:$AN,MATCH(yoy!$O$1,Data!$A$1:$AN$1,),)-VLOOKUP(A96,Data!$A:$AN,MATCH(yoy!$O$1,Data!$A$1:$AN$1,),))/VLOOKUP(A96,Data!$A:$AN,MATCH(yoy!$O$1,Data!$A$1:$AN$1,),))</f>
        <v/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/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/>
      </c>
      <c r="R96" s="14">
        <f>IF(VLOOKUP(B96,Data!$A:$AN,MATCH(yoy!$R$1,Data!$A$1:$AN$1,),)=0,"#N/A",(VLOOKUP(B96,Data!$A:$AN,MATCH(yoy!$R$1,Data!$A$1:$AN$1,),)-VLOOKUP(A96,Data!$A:$AN,MATCH(yoy!$R$1,Data!$A$1:$AN$1,),))/VLOOKUP(A96,Data!$A:$AN,MATCH(yoy!$R$1,Data!$A$1:$AN$1,),))</f>
        <v/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/>
      </c>
      <c r="T96" s="14">
        <f>IF(VLOOKUP(B96,Data!$A:$AN,MATCH(yoy!$T$1,Data!$A$1:$AN$1,),)=0,"#N/A",(VLOOKUP(B96,Data!$A:$AN,MATCH(yoy!$T$1,Data!$A$1:$AN$1,),)-VLOOKUP(A96,Data!$A:$AN,MATCH(yoy!$T$1,Data!$A$1:$AN$1,),))/VLOOKUP(A96,Data!$A:$AN,MATCH(yoy!$T$1,Data!$A$1:$AN$1,),))</f>
        <v/>
      </c>
      <c r="U96" s="14">
        <f>IF(VLOOKUP(B96,Data!$A:$AN,MATCH(yoy!$U$1,Data!$A$1:$AN$1,),)=0,"#N/A",(VLOOKUP(B96,Data!$A:$AN,MATCH(yoy!$U$1,Data!$A$1:$AN$1,),)-VLOOKUP(A96,Data!$A:$AN,MATCH(yoy!$U$1,Data!$A$1:$AN$1,),))/VLOOKUP(A96,Data!$A:$AN,MATCH(yoy!$U$1,Data!$A$1:$AN$1,),))</f>
        <v/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/>
      </c>
      <c r="W96" s="14">
        <f>IF(VLOOKUP(B96,Data!$A:$AN,MATCH(yoy!$W$1,Data!$A$1:$AN$1,),)=0,"#N/A",(VLOOKUP(B96,Data!$A:$AN,MATCH(yoy!$W$1,Data!$A$1:$AN$1,),)-VLOOKUP(A96,Data!$A:$AN,MATCH(yoy!$W$1,Data!$A$1:$AN$1,),))/VLOOKUP(A96,Data!$A:$AN,MATCH(yoy!$W$1,Data!$A$1:$AN$1,),))</f>
        <v/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/>
      </c>
      <c r="Y96" s="14">
        <f>IF(VLOOKUP(B96,Data!$A:$AN,MATCH(yoy!$Y$1,Data!$A$1:$AN$1,),)=0,"#N/A",(VLOOKUP(B96,Data!$A:$AN,MATCH(yoy!$Y$1,Data!$A$1:$AN$1,),)-VLOOKUP(A96,Data!$A:$AN,MATCH(yoy!$Y$1,Data!$A$1:$AN$1,),))/VLOOKUP(A96,Data!$A:$AN,MATCH(yoy!$Y$1,Data!$A$1:$AN$1,),))</f>
        <v/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/>
      </c>
      <c r="AA96" s="14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/>
      </c>
    </row>
    <row r="97" customFormat="1" s="77">
      <c r="A97" s="20">
        <f>DATE(YEAR(B97)-1,MONTH(B97),DAY(B97))</f>
        <v/>
      </c>
      <c r="B97" s="12" t="n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/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/>
      </c>
      <c r="E97" s="14">
        <f>IF(VLOOKUP(B97,Data!$A:$AN,MATCH(yoy!$E$1,Data!$A$1:$AN$1,),)=0,"#N/A",(VLOOKUP(B97,Data!$A:$AN,MATCH(yoy!$E$1,Data!$A$1:$AN$1,),)-VLOOKUP(A97,Data!$A:$AN,MATCH(yoy!$E$1,Data!$A$1:$AN$1,),))/VLOOKUP(A97,Data!$A:$AN,MATCH(yoy!$E$1,Data!$A$1:$AN$1,),))</f>
        <v/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/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/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/>
      </c>
      <c r="I97" s="14">
        <f>IF(VLOOKUP(B97,Data!$A:$AN,MATCH(yoy!$I$1,Data!$A$1:$AN$1,),)=0,"#N/A",(VLOOKUP(B97,Data!$A:$AN,MATCH(yoy!$I$1,Data!$A$1:$AN$1,),)-VLOOKUP(A97,Data!$A:$AN,MATCH(yoy!$I$1,Data!$A$1:$AN$1,),))/VLOOKUP(A97,Data!$A:$AN,MATCH(yoy!$I$1,Data!$A$1:$AN$1,),))</f>
        <v/>
      </c>
      <c r="J97" s="14">
        <f>IF(VLOOKUP(B97,Data!$A:$AN,MATCH(yoy!$J$1,Data!$A$1:$AN$1,),)=0,"#N/A",(VLOOKUP(B97,Data!$A:$AN,MATCH(yoy!$J$1,Data!$A$1:$AN$1,),)-VLOOKUP(A97,Data!$A:$AN,MATCH(yoy!$J$1,Data!$A$1:$AN$1,),))/VLOOKUP(A97,Data!$A:$AN,MATCH(yoy!$J$1,Data!$A$1:$AN$1,),))</f>
        <v/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/>
      </c>
      <c r="L97" s="14">
        <f>IF(VLOOKUP(B97,Data!$A:$AN,MATCH(yoy!$L$1,Data!$A$1:$AN$1,),)=0,"#N/A",(VLOOKUP(B97,Data!$A:$AN,MATCH(yoy!$L$1,Data!$A$1:$AN$1,),)-VLOOKUP(A97,Data!$A:$AN,MATCH(yoy!$L$1,Data!$A$1:$AN$1,),))/VLOOKUP(A97,Data!$A:$AN,MATCH(yoy!$L$1,Data!$A$1:$AN$1,),))</f>
        <v/>
      </c>
      <c r="M97" s="14">
        <f>IF(VLOOKUP(B97,Data!$A:$AN,MATCH(yoy!$M$1,Data!$A$1:$AN$1,),)=0,"#N/A",(VLOOKUP(B97,Data!$A:$AN,MATCH(yoy!$M$1,Data!$A$1:$AN$1,),)-VLOOKUP(A97,Data!$A:$AN,MATCH(yoy!$M$1,Data!$A$1:$AN$1,),))/VLOOKUP(A97,Data!$A:$AN,MATCH(yoy!$M$1,Data!$A$1:$AN$1,),))</f>
        <v/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/>
      </c>
      <c r="O97" s="14">
        <f>IF(VLOOKUP(B97,Data!$A:$AN,MATCH(yoy!$O$1,Data!$A$1:$AN$1,),)=0,"#N/A",(VLOOKUP(B97,Data!$A:$AN,MATCH(yoy!$O$1,Data!$A$1:$AN$1,),)-VLOOKUP(A97,Data!$A:$AN,MATCH(yoy!$O$1,Data!$A$1:$AN$1,),))/VLOOKUP(A97,Data!$A:$AN,MATCH(yoy!$O$1,Data!$A$1:$AN$1,),))</f>
        <v/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/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/>
      </c>
      <c r="R97" s="14">
        <f>IF(VLOOKUP(B97,Data!$A:$AN,MATCH(yoy!$R$1,Data!$A$1:$AN$1,),)=0,"#N/A",(VLOOKUP(B97,Data!$A:$AN,MATCH(yoy!$R$1,Data!$A$1:$AN$1,),)-VLOOKUP(A97,Data!$A:$AN,MATCH(yoy!$R$1,Data!$A$1:$AN$1,),))/VLOOKUP(A97,Data!$A:$AN,MATCH(yoy!$R$1,Data!$A$1:$AN$1,),))</f>
        <v/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/>
      </c>
      <c r="T97" s="14">
        <f>IF(VLOOKUP(B97,Data!$A:$AN,MATCH(yoy!$T$1,Data!$A$1:$AN$1,),)=0,"#N/A",(VLOOKUP(B97,Data!$A:$AN,MATCH(yoy!$T$1,Data!$A$1:$AN$1,),)-VLOOKUP(A97,Data!$A:$AN,MATCH(yoy!$T$1,Data!$A$1:$AN$1,),))/VLOOKUP(A97,Data!$A:$AN,MATCH(yoy!$T$1,Data!$A$1:$AN$1,),))</f>
        <v/>
      </c>
      <c r="U97" s="14">
        <f>IF(VLOOKUP(B97,Data!$A:$AN,MATCH(yoy!$U$1,Data!$A$1:$AN$1,),)=0,"#N/A",(VLOOKUP(B97,Data!$A:$AN,MATCH(yoy!$U$1,Data!$A$1:$AN$1,),)-VLOOKUP(A97,Data!$A:$AN,MATCH(yoy!$U$1,Data!$A$1:$AN$1,),))/VLOOKUP(A97,Data!$A:$AN,MATCH(yoy!$U$1,Data!$A$1:$AN$1,),))</f>
        <v/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/>
      </c>
      <c r="W97" s="14">
        <f>IF(VLOOKUP(B97,Data!$A:$AN,MATCH(yoy!$W$1,Data!$A$1:$AN$1,),)=0,"#N/A",(VLOOKUP(B97,Data!$A:$AN,MATCH(yoy!$W$1,Data!$A$1:$AN$1,),)-VLOOKUP(A97,Data!$A:$AN,MATCH(yoy!$W$1,Data!$A$1:$AN$1,),))/VLOOKUP(A97,Data!$A:$AN,MATCH(yoy!$W$1,Data!$A$1:$AN$1,),))</f>
        <v/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/>
      </c>
      <c r="Y97" s="14">
        <f>IF(VLOOKUP(B97,Data!$A:$AN,MATCH(yoy!$Y$1,Data!$A$1:$AN$1,),)=0,"#N/A",(VLOOKUP(B97,Data!$A:$AN,MATCH(yoy!$Y$1,Data!$A$1:$AN$1,),)-VLOOKUP(A97,Data!$A:$AN,MATCH(yoy!$Y$1,Data!$A$1:$AN$1,),))/VLOOKUP(A97,Data!$A:$AN,MATCH(yoy!$Y$1,Data!$A$1:$AN$1,),))</f>
        <v/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/>
      </c>
      <c r="AA97" s="14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/>
      </c>
    </row>
    <row r="98" customFormat="1" s="77">
      <c r="A98" s="20">
        <f>DATE(YEAR(B98)-1,MONTH(B98),DAY(B98))</f>
        <v/>
      </c>
      <c r="B98" s="12" t="n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/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/>
      </c>
      <c r="E98" s="14">
        <f>IF(VLOOKUP(B98,Data!$A:$AN,MATCH(yoy!$E$1,Data!$A$1:$AN$1,),)=0,"#N/A",(VLOOKUP(B98,Data!$A:$AN,MATCH(yoy!$E$1,Data!$A$1:$AN$1,),)-VLOOKUP(A98,Data!$A:$AN,MATCH(yoy!$E$1,Data!$A$1:$AN$1,),))/VLOOKUP(A98,Data!$A:$AN,MATCH(yoy!$E$1,Data!$A$1:$AN$1,),))</f>
        <v/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/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/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/>
      </c>
      <c r="I98" s="14">
        <f>IF(VLOOKUP(B98,Data!$A:$AN,MATCH(yoy!$I$1,Data!$A$1:$AN$1,),)=0,"#N/A",(VLOOKUP(B98,Data!$A:$AN,MATCH(yoy!$I$1,Data!$A$1:$AN$1,),)-VLOOKUP(A98,Data!$A:$AN,MATCH(yoy!$I$1,Data!$A$1:$AN$1,),))/VLOOKUP(A98,Data!$A:$AN,MATCH(yoy!$I$1,Data!$A$1:$AN$1,),))</f>
        <v/>
      </c>
      <c r="J98" s="14">
        <f>IF(VLOOKUP(B98,Data!$A:$AN,MATCH(yoy!$J$1,Data!$A$1:$AN$1,),)=0,"#N/A",(VLOOKUP(B98,Data!$A:$AN,MATCH(yoy!$J$1,Data!$A$1:$AN$1,),)-VLOOKUP(A98,Data!$A:$AN,MATCH(yoy!$J$1,Data!$A$1:$AN$1,),))/VLOOKUP(A98,Data!$A:$AN,MATCH(yoy!$J$1,Data!$A$1:$AN$1,),))</f>
        <v/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/>
      </c>
      <c r="L98" s="14">
        <f>IF(VLOOKUP(B98,Data!$A:$AN,MATCH(yoy!$L$1,Data!$A$1:$AN$1,),)=0,"#N/A",(VLOOKUP(B98,Data!$A:$AN,MATCH(yoy!$L$1,Data!$A$1:$AN$1,),)-VLOOKUP(A98,Data!$A:$AN,MATCH(yoy!$L$1,Data!$A$1:$AN$1,),))/VLOOKUP(A98,Data!$A:$AN,MATCH(yoy!$L$1,Data!$A$1:$AN$1,),))</f>
        <v/>
      </c>
      <c r="M98" s="14">
        <f>IF(VLOOKUP(B98,Data!$A:$AN,MATCH(yoy!$M$1,Data!$A$1:$AN$1,),)=0,"#N/A",(VLOOKUP(B98,Data!$A:$AN,MATCH(yoy!$M$1,Data!$A$1:$AN$1,),)-VLOOKUP(A98,Data!$A:$AN,MATCH(yoy!$M$1,Data!$A$1:$AN$1,),))/VLOOKUP(A98,Data!$A:$AN,MATCH(yoy!$M$1,Data!$A$1:$AN$1,),))</f>
        <v/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/>
      </c>
      <c r="O98" s="14">
        <f>IF(VLOOKUP(B98,Data!$A:$AN,MATCH(yoy!$O$1,Data!$A$1:$AN$1,),)=0,"#N/A",(VLOOKUP(B98,Data!$A:$AN,MATCH(yoy!$O$1,Data!$A$1:$AN$1,),)-VLOOKUP(A98,Data!$A:$AN,MATCH(yoy!$O$1,Data!$A$1:$AN$1,),))/VLOOKUP(A98,Data!$A:$AN,MATCH(yoy!$O$1,Data!$A$1:$AN$1,),))</f>
        <v/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/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/>
      </c>
      <c r="R98" s="14">
        <f>IF(VLOOKUP(B98,Data!$A:$AN,MATCH(yoy!$R$1,Data!$A$1:$AN$1,),)=0,"#N/A",(VLOOKUP(B98,Data!$A:$AN,MATCH(yoy!$R$1,Data!$A$1:$AN$1,),)-VLOOKUP(A98,Data!$A:$AN,MATCH(yoy!$R$1,Data!$A$1:$AN$1,),))/VLOOKUP(A98,Data!$A:$AN,MATCH(yoy!$R$1,Data!$A$1:$AN$1,),))</f>
        <v/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/>
      </c>
      <c r="T98" s="14">
        <f>IF(VLOOKUP(B98,Data!$A:$AN,MATCH(yoy!$T$1,Data!$A$1:$AN$1,),)=0,"#N/A",(VLOOKUP(B98,Data!$A:$AN,MATCH(yoy!$T$1,Data!$A$1:$AN$1,),)-VLOOKUP(A98,Data!$A:$AN,MATCH(yoy!$T$1,Data!$A$1:$AN$1,),))/VLOOKUP(A98,Data!$A:$AN,MATCH(yoy!$T$1,Data!$A$1:$AN$1,),))</f>
        <v/>
      </c>
      <c r="U98" s="14">
        <f>IF(VLOOKUP(B98,Data!$A:$AN,MATCH(yoy!$U$1,Data!$A$1:$AN$1,),)=0,"#N/A",(VLOOKUP(B98,Data!$A:$AN,MATCH(yoy!$U$1,Data!$A$1:$AN$1,),)-VLOOKUP(A98,Data!$A:$AN,MATCH(yoy!$U$1,Data!$A$1:$AN$1,),))/VLOOKUP(A98,Data!$A:$AN,MATCH(yoy!$U$1,Data!$A$1:$AN$1,),))</f>
        <v/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/>
      </c>
      <c r="W98" s="14">
        <f>IF(VLOOKUP(B98,Data!$A:$AN,MATCH(yoy!$W$1,Data!$A$1:$AN$1,),)=0,"#N/A",(VLOOKUP(B98,Data!$A:$AN,MATCH(yoy!$W$1,Data!$A$1:$AN$1,),)-VLOOKUP(A98,Data!$A:$AN,MATCH(yoy!$W$1,Data!$A$1:$AN$1,),))/VLOOKUP(A98,Data!$A:$AN,MATCH(yoy!$W$1,Data!$A$1:$AN$1,),))</f>
        <v/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/>
      </c>
      <c r="Y98" s="14">
        <f>IF(VLOOKUP(B98,Data!$A:$AN,MATCH(yoy!$Y$1,Data!$A$1:$AN$1,),)=0,"#N/A",(VLOOKUP(B98,Data!$A:$AN,MATCH(yoy!$Y$1,Data!$A$1:$AN$1,),)-VLOOKUP(A98,Data!$A:$AN,MATCH(yoy!$Y$1,Data!$A$1:$AN$1,),))/VLOOKUP(A98,Data!$A:$AN,MATCH(yoy!$Y$1,Data!$A$1:$AN$1,),))</f>
        <v/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/>
      </c>
      <c r="AA98" s="14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/>
      </c>
    </row>
    <row r="99" customFormat="1" s="77"/>
    <row r="100" customFormat="1" s="77"/>
    <row r="101" customFormat="1" s="77"/>
    <row r="102" customFormat="1" s="77"/>
    <row r="103" customFormat="1" s="77"/>
    <row r="104" customFormat="1" s="77"/>
    <row r="105" customFormat="1" s="77"/>
    <row r="106" customFormat="1" s="77"/>
    <row r="107" customFormat="1" s="77"/>
    <row r="108" customFormat="1" s="77"/>
    <row r="109" customFormat="1" s="77"/>
    <row r="110" customFormat="1" s="77"/>
    <row r="111" customFormat="1" s="77"/>
    <row r="112" customFormat="1" s="77"/>
    <row r="113" customFormat="1" s="77"/>
    <row r="114" customFormat="1" s="77"/>
    <row r="115" customFormat="1" s="77"/>
    <row r="116" customFormat="1" s="77"/>
    <row r="117" customFormat="1" s="77"/>
    <row r="118" customFormat="1" s="77"/>
    <row r="119" customFormat="1" s="77"/>
    <row r="120" customFormat="1" s="77"/>
    <row r="121" customFormat="1" s="77"/>
    <row r="122" customFormat="1" s="77"/>
    <row r="123" customFormat="1" s="77"/>
    <row r="124" customFormat="1" s="77"/>
    <row r="125" customFormat="1" s="77"/>
    <row r="126" customFormat="1" s="77"/>
    <row r="127" customFormat="1" s="77"/>
    <row r="128" customFormat="1" s="77"/>
    <row r="129" customFormat="1" s="77"/>
    <row r="130" customFormat="1" s="77"/>
    <row r="131" customFormat="1" s="77"/>
    <row r="132" customFormat="1" s="77"/>
    <row r="133" customFormat="1" s="77"/>
    <row r="134" customFormat="1" s="77"/>
    <row r="135" customFormat="1" s="77"/>
    <row r="136" customFormat="1" s="77"/>
    <row r="137" customFormat="1" s="77"/>
    <row r="138" customFormat="1" s="77"/>
    <row r="139" customFormat="1" s="77"/>
    <row r="140" customFormat="1" s="77"/>
    <row r="141" customFormat="1" s="77"/>
    <row r="142" customFormat="1" s="77"/>
    <row r="143" customFormat="1" s="77"/>
    <row r="144" customFormat="1" s="77"/>
    <row r="145" customFormat="1" s="77"/>
    <row r="146" customFormat="1" s="77"/>
    <row r="147" customFormat="1" s="77"/>
    <row r="148" customFormat="1" s="77"/>
    <row r="149" customFormat="1" s="77"/>
    <row r="150" customFormat="1" s="77"/>
    <row r="151" customFormat="1" s="77"/>
    <row r="152" customFormat="1" s="77"/>
    <row r="153" customFormat="1" s="77"/>
    <row r="154" customFormat="1" s="77"/>
    <row r="155" customFormat="1" s="77"/>
    <row r="156" customFormat="1" s="77"/>
    <row r="157" customFormat="1" s="77"/>
    <row r="158" customFormat="1" s="77"/>
    <row r="159" customFormat="1" s="77"/>
    <row r="160" customFormat="1" s="77"/>
    <row r="161" customFormat="1" s="77"/>
    <row r="162" customFormat="1" s="77"/>
    <row r="163" customFormat="1" s="77"/>
    <row r="164" customFormat="1" s="77"/>
    <row r="165" customFormat="1" s="77"/>
    <row r="166" customFormat="1" s="77"/>
    <row r="167" customFormat="1" s="77"/>
    <row r="168" customFormat="1" s="77"/>
    <row r="169" customFormat="1" s="77"/>
    <row r="170" customFormat="1" s="77"/>
    <row r="171" customFormat="1" s="77"/>
    <row r="172" customFormat="1" s="77"/>
    <row r="173" customFormat="1" s="77"/>
    <row r="174" customFormat="1" s="77"/>
    <row r="175" customFormat="1" s="77"/>
    <row r="176" customFormat="1" s="77"/>
    <row r="177" customFormat="1" s="77"/>
    <row r="178" customFormat="1" s="77"/>
    <row r="179" customFormat="1" s="77"/>
    <row r="180" customFormat="1" s="77"/>
    <row r="181" customFormat="1" s="77"/>
    <row r="182" customFormat="1" s="77"/>
    <row r="183" customFormat="1" s="77"/>
    <row r="184" customFormat="1" s="77"/>
    <row r="185" customFormat="1" s="77"/>
    <row r="186" customFormat="1" s="77"/>
    <row r="187" customFormat="1" s="77"/>
    <row r="188" customFormat="1" s="77"/>
    <row r="189" customFormat="1" s="77"/>
    <row r="190" customFormat="1" s="77"/>
    <row r="191" customFormat="1" s="77"/>
    <row r="192" customFormat="1" s="77"/>
    <row r="193" customFormat="1" s="77"/>
    <row r="194" customFormat="1" s="77"/>
    <row r="195" customFormat="1" s="77"/>
    <row r="196" customFormat="1" s="77"/>
    <row r="197" customFormat="1" s="77"/>
    <row r="198" customFormat="1" s="77"/>
    <row r="199" customFormat="1" s="77"/>
    <row r="200" customFormat="1" s="77"/>
    <row r="201" customFormat="1" s="77"/>
    <row r="202" customFormat="1" s="77"/>
    <row r="203" customFormat="1" s="77"/>
    <row r="204" customFormat="1" s="77"/>
    <row r="205" customFormat="1" s="77"/>
    <row r="206" customFormat="1" s="77"/>
    <row r="207" customFormat="1" s="77"/>
    <row r="208" customFormat="1" s="77"/>
    <row r="209" customFormat="1" s="77"/>
    <row r="210" customFormat="1" s="77"/>
    <row r="211" customFormat="1" s="77"/>
    <row r="212" customFormat="1" s="77"/>
    <row r="213" customFormat="1" s="77"/>
    <row r="214" customFormat="1" s="77"/>
    <row r="215" customFormat="1" s="77"/>
    <row r="216" customFormat="1" s="77"/>
    <row r="217" customFormat="1" s="77"/>
    <row r="218" customFormat="1" s="77"/>
    <row r="219" customFormat="1" s="77"/>
    <row r="220" customFormat="1" s="77"/>
    <row r="221" customFormat="1" s="77"/>
    <row r="222" customFormat="1" s="77"/>
    <row r="223" customFormat="1" s="77"/>
    <row r="224" customFormat="1" s="77"/>
    <row r="225" customFormat="1" s="77"/>
    <row r="226" customFormat="1" s="77"/>
    <row r="227" customFormat="1" s="77"/>
    <row r="228" customFormat="1" s="77"/>
    <row r="229" customFormat="1" s="77"/>
    <row r="230" customFormat="1" s="77"/>
    <row r="231" customFormat="1" s="77"/>
    <row r="232" customFormat="1" s="77"/>
    <row r="233" customFormat="1" s="77"/>
    <row r="234" customFormat="1" s="77"/>
    <row r="235" customFormat="1" s="77"/>
    <row r="236" customFormat="1" s="77"/>
    <row r="237" customFormat="1" s="77"/>
    <row r="238" customFormat="1" s="77"/>
    <row r="239" customFormat="1" s="77"/>
    <row r="240" customFormat="1" s="77"/>
    <row r="241" customFormat="1" s="77"/>
    <row r="242" customFormat="1" s="77"/>
    <row r="243" customFormat="1" s="77"/>
    <row r="244" customFormat="1" s="77"/>
    <row r="245" customFormat="1" s="77"/>
    <row r="246" customFormat="1" s="77"/>
    <row r="247" customFormat="1" s="77"/>
    <row r="248" customFormat="1" s="77"/>
    <row r="249" customFormat="1" s="77"/>
    <row r="250" customFormat="1" s="77"/>
    <row r="251" customFormat="1" s="77"/>
    <row r="252" customFormat="1" s="77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8"/>
  <sheetViews>
    <sheetView zoomScale="150" zoomScaleNormal="15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AD99" sqref="AD99"/>
    </sheetView>
  </sheetViews>
  <sheetFormatPr baseColWidth="10" defaultColWidth="8.83203125" defaultRowHeight="15"/>
  <cols>
    <col width="10.6640625" bestFit="1" customWidth="1" style="77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7" min="28" max="28"/>
    <col width="12.33203125" customWidth="1" style="77" min="29" max="29"/>
    <col width="9.1640625" customWidth="1" style="77" min="30" max="30"/>
    <col width="10.6640625" customWidth="1" style="77" min="31" max="31"/>
    <col width="10.6640625" bestFit="1" customWidth="1" style="77" min="32" max="32"/>
    <col width="9.1640625" customWidth="1" style="77" min="33" max="73"/>
  </cols>
  <sheetData>
    <row r="1" customFormat="1" s="77">
      <c r="C1" s="77" t="inlineStr">
        <is>
          <t>OECD</t>
        </is>
      </c>
      <c r="D1" s="77" t="inlineStr">
        <is>
          <t>USA</t>
        </is>
      </c>
      <c r="E1" s="77" t="inlineStr">
        <is>
          <t>CHN</t>
        </is>
      </c>
      <c r="F1" s="77" t="inlineStr">
        <is>
          <t>EA19</t>
        </is>
      </c>
      <c r="G1" s="77" t="inlineStr">
        <is>
          <t>JPN</t>
        </is>
      </c>
      <c r="H1" s="77" t="inlineStr">
        <is>
          <t>GBR</t>
        </is>
      </c>
      <c r="I1" s="77" t="inlineStr">
        <is>
          <t>CHE</t>
        </is>
      </c>
      <c r="J1" s="77" t="inlineStr">
        <is>
          <t>SWE</t>
        </is>
      </c>
      <c r="K1" s="77" t="inlineStr">
        <is>
          <t>NOR</t>
        </is>
      </c>
      <c r="L1" s="77" t="inlineStr">
        <is>
          <t>BRA</t>
        </is>
      </c>
      <c r="M1" s="77" t="inlineStr">
        <is>
          <t>MEX</t>
        </is>
      </c>
      <c r="N1" s="77" t="inlineStr">
        <is>
          <t>RUS</t>
        </is>
      </c>
      <c r="O1" s="77" t="inlineStr">
        <is>
          <t>IND</t>
        </is>
      </c>
      <c r="P1" s="77" t="inlineStr">
        <is>
          <t>CAN</t>
        </is>
      </c>
      <c r="Q1" s="77" t="inlineStr">
        <is>
          <t>AUS</t>
        </is>
      </c>
      <c r="R1" s="77" t="inlineStr">
        <is>
          <t>IDN</t>
        </is>
      </c>
      <c r="S1" s="77" t="inlineStr">
        <is>
          <t>KOR</t>
        </is>
      </c>
      <c r="T1" s="77" t="inlineStr">
        <is>
          <t>CHL</t>
        </is>
      </c>
      <c r="U1" s="77" t="inlineStr">
        <is>
          <t>DNK</t>
        </is>
      </c>
      <c r="V1" s="77" t="inlineStr">
        <is>
          <t>ISR</t>
        </is>
      </c>
      <c r="W1" s="77" t="inlineStr">
        <is>
          <t>TUR</t>
        </is>
      </c>
      <c r="X1" s="77" t="inlineStr">
        <is>
          <t>ZAF</t>
        </is>
      </c>
      <c r="Y1" s="77" t="inlineStr">
        <is>
          <t>NZL</t>
        </is>
      </c>
      <c r="Z1" s="77" t="inlineStr">
        <is>
          <t>CZE</t>
        </is>
      </c>
      <c r="AA1" s="77" t="inlineStr">
        <is>
          <t>POL</t>
        </is>
      </c>
      <c r="AI1" s="77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77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7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7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7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7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7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7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7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7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7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7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7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7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7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7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7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7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7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7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7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7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7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7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7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7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7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7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7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7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7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7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7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7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7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7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7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7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7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7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7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7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7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7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7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7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7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7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77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77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77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77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77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77">
      <c r="A96" s="20">
        <f>DATE(YEAR(B96),MONTH(B96)-1,DAY(B96))</f>
        <v/>
      </c>
      <c r="B96" s="12" t="n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/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/>
      </c>
      <c r="E96" s="14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/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/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/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/>
      </c>
      <c r="I96" s="14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/>
      </c>
      <c r="J96" s="14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/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/>
      </c>
      <c r="L96" s="14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/>
      </c>
      <c r="M96" s="14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/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/>
      </c>
      <c r="O96" s="14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/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/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/>
      </c>
      <c r="R96" s="14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/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/>
      </c>
      <c r="T96" s="14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/>
      </c>
      <c r="U96" s="14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/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/>
      </c>
      <c r="W96" s="14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/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/>
      </c>
      <c r="Y96" s="14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/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/>
      </c>
      <c r="AA96" s="14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/>
      </c>
    </row>
    <row r="97" customFormat="1" s="77">
      <c r="A97" s="20">
        <f>DATE(YEAR(B97),MONTH(B97)-1,DAY(B97))</f>
        <v/>
      </c>
      <c r="B97" s="12" t="n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/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/>
      </c>
      <c r="E97" s="14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/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/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/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/>
      </c>
      <c r="I97" s="14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/>
      </c>
      <c r="J97" s="14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/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/>
      </c>
      <c r="L97" s="14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/>
      </c>
      <c r="M97" s="14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/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/>
      </c>
      <c r="O97" s="14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/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/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/>
      </c>
      <c r="R97" s="14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/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/>
      </c>
      <c r="T97" s="14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/>
      </c>
      <c r="U97" s="14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/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/>
      </c>
      <c r="W97" s="14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/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/>
      </c>
      <c r="Y97" s="14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/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/>
      </c>
      <c r="AA97" s="14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/>
      </c>
    </row>
    <row r="98" customFormat="1" s="77">
      <c r="A98" s="20">
        <f>DATE(YEAR(B98),MONTH(B98)-1,DAY(B98))</f>
        <v/>
      </c>
      <c r="B98" s="12" t="n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/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/>
      </c>
      <c r="E98" s="14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/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/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/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/>
      </c>
      <c r="I98" s="14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/>
      </c>
      <c r="J98" s="14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/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/>
      </c>
      <c r="L98" s="14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/>
      </c>
      <c r="M98" s="14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/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/>
      </c>
      <c r="O98" s="14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/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/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/>
      </c>
      <c r="R98" s="14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/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/>
      </c>
      <c r="T98" s="14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/>
      </c>
      <c r="U98" s="14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/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/>
      </c>
      <c r="W98" s="14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/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/>
      </c>
      <c r="Y98" s="14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/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/>
      </c>
      <c r="AA98" s="14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/>
      </c>
    </row>
    <row r="99" customFormat="1" s="77"/>
    <row r="100" customFormat="1" s="77"/>
    <row r="101" customFormat="1" s="77"/>
    <row r="102" customFormat="1" s="77"/>
    <row r="103" customFormat="1" s="77"/>
    <row r="104" customFormat="1" s="77"/>
    <row r="105" customFormat="1" s="77"/>
    <row r="106" customFormat="1" s="77"/>
    <row r="107" customFormat="1" s="77"/>
    <row r="108" customFormat="1" s="77"/>
    <row r="109" customFormat="1" s="77"/>
    <row r="110" customFormat="1" s="77"/>
    <row r="111" customFormat="1" s="77"/>
    <row r="112" customFormat="1" s="77"/>
    <row r="113" customFormat="1" s="77"/>
    <row r="114" customFormat="1" s="77"/>
    <row r="115" customFormat="1" s="77"/>
    <row r="116" customFormat="1" s="77"/>
    <row r="117" customFormat="1" s="77"/>
    <row r="118" customFormat="1" s="77"/>
    <row r="119" customFormat="1" s="77"/>
    <row r="120" customFormat="1" s="77"/>
    <row r="121" customFormat="1" s="77"/>
    <row r="122" customFormat="1" s="77"/>
    <row r="123" customFormat="1" s="77"/>
    <row r="124" customFormat="1" s="77"/>
    <row r="125" customFormat="1" s="77"/>
    <row r="126" customFormat="1" s="77"/>
    <row r="127" customFormat="1" s="77"/>
    <row r="128" customFormat="1" s="77"/>
    <row r="129" customFormat="1" s="77"/>
    <row r="130" customFormat="1" s="77"/>
    <row r="131" customFormat="1" s="77"/>
    <row r="132" customFormat="1" s="77"/>
    <row r="133" customFormat="1" s="77"/>
    <row r="134" customFormat="1" s="77"/>
    <row r="135" customFormat="1" s="77"/>
    <row r="136" customFormat="1" s="77"/>
    <row r="137" customFormat="1" s="77"/>
    <row r="138" customFormat="1" s="77"/>
    <row r="139" customFormat="1" s="77"/>
    <row r="140" customFormat="1" s="77"/>
    <row r="141" customFormat="1" s="77"/>
    <row r="142" customFormat="1" s="77"/>
    <row r="143" customFormat="1" s="77"/>
    <row r="144" customFormat="1" s="77"/>
    <row r="145" customFormat="1" s="77"/>
    <row r="146" customFormat="1" s="77"/>
    <row r="147" customFormat="1" s="77"/>
    <row r="148" customFormat="1" s="77"/>
    <row r="149" customFormat="1" s="77"/>
    <row r="150" customFormat="1" s="77"/>
    <row r="151" customFormat="1" s="77"/>
    <row r="152" customFormat="1" s="77"/>
    <row r="153" customFormat="1" s="77"/>
    <row r="154" customFormat="1" s="77"/>
    <row r="155" customFormat="1" s="77"/>
    <row r="156" customFormat="1" s="77"/>
    <row r="157" customFormat="1" s="77"/>
    <row r="158" customFormat="1" s="77"/>
    <row r="159" customFormat="1" s="77"/>
    <row r="160" customFormat="1" s="77"/>
    <row r="161" customFormat="1" s="77"/>
    <row r="162" customFormat="1" s="77"/>
    <row r="163" customFormat="1" s="77"/>
    <row r="164" customFormat="1" s="77"/>
    <row r="165" customFormat="1" s="77"/>
    <row r="166" customFormat="1" s="77"/>
    <row r="167" customFormat="1" s="77"/>
    <row r="168" customFormat="1" s="77"/>
    <row r="169" customFormat="1" s="77"/>
    <row r="170" customFormat="1" s="77"/>
    <row r="171" customFormat="1" s="77"/>
    <row r="172" customFormat="1" s="77"/>
    <row r="173" customFormat="1" s="77"/>
    <row r="174" customFormat="1" s="77"/>
    <row r="175" customFormat="1" s="77"/>
    <row r="176" customFormat="1" s="77"/>
    <row r="177" customFormat="1" s="77"/>
    <row r="178" customFormat="1" s="77"/>
    <row r="179" customFormat="1" s="77"/>
    <row r="180" customFormat="1" s="77"/>
    <row r="181" customFormat="1" s="77"/>
    <row r="182" customFormat="1" s="77"/>
    <row r="183" customFormat="1" s="77"/>
    <row r="184" customFormat="1" s="77"/>
    <row r="185" customFormat="1" s="77"/>
    <row r="186" customFormat="1" s="77"/>
    <row r="187" customFormat="1" s="77"/>
    <row r="188" customFormat="1" s="77"/>
    <row r="189" customFormat="1" s="77"/>
    <row r="190" customFormat="1" s="77"/>
    <row r="191" customFormat="1" s="77"/>
    <row r="192" customFormat="1" s="77"/>
    <row r="193" customFormat="1" s="77"/>
    <row r="194" customFormat="1" s="77"/>
    <row r="195" customFormat="1" s="77"/>
    <row r="196" customFormat="1" s="77"/>
    <row r="197" customFormat="1" s="77"/>
    <row r="198" customFormat="1" s="77"/>
    <row r="199" customFormat="1" s="77"/>
    <row r="200" customFormat="1" s="77"/>
    <row r="201" customFormat="1" s="77"/>
    <row r="202" customFormat="1" s="77"/>
    <row r="203" customFormat="1" s="77"/>
    <row r="204" customFormat="1" s="77"/>
    <row r="205" customFormat="1" s="77"/>
    <row r="206" customFormat="1" s="77"/>
    <row r="207" customFormat="1" s="77"/>
    <row r="208" customFormat="1" s="77"/>
    <row r="209" customFormat="1" s="77"/>
    <row r="210" customFormat="1" s="77"/>
    <row r="211" customFormat="1" s="77"/>
    <row r="212" customFormat="1" s="77"/>
    <row r="213" customFormat="1" s="77"/>
    <row r="214" customFormat="1" s="77"/>
    <row r="215" customFormat="1" s="77"/>
    <row r="216" customFormat="1" s="77"/>
    <row r="217" customFormat="1" s="77"/>
    <row r="218" customFormat="1" s="77"/>
    <row r="219" customFormat="1" s="77"/>
    <row r="220" customFormat="1" s="77"/>
    <row r="221" customFormat="1" s="77"/>
    <row r="222" customFormat="1" s="77"/>
    <row r="223" customFormat="1" s="77"/>
    <row r="224" customFormat="1" s="77"/>
    <row r="225" customFormat="1" s="77"/>
    <row r="226" customFormat="1" s="77"/>
    <row r="227" customFormat="1" s="77"/>
    <row r="228" customFormat="1" s="77"/>
    <row r="229" customFormat="1" s="77"/>
    <row r="230" customFormat="1" s="77"/>
    <row r="231" customFormat="1" s="77"/>
    <row r="232" customFormat="1" s="77"/>
    <row r="233" customFormat="1" s="77"/>
    <row r="234" customFormat="1" s="77"/>
    <row r="235" customFormat="1" s="77"/>
    <row r="236" customFormat="1" s="77"/>
    <row r="237" customFormat="1" s="77"/>
    <row r="238" customFormat="1" s="77"/>
    <row r="239" customFormat="1" s="77"/>
    <row r="240" customFormat="1" s="77"/>
    <row r="241" customFormat="1" s="77"/>
    <row r="242" customFormat="1" s="77"/>
    <row r="243" customFormat="1" s="77"/>
    <row r="244" customFormat="1" s="77"/>
    <row r="245" customFormat="1" s="77"/>
    <row r="246" customFormat="1" s="77"/>
    <row r="247" customFormat="1" s="77"/>
    <row r="248" customFormat="1" s="77"/>
    <row r="249" customFormat="1" s="77"/>
    <row r="250" customFormat="1" s="77"/>
    <row r="251" customFormat="1" s="77"/>
    <row r="252" customFormat="1" s="77"/>
    <row r="253" customFormat="1" s="77"/>
    <row r="254" customFormat="1" s="77"/>
    <row r="255" customFormat="1" s="77"/>
    <row r="256" customFormat="1" s="77"/>
    <row r="257" customFormat="1" s="77"/>
    <row r="258" customFormat="1" s="77"/>
    <row r="259" customFormat="1" s="77"/>
    <row r="260" customFormat="1" s="77"/>
    <row r="261" customFormat="1" s="77"/>
    <row r="262" customFormat="1" s="77"/>
    <row r="263" customFormat="1" s="77"/>
    <row r="264" customFormat="1" s="77"/>
    <row r="265" customFormat="1" s="77"/>
    <row r="266" customFormat="1" s="77"/>
    <row r="267" customFormat="1" s="77"/>
    <row r="268" customFormat="1" s="77"/>
    <row r="269" customFormat="1" s="77"/>
    <row r="270" customFormat="1" s="77"/>
    <row r="271" customFormat="1" s="77"/>
    <row r="272" customFormat="1" s="77"/>
    <row r="273" customFormat="1" s="77"/>
    <row r="274" customFormat="1" s="77"/>
    <row r="275" customFormat="1" s="77"/>
    <row r="276" customFormat="1" s="77"/>
    <row r="277" customFormat="1" s="77"/>
    <row r="278" customFormat="1" s="77"/>
    <row r="279" customFormat="1" s="77"/>
    <row r="280" customFormat="1" s="77"/>
    <row r="281" customFormat="1" s="77"/>
    <row r="282" customFormat="1" s="77"/>
    <row r="283" customFormat="1" s="77"/>
    <row r="284" customFormat="1" s="77"/>
    <row r="285" customFormat="1" s="77"/>
    <row r="286" customFormat="1" s="77"/>
    <row r="287" customFormat="1" s="77"/>
    <row r="288" customFormat="1" s="77"/>
    <row r="289" customFormat="1" s="77"/>
    <row r="290" customFormat="1" s="77"/>
    <row r="291" customFormat="1" s="77"/>
    <row r="292" customFormat="1" s="77"/>
    <row r="293" customFormat="1" s="77"/>
    <row r="294" customFormat="1" s="77"/>
    <row r="295" customFormat="1" s="77"/>
    <row r="296" customFormat="1" s="77"/>
    <row r="297" customFormat="1" s="77"/>
    <row r="298" customFormat="1" s="77"/>
    <row r="299" customFormat="1" s="77"/>
    <row r="300" customFormat="1" s="77"/>
    <row r="301" customFormat="1" s="77"/>
    <row r="302" customFormat="1" s="77"/>
    <row r="303" customFormat="1" s="77"/>
    <row r="304" customFormat="1" s="77"/>
    <row r="305" customFormat="1" s="77"/>
    <row r="306" customFormat="1" s="77"/>
    <row r="307" customFormat="1" s="77"/>
    <row r="308" customFormat="1" s="77"/>
    <row r="309" customFormat="1" s="77"/>
    <row r="310" customFormat="1" s="77"/>
    <row r="311" customFormat="1" s="77"/>
    <row r="312" customFormat="1" s="77"/>
    <row r="313" customFormat="1" s="77"/>
    <row r="314" customFormat="1" s="77"/>
    <row r="315" customFormat="1" s="77"/>
    <row r="316" customFormat="1" s="77"/>
    <row r="317" customFormat="1" s="77"/>
    <row r="318" customFormat="1" s="77"/>
    <row r="319" customFormat="1" s="77"/>
    <row r="320" customFormat="1" s="77"/>
    <row r="321" customFormat="1" s="77"/>
    <row r="322" customFormat="1" s="77"/>
    <row r="323" customFormat="1" s="77"/>
    <row r="324" customFormat="1" s="77"/>
    <row r="325" customFormat="1" s="77"/>
    <row r="326" customFormat="1" s="77"/>
    <row r="327" customFormat="1" s="77"/>
    <row r="328" customFormat="1" s="77"/>
    <row r="329" customFormat="1" s="77"/>
    <row r="330" customFormat="1" s="77"/>
    <row r="331" customFormat="1" s="77"/>
    <row r="332" customFormat="1" s="77"/>
    <row r="333" customFormat="1" s="77"/>
    <row r="334" customFormat="1" s="77"/>
    <row r="335" customFormat="1" s="77"/>
    <row r="336" customFormat="1" s="77"/>
    <row r="337" customFormat="1" s="77"/>
    <row r="338" customFormat="1" s="77"/>
    <row r="339" customFormat="1" s="77"/>
    <row r="340" customFormat="1" s="77"/>
    <row r="341" customFormat="1" s="77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6"/>
  <sheetViews>
    <sheetView zoomScale="140" zoomScaleNormal="140" workbookViewId="0">
      <pane ySplit="5" topLeftCell="A723" activePane="bottomLeft" state="frozen"/>
      <selection activeCell="AB17" sqref="AB17"/>
      <selection pane="bottomLeft" activeCell="N726" sqref="N726"/>
    </sheetView>
  </sheetViews>
  <sheetFormatPr baseColWidth="10" defaultColWidth="9.1640625" defaultRowHeight="15"/>
  <cols>
    <col width="12" customWidth="1" style="77" min="1" max="1"/>
    <col width="14.33203125" customWidth="1" style="77" min="2" max="2"/>
    <col width="11.1640625" customWidth="1" style="16" min="3" max="4"/>
    <col width="9.1640625" customWidth="1" style="77" min="5" max="5"/>
    <col width="20.33203125" customWidth="1" style="77" min="6" max="6"/>
    <col width="14.6640625" customWidth="1" style="77" min="7" max="7"/>
    <col width="9.1640625" customWidth="1" style="77" min="8" max="32"/>
    <col width="9.1640625" customWidth="1" style="77" min="33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7">
        <f>"Money Supply M3 "&amp;A1</f>
        <v/>
      </c>
      <c r="G1" s="77">
        <f>F1&amp;" mom annualized"</f>
        <v/>
      </c>
    </row>
    <row r="2">
      <c r="F2" s="77" t="inlineStr">
        <is>
          <t>Average last 20 years</t>
        </is>
      </c>
      <c r="G2" s="37">
        <f>AVERAGE(D469:D708)</f>
        <v/>
      </c>
    </row>
    <row r="3">
      <c r="F3" s="77" t="inlineStr">
        <is>
          <t>Minimum last 20 years</t>
        </is>
      </c>
      <c r="G3" s="37">
        <f>MIN(D469:D747)</f>
        <v/>
      </c>
    </row>
    <row r="4" ht="16" customHeight="1" s="67" thickBot="1">
      <c r="F4" s="77" t="inlineStr">
        <is>
          <t>Maximum last 20 years</t>
        </is>
      </c>
      <c r="G4" s="37">
        <f>MAX(D469:D748)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63">
        <f>IF(B732&gt;0,(Table2[[#This Row],[Country]]-B732)/B732,0)</f>
        <v/>
      </c>
      <c r="D744" s="63">
        <f>IF(Table2[[#This Row],[Country]]&gt;0,(((Table2[[#This Row],[Country]]-B743)/B743)+1)^12-1,"")</f>
        <v/>
      </c>
    </row>
    <row r="745">
      <c r="A745" s="35" t="n">
        <v>44774</v>
      </c>
      <c r="B745" s="36">
        <f>VLOOKUP(A745,Data!$A:$AH,MATCH(Country!$A$1,Data!$A$1:$AH$1,),)</f>
        <v/>
      </c>
      <c r="C745" s="63">
        <f>IF(B733&gt;0,(Table2[[#This Row],[Country]]-B733)/B733,0)</f>
        <v/>
      </c>
      <c r="D745" s="63">
        <f>IF(Table2[[#This Row],[Country]]&gt;0,(((Table2[[#This Row],[Country]]-B744)/B744)+1)^12-1,"")</f>
        <v/>
      </c>
    </row>
    <row r="746">
      <c r="A746" s="35" t="n">
        <v>44805</v>
      </c>
      <c r="B746" s="36">
        <f>VLOOKUP(A746,Data!$A:$AH,MATCH(Country!$A$1,Data!$A$1:$AH$1,),)</f>
        <v/>
      </c>
      <c r="C746" s="63">
        <f>IF(B734&gt;0,(Table2[[#This Row],[Country]]-B734)/B734,0)</f>
        <v/>
      </c>
      <c r="D746" s="63">
        <f>IF(Table2[[#This Row],[Country]]&gt;0,(((Table2[[#This Row],[Country]]-B745)/B745)+1)^12-1,"")</f>
        <v/>
      </c>
    </row>
  </sheetData>
  <conditionalFormatting sqref="D7:D74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2022-11-12T03:43:02Z</dcterms:modified>
  <cp:lastModifiedBy>Mark Mukherjee</cp:lastModifiedBy>
</cp:coreProperties>
</file>