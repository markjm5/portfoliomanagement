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5060" yWindow="60" windowWidth="52800" windowHeight="276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'!$A$6:$A$762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'US M2 '!$B$6:$B$762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Monthly'!$A$6:$A$764</f>
              <numCache>
                <formatCode>yyyy\-mm\-dd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'US M1 Real Monthly'!$B$6:$B$764</f>
              <numCache>
                <formatCode>0.0</formatCode>
                <ptCount val="75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Monthly'!$A$18:$A$765</f>
              <numCache>
                <formatCode>yyyy\-mm\-dd</formatCode>
                <ptCount val="74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</numCache>
            </numRef>
          </cat>
          <val>
            <numRef>
              <f>'US M1 Real Monthly'!$C$18:$C$765</f>
              <numCache>
                <formatCode>0.0%</formatCode>
                <ptCount val="748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56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Monthly'!$A$6:$A$762</f>
              <numCache>
                <formatCode>yyyy\-mm\-dd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'US M2 Real Monthly'!$B$6:$B$762</f>
              <numCache>
                <formatCode>0.0</formatCode>
                <ptCount val="757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Monthly'!$A$6:$A$762</f>
              <numCache>
                <formatCode>yyyy\-mm\-dd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'US M2 Real Monthly'!$C$6:$C$762</f>
              <numCache>
                <formatCode>General</formatCode>
                <ptCount val="757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2" headerRowCount="1" totalsRowShown="0" headerRowDxfId="33" dataDxfId="31" headerRowBorderDxfId="32">
  <autoFilter ref="A5:C762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2" headerRowCount="1" totalsRowShown="0" headerRowDxfId="27" dataDxfId="26" tableBorderDxfId="25">
  <autoFilter ref="A5:C762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2" headerRowCount="1" totalsRowShown="0" headerRowDxfId="12" dataDxfId="10" headerRowBorderDxfId="11" dataCellStyle="Normal 2">
  <autoFilter ref="A5:D762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9" min="1" max="1"/>
    <col width="12.83203125" customWidth="1" style="79" min="2" max="10"/>
    <col width="3.33203125" customWidth="1" style="79" min="11" max="13"/>
    <col width="21.33203125" customWidth="1" style="79" min="14" max="14"/>
    <col width="15.6640625" customWidth="1" style="79" min="15" max="15"/>
    <col width="16.83203125" customWidth="1" style="79" min="16" max="16"/>
    <col width="23" customWidth="1" style="79" min="17" max="17"/>
    <col width="9.1640625" customWidth="1" style="79" min="18" max="31"/>
    <col width="9.1640625" customWidth="1" style="79" min="32" max="16384"/>
  </cols>
  <sheetData>
    <row r="1">
      <c r="B1" s="78" t="n"/>
    </row>
    <row r="2" ht="16" customHeight="1" s="67" thickBot="1"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</row>
    <row r="3" ht="16" customHeight="1" s="67" thickBot="1">
      <c r="B3" s="81" t="inlineStr">
        <is>
          <t>Money Supply</t>
        </is>
      </c>
      <c r="C3" s="82" t="n"/>
      <c r="D3" s="82" t="n"/>
      <c r="E3" s="82" t="n"/>
      <c r="F3" s="82" t="n"/>
      <c r="G3" s="82" t="n"/>
      <c r="H3" s="82" t="n"/>
      <c r="I3" s="82" t="n"/>
      <c r="J3" s="83" t="n"/>
    </row>
    <row r="5">
      <c r="B5" s="75" t="inlineStr">
        <is>
          <t>Definition</t>
        </is>
      </c>
      <c r="C5" s="76" t="n"/>
      <c r="D5" s="76" t="n"/>
      <c r="E5" s="76" t="n"/>
      <c r="F5" s="76" t="n"/>
      <c r="G5" s="76" t="n"/>
      <c r="H5" s="76" t="n"/>
      <c r="I5" s="76" t="n"/>
      <c r="J5" s="77" t="n"/>
    </row>
    <row r="7" ht="100.5" customHeight="1" s="67">
      <c r="B7" s="84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5" t="n"/>
    </row>
    <row r="9">
      <c r="B9" s="42" t="n"/>
      <c r="C9" s="42" t="n"/>
      <c r="D9" s="42" t="n"/>
      <c r="E9" s="42" t="n"/>
    </row>
    <row r="10">
      <c r="B10" s="75" t="inlineStr">
        <is>
          <t>Process / TO DO LIST</t>
        </is>
      </c>
      <c r="C10" s="76" t="n"/>
      <c r="D10" s="76" t="n"/>
      <c r="E10" s="76" t="n"/>
      <c r="F10" s="76" t="n"/>
      <c r="G10" s="76" t="n"/>
      <c r="H10" s="76" t="n"/>
      <c r="I10" s="76" t="n"/>
      <c r="J10" s="77" t="n"/>
    </row>
    <row r="11" ht="16" customHeight="1" s="67"/>
    <row r="12" ht="16" customHeight="1" s="67">
      <c r="B12" s="75" t="inlineStr">
        <is>
          <t>TO DO LIST</t>
        </is>
      </c>
      <c r="C12" s="76" t="n"/>
      <c r="D12" s="76" t="n"/>
      <c r="E12" s="76" t="n"/>
      <c r="F12" s="77" t="n"/>
      <c r="G12" s="75" t="inlineStr">
        <is>
          <t>Comments</t>
        </is>
      </c>
      <c r="H12" s="76" t="n"/>
      <c r="I12" s="76" t="n"/>
      <c r="J12" s="77" t="n"/>
    </row>
    <row r="14" ht="19.5" customHeight="1" s="67">
      <c r="B14" s="1" t="inlineStr">
        <is>
          <t>https://fred.stlouisfed.org/series/M2REAL</t>
        </is>
      </c>
      <c r="G14" s="79" t="inlineStr">
        <is>
          <t>U.S.</t>
        </is>
      </c>
    </row>
    <row r="15" ht="16" customHeight="1" s="67" thickBot="1">
      <c r="B15" s="85" t="inlineStr">
        <is>
          <t>https://fred.stlouisfed.org/series/M1REAL</t>
        </is>
      </c>
      <c r="G15" s="86" t="inlineStr">
        <is>
          <t>U.S.</t>
        </is>
      </c>
    </row>
    <row r="16" ht="18" customHeight="1" s="67">
      <c r="B16" s="85" t="inlineStr">
        <is>
          <t>https://fred.stlouisfed.org/series/M1</t>
        </is>
      </c>
      <c r="G16" s="86" t="inlineStr">
        <is>
          <t xml:space="preserve">U.S. </t>
        </is>
      </c>
      <c r="Z16" s="43" t="inlineStr">
        <is>
          <t>DGORDER</t>
        </is>
      </c>
      <c r="AA16" s="79" t="inlineStr">
        <is>
          <t>Durable Goods New Orders</t>
        </is>
      </c>
    </row>
    <row r="17" ht="18" customHeight="1" s="67">
      <c r="B17" s="85" t="inlineStr">
        <is>
          <t>https://fred.stlouisfed.org/series/M2</t>
        </is>
      </c>
      <c r="G17" s="87" t="inlineStr">
        <is>
          <t>U.S. discontinued</t>
        </is>
      </c>
      <c r="Z17" s="44" t="inlineStr">
        <is>
          <t>ADXTNO</t>
        </is>
      </c>
      <c r="AA17" s="79" t="inlineStr">
        <is>
          <t>New Orders ex Transport</t>
        </is>
      </c>
    </row>
    <row r="18" ht="33.75" customHeight="1" s="67">
      <c r="B18" s="85" t="inlineStr">
        <is>
          <t>https://fred.stlouisfed.org/series/M2SL</t>
        </is>
      </c>
      <c r="G18" s="87" t="inlineStr">
        <is>
          <t>U.S.</t>
        </is>
      </c>
      <c r="Z18" s="45" t="inlineStr">
        <is>
          <t>NEWORDER</t>
        </is>
      </c>
      <c r="AA18" s="79" t="inlineStr">
        <is>
          <t>New Orders Nondefense Ex Aircraft &amp; Parts = Core</t>
        </is>
      </c>
    </row>
    <row r="19" ht="18" customHeight="1" s="67">
      <c r="B19" s="85" t="inlineStr">
        <is>
          <t>https://tradingeconomics.com/country-list/money-supply-m2?continent=g20</t>
        </is>
      </c>
      <c r="G19" s="87" t="inlineStr">
        <is>
          <t>Quick Country View</t>
        </is>
      </c>
      <c r="Z19" s="44" t="inlineStr">
        <is>
          <t>AMTUNO</t>
        </is>
      </c>
      <c r="AA19" s="79" t="inlineStr">
        <is>
          <t>New Orders - Manufacturing</t>
        </is>
      </c>
    </row>
    <row r="20" ht="18" customHeight="1" s="67">
      <c r="B20" s="85" t="inlineStr">
        <is>
          <t>https://data.oecd.org/money/broad-money-m3.htm</t>
        </is>
      </c>
      <c r="G20" s="79" t="inlineStr">
        <is>
          <t>Table</t>
        </is>
      </c>
      <c r="Z20" s="45" t="inlineStr">
        <is>
          <t>A36SNO</t>
        </is>
      </c>
      <c r="AA20" s="79" t="inlineStr">
        <is>
          <t>New Orders - Transportation Equipment</t>
        </is>
      </c>
    </row>
    <row r="21" ht="18" customHeight="1" s="67">
      <c r="B21" s="85" t="n"/>
      <c r="G21" s="79" t="inlineStr">
        <is>
          <t>Monthly</t>
        </is>
      </c>
      <c r="Z21" s="45" t="inlineStr">
        <is>
          <t>A32SNO</t>
        </is>
      </c>
      <c r="AA21" s="79" t="inlineStr">
        <is>
          <t>New Orders - Fabricated Metal Products</t>
        </is>
      </c>
    </row>
    <row r="22" ht="18" customHeight="1" s="67">
      <c r="B22" s="85" t="n"/>
      <c r="G22" s="79" t="inlineStr">
        <is>
          <t>from beginning</t>
        </is>
      </c>
      <c r="Z22" s="45" t="inlineStr">
        <is>
          <t>A33SNO</t>
        </is>
      </c>
      <c r="AA22" s="79" t="inlineStr">
        <is>
          <t>New Orders - Machinery</t>
        </is>
      </c>
    </row>
    <row r="23" ht="18" customHeight="1" s="67">
      <c r="B23" s="85" t="n"/>
      <c r="G23" s="79" t="inlineStr">
        <is>
          <t>download Select data only</t>
        </is>
      </c>
      <c r="Z23" s="45" t="inlineStr">
        <is>
          <t>A34SNO</t>
        </is>
      </c>
      <c r="AA23" s="79" t="inlineStr">
        <is>
          <t>New Orders - Computers</t>
        </is>
      </c>
    </row>
    <row r="24" ht="18" customHeight="1" s="67">
      <c r="B24" s="85" t="n"/>
      <c r="G24" s="87" t="inlineStr">
        <is>
          <t>Data</t>
        </is>
      </c>
      <c r="Z24" s="45" t="inlineStr">
        <is>
          <t>A31SNO</t>
        </is>
      </c>
      <c r="AA24" s="79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9" t="inlineStr">
        <is>
          <t>New Orders - Electrical Equipment</t>
        </is>
      </c>
    </row>
    <row r="35" ht="16" customHeight="1" s="67"/>
    <row r="39">
      <c r="B39" s="40" t="n"/>
    </row>
    <row r="40">
      <c r="B40" s="86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5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  <row r="3085">
      <c r="A3085" s="89" t="n">
        <v>44562</v>
      </c>
      <c r="B3085" t="n">
        <v>7347.9</v>
      </c>
      <c r="C3085" t="n">
        <v>7746.6</v>
      </c>
      <c r="E3085" t="n">
        <v>21840.1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9" min="1" max="1"/>
    <col width="9.1640625" customWidth="1" style="79" min="2" max="3"/>
    <col width="10.6640625" bestFit="1" customWidth="1" style="79" min="4" max="4"/>
    <col width="9.1640625" customWidth="1" style="79" min="5" max="18"/>
    <col width="9.1640625" customWidth="1" style="79" min="19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>163.2234</v>
      </c>
      <c r="E853" t="n">
        <v/>
      </c>
      <c r="F853" t="n">
        <v/>
      </c>
      <c r="G853" t="n">
        <v/>
      </c>
      <c r="H853" t="n">
        <v>173.5841</v>
      </c>
      <c r="I853" t="n">
        <v>142.3468</v>
      </c>
      <c r="J853" t="n">
        <v>164.1336</v>
      </c>
      <c r="K853" t="n">
        <v/>
      </c>
      <c r="L853" t="n">
        <v>145.8045</v>
      </c>
      <c r="M853" t="n">
        <v>147.6958</v>
      </c>
      <c r="N853" t="n">
        <v>203.0677</v>
      </c>
      <c r="O853" t="n">
        <v/>
      </c>
      <c r="P853" t="n">
        <v/>
      </c>
      <c r="Q853" t="n">
        <v>132.5015</v>
      </c>
      <c r="R853" t="n">
        <v>181.1464</v>
      </c>
      <c r="S853" t="n">
        <v>125.2681</v>
      </c>
      <c r="T853" t="n">
        <v>164.0435</v>
      </c>
      <c r="U853" t="n">
        <v/>
      </c>
      <c r="V853" t="n">
        <v>153.3172</v>
      </c>
      <c r="W853" t="n">
        <v/>
      </c>
      <c r="X853" t="n">
        <v>168.4642</v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>149.1686</v>
      </c>
      <c r="C854" t="n">
        <v/>
      </c>
      <c r="D854" t="n">
        <v/>
      </c>
      <c r="E854" t="n">
        <v/>
      </c>
      <c r="F854" t="n">
        <v/>
      </c>
      <c r="G854" t="n">
        <v/>
      </c>
      <c r="H854" t="n">
        <v>176.7987</v>
      </c>
      <c r="I854" t="n">
        <v/>
      </c>
      <c r="J854" t="n">
        <v/>
      </c>
      <c r="K854" t="n">
        <v/>
      </c>
      <c r="L854" t="n">
        <v>146.0898</v>
      </c>
      <c r="M854" t="n">
        <v/>
      </c>
      <c r="N854" t="n">
        <v>204.659</v>
      </c>
      <c r="O854" t="n">
        <v/>
      </c>
      <c r="P854" t="n">
        <v/>
      </c>
      <c r="Q854" t="n">
        <v>133.4847</v>
      </c>
      <c r="R854" t="n">
        <v/>
      </c>
      <c r="S854" t="n">
        <v>125.6899</v>
      </c>
      <c r="T854" t="n">
        <v/>
      </c>
      <c r="U854" t="n">
        <v/>
      </c>
      <c r="V854" t="n">
        <v>154.7996</v>
      </c>
      <c r="W854" t="n">
        <v/>
      </c>
      <c r="X854" t="n">
        <v/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>181.3599</v>
      </c>
      <c r="AE854" t="n">
        <v>152.8765</v>
      </c>
    </row>
    <row r="855">
      <c r="A855" s="89" t="n">
        <v>44593</v>
      </c>
      <c r="B855" t="n">
        <v/>
      </c>
      <c r="C855" t="n">
        <v/>
      </c>
      <c r="D855" t="n">
        <v/>
      </c>
      <c r="E855" t="n">
        <v/>
      </c>
      <c r="F855" t="n">
        <v/>
      </c>
      <c r="G855" t="n">
        <v/>
      </c>
      <c r="H855" t="n">
        <v/>
      </c>
      <c r="I855" t="n">
        <v/>
      </c>
      <c r="J855" t="n">
        <v/>
      </c>
      <c r="K855" t="n">
        <v/>
      </c>
      <c r="L855" t="n">
        <v/>
      </c>
      <c r="M855" t="n">
        <v/>
      </c>
      <c r="N855" t="n">
        <v/>
      </c>
      <c r="O855" t="n">
        <v/>
      </c>
      <c r="P855" t="n">
        <v/>
      </c>
      <c r="Q855" t="n">
        <v/>
      </c>
      <c r="R855" t="n">
        <v/>
      </c>
      <c r="S855" t="n">
        <v/>
      </c>
      <c r="T855" t="n">
        <v/>
      </c>
      <c r="U855" t="n">
        <v/>
      </c>
      <c r="V855" t="n">
        <v/>
      </c>
      <c r="W855" t="n">
        <v/>
      </c>
      <c r="X855" t="n">
        <v/>
      </c>
      <c r="Y855" t="n">
        <v/>
      </c>
      <c r="Z855" t="n">
        <v/>
      </c>
      <c r="AA855" t="n">
        <v/>
      </c>
      <c r="AB855" t="n">
        <v/>
      </c>
      <c r="AC855" t="n">
        <v/>
      </c>
      <c r="AD855" t="n">
        <v/>
      </c>
      <c r="AE855" t="n">
        <v/>
      </c>
    </row>
    <row r="856">
      <c r="A856" s="89" t="n">
        <v>44621</v>
      </c>
      <c r="B856" t="n">
        <v/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/>
      </c>
      <c r="I856" t="n">
        <v/>
      </c>
      <c r="J856" t="n">
        <v/>
      </c>
      <c r="K856" t="n">
        <v/>
      </c>
      <c r="L856" t="n">
        <v/>
      </c>
      <c r="M856" t="n">
        <v/>
      </c>
      <c r="N856" t="n">
        <v/>
      </c>
      <c r="O856" t="n">
        <v/>
      </c>
      <c r="P856" t="n">
        <v/>
      </c>
      <c r="Q856" t="n">
        <v/>
      </c>
      <c r="R856" t="n">
        <v/>
      </c>
      <c r="S856" t="n">
        <v/>
      </c>
      <c r="T856" t="n">
        <v/>
      </c>
      <c r="U856" t="n">
        <v/>
      </c>
      <c r="V856" t="n">
        <v/>
      </c>
      <c r="W856" t="n">
        <v/>
      </c>
      <c r="X856" t="n">
        <v/>
      </c>
      <c r="Y856" t="n">
        <v/>
      </c>
      <c r="Z856" t="n">
        <v/>
      </c>
      <c r="AA856" t="n">
        <v/>
      </c>
      <c r="AB856" t="n">
        <v/>
      </c>
      <c r="AC856" t="n">
        <v/>
      </c>
      <c r="AD856" t="n">
        <v/>
      </c>
      <c r="AE856" t="n">
        <v/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/>
      </c>
      <c r="AB857" t="n">
        <v/>
      </c>
      <c r="AC857" t="n">
        <v/>
      </c>
      <c r="AD857" t="n">
        <v/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57" activePane="bottomLeft" state="frozen"/>
      <selection pane="bottomLeft" activeCell="A259" sqref="A259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2"/>
  <sheetViews>
    <sheetView zoomScale="180" zoomScaleNormal="180" workbookViewId="0">
      <pane ySplit="5" topLeftCell="A732" activePane="bottomLeft" state="frozen"/>
      <selection pane="bottomLeft" activeCell="P761" sqref="P761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21"/>
    <col width="9.1640625" customWidth="1" style="79" min="22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</sheetData>
  <conditionalFormatting sqref="C18:C762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2"/>
  <sheetViews>
    <sheetView zoomScale="170" zoomScaleNormal="170" workbookViewId="0">
      <pane ySplit="5" topLeftCell="A734" activePane="bottomLeft" state="frozen"/>
      <selection pane="bottomLeft" activeCell="N754" sqref="N75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21"/>
    <col width="9.1640625" customWidth="1" style="79" min="22" max="16384"/>
  </cols>
  <sheetData>
    <row r="1">
      <c r="A1" s="1" t="inlineStr">
        <is>
          <t>https://fred.stlouisfed.org/series/M2REAL</t>
        </is>
      </c>
    </row>
    <row r="2">
      <c r="A2" s="79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</sheetData>
  <conditionalFormatting sqref="C18:C762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93" activePane="bottomLeft" state="frozen"/>
      <selection pane="bottomLeft" activeCell="N2427" sqref="N2427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9" min="4" max="4"/>
    <col width="9.1640625" customWidth="1" style="79" min="5" max="18"/>
    <col width="9.1640625" customWidth="1" style="79" min="19" max="16384"/>
  </cols>
  <sheetData>
    <row r="1">
      <c r="A1" s="85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2"/>
  <sheetViews>
    <sheetView zoomScale="160" zoomScaleNormal="160" workbookViewId="0">
      <pane ySplit="5" topLeftCell="A735" activePane="bottomLeft" state="frozen"/>
      <selection pane="bottomLeft" activeCell="M768" sqref="M768"/>
    </sheetView>
  </sheetViews>
  <sheetFormatPr baseColWidth="10" defaultColWidth="9.1640625" defaultRowHeight="15"/>
  <cols>
    <col width="16.6640625" customWidth="1" style="16" min="1" max="1"/>
    <col width="19" customWidth="1" style="79" min="2" max="2"/>
    <col width="14.6640625" customWidth="1" style="16" min="3" max="3"/>
    <col width="14.6640625" customWidth="1" style="79" min="4" max="4"/>
    <col width="9.1640625" customWidth="1" style="79" min="5" max="18"/>
    <col width="9.1640625" customWidth="1" style="79" min="19" max="16384"/>
  </cols>
  <sheetData>
    <row r="1">
      <c r="A1" t="inlineStr">
        <is>
          <t>https://fred.stlouisfed.org/series/M2SL</t>
        </is>
      </c>
    </row>
    <row r="2">
      <c r="A2" s="79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C1" zoomScale="160" zoomScaleNormal="160" workbookViewId="0">
      <selection activeCell="G44" sqref="G44"/>
    </sheetView>
  </sheetViews>
  <sheetFormatPr baseColWidth="10" defaultColWidth="9.1640625" defaultRowHeight="15"/>
  <cols>
    <col width="9.1640625" customWidth="1" style="79" min="1" max="3"/>
    <col width="28" customWidth="1" style="16" min="4" max="9"/>
    <col width="9.1640625" customWidth="1" style="79" min="10" max="23"/>
    <col width="9.1640625" customWidth="1" style="79" min="24" max="16384"/>
  </cols>
  <sheetData>
    <row r="2">
      <c r="D2" s="1" t="inlineStr">
        <is>
          <t>https://tradingeconomics.com/country-list/money-supply-m2?continent=g20</t>
        </is>
      </c>
    </row>
    <row r="7">
      <c r="D7" s="75" t="inlineStr">
        <is>
          <t>Country</t>
        </is>
      </c>
      <c r="E7" s="75" t="inlineStr">
        <is>
          <t>Last</t>
        </is>
      </c>
      <c r="F7" s="75" t="inlineStr">
        <is>
          <t>Month</t>
        </is>
      </c>
      <c r="G7" s="75" t="inlineStr">
        <is>
          <t>Previous</t>
        </is>
      </c>
      <c r="H7" s="75" t="inlineStr">
        <is>
          <t>mom annualized</t>
        </is>
      </c>
      <c r="I7" s="75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9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9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9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9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9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9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9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9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9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9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9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9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9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9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9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9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9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9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9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9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9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9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9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9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9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9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9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9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9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9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9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9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9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9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9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9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9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9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9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9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9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9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9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9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9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9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9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9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9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9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9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9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9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9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9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9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9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9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9"/>
    <row r="91" customFormat="1" s="79"/>
    <row r="92" customFormat="1" s="79"/>
    <row r="93" customFormat="1" s="79"/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8"/>
  <sheetViews>
    <sheetView zoomScale="150" zoomScaleNormal="150" workbookViewId="0">
      <pane xSplit="2" ySplit="5" topLeftCell="C74" activePane="bottomRight" state="frozen"/>
      <selection pane="topRight" activeCell="C1" sqref="C1"/>
      <selection pane="bottomLeft" activeCell="A6" sqref="A6"/>
      <selection pane="bottomRight" activeCell="D88" sqref="D88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9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9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9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9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9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9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9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9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9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9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9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9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9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9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9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9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9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9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9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9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9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9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9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9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9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9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9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9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9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9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9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9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9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9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9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9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9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9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9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9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9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9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9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9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9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9"/>
    <row r="90" customFormat="1" s="79"/>
    <row r="91" customFormat="1" s="79"/>
    <row r="92" customFormat="1" s="79"/>
    <row r="93" customFormat="1" s="79"/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  <row r="253" customFormat="1" s="79"/>
    <row r="254" customFormat="1" s="79"/>
    <row r="255" customFormat="1" s="79"/>
    <row r="256" customFormat="1" s="79"/>
    <row r="257" customFormat="1" s="79"/>
    <row r="258" customFormat="1" s="79"/>
    <row r="259" customFormat="1" s="79"/>
    <row r="260" customFormat="1" s="79"/>
    <row r="261" customFormat="1" s="79"/>
    <row r="262" customFormat="1" s="79"/>
    <row r="263" customFormat="1" s="79"/>
    <row r="264" customFormat="1" s="79"/>
    <row r="265" customFormat="1" s="79"/>
    <row r="266" customFormat="1" s="79"/>
    <row r="267" customFormat="1" s="79"/>
    <row r="268" customFormat="1" s="79"/>
    <row r="269" customFormat="1" s="79"/>
    <row r="270" customFormat="1" s="79"/>
    <row r="271" customFormat="1" s="79"/>
    <row r="272" customFormat="1" s="79"/>
    <row r="273" customFormat="1" s="79"/>
    <row r="274" customFormat="1" s="79"/>
    <row r="275" customFormat="1" s="79"/>
    <row r="276" customFormat="1" s="79"/>
    <row r="277" customFormat="1" s="79"/>
    <row r="278" customFormat="1" s="79"/>
    <row r="279" customFormat="1" s="79"/>
    <row r="280" customFormat="1" s="79"/>
    <row r="281" customFormat="1" s="79"/>
    <row r="282" customFormat="1" s="79"/>
    <row r="283" customFormat="1" s="79"/>
    <row r="284" customFormat="1" s="79"/>
    <row r="285" customFormat="1" s="79"/>
    <row r="286" customFormat="1" s="79"/>
    <row r="287" customFormat="1" s="79"/>
    <row r="288" customFormat="1" s="79"/>
    <row r="289" customFormat="1" s="79"/>
    <row r="290" customFormat="1" s="79"/>
    <row r="291" customFormat="1" s="79"/>
    <row r="292" customFormat="1" s="79"/>
    <row r="293" customFormat="1" s="79"/>
    <row r="294" customFormat="1" s="79"/>
    <row r="295" customFormat="1" s="79"/>
    <row r="296" customFormat="1" s="79"/>
    <row r="297" customFormat="1" s="79"/>
    <row r="298" customFormat="1" s="79"/>
    <row r="299" customFormat="1" s="79"/>
    <row r="300" customFormat="1" s="79"/>
    <row r="301" customFormat="1" s="79"/>
    <row r="302" customFormat="1" s="79"/>
    <row r="303" customFormat="1" s="79"/>
    <row r="304" customFormat="1" s="79"/>
    <row r="305" customFormat="1" s="79"/>
    <row r="306" customFormat="1" s="79"/>
    <row r="307" customFormat="1" s="79"/>
    <row r="308" customFormat="1" s="79"/>
    <row r="309" customFormat="1" s="79"/>
    <row r="310" customFormat="1" s="79"/>
    <row r="311" customFormat="1" s="79"/>
    <row r="312" customFormat="1" s="79"/>
    <row r="313" customFormat="1" s="79"/>
    <row r="314" customFormat="1" s="79"/>
    <row r="315" customFormat="1" s="79"/>
    <row r="316" customFormat="1" s="79"/>
    <row r="317" customFormat="1" s="79"/>
    <row r="318" customFormat="1" s="79"/>
    <row r="319" customFormat="1" s="79"/>
    <row r="320" customFormat="1" s="79"/>
    <row r="321" customFormat="1" s="79"/>
    <row r="322" customFormat="1" s="79"/>
    <row r="323" customFormat="1" s="79"/>
    <row r="324" customFormat="1" s="79"/>
    <row r="325" customFormat="1" s="79"/>
    <row r="326" customFormat="1" s="79"/>
    <row r="327" customFormat="1" s="79"/>
    <row r="328" customFormat="1" s="79"/>
    <row r="329" customFormat="1" s="79"/>
    <row r="330" customFormat="1" s="79"/>
    <row r="331" customFormat="1" s="79"/>
    <row r="332" customFormat="1" s="79"/>
    <row r="333" customFormat="1" s="79"/>
    <row r="334" customFormat="1" s="79"/>
    <row r="335" customFormat="1" s="79"/>
    <row r="336" customFormat="1" s="79"/>
    <row r="337" customFormat="1" s="79"/>
    <row r="338" customFormat="1" s="79"/>
    <row r="339" customFormat="1" s="79"/>
    <row r="340" customFormat="1" s="79"/>
    <row r="341" customFormat="1" s="79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700" activePane="bottomLeft" state="frozen"/>
      <selection pane="bottomLeft" activeCell="T733" sqref="T733"/>
    </sheetView>
  </sheetViews>
  <sheetFormatPr baseColWidth="10" defaultColWidth="9.1640625" defaultRowHeight="15"/>
  <cols>
    <col width="12" customWidth="1" style="79" min="1" max="1"/>
    <col width="14.33203125" customWidth="1" style="79" min="2" max="2"/>
    <col width="11.1640625" customWidth="1" style="16" min="3" max="4"/>
    <col width="9.1640625" customWidth="1" style="79" min="5" max="5"/>
    <col width="20.33203125" customWidth="1" style="79" min="6" max="6"/>
    <col width="14.6640625" customWidth="1" style="79" min="7" max="7"/>
    <col width="9.1640625" customWidth="1" style="79" min="8" max="21"/>
    <col width="9.1640625" customWidth="1" style="79" min="22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9">
        <f>"Money Supply M3 "&amp;A1</f>
        <v/>
      </c>
      <c r="G1" s="79">
        <f>F1&amp;" mom annualized"</f>
        <v/>
      </c>
    </row>
    <row r="2">
      <c r="F2" s="79" t="inlineStr">
        <is>
          <t>Average last 20 years</t>
        </is>
      </c>
      <c r="G2" s="37">
        <f>AVERAGE(D469:D708)</f>
        <v/>
      </c>
    </row>
    <row r="3">
      <c r="F3" s="79" t="inlineStr">
        <is>
          <t>Minimum last 20 years</t>
        </is>
      </c>
      <c r="G3" s="37">
        <f>MIN(D469:D738)</f>
        <v/>
      </c>
    </row>
    <row r="4" ht="16" customHeight="1" s="67" thickBot="1">
      <c r="F4" s="79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2022-02-27T01:59:26Z</dcterms:modified>
  <cp:lastModifiedBy>Mark Mukherjee</cp:lastModifiedBy>
</cp:coreProperties>
</file>