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3040" yWindow="-540" windowWidth="5200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1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17" fontId="0" fillId="2" borderId="1" applyAlignment="1" pivotButton="0" quotePrefix="0" xfId="0">
      <alignment horizont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6" fontId="15" fillId="0" borderId="0" pivotButton="0" quotePrefix="0" xfId="4"/>
    <xf numFmtId="167" fontId="15" fillId="0" borderId="0" pivotButton="0" quotePrefix="0" xfId="4"/>
    <xf numFmtId="0" fontId="0" fillId="0" borderId="0" pivotButton="0" quotePrefix="0" xfId="0"/>
    <xf numFmtId="0" fontId="7" fillId="0" borderId="0" pivotButton="0" quotePrefix="0" xfId="4"/>
    <xf numFmtId="168" fontId="0" fillId="0" borderId="0" pivotButton="0" quotePrefix="0" xfId="0"/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0" fontId="0" fillId="0" borderId="0" pivotButton="0" quotePrefix="0" xfId="0"/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6" formatCode="yyyy\-mm\-dd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'!$A$6:$A$760</f>
              <numCache>
                <formatCode>m/d/yy</formatCode>
                <ptCount val="755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</numCache>
            </numRef>
          </cat>
          <val>
            <numRef>
              <f>'US M2 '!$B$6:$B$760</f>
              <numCache>
                <formatCode>0.0</formatCode>
                <ptCount val="755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Velocity!$A$12:$A$255</f>
              <numCache>
                <formatCode>yyyy\-mm\-dd</formatCode>
                <ptCount val="244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</numCache>
            </numRef>
          </cat>
          <val>
            <numRef>
              <f>Velocity!$B$12:$B$255</f>
              <numCache>
                <formatCode>0.000</formatCode>
                <ptCount val="244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1.724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1.694</v>
                </pt>
                <pt idx="35">
                  <v>1.69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2.179</v>
                </pt>
                <pt idx="152">
                  <v>2.179</v>
                </pt>
                <pt idx="153">
                  <v>2.195</v>
                </pt>
                <pt idx="154">
                  <v>2.198</v>
                </pt>
                <pt idx="155">
                  <v>2.19</v>
                </pt>
                <pt idx="156">
                  <v>2.175</v>
                </pt>
                <pt idx="157">
                  <v>2.16</v>
                </pt>
                <pt idx="158">
                  <v>2.16</v>
                </pt>
                <pt idx="159">
                  <v>2.145</v>
                </pt>
                <pt idx="160">
                  <v>2.136</v>
                </pt>
                <pt idx="161">
                  <v>2.129</v>
                </pt>
                <pt idx="162">
                  <v>2.132</v>
                </pt>
                <pt idx="163">
                  <v>2.151</v>
                </pt>
                <pt idx="164">
                  <v>2.14</v>
                </pt>
                <pt idx="165">
                  <v>2.156</v>
                </pt>
                <pt idx="166">
                  <v>2.146</v>
                </pt>
                <pt idx="167">
                  <v>2.139</v>
                </pt>
                <pt idx="168">
                  <v>2.091</v>
                </pt>
                <pt idx="169">
                  <v>2.064</v>
                </pt>
                <pt idx="170">
                  <v>2.018</v>
                </pt>
                <pt idx="171">
                  <v>1.985</v>
                </pt>
                <pt idx="172">
                  <v>1.974</v>
                </pt>
                <pt idx="173">
                  <v>1.977</v>
                </pt>
                <pt idx="174">
                  <v>1.958</v>
                </pt>
                <pt idx="175">
                  <v>1.933</v>
                </pt>
                <pt idx="176">
                  <v>1.92</v>
                </pt>
                <pt idx="177">
                  <v>1.905</v>
                </pt>
                <pt idx="178">
                  <v>1.909</v>
                </pt>
                <pt idx="179">
                  <v>1.944</v>
                </pt>
                <pt idx="180">
                  <v>1.954</v>
                </pt>
                <pt idx="181">
                  <v>1.944</v>
                </pt>
                <pt idx="182">
                  <v>1.953</v>
                </pt>
                <pt idx="183">
                  <v>1.962</v>
                </pt>
                <pt idx="184">
                  <v>1.988</v>
                </pt>
                <pt idx="185">
                  <v>1.997</v>
                </pt>
                <pt idx="186">
                  <v>2.004</v>
                </pt>
                <pt idx="187">
                  <v>2.006</v>
                </pt>
                <pt idx="188">
                  <v>2.021</v>
                </pt>
                <pt idx="189">
                  <v>2.021</v>
                </pt>
                <pt idx="190">
                  <v>2.009</v>
                </pt>
                <pt idx="191">
                  <v>2</v>
                </pt>
                <pt idx="192">
                  <v>1.996</v>
                </pt>
                <pt idx="193">
                  <v>1.987</v>
                </pt>
                <pt idx="194">
                  <v>1.977</v>
                </pt>
                <pt idx="195">
                  <v>1.976</v>
                </pt>
                <pt idx="196">
                  <v>1.935</v>
                </pt>
                <pt idx="197">
                  <v>1.923</v>
                </pt>
                <pt idx="198">
                  <v>1.903</v>
                </pt>
                <pt idx="199">
                  <v>1.809</v>
                </pt>
                <pt idx="200">
                  <v>1.733</v>
                </pt>
                <pt idx="201">
                  <v>1.708</v>
                </pt>
                <pt idx="202">
                  <v>1.71</v>
                </pt>
                <pt idx="203">
                  <v>1.726</v>
                </pt>
                <pt idx="204">
                  <v>1.736</v>
                </pt>
                <pt idx="205">
                  <v>1.743</v>
                </pt>
                <pt idx="206">
                  <v>1.743</v>
                </pt>
                <pt idx="207">
                  <v>1.74</v>
                </pt>
                <pt idx="208">
                  <v>1.723</v>
                </pt>
                <pt idx="209">
                  <v>1.714</v>
                </pt>
                <pt idx="210">
                  <v>1.65</v>
                </pt>
                <pt idx="211">
                  <v>1.643</v>
                </pt>
                <pt idx="212">
                  <v>1.639</v>
                </pt>
                <pt idx="213">
                  <v>1.629</v>
                </pt>
                <pt idx="214">
                  <v>1.606</v>
                </pt>
                <pt idx="215">
                  <v>1.582</v>
                </pt>
                <pt idx="216">
                  <v>1.579</v>
                </pt>
                <pt idx="217">
                  <v>1.567</v>
                </pt>
                <pt idx="218">
                  <v>1.563</v>
                </pt>
                <pt idx="219">
                  <v>1.557</v>
                </pt>
                <pt idx="220">
                  <v>1.536</v>
                </pt>
                <pt idx="221">
                  <v>1.541</v>
                </pt>
                <pt idx="222">
                  <v>1.546</v>
                </pt>
                <pt idx="223">
                  <v>1.538</v>
                </pt>
                <pt idx="224">
                  <v>1.522</v>
                </pt>
                <pt idx="225">
                  <v>1.524</v>
                </pt>
                <pt idx="226">
                  <v>1.516</v>
                </pt>
                <pt idx="227">
                  <v>1.496</v>
                </pt>
                <pt idx="228">
                  <v>1.47</v>
                </pt>
                <pt idx="229">
                  <v>1.461</v>
                </pt>
                <pt idx="230">
                  <v>1.451</v>
                </pt>
                <pt idx="231">
                  <v>1.444</v>
                </pt>
                <pt idx="232">
                  <v>1.438</v>
                </pt>
                <pt idx="233">
                  <v>1.432</v>
                </pt>
                <pt idx="234">
                  <v>1.435</v>
                </pt>
                <pt idx="235">
                  <v>1.443</v>
                </pt>
                <pt idx="236">
                  <v>1.45</v>
                </pt>
                <pt idx="237">
                  <v>1.459</v>
                </pt>
                <pt idx="238">
                  <v>1.462</v>
                </pt>
                <pt idx="239">
                  <v>1.464</v>
                </pt>
                <pt idx="240">
                  <v>1.458</v>
                </pt>
                <pt idx="241">
                  <v>1.455</v>
                </pt>
                <pt idx="242">
                  <v>1.442</v>
                </pt>
                <pt idx="243">
                  <v>1.425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Monthly'!$A$6:$A$760</f>
              <numCache>
                <formatCode>yyyy\-mm\-dd</formatCode>
                <ptCount val="755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</numCache>
            </numRef>
          </cat>
          <val>
            <numRef>
              <f>'US M1 Real Monthly'!$B$6:$B$760</f>
              <numCache>
                <formatCode>0.0</formatCode>
                <ptCount val="755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Monthly'!$A$18:$A$760</f>
              <numCache>
                <formatCode>yyyy\-mm\-dd</formatCode>
                <ptCount val="74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</numCache>
            </numRef>
          </cat>
          <val>
            <numRef>
              <f>'US M1 Real Monthly'!$C$18:$C$760</f>
              <numCache>
                <formatCode>0.0%</formatCode>
                <ptCount val="743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 Monthly'!$A$6:$A$760</f>
              <numCache>
                <formatCode>yyyy\-mm\-dd</formatCode>
                <ptCount val="755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</numCache>
            </numRef>
          </cat>
          <val>
            <numRef>
              <f>'US M2 Real  Monthly'!$B$6:$B$760</f>
              <numCache>
                <formatCode>0.0</formatCode>
                <ptCount val="755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 Monthly'!$A$6:$A$760</f>
              <numCache>
                <formatCode>yyyy\-mm\-dd</formatCode>
                <ptCount val="755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</numCache>
            </numRef>
          </cat>
          <val>
            <numRef>
              <f>'US M2 Real  Monthly'!$C$6:$C$760</f>
              <numCache>
                <formatCode>General</formatCode>
                <ptCount val="755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M1'!$A$6:$A$2410</f>
              <numCache>
                <formatCode>yyyy\-mm\-dd</formatCode>
                <ptCount val="2405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M1'!$B$6:$B$2410</f>
              <numCache>
                <formatCode>0.0</formatCode>
                <ptCount val="2405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'!$A$7:$A$760</f>
              <numCache>
                <formatCode>m/d/yy</formatCode>
                <ptCount val="75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</numCache>
            </numRef>
          </cat>
          <val>
            <numRef>
              <f>'US M2 '!$D$7:$D$760</f>
              <numCache>
                <formatCode>0.00%</formatCode>
                <ptCount val="754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'!$A$7:$A$752</f>
              <numCache>
                <formatCode>m/d/yy</formatCode>
                <ptCount val="74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</numCache>
            </numRef>
          </cat>
          <val>
            <numRef>
              <f>'US M2 '!$B$7:$B$752</f>
              <numCache>
                <formatCode>0.0</formatCode>
                <ptCount val="746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'!$A$7:$A$760</f>
              <numCache>
                <formatCode>m/d/yy</formatCode>
                <ptCount val="75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</numCache>
            </numRef>
          </cat>
          <val>
            <numRef>
              <f>'US M2 '!$D$7:$D$760</f>
              <numCache>
                <formatCode>0.00%</formatCode>
                <ptCount val="754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Country!$A$474:$A$708</f>
              <numCache>
                <formatCode>m/d/yy</formatCode>
                <ptCount val="235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</numCache>
            </numRef>
          </cat>
          <val>
            <numRef>
              <f>Country!$B$474:$B$708</f>
              <numCache>
                <formatCode>0.00</formatCode>
                <ptCount val="235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Country!$A$474:$A$708</f>
              <numCache>
                <formatCode>m/d/yy</formatCode>
                <ptCount val="235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</numCache>
            </numRef>
          </cat>
          <val>
            <numRef>
              <f>Country!$D$474:$D$708</f>
              <numCache>
                <formatCode>0.0%</formatCode>
                <ptCount val="235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7</col>
      <colOff>76199</colOff>
      <row>14</row>
      <rowOff>95249</rowOff>
    </from>
    <to>
      <col>15</col>
      <colOff>542924</colOff>
      <row>35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699</row>
      <rowOff>145143</rowOff>
    </from>
    <to>
      <col>11</col>
      <colOff>489857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383268</colOff>
      <row>717</row>
      <rowOff>158522</rowOff>
    </from>
    <to>
      <col>11</col>
      <colOff>489858</colOff>
      <row>735</row>
      <rowOff>9070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55" headerRowCount="1" totalsRowShown="0" headerRowCellStyle="Normal 3" dataCellStyle="Normal 3">
  <autoFilter ref="A11:B255"/>
  <tableColumns count="2">
    <tableColumn id="1" name="Date" dataDxfId="35" dataCellStyle="Normal 3"/>
    <tableColumn id="2" name="Velocity of M2 Money Stock, Ratio, Quarterly, Seasonally Adjusted" dataDxfId="3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0" headerRowCount="1" totalsRowShown="0" headerRowDxfId="33" dataDxfId="31" headerRowBorderDxfId="32">
  <autoFilter ref="A5:C760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0" headerRowCount="1" totalsRowShown="0" headerRowDxfId="27" dataDxfId="26" tableBorderDxfId="25">
  <autoFilter ref="A5:C760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0" headerRowCount="1" totalsRowShown="0" headerRowDxfId="12" dataDxfId="10" headerRowBorderDxfId="11" dataCellStyle="Normal 2">
  <autoFilter ref="A5:D760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5" headerRowCount="1" totalsRowShown="0" headerRowDxfId="5" headerRowBorderDxfId="4">
  <autoFilter ref="A5:D735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O30" sqref="O30"/>
    </sheetView>
  </sheetViews>
  <sheetFormatPr baseColWidth="10" defaultColWidth="9.1640625" defaultRowHeight="15"/>
  <cols>
    <col width="9.1640625" customWidth="1" style="76" min="1" max="1"/>
    <col width="12.83203125" customWidth="1" style="76" min="2" max="10"/>
    <col width="3.33203125" customWidth="1" style="76" min="11" max="13"/>
    <col width="21.33203125" customWidth="1" style="76" min="14" max="14"/>
    <col width="15.6640625" customWidth="1" style="76" min="15" max="15"/>
    <col width="16.83203125" customWidth="1" style="76" min="16" max="16"/>
    <col width="23" customWidth="1" style="76" min="17" max="17"/>
    <col width="9.1640625" customWidth="1" style="76" min="18" max="24"/>
    <col width="9.1640625" customWidth="1" style="76" min="25" max="16384"/>
  </cols>
  <sheetData>
    <row r="1">
      <c r="B1" s="75" t="n"/>
    </row>
    <row r="2" ht="16" customHeight="1" s="88" thickBot="1">
      <c r="B2" s="77" t="n"/>
      <c r="C2" s="77" t="n"/>
      <c r="D2" s="77" t="n"/>
      <c r="E2" s="77" t="n"/>
      <c r="F2" s="77" t="n"/>
      <c r="G2" s="77" t="n"/>
      <c r="H2" s="77" t="n"/>
      <c r="I2" s="77" t="n"/>
      <c r="J2" s="77" t="n"/>
    </row>
    <row r="3" ht="16" customHeight="1" s="88" thickBot="1">
      <c r="B3" s="78" t="inlineStr">
        <is>
          <t>Money Supply</t>
        </is>
      </c>
      <c r="C3" s="79" t="n"/>
      <c r="D3" s="79" t="n"/>
      <c r="E3" s="79" t="n"/>
      <c r="F3" s="79" t="n"/>
      <c r="G3" s="79" t="n"/>
      <c r="H3" s="79" t="n"/>
      <c r="I3" s="79" t="n"/>
      <c r="J3" s="80" t="n"/>
    </row>
    <row r="5">
      <c r="B5" s="81" t="inlineStr">
        <is>
          <t>Definition</t>
        </is>
      </c>
      <c r="C5" s="82" t="n"/>
      <c r="D5" s="82" t="n"/>
      <c r="E5" s="82" t="n"/>
      <c r="F5" s="82" t="n"/>
      <c r="G5" s="82" t="n"/>
      <c r="H5" s="82" t="n"/>
      <c r="I5" s="82" t="n"/>
      <c r="J5" s="83" t="n"/>
    </row>
    <row r="7" ht="100.5" customHeight="1" s="88">
      <c r="B7" s="84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88">
      <c r="B8" s="85" t="n"/>
    </row>
    <row r="9">
      <c r="B9" s="42" t="n"/>
      <c r="C9" s="42" t="n"/>
      <c r="D9" s="42" t="n"/>
      <c r="E9" s="42" t="n"/>
    </row>
    <row r="10">
      <c r="B10" s="81" t="inlineStr">
        <is>
          <t>Process / TO DO LIST</t>
        </is>
      </c>
      <c r="C10" s="82" t="n"/>
      <c r="D10" s="82" t="n"/>
      <c r="E10" s="82" t="n"/>
      <c r="F10" s="82" t="n"/>
      <c r="G10" s="82" t="n"/>
      <c r="H10" s="82" t="n"/>
      <c r="I10" s="82" t="n"/>
      <c r="J10" s="83" t="n"/>
    </row>
    <row r="11" ht="16" customHeight="1" s="88"/>
    <row r="12" ht="16" customHeight="1" s="88">
      <c r="B12" s="81" t="inlineStr">
        <is>
          <t>TO DO LIST</t>
        </is>
      </c>
      <c r="C12" s="82" t="n"/>
      <c r="D12" s="82" t="n"/>
      <c r="E12" s="82" t="n"/>
      <c r="F12" s="83" t="n"/>
      <c r="G12" s="81" t="inlineStr">
        <is>
          <t>Comments</t>
        </is>
      </c>
      <c r="H12" s="82" t="n"/>
      <c r="I12" s="82" t="n"/>
      <c r="J12" s="83" t="n"/>
    </row>
    <row r="14" ht="19.5" customHeight="1" s="88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s="88" thickBot="1">
      <c r="B15" s="85" t="inlineStr">
        <is>
          <t>https://fred.stlouisfed.org/series/M1REAL</t>
        </is>
      </c>
      <c r="G15" s="86" t="inlineStr">
        <is>
          <t>U.S.</t>
        </is>
      </c>
    </row>
    <row r="16" ht="18" customHeight="1" s="88">
      <c r="B16" s="85" t="inlineStr">
        <is>
          <t>https://fred.stlouisfed.org/series/M1</t>
        </is>
      </c>
      <c r="G16" s="86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 s="88">
      <c r="B17" s="85" t="inlineStr">
        <is>
          <t>https://fred.stlouisfed.org/series/M2</t>
        </is>
      </c>
      <c r="G17" s="87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 s="88">
      <c r="B18" s="85" t="inlineStr">
        <is>
          <t>https://fred.stlouisfed.org/series/M2SL</t>
        </is>
      </c>
      <c r="G18" s="87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 s="88">
      <c r="B19" s="85" t="inlineStr">
        <is>
          <t>https://tradingeconomics.com/country-list/money-supply-m2?continent=g20</t>
        </is>
      </c>
      <c r="G19" s="87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 s="88">
      <c r="B20" s="85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 s="88">
      <c r="B21" s="85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 s="88">
      <c r="B22" s="85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 s="88">
      <c r="B23" s="85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 s="88">
      <c r="B24" s="85" t="n"/>
      <c r="G24" s="87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s="88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 s="88"/>
    <row r="39">
      <c r="B39" s="40" t="n"/>
    </row>
    <row r="40">
      <c r="B40" s="86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3"/>
  <sheetViews>
    <sheetView zoomScale="130" zoomScaleNormal="130" workbookViewId="0">
      <pane ySplit="1" topLeftCell="A3040" activePane="bottomLeft" state="frozen"/>
      <selection pane="bottomLeft" activeCell="K3056" sqref="K3056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2801.4</v>
      </c>
      <c r="E1808" t="n">
        <v>4880.1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2820.6</v>
      </c>
      <c r="E1813" t="n">
        <v>4924.7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2848.6</v>
      </c>
      <c r="E1823" t="n">
        <v>5013.5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2879.7</v>
      </c>
      <c r="E1828" t="n">
        <v>5071.2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2894.6</v>
      </c>
      <c r="E1839" t="n">
        <v>5132.2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2910.8</v>
      </c>
      <c r="E1844" t="n">
        <v>5172.5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2951.7</v>
      </c>
      <c r="E1855" t="n">
        <v>5236.3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3002.5</v>
      </c>
      <c r="E1860" t="n">
        <v>5347.4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3030.8</v>
      </c>
      <c r="E1870" t="n">
        <v>5379.6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3062.4</v>
      </c>
      <c r="E1875" t="n">
        <v>5432.7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</v>
      </c>
      <c r="E1886" t="n">
        <v>5482.4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</v>
      </c>
      <c r="E1891" t="n">
        <v>5494.2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3075.5</v>
      </c>
      <c r="E1901" t="n">
        <v>5520.6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3087.8</v>
      </c>
      <c r="E1906" t="n">
        <v>5545.6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3119.4</v>
      </c>
      <c r="E1916" t="n">
        <v>5630.6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3127.8</v>
      </c>
      <c r="E1921" t="n">
        <v>5655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3167.9</v>
      </c>
      <c r="E1932" t="n">
        <v>5749.7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3174.3</v>
      </c>
      <c r="E1937" t="n">
        <v>5770.9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3180.6</v>
      </c>
      <c r="E1948" t="n">
        <v>5839.5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3186.7</v>
      </c>
      <c r="E1953" t="n">
        <v>5860.3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3257.5</v>
      </c>
      <c r="E1964" t="n">
        <v>5958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</v>
      </c>
      <c r="E1969" t="n">
        <v>5994.7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</v>
      </c>
      <c r="E1980" t="n">
        <v>6099.5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3279.8</v>
      </c>
      <c r="E1995" t="n">
        <v>6067.7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3274.3</v>
      </c>
      <c r="E2010" t="n">
        <v>6113.2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</v>
      </c>
      <c r="E2025" t="n">
        <v>6267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3318.9</v>
      </c>
      <c r="E2031" t="n">
        <v>6269.4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3334.7</v>
      </c>
      <c r="E2041" t="n">
        <v>6309.2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3342.4</v>
      </c>
      <c r="E2047" t="n">
        <v>6343.9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3347.5</v>
      </c>
      <c r="E2062" t="n">
        <v>6417.2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3342.9</v>
      </c>
      <c r="E2073" t="n">
        <v>6431.8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3335.5</v>
      </c>
      <c r="E2078" t="n">
        <v>6440.8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</v>
      </c>
      <c r="E2088" t="n">
        <v>6472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</v>
      </c>
      <c r="E2094" t="n">
        <v>6504.4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3321.4</v>
      </c>
      <c r="E2109" t="n">
        <v>6602.9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3358.6</v>
      </c>
      <c r="E2120" t="n">
        <v>6653.4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3372.1</v>
      </c>
      <c r="E2125" t="n">
        <v>6680.1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3383.6</v>
      </c>
      <c r="E2136" t="n">
        <v>6746.8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3385.6</v>
      </c>
      <c r="E2141" t="n">
        <v>6761.1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3391.1</v>
      </c>
      <c r="E2156" t="n">
        <v>6843.2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3393.2</v>
      </c>
      <c r="E2167" t="n">
        <v>6915.4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3423.4</v>
      </c>
      <c r="E2172" t="n">
        <v>6942.6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3478.5</v>
      </c>
      <c r="E2183" t="n">
        <v>7026.5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3480.8</v>
      </c>
      <c r="E2188" t="n">
        <v>7069.5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3487.9</v>
      </c>
      <c r="E2198" t="n">
        <v>7123.2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3486.3</v>
      </c>
      <c r="E2203" t="n">
        <v>7156.9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3503.3</v>
      </c>
      <c r="E2214" t="n">
        <v>7243.2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3511.2</v>
      </c>
      <c r="E2219" t="n">
        <v>7276.3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3555.1</v>
      </c>
      <c r="E2230" t="n">
        <v>7382.8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3548.9</v>
      </c>
      <c r="E2235" t="n">
        <v>7401.1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3528.7</v>
      </c>
      <c r="E2245" t="n">
        <v>7439.6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3532.5</v>
      </c>
      <c r="E2250" t="n">
        <v>7469.4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3567.5</v>
      </c>
      <c r="E2261" t="n">
        <v>7587.6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3585.6</v>
      </c>
      <c r="E2266" t="n">
        <v>7653.3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3581.8</v>
      </c>
      <c r="E2277" t="n">
        <v>7708.3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3552.7</v>
      </c>
      <c r="E2282" t="n">
        <v>7725.8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3560.7</v>
      </c>
      <c r="E2293" t="n">
        <v>7787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3759.5</v>
      </c>
      <c r="E2308" t="n">
        <v>8013.5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3902.4</v>
      </c>
      <c r="E2323" t="n">
        <v>8300.5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3937.3</v>
      </c>
      <c r="E2328" t="n">
        <v>8366.5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3956.2</v>
      </c>
      <c r="E2339" t="n">
        <v>8427.6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3910.4</v>
      </c>
      <c r="E2360" t="n">
        <v>8441.1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3912</v>
      </c>
      <c r="E2370" t="n">
        <v>8498.200000000001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3907.6</v>
      </c>
      <c r="E2376" t="n">
        <v>8493.1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3952.2</v>
      </c>
      <c r="E2400" t="n">
        <v>8587.700000000001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3977</v>
      </c>
      <c r="E2416" t="n">
        <v>8666.700000000001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3991.2</v>
      </c>
      <c r="E2437" t="n">
        <v>8799.4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4008.4</v>
      </c>
      <c r="E2453" t="n">
        <v>8940.6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4069.5</v>
      </c>
      <c r="E2469" t="n">
        <v>9148.4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4230.4</v>
      </c>
      <c r="E2495" t="n">
        <v>9610.1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975.7</v>
      </c>
      <c r="C2516" t="n">
        <v>4299.3</v>
      </c>
      <c r="E2516" t="n">
        <v>9837.1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988.3</v>
      </c>
      <c r="C2527" t="n">
        <v>4343.7</v>
      </c>
      <c r="E2527" t="n">
        <v>9934.6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998.5</v>
      </c>
      <c r="C2532" t="n">
        <v>4375.1</v>
      </c>
      <c r="E2532" t="n">
        <v>9998.1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1022.5</v>
      </c>
      <c r="C2543" t="n">
        <v>4399.5</v>
      </c>
      <c r="E2543" t="n">
        <v>10115.2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1031.3</v>
      </c>
      <c r="C2548" t="n">
        <v>4412.3</v>
      </c>
      <c r="E2548" t="n">
        <v>10193.1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1053.4</v>
      </c>
      <c r="C2558" t="n">
        <v>4462.6</v>
      </c>
      <c r="E2558" t="n">
        <v>10319.8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1063.7</v>
      </c>
      <c r="C2563" t="n">
        <v>4520.1</v>
      </c>
      <c r="E2563" t="n">
        <v>10451.5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1062.1</v>
      </c>
      <c r="C2574" t="n">
        <v>4503</v>
      </c>
      <c r="E2574" t="n">
        <v>10489.1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1068.6</v>
      </c>
      <c r="C2579" t="n">
        <v>4544.4</v>
      </c>
      <c r="E2579" t="n">
        <v>10555.8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1091.8</v>
      </c>
      <c r="C2589" t="n">
        <v>4584.1</v>
      </c>
      <c r="E2589" t="n">
        <v>10630.1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1089.5</v>
      </c>
      <c r="C2594" t="n">
        <v>4595.7</v>
      </c>
      <c r="E2594" t="n">
        <v>10682.5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1093.9</v>
      </c>
      <c r="C2604" t="n">
        <v>4619.1</v>
      </c>
      <c r="E2604" t="n">
        <v>10783.5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1105.2</v>
      </c>
      <c r="C2609" t="n">
        <v>4639.5</v>
      </c>
      <c r="E2609" t="n">
        <v>10835.3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1123.7</v>
      </c>
      <c r="C2620" t="n">
        <v>4679.2</v>
      </c>
      <c r="E2620" t="n">
        <v>10954.1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1134.5</v>
      </c>
      <c r="C2625" t="n">
        <v>4695.1</v>
      </c>
      <c r="E2625" t="n">
        <v>11020.3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1158.3</v>
      </c>
      <c r="C2636" t="n">
        <v>4741.9</v>
      </c>
      <c r="E2636" t="n">
        <v>11169.3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1167.3</v>
      </c>
      <c r="C2641" t="n">
        <v>4748.4</v>
      </c>
      <c r="E2641" t="n">
        <v>11207.6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1179.4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1192.7</v>
      </c>
      <c r="C2657" t="n">
        <v>4795.8</v>
      </c>
      <c r="E2657" t="n">
        <v>11377.2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1180.7</v>
      </c>
      <c r="C2668" t="n">
        <v>4827.3</v>
      </c>
      <c r="E2668" t="n">
        <v>11462.9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1217.9</v>
      </c>
      <c r="C2683" t="n">
        <v>4892.6</v>
      </c>
      <c r="E2683" t="n">
        <v>11594.7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1278.7</v>
      </c>
      <c r="C2698" t="n">
        <v>5044.4</v>
      </c>
      <c r="E2698" t="n">
        <v>11871.7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1272.2</v>
      </c>
      <c r="C2703" t="n">
        <v>5037.8</v>
      </c>
      <c r="E2703" t="n">
        <v>11888.1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1258.9</v>
      </c>
      <c r="C2714" t="n">
        <v>5045.5</v>
      </c>
      <c r="E2714" t="n">
        <v>11957.9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1272.3</v>
      </c>
      <c r="C2729" t="n">
        <v>5083.6</v>
      </c>
      <c r="E2729" t="n">
        <v>12100.6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1281.3</v>
      </c>
      <c r="C2735" t="n">
        <v>5117.8</v>
      </c>
      <c r="E2735" t="n">
        <v>12154.6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1294.5</v>
      </c>
      <c r="C2745" t="n">
        <v>5158</v>
      </c>
      <c r="E2745" t="n">
        <v>12277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1302.3</v>
      </c>
      <c r="C2751" t="n">
        <v>5190.1</v>
      </c>
      <c r="E2751" t="n">
        <v>12340.1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1326.1</v>
      </c>
      <c r="C2766" t="n">
        <v>5299.3</v>
      </c>
      <c r="E2766" t="n">
        <v>12616.6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1351.4</v>
      </c>
      <c r="C2776" t="n">
        <v>5328</v>
      </c>
      <c r="E2776" t="n">
        <v>12763.7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1350.5</v>
      </c>
      <c r="C2782" t="n">
        <v>5341.1</v>
      </c>
      <c r="E2782" t="n">
        <v>12830.6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1377.7</v>
      </c>
      <c r="C2797" t="n">
        <v>5401.6</v>
      </c>
      <c r="E2797" t="n">
        <v>13027.4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1386.1</v>
      </c>
      <c r="C2808" t="n">
        <v>5443.3</v>
      </c>
      <c r="E2808" t="n">
        <v>13174.1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1378.8</v>
      </c>
      <c r="C2813" t="n">
        <v>5446.1</v>
      </c>
      <c r="E2813" t="n">
        <v>13214.2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1398.8</v>
      </c>
      <c r="C2824" t="n">
        <v>5478</v>
      </c>
      <c r="E2824" t="n">
        <v>13359.2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1417.8</v>
      </c>
      <c r="C2829" t="n">
        <v>5508.8</v>
      </c>
      <c r="E2829" t="n">
        <v>13428.6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1441.7</v>
      </c>
      <c r="C2844" t="n">
        <v>5554.3</v>
      </c>
      <c r="E2844" t="n">
        <v>13564.7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1460.1</v>
      </c>
      <c r="C2855" t="n">
        <v>5575.5</v>
      </c>
      <c r="E2855" t="n">
        <v>13671.4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1445.3</v>
      </c>
      <c r="C2860" t="n">
        <v>5562.5</v>
      </c>
      <c r="E2860" t="n">
        <v>13714.4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1468.2</v>
      </c>
      <c r="C2871" t="n">
        <v>5579.5</v>
      </c>
      <c r="E2871" t="n">
        <v>13802.4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1460.8</v>
      </c>
      <c r="C2876" t="n">
        <v>5592.6</v>
      </c>
      <c r="E2876" t="n">
        <v>13854.8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90" t="n">
        <v>43108</v>
      </c>
      <c r="D2882" t="n">
        <v>3642.4</v>
      </c>
    </row>
    <row r="2883">
      <c r="A2883" s="90" t="n">
        <v>43115</v>
      </c>
      <c r="D2883" t="n">
        <v>3670.9</v>
      </c>
    </row>
    <row r="2884">
      <c r="A2884" s="90" t="n">
        <v>43122</v>
      </c>
      <c r="D2884" t="n">
        <v>3663.2</v>
      </c>
    </row>
    <row r="2885">
      <c r="A2885" s="90" t="n">
        <v>43129</v>
      </c>
      <c r="D2885" t="n">
        <v>3636.7</v>
      </c>
    </row>
    <row r="2886">
      <c r="A2886" s="90" t="n">
        <v>43132</v>
      </c>
      <c r="B2886" t="n">
        <v>1457.6</v>
      </c>
      <c r="C2886" t="n">
        <v>5581.5</v>
      </c>
      <c r="E2886" t="n">
        <v>13914.6</v>
      </c>
    </row>
    <row r="2887">
      <c r="A2887" s="90" t="n">
        <v>43136</v>
      </c>
      <c r="D2887" t="n">
        <v>3623</v>
      </c>
    </row>
    <row r="2888">
      <c r="A2888" s="90" t="n">
        <v>43143</v>
      </c>
      <c r="D2888" t="n">
        <v>3607.8</v>
      </c>
    </row>
    <row r="2889">
      <c r="A2889" s="90" t="n">
        <v>43150</v>
      </c>
      <c r="D2889" t="n">
        <v>3612.1</v>
      </c>
    </row>
    <row r="2890">
      <c r="A2890" s="90" t="n">
        <v>43157</v>
      </c>
      <c r="D2890" t="n">
        <v>3624.5</v>
      </c>
    </row>
    <row r="2891">
      <c r="A2891" s="90" t="n">
        <v>43160</v>
      </c>
      <c r="B2891" t="n">
        <v>1471.8</v>
      </c>
      <c r="C2891" t="n">
        <v>5599.3</v>
      </c>
      <c r="E2891" t="n">
        <v>13971.2</v>
      </c>
    </row>
    <row r="2892">
      <c r="A2892" s="90" t="n">
        <v>43164</v>
      </c>
      <c r="D2892" t="n">
        <v>3655.4</v>
      </c>
    </row>
    <row r="2893">
      <c r="A2893" s="90" t="n">
        <v>43171</v>
      </c>
      <c r="D2893" t="n">
        <v>3671</v>
      </c>
    </row>
    <row r="2894">
      <c r="A2894" s="90" t="n">
        <v>43178</v>
      </c>
      <c r="D2894" t="n">
        <v>3660.8</v>
      </c>
    </row>
    <row r="2895">
      <c r="A2895" s="90" t="n">
        <v>43185</v>
      </c>
      <c r="D2895" t="n">
        <v>3657.9</v>
      </c>
    </row>
    <row r="2896">
      <c r="A2896" s="90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90" t="n">
        <v>43192</v>
      </c>
      <c r="D2897" t="n">
        <v>3659.3</v>
      </c>
    </row>
    <row r="2898">
      <c r="A2898" s="90" t="n">
        <v>43199</v>
      </c>
      <c r="D2898" t="n">
        <v>3661.2</v>
      </c>
    </row>
    <row r="2899">
      <c r="A2899" s="90" t="n">
        <v>43206</v>
      </c>
      <c r="D2899" t="n">
        <v>3647.4</v>
      </c>
    </row>
    <row r="2900">
      <c r="A2900" s="90" t="n">
        <v>43213</v>
      </c>
      <c r="D2900" t="n">
        <v>3670.1</v>
      </c>
    </row>
    <row r="2901">
      <c r="A2901" s="90" t="n">
        <v>43220</v>
      </c>
      <c r="D2901" t="n">
        <v>3669.8</v>
      </c>
    </row>
    <row r="2902">
      <c r="A2902" s="90" t="n">
        <v>43221</v>
      </c>
      <c r="B2902" t="n">
        <v>1453.9</v>
      </c>
      <c r="C2902" t="n">
        <v>5608.8</v>
      </c>
      <c r="E2902" t="n">
        <v>14066</v>
      </c>
    </row>
    <row r="2903">
      <c r="A2903" s="90" t="n">
        <v>43227</v>
      </c>
      <c r="D2903" t="n">
        <v>3637.4</v>
      </c>
    </row>
    <row r="2904">
      <c r="A2904" s="90" t="n">
        <v>43234</v>
      </c>
      <c r="D2904" t="n">
        <v>3655.5</v>
      </c>
    </row>
    <row r="2905">
      <c r="A2905" s="90" t="n">
        <v>43241</v>
      </c>
      <c r="D2905" t="n">
        <v>3667</v>
      </c>
    </row>
    <row r="2906">
      <c r="A2906" s="90" t="n">
        <v>43248</v>
      </c>
      <c r="D2906" t="n">
        <v>3664.5</v>
      </c>
    </row>
    <row r="2907">
      <c r="A2907" s="90" t="n">
        <v>43252</v>
      </c>
      <c r="B2907" t="n">
        <v>1451.2</v>
      </c>
      <c r="C2907" t="n">
        <v>5624.4</v>
      </c>
      <c r="E2907" t="n">
        <v>14125.8</v>
      </c>
    </row>
    <row r="2908">
      <c r="A2908" s="90" t="n">
        <v>43255</v>
      </c>
      <c r="D2908" t="n">
        <v>3672.4</v>
      </c>
    </row>
    <row r="2909">
      <c r="A2909" s="90" t="n">
        <v>43262</v>
      </c>
      <c r="D2909" t="n">
        <v>3654.9</v>
      </c>
    </row>
    <row r="2910">
      <c r="A2910" s="90" t="n">
        <v>43269</v>
      </c>
      <c r="D2910" t="n">
        <v>3651.4</v>
      </c>
    </row>
    <row r="2911">
      <c r="A2911" s="90" t="n">
        <v>43276</v>
      </c>
      <c r="D2911" t="n">
        <v>3655.5</v>
      </c>
    </row>
    <row r="2912">
      <c r="A2912" s="90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90" t="n">
        <v>43283</v>
      </c>
      <c r="D2913" t="n">
        <v>3673.4</v>
      </c>
    </row>
    <row r="2914">
      <c r="A2914" s="90" t="n">
        <v>43290</v>
      </c>
      <c r="D2914" t="n">
        <v>3682.4</v>
      </c>
    </row>
    <row r="2915">
      <c r="A2915" s="90" t="n">
        <v>43297</v>
      </c>
      <c r="D2915" t="n">
        <v>3681.8</v>
      </c>
    </row>
    <row r="2916">
      <c r="A2916" s="90" t="n">
        <v>43304</v>
      </c>
      <c r="D2916" t="n">
        <v>3678</v>
      </c>
    </row>
    <row r="2917">
      <c r="A2917" s="90" t="n">
        <v>43311</v>
      </c>
      <c r="D2917" t="n">
        <v>3682.2</v>
      </c>
    </row>
    <row r="2918">
      <c r="A2918" s="90" t="n">
        <v>43313</v>
      </c>
      <c r="B2918" t="n">
        <v>1462.9</v>
      </c>
      <c r="C2918" t="n">
        <v>5639.9</v>
      </c>
      <c r="E2918" t="n">
        <v>14197.7</v>
      </c>
    </row>
    <row r="2919">
      <c r="A2919" s="90" t="n">
        <v>43318</v>
      </c>
      <c r="D2919" t="n">
        <v>3661.7</v>
      </c>
    </row>
    <row r="2920">
      <c r="A2920" s="90" t="n">
        <v>43325</v>
      </c>
      <c r="D2920" t="n">
        <v>3677.3</v>
      </c>
    </row>
    <row r="2921">
      <c r="A2921" s="90" t="n">
        <v>43332</v>
      </c>
      <c r="D2921" t="n">
        <v>3676.3</v>
      </c>
    </row>
    <row r="2922">
      <c r="A2922" s="90" t="n">
        <v>43339</v>
      </c>
      <c r="D2922" t="n">
        <v>3695.5</v>
      </c>
    </row>
    <row r="2923">
      <c r="A2923" s="90" t="n">
        <v>43344</v>
      </c>
      <c r="B2923" t="n">
        <v>1464.1</v>
      </c>
      <c r="C2923" t="n">
        <v>5642.1</v>
      </c>
      <c r="E2923" t="n">
        <v>14228.4</v>
      </c>
    </row>
    <row r="2924">
      <c r="A2924" s="90" t="n">
        <v>43346</v>
      </c>
      <c r="D2924" t="n">
        <v>3779.9</v>
      </c>
    </row>
    <row r="2925">
      <c r="A2925" s="90" t="n">
        <v>43353</v>
      </c>
      <c r="D2925" t="n">
        <v>3710.4</v>
      </c>
    </row>
    <row r="2926">
      <c r="A2926" s="90" t="n">
        <v>43360</v>
      </c>
      <c r="D2926" t="n">
        <v>3692</v>
      </c>
    </row>
    <row r="2927">
      <c r="A2927" s="90" t="n">
        <v>43367</v>
      </c>
      <c r="D2927" t="n">
        <v>3705</v>
      </c>
    </row>
    <row r="2928">
      <c r="A2928" s="90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90" t="n">
        <v>43381</v>
      </c>
      <c r="D2929" t="n">
        <v>3708.8</v>
      </c>
    </row>
    <row r="2930">
      <c r="A2930" s="90" t="n">
        <v>43388</v>
      </c>
      <c r="D2930" t="n">
        <v>3723.8</v>
      </c>
    </row>
    <row r="2931">
      <c r="A2931" s="90" t="n">
        <v>43395</v>
      </c>
      <c r="D2931" t="n">
        <v>3744.8</v>
      </c>
    </row>
    <row r="2932">
      <c r="A2932" s="90" t="n">
        <v>43402</v>
      </c>
      <c r="D2932" t="n">
        <v>3729.5</v>
      </c>
    </row>
    <row r="2933">
      <c r="A2933" s="90" t="n">
        <v>43405</v>
      </c>
      <c r="B2933" t="n">
        <v>1466.8</v>
      </c>
      <c r="C2933" t="n">
        <v>5638.3</v>
      </c>
      <c r="E2933" t="n">
        <v>14254.9</v>
      </c>
    </row>
    <row r="2934">
      <c r="A2934" s="90" t="n">
        <v>43409</v>
      </c>
      <c r="D2934" t="n">
        <v>3689.9</v>
      </c>
    </row>
    <row r="2935">
      <c r="A2935" s="90" t="n">
        <v>43416</v>
      </c>
      <c r="D2935" t="n">
        <v>3687.6</v>
      </c>
    </row>
    <row r="2936">
      <c r="A2936" s="90" t="n">
        <v>43423</v>
      </c>
      <c r="D2936" t="n">
        <v>3688.5</v>
      </c>
    </row>
    <row r="2937">
      <c r="A2937" s="90" t="n">
        <v>43430</v>
      </c>
      <c r="D2937" t="n">
        <v>3692.9</v>
      </c>
    </row>
    <row r="2938">
      <c r="A2938" s="90" t="n">
        <v>43435</v>
      </c>
      <c r="B2938" t="n">
        <v>1493.6</v>
      </c>
      <c r="C2938" t="n">
        <v>5692.8</v>
      </c>
      <c r="E2938" t="n">
        <v>14373.9</v>
      </c>
    </row>
    <row r="2939">
      <c r="A2939" s="90" t="n">
        <v>43437</v>
      </c>
      <c r="D2939" t="n">
        <v>3780.7</v>
      </c>
    </row>
    <row r="2940">
      <c r="A2940" s="90" t="n">
        <v>43444</v>
      </c>
      <c r="D2940" t="n">
        <v>3770.2</v>
      </c>
    </row>
    <row r="2941">
      <c r="A2941" s="90" t="n">
        <v>43451</v>
      </c>
      <c r="D2941" t="n">
        <v>3713.2</v>
      </c>
    </row>
    <row r="2942">
      <c r="A2942" s="90" t="n">
        <v>43458</v>
      </c>
      <c r="D2942" t="n">
        <v>3761</v>
      </c>
    </row>
    <row r="2943">
      <c r="A2943" s="90" t="n">
        <v>43465</v>
      </c>
      <c r="D2943" t="n">
        <v>3744.8</v>
      </c>
    </row>
    <row r="2944">
      <c r="A2944" s="90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1495.6</v>
      </c>
      <c r="C2949" t="n">
        <v>5726.5</v>
      </c>
      <c r="E2949" t="n">
        <v>14486.2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1474.1</v>
      </c>
      <c r="C2954" t="n">
        <v>5718.5</v>
      </c>
      <c r="E2954" t="n">
        <v>14533.5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90" t="n">
        <v>43563</v>
      </c>
      <c r="D2960" t="n">
        <v>3746.4</v>
      </c>
    </row>
    <row r="2961">
      <c r="A2961" s="90" t="n">
        <v>43570</v>
      </c>
      <c r="D2961" t="n">
        <v>3796.6</v>
      </c>
    </row>
    <row r="2962">
      <c r="A2962" s="90" t="n">
        <v>43577</v>
      </c>
      <c r="D2962" t="n">
        <v>3789.8</v>
      </c>
    </row>
    <row r="2963">
      <c r="A2963" s="90" t="n">
        <v>43584</v>
      </c>
      <c r="D2963" t="n">
        <v>3813.3</v>
      </c>
    </row>
    <row r="2964">
      <c r="A2964" s="90" t="n">
        <v>43586</v>
      </c>
      <c r="B2964" t="n">
        <v>1478.4</v>
      </c>
      <c r="C2964" t="n">
        <v>5744</v>
      </c>
      <c r="E2964" t="n">
        <v>14668.4</v>
      </c>
    </row>
    <row r="2965">
      <c r="A2965" s="90" t="n">
        <v>43591</v>
      </c>
      <c r="D2965" t="n">
        <v>3765.5</v>
      </c>
    </row>
    <row r="2966">
      <c r="A2966" s="90" t="n">
        <v>43598</v>
      </c>
      <c r="D2966" t="n">
        <v>3772.7</v>
      </c>
    </row>
    <row r="2967">
      <c r="A2967" s="90" t="n">
        <v>43605</v>
      </c>
      <c r="D2967" t="n">
        <v>3781.9</v>
      </c>
    </row>
    <row r="2968">
      <c r="A2968" s="90" t="n">
        <v>43612</v>
      </c>
      <c r="D2968" t="n">
        <v>3810</v>
      </c>
    </row>
    <row r="2969">
      <c r="A2969" s="90" t="n">
        <v>43617</v>
      </c>
      <c r="B2969" t="n">
        <v>1493</v>
      </c>
      <c r="C2969" t="n">
        <v>5789.2</v>
      </c>
      <c r="E2969" t="n">
        <v>14787</v>
      </c>
    </row>
    <row r="2970">
      <c r="A2970" s="90" t="n">
        <v>43619</v>
      </c>
      <c r="D2970" t="n">
        <v>3876.1</v>
      </c>
    </row>
    <row r="2971">
      <c r="A2971" s="90" t="n">
        <v>43626</v>
      </c>
      <c r="D2971" t="n">
        <v>3839.6</v>
      </c>
    </row>
    <row r="2972">
      <c r="A2972" s="90" t="n">
        <v>43633</v>
      </c>
      <c r="D2972" t="n">
        <v>3832.6</v>
      </c>
    </row>
    <row r="2973">
      <c r="A2973" s="90" t="n">
        <v>43640</v>
      </c>
      <c r="D2973" t="n">
        <v>3829.8</v>
      </c>
    </row>
    <row r="2974">
      <c r="A2974" s="90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90" t="n">
        <v>43654</v>
      </c>
      <c r="D2975" t="n">
        <v>3837.4</v>
      </c>
    </row>
    <row r="2976">
      <c r="A2976" s="90" t="n">
        <v>43661</v>
      </c>
      <c r="D2976" t="n">
        <v>3856.5</v>
      </c>
    </row>
    <row r="2977">
      <c r="A2977" s="90" t="n">
        <v>43668</v>
      </c>
      <c r="D2977" t="n">
        <v>3875.4</v>
      </c>
    </row>
    <row r="2978">
      <c r="A2978" s="90" t="n">
        <v>43675</v>
      </c>
      <c r="D2978" t="n">
        <v>3872.8</v>
      </c>
    </row>
    <row r="2979">
      <c r="A2979" s="90" t="n">
        <v>43678</v>
      </c>
      <c r="B2979" t="n">
        <v>1500.9</v>
      </c>
      <c r="C2979" t="n">
        <v>5831.4</v>
      </c>
      <c r="E2979" t="n">
        <v>14935.2</v>
      </c>
    </row>
    <row r="2980">
      <c r="A2980" s="90" t="n">
        <v>43682</v>
      </c>
      <c r="D2980" t="n">
        <v>3875.1</v>
      </c>
    </row>
    <row r="2981">
      <c r="A2981" s="90" t="n">
        <v>43689</v>
      </c>
      <c r="D2981" t="n">
        <v>3861</v>
      </c>
    </row>
    <row r="2982">
      <c r="A2982" s="90" t="n">
        <v>43696</v>
      </c>
      <c r="D2982" t="n">
        <v>3832.4</v>
      </c>
    </row>
    <row r="2983">
      <c r="A2983" s="90" t="n">
        <v>43703</v>
      </c>
      <c r="D2983" t="n">
        <v>3845</v>
      </c>
    </row>
    <row r="2984">
      <c r="A2984" s="90" t="n">
        <v>43709</v>
      </c>
      <c r="B2984" t="n">
        <v>1515.5</v>
      </c>
      <c r="C2984" t="n">
        <v>5857.6</v>
      </c>
      <c r="E2984" t="n">
        <v>15026.6</v>
      </c>
    </row>
    <row r="2985">
      <c r="A2985" s="90" t="n">
        <v>43710</v>
      </c>
      <c r="D2985" t="n">
        <v>3878</v>
      </c>
    </row>
    <row r="2986">
      <c r="A2986" s="90" t="n">
        <v>43717</v>
      </c>
      <c r="D2986" t="n">
        <v>3895.9</v>
      </c>
    </row>
    <row r="2987">
      <c r="A2987" s="90" t="n">
        <v>43724</v>
      </c>
      <c r="D2987" t="n">
        <v>3895.8</v>
      </c>
    </row>
    <row r="2988">
      <c r="A2988" s="90" t="n">
        <v>43731</v>
      </c>
      <c r="D2988" t="n">
        <v>3911.1</v>
      </c>
    </row>
    <row r="2989">
      <c r="A2989" s="90" t="n">
        <v>43738</v>
      </c>
      <c r="D2989" t="n">
        <v>3928.2</v>
      </c>
    </row>
    <row r="2990">
      <c r="A2990" s="90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90" t="n">
        <v>43745</v>
      </c>
      <c r="D2991" t="n">
        <v>3893.7</v>
      </c>
    </row>
    <row r="2992">
      <c r="A2992" s="90" t="n">
        <v>43752</v>
      </c>
      <c r="D2992" t="n">
        <v>3930.6</v>
      </c>
    </row>
    <row r="2993">
      <c r="A2993" s="90" t="n">
        <v>43759</v>
      </c>
      <c r="D2993" t="n">
        <v>3929</v>
      </c>
    </row>
    <row r="2994">
      <c r="A2994" s="90" t="n">
        <v>43766</v>
      </c>
      <c r="D2994" t="n">
        <v>3934.5</v>
      </c>
    </row>
    <row r="2995">
      <c r="A2995" s="90" t="n">
        <v>43770</v>
      </c>
      <c r="B2995" t="n">
        <v>1533.2</v>
      </c>
      <c r="C2995" t="n">
        <v>5911.6</v>
      </c>
      <c r="E2995" t="n">
        <v>15251.3</v>
      </c>
    </row>
    <row r="2996">
      <c r="A2996" s="90" t="n">
        <v>43773</v>
      </c>
      <c r="D2996" t="n">
        <v>3955.3</v>
      </c>
    </row>
    <row r="2997">
      <c r="A2997" s="90" t="n">
        <v>43780</v>
      </c>
      <c r="D2997" t="n">
        <v>3955.4</v>
      </c>
    </row>
    <row r="2998">
      <c r="A2998" s="90" t="n">
        <v>43787</v>
      </c>
      <c r="D2998" t="n">
        <v>3928</v>
      </c>
    </row>
    <row r="2999">
      <c r="A2999" s="90" t="n">
        <v>43794</v>
      </c>
      <c r="D2999" t="n">
        <v>3962.5</v>
      </c>
    </row>
    <row r="3000">
      <c r="A3000" s="90" t="n">
        <v>43800</v>
      </c>
      <c r="B3000" t="n">
        <v>1553.5</v>
      </c>
      <c r="C3000" t="n">
        <v>5935.6</v>
      </c>
      <c r="E3000" t="n">
        <v>15325.8</v>
      </c>
    </row>
    <row r="3001">
      <c r="A3001" s="90" t="n">
        <v>43801</v>
      </c>
      <c r="D3001" t="n">
        <v>3953.8</v>
      </c>
    </row>
    <row r="3002">
      <c r="A3002" s="90" t="n">
        <v>43808</v>
      </c>
      <c r="D3002" t="n">
        <v>3978.4</v>
      </c>
    </row>
    <row r="3003">
      <c r="A3003" s="90" t="n">
        <v>43815</v>
      </c>
      <c r="D3003" t="n">
        <v>3992</v>
      </c>
    </row>
    <row r="3004">
      <c r="A3004" s="90" t="n">
        <v>43822</v>
      </c>
      <c r="D3004" t="n">
        <v>3999</v>
      </c>
    </row>
    <row r="3005">
      <c r="A3005" s="90" t="n">
        <v>43829</v>
      </c>
      <c r="D3005" t="n">
        <v>3963.7</v>
      </c>
    </row>
    <row r="3006">
      <c r="A3006" s="90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90" t="n">
        <v>43836</v>
      </c>
      <c r="D3007" t="n">
        <v>3948</v>
      </c>
    </row>
    <row r="3008">
      <c r="A3008" s="90" t="n">
        <v>43843</v>
      </c>
      <c r="D3008" t="n">
        <v>3949.7</v>
      </c>
    </row>
    <row r="3009">
      <c r="A3009" s="90" t="n">
        <v>43850</v>
      </c>
      <c r="D3009" t="n">
        <v>3978</v>
      </c>
    </row>
    <row r="3010">
      <c r="A3010" s="90" t="n">
        <v>43857</v>
      </c>
      <c r="D3010" t="n">
        <v>3962.2</v>
      </c>
    </row>
    <row r="3011">
      <c r="A3011" s="90" t="n">
        <v>43862</v>
      </c>
      <c r="B3011" t="n">
        <v>1556.4</v>
      </c>
      <c r="C3011" t="n">
        <v>5977.2</v>
      </c>
      <c r="E3011" t="n">
        <v>15470.4</v>
      </c>
    </row>
    <row r="3012">
      <c r="A3012" s="90" t="n">
        <v>43864</v>
      </c>
      <c r="D3012" t="n">
        <v>4081.4</v>
      </c>
    </row>
    <row r="3013">
      <c r="A3013" s="90" t="n">
        <v>43871</v>
      </c>
      <c r="D3013" t="n">
        <v>4012.8</v>
      </c>
    </row>
    <row r="3014">
      <c r="A3014" s="90" t="n">
        <v>43878</v>
      </c>
      <c r="D3014" t="n">
        <v>3983.6</v>
      </c>
    </row>
    <row r="3015">
      <c r="A3015" s="90" t="n">
        <v>43885</v>
      </c>
      <c r="D3015" t="n">
        <v>3971.4</v>
      </c>
    </row>
    <row r="3016">
      <c r="A3016" s="90" t="n">
        <v>43891</v>
      </c>
      <c r="B3016" t="n">
        <v>1659.5</v>
      </c>
      <c r="C3016" t="n">
        <v>6206.2</v>
      </c>
      <c r="E3016" t="n">
        <v>16011.4</v>
      </c>
    </row>
    <row r="3017">
      <c r="A3017" s="90" t="n">
        <v>43892</v>
      </c>
      <c r="D3017" t="n">
        <v>4028.2</v>
      </c>
    </row>
    <row r="3018">
      <c r="A3018" s="90" t="n">
        <v>43899</v>
      </c>
      <c r="D3018" t="n">
        <v>4063.6</v>
      </c>
    </row>
    <row r="3019">
      <c r="A3019" s="90" t="n">
        <v>43906</v>
      </c>
      <c r="D3019" t="n">
        <v>4126.8</v>
      </c>
    </row>
    <row r="3020">
      <c r="A3020" s="90" t="n">
        <v>43913</v>
      </c>
      <c r="D3020" t="n">
        <v>4313.6</v>
      </c>
    </row>
    <row r="3021">
      <c r="A3021" s="90" t="n">
        <v>43920</v>
      </c>
      <c r="D3021" t="n">
        <v>4513.2</v>
      </c>
    </row>
    <row r="3022">
      <c r="A3022" s="90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90" t="n">
        <v>43927</v>
      </c>
      <c r="D3023" t="n">
        <v>4591.2</v>
      </c>
    </row>
    <row r="3024">
      <c r="A3024" s="90" t="n">
        <v>43934</v>
      </c>
      <c r="D3024" t="n">
        <v>4716.8</v>
      </c>
    </row>
    <row r="3025">
      <c r="A3025" s="90" t="n">
        <v>43941</v>
      </c>
      <c r="D3025" t="n">
        <v>4850.1</v>
      </c>
    </row>
    <row r="3026">
      <c r="A3026" s="90" t="n">
        <v>43948</v>
      </c>
      <c r="D3026" t="n">
        <v>4898.5</v>
      </c>
    </row>
    <row r="3027">
      <c r="A3027" s="90" t="n">
        <v>43952</v>
      </c>
      <c r="B3027" t="n">
        <v>6353.8</v>
      </c>
      <c r="C3027" t="n">
        <v>6989.6</v>
      </c>
      <c r="E3027" t="n">
        <v>17889.2</v>
      </c>
    </row>
    <row r="3028">
      <c r="A3028" s="90" t="n">
        <v>43955</v>
      </c>
      <c r="D3028" t="n">
        <v>15982.1</v>
      </c>
    </row>
    <row r="3029">
      <c r="A3029" s="90" t="n">
        <v>43962</v>
      </c>
      <c r="D3029" t="n">
        <v>16201.3</v>
      </c>
    </row>
    <row r="3030">
      <c r="A3030" s="90" t="n">
        <v>43969</v>
      </c>
      <c r="D3030" t="n">
        <v>16292.4</v>
      </c>
    </row>
    <row r="3031">
      <c r="A3031" s="90" t="n">
        <v>43976</v>
      </c>
      <c r="D3031" t="n">
        <v>16319.7</v>
      </c>
    </row>
    <row r="3032">
      <c r="A3032" s="90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90" t="n">
        <v>43990</v>
      </c>
      <c r="D3033" t="n">
        <v>16467</v>
      </c>
    </row>
    <row r="3034">
      <c r="A3034" s="90" t="n">
        <v>43997</v>
      </c>
      <c r="D3034" t="n">
        <v>16554.5</v>
      </c>
    </row>
    <row r="3035">
      <c r="A3035" s="90" t="n">
        <v>44004</v>
      </c>
      <c r="D3035" t="n">
        <v>16654.8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90" t="n">
        <v>44018</v>
      </c>
      <c r="D3038" t="n">
        <v>16763.3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16781.9</v>
      </c>
    </row>
    <row r="3041">
      <c r="A3041" s="90" t="n">
        <v>44039</v>
      </c>
      <c r="D3041" t="n">
        <v>16753.3</v>
      </c>
    </row>
    <row r="3042">
      <c r="A3042" s="90" t="n">
        <v>44044</v>
      </c>
      <c r="B3042" t="n">
        <v>6507.2</v>
      </c>
      <c r="C3042" t="n">
        <v>7082</v>
      </c>
      <c r="E3042" t="n">
        <v>18378.5</v>
      </c>
    </row>
    <row r="3043">
      <c r="A3043" s="90" t="n">
        <v>44046</v>
      </c>
      <c r="D3043" t="n">
        <v>16734.7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16880.6</v>
      </c>
    </row>
    <row r="3047">
      <c r="A3047" s="90" t="n">
        <v>44074</v>
      </c>
      <c r="D3047" t="n">
        <v>16962.8</v>
      </c>
    </row>
    <row r="3048">
      <c r="A3048" s="90" t="n">
        <v>44075</v>
      </c>
      <c r="B3048" t="n">
        <v>6595</v>
      </c>
      <c r="C3048" t="n">
        <v>7150.4</v>
      </c>
      <c r="E3048" t="n">
        <v>18601.6</v>
      </c>
    </row>
    <row r="3049">
      <c r="A3049" s="90" t="n">
        <v>44081</v>
      </c>
      <c r="D3049" t="n">
        <v>17087.5</v>
      </c>
    </row>
    <row r="3050">
      <c r="A3050" s="90" t="n">
        <v>44088</v>
      </c>
      <c r="D3050" t="n">
        <v>17214.5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17175</v>
      </c>
    </row>
    <row r="3053">
      <c r="A3053" s="90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90" t="n">
        <v>44109</v>
      </c>
      <c r="D3054" t="n">
        <v>17223.5</v>
      </c>
    </row>
    <row r="3055">
      <c r="A3055" s="90" t="n">
        <v>44116</v>
      </c>
      <c r="D3055" t="n">
        <v>17331.5</v>
      </c>
    </row>
    <row r="3056">
      <c r="A3056" s="90" t="n">
        <v>44123</v>
      </c>
      <c r="D3056" t="n">
        <v>17350.3</v>
      </c>
    </row>
    <row r="3057">
      <c r="A3057" s="90" t="n">
        <v>44130</v>
      </c>
      <c r="D3057" t="n">
        <v>17375.9</v>
      </c>
    </row>
    <row r="3058">
      <c r="A3058" s="90" t="n">
        <v>44136</v>
      </c>
      <c r="B3058" t="n">
        <v>6741</v>
      </c>
      <c r="C3058" t="n">
        <v>7265.9</v>
      </c>
      <c r="E3058" t="n">
        <v>18958.7</v>
      </c>
    </row>
    <row r="3059">
      <c r="A3059" s="90" t="n">
        <v>44137</v>
      </c>
      <c r="D3059" t="n">
        <v>17431</v>
      </c>
    </row>
    <row r="3060">
      <c r="A3060" s="90" t="n">
        <v>44144</v>
      </c>
      <c r="D3060" t="n">
        <v>17593.1</v>
      </c>
    </row>
    <row r="3061">
      <c r="A3061" s="90" t="n">
        <v>44151</v>
      </c>
      <c r="D3061" t="n">
        <v>17638.1</v>
      </c>
    </row>
    <row r="3062">
      <c r="A3062" s="90" t="n">
        <v>44158</v>
      </c>
      <c r="D3062" t="n">
        <v>17657.6</v>
      </c>
    </row>
    <row r="3063">
      <c r="A3063" s="90" t="n">
        <v>44165</v>
      </c>
      <c r="D3063" t="n">
        <v>17547.4</v>
      </c>
    </row>
    <row r="3064">
      <c r="A3064" s="90" t="n">
        <v>44166</v>
      </c>
      <c r="B3064" t="n">
        <v>6810.1</v>
      </c>
      <c r="C3064" t="n">
        <v>7313.6</v>
      </c>
      <c r="E3064" t="n">
        <v>19129.5</v>
      </c>
    </row>
    <row r="3065">
      <c r="A3065" s="90" t="n">
        <v>44172</v>
      </c>
      <c r="D3065" t="n">
        <v>17777</v>
      </c>
    </row>
    <row r="3066">
      <c r="A3066" s="90" t="n">
        <v>44179</v>
      </c>
      <c r="D3066" t="n">
        <v>17853.1</v>
      </c>
    </row>
    <row r="3067">
      <c r="A3067" s="90" t="n">
        <v>44186</v>
      </c>
      <c r="D3067" t="n">
        <v>17762.6</v>
      </c>
    </row>
    <row r="3068">
      <c r="A3068" s="90" t="n">
        <v>44193</v>
      </c>
      <c r="D3068" t="n">
        <v>17661.3</v>
      </c>
    </row>
    <row r="3069">
      <c r="A3069" s="90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90" t="n">
        <v>44200</v>
      </c>
      <c r="D3070" t="n">
        <v>17773.3</v>
      </c>
    </row>
    <row r="3071">
      <c r="A3071" s="90" t="n">
        <v>44207</v>
      </c>
      <c r="D3071" t="n">
        <v>18147.8</v>
      </c>
    </row>
    <row r="3072">
      <c r="A3072" s="90" t="n">
        <v>44214</v>
      </c>
      <c r="D3072" t="n">
        <v>18158.6</v>
      </c>
    </row>
    <row r="3073">
      <c r="A3073" s="90" t="n">
        <v>44221</v>
      </c>
      <c r="D3073" t="n">
        <v>18116.2</v>
      </c>
    </row>
    <row r="3074">
      <c r="A3074" s="90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90" t="n">
        <v>44256</v>
      </c>
      <c r="B3075" t="n">
        <v>7050.5</v>
      </c>
      <c r="C3075" t="n">
        <v>7520.3</v>
      </c>
      <c r="E3075" t="n">
        <v>19913.2</v>
      </c>
    </row>
    <row r="3076">
      <c r="A3076" s="90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90" t="n">
        <v>44317</v>
      </c>
      <c r="B3077" t="n">
        <v>7152.8</v>
      </c>
      <c r="C3077" t="n">
        <v>7597.4</v>
      </c>
      <c r="E3077" t="n">
        <v>20402.8</v>
      </c>
    </row>
    <row r="3078">
      <c r="A3078" s="90" t="n">
        <v>44348</v>
      </c>
      <c r="B3078" t="n">
        <v>7106</v>
      </c>
      <c r="C3078" t="n">
        <v>7539.1</v>
      </c>
      <c r="E3078" t="n">
        <v>20429.5</v>
      </c>
    </row>
    <row r="3079">
      <c r="A3079" s="90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90" t="n">
        <v>44409</v>
      </c>
      <c r="B3080" t="n">
        <v>7214</v>
      </c>
      <c r="C3080" t="n">
        <v>7630.6</v>
      </c>
      <c r="E3080" t="n">
        <v>20832.5</v>
      </c>
    </row>
    <row r="3081">
      <c r="A3081" s="90" t="n">
        <v>44440</v>
      </c>
      <c r="B3081" t="n">
        <v>7249.9</v>
      </c>
      <c r="C3081" t="n">
        <v>7658.5</v>
      </c>
      <c r="E3081" t="n">
        <v>20994.8</v>
      </c>
    </row>
    <row r="3082">
      <c r="A3082" s="90" t="n">
        <v>44470</v>
      </c>
      <c r="B3082" t="n">
        <v>7257.6</v>
      </c>
      <c r="C3082" t="n">
        <v>7656.5</v>
      </c>
      <c r="E3082" t="n">
        <v>21187.5</v>
      </c>
    </row>
    <row r="3083">
      <c r="A3083" s="90" t="n">
        <v>44501</v>
      </c>
      <c r="B3083" t="n">
        <v>7295.3</v>
      </c>
      <c r="C3083" t="n">
        <v>7686.7</v>
      </c>
      <c r="E3083" t="n">
        <v>21436.7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workbookViewId="0">
      <pane xSplit="1" ySplit="1" topLeftCell="B794" activePane="bottomRight" state="frozen"/>
      <selection pane="topRight" activeCell="H1" sqref="H1"/>
      <selection pane="bottomLeft" activeCell="A2" sqref="A2"/>
      <selection pane="bottomRight" activeCell="AB17" sqref="AB17"/>
    </sheetView>
  </sheetViews>
  <sheetFormatPr baseColWidth="10" defaultColWidth="9.1640625" defaultRowHeight="15"/>
  <cols>
    <col width="22.6640625" customWidth="1" style="76" min="1" max="1"/>
    <col width="9.1640625" customWidth="1" style="76" min="2" max="3"/>
    <col width="10.6640625" bestFit="1" customWidth="1" style="76" min="4" max="4"/>
    <col width="9.1640625" customWidth="1" style="76" min="5" max="11"/>
    <col width="9.1640625" customWidth="1" style="76" min="12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90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90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90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90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90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90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90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90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90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90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90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90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90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90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90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90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90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90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90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90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90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90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90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90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90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90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90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90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90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90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90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90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90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90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90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90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90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90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90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90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90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90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90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90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90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90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90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90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90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90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90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90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90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90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90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90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90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90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90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90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90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90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90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90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90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90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90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90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90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90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90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90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90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90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90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90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90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90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90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90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90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90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90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90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90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90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90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90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90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90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90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90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90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90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90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90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90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90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90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90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90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90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90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90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90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90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90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90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90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90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90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90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90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90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90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90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90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90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90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90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90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90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90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90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90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90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90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90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90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90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90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90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90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90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90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90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90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90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90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90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90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90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90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90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90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90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90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90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90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90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90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90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90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90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90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90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90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90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90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90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90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90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90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90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90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90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90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90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90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90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90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90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90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90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90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90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90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90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90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90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90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90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90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90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90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90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90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90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90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90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90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90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90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90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90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90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90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90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90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90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90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90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90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90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90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90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90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90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90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90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90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90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90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90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90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90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90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90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90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90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90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90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90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90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90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90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90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90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90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90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90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90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90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90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90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90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90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90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90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90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90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90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90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90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90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90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90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90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90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90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90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90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90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90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90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90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90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90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90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90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90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90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90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90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90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90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90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90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90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90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90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90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90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90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90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90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90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90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90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90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90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90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90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90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90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90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90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90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90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90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90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90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90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90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90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90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90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90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90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90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90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90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90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90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90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90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90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90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90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90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90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90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90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90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90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90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90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90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90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90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90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90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90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90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90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90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90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90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90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90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90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90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90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90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90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90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90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90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90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90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90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90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90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90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90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90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90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90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90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90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90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90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90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90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90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90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90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90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90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90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90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90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90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90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90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90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90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90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90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90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90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90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90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90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90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90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90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90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90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90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90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90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90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90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90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90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90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90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90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90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90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90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90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90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90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90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90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90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90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90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90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90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90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90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90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90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90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90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90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90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90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90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90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90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90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90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90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90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90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90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90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90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90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90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90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90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90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90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90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90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90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90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90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90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90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90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90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90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90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90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90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90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90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90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90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90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90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90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90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90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90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90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90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90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90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90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90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90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90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90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90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90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90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90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90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90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90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90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90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90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90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90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90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90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90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90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90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90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90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90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90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90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90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90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90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90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90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90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90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90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90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90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90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90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90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90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90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90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90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90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90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90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90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90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90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90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90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90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90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90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90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90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90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90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90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90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90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90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90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90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90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90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90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90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90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90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90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90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90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90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90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90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90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90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90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90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90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90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90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90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90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90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90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90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90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90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90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90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90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90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90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90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90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90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90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90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90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90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90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90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90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90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90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90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90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90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90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90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90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90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90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90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90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90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90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90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90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90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90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90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90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90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90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90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90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90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90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90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90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90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90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90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90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90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90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90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90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90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90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90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90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90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90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90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90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90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90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90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90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90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90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90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90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90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90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90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90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90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90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90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90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90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90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90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90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90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90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90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90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90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90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90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90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90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90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90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90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90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90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90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90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90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90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90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90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90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90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90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90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90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90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90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90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90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90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90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90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90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90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90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90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90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90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90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90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90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90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90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90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90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90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90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90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90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90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90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90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90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90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90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90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90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90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90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90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90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90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90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90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90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90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90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90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90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90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90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90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90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90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90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90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90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90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90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90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90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90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90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90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90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90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90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90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90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90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90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90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90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90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90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90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90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90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90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90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90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90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90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90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90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90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90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90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90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90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90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90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90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90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90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90" t="n">
        <v>44470</v>
      </c>
      <c r="B851" t="n">
        <v>145.0866</v>
      </c>
      <c r="C851" t="n">
        <v/>
      </c>
      <c r="D851" t="n">
        <v/>
      </c>
      <c r="E851" t="n">
        <v/>
      </c>
      <c r="F851" t="n">
        <v/>
      </c>
      <c r="G851" t="n">
        <v/>
      </c>
      <c r="H851" t="n">
        <v>167.6509</v>
      </c>
      <c r="I851" t="n">
        <v/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/>
      </c>
      <c r="S851" t="n">
        <v>124.8011</v>
      </c>
      <c r="T851" t="n">
        <v/>
      </c>
      <c r="U851" t="n">
        <v/>
      </c>
      <c r="V851" t="n">
        <v>150.6122</v>
      </c>
      <c r="W851" t="n">
        <v/>
      </c>
      <c r="X851" t="n">
        <v/>
      </c>
      <c r="Y851" t="n">
        <v/>
      </c>
      <c r="Z851" t="n">
        <v/>
      </c>
      <c r="AA851" t="n">
        <v/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90" t="n">
        <v>44501</v>
      </c>
      <c r="B852" t="n">
        <v/>
      </c>
      <c r="C852" t="n">
        <v/>
      </c>
      <c r="D852" t="n">
        <v/>
      </c>
      <c r="E852" t="n">
        <v/>
      </c>
      <c r="F852" t="n">
        <v/>
      </c>
      <c r="G852" t="n">
        <v/>
      </c>
      <c r="H852" t="n">
        <v/>
      </c>
      <c r="I852" t="n">
        <v/>
      </c>
      <c r="J852" t="n">
        <v/>
      </c>
      <c r="K852" t="n">
        <v/>
      </c>
      <c r="L852" t="n">
        <v/>
      </c>
      <c r="M852" t="n">
        <v/>
      </c>
      <c r="N852" t="n">
        <v/>
      </c>
      <c r="O852" t="n">
        <v/>
      </c>
      <c r="P852" t="n">
        <v/>
      </c>
      <c r="Q852" t="n">
        <v/>
      </c>
      <c r="R852" t="n">
        <v/>
      </c>
      <c r="S852" t="n">
        <v/>
      </c>
      <c r="T852" t="n">
        <v/>
      </c>
      <c r="U852" t="n">
        <v/>
      </c>
      <c r="V852" t="n">
        <v/>
      </c>
      <c r="W852" t="n">
        <v/>
      </c>
      <c r="X852" t="n">
        <v/>
      </c>
      <c r="Y852" t="n">
        <v/>
      </c>
      <c r="Z852" t="n">
        <v/>
      </c>
      <c r="AA852" t="n">
        <v/>
      </c>
      <c r="AB852" t="n">
        <v/>
      </c>
      <c r="AC852" t="n">
        <v/>
      </c>
      <c r="AD852" t="n">
        <v/>
      </c>
      <c r="AE852" t="n">
        <v/>
      </c>
    </row>
    <row r="853">
      <c r="A853" s="90" t="n">
        <v>44531</v>
      </c>
      <c r="B853" t="n">
        <v/>
      </c>
      <c r="C853" t="n">
        <v/>
      </c>
      <c r="D853" t="n">
        <v/>
      </c>
      <c r="E853" t="n">
        <v/>
      </c>
      <c r="F853" t="n">
        <v/>
      </c>
      <c r="G853" t="n">
        <v/>
      </c>
      <c r="H853" t="n">
        <v/>
      </c>
      <c r="I853" t="n">
        <v/>
      </c>
      <c r="J853" t="n">
        <v/>
      </c>
      <c r="K853" t="n">
        <v/>
      </c>
      <c r="L853" t="n">
        <v/>
      </c>
      <c r="M853" t="n">
        <v/>
      </c>
      <c r="N853" t="n">
        <v/>
      </c>
      <c r="O853" t="n">
        <v/>
      </c>
      <c r="P853" t="n">
        <v/>
      </c>
      <c r="Q853" t="n">
        <v/>
      </c>
      <c r="R853" t="n">
        <v/>
      </c>
      <c r="S853" t="n">
        <v/>
      </c>
      <c r="T853" t="n">
        <v/>
      </c>
      <c r="U853" t="n">
        <v/>
      </c>
      <c r="V853" t="n">
        <v/>
      </c>
      <c r="W853" t="n">
        <v/>
      </c>
      <c r="X853" t="n">
        <v/>
      </c>
      <c r="Y853" t="n">
        <v/>
      </c>
      <c r="Z853" t="n">
        <v/>
      </c>
      <c r="AA853" t="n">
        <v/>
      </c>
      <c r="AB853" t="n">
        <v/>
      </c>
      <c r="AC853" t="n">
        <v/>
      </c>
      <c r="AD853" t="n">
        <v/>
      </c>
      <c r="AE853" t="n">
        <v/>
      </c>
    </row>
    <row r="854">
      <c r="A854" s="90" t="n">
        <v>44562</v>
      </c>
      <c r="B854" t="n">
        <v/>
      </c>
      <c r="C854" t="n">
        <v/>
      </c>
      <c r="D854" t="n">
        <v/>
      </c>
      <c r="E854" t="n">
        <v/>
      </c>
      <c r="F854" t="n">
        <v/>
      </c>
      <c r="G854" t="n">
        <v/>
      </c>
      <c r="H854" t="n">
        <v/>
      </c>
      <c r="I854" t="n">
        <v/>
      </c>
      <c r="J854" t="n">
        <v/>
      </c>
      <c r="K854" t="n">
        <v/>
      </c>
      <c r="L854" t="n">
        <v/>
      </c>
      <c r="M854" t="n">
        <v/>
      </c>
      <c r="N854" t="n">
        <v/>
      </c>
      <c r="O854" t="n">
        <v/>
      </c>
      <c r="P854" t="n">
        <v/>
      </c>
      <c r="Q854" t="n">
        <v/>
      </c>
      <c r="R854" t="n">
        <v/>
      </c>
      <c r="S854" t="n">
        <v/>
      </c>
      <c r="T854" t="n">
        <v/>
      </c>
      <c r="U854" t="n">
        <v/>
      </c>
      <c r="V854" t="n">
        <v/>
      </c>
      <c r="W854" t="n">
        <v/>
      </c>
      <c r="X854" t="n">
        <v/>
      </c>
      <c r="Y854" t="n">
        <v/>
      </c>
      <c r="Z854" t="n">
        <v/>
      </c>
      <c r="AA854" t="n">
        <v/>
      </c>
      <c r="AB854" t="n">
        <v/>
      </c>
      <c r="AC854" t="n">
        <v/>
      </c>
      <c r="AD854" t="n">
        <v/>
      </c>
      <c r="AE854" t="n">
        <v/>
      </c>
    </row>
    <row r="855">
      <c r="A855" s="90" t="n">
        <v>44593</v>
      </c>
      <c r="B855" t="n">
        <v/>
      </c>
      <c r="C855" t="n">
        <v/>
      </c>
      <c r="D855" t="n">
        <v/>
      </c>
      <c r="E855" t="n">
        <v/>
      </c>
      <c r="F855" t="n">
        <v/>
      </c>
      <c r="G855" t="n">
        <v/>
      </c>
      <c r="H855" t="n">
        <v/>
      </c>
      <c r="I855" t="n">
        <v/>
      </c>
      <c r="J855" t="n">
        <v/>
      </c>
      <c r="K855" t="n">
        <v/>
      </c>
      <c r="L855" t="n">
        <v/>
      </c>
      <c r="M855" t="n">
        <v/>
      </c>
      <c r="N855" t="n">
        <v/>
      </c>
      <c r="O855" t="n">
        <v/>
      </c>
      <c r="P855" t="n">
        <v/>
      </c>
      <c r="Q855" t="n">
        <v/>
      </c>
      <c r="R855" t="n">
        <v/>
      </c>
      <c r="S855" t="n">
        <v/>
      </c>
      <c r="T855" t="n">
        <v/>
      </c>
      <c r="U855" t="n">
        <v/>
      </c>
      <c r="V855" t="n">
        <v/>
      </c>
      <c r="W855" t="n">
        <v/>
      </c>
      <c r="X855" t="n">
        <v/>
      </c>
      <c r="Y855" t="n">
        <v/>
      </c>
      <c r="Z855" t="n">
        <v/>
      </c>
      <c r="AA855" t="n">
        <v/>
      </c>
      <c r="AB855" t="n">
        <v/>
      </c>
      <c r="AC855" t="n">
        <v/>
      </c>
      <c r="AD855" t="n">
        <v/>
      </c>
      <c r="AE855" t="n">
        <v/>
      </c>
    </row>
    <row r="856">
      <c r="A856" s="90" t="n">
        <v>44621</v>
      </c>
      <c r="B856" t="n">
        <v/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/>
      </c>
      <c r="I856" t="n">
        <v/>
      </c>
      <c r="J856" t="n">
        <v/>
      </c>
      <c r="K856" t="n">
        <v/>
      </c>
      <c r="L856" t="n">
        <v/>
      </c>
      <c r="M856" t="n">
        <v/>
      </c>
      <c r="N856" t="n">
        <v/>
      </c>
      <c r="O856" t="n">
        <v/>
      </c>
      <c r="P856" t="n">
        <v/>
      </c>
      <c r="Q856" t="n">
        <v/>
      </c>
      <c r="R856" t="n">
        <v/>
      </c>
      <c r="S856" t="n">
        <v/>
      </c>
      <c r="T856" t="n">
        <v/>
      </c>
      <c r="U856" t="n">
        <v/>
      </c>
      <c r="V856" t="n">
        <v/>
      </c>
      <c r="W856" t="n">
        <v/>
      </c>
      <c r="X856" t="n">
        <v/>
      </c>
      <c r="Y856" t="n">
        <v/>
      </c>
      <c r="Z856" t="n">
        <v/>
      </c>
      <c r="AA856" t="n">
        <v/>
      </c>
      <c r="AB856" t="n">
        <v/>
      </c>
      <c r="AC856" t="n">
        <v/>
      </c>
      <c r="AD856" t="n">
        <v/>
      </c>
      <c r="AE856" t="n">
        <v/>
      </c>
    </row>
    <row r="857">
      <c r="A857" s="90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/>
      </c>
      <c r="AB857" t="n">
        <v/>
      </c>
      <c r="AC857" t="n">
        <v/>
      </c>
      <c r="AD857" t="n">
        <v/>
      </c>
      <c r="AE857" t="n">
        <v/>
      </c>
    </row>
    <row r="858">
      <c r="A858" s="90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90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90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90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90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90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workbookViewId="0">
      <selection activeCell="I68" sqref="I68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FFFF00"/>
    <outlinePr summaryBelow="1" summaryRight="1"/>
    <pageSetUpPr/>
  </sheetPr>
  <dimension ref="A1:B255"/>
  <sheetViews>
    <sheetView zoomScale="190" zoomScaleNormal="190" workbookViewId="0">
      <selection activeCell="D24" sqref="D24"/>
    </sheetView>
  </sheetViews>
  <sheetFormatPr baseColWidth="10" defaultColWidth="8.83203125" defaultRowHeight="15"/>
  <cols>
    <col width="26.33203125" customWidth="1" style="88" min="1" max="1"/>
  </cols>
  <sheetData>
    <row r="1">
      <c r="A1" s="65" t="inlineStr">
        <is>
          <t>FRED Graph Observations</t>
        </is>
      </c>
      <c r="B1" s="65" t="n"/>
    </row>
    <row r="2">
      <c r="A2" s="65" t="inlineStr">
        <is>
          <t>Federal Reserve Economic Data</t>
        </is>
      </c>
      <c r="B2" s="65" t="n"/>
    </row>
    <row r="3">
      <c r="A3" s="65" t="inlineStr">
        <is>
          <t>Link: https://fred.stlouisfed.org</t>
        </is>
      </c>
      <c r="B3" s="65" t="n"/>
    </row>
    <row r="4">
      <c r="A4" s="65" t="inlineStr">
        <is>
          <t>Help: https://fred.stlouisfed.org/help-faq</t>
        </is>
      </c>
      <c r="B4" s="65" t="n"/>
    </row>
    <row r="5">
      <c r="A5" s="65" t="inlineStr">
        <is>
          <t>Economic Research Division</t>
        </is>
      </c>
      <c r="B5" s="65" t="n"/>
    </row>
    <row r="6">
      <c r="A6" s="65" t="inlineStr">
        <is>
          <t>Federal Reserve Bank of St. Louis</t>
        </is>
      </c>
      <c r="B6" s="65" t="n"/>
    </row>
    <row r="8">
      <c r="A8" s="69" t="inlineStr">
        <is>
          <t>M2V</t>
        </is>
      </c>
      <c r="B8" s="65" t="inlineStr">
        <is>
          <t>Velocity of M2 Money Stock, Ratio, Quarterly, Seasonally Adjusted</t>
        </is>
      </c>
    </row>
    <row r="10">
      <c r="A10" s="65" t="inlineStr">
        <is>
          <t>Frequency: Quarterly</t>
        </is>
      </c>
      <c r="B10" s="65" t="n"/>
    </row>
    <row r="11">
      <c r="A11" s="65" t="inlineStr">
        <is>
          <t>Date</t>
        </is>
      </c>
      <c r="B11" s="65" t="inlineStr">
        <is>
          <t>Velocity of M2 Money Stock, Ratio, Quarterly, Seasonally Adjusted</t>
        </is>
      </c>
    </row>
    <row r="12">
      <c r="A12" s="66" t="n">
        <v>21551</v>
      </c>
      <c r="B12" s="67" t="n">
        <v>1.773</v>
      </c>
    </row>
    <row r="13">
      <c r="A13" s="66" t="n">
        <v>21641</v>
      </c>
      <c r="B13" s="67" t="n">
        <v>1.789</v>
      </c>
    </row>
    <row r="14">
      <c r="A14" s="66" t="n">
        <v>21732</v>
      </c>
      <c r="B14" s="67" t="n">
        <v>1.773</v>
      </c>
    </row>
    <row r="15">
      <c r="A15" s="66" t="n">
        <v>21824</v>
      </c>
      <c r="B15" s="67" t="n">
        <v>1.779</v>
      </c>
    </row>
    <row r="16">
      <c r="A16" s="66" t="n">
        <v>21916</v>
      </c>
      <c r="B16" s="67" t="n">
        <v>1.817</v>
      </c>
    </row>
    <row r="17">
      <c r="A17" s="66" t="n">
        <v>22007</v>
      </c>
      <c r="B17" s="67" t="n">
        <v>1.797</v>
      </c>
    </row>
    <row r="18">
      <c r="A18" s="66" t="n">
        <v>22098</v>
      </c>
      <c r="B18" s="67" t="n">
        <v>1.78</v>
      </c>
    </row>
    <row r="19">
      <c r="A19" s="66" t="n">
        <v>22190</v>
      </c>
      <c r="B19" s="67" t="n">
        <v>1.737</v>
      </c>
    </row>
    <row r="20">
      <c r="A20" s="66" t="n">
        <v>22282</v>
      </c>
      <c r="B20" s="67" t="n">
        <v>1.723</v>
      </c>
    </row>
    <row r="21">
      <c r="A21" s="66" t="n">
        <v>22372</v>
      </c>
      <c r="B21" s="67" t="n">
        <v>1.724</v>
      </c>
    </row>
    <row r="22">
      <c r="A22" s="66" t="n">
        <v>22463</v>
      </c>
      <c r="B22" s="67" t="n">
        <v>1.733</v>
      </c>
    </row>
    <row r="23">
      <c r="A23" s="66" t="n">
        <v>22555</v>
      </c>
      <c r="B23" s="67" t="n">
        <v>1.742</v>
      </c>
    </row>
    <row r="24">
      <c r="A24" s="66" t="n">
        <v>22647</v>
      </c>
      <c r="B24" s="67" t="n">
        <v>1.746</v>
      </c>
    </row>
    <row r="25">
      <c r="A25" s="66" t="n">
        <v>22737</v>
      </c>
      <c r="B25" s="67" t="n">
        <v>1.728</v>
      </c>
    </row>
    <row r="26">
      <c r="A26" s="66" t="n">
        <v>22828</v>
      </c>
      <c r="B26" s="67" t="n">
        <v>1.726</v>
      </c>
    </row>
    <row r="27">
      <c r="A27" s="66" t="n">
        <v>22920</v>
      </c>
      <c r="B27" s="67" t="n">
        <v>1.701</v>
      </c>
    </row>
    <row r="28">
      <c r="A28" s="66" t="n">
        <v>23012</v>
      </c>
      <c r="B28" s="67" t="n">
        <v>1.69</v>
      </c>
    </row>
    <row r="29">
      <c r="A29" s="66" t="n">
        <v>23102</v>
      </c>
      <c r="B29" s="67" t="n">
        <v>1.675</v>
      </c>
    </row>
    <row r="30">
      <c r="A30" s="66" t="n">
        <v>23193</v>
      </c>
      <c r="B30" s="67" t="n">
        <v>1.68</v>
      </c>
    </row>
    <row r="31">
      <c r="A31" s="66" t="n">
        <v>23285</v>
      </c>
      <c r="B31" s="67" t="n">
        <v>1.672</v>
      </c>
    </row>
    <row r="32">
      <c r="A32" s="66" t="n">
        <v>23377</v>
      </c>
      <c r="B32" s="67" t="n">
        <v>1.685</v>
      </c>
    </row>
    <row r="33">
      <c r="A33" s="66" t="n">
        <v>23468</v>
      </c>
      <c r="B33" s="67" t="n">
        <v>1.679</v>
      </c>
    </row>
    <row r="34">
      <c r="A34" s="66" t="n">
        <v>23559</v>
      </c>
      <c r="B34" s="67" t="n">
        <v>1.674</v>
      </c>
    </row>
    <row r="35">
      <c r="A35" s="66" t="n">
        <v>23651</v>
      </c>
      <c r="B35" s="67" t="n">
        <v>1.653</v>
      </c>
    </row>
    <row r="36">
      <c r="A36" s="66" t="n">
        <v>23743</v>
      </c>
      <c r="B36" s="67" t="n">
        <v>1.668</v>
      </c>
    </row>
    <row r="37">
      <c r="A37" s="66" t="n">
        <v>23833</v>
      </c>
      <c r="B37" s="67" t="n">
        <v>1.669</v>
      </c>
    </row>
    <row r="38">
      <c r="A38" s="66" t="n">
        <v>23924</v>
      </c>
      <c r="B38" s="67" t="n">
        <v>1.68</v>
      </c>
    </row>
    <row r="39">
      <c r="A39" s="66" t="n">
        <v>24016</v>
      </c>
      <c r="B39" s="67" t="n">
        <v>1.693</v>
      </c>
    </row>
    <row r="40">
      <c r="A40" s="66" t="n">
        <v>24108</v>
      </c>
      <c r="B40" s="67" t="n">
        <v>1.713</v>
      </c>
    </row>
    <row r="41">
      <c r="A41" s="66" t="n">
        <v>24198</v>
      </c>
      <c r="B41" s="67" t="n">
        <v>1.712</v>
      </c>
    </row>
    <row r="42">
      <c r="A42" s="66" t="n">
        <v>24289</v>
      </c>
      <c r="B42" s="67" t="n">
        <v>1.733</v>
      </c>
    </row>
    <row r="43">
      <c r="A43" s="66" t="n">
        <v>24381</v>
      </c>
      <c r="B43" s="67" t="n">
        <v>1.744</v>
      </c>
    </row>
    <row r="44">
      <c r="A44" s="66" t="n">
        <v>24473</v>
      </c>
      <c r="B44" s="67" t="n">
        <v>1.739</v>
      </c>
    </row>
    <row r="45">
      <c r="A45" s="66" t="n">
        <v>24563</v>
      </c>
      <c r="B45" s="67" t="n">
        <v>1.708</v>
      </c>
    </row>
    <row r="46">
      <c r="A46" s="66" t="n">
        <v>24654</v>
      </c>
      <c r="B46" s="67" t="n">
        <v>1.694</v>
      </c>
    </row>
    <row r="47">
      <c r="A47" s="66" t="n">
        <v>24746</v>
      </c>
      <c r="B47" s="67" t="n">
        <v>1.69</v>
      </c>
    </row>
    <row r="48">
      <c r="A48" s="66" t="n">
        <v>24838</v>
      </c>
      <c r="B48" s="67" t="n">
        <v>1.715</v>
      </c>
    </row>
    <row r="49">
      <c r="A49" s="66" t="n">
        <v>24929</v>
      </c>
      <c r="B49" s="67" t="n">
        <v>1.733</v>
      </c>
    </row>
    <row r="50">
      <c r="A50" s="66" t="n">
        <v>25020</v>
      </c>
      <c r="B50" s="67" t="n">
        <v>1.73</v>
      </c>
    </row>
    <row r="51">
      <c r="A51" s="66" t="n">
        <v>25112</v>
      </c>
      <c r="B51" s="67" t="n">
        <v>1.722</v>
      </c>
    </row>
    <row r="52">
      <c r="A52" s="66" t="n">
        <v>25204</v>
      </c>
      <c r="B52" s="67" t="n">
        <v>1.737</v>
      </c>
    </row>
    <row r="53">
      <c r="A53" s="66" t="n">
        <v>25294</v>
      </c>
      <c r="B53" s="67" t="n">
        <v>1.749</v>
      </c>
    </row>
    <row r="54">
      <c r="A54" s="66" t="n">
        <v>25385</v>
      </c>
      <c r="B54" s="67" t="n">
        <v>1.774</v>
      </c>
    </row>
    <row r="55">
      <c r="A55" s="66" t="n">
        <v>25477</v>
      </c>
      <c r="B55" s="67" t="n">
        <v>1.773</v>
      </c>
    </row>
    <row r="56">
      <c r="A56" s="66" t="n">
        <v>25569</v>
      </c>
      <c r="B56" s="67" t="n">
        <v>1.789</v>
      </c>
    </row>
    <row r="57">
      <c r="A57" s="66" t="n">
        <v>25659</v>
      </c>
      <c r="B57" s="67" t="n">
        <v>1.804</v>
      </c>
    </row>
    <row r="58">
      <c r="A58" s="66" t="n">
        <v>25750</v>
      </c>
      <c r="B58" s="67" t="n">
        <v>1.795</v>
      </c>
    </row>
    <row r="59">
      <c r="A59" s="66" t="n">
        <v>25842</v>
      </c>
      <c r="B59" s="67" t="n">
        <v>1.752</v>
      </c>
    </row>
    <row r="60">
      <c r="A60" s="66" t="n">
        <v>25934</v>
      </c>
      <c r="B60" s="67" t="n">
        <v>1.77</v>
      </c>
    </row>
    <row r="61">
      <c r="A61" s="66" t="n">
        <v>26024</v>
      </c>
      <c r="B61" s="67" t="n">
        <v>1.736</v>
      </c>
    </row>
    <row r="62">
      <c r="A62" s="66" t="n">
        <v>26115</v>
      </c>
      <c r="B62" s="67" t="n">
        <v>1.717</v>
      </c>
    </row>
    <row r="63">
      <c r="A63" s="66" t="n">
        <v>26207</v>
      </c>
      <c r="B63" s="67" t="n">
        <v>1.69</v>
      </c>
    </row>
    <row r="64">
      <c r="A64" s="66" t="n">
        <v>26299</v>
      </c>
      <c r="B64" s="67" t="n">
        <v>1.696</v>
      </c>
    </row>
    <row r="65">
      <c r="A65" s="66" t="n">
        <v>26390</v>
      </c>
      <c r="B65" s="67" t="n">
        <v>1.703</v>
      </c>
    </row>
    <row r="66">
      <c r="A66" s="66" t="n">
        <v>26481</v>
      </c>
      <c r="B66" s="67" t="n">
        <v>1.679</v>
      </c>
    </row>
    <row r="67">
      <c r="A67" s="66" t="n">
        <v>26573</v>
      </c>
      <c r="B67" s="67" t="n">
        <v>1.673</v>
      </c>
    </row>
    <row r="68">
      <c r="A68" s="66" t="n">
        <v>26665</v>
      </c>
      <c r="B68" s="67" t="n">
        <v>1.694</v>
      </c>
    </row>
    <row r="69">
      <c r="A69" s="66" t="n">
        <v>26755</v>
      </c>
      <c r="B69" s="67" t="n">
        <v>1.711</v>
      </c>
    </row>
    <row r="70">
      <c r="A70" s="66" t="n">
        <v>26846</v>
      </c>
      <c r="B70" s="67" t="n">
        <v>1.711</v>
      </c>
    </row>
    <row r="71">
      <c r="A71" s="66" t="n">
        <v>26938</v>
      </c>
      <c r="B71" s="67" t="n">
        <v>1.739</v>
      </c>
    </row>
    <row r="72">
      <c r="A72" s="66" t="n">
        <v>27030</v>
      </c>
      <c r="B72" s="67" t="n">
        <v>1.725</v>
      </c>
    </row>
    <row r="73">
      <c r="A73" s="66" t="n">
        <v>27120</v>
      </c>
      <c r="B73" s="67" t="n">
        <v>1.748</v>
      </c>
    </row>
    <row r="74">
      <c r="A74" s="66" t="n">
        <v>27211</v>
      </c>
      <c r="B74" s="67" t="n">
        <v>1.764</v>
      </c>
    </row>
    <row r="75">
      <c r="A75" s="66" t="n">
        <v>27303</v>
      </c>
      <c r="B75" s="67" t="n">
        <v>1.781</v>
      </c>
    </row>
    <row r="76">
      <c r="A76" s="66" t="n">
        <v>27395</v>
      </c>
      <c r="B76" s="67" t="n">
        <v>1.766</v>
      </c>
    </row>
    <row r="77">
      <c r="A77" s="66" t="n">
        <v>27485</v>
      </c>
      <c r="B77" s="67" t="n">
        <v>1.741</v>
      </c>
    </row>
    <row r="78">
      <c r="A78" s="66" t="n">
        <v>27576</v>
      </c>
      <c r="B78" s="67" t="n">
        <v>1.739</v>
      </c>
    </row>
    <row r="79">
      <c r="A79" s="66" t="n">
        <v>27668</v>
      </c>
      <c r="B79" s="67" t="n">
        <v>1.75</v>
      </c>
    </row>
    <row r="80">
      <c r="A80" s="66" t="n">
        <v>27760</v>
      </c>
      <c r="B80" s="67" t="n">
        <v>1.752</v>
      </c>
    </row>
    <row r="81">
      <c r="A81" s="66" t="n">
        <v>27851</v>
      </c>
      <c r="B81" s="67" t="n">
        <v>1.731</v>
      </c>
    </row>
    <row r="82">
      <c r="A82" s="66" t="n">
        <v>27942</v>
      </c>
      <c r="B82" s="67" t="n">
        <v>1.717</v>
      </c>
    </row>
    <row r="83">
      <c r="A83" s="66" t="n">
        <v>28034</v>
      </c>
      <c r="B83" s="67" t="n">
        <v>1.699</v>
      </c>
    </row>
    <row r="84">
      <c r="A84" s="66" t="n">
        <v>28126</v>
      </c>
      <c r="B84" s="67" t="n">
        <v>1.689</v>
      </c>
    </row>
    <row r="85">
      <c r="A85" s="66" t="n">
        <v>28216</v>
      </c>
      <c r="B85" s="67" t="n">
        <v>1.701</v>
      </c>
    </row>
    <row r="86">
      <c r="A86" s="66" t="n">
        <v>28307</v>
      </c>
      <c r="B86" s="67" t="n">
        <v>1.713</v>
      </c>
    </row>
    <row r="87">
      <c r="A87" s="66" t="n">
        <v>28399</v>
      </c>
      <c r="B87" s="67" t="n">
        <v>1.715</v>
      </c>
    </row>
    <row r="88">
      <c r="A88" s="66" t="n">
        <v>28491</v>
      </c>
      <c r="B88" s="67" t="n">
        <v>1.713</v>
      </c>
    </row>
    <row r="89">
      <c r="A89" s="66" t="n">
        <v>28581</v>
      </c>
      <c r="B89" s="67" t="n">
        <v>1.78</v>
      </c>
    </row>
    <row r="90">
      <c r="A90" s="66" t="n">
        <v>28672</v>
      </c>
      <c r="B90" s="67" t="n">
        <v>1.795</v>
      </c>
    </row>
    <row r="91">
      <c r="A91" s="66" t="n">
        <v>28764</v>
      </c>
      <c r="B91" s="67" t="n">
        <v>1.822</v>
      </c>
    </row>
    <row r="92">
      <c r="A92" s="66" t="n">
        <v>28856</v>
      </c>
      <c r="B92" s="67" t="n">
        <v>1.832</v>
      </c>
    </row>
    <row r="93">
      <c r="A93" s="66" t="n">
        <v>28946</v>
      </c>
      <c r="B93" s="67" t="n">
        <v>1.835</v>
      </c>
    </row>
    <row r="94">
      <c r="A94" s="66" t="n">
        <v>29037</v>
      </c>
      <c r="B94" s="67" t="n">
        <v>1.846</v>
      </c>
    </row>
    <row r="95">
      <c r="A95" s="66" t="n">
        <v>29129</v>
      </c>
      <c r="B95" s="67" t="n">
        <v>1.857</v>
      </c>
    </row>
    <row r="96">
      <c r="A96" s="66" t="n">
        <v>29221</v>
      </c>
      <c r="B96" s="67" t="n">
        <v>1.869</v>
      </c>
    </row>
    <row r="97">
      <c r="A97" s="66" t="n">
        <v>29312</v>
      </c>
      <c r="B97" s="67" t="n">
        <v>1.847</v>
      </c>
    </row>
    <row r="98">
      <c r="A98" s="66" t="n">
        <v>29403</v>
      </c>
      <c r="B98" s="67" t="n">
        <v>1.831</v>
      </c>
    </row>
    <row r="99">
      <c r="A99" s="66" t="n">
        <v>29495</v>
      </c>
      <c r="B99" s="67" t="n">
        <v>1.874</v>
      </c>
    </row>
    <row r="100">
      <c r="A100" s="66" t="n">
        <v>29587</v>
      </c>
      <c r="B100" s="67" t="n">
        <v>1.928</v>
      </c>
    </row>
    <row r="101">
      <c r="A101" s="66" t="n">
        <v>29677</v>
      </c>
      <c r="B101" s="67" t="n">
        <v>1.9</v>
      </c>
    </row>
    <row r="102">
      <c r="A102" s="66" t="n">
        <v>29768</v>
      </c>
      <c r="B102" s="67" t="n">
        <v>1.925</v>
      </c>
    </row>
    <row r="103">
      <c r="A103" s="66" t="n">
        <v>29860</v>
      </c>
      <c r="B103" s="67" t="n">
        <v>1.888</v>
      </c>
    </row>
    <row r="104">
      <c r="A104" s="66" t="n">
        <v>29952</v>
      </c>
      <c r="B104" s="67" t="n">
        <v>1.842</v>
      </c>
    </row>
    <row r="105">
      <c r="A105" s="66" t="n">
        <v>30042</v>
      </c>
      <c r="B105" s="67" t="n">
        <v>1.836</v>
      </c>
    </row>
    <row r="106">
      <c r="A106" s="66" t="n">
        <v>30133</v>
      </c>
      <c r="B106" s="67" t="n">
        <v>1.825</v>
      </c>
    </row>
    <row r="107">
      <c r="A107" s="66" t="n">
        <v>30225</v>
      </c>
      <c r="B107" s="67" t="n">
        <v>1.804</v>
      </c>
    </row>
    <row r="108">
      <c r="A108" s="66" t="n">
        <v>30317</v>
      </c>
      <c r="B108" s="67" t="n">
        <v>1.745</v>
      </c>
    </row>
    <row r="109">
      <c r="A109" s="66" t="n">
        <v>30407</v>
      </c>
      <c r="B109" s="67" t="n">
        <v>1.753</v>
      </c>
    </row>
    <row r="110">
      <c r="A110" s="66" t="n">
        <v>30498</v>
      </c>
      <c r="B110" s="67" t="n">
        <v>1.779</v>
      </c>
    </row>
    <row r="111">
      <c r="A111" s="66" t="n">
        <v>30590</v>
      </c>
      <c r="B111" s="67" t="n">
        <v>1.797</v>
      </c>
    </row>
    <row r="112">
      <c r="A112" s="66" t="n">
        <v>30682</v>
      </c>
      <c r="B112" s="67" t="n">
        <v>1.812</v>
      </c>
    </row>
    <row r="113">
      <c r="A113" s="66" t="n">
        <v>30773</v>
      </c>
      <c r="B113" s="67" t="n">
        <v>1.82</v>
      </c>
    </row>
    <row r="114">
      <c r="A114" s="66" t="n">
        <v>30864</v>
      </c>
      <c r="B114" s="67" t="n">
        <v>1.829</v>
      </c>
    </row>
    <row r="115">
      <c r="A115" s="66" t="n">
        <v>30956</v>
      </c>
      <c r="B115" s="67" t="n">
        <v>1.818</v>
      </c>
    </row>
    <row r="116">
      <c r="A116" s="66" t="n">
        <v>31048</v>
      </c>
      <c r="B116" s="67" t="n">
        <v>1.799</v>
      </c>
    </row>
    <row r="117">
      <c r="A117" s="66" t="n">
        <v>31138</v>
      </c>
      <c r="B117" s="67" t="n">
        <v>1.795</v>
      </c>
    </row>
    <row r="118">
      <c r="A118" s="66" t="n">
        <v>31229</v>
      </c>
      <c r="B118" s="67" t="n">
        <v>1.795</v>
      </c>
    </row>
    <row r="119">
      <c r="A119" s="66" t="n">
        <v>31321</v>
      </c>
      <c r="B119" s="67" t="n">
        <v>1.792</v>
      </c>
    </row>
    <row r="120">
      <c r="A120" s="66" t="n">
        <v>31413</v>
      </c>
      <c r="B120" s="67" t="n">
        <v>1.792</v>
      </c>
    </row>
    <row r="121">
      <c r="A121" s="66" t="n">
        <v>31503</v>
      </c>
      <c r="B121" s="67" t="n">
        <v>1.76</v>
      </c>
    </row>
    <row r="122">
      <c r="A122" s="66" t="n">
        <v>31594</v>
      </c>
      <c r="B122" s="67" t="n">
        <v>1.741</v>
      </c>
    </row>
    <row r="123">
      <c r="A123" s="66" t="n">
        <v>31686</v>
      </c>
      <c r="B123" s="67" t="n">
        <v>1.721</v>
      </c>
    </row>
    <row r="124">
      <c r="A124" s="66" t="n">
        <v>31778</v>
      </c>
      <c r="B124" s="67" t="n">
        <v>1.718</v>
      </c>
    </row>
    <row r="125">
      <c r="A125" s="66" t="n">
        <v>31868</v>
      </c>
      <c r="B125" s="67" t="n">
        <v>1.734</v>
      </c>
    </row>
    <row r="126">
      <c r="A126" s="66" t="n">
        <v>31959</v>
      </c>
      <c r="B126" s="67" t="n">
        <v>1.751</v>
      </c>
    </row>
    <row r="127">
      <c r="A127" s="66" t="n">
        <v>32051</v>
      </c>
      <c r="B127" s="67" t="n">
        <v>1.776</v>
      </c>
    </row>
    <row r="128">
      <c r="A128" s="66" t="n">
        <v>32143</v>
      </c>
      <c r="B128" s="67" t="n">
        <v>1.768</v>
      </c>
    </row>
    <row r="129">
      <c r="A129" s="66" t="n">
        <v>32234</v>
      </c>
      <c r="B129" s="67" t="n">
        <v>1.774</v>
      </c>
    </row>
    <row r="130">
      <c r="A130" s="66" t="n">
        <v>32325</v>
      </c>
      <c r="B130" s="67" t="n">
        <v>1.79</v>
      </c>
    </row>
    <row r="131">
      <c r="A131" s="66" t="n">
        <v>32417</v>
      </c>
      <c r="B131" s="67" t="n">
        <v>1.813</v>
      </c>
    </row>
    <row r="132">
      <c r="A132" s="66" t="n">
        <v>32509</v>
      </c>
      <c r="B132" s="67" t="n">
        <v>1.84</v>
      </c>
    </row>
    <row r="133">
      <c r="A133" s="66" t="n">
        <v>32599</v>
      </c>
      <c r="B133" s="67" t="n">
        <v>1.861</v>
      </c>
    </row>
    <row r="134">
      <c r="A134" s="66" t="n">
        <v>32690</v>
      </c>
      <c r="B134" s="67" t="n">
        <v>1.853</v>
      </c>
    </row>
    <row r="135">
      <c r="A135" s="66" t="n">
        <v>32782</v>
      </c>
      <c r="B135" s="67" t="n">
        <v>1.834</v>
      </c>
    </row>
    <row r="136">
      <c r="A136" s="66" t="n">
        <v>32874</v>
      </c>
      <c r="B136" s="67" t="n">
        <v>1.848</v>
      </c>
    </row>
    <row r="137">
      <c r="A137" s="66" t="n">
        <v>32964</v>
      </c>
      <c r="B137" s="67" t="n">
        <v>1.859</v>
      </c>
    </row>
    <row r="138">
      <c r="A138" s="66" t="n">
        <v>33055</v>
      </c>
      <c r="B138" s="67" t="n">
        <v>1.856</v>
      </c>
    </row>
    <row r="139">
      <c r="A139" s="66" t="n">
        <v>33147</v>
      </c>
      <c r="B139" s="67" t="n">
        <v>1.839</v>
      </c>
    </row>
    <row r="140">
      <c r="A140" s="66" t="n">
        <v>33239</v>
      </c>
      <c r="B140" s="67" t="n">
        <v>1.826</v>
      </c>
    </row>
    <row r="141">
      <c r="A141" s="66" t="n">
        <v>33329</v>
      </c>
      <c r="B141" s="67" t="n">
        <v>1.833</v>
      </c>
    </row>
    <row r="142">
      <c r="A142" s="66" t="n">
        <v>33420</v>
      </c>
      <c r="B142" s="67" t="n">
        <v>1.85</v>
      </c>
    </row>
    <row r="143">
      <c r="A143" s="66" t="n">
        <v>33512</v>
      </c>
      <c r="B143" s="67" t="n">
        <v>1.861</v>
      </c>
    </row>
    <row r="144">
      <c r="A144" s="66" t="n">
        <v>33604</v>
      </c>
      <c r="B144" s="67" t="n">
        <v>1.874</v>
      </c>
    </row>
    <row r="145">
      <c r="A145" s="66" t="n">
        <v>33695</v>
      </c>
      <c r="B145" s="67" t="n">
        <v>1.905</v>
      </c>
    </row>
    <row r="146">
      <c r="A146" s="66" t="n">
        <v>33786</v>
      </c>
      <c r="B146" s="67" t="n">
        <v>1.931</v>
      </c>
    </row>
    <row r="147">
      <c r="A147" s="66" t="n">
        <v>33878</v>
      </c>
      <c r="B147" s="67" t="n">
        <v>1.951</v>
      </c>
    </row>
    <row r="148">
      <c r="A148" s="66" t="n">
        <v>33970</v>
      </c>
      <c r="B148" s="67" t="n">
        <v>1.971</v>
      </c>
    </row>
    <row r="149">
      <c r="A149" s="66" t="n">
        <v>34060</v>
      </c>
      <c r="B149" s="67" t="n">
        <v>1.985</v>
      </c>
    </row>
    <row r="150">
      <c r="A150" s="66" t="n">
        <v>34151</v>
      </c>
      <c r="B150" s="67" t="n">
        <v>1.997</v>
      </c>
    </row>
    <row r="151">
      <c r="A151" s="66" t="n">
        <v>34243</v>
      </c>
      <c r="B151" s="67" t="n">
        <v>2.023</v>
      </c>
    </row>
    <row r="152">
      <c r="A152" s="66" t="n">
        <v>34335</v>
      </c>
      <c r="B152" s="67" t="n">
        <v>2.047</v>
      </c>
    </row>
    <row r="153">
      <c r="A153" s="66" t="n">
        <v>34425</v>
      </c>
      <c r="B153" s="67" t="n">
        <v>2.08</v>
      </c>
    </row>
    <row r="154">
      <c r="A154" s="66" t="n">
        <v>34516</v>
      </c>
      <c r="B154" s="67" t="n">
        <v>2.103</v>
      </c>
    </row>
    <row r="155">
      <c r="A155" s="66" t="n">
        <v>34608</v>
      </c>
      <c r="B155" s="67" t="n">
        <v>2.139</v>
      </c>
    </row>
    <row r="156">
      <c r="A156" s="66" t="n">
        <v>34700</v>
      </c>
      <c r="B156" s="67" t="n">
        <v>2.155</v>
      </c>
    </row>
    <row r="157">
      <c r="A157" s="66" t="n">
        <v>34790</v>
      </c>
      <c r="B157" s="67" t="n">
        <v>2.151</v>
      </c>
    </row>
    <row r="158">
      <c r="A158" s="66" t="n">
        <v>34881</v>
      </c>
      <c r="B158" s="67" t="n">
        <v>2.142</v>
      </c>
    </row>
    <row r="159">
      <c r="A159" s="66" t="n">
        <v>34973</v>
      </c>
      <c r="B159" s="67" t="n">
        <v>2.147</v>
      </c>
    </row>
    <row r="160">
      <c r="A160" s="66" t="n">
        <v>35065</v>
      </c>
      <c r="B160" s="67" t="n">
        <v>2.147</v>
      </c>
    </row>
    <row r="161">
      <c r="A161" s="66" t="n">
        <v>35156</v>
      </c>
      <c r="B161" s="67" t="n">
        <v>2.165</v>
      </c>
    </row>
    <row r="162">
      <c r="A162" s="66" t="n">
        <v>35247</v>
      </c>
      <c r="B162" s="67" t="n">
        <v>2.171</v>
      </c>
    </row>
    <row r="163">
      <c r="A163" s="66" t="n">
        <v>35339</v>
      </c>
      <c r="B163" s="67" t="n">
        <v>2.179</v>
      </c>
    </row>
    <row r="164">
      <c r="A164" s="66" t="n">
        <v>35431</v>
      </c>
      <c r="B164" s="67" t="n">
        <v>2.179</v>
      </c>
    </row>
    <row r="165">
      <c r="A165" s="66" t="n">
        <v>35521</v>
      </c>
      <c r="B165" s="67" t="n">
        <v>2.195</v>
      </c>
    </row>
    <row r="166">
      <c r="A166" s="66" t="n">
        <v>35612</v>
      </c>
      <c r="B166" s="67" t="n">
        <v>2.198</v>
      </c>
    </row>
    <row r="167">
      <c r="A167" s="66" t="n">
        <v>35704</v>
      </c>
      <c r="B167" s="67" t="n">
        <v>2.19</v>
      </c>
    </row>
    <row r="168">
      <c r="A168" s="66" t="n">
        <v>35796</v>
      </c>
      <c r="B168" s="67" t="n">
        <v>2.175</v>
      </c>
    </row>
    <row r="169">
      <c r="A169" s="66" t="n">
        <v>35886</v>
      </c>
      <c r="B169" s="67" t="n">
        <v>2.16</v>
      </c>
    </row>
    <row r="170">
      <c r="A170" s="66" t="n">
        <v>35977</v>
      </c>
      <c r="B170" s="67" t="n">
        <v>2.16</v>
      </c>
    </row>
    <row r="171">
      <c r="A171" s="66" t="n">
        <v>36069</v>
      </c>
      <c r="B171" s="67" t="n">
        <v>2.145</v>
      </c>
    </row>
    <row r="172">
      <c r="A172" s="66" t="n">
        <v>36161</v>
      </c>
      <c r="B172" s="67" t="n">
        <v>2.136</v>
      </c>
    </row>
    <row r="173">
      <c r="A173" s="66" t="n">
        <v>36251</v>
      </c>
      <c r="B173" s="67" t="n">
        <v>2.129</v>
      </c>
    </row>
    <row r="174">
      <c r="A174" s="66" t="n">
        <v>36342</v>
      </c>
      <c r="B174" s="67" t="n">
        <v>2.132</v>
      </c>
    </row>
    <row r="175">
      <c r="A175" s="66" t="n">
        <v>36434</v>
      </c>
      <c r="B175" s="67" t="n">
        <v>2.151</v>
      </c>
    </row>
    <row r="176">
      <c r="A176" s="66" t="n">
        <v>36526</v>
      </c>
      <c r="B176" s="67" t="n">
        <v>2.14</v>
      </c>
    </row>
    <row r="177">
      <c r="A177" s="66" t="n">
        <v>36617</v>
      </c>
      <c r="B177" s="67" t="n">
        <v>2.156</v>
      </c>
    </row>
    <row r="178">
      <c r="A178" s="66" t="n">
        <v>36708</v>
      </c>
      <c r="B178" s="67" t="n">
        <v>2.146</v>
      </c>
    </row>
    <row r="179">
      <c r="A179" s="66" t="n">
        <v>36800</v>
      </c>
      <c r="B179" s="67" t="n">
        <v>2.139</v>
      </c>
    </row>
    <row r="180">
      <c r="A180" s="66" t="n">
        <v>36892</v>
      </c>
      <c r="B180" s="67" t="n">
        <v>2.091</v>
      </c>
    </row>
    <row r="181">
      <c r="A181" s="66" t="n">
        <v>36982</v>
      </c>
      <c r="B181" s="67" t="n">
        <v>2.064</v>
      </c>
    </row>
    <row r="182">
      <c r="A182" s="66" t="n">
        <v>37073</v>
      </c>
      <c r="B182" s="67" t="n">
        <v>2.018</v>
      </c>
    </row>
    <row r="183">
      <c r="A183" s="66" t="n">
        <v>37165</v>
      </c>
      <c r="B183" s="67" t="n">
        <v>1.985</v>
      </c>
    </row>
    <row r="184">
      <c r="A184" s="66" t="n">
        <v>37257</v>
      </c>
      <c r="B184" s="67" t="n">
        <v>1.974</v>
      </c>
    </row>
    <row r="185">
      <c r="A185" s="66" t="n">
        <v>37347</v>
      </c>
      <c r="B185" s="67" t="n">
        <v>1.977</v>
      </c>
    </row>
    <row r="186">
      <c r="A186" s="66" t="n">
        <v>37438</v>
      </c>
      <c r="B186" s="67" t="n">
        <v>1.958</v>
      </c>
    </row>
    <row r="187">
      <c r="A187" s="66" t="n">
        <v>37530</v>
      </c>
      <c r="B187" s="67" t="n">
        <v>1.933</v>
      </c>
    </row>
    <row r="188">
      <c r="A188" s="66" t="n">
        <v>37622</v>
      </c>
      <c r="B188" s="67" t="n">
        <v>1.92</v>
      </c>
    </row>
    <row r="189">
      <c r="A189" s="66" t="n">
        <v>37712</v>
      </c>
      <c r="B189" s="67" t="n">
        <v>1.905</v>
      </c>
    </row>
    <row r="190">
      <c r="A190" s="66" t="n">
        <v>37803</v>
      </c>
      <c r="B190" s="67" t="n">
        <v>1.909</v>
      </c>
    </row>
    <row r="191">
      <c r="A191" s="66" t="n">
        <v>37895</v>
      </c>
      <c r="B191" s="67" t="n">
        <v>1.944</v>
      </c>
    </row>
    <row r="192">
      <c r="A192" s="66" t="n">
        <v>37987</v>
      </c>
      <c r="B192" s="67" t="n">
        <v>1.954</v>
      </c>
    </row>
    <row r="193">
      <c r="A193" s="66" t="n">
        <v>38078</v>
      </c>
      <c r="B193" s="67" t="n">
        <v>1.944</v>
      </c>
    </row>
    <row r="194">
      <c r="A194" s="66" t="n">
        <v>38169</v>
      </c>
      <c r="B194" s="67" t="n">
        <v>1.953</v>
      </c>
    </row>
    <row r="195">
      <c r="A195" s="66" t="n">
        <v>38261</v>
      </c>
      <c r="B195" s="67" t="n">
        <v>1.962</v>
      </c>
    </row>
    <row r="196">
      <c r="A196" s="66" t="n">
        <v>38353</v>
      </c>
      <c r="B196" s="67" t="n">
        <v>1.988</v>
      </c>
    </row>
    <row r="197">
      <c r="A197" s="66" t="n">
        <v>38443</v>
      </c>
      <c r="B197" s="67" t="n">
        <v>1.997</v>
      </c>
    </row>
    <row r="198">
      <c r="A198" s="66" t="n">
        <v>38534</v>
      </c>
      <c r="B198" s="67" t="n">
        <v>2.004</v>
      </c>
    </row>
    <row r="199">
      <c r="A199" s="66" t="n">
        <v>38626</v>
      </c>
      <c r="B199" s="67" t="n">
        <v>2.006</v>
      </c>
    </row>
    <row r="200">
      <c r="A200" s="66" t="n">
        <v>38718</v>
      </c>
      <c r="B200" s="67" t="n">
        <v>2.021</v>
      </c>
    </row>
    <row r="201">
      <c r="A201" s="66" t="n">
        <v>38808</v>
      </c>
      <c r="B201" s="67" t="n">
        <v>2.021</v>
      </c>
    </row>
    <row r="202">
      <c r="A202" s="66" t="n">
        <v>38899</v>
      </c>
      <c r="B202" s="67" t="n">
        <v>2.009</v>
      </c>
    </row>
    <row r="203">
      <c r="A203" s="66" t="n">
        <v>38991</v>
      </c>
      <c r="B203" s="67" t="n">
        <v>2</v>
      </c>
    </row>
    <row r="204">
      <c r="A204" s="66" t="n">
        <v>39083</v>
      </c>
      <c r="B204" s="67" t="n">
        <v>1.996</v>
      </c>
    </row>
    <row r="205">
      <c r="A205" s="66" t="n">
        <v>39173</v>
      </c>
      <c r="B205" s="67" t="n">
        <v>1.987</v>
      </c>
    </row>
    <row r="206">
      <c r="A206" s="66" t="n">
        <v>39264</v>
      </c>
      <c r="B206" s="67" t="n">
        <v>1.977</v>
      </c>
    </row>
    <row r="207">
      <c r="A207" s="66" t="n">
        <v>39356</v>
      </c>
      <c r="B207" s="67" t="n">
        <v>1.976</v>
      </c>
    </row>
    <row r="208">
      <c r="A208" s="66" t="n">
        <v>39448</v>
      </c>
      <c r="B208" s="67" t="n">
        <v>1.935</v>
      </c>
    </row>
    <row r="209">
      <c r="A209" s="66" t="n">
        <v>39539</v>
      </c>
      <c r="B209" s="67" t="n">
        <v>1.923</v>
      </c>
    </row>
    <row r="210">
      <c r="A210" s="66" t="n">
        <v>39630</v>
      </c>
      <c r="B210" s="67" t="n">
        <v>1.903</v>
      </c>
    </row>
    <row r="211">
      <c r="A211" s="66" t="n">
        <v>39722</v>
      </c>
      <c r="B211" s="67" t="n">
        <v>1.809</v>
      </c>
    </row>
    <row r="212">
      <c r="A212" s="66" t="n">
        <v>39814</v>
      </c>
      <c r="B212" s="67" t="n">
        <v>1.733</v>
      </c>
    </row>
    <row r="213">
      <c r="A213" s="66" t="n">
        <v>39904</v>
      </c>
      <c r="B213" s="67" t="n">
        <v>1.708</v>
      </c>
    </row>
    <row r="214">
      <c r="A214" s="66" t="n">
        <v>39995</v>
      </c>
      <c r="B214" s="67" t="n">
        <v>1.71</v>
      </c>
    </row>
    <row r="215">
      <c r="A215" s="66" t="n">
        <v>40087</v>
      </c>
      <c r="B215" s="67" t="n">
        <v>1.726</v>
      </c>
    </row>
    <row r="216">
      <c r="A216" s="66" t="n">
        <v>40179</v>
      </c>
      <c r="B216" s="67" t="n">
        <v>1.736</v>
      </c>
    </row>
    <row r="217">
      <c r="A217" s="66" t="n">
        <v>40269</v>
      </c>
      <c r="B217" s="67" t="n">
        <v>1.743</v>
      </c>
    </row>
    <row r="218">
      <c r="A218" s="66" t="n">
        <v>40360</v>
      </c>
      <c r="B218" s="67" t="n">
        <v>1.743</v>
      </c>
    </row>
    <row r="219">
      <c r="A219" s="66" t="n">
        <v>40452</v>
      </c>
      <c r="B219" s="67" t="n">
        <v>1.74</v>
      </c>
    </row>
    <row r="220">
      <c r="A220" s="66" t="n">
        <v>40544</v>
      </c>
      <c r="B220" s="67" t="n">
        <v>1.723</v>
      </c>
    </row>
    <row r="221">
      <c r="A221" s="66" t="n">
        <v>40634</v>
      </c>
      <c r="B221" s="67" t="n">
        <v>1.714</v>
      </c>
    </row>
    <row r="222">
      <c r="A222" s="66" t="n">
        <v>40725</v>
      </c>
      <c r="B222" s="67" t="n">
        <v>1.65</v>
      </c>
    </row>
    <row r="223">
      <c r="A223" s="66" t="n">
        <v>40817</v>
      </c>
      <c r="B223" s="67" t="n">
        <v>1.643</v>
      </c>
    </row>
    <row r="224">
      <c r="A224" s="66" t="n">
        <v>40909</v>
      </c>
      <c r="B224" s="67" t="n">
        <v>1.639</v>
      </c>
    </row>
    <row r="225">
      <c r="A225" s="66" t="n">
        <v>41000</v>
      </c>
      <c r="B225" s="67" t="n">
        <v>1.629</v>
      </c>
    </row>
    <row r="226">
      <c r="A226" s="66" t="n">
        <v>41091</v>
      </c>
      <c r="B226" s="67" t="n">
        <v>1.606</v>
      </c>
    </row>
    <row r="227">
      <c r="A227" s="66" t="n">
        <v>41183</v>
      </c>
      <c r="B227" s="67" t="n">
        <v>1.582</v>
      </c>
    </row>
    <row r="228">
      <c r="A228" s="66" t="n">
        <v>41275</v>
      </c>
      <c r="B228" s="67" t="n">
        <v>1.579</v>
      </c>
    </row>
    <row r="229">
      <c r="A229" s="66" t="n">
        <v>41365</v>
      </c>
      <c r="B229" s="67" t="n">
        <v>1.567</v>
      </c>
    </row>
    <row r="230">
      <c r="A230" s="66" t="n">
        <v>41456</v>
      </c>
      <c r="B230" s="67" t="n">
        <v>1.563</v>
      </c>
    </row>
    <row r="231">
      <c r="A231" s="66" t="n">
        <v>41548</v>
      </c>
      <c r="B231" s="67" t="n">
        <v>1.557</v>
      </c>
    </row>
    <row r="232">
      <c r="A232" s="66" t="n">
        <v>41640</v>
      </c>
      <c r="B232" s="67" t="n">
        <v>1.536</v>
      </c>
    </row>
    <row r="233">
      <c r="A233" s="66" t="n">
        <v>41730</v>
      </c>
      <c r="B233" s="67" t="n">
        <v>1.541</v>
      </c>
    </row>
    <row r="234">
      <c r="A234" s="66" t="n">
        <v>41821</v>
      </c>
      <c r="B234" s="67" t="n">
        <v>1.546</v>
      </c>
    </row>
    <row r="235">
      <c r="A235" s="66" t="n">
        <v>41913</v>
      </c>
      <c r="B235" s="67" t="n">
        <v>1.538</v>
      </c>
    </row>
    <row r="236">
      <c r="A236" s="66" t="n">
        <v>42005</v>
      </c>
      <c r="B236" s="67" t="n">
        <v>1.522</v>
      </c>
    </row>
    <row r="237">
      <c r="A237" s="66" t="n">
        <v>42095</v>
      </c>
      <c r="B237" s="67" t="n">
        <v>1.524</v>
      </c>
    </row>
    <row r="238">
      <c r="A238" s="66" t="n">
        <v>42186</v>
      </c>
      <c r="B238" s="67" t="n">
        <v>1.516</v>
      </c>
    </row>
    <row r="239">
      <c r="A239" s="66" t="n">
        <v>42278</v>
      </c>
      <c r="B239" s="67" t="n">
        <v>1.496</v>
      </c>
    </row>
    <row r="240">
      <c r="A240" s="66" t="n">
        <v>42370</v>
      </c>
      <c r="B240" s="67" t="n">
        <v>1.47</v>
      </c>
    </row>
    <row r="241">
      <c r="A241" s="66" t="n">
        <v>42461</v>
      </c>
      <c r="B241" s="67" t="n">
        <v>1.461</v>
      </c>
    </row>
    <row r="242">
      <c r="A242" s="66" t="n">
        <v>42552</v>
      </c>
      <c r="B242" s="67" t="n">
        <v>1.451</v>
      </c>
    </row>
    <row r="243">
      <c r="A243" s="66" t="n">
        <v>42644</v>
      </c>
      <c r="B243" s="67" t="n">
        <v>1.444</v>
      </c>
    </row>
    <row r="244">
      <c r="A244" s="66" t="n">
        <v>42736</v>
      </c>
      <c r="B244" s="67" t="n">
        <v>1.438</v>
      </c>
    </row>
    <row r="245">
      <c r="A245" s="66" t="n">
        <v>42826</v>
      </c>
      <c r="B245" s="67" t="n">
        <v>1.432</v>
      </c>
    </row>
    <row r="246">
      <c r="A246" s="66" t="n">
        <v>42917</v>
      </c>
      <c r="B246" s="67" t="n">
        <v>1.435</v>
      </c>
    </row>
    <row r="247">
      <c r="A247" s="66" t="n">
        <v>43009</v>
      </c>
      <c r="B247" s="67" t="n">
        <v>1.443</v>
      </c>
    </row>
    <row r="248">
      <c r="A248" s="66" t="n">
        <v>43101</v>
      </c>
      <c r="B248" s="67" t="n">
        <v>1.45</v>
      </c>
    </row>
    <row r="249">
      <c r="A249" s="66" t="n">
        <v>43191</v>
      </c>
      <c r="B249" s="67" t="n">
        <v>1.459</v>
      </c>
    </row>
    <row r="250">
      <c r="A250" s="66" t="n">
        <v>43282</v>
      </c>
      <c r="B250" s="67" t="n">
        <v>1.462</v>
      </c>
    </row>
    <row r="251">
      <c r="A251" s="66" t="n">
        <v>43374</v>
      </c>
      <c r="B251" s="67" t="n">
        <v>1.464</v>
      </c>
    </row>
    <row r="252">
      <c r="A252" s="66" t="n">
        <v>43466</v>
      </c>
      <c r="B252" s="67" t="n">
        <v>1.458</v>
      </c>
    </row>
    <row r="253">
      <c r="A253" s="66" t="n">
        <v>43556</v>
      </c>
      <c r="B253" s="67" t="n">
        <v>1.455</v>
      </c>
    </row>
    <row r="254">
      <c r="A254" s="66" t="n">
        <v>43647</v>
      </c>
      <c r="B254" s="67" t="n">
        <v>1.442</v>
      </c>
    </row>
    <row r="255">
      <c r="A255" s="66" t="n">
        <v>43739</v>
      </c>
      <c r="B255" s="67" t="n">
        <v>1.425</v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0"/>
  <sheetViews>
    <sheetView zoomScale="180" zoomScaleNormal="180" workbookViewId="0">
      <pane ySplit="5" topLeftCell="A727" activePane="bottomLeft" state="frozen"/>
      <selection pane="bottomLeft" activeCell="R739" sqref="R739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14"/>
    <col width="9.1640625" customWidth="1" style="76" min="15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88" thickBot="1"/>
    <row r="5" ht="42.75" customHeight="1" s="88">
      <c r="A5" s="49" t="inlineStr">
        <is>
          <t>Month</t>
        </is>
      </c>
      <c r="B5" s="50" t="inlineStr">
        <is>
          <t>Real M1 Money Stock</t>
        </is>
      </c>
      <c r="C5" s="51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4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4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4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4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4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4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4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4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4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4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4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4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4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4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4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4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4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4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4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4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4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4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4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4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4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4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4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4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4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4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4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4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4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4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4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4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4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4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4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4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4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4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4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4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4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4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4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4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4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4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4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4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4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4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4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4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4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4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4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4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4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4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4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4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4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4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4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4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4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4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4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4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4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4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4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4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4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4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4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4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4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4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4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4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4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4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4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4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4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4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4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4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4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4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4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4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4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4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4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4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4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4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4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4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4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4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4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4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4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4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4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4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4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4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4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4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4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4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4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4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4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4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4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4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4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4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4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4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4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4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4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4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4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4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4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4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4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4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4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4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4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4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4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4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4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4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4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4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4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4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4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4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4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4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4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4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4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4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4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4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4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4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4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4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4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4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4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4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4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4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4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4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4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4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4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4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4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4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4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4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4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4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4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4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4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4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4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4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4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4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4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4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4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4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4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4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4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4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4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4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4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4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4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4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4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4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4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4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4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4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4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4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4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4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4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4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4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4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4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4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4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4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4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4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4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4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4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4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4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4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4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4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4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4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4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4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4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4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4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4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4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4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4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4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4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4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4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4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4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4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4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4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4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4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4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4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4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4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4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4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4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4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4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4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4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4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4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4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4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4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4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4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4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4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4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4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4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4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4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4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4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4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4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4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4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4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4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4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4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4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4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4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4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4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4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4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4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4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4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4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4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4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4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4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4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4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4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4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4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4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4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4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4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4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4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4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4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4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4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4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4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4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4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4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4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4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4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4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4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4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4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4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4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4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4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4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4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4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4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4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4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4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4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4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4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4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4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4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4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4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4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4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4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4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4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4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4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4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4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4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4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4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4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4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4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4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4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4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4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4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4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4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4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4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4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4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4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4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4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4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4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4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4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4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4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4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4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4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4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4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4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4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4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4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4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4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4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4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4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4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4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4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4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4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4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4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4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4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4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4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4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4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4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4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4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4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4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4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4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4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4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4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4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4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4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4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4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4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4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4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4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4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4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4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4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4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4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4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4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4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4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4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4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4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4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4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4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4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4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4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4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4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4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4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4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4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4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4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4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4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4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4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4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4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4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4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4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4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4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4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4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4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4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4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4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4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4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4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4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4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4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4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4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4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4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4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4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4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4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4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4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4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4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4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4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4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4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4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4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4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4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4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4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4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4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4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4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4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4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4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4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4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4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4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4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4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4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4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4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4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4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4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4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4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4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4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4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4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4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4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4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4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4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4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4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4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4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4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4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4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4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4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4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4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4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4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4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4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4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4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4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4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4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4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4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4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4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4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4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4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4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4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4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4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4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4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4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4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4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4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4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4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4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4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4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4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4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4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4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4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4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4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4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4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4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4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4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4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4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4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4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4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4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4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4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4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4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4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4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4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4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4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4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4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4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4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4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4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4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4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4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4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4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4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4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4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4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4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4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4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4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4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4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4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4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4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4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4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4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4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4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4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4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4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4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4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4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4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4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4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4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4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4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4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4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4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4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4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4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4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4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4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4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4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4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4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4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4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4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4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4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4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4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4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4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4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4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4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4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4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4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4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4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4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4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4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4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4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4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4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4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4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4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4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4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4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4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4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4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4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4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4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4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4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4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4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4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4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4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4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4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4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4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4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4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4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4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4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4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4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4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4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4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4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4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4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4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4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4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4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4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4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4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4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4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4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4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4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4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4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4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4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4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4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4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4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4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4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4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4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4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4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4">
        <f>(Table3032[[#This Row],[Real M1 Money Stock]]-B748)/B748</f>
        <v/>
      </c>
    </row>
  </sheetData>
  <conditionalFormatting sqref="C18:C760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0"/>
  <sheetViews>
    <sheetView zoomScale="170" zoomScaleNormal="170" workbookViewId="0">
      <pane ySplit="5" topLeftCell="A729" activePane="bottomLeft" state="frozen"/>
      <selection pane="bottomLeft" activeCell="P761" sqref="P761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14"/>
    <col width="9.1640625" customWidth="1" style="76" min="15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88">
      <c r="A5" s="52" t="inlineStr">
        <is>
          <t>Month</t>
        </is>
      </c>
      <c r="B5" s="53" t="inlineStr">
        <is>
          <t>Real M2 Money Stock</t>
        </is>
      </c>
      <c r="C5" s="54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4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4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4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4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4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4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4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4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4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4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4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4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4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4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4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4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4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4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4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4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4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4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4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4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4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4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4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4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4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4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4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4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4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4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4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4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4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4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4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4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4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4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4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4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4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4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4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4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4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4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4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4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4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4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4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4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4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4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4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4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4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4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4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4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4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4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4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4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4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4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4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4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4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4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4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4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4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4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4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4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4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4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4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4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4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4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4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4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4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4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4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4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4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4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4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4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4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4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4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4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4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4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4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4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4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4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4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4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4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4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4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4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4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4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4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4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4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4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4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4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4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4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4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4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4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4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4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4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4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4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4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4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4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4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4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4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4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4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4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4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4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4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4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4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4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4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4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4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4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4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4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4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4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4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4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4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4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4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4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4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4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4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4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4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4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4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4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4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4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4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4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4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4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4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4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4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4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4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4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4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4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4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4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4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4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4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4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4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4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4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4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4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4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4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4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4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4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4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4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4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4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4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4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4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4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4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4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4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4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4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4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4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4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4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4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4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4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4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4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4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4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4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4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4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4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4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4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4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4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4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4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4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4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4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4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4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4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4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4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4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4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4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4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4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4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4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4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4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4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4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4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4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4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4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4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4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4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4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4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4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4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4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4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4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4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4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4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4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4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4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4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4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4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4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4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4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4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4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4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4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4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4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4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4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4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4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4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4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4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4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4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4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4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4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4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4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4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4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4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4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4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4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4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4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4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4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4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4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4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4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4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4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4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4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4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4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4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4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4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4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4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4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4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4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4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4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4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4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4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4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4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4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4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4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4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4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4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4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4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4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4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4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4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4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4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4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4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4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4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4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4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4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4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4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4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4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4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4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4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4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4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4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4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4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4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4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4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4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4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4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4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4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4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4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4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4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4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4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4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4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4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4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4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4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4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4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4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4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4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4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4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4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4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4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4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4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4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4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4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4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4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4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4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4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4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4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4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4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4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4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4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4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4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4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4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4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4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4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4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4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4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4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4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4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4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4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4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4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4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4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4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4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4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4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4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4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4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4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4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4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4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4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4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4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4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4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4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4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4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4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4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4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4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4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4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4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4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4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4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4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4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4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4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4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4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4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4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4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4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4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4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4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4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4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4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4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4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4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4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4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4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4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4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4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4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4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4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4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4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4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4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4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4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4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4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4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4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4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4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4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4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4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4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4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4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4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4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4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4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4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4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4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4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4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4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4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4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4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4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4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4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4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4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4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4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4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4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4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4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4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4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4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4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4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4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4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4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4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4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4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4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4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4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4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4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4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4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4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4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4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4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4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4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4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4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4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4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4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4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4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4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4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4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4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4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4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4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4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4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4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4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4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4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4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4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4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4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4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4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4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4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4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4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4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4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4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4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4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4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4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4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4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4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4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4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4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4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4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4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4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4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4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4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4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4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4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4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4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4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4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4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4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4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4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4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4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4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4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4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4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4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4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4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4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4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4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4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4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4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4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4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4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4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4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4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4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4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4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4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4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4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4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4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4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4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4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4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4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4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4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4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4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4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4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4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4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4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4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4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4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4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4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4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4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4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4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4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4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4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4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4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4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4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4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4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4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4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4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4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4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4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4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4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4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4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4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4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4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4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4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4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4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4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4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4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4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4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4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4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4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4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4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4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4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4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4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4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4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4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4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4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4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4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4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4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4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4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4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4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4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4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4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4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4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4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4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4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4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4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4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4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4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4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4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4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4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4">
        <f>(Table30[[#This Row],[Real M2 Money Stock]]-B748)/B748</f>
        <v/>
      </c>
    </row>
  </sheetData>
  <conditionalFormatting sqref="C18:C76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75" activePane="bottomLeft" state="frozen"/>
      <selection pane="bottomLeft" activeCell="B2409" sqref="B2409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6" min="4" max="4"/>
    <col width="9.1640625" customWidth="1" style="76" min="5" max="11"/>
    <col width="9.1640625" customWidth="1" style="76" min="12" max="16384"/>
  </cols>
  <sheetData>
    <row r="1">
      <c r="A1" s="85" t="inlineStr">
        <is>
          <t>https://fred.stlouisfed.org/series/M1</t>
        </is>
      </c>
    </row>
    <row r="3">
      <c r="H3" s="17" t="n"/>
    </row>
    <row r="4" ht="16" customHeight="1" s="88" thickBot="1">
      <c r="H4" s="17" t="n"/>
    </row>
    <row r="5" ht="39.75" customHeight="1" s="88">
      <c r="A5" s="49" t="inlineStr">
        <is>
          <t>Date</t>
        </is>
      </c>
      <c r="B5" s="55" t="inlineStr">
        <is>
          <t>M1 Money Stock, Billions of Dollars, Weekly, Seasonally Adjusted</t>
        </is>
      </c>
      <c r="C5" s="50" t="inlineStr">
        <is>
          <t>Weekly change</t>
        </is>
      </c>
      <c r="D5" s="50" t="inlineStr">
        <is>
          <t>Annualized Change</t>
        </is>
      </c>
      <c r="E5" s="50" t="inlineStr">
        <is>
          <t>4 weeks average</t>
        </is>
      </c>
      <c r="F5" s="51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0"/>
  <sheetViews>
    <sheetView zoomScale="160" zoomScaleNormal="160" workbookViewId="0">
      <pane ySplit="5" topLeftCell="A734" activePane="bottomLeft" state="frozen"/>
      <selection pane="bottomLeft" activeCell="H767" sqref="H767"/>
    </sheetView>
  </sheetViews>
  <sheetFormatPr baseColWidth="10" defaultColWidth="9.1640625" defaultRowHeight="15"/>
  <cols>
    <col width="16.6640625" customWidth="1" style="16" min="1" max="1"/>
    <col width="19" customWidth="1" style="76" min="2" max="2"/>
    <col width="14.6640625" customWidth="1" style="16" min="3" max="3"/>
    <col width="14.6640625" customWidth="1" style="76" min="4" max="4"/>
    <col width="9.1640625" customWidth="1" style="76" min="5" max="11"/>
    <col width="9.1640625" customWidth="1" style="76" min="12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88" thickBot="1">
      <c r="F4" s="17">
        <f>_xlfn.STDEV.S(D7:D752)</f>
        <v/>
      </c>
    </row>
    <row r="5" ht="69" customHeight="1" s="88" thickBot="1">
      <c r="A5" s="59" t="inlineStr">
        <is>
          <t>Date</t>
        </is>
      </c>
      <c r="B5" s="60" t="inlineStr">
        <is>
          <t>M2 Money Stock, Billions of Dollars, Monthly, Seasonally Adjusted</t>
        </is>
      </c>
      <c r="C5" s="61" t="inlineStr">
        <is>
          <t>Monthly change</t>
        </is>
      </c>
      <c r="D5" s="61" t="inlineStr">
        <is>
          <t>M2 Monthly Change Annualized %</t>
        </is>
      </c>
    </row>
    <row r="6">
      <c r="A6" s="56" t="n">
        <v>21551</v>
      </c>
      <c r="B6" s="58">
        <f>VLOOKUP(Table26[[#This Row],[Date]],'DB Money Supply'!$A:$E,5)</f>
        <v/>
      </c>
      <c r="C6" s="57" t="n"/>
      <c r="D6" s="57" t="n"/>
    </row>
    <row r="7">
      <c r="A7" s="33" t="n">
        <v>21582</v>
      </c>
      <c r="B7" s="58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6" t="n">
        <v>21610</v>
      </c>
      <c r="B8" s="58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8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6" t="n">
        <v>21671</v>
      </c>
      <c r="B10" s="58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8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6" t="n">
        <v>21732</v>
      </c>
      <c r="B12" s="58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8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6" t="n">
        <v>21794</v>
      </c>
      <c r="B14" s="58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8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6" t="n">
        <v>21855</v>
      </c>
      <c r="B16" s="58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8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6" t="n">
        <v>21916</v>
      </c>
      <c r="B18" s="58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8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6" t="n">
        <v>21976</v>
      </c>
      <c r="B20" s="58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8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6" t="n">
        <v>22037</v>
      </c>
      <c r="B22" s="58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8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6" t="n">
        <v>22098</v>
      </c>
      <c r="B24" s="58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6" t="n">
        <v>22129</v>
      </c>
      <c r="B25" s="58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8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6" t="n">
        <v>22190</v>
      </c>
      <c r="B27" s="58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8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6" t="n">
        <v>22251</v>
      </c>
      <c r="B29" s="58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8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6" t="n">
        <v>22313</v>
      </c>
      <c r="B31" s="58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8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6" t="n">
        <v>22372</v>
      </c>
      <c r="B33" s="58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8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6" t="n">
        <v>22433</v>
      </c>
      <c r="B35" s="58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8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6" t="n">
        <v>22494</v>
      </c>
      <c r="B37" s="58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8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6" t="n">
        <v>22555</v>
      </c>
      <c r="B39" s="58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8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6" t="n">
        <v>22616</v>
      </c>
      <c r="B41" s="58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8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6" t="n">
        <v>22678</v>
      </c>
      <c r="B43" s="58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6" t="n">
        <v>22706</v>
      </c>
      <c r="B44" s="58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8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6" t="n">
        <v>22767</v>
      </c>
      <c r="B46" s="58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8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6" t="n">
        <v>22828</v>
      </c>
      <c r="B48" s="58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8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6" t="n">
        <v>22890</v>
      </c>
      <c r="B50" s="58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8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6" t="n">
        <v>22951</v>
      </c>
      <c r="B52" s="58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8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6" t="n">
        <v>23012</v>
      </c>
      <c r="B54" s="58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8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6" t="n">
        <v>23071</v>
      </c>
      <c r="B56" s="58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8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6" t="n">
        <v>23132</v>
      </c>
      <c r="B58" s="58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8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6" t="n">
        <v>23193</v>
      </c>
      <c r="B60" s="58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8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6" t="n">
        <v>23255</v>
      </c>
      <c r="B62" s="58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6" t="n">
        <v>23285</v>
      </c>
      <c r="B63" s="58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8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6" t="n">
        <v>23346</v>
      </c>
      <c r="B65" s="58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8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6" t="n">
        <v>23408</v>
      </c>
      <c r="B67" s="58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8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6" t="n">
        <v>23468</v>
      </c>
      <c r="B69" s="58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8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6" t="n">
        <v>23529</v>
      </c>
      <c r="B71" s="58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8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6" t="n">
        <v>23590</v>
      </c>
      <c r="B73" s="58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8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6" t="n">
        <v>23651</v>
      </c>
      <c r="B75" s="58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8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6" t="n">
        <v>23712</v>
      </c>
      <c r="B77" s="58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8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6" t="n">
        <v>23774</v>
      </c>
      <c r="B79" s="58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8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6" t="n">
        <v>23833</v>
      </c>
      <c r="B81" s="58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6" t="n">
        <v>23863</v>
      </c>
      <c r="B82" s="58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8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6" t="n">
        <v>23924</v>
      </c>
      <c r="B84" s="58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8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6" t="n">
        <v>23986</v>
      </c>
      <c r="B86" s="58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8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6" t="n">
        <v>24047</v>
      </c>
      <c r="B88" s="58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8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6" t="n">
        <v>24108</v>
      </c>
      <c r="B90" s="58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8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6" t="n">
        <v>24167</v>
      </c>
      <c r="B92" s="58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8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6" t="n">
        <v>24228</v>
      </c>
      <c r="B94" s="58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8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6" t="n">
        <v>24289</v>
      </c>
      <c r="B96" s="58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8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6" t="n">
        <v>24351</v>
      </c>
      <c r="B98" s="58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8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6" t="n">
        <v>24412</v>
      </c>
      <c r="B100" s="58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6" t="n">
        <v>24442</v>
      </c>
      <c r="B101" s="58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8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6" t="n">
        <v>24504</v>
      </c>
      <c r="B103" s="58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8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6" t="n">
        <v>24563</v>
      </c>
      <c r="B105" s="58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8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6" t="n">
        <v>24624</v>
      </c>
      <c r="B107" s="58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8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6" t="n">
        <v>24685</v>
      </c>
      <c r="B109" s="58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8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6" t="n">
        <v>24746</v>
      </c>
      <c r="B111" s="58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8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6" t="n">
        <v>24807</v>
      </c>
      <c r="B113" s="58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8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6" t="n">
        <v>24869</v>
      </c>
      <c r="B115" s="58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8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6" t="n">
        <v>24929</v>
      </c>
      <c r="B117" s="58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8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6" t="n">
        <v>24990</v>
      </c>
      <c r="B119" s="58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6" t="n">
        <v>25020</v>
      </c>
      <c r="B120" s="58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8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6" t="n">
        <v>25082</v>
      </c>
      <c r="B122" s="58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8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6" t="n">
        <v>25143</v>
      </c>
      <c r="B124" s="58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8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6" t="n">
        <v>25204</v>
      </c>
      <c r="B126" s="58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8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6" t="n">
        <v>25263</v>
      </c>
      <c r="B128" s="58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8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6" t="n">
        <v>25324</v>
      </c>
      <c r="B130" s="58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8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6" t="n">
        <v>25385</v>
      </c>
      <c r="B132" s="58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8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6" t="n">
        <v>25447</v>
      </c>
      <c r="B134" s="58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8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6" t="n">
        <v>25508</v>
      </c>
      <c r="B136" s="58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8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6" t="n">
        <v>25569</v>
      </c>
      <c r="B138" s="58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6" t="n">
        <v>25600</v>
      </c>
      <c r="B139" s="58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8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6" t="n">
        <v>25659</v>
      </c>
      <c r="B141" s="58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8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6" t="n">
        <v>25720</v>
      </c>
      <c r="B143" s="58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8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6" t="n">
        <v>25781</v>
      </c>
      <c r="B145" s="58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8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6" t="n">
        <v>25842</v>
      </c>
      <c r="B147" s="58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8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6" t="n">
        <v>25903</v>
      </c>
      <c r="B149" s="58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8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6" t="n">
        <v>25965</v>
      </c>
      <c r="B151" s="58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8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6" t="n">
        <v>26024</v>
      </c>
      <c r="B153" s="58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8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6" t="n">
        <v>26085</v>
      </c>
      <c r="B155" s="58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8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6" t="n">
        <v>26146</v>
      </c>
      <c r="B157" s="58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6" t="n">
        <v>26177</v>
      </c>
      <c r="B158" s="58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8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6" t="n">
        <v>26238</v>
      </c>
      <c r="B160" s="58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8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6" t="n">
        <v>26299</v>
      </c>
      <c r="B162" s="58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8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6" t="n">
        <v>26359</v>
      </c>
      <c r="B164" s="58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8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6" t="n">
        <v>26420</v>
      </c>
      <c r="B166" s="58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8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6" t="n">
        <v>26481</v>
      </c>
      <c r="B168" s="58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8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6" t="n">
        <v>26543</v>
      </c>
      <c r="B170" s="58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8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6" t="n">
        <v>26604</v>
      </c>
      <c r="B172" s="58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8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6" t="n">
        <v>26665</v>
      </c>
      <c r="B174" s="58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8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6" t="n">
        <v>26724</v>
      </c>
      <c r="B176" s="58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6" t="n">
        <v>26755</v>
      </c>
      <c r="B177" s="58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8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6" t="n">
        <v>26816</v>
      </c>
      <c r="B179" s="58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8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6" t="n">
        <v>26877</v>
      </c>
      <c r="B181" s="58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8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6" t="n">
        <v>26938</v>
      </c>
      <c r="B183" s="58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8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6" t="n">
        <v>26999</v>
      </c>
      <c r="B185" s="58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8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6" t="n">
        <v>27061</v>
      </c>
      <c r="B187" s="58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8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6" t="n">
        <v>27120</v>
      </c>
      <c r="B189" s="58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8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6" t="n">
        <v>27181</v>
      </c>
      <c r="B191" s="58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8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6" t="n">
        <v>27242</v>
      </c>
      <c r="B193" s="58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8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6" t="n">
        <v>27303</v>
      </c>
      <c r="B195" s="58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6" t="n">
        <v>27334</v>
      </c>
      <c r="B196" s="58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8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6" t="n">
        <v>27395</v>
      </c>
      <c r="B198" s="58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8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6" t="n">
        <v>27454</v>
      </c>
      <c r="B200" s="58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8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6" t="n">
        <v>27515</v>
      </c>
      <c r="B202" s="58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8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6" t="n">
        <v>27576</v>
      </c>
      <c r="B204" s="58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8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6" t="n">
        <v>27638</v>
      </c>
      <c r="B206" s="58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8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6" t="n">
        <v>27699</v>
      </c>
      <c r="B208" s="58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8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6" t="n">
        <v>27760</v>
      </c>
      <c r="B210" s="58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8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6" t="n">
        <v>27820</v>
      </c>
      <c r="B212" s="58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8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6" t="n">
        <v>27881</v>
      </c>
      <c r="B214" s="58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6" t="n">
        <v>27912</v>
      </c>
      <c r="B215" s="58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8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6" t="n">
        <v>27973</v>
      </c>
      <c r="B217" s="58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8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6" t="n">
        <v>28034</v>
      </c>
      <c r="B219" s="58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8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6" t="n">
        <v>28095</v>
      </c>
      <c r="B221" s="58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8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6" t="n">
        <v>28157</v>
      </c>
      <c r="B223" s="58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8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6" t="n">
        <v>28216</v>
      </c>
      <c r="B225" s="58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8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6" t="n">
        <v>28277</v>
      </c>
      <c r="B227" s="58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8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6" t="n">
        <v>28338</v>
      </c>
      <c r="B229" s="58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8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6" t="n">
        <v>28399</v>
      </c>
      <c r="B231" s="58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8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6" t="n">
        <v>28460</v>
      </c>
      <c r="B233" s="58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6" t="n">
        <v>28491</v>
      </c>
      <c r="B234" s="58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8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6" t="n">
        <v>28550</v>
      </c>
      <c r="B236" s="58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8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6" t="n">
        <v>28611</v>
      </c>
      <c r="B238" s="58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8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6" t="n">
        <v>28672</v>
      </c>
      <c r="B240" s="58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8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6" t="n">
        <v>28734</v>
      </c>
      <c r="B242" s="58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8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6" t="n">
        <v>28795</v>
      </c>
      <c r="B244" s="58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8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6" t="n">
        <v>28856</v>
      </c>
      <c r="B246" s="58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8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6" t="n">
        <v>28915</v>
      </c>
      <c r="B248" s="58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8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6" t="n">
        <v>28976</v>
      </c>
      <c r="B250" s="58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8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6" t="n">
        <v>29037</v>
      </c>
      <c r="B252" s="58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6" t="n">
        <v>29068</v>
      </c>
      <c r="B253" s="58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8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6" t="n">
        <v>29129</v>
      </c>
      <c r="B255" s="58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8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6" t="n">
        <v>29190</v>
      </c>
      <c r="B257" s="58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8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6" t="n">
        <v>29252</v>
      </c>
      <c r="B259" s="58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8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6" t="n">
        <v>29312</v>
      </c>
      <c r="B261" s="58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8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6" t="n">
        <v>29373</v>
      </c>
      <c r="B263" s="58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8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6" t="n">
        <v>29434</v>
      </c>
      <c r="B265" s="58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8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6" t="n">
        <v>29495</v>
      </c>
      <c r="B267" s="58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8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6" t="n">
        <v>29556</v>
      </c>
      <c r="B269" s="58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8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6" t="n">
        <v>29618</v>
      </c>
      <c r="B271" s="58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6" t="n">
        <v>29646</v>
      </c>
      <c r="B272" s="58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8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6" t="n">
        <v>29707</v>
      </c>
      <c r="B274" s="58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8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6" t="n">
        <v>29768</v>
      </c>
      <c r="B276" s="58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8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6" t="n">
        <v>29830</v>
      </c>
      <c r="B278" s="58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8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6" t="n">
        <v>29891</v>
      </c>
      <c r="B280" s="58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8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6" t="n">
        <v>29952</v>
      </c>
      <c r="B282" s="58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8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6" t="n">
        <v>30011</v>
      </c>
      <c r="B284" s="58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8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6" t="n">
        <v>30072</v>
      </c>
      <c r="B286" s="58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8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6" t="n">
        <v>30133</v>
      </c>
      <c r="B288" s="58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8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6" t="n">
        <v>30195</v>
      </c>
      <c r="B290" s="58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6" t="n">
        <v>30225</v>
      </c>
      <c r="B291" s="58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8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6" t="n">
        <v>30286</v>
      </c>
      <c r="B293" s="58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8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6" t="n">
        <v>30348</v>
      </c>
      <c r="B295" s="58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8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6" t="n">
        <v>30407</v>
      </c>
      <c r="B297" s="58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8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6" t="n">
        <v>30468</v>
      </c>
      <c r="B299" s="58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8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6" t="n">
        <v>30529</v>
      </c>
      <c r="B301" s="58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8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6" t="n">
        <v>30590</v>
      </c>
      <c r="B303" s="58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8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6" t="n">
        <v>30651</v>
      </c>
      <c r="B305" s="58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8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6" t="n">
        <v>30713</v>
      </c>
      <c r="B307" s="58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8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6" t="n">
        <v>30773</v>
      </c>
      <c r="B309" s="58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6" t="n">
        <v>30803</v>
      </c>
      <c r="B310" s="58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8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6" t="n">
        <v>30864</v>
      </c>
      <c r="B312" s="58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8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6" t="n">
        <v>30926</v>
      </c>
      <c r="B314" s="58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8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6" t="n">
        <v>30987</v>
      </c>
      <c r="B316" s="58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8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6" t="n">
        <v>31048</v>
      </c>
      <c r="B318" s="58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8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6" t="n">
        <v>31107</v>
      </c>
      <c r="B320" s="58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8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6" t="n">
        <v>31168</v>
      </c>
      <c r="B322" s="58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8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6" t="n">
        <v>31229</v>
      </c>
      <c r="B324" s="58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8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6" t="n">
        <v>31291</v>
      </c>
      <c r="B326" s="58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8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6" t="n">
        <v>31352</v>
      </c>
      <c r="B328" s="58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6" t="n">
        <v>31382</v>
      </c>
      <c r="B329" s="58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8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6" t="n">
        <v>31444</v>
      </c>
      <c r="B331" s="58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8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6" t="n">
        <v>31503</v>
      </c>
      <c r="B333" s="58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8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6" t="n">
        <v>31564</v>
      </c>
      <c r="B335" s="58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8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6" t="n">
        <v>31625</v>
      </c>
      <c r="B337" s="58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8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6" t="n">
        <v>31686</v>
      </c>
      <c r="B339" s="58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8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6" t="n">
        <v>31747</v>
      </c>
      <c r="B341" s="58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8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6" t="n">
        <v>31809</v>
      </c>
      <c r="B343" s="58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8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6" t="n">
        <v>31868</v>
      </c>
      <c r="B345" s="58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8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6" t="n">
        <v>31929</v>
      </c>
      <c r="B347" s="58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6" t="n">
        <v>31959</v>
      </c>
      <c r="B348" s="58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8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6" t="n">
        <v>32021</v>
      </c>
      <c r="B350" s="58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8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6" t="n">
        <v>32082</v>
      </c>
      <c r="B352" s="58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8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6" t="n">
        <v>32143</v>
      </c>
      <c r="B354" s="58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8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6" t="n">
        <v>32203</v>
      </c>
      <c r="B356" s="58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8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6" t="n">
        <v>32264</v>
      </c>
      <c r="B358" s="58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8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6" t="n">
        <v>32325</v>
      </c>
      <c r="B360" s="58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8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6" t="n">
        <v>32387</v>
      </c>
      <c r="B362" s="58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8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6" t="n">
        <v>32448</v>
      </c>
      <c r="B364" s="58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8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6" t="n">
        <v>32509</v>
      </c>
      <c r="B366" s="58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6" t="n">
        <v>32540</v>
      </c>
      <c r="B367" s="58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8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6" t="n">
        <v>32599</v>
      </c>
      <c r="B369" s="58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8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6" t="n">
        <v>32660</v>
      </c>
      <c r="B371" s="58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8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6" t="n">
        <v>32721</v>
      </c>
      <c r="B373" s="58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8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6" t="n">
        <v>32782</v>
      </c>
      <c r="B375" s="58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8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6" t="n">
        <v>32843</v>
      </c>
      <c r="B377" s="58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8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6" t="n">
        <v>32905</v>
      </c>
      <c r="B379" s="58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8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6" t="n">
        <v>32964</v>
      </c>
      <c r="B381" s="58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8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6" t="n">
        <v>33025</v>
      </c>
      <c r="B383" s="58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8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6" t="n">
        <v>33086</v>
      </c>
      <c r="B385" s="58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6" t="n">
        <v>33117</v>
      </c>
      <c r="B386" s="58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8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6" t="n">
        <v>33178</v>
      </c>
      <c r="B388" s="58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8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6" t="n">
        <v>33239</v>
      </c>
      <c r="B390" s="58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8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6" t="n">
        <v>33298</v>
      </c>
      <c r="B392" s="58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8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6" t="n">
        <v>33359</v>
      </c>
      <c r="B394" s="58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8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6" t="n">
        <v>33420</v>
      </c>
      <c r="B396" s="58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8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6" t="n">
        <v>33482</v>
      </c>
      <c r="B398" s="58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8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6" t="n">
        <v>33543</v>
      </c>
      <c r="B400" s="58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8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6" t="n">
        <v>33604</v>
      </c>
      <c r="B402" s="58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8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6" t="n">
        <v>33664</v>
      </c>
      <c r="B404" s="58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6" t="n">
        <v>33695</v>
      </c>
      <c r="B405" s="58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8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6" t="n">
        <v>33756</v>
      </c>
      <c r="B407" s="58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8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6" t="n">
        <v>33817</v>
      </c>
      <c r="B409" s="58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8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6" t="n">
        <v>33878</v>
      </c>
      <c r="B411" s="58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8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6" t="n">
        <v>33939</v>
      </c>
      <c r="B413" s="58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8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6" t="n">
        <v>34001</v>
      </c>
      <c r="B415" s="58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8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6" t="n">
        <v>34060</v>
      </c>
      <c r="B417" s="58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8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6" t="n">
        <v>34121</v>
      </c>
      <c r="B419" s="58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8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6" t="n">
        <v>34182</v>
      </c>
      <c r="B421" s="58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8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6" t="n">
        <v>34243</v>
      </c>
      <c r="B423" s="58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6" t="n">
        <v>34274</v>
      </c>
      <c r="B424" s="58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8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6" t="n">
        <v>34335</v>
      </c>
      <c r="B426" s="58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8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6" t="n">
        <v>34394</v>
      </c>
      <c r="B428" s="58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8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6" t="n">
        <v>34455</v>
      </c>
      <c r="B430" s="58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8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6" t="n">
        <v>34516</v>
      </c>
      <c r="B432" s="58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8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6" t="n">
        <v>34578</v>
      </c>
      <c r="B434" s="58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8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6" t="n">
        <v>34639</v>
      </c>
      <c r="B436" s="58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8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6" t="n">
        <v>34700</v>
      </c>
      <c r="B438" s="58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8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6" t="n">
        <v>34759</v>
      </c>
      <c r="B440" s="58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8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6" t="n">
        <v>34820</v>
      </c>
      <c r="B442" s="58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6" t="n">
        <v>34851</v>
      </c>
      <c r="B443" s="58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8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6" t="n">
        <v>34912</v>
      </c>
      <c r="B445" s="58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8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6" t="n">
        <v>34973</v>
      </c>
      <c r="B447" s="58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8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6" t="n">
        <v>35034</v>
      </c>
      <c r="B449" s="58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8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6" t="n">
        <v>35096</v>
      </c>
      <c r="B451" s="58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8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6" t="n">
        <v>35156</v>
      </c>
      <c r="B453" s="58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8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6" t="n">
        <v>35217</v>
      </c>
      <c r="B455" s="58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8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6" t="n">
        <v>35278</v>
      </c>
      <c r="B457" s="58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8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6" t="n">
        <v>35339</v>
      </c>
      <c r="B459" s="58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8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6" t="n">
        <v>35400</v>
      </c>
      <c r="B461" s="58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6" t="n">
        <v>35431</v>
      </c>
      <c r="B462" s="58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8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6" t="n">
        <v>35490</v>
      </c>
      <c r="B464" s="58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8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6" t="n">
        <v>35551</v>
      </c>
      <c r="B466" s="58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8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6" t="n">
        <v>35612</v>
      </c>
      <c r="B468" s="58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8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6" t="n">
        <v>35674</v>
      </c>
      <c r="B470" s="58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8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6" t="n">
        <v>35735</v>
      </c>
      <c r="B472" s="58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8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6" t="n">
        <v>35796</v>
      </c>
      <c r="B474" s="58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8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6" t="n">
        <v>35855</v>
      </c>
      <c r="B476" s="58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8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6" t="n">
        <v>35916</v>
      </c>
      <c r="B478" s="58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8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6" t="n">
        <v>35977</v>
      </c>
      <c r="B480" s="58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6" t="n">
        <v>36008</v>
      </c>
      <c r="B481" s="58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8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6" t="n">
        <v>36069</v>
      </c>
      <c r="B483" s="58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8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6" t="n">
        <v>36130</v>
      </c>
      <c r="B485" s="58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8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6" t="n">
        <v>36192</v>
      </c>
      <c r="B487" s="58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8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6" t="n">
        <v>36251</v>
      </c>
      <c r="B489" s="58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8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6" t="n">
        <v>36312</v>
      </c>
      <c r="B491" s="58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8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6" t="n">
        <v>36373</v>
      </c>
      <c r="B493" s="58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8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6" t="n">
        <v>36434</v>
      </c>
      <c r="B495" s="58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8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6" t="n">
        <v>36495</v>
      </c>
      <c r="B497" s="58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8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6" t="n">
        <v>36557</v>
      </c>
      <c r="B499" s="58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6" t="n">
        <v>36586</v>
      </c>
      <c r="B500" s="58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8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6" t="n">
        <v>36647</v>
      </c>
      <c r="B502" s="58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8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6" t="n">
        <v>36708</v>
      </c>
      <c r="B504" s="58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8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6" t="n">
        <v>36770</v>
      </c>
      <c r="B506" s="58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8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6" t="n">
        <v>36831</v>
      </c>
      <c r="B508" s="58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8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6" t="n">
        <v>36892</v>
      </c>
      <c r="B510" s="58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8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6" t="n">
        <v>36951</v>
      </c>
      <c r="B512" s="58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8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6" t="n">
        <v>37012</v>
      </c>
      <c r="B514" s="58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8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6" t="n">
        <v>37073</v>
      </c>
      <c r="B516" s="58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8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6" t="n">
        <v>37135</v>
      </c>
      <c r="B518" s="58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6" t="n">
        <v>37165</v>
      </c>
      <c r="B519" s="58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8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6" t="n">
        <v>37226</v>
      </c>
      <c r="B521" s="58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8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6" t="n">
        <v>37288</v>
      </c>
      <c r="B523" s="58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8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6" t="n">
        <v>37347</v>
      </c>
      <c r="B525" s="58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8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6" t="n">
        <v>37408</v>
      </c>
      <c r="B527" s="58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8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6" t="n">
        <v>37469</v>
      </c>
      <c r="B529" s="58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8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6" t="n">
        <v>37530</v>
      </c>
      <c r="B531" s="58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8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6" t="n">
        <v>37591</v>
      </c>
      <c r="B533" s="58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8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6" t="n">
        <v>37653</v>
      </c>
      <c r="B535" s="58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8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6" t="n">
        <v>37712</v>
      </c>
      <c r="B537" s="58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6" t="n">
        <v>37742</v>
      </c>
      <c r="B538" s="58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8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6" t="n">
        <v>37803</v>
      </c>
      <c r="B540" s="58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8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6" t="n">
        <v>37865</v>
      </c>
      <c r="B542" s="58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8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6" t="n">
        <v>37926</v>
      </c>
      <c r="B544" s="58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8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6" t="n">
        <v>37987</v>
      </c>
      <c r="B546" s="58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8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6" t="n">
        <v>38047</v>
      </c>
      <c r="B548" s="58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8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6" t="n">
        <v>38108</v>
      </c>
      <c r="B550" s="58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8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6" t="n">
        <v>38169</v>
      </c>
      <c r="B552" s="58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8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6" t="n">
        <v>38231</v>
      </c>
      <c r="B554" s="58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8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6" t="n">
        <v>38292</v>
      </c>
      <c r="B556" s="58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6" t="n">
        <v>38322</v>
      </c>
      <c r="B557" s="58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8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6" t="n">
        <v>38384</v>
      </c>
      <c r="B559" s="58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8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6" t="n">
        <v>38443</v>
      </c>
      <c r="B561" s="58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8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6" t="n">
        <v>38504</v>
      </c>
      <c r="B563" s="58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8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6" t="n">
        <v>38565</v>
      </c>
      <c r="B565" s="58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8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6" t="n">
        <v>38626</v>
      </c>
      <c r="B567" s="58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8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6" t="n">
        <v>38687</v>
      </c>
      <c r="B569" s="58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8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6" t="n">
        <v>38749</v>
      </c>
      <c r="B571" s="58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8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6" t="n">
        <v>38808</v>
      </c>
      <c r="B573" s="58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8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6" t="n">
        <v>38869</v>
      </c>
      <c r="B575" s="58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6" t="n">
        <v>38899</v>
      </c>
      <c r="B576" s="58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8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6" t="n">
        <v>38961</v>
      </c>
      <c r="B578" s="58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8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6" t="n">
        <v>39022</v>
      </c>
      <c r="B580" s="58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8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6" t="n">
        <v>39083</v>
      </c>
      <c r="B582" s="58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8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6" t="n">
        <v>39142</v>
      </c>
      <c r="B584" s="58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8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6" t="n">
        <v>39203</v>
      </c>
      <c r="B586" s="58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8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6" t="n">
        <v>39264</v>
      </c>
      <c r="B588" s="58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8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6" t="n">
        <v>39326</v>
      </c>
      <c r="B590" s="58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8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6" t="n">
        <v>39387</v>
      </c>
      <c r="B592" s="58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8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6" t="n">
        <v>39448</v>
      </c>
      <c r="B594" s="58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6" t="n">
        <v>39479</v>
      </c>
      <c r="B595" s="58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8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6" t="n">
        <v>39539</v>
      </c>
      <c r="B597" s="58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8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6" t="n">
        <v>39600</v>
      </c>
      <c r="B599" s="58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8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6" t="n">
        <v>39661</v>
      </c>
      <c r="B601" s="58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8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6" t="n">
        <v>39722</v>
      </c>
      <c r="B603" s="58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8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6" t="n">
        <v>39783</v>
      </c>
      <c r="B605" s="58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8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6" t="n">
        <v>39845</v>
      </c>
      <c r="B607" s="58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8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6" t="n">
        <v>39904</v>
      </c>
      <c r="B609" s="58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8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6" t="n">
        <v>39965</v>
      </c>
      <c r="B611" s="58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8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6" t="n">
        <v>40026</v>
      </c>
      <c r="B613" s="58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6" t="n">
        <v>40057</v>
      </c>
      <c r="B614" s="58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8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6" t="n">
        <v>40118</v>
      </c>
      <c r="B616" s="58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8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6" t="n">
        <v>40179</v>
      </c>
      <c r="B618" s="58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8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6" t="n">
        <v>40238</v>
      </c>
      <c r="B620" s="58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8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6" t="n">
        <v>40299</v>
      </c>
      <c r="B622" s="58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8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6" t="n">
        <v>40360</v>
      </c>
      <c r="B624" s="58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8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6" t="n">
        <v>40422</v>
      </c>
      <c r="B626" s="58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8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6" t="n">
        <v>40483</v>
      </c>
      <c r="B628" s="58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8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6" t="n">
        <v>40544</v>
      </c>
      <c r="B630" s="58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8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6" t="n">
        <v>40603</v>
      </c>
      <c r="B632" s="58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6" t="n">
        <v>40634</v>
      </c>
      <c r="B633" s="58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8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6" t="n">
        <v>40695</v>
      </c>
      <c r="B635" s="58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8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6" t="n">
        <v>40756</v>
      </c>
      <c r="B637" s="58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8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6" t="n">
        <v>40817</v>
      </c>
      <c r="B639" s="58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8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6" t="n">
        <v>40878</v>
      </c>
      <c r="B641" s="58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8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6" t="n">
        <v>40940</v>
      </c>
      <c r="B643" s="58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8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6" t="n">
        <v>41000</v>
      </c>
      <c r="B645" s="58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8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6" t="n">
        <v>41061</v>
      </c>
      <c r="B647" s="58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8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6" t="n">
        <v>41122</v>
      </c>
      <c r="B649" s="58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8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6" t="n">
        <v>41183</v>
      </c>
      <c r="B651" s="58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6" t="n">
        <v>41214</v>
      </c>
      <c r="B652" s="58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8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6" t="n">
        <v>41275</v>
      </c>
      <c r="B654" s="58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8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6" t="n">
        <v>41334</v>
      </c>
      <c r="B656" s="58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8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6" t="n">
        <v>41395</v>
      </c>
      <c r="B658" s="58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8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6" t="n">
        <v>41456</v>
      </c>
      <c r="B660" s="58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8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6" t="n">
        <v>41518</v>
      </c>
      <c r="B662" s="58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8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6" t="n">
        <v>41579</v>
      </c>
      <c r="B664" s="58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8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6" t="n">
        <v>41640</v>
      </c>
      <c r="B666" s="58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8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6" t="n">
        <v>41699</v>
      </c>
      <c r="B668" s="58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8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6" t="n">
        <v>41760</v>
      </c>
      <c r="B670" s="58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6" t="n">
        <v>41791</v>
      </c>
      <c r="B671" s="58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8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6" t="n">
        <v>41852</v>
      </c>
      <c r="B673" s="58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8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6" t="n">
        <v>41913</v>
      </c>
      <c r="B675" s="58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8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6" t="n">
        <v>41974</v>
      </c>
      <c r="B677" s="58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8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6" t="n">
        <v>42036</v>
      </c>
      <c r="B679" s="58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8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6" t="n">
        <v>42095</v>
      </c>
      <c r="B681" s="58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8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6" t="n">
        <v>42156</v>
      </c>
      <c r="B683" s="58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8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6" t="n">
        <v>42217</v>
      </c>
      <c r="B685" s="58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8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6" t="n">
        <v>42278</v>
      </c>
      <c r="B687" s="58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8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6" t="n">
        <v>42339</v>
      </c>
      <c r="B689" s="58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6" t="n">
        <v>42370</v>
      </c>
      <c r="B690" s="58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8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6" t="n">
        <v>42430</v>
      </c>
      <c r="B692" s="58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8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6" t="n">
        <v>42491</v>
      </c>
      <c r="B694" s="58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8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6" t="n">
        <v>42552</v>
      </c>
      <c r="B696" s="58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8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6" t="n">
        <v>42614</v>
      </c>
      <c r="B698" s="58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8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6" t="n">
        <v>42675</v>
      </c>
      <c r="B700" s="58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8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6" t="n">
        <v>42736</v>
      </c>
      <c r="B702" s="58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8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6" t="n">
        <v>42795</v>
      </c>
      <c r="B704" s="58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8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6" t="n">
        <v>42856</v>
      </c>
      <c r="B706" s="58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8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6" t="n">
        <v>42917</v>
      </c>
      <c r="B708" s="58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6" t="n">
        <v>42948</v>
      </c>
      <c r="B709" s="58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8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6" t="n">
        <v>43009</v>
      </c>
      <c r="B711" s="58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8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6" t="n">
        <v>43070</v>
      </c>
      <c r="B713" s="58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8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6" t="n">
        <v>43132</v>
      </c>
      <c r="B715" s="58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8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6" t="n">
        <v>43191</v>
      </c>
      <c r="B717" s="58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8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6" t="n">
        <v>43252</v>
      </c>
      <c r="B719" s="58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8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6" t="n">
        <v>43313</v>
      </c>
      <c r="B721" s="58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8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6" t="n">
        <v>43374</v>
      </c>
      <c r="B723" s="58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8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6" t="n">
        <v>43435</v>
      </c>
      <c r="B725" s="58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8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6" t="n">
        <v>43497</v>
      </c>
      <c r="B727" s="58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6" t="n">
        <v>43525</v>
      </c>
      <c r="B728" s="58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8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6" t="n">
        <v>43586</v>
      </c>
      <c r="B730" s="58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8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6" t="n">
        <v>43647</v>
      </c>
      <c r="B732" s="58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8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6" t="n">
        <v>43709</v>
      </c>
      <c r="B734" s="58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8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6" t="n">
        <v>43770</v>
      </c>
      <c r="B736" s="58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8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6" t="n">
        <v>43831</v>
      </c>
      <c r="B738" s="58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8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6" t="n">
        <v>43891</v>
      </c>
      <c r="B740" s="58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8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6" t="n">
        <v>43952</v>
      </c>
      <c r="B742" s="58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8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6" t="n">
        <v>44013</v>
      </c>
      <c r="B744" s="58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8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6" t="n">
        <v>44075</v>
      </c>
      <c r="B746" s="58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6" t="n">
        <v>44105</v>
      </c>
      <c r="B747" s="58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8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6" t="n">
        <v>44166</v>
      </c>
      <c r="B749" s="58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8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6" t="n">
        <v>44228</v>
      </c>
      <c r="B751" s="58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8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6" t="n">
        <v>44287</v>
      </c>
      <c r="B753" s="58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8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6" t="n">
        <v>44348</v>
      </c>
      <c r="B755" s="58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8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6" t="n">
        <v>44409</v>
      </c>
      <c r="B757" s="58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8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6" t="n">
        <v>44470</v>
      </c>
      <c r="B759" s="58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8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tabColor rgb="FFFFFF00"/>
    <outlinePr summaryBelow="1" summaryRight="1"/>
    <pageSetUpPr/>
  </sheetPr>
  <dimension ref="D2:I30"/>
  <sheetViews>
    <sheetView topLeftCell="B1" zoomScale="160" zoomScaleNormal="160" workbookViewId="0">
      <selection activeCell="D2" sqref="D2"/>
    </sheetView>
  </sheetViews>
  <sheetFormatPr baseColWidth="10" defaultColWidth="9.1640625" defaultRowHeight="15"/>
  <cols>
    <col width="9.1640625" customWidth="1" style="76" min="1" max="3"/>
    <col width="28" customWidth="1" style="16" min="4" max="9"/>
    <col width="9.1640625" customWidth="1" style="76" min="10" max="16"/>
    <col width="9.1640625" customWidth="1" style="76" min="17" max="16384"/>
  </cols>
  <sheetData>
    <row r="2">
      <c r="D2" s="1" t="inlineStr">
        <is>
          <t>https://tradingeconomics.com/country-list/money-supply-m2?continent=g20</t>
        </is>
      </c>
    </row>
    <row r="7">
      <c r="D7" s="81" t="inlineStr">
        <is>
          <t>Country</t>
        </is>
      </c>
      <c r="E7" s="81" t="inlineStr">
        <is>
          <t>Last</t>
        </is>
      </c>
      <c r="F7" s="81" t="inlineStr">
        <is>
          <t>Month</t>
        </is>
      </c>
      <c r="G7" s="81" t="inlineStr">
        <is>
          <t>Previous</t>
        </is>
      </c>
      <c r="H7" s="81" t="inlineStr">
        <is>
          <t>mom annualized</t>
        </is>
      </c>
      <c r="I7" s="81" t="inlineStr">
        <is>
          <t>Currency</t>
        </is>
      </c>
    </row>
    <row r="8">
      <c r="D8" s="48" t="inlineStr">
        <is>
          <t>Argentina</t>
        </is>
      </c>
      <c r="E8" s="23" t="n">
        <v>2738509</v>
      </c>
      <c r="F8" s="47" t="n">
        <v>43800</v>
      </c>
      <c r="G8" s="23" t="n">
        <v>2329022</v>
      </c>
      <c r="H8" s="64">
        <f>(((E8-G8)/G8)+1)^12-1</f>
        <v/>
      </c>
      <c r="I8" s="23" t="inlineStr">
        <is>
          <t>ARS Million</t>
        </is>
      </c>
    </row>
    <row r="9">
      <c r="D9" s="48" t="inlineStr">
        <is>
          <t>Brazil</t>
        </is>
      </c>
      <c r="E9" s="23" t="n">
        <v>3036685</v>
      </c>
      <c r="F9" s="47" t="n">
        <v>43862</v>
      </c>
      <c r="G9" s="23" t="n">
        <v>3023993</v>
      </c>
      <c r="H9" s="64">
        <f>(((E9-G9)/G9)+1)^12-1</f>
        <v/>
      </c>
      <c r="I9" s="23" t="inlineStr">
        <is>
          <t>BRL Million</t>
        </is>
      </c>
    </row>
    <row r="10">
      <c r="D10" s="48" t="inlineStr">
        <is>
          <t>Canada</t>
        </is>
      </c>
      <c r="E10" s="23" t="n">
        <v>1814298</v>
      </c>
      <c r="F10" s="47" t="n">
        <v>43862</v>
      </c>
      <c r="G10" s="23" t="n">
        <v>1801010</v>
      </c>
      <c r="H10" s="64">
        <f>(((E10-G10)/G10)+1)^12-1</f>
        <v/>
      </c>
      <c r="I10" s="23" t="inlineStr">
        <is>
          <t>CAD Million</t>
        </is>
      </c>
    </row>
    <row r="11">
      <c r="D11" s="48" t="inlineStr">
        <is>
          <t>China</t>
        </is>
      </c>
      <c r="E11" s="23" t="n">
        <v>208090</v>
      </c>
      <c r="F11" s="47" t="n">
        <v>43891</v>
      </c>
      <c r="G11" s="23" t="n">
        <v>203080</v>
      </c>
      <c r="H11" s="64">
        <f>(((E11-G11)/G11)+1)^12-1</f>
        <v/>
      </c>
      <c r="I11" s="23" t="inlineStr">
        <is>
          <t>CNY Billion</t>
        </is>
      </c>
    </row>
    <row r="12">
      <c r="D12" s="48" t="inlineStr">
        <is>
          <t>Euro Area</t>
        </is>
      </c>
      <c r="E12" s="23" t="n">
        <v>12484479</v>
      </c>
      <c r="F12" s="47" t="n">
        <v>43862</v>
      </c>
      <c r="G12" s="23" t="n">
        <v>12399289</v>
      </c>
      <c r="H12" s="64">
        <f>(((E12-G12)/G12)+1)^12-1</f>
        <v/>
      </c>
      <c r="I12" s="23" t="inlineStr">
        <is>
          <t>EUR Million</t>
        </is>
      </c>
    </row>
    <row r="13">
      <c r="D13" s="48" t="inlineStr">
        <is>
          <t>France</t>
        </is>
      </c>
      <c r="E13" s="23" t="n">
        <v>2332570</v>
      </c>
      <c r="F13" s="47" t="n">
        <v>43862</v>
      </c>
      <c r="G13" s="23" t="n">
        <v>2317012</v>
      </c>
      <c r="H13" s="64">
        <f>(((E13-G13)/G13)+1)^12-1</f>
        <v/>
      </c>
      <c r="I13" s="23" t="inlineStr">
        <is>
          <t>EUR Million</t>
        </is>
      </c>
    </row>
    <row r="14">
      <c r="D14" s="48" t="inlineStr">
        <is>
          <t>Germany</t>
        </is>
      </c>
      <c r="E14" s="23" t="n">
        <v>3174</v>
      </c>
      <c r="F14" s="47" t="n">
        <v>43862</v>
      </c>
      <c r="G14" s="23" t="n">
        <v>3159</v>
      </c>
      <c r="H14" s="64">
        <f>(((E14-G14)/G14)+1)^12-1</f>
        <v/>
      </c>
      <c r="I14" s="23" t="inlineStr">
        <is>
          <t>EUR Billion</t>
        </is>
      </c>
    </row>
    <row r="15">
      <c r="D15" s="48" t="inlineStr">
        <is>
          <t>India</t>
        </is>
      </c>
      <c r="E15" s="23" t="n">
        <v>40623</v>
      </c>
      <c r="F15" s="47" t="n">
        <v>43891</v>
      </c>
      <c r="G15" s="23" t="n">
        <v>39147</v>
      </c>
      <c r="H15" s="64">
        <f>(((E15-G15)/G15)+1)^12-1</f>
        <v/>
      </c>
      <c r="I15" s="23" t="inlineStr">
        <is>
          <t>INR Billion</t>
        </is>
      </c>
    </row>
    <row r="16">
      <c r="D16" s="48" t="inlineStr">
        <is>
          <t>Indonesia</t>
        </is>
      </c>
      <c r="E16" s="23" t="n">
        <v>6116500</v>
      </c>
      <c r="F16" s="47" t="n">
        <v>43862</v>
      </c>
      <c r="G16" s="23" t="n">
        <v>6046700</v>
      </c>
      <c r="H16" s="64">
        <f>(((E16-G16)/G16)+1)^12-1</f>
        <v/>
      </c>
      <c r="I16" s="23" t="inlineStr">
        <is>
          <t>IDR Billion</t>
        </is>
      </c>
    </row>
    <row r="17">
      <c r="D17" s="48" t="inlineStr">
        <is>
          <t>Italy</t>
        </is>
      </c>
      <c r="E17" s="23" t="n">
        <v>1647897</v>
      </c>
      <c r="F17" s="47" t="n">
        <v>43862</v>
      </c>
      <c r="G17" s="23" t="n">
        <v>1628206</v>
      </c>
      <c r="H17" s="64">
        <f>(((E17-G17)/G17)+1)^12-1</f>
        <v/>
      </c>
      <c r="I17" s="23" t="inlineStr">
        <is>
          <t>EUR Million</t>
        </is>
      </c>
    </row>
    <row r="18">
      <c r="D18" s="48" t="inlineStr">
        <is>
          <t>Japan</t>
        </is>
      </c>
      <c r="E18" s="23" t="n">
        <v>1046008</v>
      </c>
      <c r="F18" s="47" t="n">
        <v>43891</v>
      </c>
      <c r="G18" s="23" t="n">
        <v>1039844</v>
      </c>
      <c r="H18" s="64">
        <f>(((E18-G18)/G18)+1)^12-1</f>
        <v/>
      </c>
      <c r="I18" s="23" t="inlineStr">
        <is>
          <t>JPY Billion</t>
        </is>
      </c>
    </row>
    <row r="19">
      <c r="D19" s="48" t="inlineStr">
        <is>
          <t>Mexico</t>
        </is>
      </c>
      <c r="E19" s="23" t="n">
        <v>9371776319</v>
      </c>
      <c r="F19" s="47" t="n">
        <v>43862</v>
      </c>
      <c r="G19" s="23" t="n">
        <v>9258541872</v>
      </c>
      <c r="H19" s="64">
        <f>(((E19-G19)/G19)+1)^12-1</f>
        <v/>
      </c>
      <c r="I19" s="23" t="inlineStr">
        <is>
          <t>MXN Thousand</t>
        </is>
      </c>
    </row>
    <row r="20">
      <c r="D20" s="48" t="inlineStr">
        <is>
          <t>Netherlands</t>
        </is>
      </c>
      <c r="E20" s="23" t="n">
        <v>898932</v>
      </c>
      <c r="F20" s="47" t="n">
        <v>43862</v>
      </c>
      <c r="G20" s="23" t="n">
        <v>890434</v>
      </c>
      <c r="H20" s="64">
        <f>(((E20-G20)/G20)+1)^12-1</f>
        <v/>
      </c>
      <c r="I20" s="23" t="inlineStr">
        <is>
          <t>EUR Million</t>
        </is>
      </c>
    </row>
    <row r="21">
      <c r="D21" s="48" t="inlineStr">
        <is>
          <t>Russia</t>
        </is>
      </c>
      <c r="E21" s="23" t="n">
        <v>51314</v>
      </c>
      <c r="F21" s="47" t="n">
        <v>43862</v>
      </c>
      <c r="G21" s="23" t="n">
        <v>50623</v>
      </c>
      <c r="H21" s="64">
        <f>(((E21-G21)/G21)+1)^12-1</f>
        <v/>
      </c>
      <c r="I21" s="23" t="inlineStr">
        <is>
          <t>RUB Billion</t>
        </is>
      </c>
    </row>
    <row r="22">
      <c r="D22" s="48" t="inlineStr">
        <is>
          <t>Saudi Arabia</t>
        </is>
      </c>
      <c r="E22" s="23" t="n">
        <v>1791108</v>
      </c>
      <c r="F22" s="47" t="n">
        <v>43862</v>
      </c>
      <c r="G22" s="23" t="n">
        <v>1773028</v>
      </c>
      <c r="H22" s="64">
        <f>(((E22-G22)/G22)+1)^12-1</f>
        <v/>
      </c>
      <c r="I22" s="23" t="inlineStr">
        <is>
          <t>SAR Million</t>
        </is>
      </c>
    </row>
    <row r="23">
      <c r="D23" s="48" t="inlineStr">
        <is>
          <t>Singapore</t>
        </is>
      </c>
      <c r="E23" s="23" t="n">
        <v>646295</v>
      </c>
      <c r="F23" s="47" t="n">
        <v>43862</v>
      </c>
      <c r="G23" s="23" t="n">
        <v>641820</v>
      </c>
      <c r="H23" s="64">
        <f>(((E23-G23)/G23)+1)^12-1</f>
        <v/>
      </c>
      <c r="I23" s="23" t="inlineStr">
        <is>
          <t>SGD Million</t>
        </is>
      </c>
    </row>
    <row r="24">
      <c r="D24" s="48" t="inlineStr">
        <is>
          <t>South Africa</t>
        </is>
      </c>
      <c r="E24" s="23" t="n">
        <v>3039985</v>
      </c>
      <c r="F24" s="47" t="n">
        <v>43862</v>
      </c>
      <c r="G24" s="23" t="n">
        <v>3028250</v>
      </c>
      <c r="H24" s="64">
        <f>(((E24-G24)/G24)+1)^12-1</f>
        <v/>
      </c>
      <c r="I24" s="23" t="inlineStr">
        <is>
          <t>ZAR Million</t>
        </is>
      </c>
    </row>
    <row r="25">
      <c r="D25" s="48" t="inlineStr">
        <is>
          <t>South Korea</t>
        </is>
      </c>
      <c r="E25" s="23" t="n">
        <v>2958283</v>
      </c>
      <c r="F25" s="47" t="n">
        <v>43862</v>
      </c>
      <c r="G25" s="23" t="n">
        <v>2926410</v>
      </c>
      <c r="H25" s="64">
        <f>(((E25-G25)/G25)+1)^12-1</f>
        <v/>
      </c>
      <c r="I25" s="23" t="inlineStr">
        <is>
          <t>KRW Billion</t>
        </is>
      </c>
    </row>
    <row r="26">
      <c r="D26" s="48" t="inlineStr">
        <is>
          <t>Spain</t>
        </is>
      </c>
      <c r="E26" s="23" t="n">
        <v>1237649</v>
      </c>
      <c r="F26" s="47" t="n">
        <v>43862</v>
      </c>
      <c r="G26" s="23" t="n">
        <v>1229187</v>
      </c>
      <c r="H26" s="64">
        <f>(((E26-G26)/G26)+1)^12-1</f>
        <v/>
      </c>
      <c r="I26" s="23" t="inlineStr">
        <is>
          <t>EUR Million</t>
        </is>
      </c>
    </row>
    <row r="27">
      <c r="D27" s="48" t="inlineStr">
        <is>
          <t>Switzerland</t>
        </is>
      </c>
      <c r="E27" s="23" t="n">
        <v>1025336</v>
      </c>
      <c r="F27" s="47" t="n">
        <v>43891</v>
      </c>
      <c r="G27" s="23" t="n">
        <v>1012042</v>
      </c>
      <c r="H27" s="64">
        <f>(((E27-G27)/G27)+1)^12-1</f>
        <v/>
      </c>
      <c r="I27" s="23" t="inlineStr">
        <is>
          <t>CHF Million</t>
        </is>
      </c>
    </row>
    <row r="28">
      <c r="D28" s="48" t="inlineStr">
        <is>
          <t>Turkey</t>
        </is>
      </c>
      <c r="E28" s="23" t="n">
        <v>2666743294</v>
      </c>
      <c r="F28" s="47" t="n">
        <v>43891</v>
      </c>
      <c r="G28" s="23" t="n">
        <v>2551412776</v>
      </c>
      <c r="H28" s="64">
        <f>(((E28-G28)/G28)+1)^12-1</f>
        <v/>
      </c>
      <c r="I28" s="23" t="inlineStr">
        <is>
          <t>TRY Thousand</t>
        </is>
      </c>
    </row>
    <row r="29">
      <c r="D29" s="48" t="inlineStr">
        <is>
          <t>United Kingdom</t>
        </is>
      </c>
      <c r="E29" s="23" t="n">
        <v>2472269</v>
      </c>
      <c r="F29" s="47" t="n">
        <v>43862</v>
      </c>
      <c r="G29" s="23" t="n">
        <v>2471137</v>
      </c>
      <c r="H29" s="64">
        <f>(((E29-G29)/G29)+1)^12-1</f>
        <v/>
      </c>
      <c r="I29" s="23" t="inlineStr">
        <is>
          <t>GBP Million</t>
        </is>
      </c>
    </row>
    <row r="30">
      <c r="D30" s="48" t="inlineStr">
        <is>
          <t>United States</t>
        </is>
      </c>
      <c r="E30" s="23" t="n">
        <v>16104</v>
      </c>
      <c r="F30" s="47" t="n">
        <v>43891</v>
      </c>
      <c r="G30" s="23" t="n">
        <v>15535</v>
      </c>
      <c r="H30" s="64">
        <f>(((E30-G30)/G30)+1)^12-1</f>
        <v/>
      </c>
      <c r="I30" s="23" t="inlineStr">
        <is>
          <t>USD Billion</t>
        </is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6"/>
  <sheetViews>
    <sheetView zoomScale="180" zoomScaleNormal="180" workbookViewId="0">
      <pane xSplit="1" ySplit="5" topLeftCell="B59" activePane="bottomRight" state="frozen"/>
      <selection pane="topRight" activeCell="B1" sqref="B1"/>
      <selection pane="bottomLeft" activeCell="A6" sqref="A6"/>
      <selection pane="bottomRight" activeCell="AC86" sqref="AC86"/>
    </sheetView>
  </sheetViews>
  <sheetFormatPr baseColWidth="10" defaultColWidth="8.83203125" defaultRowHeight="15"/>
  <cols>
    <col width="10.6640625" bestFit="1" customWidth="1" style="76" min="1" max="1"/>
    <col width="13.6640625" customWidth="1" style="88" min="2" max="2"/>
    <col width="6.33203125" customWidth="1" style="88" min="3" max="3"/>
    <col width="6.1640625" customWidth="1" style="88" min="4" max="4"/>
    <col width="7.33203125" customWidth="1" style="88" min="5" max="5"/>
    <col width="6.6640625" customWidth="1" style="88" min="6" max="6"/>
    <col width="6.1640625" customWidth="1" style="88" min="7" max="9"/>
    <col width="5.33203125" customWidth="1" style="88" min="10" max="10"/>
    <col width="6.1640625" customWidth="1" style="88" min="11" max="22"/>
    <col width="5.6640625" customWidth="1" style="88" min="23" max="23"/>
    <col width="6.1640625" customWidth="1" style="88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88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88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88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88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88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88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88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88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88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88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88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88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88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88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DATE(YEAR(B20)-1,MONTH(B20),DAY(B20))</f>
        <v/>
      </c>
      <c r="B20" s="12" t="n">
        <v>42461</v>
      </c>
      <c r="C20" s="14">
        <f>(VLOOKUP(B20,Data!$A:$AN,MATCH(yoy!$C$1,Data!$A$1:$AN$1,),)-VLOOKUP(A20,Data!$A:$AN,MATCH(yoy!$C$1,Data!$A$1:$AN$1,),))/VLOOKUP(A20,Data!$A:$AN,MATCH(yoy!$C$1,Data!$A$1:$AN$1,),)</f>
        <v/>
      </c>
      <c r="D20" s="14">
        <f>(VLOOKUP(B20,Data!$A:$AN,MATCH(yoy!$D$1,Data!$A$1:$AN$1,),)-VLOOKUP(A20,Data!$A:$AN,MATCH(yoy!$D$1,Data!$A$1:$AN$1,),))/VLOOKUP(A20,Data!$A:$AN,MATCH(yoy!$D$1,Data!$A$1:$AN$1,),)</f>
        <v/>
      </c>
      <c r="E20" s="14">
        <f>(VLOOKUP(B20,Data!$A:$AN,MATCH(yoy!$E$1,Data!$A$1:$AN$1,),)-VLOOKUP(A20,Data!$A:$AN,MATCH(yoy!$E$1,Data!$A$1:$AN$1,),))/VLOOKUP(A20,Data!$A:$AN,MATCH(yoy!$E$1,Data!$A$1:$AN$1,),)</f>
        <v/>
      </c>
      <c r="F20" s="14">
        <f>(VLOOKUP(B20,Data!$A:$AN,MATCH(yoy!$F$1,Data!$A$1:$AN$1,),)-VLOOKUP(A20,Data!$A:$AN,MATCH(yoy!$F$1,Data!$A$1:$AN$1,),))/VLOOKUP(A20,Data!$A:$AN,MATCH(yoy!$F$1,Data!$A$1:$AN$1,),)</f>
        <v/>
      </c>
      <c r="G20" s="14">
        <f>(VLOOKUP(B20,Data!$A:$AN,MATCH(yoy!$G$1,Data!$A$1:$AN$1,),)-VLOOKUP(A20,Data!$A:$AN,MATCH(yoy!$G$1,Data!$A$1:$AN$1,),))/VLOOKUP(A20,Data!$A:$AN,MATCH(yoy!$G$1,Data!$A$1:$AN$1,),)</f>
        <v/>
      </c>
      <c r="H20" s="14">
        <f>(VLOOKUP(B20,Data!$A:$AN,MATCH(yoy!$H$1,Data!$A$1:$AN$1,),)-VLOOKUP(A20,Data!$A:$AN,MATCH(yoy!$H$1,Data!$A$1:$AN$1,),))/VLOOKUP(A20,Data!$A:$AN,MATCH(yoy!$H$1,Data!$A$1:$AN$1,),)</f>
        <v/>
      </c>
      <c r="I20" s="14">
        <f>(VLOOKUP(B20,Data!$A:$AN,MATCH(yoy!$I$1,Data!$A$1:$AN$1,),)-VLOOKUP(A20,Data!$A:$AN,MATCH(yoy!$I$1,Data!$A$1:$AN$1,),))/VLOOKUP(A20,Data!$A:$AN,MATCH(yoy!$I$1,Data!$A$1:$AN$1,),)</f>
        <v/>
      </c>
      <c r="J20" s="14">
        <f>(VLOOKUP(B20,Data!$A:$AN,MATCH(yoy!$J$1,Data!$A$1:$AN$1,),)-VLOOKUP(A20,Data!$A:$AN,MATCH(yoy!$J$1,Data!$A$1:$AN$1,),))/VLOOKUP(A20,Data!$A:$AN,MATCH(yoy!$J$1,Data!$A$1:$AN$1,),)</f>
        <v/>
      </c>
      <c r="K20" s="14">
        <f>(VLOOKUP(B20,Data!$A:$AN,MATCH(yoy!$K$1,Data!$A$1:$AN$1,),)-VLOOKUP(A20,Data!$A:$AN,MATCH(yoy!$K$1,Data!$A$1:$AN$1,),))/VLOOKUP(A20,Data!$A:$AN,MATCH(yoy!$K$1,Data!$A$1:$AN$1,),)</f>
        <v/>
      </c>
      <c r="L20" s="14">
        <f>(VLOOKUP(B20,Data!$A:$AN,MATCH(yoy!$L$1,Data!$A$1:$AN$1,),)-VLOOKUP(A20,Data!$A:$AN,MATCH(yoy!$L$1,Data!$A$1:$AN$1,),))/VLOOKUP(A20,Data!$A:$AN,MATCH(yoy!$L$1,Data!$A$1:$AN$1,),)</f>
        <v/>
      </c>
      <c r="M20" s="14">
        <f>(VLOOKUP(B20,Data!$A:$AN,MATCH(yoy!$M$1,Data!$A$1:$AN$1,),)-VLOOKUP(A20,Data!$A:$AN,MATCH(yoy!$M$1,Data!$A$1:$AN$1,),))/VLOOKUP(A20,Data!$A:$AN,MATCH(yoy!$M$1,Data!$A$1:$AN$1,),)</f>
        <v/>
      </c>
      <c r="N20" s="14">
        <f>(VLOOKUP(B20,Data!$A:$AN,MATCH(yoy!$N$1,Data!$A$1:$AN$1,),)-VLOOKUP(A20,Data!$A:$AN,MATCH(yoy!$N$1,Data!$A$1:$AN$1,),))/VLOOKUP(A20,Data!$A:$AN,MATCH(yoy!$N$1,Data!$A$1:$AN$1,),)</f>
        <v/>
      </c>
      <c r="O20" s="14">
        <f>(VLOOKUP(B20,Data!$A:$AN,MATCH(yoy!$O$1,Data!$A$1:$AN$1,),)-VLOOKUP(A20,Data!$A:$AN,MATCH(yoy!$O$1,Data!$A$1:$AN$1,),))/VLOOKUP(A20,Data!$A:$AN,MATCH(yoy!$O$1,Data!$A$1:$AN$1,),)</f>
        <v/>
      </c>
      <c r="P20" s="14">
        <f>(VLOOKUP(B20,Data!$A:$AN,MATCH(yoy!$P$1,Data!$A$1:$AN$1,),)-VLOOKUP(A20,Data!$A:$AN,MATCH(yoy!$P$1,Data!$A$1:$AN$1,),))/VLOOKUP(A20,Data!$A:$AN,MATCH(yoy!$P$1,Data!$A$1:$AN$1,),)</f>
        <v/>
      </c>
      <c r="Q20" s="14">
        <f>(VLOOKUP(B20,Data!$A:$AN,MATCH(yoy!$Q$1,Data!$A$1:$AN$1,),)-VLOOKUP(A20,Data!$A:$AN,MATCH(yoy!$Q$1,Data!$A$1:$AN$1,),))/VLOOKUP(A20,Data!$A:$AN,MATCH(yoy!$Q$1,Data!$A$1:$AN$1,),)</f>
        <v/>
      </c>
      <c r="R20" s="14">
        <f>(VLOOKUP(B20,Data!$A:$AN,MATCH(yoy!$R$1,Data!$A$1:$AN$1,),)-VLOOKUP(A20,Data!$A:$AN,MATCH(yoy!$R$1,Data!$A$1:$AN$1,),))/VLOOKUP(A20,Data!$A:$AN,MATCH(yoy!$R$1,Data!$A$1:$AN$1,),)</f>
        <v/>
      </c>
      <c r="S20" s="14">
        <f>(VLOOKUP(B20,Data!$A:$AN,MATCH(yoy!$S$1,Data!$A$1:$AN$1,),)-VLOOKUP(A20,Data!$A:$AN,MATCH(yoy!$S$1,Data!$A$1:$AN$1,),))/VLOOKUP(A20,Data!$A:$AN,MATCH(yoy!$S$1,Data!$A$1:$AN$1,),)</f>
        <v/>
      </c>
      <c r="T20" s="14">
        <f>(VLOOKUP(B20,Data!$A:$AN,MATCH(yoy!$T$1,Data!$A$1:$AN$1,),)-VLOOKUP(A20,Data!$A:$AN,MATCH(yoy!$T$1,Data!$A$1:$AN$1,),))/VLOOKUP(A20,Data!$A:$AN,MATCH(yoy!$T$1,Data!$A$1:$AN$1,),)</f>
        <v/>
      </c>
      <c r="U20" s="14">
        <f>(VLOOKUP(B20,Data!$A:$AN,MATCH(yoy!$U$1,Data!$A$1:$AN$1,),)-VLOOKUP(A20,Data!$A:$AN,MATCH(yoy!$U$1,Data!$A$1:$AN$1,),))/VLOOKUP(A20,Data!$A:$AN,MATCH(yoy!$U$1,Data!$A$1:$AN$1,),)</f>
        <v/>
      </c>
      <c r="V20" s="14">
        <f>(VLOOKUP(B20,Data!$A:$AN,MATCH(yoy!$V$1,Data!$A$1:$AN$1,),)-VLOOKUP(A20,Data!$A:$AN,MATCH(yoy!$V$1,Data!$A$1:$AN$1,),))/VLOOKUP(A20,Data!$A:$AN,MATCH(yoy!$V$1,Data!$A$1:$AN$1,),)</f>
        <v/>
      </c>
      <c r="W20" s="14">
        <f>(VLOOKUP(B20,Data!$A:$AN,MATCH(yoy!$W$1,Data!$A$1:$AN$1,),)-VLOOKUP(A20,Data!$A:$AN,MATCH(yoy!$W$1,Data!$A$1:$AN$1,),))/VLOOKUP(A20,Data!$A:$AN,MATCH(yoy!$W$1,Data!$A$1:$AN$1,),)</f>
        <v/>
      </c>
      <c r="X20" s="14">
        <f>(VLOOKUP(B20,Data!$A:$AN,MATCH(yoy!$X$1,Data!$A$1:$AN$1,),)-VLOOKUP(A20,Data!$A:$AN,MATCH(yoy!$X$1,Data!$A$1:$AN$1,),))/VLOOKUP(A20,Data!$A:$AN,MATCH(yoy!$X$1,Data!$A$1:$AN$1,),)</f>
        <v/>
      </c>
      <c r="Y20" s="14">
        <f>(VLOOKUP(B20,Data!$A:$AN,MATCH(yoy!$Y$1,Data!$A$1:$AN$1,),)-VLOOKUP(A20,Data!$A:$AN,MATCH(yoy!$Y$1,Data!$A$1:$AN$1,),))/VLOOKUP(A20,Data!$A:$AN,MATCH(yoy!$Y$1,Data!$A$1:$AN$1,),)</f>
        <v/>
      </c>
      <c r="Z20" s="14">
        <f>(VLOOKUP(B20,Data!$A:$AN,MATCH(yoy!$Z$1,Data!$A$1:$AN$1,),)-VLOOKUP(A20,Data!$A:$AN,MATCH(yoy!$Z$1,Data!$A$1:$AN$1,),))/VLOOKUP(A20,Data!$A:$AN,MATCH(yoy!$Z$1,Data!$A$1:$AN$1,),)</f>
        <v/>
      </c>
      <c r="AA20" s="14">
        <f>(VLOOKUP(B20,Data!$A:$AN,MATCH(yoy!$AA$1,Data!$A$1:$AN$1,),)-VLOOKUP(A20,Data!$A:$AN,MATCH(yoy!$AA$1,Data!$A$1:$AN$1,),))/VLOOKUP(A20,Data!$A:$AN,MATCH(yoy!$AA$1,Data!$A$1:$AN$1,),)</f>
        <v/>
      </c>
    </row>
    <row r="21">
      <c r="A21" s="20">
        <f>DATE(YEAR(B21)-1,MONTH(B21),DAY(B21))</f>
        <v/>
      </c>
      <c r="B21" s="12" t="n">
        <v>42491</v>
      </c>
      <c r="C21" s="14">
        <f>(VLOOKUP(B21,Data!$A:$AN,MATCH(yoy!$C$1,Data!$A$1:$AN$1,),)-VLOOKUP(A21,Data!$A:$AN,MATCH(yoy!$C$1,Data!$A$1:$AN$1,),))/VLOOKUP(A21,Data!$A:$AN,MATCH(yoy!$C$1,Data!$A$1:$AN$1,),)</f>
        <v/>
      </c>
      <c r="D21" s="14">
        <f>(VLOOKUP(B21,Data!$A:$AN,MATCH(yoy!$D$1,Data!$A$1:$AN$1,),)-VLOOKUP(A21,Data!$A:$AN,MATCH(yoy!$D$1,Data!$A$1:$AN$1,),))/VLOOKUP(A21,Data!$A:$AN,MATCH(yoy!$D$1,Data!$A$1:$AN$1,),)</f>
        <v/>
      </c>
      <c r="E21" s="14">
        <f>(VLOOKUP(B21,Data!$A:$AN,MATCH(yoy!$E$1,Data!$A$1:$AN$1,),)-VLOOKUP(A21,Data!$A:$AN,MATCH(yoy!$E$1,Data!$A$1:$AN$1,),))/VLOOKUP(A21,Data!$A:$AN,MATCH(yoy!$E$1,Data!$A$1:$AN$1,),)</f>
        <v/>
      </c>
      <c r="F21" s="14">
        <f>(VLOOKUP(B21,Data!$A:$AN,MATCH(yoy!$F$1,Data!$A$1:$AN$1,),)-VLOOKUP(A21,Data!$A:$AN,MATCH(yoy!$F$1,Data!$A$1:$AN$1,),))/VLOOKUP(A21,Data!$A:$AN,MATCH(yoy!$F$1,Data!$A$1:$AN$1,),)</f>
        <v/>
      </c>
      <c r="G21" s="14">
        <f>(VLOOKUP(B21,Data!$A:$AN,MATCH(yoy!$G$1,Data!$A$1:$AN$1,),)-VLOOKUP(A21,Data!$A:$AN,MATCH(yoy!$G$1,Data!$A$1:$AN$1,),))/VLOOKUP(A21,Data!$A:$AN,MATCH(yoy!$G$1,Data!$A$1:$AN$1,),)</f>
        <v/>
      </c>
      <c r="H21" s="14">
        <f>(VLOOKUP(B21,Data!$A:$AN,MATCH(yoy!$H$1,Data!$A$1:$AN$1,),)-VLOOKUP(A21,Data!$A:$AN,MATCH(yoy!$H$1,Data!$A$1:$AN$1,),))/VLOOKUP(A21,Data!$A:$AN,MATCH(yoy!$H$1,Data!$A$1:$AN$1,),)</f>
        <v/>
      </c>
      <c r="I21" s="14">
        <f>(VLOOKUP(B21,Data!$A:$AN,MATCH(yoy!$I$1,Data!$A$1:$AN$1,),)-VLOOKUP(A21,Data!$A:$AN,MATCH(yoy!$I$1,Data!$A$1:$AN$1,),))/VLOOKUP(A21,Data!$A:$AN,MATCH(yoy!$I$1,Data!$A$1:$AN$1,),)</f>
        <v/>
      </c>
      <c r="J21" s="14">
        <f>(VLOOKUP(B21,Data!$A:$AN,MATCH(yoy!$J$1,Data!$A$1:$AN$1,),)-VLOOKUP(A21,Data!$A:$AN,MATCH(yoy!$J$1,Data!$A$1:$AN$1,),))/VLOOKUP(A21,Data!$A:$AN,MATCH(yoy!$J$1,Data!$A$1:$AN$1,),)</f>
        <v/>
      </c>
      <c r="K21" s="14">
        <f>(VLOOKUP(B21,Data!$A:$AN,MATCH(yoy!$K$1,Data!$A$1:$AN$1,),)-VLOOKUP(A21,Data!$A:$AN,MATCH(yoy!$K$1,Data!$A$1:$AN$1,),))/VLOOKUP(A21,Data!$A:$AN,MATCH(yoy!$K$1,Data!$A$1:$AN$1,),)</f>
        <v/>
      </c>
      <c r="L21" s="14">
        <f>(VLOOKUP(B21,Data!$A:$AN,MATCH(yoy!$L$1,Data!$A$1:$AN$1,),)-VLOOKUP(A21,Data!$A:$AN,MATCH(yoy!$L$1,Data!$A$1:$AN$1,),))/VLOOKUP(A21,Data!$A:$AN,MATCH(yoy!$L$1,Data!$A$1:$AN$1,),)</f>
        <v/>
      </c>
      <c r="M21" s="14">
        <f>(VLOOKUP(B21,Data!$A:$AN,MATCH(yoy!$M$1,Data!$A$1:$AN$1,),)-VLOOKUP(A21,Data!$A:$AN,MATCH(yoy!$M$1,Data!$A$1:$AN$1,),))/VLOOKUP(A21,Data!$A:$AN,MATCH(yoy!$M$1,Data!$A$1:$AN$1,),)</f>
        <v/>
      </c>
      <c r="N21" s="14">
        <f>(VLOOKUP(B21,Data!$A:$AN,MATCH(yoy!$N$1,Data!$A$1:$AN$1,),)-VLOOKUP(A21,Data!$A:$AN,MATCH(yoy!$N$1,Data!$A$1:$AN$1,),))/VLOOKUP(A21,Data!$A:$AN,MATCH(yoy!$N$1,Data!$A$1:$AN$1,),)</f>
        <v/>
      </c>
      <c r="O21" s="14">
        <f>(VLOOKUP(B21,Data!$A:$AN,MATCH(yoy!$O$1,Data!$A$1:$AN$1,),)-VLOOKUP(A21,Data!$A:$AN,MATCH(yoy!$O$1,Data!$A$1:$AN$1,),))/VLOOKUP(A21,Data!$A:$AN,MATCH(yoy!$O$1,Data!$A$1:$AN$1,),)</f>
        <v/>
      </c>
      <c r="P21" s="14">
        <f>(VLOOKUP(B21,Data!$A:$AN,MATCH(yoy!$P$1,Data!$A$1:$AN$1,),)-VLOOKUP(A21,Data!$A:$AN,MATCH(yoy!$P$1,Data!$A$1:$AN$1,),))/VLOOKUP(A21,Data!$A:$AN,MATCH(yoy!$P$1,Data!$A$1:$AN$1,),)</f>
        <v/>
      </c>
      <c r="Q21" s="14">
        <f>(VLOOKUP(B21,Data!$A:$AN,MATCH(yoy!$Q$1,Data!$A$1:$AN$1,),)-VLOOKUP(A21,Data!$A:$AN,MATCH(yoy!$Q$1,Data!$A$1:$AN$1,),))/VLOOKUP(A21,Data!$A:$AN,MATCH(yoy!$Q$1,Data!$A$1:$AN$1,),)</f>
        <v/>
      </c>
      <c r="R21" s="14">
        <f>(VLOOKUP(B21,Data!$A:$AN,MATCH(yoy!$R$1,Data!$A$1:$AN$1,),)-VLOOKUP(A21,Data!$A:$AN,MATCH(yoy!$R$1,Data!$A$1:$AN$1,),))/VLOOKUP(A21,Data!$A:$AN,MATCH(yoy!$R$1,Data!$A$1:$AN$1,),)</f>
        <v/>
      </c>
      <c r="S21" s="14">
        <f>(VLOOKUP(B21,Data!$A:$AN,MATCH(yoy!$S$1,Data!$A$1:$AN$1,),)-VLOOKUP(A21,Data!$A:$AN,MATCH(yoy!$S$1,Data!$A$1:$AN$1,),))/VLOOKUP(A21,Data!$A:$AN,MATCH(yoy!$S$1,Data!$A$1:$AN$1,),)</f>
        <v/>
      </c>
      <c r="T21" s="14">
        <f>(VLOOKUP(B21,Data!$A:$AN,MATCH(yoy!$T$1,Data!$A$1:$AN$1,),)-VLOOKUP(A21,Data!$A:$AN,MATCH(yoy!$T$1,Data!$A$1:$AN$1,),))/VLOOKUP(A21,Data!$A:$AN,MATCH(yoy!$T$1,Data!$A$1:$AN$1,),)</f>
        <v/>
      </c>
      <c r="U21" s="14">
        <f>(VLOOKUP(B21,Data!$A:$AN,MATCH(yoy!$U$1,Data!$A$1:$AN$1,),)-VLOOKUP(A21,Data!$A:$AN,MATCH(yoy!$U$1,Data!$A$1:$AN$1,),))/VLOOKUP(A21,Data!$A:$AN,MATCH(yoy!$U$1,Data!$A$1:$AN$1,),)</f>
        <v/>
      </c>
      <c r="V21" s="14">
        <f>(VLOOKUP(B21,Data!$A:$AN,MATCH(yoy!$V$1,Data!$A$1:$AN$1,),)-VLOOKUP(A21,Data!$A:$AN,MATCH(yoy!$V$1,Data!$A$1:$AN$1,),))/VLOOKUP(A21,Data!$A:$AN,MATCH(yoy!$V$1,Data!$A$1:$AN$1,),)</f>
        <v/>
      </c>
      <c r="W21" s="14">
        <f>(VLOOKUP(B21,Data!$A:$AN,MATCH(yoy!$W$1,Data!$A$1:$AN$1,),)-VLOOKUP(A21,Data!$A:$AN,MATCH(yoy!$W$1,Data!$A$1:$AN$1,),))/VLOOKUP(A21,Data!$A:$AN,MATCH(yoy!$W$1,Data!$A$1:$AN$1,),)</f>
        <v/>
      </c>
      <c r="X21" s="14">
        <f>(VLOOKUP(B21,Data!$A:$AN,MATCH(yoy!$X$1,Data!$A$1:$AN$1,),)-VLOOKUP(A21,Data!$A:$AN,MATCH(yoy!$X$1,Data!$A$1:$AN$1,),))/VLOOKUP(A21,Data!$A:$AN,MATCH(yoy!$X$1,Data!$A$1:$AN$1,),)</f>
        <v/>
      </c>
      <c r="Y21" s="14">
        <f>(VLOOKUP(B21,Data!$A:$AN,MATCH(yoy!$Y$1,Data!$A$1:$AN$1,),)-VLOOKUP(A21,Data!$A:$AN,MATCH(yoy!$Y$1,Data!$A$1:$AN$1,),))/VLOOKUP(A21,Data!$A:$AN,MATCH(yoy!$Y$1,Data!$A$1:$AN$1,),)</f>
        <v/>
      </c>
      <c r="Z21" s="14">
        <f>(VLOOKUP(B21,Data!$A:$AN,MATCH(yoy!$Z$1,Data!$A$1:$AN$1,),)-VLOOKUP(A21,Data!$A:$AN,MATCH(yoy!$Z$1,Data!$A$1:$AN$1,),))/VLOOKUP(A21,Data!$A:$AN,MATCH(yoy!$Z$1,Data!$A$1:$AN$1,),)</f>
        <v/>
      </c>
      <c r="AA21" s="14">
        <f>(VLOOKUP(B21,Data!$A:$AN,MATCH(yoy!$AA$1,Data!$A$1:$AN$1,),)-VLOOKUP(A21,Data!$A:$AN,MATCH(yoy!$AA$1,Data!$A$1:$AN$1,),))/VLOOKUP(A21,Data!$A:$AN,MATCH(yoy!$AA$1,Data!$A$1:$AN$1,),)</f>
        <v/>
      </c>
    </row>
    <row r="22">
      <c r="A22" s="20">
        <f>DATE(YEAR(B22)-1,MONTH(B22),DAY(B22))</f>
        <v/>
      </c>
      <c r="B22" s="12" t="n">
        <v>42522</v>
      </c>
      <c r="C22" s="14">
        <f>(VLOOKUP(B22,Data!$A:$AN,MATCH(yoy!$C$1,Data!$A$1:$AN$1,),)-VLOOKUP(A22,Data!$A:$AN,MATCH(yoy!$C$1,Data!$A$1:$AN$1,),))/VLOOKUP(A22,Data!$A:$AN,MATCH(yoy!$C$1,Data!$A$1:$AN$1,),)</f>
        <v/>
      </c>
      <c r="D22" s="14">
        <f>(VLOOKUP(B22,Data!$A:$AN,MATCH(yoy!$D$1,Data!$A$1:$AN$1,),)-VLOOKUP(A22,Data!$A:$AN,MATCH(yoy!$D$1,Data!$A$1:$AN$1,),))/VLOOKUP(A22,Data!$A:$AN,MATCH(yoy!$D$1,Data!$A$1:$AN$1,),)</f>
        <v/>
      </c>
      <c r="E22" s="14">
        <f>(VLOOKUP(B22,Data!$A:$AN,MATCH(yoy!$E$1,Data!$A$1:$AN$1,),)-VLOOKUP(A22,Data!$A:$AN,MATCH(yoy!$E$1,Data!$A$1:$AN$1,),))/VLOOKUP(A22,Data!$A:$AN,MATCH(yoy!$E$1,Data!$A$1:$AN$1,),)</f>
        <v/>
      </c>
      <c r="F22" s="14">
        <f>(VLOOKUP(B22,Data!$A:$AN,MATCH(yoy!$F$1,Data!$A$1:$AN$1,),)-VLOOKUP(A22,Data!$A:$AN,MATCH(yoy!$F$1,Data!$A$1:$AN$1,),))/VLOOKUP(A22,Data!$A:$AN,MATCH(yoy!$F$1,Data!$A$1:$AN$1,),)</f>
        <v/>
      </c>
      <c r="G22" s="14">
        <f>(VLOOKUP(B22,Data!$A:$AN,MATCH(yoy!$G$1,Data!$A$1:$AN$1,),)-VLOOKUP(A22,Data!$A:$AN,MATCH(yoy!$G$1,Data!$A$1:$AN$1,),))/VLOOKUP(A22,Data!$A:$AN,MATCH(yoy!$G$1,Data!$A$1:$AN$1,),)</f>
        <v/>
      </c>
      <c r="H22" s="14">
        <f>(VLOOKUP(B22,Data!$A:$AN,MATCH(yoy!$H$1,Data!$A$1:$AN$1,),)-VLOOKUP(A22,Data!$A:$AN,MATCH(yoy!$H$1,Data!$A$1:$AN$1,),))/VLOOKUP(A22,Data!$A:$AN,MATCH(yoy!$H$1,Data!$A$1:$AN$1,),)</f>
        <v/>
      </c>
      <c r="I22" s="14">
        <f>(VLOOKUP(B22,Data!$A:$AN,MATCH(yoy!$I$1,Data!$A$1:$AN$1,),)-VLOOKUP(A22,Data!$A:$AN,MATCH(yoy!$I$1,Data!$A$1:$AN$1,),))/VLOOKUP(A22,Data!$A:$AN,MATCH(yoy!$I$1,Data!$A$1:$AN$1,),)</f>
        <v/>
      </c>
      <c r="J22" s="14">
        <f>(VLOOKUP(B22,Data!$A:$AN,MATCH(yoy!$J$1,Data!$A$1:$AN$1,),)-VLOOKUP(A22,Data!$A:$AN,MATCH(yoy!$J$1,Data!$A$1:$AN$1,),))/VLOOKUP(A22,Data!$A:$AN,MATCH(yoy!$J$1,Data!$A$1:$AN$1,),)</f>
        <v/>
      </c>
      <c r="K22" s="14">
        <f>(VLOOKUP(B22,Data!$A:$AN,MATCH(yoy!$K$1,Data!$A$1:$AN$1,),)-VLOOKUP(A22,Data!$A:$AN,MATCH(yoy!$K$1,Data!$A$1:$AN$1,),))/VLOOKUP(A22,Data!$A:$AN,MATCH(yoy!$K$1,Data!$A$1:$AN$1,),)</f>
        <v/>
      </c>
      <c r="L22" s="14">
        <f>(VLOOKUP(B22,Data!$A:$AN,MATCH(yoy!$L$1,Data!$A$1:$AN$1,),)-VLOOKUP(A22,Data!$A:$AN,MATCH(yoy!$L$1,Data!$A$1:$AN$1,),))/VLOOKUP(A22,Data!$A:$AN,MATCH(yoy!$L$1,Data!$A$1:$AN$1,),)</f>
        <v/>
      </c>
      <c r="M22" s="14">
        <f>(VLOOKUP(B22,Data!$A:$AN,MATCH(yoy!$M$1,Data!$A$1:$AN$1,),)-VLOOKUP(A22,Data!$A:$AN,MATCH(yoy!$M$1,Data!$A$1:$AN$1,),))/VLOOKUP(A22,Data!$A:$AN,MATCH(yoy!$M$1,Data!$A$1:$AN$1,),)</f>
        <v/>
      </c>
      <c r="N22" s="14">
        <f>(VLOOKUP(B22,Data!$A:$AN,MATCH(yoy!$N$1,Data!$A$1:$AN$1,),)-VLOOKUP(A22,Data!$A:$AN,MATCH(yoy!$N$1,Data!$A$1:$AN$1,),))/VLOOKUP(A22,Data!$A:$AN,MATCH(yoy!$N$1,Data!$A$1:$AN$1,),)</f>
        <v/>
      </c>
      <c r="O22" s="14">
        <f>(VLOOKUP(B22,Data!$A:$AN,MATCH(yoy!$O$1,Data!$A$1:$AN$1,),)-VLOOKUP(A22,Data!$A:$AN,MATCH(yoy!$O$1,Data!$A$1:$AN$1,),))/VLOOKUP(A22,Data!$A:$AN,MATCH(yoy!$O$1,Data!$A$1:$AN$1,),)</f>
        <v/>
      </c>
      <c r="P22" s="14">
        <f>(VLOOKUP(B22,Data!$A:$AN,MATCH(yoy!$P$1,Data!$A$1:$AN$1,),)-VLOOKUP(A22,Data!$A:$AN,MATCH(yoy!$P$1,Data!$A$1:$AN$1,),))/VLOOKUP(A22,Data!$A:$AN,MATCH(yoy!$P$1,Data!$A$1:$AN$1,),)</f>
        <v/>
      </c>
      <c r="Q22" s="14">
        <f>(VLOOKUP(B22,Data!$A:$AN,MATCH(yoy!$Q$1,Data!$A$1:$AN$1,),)-VLOOKUP(A22,Data!$A:$AN,MATCH(yoy!$Q$1,Data!$A$1:$AN$1,),))/VLOOKUP(A22,Data!$A:$AN,MATCH(yoy!$Q$1,Data!$A$1:$AN$1,),)</f>
        <v/>
      </c>
      <c r="R22" s="14">
        <f>(VLOOKUP(B22,Data!$A:$AN,MATCH(yoy!$R$1,Data!$A$1:$AN$1,),)-VLOOKUP(A22,Data!$A:$AN,MATCH(yoy!$R$1,Data!$A$1:$AN$1,),))/VLOOKUP(A22,Data!$A:$AN,MATCH(yoy!$R$1,Data!$A$1:$AN$1,),)</f>
        <v/>
      </c>
      <c r="S22" s="14">
        <f>(VLOOKUP(B22,Data!$A:$AN,MATCH(yoy!$S$1,Data!$A$1:$AN$1,),)-VLOOKUP(A22,Data!$A:$AN,MATCH(yoy!$S$1,Data!$A$1:$AN$1,),))/VLOOKUP(A22,Data!$A:$AN,MATCH(yoy!$S$1,Data!$A$1:$AN$1,),)</f>
        <v/>
      </c>
      <c r="T22" s="14">
        <f>(VLOOKUP(B22,Data!$A:$AN,MATCH(yoy!$T$1,Data!$A$1:$AN$1,),)-VLOOKUP(A22,Data!$A:$AN,MATCH(yoy!$T$1,Data!$A$1:$AN$1,),))/VLOOKUP(A22,Data!$A:$AN,MATCH(yoy!$T$1,Data!$A$1:$AN$1,),)</f>
        <v/>
      </c>
      <c r="U22" s="14">
        <f>(VLOOKUP(B22,Data!$A:$AN,MATCH(yoy!$U$1,Data!$A$1:$AN$1,),)-VLOOKUP(A22,Data!$A:$AN,MATCH(yoy!$U$1,Data!$A$1:$AN$1,),))/VLOOKUP(A22,Data!$A:$AN,MATCH(yoy!$U$1,Data!$A$1:$AN$1,),)</f>
        <v/>
      </c>
      <c r="V22" s="14">
        <f>(VLOOKUP(B22,Data!$A:$AN,MATCH(yoy!$V$1,Data!$A$1:$AN$1,),)-VLOOKUP(A22,Data!$A:$AN,MATCH(yoy!$V$1,Data!$A$1:$AN$1,),))/VLOOKUP(A22,Data!$A:$AN,MATCH(yoy!$V$1,Data!$A$1:$AN$1,),)</f>
        <v/>
      </c>
      <c r="W22" s="14">
        <f>(VLOOKUP(B22,Data!$A:$AN,MATCH(yoy!$W$1,Data!$A$1:$AN$1,),)-VLOOKUP(A22,Data!$A:$AN,MATCH(yoy!$W$1,Data!$A$1:$AN$1,),))/VLOOKUP(A22,Data!$A:$AN,MATCH(yoy!$W$1,Data!$A$1:$AN$1,),)</f>
        <v/>
      </c>
      <c r="X22" s="14">
        <f>(VLOOKUP(B22,Data!$A:$AN,MATCH(yoy!$X$1,Data!$A$1:$AN$1,),)-VLOOKUP(A22,Data!$A:$AN,MATCH(yoy!$X$1,Data!$A$1:$AN$1,),))/VLOOKUP(A22,Data!$A:$AN,MATCH(yoy!$X$1,Data!$A$1:$AN$1,),)</f>
        <v/>
      </c>
      <c r="Y22" s="14">
        <f>(VLOOKUP(B22,Data!$A:$AN,MATCH(yoy!$Y$1,Data!$A$1:$AN$1,),)-VLOOKUP(A22,Data!$A:$AN,MATCH(yoy!$Y$1,Data!$A$1:$AN$1,),))/VLOOKUP(A22,Data!$A:$AN,MATCH(yoy!$Y$1,Data!$A$1:$AN$1,),)</f>
        <v/>
      </c>
      <c r="Z22" s="14">
        <f>(VLOOKUP(B22,Data!$A:$AN,MATCH(yoy!$Z$1,Data!$A$1:$AN$1,),)-VLOOKUP(A22,Data!$A:$AN,MATCH(yoy!$Z$1,Data!$A$1:$AN$1,),))/VLOOKUP(A22,Data!$A:$AN,MATCH(yoy!$Z$1,Data!$A$1:$AN$1,),)</f>
        <v/>
      </c>
      <c r="AA22" s="14">
        <f>(VLOOKUP(B22,Data!$A:$AN,MATCH(yoy!$AA$1,Data!$A$1:$AN$1,),)-VLOOKUP(A22,Data!$A:$AN,MATCH(yoy!$AA$1,Data!$A$1:$AN$1,),))/VLOOKUP(A22,Data!$A:$AN,MATCH(yoy!$AA$1,Data!$A$1:$AN$1,),)</f>
        <v/>
      </c>
    </row>
    <row r="23">
      <c r="A23" s="20">
        <f>DATE(YEAR(B23)-1,MONTH(B23),DAY(B23))</f>
        <v/>
      </c>
      <c r="B23" s="12" t="n">
        <v>42552</v>
      </c>
      <c r="C23" s="14">
        <f>(VLOOKUP(B23,Data!$A:$AN,MATCH(yoy!$C$1,Data!$A$1:$AN$1,),)-VLOOKUP(A23,Data!$A:$AN,MATCH(yoy!$C$1,Data!$A$1:$AN$1,),))/VLOOKUP(A23,Data!$A:$AN,MATCH(yoy!$C$1,Data!$A$1:$AN$1,),)</f>
        <v/>
      </c>
      <c r="D23" s="14">
        <f>(VLOOKUP(B23,Data!$A:$AN,MATCH(yoy!$D$1,Data!$A$1:$AN$1,),)-VLOOKUP(A23,Data!$A:$AN,MATCH(yoy!$D$1,Data!$A$1:$AN$1,),))/VLOOKUP(A23,Data!$A:$AN,MATCH(yoy!$D$1,Data!$A$1:$AN$1,),)</f>
        <v/>
      </c>
      <c r="E23" s="14">
        <f>(VLOOKUP(B23,Data!$A:$AN,MATCH(yoy!$E$1,Data!$A$1:$AN$1,),)-VLOOKUP(A23,Data!$A:$AN,MATCH(yoy!$E$1,Data!$A$1:$AN$1,),))/VLOOKUP(A23,Data!$A:$AN,MATCH(yoy!$E$1,Data!$A$1:$AN$1,),)</f>
        <v/>
      </c>
      <c r="F23" s="14">
        <f>(VLOOKUP(B23,Data!$A:$AN,MATCH(yoy!$F$1,Data!$A$1:$AN$1,),)-VLOOKUP(A23,Data!$A:$AN,MATCH(yoy!$F$1,Data!$A$1:$AN$1,),))/VLOOKUP(A23,Data!$A:$AN,MATCH(yoy!$F$1,Data!$A$1:$AN$1,),)</f>
        <v/>
      </c>
      <c r="G23" s="14">
        <f>(VLOOKUP(B23,Data!$A:$AN,MATCH(yoy!$G$1,Data!$A$1:$AN$1,),)-VLOOKUP(A23,Data!$A:$AN,MATCH(yoy!$G$1,Data!$A$1:$AN$1,),))/VLOOKUP(A23,Data!$A:$AN,MATCH(yoy!$G$1,Data!$A$1:$AN$1,),)</f>
        <v/>
      </c>
      <c r="H23" s="14">
        <f>(VLOOKUP(B23,Data!$A:$AN,MATCH(yoy!$H$1,Data!$A$1:$AN$1,),)-VLOOKUP(A23,Data!$A:$AN,MATCH(yoy!$H$1,Data!$A$1:$AN$1,),))/VLOOKUP(A23,Data!$A:$AN,MATCH(yoy!$H$1,Data!$A$1:$AN$1,),)</f>
        <v/>
      </c>
      <c r="I23" s="14">
        <f>(VLOOKUP(B23,Data!$A:$AN,MATCH(yoy!$I$1,Data!$A$1:$AN$1,),)-VLOOKUP(A23,Data!$A:$AN,MATCH(yoy!$I$1,Data!$A$1:$AN$1,),))/VLOOKUP(A23,Data!$A:$AN,MATCH(yoy!$I$1,Data!$A$1:$AN$1,),)</f>
        <v/>
      </c>
      <c r="J23" s="14">
        <f>(VLOOKUP(B23,Data!$A:$AN,MATCH(yoy!$J$1,Data!$A$1:$AN$1,),)-VLOOKUP(A23,Data!$A:$AN,MATCH(yoy!$J$1,Data!$A$1:$AN$1,),))/VLOOKUP(A23,Data!$A:$AN,MATCH(yoy!$J$1,Data!$A$1:$AN$1,),)</f>
        <v/>
      </c>
      <c r="K23" s="14">
        <f>(VLOOKUP(B23,Data!$A:$AN,MATCH(yoy!$K$1,Data!$A$1:$AN$1,),)-VLOOKUP(A23,Data!$A:$AN,MATCH(yoy!$K$1,Data!$A$1:$AN$1,),))/VLOOKUP(A23,Data!$A:$AN,MATCH(yoy!$K$1,Data!$A$1:$AN$1,),)</f>
        <v/>
      </c>
      <c r="L23" s="14">
        <f>(VLOOKUP(B23,Data!$A:$AN,MATCH(yoy!$L$1,Data!$A$1:$AN$1,),)-VLOOKUP(A23,Data!$A:$AN,MATCH(yoy!$L$1,Data!$A$1:$AN$1,),))/VLOOKUP(A23,Data!$A:$AN,MATCH(yoy!$L$1,Data!$A$1:$AN$1,),)</f>
        <v/>
      </c>
      <c r="M23" s="14">
        <f>(VLOOKUP(B23,Data!$A:$AN,MATCH(yoy!$M$1,Data!$A$1:$AN$1,),)-VLOOKUP(A23,Data!$A:$AN,MATCH(yoy!$M$1,Data!$A$1:$AN$1,),))/VLOOKUP(A23,Data!$A:$AN,MATCH(yoy!$M$1,Data!$A$1:$AN$1,),)</f>
        <v/>
      </c>
      <c r="N23" s="14">
        <f>(VLOOKUP(B23,Data!$A:$AN,MATCH(yoy!$N$1,Data!$A$1:$AN$1,),)-VLOOKUP(A23,Data!$A:$AN,MATCH(yoy!$N$1,Data!$A$1:$AN$1,),))/VLOOKUP(A23,Data!$A:$AN,MATCH(yoy!$N$1,Data!$A$1:$AN$1,),)</f>
        <v/>
      </c>
      <c r="O23" s="14">
        <f>(VLOOKUP(B23,Data!$A:$AN,MATCH(yoy!$O$1,Data!$A$1:$AN$1,),)-VLOOKUP(A23,Data!$A:$AN,MATCH(yoy!$O$1,Data!$A$1:$AN$1,),))/VLOOKUP(A23,Data!$A:$AN,MATCH(yoy!$O$1,Data!$A$1:$AN$1,),)</f>
        <v/>
      </c>
      <c r="P23" s="14">
        <f>(VLOOKUP(B23,Data!$A:$AN,MATCH(yoy!$P$1,Data!$A$1:$AN$1,),)-VLOOKUP(A23,Data!$A:$AN,MATCH(yoy!$P$1,Data!$A$1:$AN$1,),))/VLOOKUP(A23,Data!$A:$AN,MATCH(yoy!$P$1,Data!$A$1:$AN$1,),)</f>
        <v/>
      </c>
      <c r="Q23" s="14">
        <f>(VLOOKUP(B23,Data!$A:$AN,MATCH(yoy!$Q$1,Data!$A$1:$AN$1,),)-VLOOKUP(A23,Data!$A:$AN,MATCH(yoy!$Q$1,Data!$A$1:$AN$1,),))/VLOOKUP(A23,Data!$A:$AN,MATCH(yoy!$Q$1,Data!$A$1:$AN$1,),)</f>
        <v/>
      </c>
      <c r="R23" s="14">
        <f>(VLOOKUP(B23,Data!$A:$AN,MATCH(yoy!$R$1,Data!$A$1:$AN$1,),)-VLOOKUP(A23,Data!$A:$AN,MATCH(yoy!$R$1,Data!$A$1:$AN$1,),))/VLOOKUP(A23,Data!$A:$AN,MATCH(yoy!$R$1,Data!$A$1:$AN$1,),)</f>
        <v/>
      </c>
      <c r="S23" s="14">
        <f>(VLOOKUP(B23,Data!$A:$AN,MATCH(yoy!$S$1,Data!$A$1:$AN$1,),)-VLOOKUP(A23,Data!$A:$AN,MATCH(yoy!$S$1,Data!$A$1:$AN$1,),))/VLOOKUP(A23,Data!$A:$AN,MATCH(yoy!$S$1,Data!$A$1:$AN$1,),)</f>
        <v/>
      </c>
      <c r="T23" s="14">
        <f>(VLOOKUP(B23,Data!$A:$AN,MATCH(yoy!$T$1,Data!$A$1:$AN$1,),)-VLOOKUP(A23,Data!$A:$AN,MATCH(yoy!$T$1,Data!$A$1:$AN$1,),))/VLOOKUP(A23,Data!$A:$AN,MATCH(yoy!$T$1,Data!$A$1:$AN$1,),)</f>
        <v/>
      </c>
      <c r="U23" s="14">
        <f>(VLOOKUP(B23,Data!$A:$AN,MATCH(yoy!$U$1,Data!$A$1:$AN$1,),)-VLOOKUP(A23,Data!$A:$AN,MATCH(yoy!$U$1,Data!$A$1:$AN$1,),))/VLOOKUP(A23,Data!$A:$AN,MATCH(yoy!$U$1,Data!$A$1:$AN$1,),)</f>
        <v/>
      </c>
      <c r="V23" s="14">
        <f>(VLOOKUP(B23,Data!$A:$AN,MATCH(yoy!$V$1,Data!$A$1:$AN$1,),)-VLOOKUP(A23,Data!$A:$AN,MATCH(yoy!$V$1,Data!$A$1:$AN$1,),))/VLOOKUP(A23,Data!$A:$AN,MATCH(yoy!$V$1,Data!$A$1:$AN$1,),)</f>
        <v/>
      </c>
      <c r="W23" s="14">
        <f>(VLOOKUP(B23,Data!$A:$AN,MATCH(yoy!$W$1,Data!$A$1:$AN$1,),)-VLOOKUP(A23,Data!$A:$AN,MATCH(yoy!$W$1,Data!$A$1:$AN$1,),))/VLOOKUP(A23,Data!$A:$AN,MATCH(yoy!$W$1,Data!$A$1:$AN$1,),)</f>
        <v/>
      </c>
      <c r="X23" s="14">
        <f>(VLOOKUP(B23,Data!$A:$AN,MATCH(yoy!$X$1,Data!$A$1:$AN$1,),)-VLOOKUP(A23,Data!$A:$AN,MATCH(yoy!$X$1,Data!$A$1:$AN$1,),))/VLOOKUP(A23,Data!$A:$AN,MATCH(yoy!$X$1,Data!$A$1:$AN$1,),)</f>
        <v/>
      </c>
      <c r="Y23" s="14">
        <f>(VLOOKUP(B23,Data!$A:$AN,MATCH(yoy!$Y$1,Data!$A$1:$AN$1,),)-VLOOKUP(A23,Data!$A:$AN,MATCH(yoy!$Y$1,Data!$A$1:$AN$1,),))/VLOOKUP(A23,Data!$A:$AN,MATCH(yoy!$Y$1,Data!$A$1:$AN$1,),)</f>
        <v/>
      </c>
      <c r="Z23" s="14">
        <f>(VLOOKUP(B23,Data!$A:$AN,MATCH(yoy!$Z$1,Data!$A$1:$AN$1,),)-VLOOKUP(A23,Data!$A:$AN,MATCH(yoy!$Z$1,Data!$A$1:$AN$1,),))/VLOOKUP(A23,Data!$A:$AN,MATCH(yoy!$Z$1,Data!$A$1:$AN$1,),)</f>
        <v/>
      </c>
      <c r="AA23" s="14">
        <f>(VLOOKUP(B23,Data!$A:$AN,MATCH(yoy!$AA$1,Data!$A$1:$AN$1,),)-VLOOKUP(A23,Data!$A:$AN,MATCH(yoy!$AA$1,Data!$A$1:$AN$1,),))/VLOOKUP(A23,Data!$A:$AN,MATCH(yoy!$AA$1,Data!$A$1:$AN$1,),)</f>
        <v/>
      </c>
    </row>
    <row r="24">
      <c r="A24" s="20">
        <f>DATE(YEAR(B24)-1,MONTH(B24),DAY(B24))</f>
        <v/>
      </c>
      <c r="B24" s="12" t="n">
        <v>42583</v>
      </c>
      <c r="C24" s="14">
        <f>(VLOOKUP(B24,Data!$A:$AN,MATCH(yoy!$C$1,Data!$A$1:$AN$1,),)-VLOOKUP(A24,Data!$A:$AN,MATCH(yoy!$C$1,Data!$A$1:$AN$1,),))/VLOOKUP(A24,Data!$A:$AN,MATCH(yoy!$C$1,Data!$A$1:$AN$1,),)</f>
        <v/>
      </c>
      <c r="D24" s="14">
        <f>(VLOOKUP(B24,Data!$A:$AN,MATCH(yoy!$D$1,Data!$A$1:$AN$1,),)-VLOOKUP(A24,Data!$A:$AN,MATCH(yoy!$D$1,Data!$A$1:$AN$1,),))/VLOOKUP(A24,Data!$A:$AN,MATCH(yoy!$D$1,Data!$A$1:$AN$1,),)</f>
        <v/>
      </c>
      <c r="E24" s="14">
        <f>(VLOOKUP(B24,Data!$A:$AN,MATCH(yoy!$E$1,Data!$A$1:$AN$1,),)-VLOOKUP(A24,Data!$A:$AN,MATCH(yoy!$E$1,Data!$A$1:$AN$1,),))/VLOOKUP(A24,Data!$A:$AN,MATCH(yoy!$E$1,Data!$A$1:$AN$1,),)</f>
        <v/>
      </c>
      <c r="F24" s="14">
        <f>(VLOOKUP(B24,Data!$A:$AN,MATCH(yoy!$F$1,Data!$A$1:$AN$1,),)-VLOOKUP(A24,Data!$A:$AN,MATCH(yoy!$F$1,Data!$A$1:$AN$1,),))/VLOOKUP(A24,Data!$A:$AN,MATCH(yoy!$F$1,Data!$A$1:$AN$1,),)</f>
        <v/>
      </c>
      <c r="G24" s="14">
        <f>(VLOOKUP(B24,Data!$A:$AN,MATCH(yoy!$G$1,Data!$A$1:$AN$1,),)-VLOOKUP(A24,Data!$A:$AN,MATCH(yoy!$G$1,Data!$A$1:$AN$1,),))/VLOOKUP(A24,Data!$A:$AN,MATCH(yoy!$G$1,Data!$A$1:$AN$1,),)</f>
        <v/>
      </c>
      <c r="H24" s="14">
        <f>(VLOOKUP(B24,Data!$A:$AN,MATCH(yoy!$H$1,Data!$A$1:$AN$1,),)-VLOOKUP(A24,Data!$A:$AN,MATCH(yoy!$H$1,Data!$A$1:$AN$1,),))/VLOOKUP(A24,Data!$A:$AN,MATCH(yoy!$H$1,Data!$A$1:$AN$1,),)</f>
        <v/>
      </c>
      <c r="I24" s="14">
        <f>(VLOOKUP(B24,Data!$A:$AN,MATCH(yoy!$I$1,Data!$A$1:$AN$1,),)-VLOOKUP(A24,Data!$A:$AN,MATCH(yoy!$I$1,Data!$A$1:$AN$1,),))/VLOOKUP(A24,Data!$A:$AN,MATCH(yoy!$I$1,Data!$A$1:$AN$1,),)</f>
        <v/>
      </c>
      <c r="J24" s="14">
        <f>(VLOOKUP(B24,Data!$A:$AN,MATCH(yoy!$J$1,Data!$A$1:$AN$1,),)-VLOOKUP(A24,Data!$A:$AN,MATCH(yoy!$J$1,Data!$A$1:$AN$1,),))/VLOOKUP(A24,Data!$A:$AN,MATCH(yoy!$J$1,Data!$A$1:$AN$1,),)</f>
        <v/>
      </c>
      <c r="K24" s="14">
        <f>(VLOOKUP(B24,Data!$A:$AN,MATCH(yoy!$K$1,Data!$A$1:$AN$1,),)-VLOOKUP(A24,Data!$A:$AN,MATCH(yoy!$K$1,Data!$A$1:$AN$1,),))/VLOOKUP(A24,Data!$A:$AN,MATCH(yoy!$K$1,Data!$A$1:$AN$1,),)</f>
        <v/>
      </c>
      <c r="L24" s="14">
        <f>(VLOOKUP(B24,Data!$A:$AN,MATCH(yoy!$L$1,Data!$A$1:$AN$1,),)-VLOOKUP(A24,Data!$A:$AN,MATCH(yoy!$L$1,Data!$A$1:$AN$1,),))/VLOOKUP(A24,Data!$A:$AN,MATCH(yoy!$L$1,Data!$A$1:$AN$1,),)</f>
        <v/>
      </c>
      <c r="M24" s="14">
        <f>(VLOOKUP(B24,Data!$A:$AN,MATCH(yoy!$M$1,Data!$A$1:$AN$1,),)-VLOOKUP(A24,Data!$A:$AN,MATCH(yoy!$M$1,Data!$A$1:$AN$1,),))/VLOOKUP(A24,Data!$A:$AN,MATCH(yoy!$M$1,Data!$A$1:$AN$1,),)</f>
        <v/>
      </c>
      <c r="N24" s="14">
        <f>(VLOOKUP(B24,Data!$A:$AN,MATCH(yoy!$N$1,Data!$A$1:$AN$1,),)-VLOOKUP(A24,Data!$A:$AN,MATCH(yoy!$N$1,Data!$A$1:$AN$1,),))/VLOOKUP(A24,Data!$A:$AN,MATCH(yoy!$N$1,Data!$A$1:$AN$1,),)</f>
        <v/>
      </c>
      <c r="O24" s="14">
        <f>(VLOOKUP(B24,Data!$A:$AN,MATCH(yoy!$O$1,Data!$A$1:$AN$1,),)-VLOOKUP(A24,Data!$A:$AN,MATCH(yoy!$O$1,Data!$A$1:$AN$1,),))/VLOOKUP(A24,Data!$A:$AN,MATCH(yoy!$O$1,Data!$A$1:$AN$1,),)</f>
        <v/>
      </c>
      <c r="P24" s="14">
        <f>(VLOOKUP(B24,Data!$A:$AN,MATCH(yoy!$P$1,Data!$A$1:$AN$1,),)-VLOOKUP(A24,Data!$A:$AN,MATCH(yoy!$P$1,Data!$A$1:$AN$1,),))/VLOOKUP(A24,Data!$A:$AN,MATCH(yoy!$P$1,Data!$A$1:$AN$1,),)</f>
        <v/>
      </c>
      <c r="Q24" s="14">
        <f>(VLOOKUP(B24,Data!$A:$AN,MATCH(yoy!$Q$1,Data!$A$1:$AN$1,),)-VLOOKUP(A24,Data!$A:$AN,MATCH(yoy!$Q$1,Data!$A$1:$AN$1,),))/VLOOKUP(A24,Data!$A:$AN,MATCH(yoy!$Q$1,Data!$A$1:$AN$1,),)</f>
        <v/>
      </c>
      <c r="R24" s="14">
        <f>(VLOOKUP(B24,Data!$A:$AN,MATCH(yoy!$R$1,Data!$A$1:$AN$1,),)-VLOOKUP(A24,Data!$A:$AN,MATCH(yoy!$R$1,Data!$A$1:$AN$1,),))/VLOOKUP(A24,Data!$A:$AN,MATCH(yoy!$R$1,Data!$A$1:$AN$1,),)</f>
        <v/>
      </c>
      <c r="S24" s="14">
        <f>(VLOOKUP(B24,Data!$A:$AN,MATCH(yoy!$S$1,Data!$A$1:$AN$1,),)-VLOOKUP(A24,Data!$A:$AN,MATCH(yoy!$S$1,Data!$A$1:$AN$1,),))/VLOOKUP(A24,Data!$A:$AN,MATCH(yoy!$S$1,Data!$A$1:$AN$1,),)</f>
        <v/>
      </c>
      <c r="T24" s="14">
        <f>(VLOOKUP(B24,Data!$A:$AN,MATCH(yoy!$T$1,Data!$A$1:$AN$1,),)-VLOOKUP(A24,Data!$A:$AN,MATCH(yoy!$T$1,Data!$A$1:$AN$1,),))/VLOOKUP(A24,Data!$A:$AN,MATCH(yoy!$T$1,Data!$A$1:$AN$1,),)</f>
        <v/>
      </c>
      <c r="U24" s="14">
        <f>(VLOOKUP(B24,Data!$A:$AN,MATCH(yoy!$U$1,Data!$A$1:$AN$1,),)-VLOOKUP(A24,Data!$A:$AN,MATCH(yoy!$U$1,Data!$A$1:$AN$1,),))/VLOOKUP(A24,Data!$A:$AN,MATCH(yoy!$U$1,Data!$A$1:$AN$1,),)</f>
        <v/>
      </c>
      <c r="V24" s="14">
        <f>(VLOOKUP(B24,Data!$A:$AN,MATCH(yoy!$V$1,Data!$A$1:$AN$1,),)-VLOOKUP(A24,Data!$A:$AN,MATCH(yoy!$V$1,Data!$A$1:$AN$1,),))/VLOOKUP(A24,Data!$A:$AN,MATCH(yoy!$V$1,Data!$A$1:$AN$1,),)</f>
        <v/>
      </c>
      <c r="W24" s="14">
        <f>(VLOOKUP(B24,Data!$A:$AN,MATCH(yoy!$W$1,Data!$A$1:$AN$1,),)-VLOOKUP(A24,Data!$A:$AN,MATCH(yoy!$W$1,Data!$A$1:$AN$1,),))/VLOOKUP(A24,Data!$A:$AN,MATCH(yoy!$W$1,Data!$A$1:$AN$1,),)</f>
        <v/>
      </c>
      <c r="X24" s="14">
        <f>(VLOOKUP(B24,Data!$A:$AN,MATCH(yoy!$X$1,Data!$A$1:$AN$1,),)-VLOOKUP(A24,Data!$A:$AN,MATCH(yoy!$X$1,Data!$A$1:$AN$1,),))/VLOOKUP(A24,Data!$A:$AN,MATCH(yoy!$X$1,Data!$A$1:$AN$1,),)</f>
        <v/>
      </c>
      <c r="Y24" s="14">
        <f>(VLOOKUP(B24,Data!$A:$AN,MATCH(yoy!$Y$1,Data!$A$1:$AN$1,),)-VLOOKUP(A24,Data!$A:$AN,MATCH(yoy!$Y$1,Data!$A$1:$AN$1,),))/VLOOKUP(A24,Data!$A:$AN,MATCH(yoy!$Y$1,Data!$A$1:$AN$1,),)</f>
        <v/>
      </c>
      <c r="Z24" s="14">
        <f>(VLOOKUP(B24,Data!$A:$AN,MATCH(yoy!$Z$1,Data!$A$1:$AN$1,),)-VLOOKUP(A24,Data!$A:$AN,MATCH(yoy!$Z$1,Data!$A$1:$AN$1,),))/VLOOKUP(A24,Data!$A:$AN,MATCH(yoy!$Z$1,Data!$A$1:$AN$1,),)</f>
        <v/>
      </c>
      <c r="AA24" s="14">
        <f>(VLOOKUP(B24,Data!$A:$AN,MATCH(yoy!$AA$1,Data!$A$1:$AN$1,),)-VLOOKUP(A24,Data!$A:$AN,MATCH(yoy!$AA$1,Data!$A$1:$AN$1,),))/VLOOKUP(A24,Data!$A:$AN,MATCH(yoy!$AA$1,Data!$A$1:$AN$1,),)</f>
        <v/>
      </c>
    </row>
    <row r="25">
      <c r="A25" s="20">
        <f>DATE(YEAR(B25)-1,MONTH(B25),DAY(B25))</f>
        <v/>
      </c>
      <c r="B25" s="12" t="n">
        <v>42614</v>
      </c>
      <c r="C25" s="14">
        <f>(VLOOKUP(B25,Data!$A:$AN,MATCH(yoy!$C$1,Data!$A$1:$AN$1,),)-VLOOKUP(A25,Data!$A:$AN,MATCH(yoy!$C$1,Data!$A$1:$AN$1,),))/VLOOKUP(A25,Data!$A:$AN,MATCH(yoy!$C$1,Data!$A$1:$AN$1,),)</f>
        <v/>
      </c>
      <c r="D25" s="14">
        <f>(VLOOKUP(B25,Data!$A:$AN,MATCH(yoy!$D$1,Data!$A$1:$AN$1,),)-VLOOKUP(A25,Data!$A:$AN,MATCH(yoy!$D$1,Data!$A$1:$AN$1,),))/VLOOKUP(A25,Data!$A:$AN,MATCH(yoy!$D$1,Data!$A$1:$AN$1,),)</f>
        <v/>
      </c>
      <c r="E25" s="14">
        <f>(VLOOKUP(B25,Data!$A:$AN,MATCH(yoy!$E$1,Data!$A$1:$AN$1,),)-VLOOKUP(A25,Data!$A:$AN,MATCH(yoy!$E$1,Data!$A$1:$AN$1,),))/VLOOKUP(A25,Data!$A:$AN,MATCH(yoy!$E$1,Data!$A$1:$AN$1,),)</f>
        <v/>
      </c>
      <c r="F25" s="14">
        <f>(VLOOKUP(B25,Data!$A:$AN,MATCH(yoy!$F$1,Data!$A$1:$AN$1,),)-VLOOKUP(A25,Data!$A:$AN,MATCH(yoy!$F$1,Data!$A$1:$AN$1,),))/VLOOKUP(A25,Data!$A:$AN,MATCH(yoy!$F$1,Data!$A$1:$AN$1,),)</f>
        <v/>
      </c>
      <c r="G25" s="14">
        <f>(VLOOKUP(B25,Data!$A:$AN,MATCH(yoy!$G$1,Data!$A$1:$AN$1,),)-VLOOKUP(A25,Data!$A:$AN,MATCH(yoy!$G$1,Data!$A$1:$AN$1,),))/VLOOKUP(A25,Data!$A:$AN,MATCH(yoy!$G$1,Data!$A$1:$AN$1,),)</f>
        <v/>
      </c>
      <c r="H25" s="14">
        <f>(VLOOKUP(B25,Data!$A:$AN,MATCH(yoy!$H$1,Data!$A$1:$AN$1,),)-VLOOKUP(A25,Data!$A:$AN,MATCH(yoy!$H$1,Data!$A$1:$AN$1,),))/VLOOKUP(A25,Data!$A:$AN,MATCH(yoy!$H$1,Data!$A$1:$AN$1,),)</f>
        <v/>
      </c>
      <c r="I25" s="14">
        <f>(VLOOKUP(B25,Data!$A:$AN,MATCH(yoy!$I$1,Data!$A$1:$AN$1,),)-VLOOKUP(A25,Data!$A:$AN,MATCH(yoy!$I$1,Data!$A$1:$AN$1,),))/VLOOKUP(A25,Data!$A:$AN,MATCH(yoy!$I$1,Data!$A$1:$AN$1,),)</f>
        <v/>
      </c>
      <c r="J25" s="14">
        <f>(VLOOKUP(B25,Data!$A:$AN,MATCH(yoy!$J$1,Data!$A$1:$AN$1,),)-VLOOKUP(A25,Data!$A:$AN,MATCH(yoy!$J$1,Data!$A$1:$AN$1,),))/VLOOKUP(A25,Data!$A:$AN,MATCH(yoy!$J$1,Data!$A$1:$AN$1,),)</f>
        <v/>
      </c>
      <c r="K25" s="14">
        <f>(VLOOKUP(B25,Data!$A:$AN,MATCH(yoy!$K$1,Data!$A$1:$AN$1,),)-VLOOKUP(A25,Data!$A:$AN,MATCH(yoy!$K$1,Data!$A$1:$AN$1,),))/VLOOKUP(A25,Data!$A:$AN,MATCH(yoy!$K$1,Data!$A$1:$AN$1,),)</f>
        <v/>
      </c>
      <c r="L25" s="14">
        <f>(VLOOKUP(B25,Data!$A:$AN,MATCH(yoy!$L$1,Data!$A$1:$AN$1,),)-VLOOKUP(A25,Data!$A:$AN,MATCH(yoy!$L$1,Data!$A$1:$AN$1,),))/VLOOKUP(A25,Data!$A:$AN,MATCH(yoy!$L$1,Data!$A$1:$AN$1,),)</f>
        <v/>
      </c>
      <c r="M25" s="14">
        <f>(VLOOKUP(B25,Data!$A:$AN,MATCH(yoy!$M$1,Data!$A$1:$AN$1,),)-VLOOKUP(A25,Data!$A:$AN,MATCH(yoy!$M$1,Data!$A$1:$AN$1,),))/VLOOKUP(A25,Data!$A:$AN,MATCH(yoy!$M$1,Data!$A$1:$AN$1,),)</f>
        <v/>
      </c>
      <c r="N25" s="14">
        <f>(VLOOKUP(B25,Data!$A:$AN,MATCH(yoy!$N$1,Data!$A$1:$AN$1,),)-VLOOKUP(A25,Data!$A:$AN,MATCH(yoy!$N$1,Data!$A$1:$AN$1,),))/VLOOKUP(A25,Data!$A:$AN,MATCH(yoy!$N$1,Data!$A$1:$AN$1,),)</f>
        <v/>
      </c>
      <c r="O25" s="14">
        <f>(VLOOKUP(B25,Data!$A:$AN,MATCH(yoy!$O$1,Data!$A$1:$AN$1,),)-VLOOKUP(A25,Data!$A:$AN,MATCH(yoy!$O$1,Data!$A$1:$AN$1,),))/VLOOKUP(A25,Data!$A:$AN,MATCH(yoy!$O$1,Data!$A$1:$AN$1,),)</f>
        <v/>
      </c>
      <c r="P25" s="14">
        <f>(VLOOKUP(B25,Data!$A:$AN,MATCH(yoy!$P$1,Data!$A$1:$AN$1,),)-VLOOKUP(A25,Data!$A:$AN,MATCH(yoy!$P$1,Data!$A$1:$AN$1,),))/VLOOKUP(A25,Data!$A:$AN,MATCH(yoy!$P$1,Data!$A$1:$AN$1,),)</f>
        <v/>
      </c>
      <c r="Q25" s="14">
        <f>(VLOOKUP(B25,Data!$A:$AN,MATCH(yoy!$Q$1,Data!$A$1:$AN$1,),)-VLOOKUP(A25,Data!$A:$AN,MATCH(yoy!$Q$1,Data!$A$1:$AN$1,),))/VLOOKUP(A25,Data!$A:$AN,MATCH(yoy!$Q$1,Data!$A$1:$AN$1,),)</f>
        <v/>
      </c>
      <c r="R25" s="14">
        <f>(VLOOKUP(B25,Data!$A:$AN,MATCH(yoy!$R$1,Data!$A$1:$AN$1,),)-VLOOKUP(A25,Data!$A:$AN,MATCH(yoy!$R$1,Data!$A$1:$AN$1,),))/VLOOKUP(A25,Data!$A:$AN,MATCH(yoy!$R$1,Data!$A$1:$AN$1,),)</f>
        <v/>
      </c>
      <c r="S25" s="14">
        <f>(VLOOKUP(B25,Data!$A:$AN,MATCH(yoy!$S$1,Data!$A$1:$AN$1,),)-VLOOKUP(A25,Data!$A:$AN,MATCH(yoy!$S$1,Data!$A$1:$AN$1,),))/VLOOKUP(A25,Data!$A:$AN,MATCH(yoy!$S$1,Data!$A$1:$AN$1,),)</f>
        <v/>
      </c>
      <c r="T25" s="14">
        <f>(VLOOKUP(B25,Data!$A:$AN,MATCH(yoy!$T$1,Data!$A$1:$AN$1,),)-VLOOKUP(A25,Data!$A:$AN,MATCH(yoy!$T$1,Data!$A$1:$AN$1,),))/VLOOKUP(A25,Data!$A:$AN,MATCH(yoy!$T$1,Data!$A$1:$AN$1,),)</f>
        <v/>
      </c>
      <c r="U25" s="14">
        <f>(VLOOKUP(B25,Data!$A:$AN,MATCH(yoy!$U$1,Data!$A$1:$AN$1,),)-VLOOKUP(A25,Data!$A:$AN,MATCH(yoy!$U$1,Data!$A$1:$AN$1,),))/VLOOKUP(A25,Data!$A:$AN,MATCH(yoy!$U$1,Data!$A$1:$AN$1,),)</f>
        <v/>
      </c>
      <c r="V25" s="14">
        <f>(VLOOKUP(B25,Data!$A:$AN,MATCH(yoy!$V$1,Data!$A$1:$AN$1,),)-VLOOKUP(A25,Data!$A:$AN,MATCH(yoy!$V$1,Data!$A$1:$AN$1,),))/VLOOKUP(A25,Data!$A:$AN,MATCH(yoy!$V$1,Data!$A$1:$AN$1,),)</f>
        <v/>
      </c>
      <c r="W25" s="14">
        <f>(VLOOKUP(B25,Data!$A:$AN,MATCH(yoy!$W$1,Data!$A$1:$AN$1,),)-VLOOKUP(A25,Data!$A:$AN,MATCH(yoy!$W$1,Data!$A$1:$AN$1,),))/VLOOKUP(A25,Data!$A:$AN,MATCH(yoy!$W$1,Data!$A$1:$AN$1,),)</f>
        <v/>
      </c>
      <c r="X25" s="14">
        <f>(VLOOKUP(B25,Data!$A:$AN,MATCH(yoy!$X$1,Data!$A$1:$AN$1,),)-VLOOKUP(A25,Data!$A:$AN,MATCH(yoy!$X$1,Data!$A$1:$AN$1,),))/VLOOKUP(A25,Data!$A:$AN,MATCH(yoy!$X$1,Data!$A$1:$AN$1,),)</f>
        <v/>
      </c>
      <c r="Y25" s="14">
        <f>(VLOOKUP(B25,Data!$A:$AN,MATCH(yoy!$Y$1,Data!$A$1:$AN$1,),)-VLOOKUP(A25,Data!$A:$AN,MATCH(yoy!$Y$1,Data!$A$1:$AN$1,),))/VLOOKUP(A25,Data!$A:$AN,MATCH(yoy!$Y$1,Data!$A$1:$AN$1,),)</f>
        <v/>
      </c>
      <c r="Z25" s="14">
        <f>(VLOOKUP(B25,Data!$A:$AN,MATCH(yoy!$Z$1,Data!$A$1:$AN$1,),)-VLOOKUP(A25,Data!$A:$AN,MATCH(yoy!$Z$1,Data!$A$1:$AN$1,),))/VLOOKUP(A25,Data!$A:$AN,MATCH(yoy!$Z$1,Data!$A$1:$AN$1,),)</f>
        <v/>
      </c>
      <c r="AA25" s="14">
        <f>(VLOOKUP(B25,Data!$A:$AN,MATCH(yoy!$AA$1,Data!$A$1:$AN$1,),)-VLOOKUP(A25,Data!$A:$AN,MATCH(yoy!$AA$1,Data!$A$1:$AN$1,),))/VLOOKUP(A25,Data!$A:$AN,MATCH(yoy!$AA$1,Data!$A$1:$AN$1,),)</f>
        <v/>
      </c>
    </row>
    <row r="26">
      <c r="A26" s="20">
        <f>DATE(YEAR(B26)-1,MONTH(B26),DAY(B26))</f>
        <v/>
      </c>
      <c r="B26" s="12" t="n">
        <v>42644</v>
      </c>
      <c r="C26" s="14">
        <f>(VLOOKUP(B26,Data!$A:$AN,MATCH(yoy!$C$1,Data!$A$1:$AN$1,),)-VLOOKUP(A26,Data!$A:$AN,MATCH(yoy!$C$1,Data!$A$1:$AN$1,),))/VLOOKUP(A26,Data!$A:$AN,MATCH(yoy!$C$1,Data!$A$1:$AN$1,),)</f>
        <v/>
      </c>
      <c r="D26" s="14">
        <f>(VLOOKUP(B26,Data!$A:$AN,MATCH(yoy!$D$1,Data!$A$1:$AN$1,),)-VLOOKUP(A26,Data!$A:$AN,MATCH(yoy!$D$1,Data!$A$1:$AN$1,),))/VLOOKUP(A26,Data!$A:$AN,MATCH(yoy!$D$1,Data!$A$1:$AN$1,),)</f>
        <v/>
      </c>
      <c r="E26" s="14">
        <f>(VLOOKUP(B26,Data!$A:$AN,MATCH(yoy!$E$1,Data!$A$1:$AN$1,),)-VLOOKUP(A26,Data!$A:$AN,MATCH(yoy!$E$1,Data!$A$1:$AN$1,),))/VLOOKUP(A26,Data!$A:$AN,MATCH(yoy!$E$1,Data!$A$1:$AN$1,),)</f>
        <v/>
      </c>
      <c r="F26" s="14">
        <f>(VLOOKUP(B26,Data!$A:$AN,MATCH(yoy!$F$1,Data!$A$1:$AN$1,),)-VLOOKUP(A26,Data!$A:$AN,MATCH(yoy!$F$1,Data!$A$1:$AN$1,),))/VLOOKUP(A26,Data!$A:$AN,MATCH(yoy!$F$1,Data!$A$1:$AN$1,),)</f>
        <v/>
      </c>
      <c r="G26" s="14">
        <f>(VLOOKUP(B26,Data!$A:$AN,MATCH(yoy!$G$1,Data!$A$1:$AN$1,),)-VLOOKUP(A26,Data!$A:$AN,MATCH(yoy!$G$1,Data!$A$1:$AN$1,),))/VLOOKUP(A26,Data!$A:$AN,MATCH(yoy!$G$1,Data!$A$1:$AN$1,),)</f>
        <v/>
      </c>
      <c r="H26" s="14">
        <f>(VLOOKUP(B26,Data!$A:$AN,MATCH(yoy!$H$1,Data!$A$1:$AN$1,),)-VLOOKUP(A26,Data!$A:$AN,MATCH(yoy!$H$1,Data!$A$1:$AN$1,),))/VLOOKUP(A26,Data!$A:$AN,MATCH(yoy!$H$1,Data!$A$1:$AN$1,),)</f>
        <v/>
      </c>
      <c r="I26" s="14">
        <f>(VLOOKUP(B26,Data!$A:$AN,MATCH(yoy!$I$1,Data!$A$1:$AN$1,),)-VLOOKUP(A26,Data!$A:$AN,MATCH(yoy!$I$1,Data!$A$1:$AN$1,),))/VLOOKUP(A26,Data!$A:$AN,MATCH(yoy!$I$1,Data!$A$1:$AN$1,),)</f>
        <v/>
      </c>
      <c r="J26" s="14">
        <f>(VLOOKUP(B26,Data!$A:$AN,MATCH(yoy!$J$1,Data!$A$1:$AN$1,),)-VLOOKUP(A26,Data!$A:$AN,MATCH(yoy!$J$1,Data!$A$1:$AN$1,),))/VLOOKUP(A26,Data!$A:$AN,MATCH(yoy!$J$1,Data!$A$1:$AN$1,),)</f>
        <v/>
      </c>
      <c r="K26" s="14">
        <f>(VLOOKUP(B26,Data!$A:$AN,MATCH(yoy!$K$1,Data!$A$1:$AN$1,),)-VLOOKUP(A26,Data!$A:$AN,MATCH(yoy!$K$1,Data!$A$1:$AN$1,),))/VLOOKUP(A26,Data!$A:$AN,MATCH(yoy!$K$1,Data!$A$1:$AN$1,),)</f>
        <v/>
      </c>
      <c r="L26" s="14">
        <f>(VLOOKUP(B26,Data!$A:$AN,MATCH(yoy!$L$1,Data!$A$1:$AN$1,),)-VLOOKUP(A26,Data!$A:$AN,MATCH(yoy!$L$1,Data!$A$1:$AN$1,),))/VLOOKUP(A26,Data!$A:$AN,MATCH(yoy!$L$1,Data!$A$1:$AN$1,),)</f>
        <v/>
      </c>
      <c r="M26" s="14">
        <f>(VLOOKUP(B26,Data!$A:$AN,MATCH(yoy!$M$1,Data!$A$1:$AN$1,),)-VLOOKUP(A26,Data!$A:$AN,MATCH(yoy!$M$1,Data!$A$1:$AN$1,),))/VLOOKUP(A26,Data!$A:$AN,MATCH(yoy!$M$1,Data!$A$1:$AN$1,),)</f>
        <v/>
      </c>
      <c r="N26" s="14">
        <f>(VLOOKUP(B26,Data!$A:$AN,MATCH(yoy!$N$1,Data!$A$1:$AN$1,),)-VLOOKUP(A26,Data!$A:$AN,MATCH(yoy!$N$1,Data!$A$1:$AN$1,),))/VLOOKUP(A26,Data!$A:$AN,MATCH(yoy!$N$1,Data!$A$1:$AN$1,),)</f>
        <v/>
      </c>
      <c r="O26" s="14">
        <f>(VLOOKUP(B26,Data!$A:$AN,MATCH(yoy!$O$1,Data!$A$1:$AN$1,),)-VLOOKUP(A26,Data!$A:$AN,MATCH(yoy!$O$1,Data!$A$1:$AN$1,),))/VLOOKUP(A26,Data!$A:$AN,MATCH(yoy!$O$1,Data!$A$1:$AN$1,),)</f>
        <v/>
      </c>
      <c r="P26" s="14">
        <f>(VLOOKUP(B26,Data!$A:$AN,MATCH(yoy!$P$1,Data!$A$1:$AN$1,),)-VLOOKUP(A26,Data!$A:$AN,MATCH(yoy!$P$1,Data!$A$1:$AN$1,),))/VLOOKUP(A26,Data!$A:$AN,MATCH(yoy!$P$1,Data!$A$1:$AN$1,),)</f>
        <v/>
      </c>
      <c r="Q26" s="14">
        <f>(VLOOKUP(B26,Data!$A:$AN,MATCH(yoy!$Q$1,Data!$A$1:$AN$1,),)-VLOOKUP(A26,Data!$A:$AN,MATCH(yoy!$Q$1,Data!$A$1:$AN$1,),))/VLOOKUP(A26,Data!$A:$AN,MATCH(yoy!$Q$1,Data!$A$1:$AN$1,),)</f>
        <v/>
      </c>
      <c r="R26" s="14">
        <f>(VLOOKUP(B26,Data!$A:$AN,MATCH(yoy!$R$1,Data!$A$1:$AN$1,),)-VLOOKUP(A26,Data!$A:$AN,MATCH(yoy!$R$1,Data!$A$1:$AN$1,),))/VLOOKUP(A26,Data!$A:$AN,MATCH(yoy!$R$1,Data!$A$1:$AN$1,),)</f>
        <v/>
      </c>
      <c r="S26" s="14">
        <f>(VLOOKUP(B26,Data!$A:$AN,MATCH(yoy!$S$1,Data!$A$1:$AN$1,),)-VLOOKUP(A26,Data!$A:$AN,MATCH(yoy!$S$1,Data!$A$1:$AN$1,),))/VLOOKUP(A26,Data!$A:$AN,MATCH(yoy!$S$1,Data!$A$1:$AN$1,),)</f>
        <v/>
      </c>
      <c r="T26" s="14">
        <f>(VLOOKUP(B26,Data!$A:$AN,MATCH(yoy!$T$1,Data!$A$1:$AN$1,),)-VLOOKUP(A26,Data!$A:$AN,MATCH(yoy!$T$1,Data!$A$1:$AN$1,),))/VLOOKUP(A26,Data!$A:$AN,MATCH(yoy!$T$1,Data!$A$1:$AN$1,),)</f>
        <v/>
      </c>
      <c r="U26" s="14">
        <f>(VLOOKUP(B26,Data!$A:$AN,MATCH(yoy!$U$1,Data!$A$1:$AN$1,),)-VLOOKUP(A26,Data!$A:$AN,MATCH(yoy!$U$1,Data!$A$1:$AN$1,),))/VLOOKUP(A26,Data!$A:$AN,MATCH(yoy!$U$1,Data!$A$1:$AN$1,),)</f>
        <v/>
      </c>
      <c r="V26" s="14">
        <f>(VLOOKUP(B26,Data!$A:$AN,MATCH(yoy!$V$1,Data!$A$1:$AN$1,),)-VLOOKUP(A26,Data!$A:$AN,MATCH(yoy!$V$1,Data!$A$1:$AN$1,),))/VLOOKUP(A26,Data!$A:$AN,MATCH(yoy!$V$1,Data!$A$1:$AN$1,),)</f>
        <v/>
      </c>
      <c r="W26" s="14">
        <f>(VLOOKUP(B26,Data!$A:$AN,MATCH(yoy!$W$1,Data!$A$1:$AN$1,),)-VLOOKUP(A26,Data!$A:$AN,MATCH(yoy!$W$1,Data!$A$1:$AN$1,),))/VLOOKUP(A26,Data!$A:$AN,MATCH(yoy!$W$1,Data!$A$1:$AN$1,),)</f>
        <v/>
      </c>
      <c r="X26" s="14">
        <f>(VLOOKUP(B26,Data!$A:$AN,MATCH(yoy!$X$1,Data!$A$1:$AN$1,),)-VLOOKUP(A26,Data!$A:$AN,MATCH(yoy!$X$1,Data!$A$1:$AN$1,),))/VLOOKUP(A26,Data!$A:$AN,MATCH(yoy!$X$1,Data!$A$1:$AN$1,),)</f>
        <v/>
      </c>
      <c r="Y26" s="14">
        <f>(VLOOKUP(B26,Data!$A:$AN,MATCH(yoy!$Y$1,Data!$A$1:$AN$1,),)-VLOOKUP(A26,Data!$A:$AN,MATCH(yoy!$Y$1,Data!$A$1:$AN$1,),))/VLOOKUP(A26,Data!$A:$AN,MATCH(yoy!$Y$1,Data!$A$1:$AN$1,),)</f>
        <v/>
      </c>
      <c r="Z26" s="14">
        <f>(VLOOKUP(B26,Data!$A:$AN,MATCH(yoy!$Z$1,Data!$A$1:$AN$1,),)-VLOOKUP(A26,Data!$A:$AN,MATCH(yoy!$Z$1,Data!$A$1:$AN$1,),))/VLOOKUP(A26,Data!$A:$AN,MATCH(yoy!$Z$1,Data!$A$1:$AN$1,),)</f>
        <v/>
      </c>
      <c r="AA26" s="14">
        <f>(VLOOKUP(B26,Data!$A:$AN,MATCH(yoy!$AA$1,Data!$A$1:$AN$1,),)-VLOOKUP(A26,Data!$A:$AN,MATCH(yoy!$AA$1,Data!$A$1:$AN$1,),))/VLOOKUP(A26,Data!$A:$AN,MATCH(yoy!$AA$1,Data!$A$1:$AN$1,),)</f>
        <v/>
      </c>
    </row>
    <row r="27">
      <c r="A27" s="20">
        <f>DATE(YEAR(B27)-1,MONTH(B27),DAY(B27))</f>
        <v/>
      </c>
      <c r="B27" s="12" t="n">
        <v>42675</v>
      </c>
      <c r="C27" s="14">
        <f>(VLOOKUP(B27,Data!$A:$AN,MATCH(yoy!$C$1,Data!$A$1:$AN$1,),)-VLOOKUP(A27,Data!$A:$AN,MATCH(yoy!$C$1,Data!$A$1:$AN$1,),))/VLOOKUP(A27,Data!$A:$AN,MATCH(yoy!$C$1,Data!$A$1:$AN$1,),)</f>
        <v/>
      </c>
      <c r="D27" s="14">
        <f>(VLOOKUP(B27,Data!$A:$AN,MATCH(yoy!$D$1,Data!$A$1:$AN$1,),)-VLOOKUP(A27,Data!$A:$AN,MATCH(yoy!$D$1,Data!$A$1:$AN$1,),))/VLOOKUP(A27,Data!$A:$AN,MATCH(yoy!$D$1,Data!$A$1:$AN$1,),)</f>
        <v/>
      </c>
      <c r="E27" s="14">
        <f>(VLOOKUP(B27,Data!$A:$AN,MATCH(yoy!$E$1,Data!$A$1:$AN$1,),)-VLOOKUP(A27,Data!$A:$AN,MATCH(yoy!$E$1,Data!$A$1:$AN$1,),))/VLOOKUP(A27,Data!$A:$AN,MATCH(yoy!$E$1,Data!$A$1:$AN$1,),)</f>
        <v/>
      </c>
      <c r="F27" s="14">
        <f>(VLOOKUP(B27,Data!$A:$AN,MATCH(yoy!$F$1,Data!$A$1:$AN$1,),)-VLOOKUP(A27,Data!$A:$AN,MATCH(yoy!$F$1,Data!$A$1:$AN$1,),))/VLOOKUP(A27,Data!$A:$AN,MATCH(yoy!$F$1,Data!$A$1:$AN$1,),)</f>
        <v/>
      </c>
      <c r="G27" s="14">
        <f>(VLOOKUP(B27,Data!$A:$AN,MATCH(yoy!$G$1,Data!$A$1:$AN$1,),)-VLOOKUP(A27,Data!$A:$AN,MATCH(yoy!$G$1,Data!$A$1:$AN$1,),))/VLOOKUP(A27,Data!$A:$AN,MATCH(yoy!$G$1,Data!$A$1:$AN$1,),)</f>
        <v/>
      </c>
      <c r="H27" s="14">
        <f>(VLOOKUP(B27,Data!$A:$AN,MATCH(yoy!$H$1,Data!$A$1:$AN$1,),)-VLOOKUP(A27,Data!$A:$AN,MATCH(yoy!$H$1,Data!$A$1:$AN$1,),))/VLOOKUP(A27,Data!$A:$AN,MATCH(yoy!$H$1,Data!$A$1:$AN$1,),)</f>
        <v/>
      </c>
      <c r="I27" s="14">
        <f>(VLOOKUP(B27,Data!$A:$AN,MATCH(yoy!$I$1,Data!$A$1:$AN$1,),)-VLOOKUP(A27,Data!$A:$AN,MATCH(yoy!$I$1,Data!$A$1:$AN$1,),))/VLOOKUP(A27,Data!$A:$AN,MATCH(yoy!$I$1,Data!$A$1:$AN$1,),)</f>
        <v/>
      </c>
      <c r="J27" s="14">
        <f>(VLOOKUP(B27,Data!$A:$AN,MATCH(yoy!$J$1,Data!$A$1:$AN$1,),)-VLOOKUP(A27,Data!$A:$AN,MATCH(yoy!$J$1,Data!$A$1:$AN$1,),))/VLOOKUP(A27,Data!$A:$AN,MATCH(yoy!$J$1,Data!$A$1:$AN$1,),)</f>
        <v/>
      </c>
      <c r="K27" s="14">
        <f>(VLOOKUP(B27,Data!$A:$AN,MATCH(yoy!$K$1,Data!$A$1:$AN$1,),)-VLOOKUP(A27,Data!$A:$AN,MATCH(yoy!$K$1,Data!$A$1:$AN$1,),))/VLOOKUP(A27,Data!$A:$AN,MATCH(yoy!$K$1,Data!$A$1:$AN$1,),)</f>
        <v/>
      </c>
      <c r="L27" s="14">
        <f>(VLOOKUP(B27,Data!$A:$AN,MATCH(yoy!$L$1,Data!$A$1:$AN$1,),)-VLOOKUP(A27,Data!$A:$AN,MATCH(yoy!$L$1,Data!$A$1:$AN$1,),))/VLOOKUP(A27,Data!$A:$AN,MATCH(yoy!$L$1,Data!$A$1:$AN$1,),)</f>
        <v/>
      </c>
      <c r="M27" s="14">
        <f>(VLOOKUP(B27,Data!$A:$AN,MATCH(yoy!$M$1,Data!$A$1:$AN$1,),)-VLOOKUP(A27,Data!$A:$AN,MATCH(yoy!$M$1,Data!$A$1:$AN$1,),))/VLOOKUP(A27,Data!$A:$AN,MATCH(yoy!$M$1,Data!$A$1:$AN$1,),)</f>
        <v/>
      </c>
      <c r="N27" s="14">
        <f>(VLOOKUP(B27,Data!$A:$AN,MATCH(yoy!$N$1,Data!$A$1:$AN$1,),)-VLOOKUP(A27,Data!$A:$AN,MATCH(yoy!$N$1,Data!$A$1:$AN$1,),))/VLOOKUP(A27,Data!$A:$AN,MATCH(yoy!$N$1,Data!$A$1:$AN$1,),)</f>
        <v/>
      </c>
      <c r="O27" s="14">
        <f>(VLOOKUP(B27,Data!$A:$AN,MATCH(yoy!$O$1,Data!$A$1:$AN$1,),)-VLOOKUP(A27,Data!$A:$AN,MATCH(yoy!$O$1,Data!$A$1:$AN$1,),))/VLOOKUP(A27,Data!$A:$AN,MATCH(yoy!$O$1,Data!$A$1:$AN$1,),)</f>
        <v/>
      </c>
      <c r="P27" s="14">
        <f>(VLOOKUP(B27,Data!$A:$AN,MATCH(yoy!$P$1,Data!$A$1:$AN$1,),)-VLOOKUP(A27,Data!$A:$AN,MATCH(yoy!$P$1,Data!$A$1:$AN$1,),))/VLOOKUP(A27,Data!$A:$AN,MATCH(yoy!$P$1,Data!$A$1:$AN$1,),)</f>
        <v/>
      </c>
      <c r="Q27" s="14">
        <f>(VLOOKUP(B27,Data!$A:$AN,MATCH(yoy!$Q$1,Data!$A$1:$AN$1,),)-VLOOKUP(A27,Data!$A:$AN,MATCH(yoy!$Q$1,Data!$A$1:$AN$1,),))/VLOOKUP(A27,Data!$A:$AN,MATCH(yoy!$Q$1,Data!$A$1:$AN$1,),)</f>
        <v/>
      </c>
      <c r="R27" s="14">
        <f>(VLOOKUP(B27,Data!$A:$AN,MATCH(yoy!$R$1,Data!$A$1:$AN$1,),)-VLOOKUP(A27,Data!$A:$AN,MATCH(yoy!$R$1,Data!$A$1:$AN$1,),))/VLOOKUP(A27,Data!$A:$AN,MATCH(yoy!$R$1,Data!$A$1:$AN$1,),)</f>
        <v/>
      </c>
      <c r="S27" s="14">
        <f>(VLOOKUP(B27,Data!$A:$AN,MATCH(yoy!$S$1,Data!$A$1:$AN$1,),)-VLOOKUP(A27,Data!$A:$AN,MATCH(yoy!$S$1,Data!$A$1:$AN$1,),))/VLOOKUP(A27,Data!$A:$AN,MATCH(yoy!$S$1,Data!$A$1:$AN$1,),)</f>
        <v/>
      </c>
      <c r="T27" s="14">
        <f>(VLOOKUP(B27,Data!$A:$AN,MATCH(yoy!$T$1,Data!$A$1:$AN$1,),)-VLOOKUP(A27,Data!$A:$AN,MATCH(yoy!$T$1,Data!$A$1:$AN$1,),))/VLOOKUP(A27,Data!$A:$AN,MATCH(yoy!$T$1,Data!$A$1:$AN$1,),)</f>
        <v/>
      </c>
      <c r="U27" s="14">
        <f>(VLOOKUP(B27,Data!$A:$AN,MATCH(yoy!$U$1,Data!$A$1:$AN$1,),)-VLOOKUP(A27,Data!$A:$AN,MATCH(yoy!$U$1,Data!$A$1:$AN$1,),))/VLOOKUP(A27,Data!$A:$AN,MATCH(yoy!$U$1,Data!$A$1:$AN$1,),)</f>
        <v/>
      </c>
      <c r="V27" s="14">
        <f>(VLOOKUP(B27,Data!$A:$AN,MATCH(yoy!$V$1,Data!$A$1:$AN$1,),)-VLOOKUP(A27,Data!$A:$AN,MATCH(yoy!$V$1,Data!$A$1:$AN$1,),))/VLOOKUP(A27,Data!$A:$AN,MATCH(yoy!$V$1,Data!$A$1:$AN$1,),)</f>
        <v/>
      </c>
      <c r="W27" s="14">
        <f>(VLOOKUP(B27,Data!$A:$AN,MATCH(yoy!$W$1,Data!$A$1:$AN$1,),)-VLOOKUP(A27,Data!$A:$AN,MATCH(yoy!$W$1,Data!$A$1:$AN$1,),))/VLOOKUP(A27,Data!$A:$AN,MATCH(yoy!$W$1,Data!$A$1:$AN$1,),)</f>
        <v/>
      </c>
      <c r="X27" s="14">
        <f>(VLOOKUP(B27,Data!$A:$AN,MATCH(yoy!$X$1,Data!$A$1:$AN$1,),)-VLOOKUP(A27,Data!$A:$AN,MATCH(yoy!$X$1,Data!$A$1:$AN$1,),))/VLOOKUP(A27,Data!$A:$AN,MATCH(yoy!$X$1,Data!$A$1:$AN$1,),)</f>
        <v/>
      </c>
      <c r="Y27" s="14">
        <f>(VLOOKUP(B27,Data!$A:$AN,MATCH(yoy!$Y$1,Data!$A$1:$AN$1,),)-VLOOKUP(A27,Data!$A:$AN,MATCH(yoy!$Y$1,Data!$A$1:$AN$1,),))/VLOOKUP(A27,Data!$A:$AN,MATCH(yoy!$Y$1,Data!$A$1:$AN$1,),)</f>
        <v/>
      </c>
      <c r="Z27" s="14">
        <f>(VLOOKUP(B27,Data!$A:$AN,MATCH(yoy!$Z$1,Data!$A$1:$AN$1,),)-VLOOKUP(A27,Data!$A:$AN,MATCH(yoy!$Z$1,Data!$A$1:$AN$1,),))/VLOOKUP(A27,Data!$A:$AN,MATCH(yoy!$Z$1,Data!$A$1:$AN$1,),)</f>
        <v/>
      </c>
      <c r="AA27" s="14">
        <f>(VLOOKUP(B27,Data!$A:$AN,MATCH(yoy!$AA$1,Data!$A$1:$AN$1,),)-VLOOKUP(A27,Data!$A:$AN,MATCH(yoy!$AA$1,Data!$A$1:$AN$1,),))/VLOOKUP(A27,Data!$A:$AN,MATCH(yoy!$AA$1,Data!$A$1:$AN$1,),)</f>
        <v/>
      </c>
    </row>
    <row r="28">
      <c r="A28" s="20">
        <f>DATE(YEAR(B28)-1,MONTH(B28),DAY(B28))</f>
        <v/>
      </c>
      <c r="B28" s="12" t="n">
        <v>42705</v>
      </c>
      <c r="C28" s="14">
        <f>(VLOOKUP(B28,Data!$A:$AN,MATCH(yoy!$C$1,Data!$A$1:$AN$1,),)-VLOOKUP(A28,Data!$A:$AN,MATCH(yoy!$C$1,Data!$A$1:$AN$1,),))/VLOOKUP(A28,Data!$A:$AN,MATCH(yoy!$C$1,Data!$A$1:$AN$1,),)</f>
        <v/>
      </c>
      <c r="D28" s="14">
        <f>(VLOOKUP(B28,Data!$A:$AN,MATCH(yoy!$D$1,Data!$A$1:$AN$1,),)-VLOOKUP(A28,Data!$A:$AN,MATCH(yoy!$D$1,Data!$A$1:$AN$1,),))/VLOOKUP(A28,Data!$A:$AN,MATCH(yoy!$D$1,Data!$A$1:$AN$1,),)</f>
        <v/>
      </c>
      <c r="E28" s="14">
        <f>(VLOOKUP(B28,Data!$A:$AN,MATCH(yoy!$E$1,Data!$A$1:$AN$1,),)-VLOOKUP(A28,Data!$A:$AN,MATCH(yoy!$E$1,Data!$A$1:$AN$1,),))/VLOOKUP(A28,Data!$A:$AN,MATCH(yoy!$E$1,Data!$A$1:$AN$1,),)</f>
        <v/>
      </c>
      <c r="F28" s="14">
        <f>(VLOOKUP(B28,Data!$A:$AN,MATCH(yoy!$F$1,Data!$A$1:$AN$1,),)-VLOOKUP(A28,Data!$A:$AN,MATCH(yoy!$F$1,Data!$A$1:$AN$1,),))/VLOOKUP(A28,Data!$A:$AN,MATCH(yoy!$F$1,Data!$A$1:$AN$1,),)</f>
        <v/>
      </c>
      <c r="G28" s="14">
        <f>(VLOOKUP(B28,Data!$A:$AN,MATCH(yoy!$G$1,Data!$A$1:$AN$1,),)-VLOOKUP(A28,Data!$A:$AN,MATCH(yoy!$G$1,Data!$A$1:$AN$1,),))/VLOOKUP(A28,Data!$A:$AN,MATCH(yoy!$G$1,Data!$A$1:$AN$1,),)</f>
        <v/>
      </c>
      <c r="H28" s="14">
        <f>(VLOOKUP(B28,Data!$A:$AN,MATCH(yoy!$H$1,Data!$A$1:$AN$1,),)-VLOOKUP(A28,Data!$A:$AN,MATCH(yoy!$H$1,Data!$A$1:$AN$1,),))/VLOOKUP(A28,Data!$A:$AN,MATCH(yoy!$H$1,Data!$A$1:$AN$1,),)</f>
        <v/>
      </c>
      <c r="I28" s="14">
        <f>(VLOOKUP(B28,Data!$A:$AN,MATCH(yoy!$I$1,Data!$A$1:$AN$1,),)-VLOOKUP(A28,Data!$A:$AN,MATCH(yoy!$I$1,Data!$A$1:$AN$1,),))/VLOOKUP(A28,Data!$A:$AN,MATCH(yoy!$I$1,Data!$A$1:$AN$1,),)</f>
        <v/>
      </c>
      <c r="J28" s="14">
        <f>(VLOOKUP(B28,Data!$A:$AN,MATCH(yoy!$J$1,Data!$A$1:$AN$1,),)-VLOOKUP(A28,Data!$A:$AN,MATCH(yoy!$J$1,Data!$A$1:$AN$1,),))/VLOOKUP(A28,Data!$A:$AN,MATCH(yoy!$J$1,Data!$A$1:$AN$1,),)</f>
        <v/>
      </c>
      <c r="K28" s="14">
        <f>(VLOOKUP(B28,Data!$A:$AN,MATCH(yoy!$K$1,Data!$A$1:$AN$1,),)-VLOOKUP(A28,Data!$A:$AN,MATCH(yoy!$K$1,Data!$A$1:$AN$1,),))/VLOOKUP(A28,Data!$A:$AN,MATCH(yoy!$K$1,Data!$A$1:$AN$1,),)</f>
        <v/>
      </c>
      <c r="L28" s="14">
        <f>(VLOOKUP(B28,Data!$A:$AN,MATCH(yoy!$L$1,Data!$A$1:$AN$1,),)-VLOOKUP(A28,Data!$A:$AN,MATCH(yoy!$L$1,Data!$A$1:$AN$1,),))/VLOOKUP(A28,Data!$A:$AN,MATCH(yoy!$L$1,Data!$A$1:$AN$1,),)</f>
        <v/>
      </c>
      <c r="M28" s="14">
        <f>(VLOOKUP(B28,Data!$A:$AN,MATCH(yoy!$M$1,Data!$A$1:$AN$1,),)-VLOOKUP(A28,Data!$A:$AN,MATCH(yoy!$M$1,Data!$A$1:$AN$1,),))/VLOOKUP(A28,Data!$A:$AN,MATCH(yoy!$M$1,Data!$A$1:$AN$1,),)</f>
        <v/>
      </c>
      <c r="N28" s="14">
        <f>(VLOOKUP(B28,Data!$A:$AN,MATCH(yoy!$N$1,Data!$A$1:$AN$1,),)-VLOOKUP(A28,Data!$A:$AN,MATCH(yoy!$N$1,Data!$A$1:$AN$1,),))/VLOOKUP(A28,Data!$A:$AN,MATCH(yoy!$N$1,Data!$A$1:$AN$1,),)</f>
        <v/>
      </c>
      <c r="O28" s="14">
        <f>(VLOOKUP(B28,Data!$A:$AN,MATCH(yoy!$O$1,Data!$A$1:$AN$1,),)-VLOOKUP(A28,Data!$A:$AN,MATCH(yoy!$O$1,Data!$A$1:$AN$1,),))/VLOOKUP(A28,Data!$A:$AN,MATCH(yoy!$O$1,Data!$A$1:$AN$1,),)</f>
        <v/>
      </c>
      <c r="P28" s="14">
        <f>(VLOOKUP(B28,Data!$A:$AN,MATCH(yoy!$P$1,Data!$A$1:$AN$1,),)-VLOOKUP(A28,Data!$A:$AN,MATCH(yoy!$P$1,Data!$A$1:$AN$1,),))/VLOOKUP(A28,Data!$A:$AN,MATCH(yoy!$P$1,Data!$A$1:$AN$1,),)</f>
        <v/>
      </c>
      <c r="Q28" s="14">
        <f>(VLOOKUP(B28,Data!$A:$AN,MATCH(yoy!$Q$1,Data!$A$1:$AN$1,),)-VLOOKUP(A28,Data!$A:$AN,MATCH(yoy!$Q$1,Data!$A$1:$AN$1,),))/VLOOKUP(A28,Data!$A:$AN,MATCH(yoy!$Q$1,Data!$A$1:$AN$1,),)</f>
        <v/>
      </c>
      <c r="R28" s="14">
        <f>(VLOOKUP(B28,Data!$A:$AN,MATCH(yoy!$R$1,Data!$A$1:$AN$1,),)-VLOOKUP(A28,Data!$A:$AN,MATCH(yoy!$R$1,Data!$A$1:$AN$1,),))/VLOOKUP(A28,Data!$A:$AN,MATCH(yoy!$R$1,Data!$A$1:$AN$1,),)</f>
        <v/>
      </c>
      <c r="S28" s="14">
        <f>(VLOOKUP(B28,Data!$A:$AN,MATCH(yoy!$S$1,Data!$A$1:$AN$1,),)-VLOOKUP(A28,Data!$A:$AN,MATCH(yoy!$S$1,Data!$A$1:$AN$1,),))/VLOOKUP(A28,Data!$A:$AN,MATCH(yoy!$S$1,Data!$A$1:$AN$1,),)</f>
        <v/>
      </c>
      <c r="T28" s="14">
        <f>(VLOOKUP(B28,Data!$A:$AN,MATCH(yoy!$T$1,Data!$A$1:$AN$1,),)-VLOOKUP(A28,Data!$A:$AN,MATCH(yoy!$T$1,Data!$A$1:$AN$1,),))/VLOOKUP(A28,Data!$A:$AN,MATCH(yoy!$T$1,Data!$A$1:$AN$1,),)</f>
        <v/>
      </c>
      <c r="U28" s="14">
        <f>(VLOOKUP(B28,Data!$A:$AN,MATCH(yoy!$U$1,Data!$A$1:$AN$1,),)-VLOOKUP(A28,Data!$A:$AN,MATCH(yoy!$U$1,Data!$A$1:$AN$1,),))/VLOOKUP(A28,Data!$A:$AN,MATCH(yoy!$U$1,Data!$A$1:$AN$1,),)</f>
        <v/>
      </c>
      <c r="V28" s="14">
        <f>(VLOOKUP(B28,Data!$A:$AN,MATCH(yoy!$V$1,Data!$A$1:$AN$1,),)-VLOOKUP(A28,Data!$A:$AN,MATCH(yoy!$V$1,Data!$A$1:$AN$1,),))/VLOOKUP(A28,Data!$A:$AN,MATCH(yoy!$V$1,Data!$A$1:$AN$1,),)</f>
        <v/>
      </c>
      <c r="W28" s="14">
        <f>(VLOOKUP(B28,Data!$A:$AN,MATCH(yoy!$W$1,Data!$A$1:$AN$1,),)-VLOOKUP(A28,Data!$A:$AN,MATCH(yoy!$W$1,Data!$A$1:$AN$1,),))/VLOOKUP(A28,Data!$A:$AN,MATCH(yoy!$W$1,Data!$A$1:$AN$1,),)</f>
        <v/>
      </c>
      <c r="X28" s="14">
        <f>(VLOOKUP(B28,Data!$A:$AN,MATCH(yoy!$X$1,Data!$A$1:$AN$1,),)-VLOOKUP(A28,Data!$A:$AN,MATCH(yoy!$X$1,Data!$A$1:$AN$1,),))/VLOOKUP(A28,Data!$A:$AN,MATCH(yoy!$X$1,Data!$A$1:$AN$1,),)</f>
        <v/>
      </c>
      <c r="Y28" s="14">
        <f>(VLOOKUP(B28,Data!$A:$AN,MATCH(yoy!$Y$1,Data!$A$1:$AN$1,),)-VLOOKUP(A28,Data!$A:$AN,MATCH(yoy!$Y$1,Data!$A$1:$AN$1,),))/VLOOKUP(A28,Data!$A:$AN,MATCH(yoy!$Y$1,Data!$A$1:$AN$1,),)</f>
        <v/>
      </c>
      <c r="Z28" s="14">
        <f>(VLOOKUP(B28,Data!$A:$AN,MATCH(yoy!$Z$1,Data!$A$1:$AN$1,),)-VLOOKUP(A28,Data!$A:$AN,MATCH(yoy!$Z$1,Data!$A$1:$AN$1,),))/VLOOKUP(A28,Data!$A:$AN,MATCH(yoy!$Z$1,Data!$A$1:$AN$1,),)</f>
        <v/>
      </c>
      <c r="AA28" s="14">
        <f>(VLOOKUP(B28,Data!$A:$AN,MATCH(yoy!$AA$1,Data!$A$1:$AN$1,),)-VLOOKUP(A28,Data!$A:$AN,MATCH(yoy!$AA$1,Data!$A$1:$AN$1,),))/VLOOKUP(A28,Data!$A:$AN,MATCH(yoy!$AA$1,Data!$A$1:$AN$1,),)</f>
        <v/>
      </c>
    </row>
    <row r="29">
      <c r="A29" s="20">
        <f>DATE(YEAR(B29)-1,MONTH(B29),DAY(B29))</f>
        <v/>
      </c>
      <c r="B29" s="12" t="n">
        <v>42736</v>
      </c>
      <c r="C29" s="14">
        <f>(VLOOKUP(B29,Data!$A:$AN,MATCH(yoy!$C$1,Data!$A$1:$AN$1,),)-VLOOKUP(A29,Data!$A:$AN,MATCH(yoy!$C$1,Data!$A$1:$AN$1,),))/VLOOKUP(A29,Data!$A:$AN,MATCH(yoy!$C$1,Data!$A$1:$AN$1,),)</f>
        <v/>
      </c>
      <c r="D29" s="14">
        <f>(VLOOKUP(B29,Data!$A:$AN,MATCH(yoy!$D$1,Data!$A$1:$AN$1,),)-VLOOKUP(A29,Data!$A:$AN,MATCH(yoy!$D$1,Data!$A$1:$AN$1,),))/VLOOKUP(A29,Data!$A:$AN,MATCH(yoy!$D$1,Data!$A$1:$AN$1,),)</f>
        <v/>
      </c>
      <c r="E29" s="14">
        <f>(VLOOKUP(B29,Data!$A:$AN,MATCH(yoy!$E$1,Data!$A$1:$AN$1,),)-VLOOKUP(A29,Data!$A:$AN,MATCH(yoy!$E$1,Data!$A$1:$AN$1,),))/VLOOKUP(A29,Data!$A:$AN,MATCH(yoy!$E$1,Data!$A$1:$AN$1,),)</f>
        <v/>
      </c>
      <c r="F29" s="14">
        <f>(VLOOKUP(B29,Data!$A:$AN,MATCH(yoy!$F$1,Data!$A$1:$AN$1,),)-VLOOKUP(A29,Data!$A:$AN,MATCH(yoy!$F$1,Data!$A$1:$AN$1,),))/VLOOKUP(A29,Data!$A:$AN,MATCH(yoy!$F$1,Data!$A$1:$AN$1,),)</f>
        <v/>
      </c>
      <c r="G29" s="14">
        <f>(VLOOKUP(B29,Data!$A:$AN,MATCH(yoy!$G$1,Data!$A$1:$AN$1,),)-VLOOKUP(A29,Data!$A:$AN,MATCH(yoy!$G$1,Data!$A$1:$AN$1,),))/VLOOKUP(A29,Data!$A:$AN,MATCH(yoy!$G$1,Data!$A$1:$AN$1,),)</f>
        <v/>
      </c>
      <c r="H29" s="14">
        <f>(VLOOKUP(B29,Data!$A:$AN,MATCH(yoy!$H$1,Data!$A$1:$AN$1,),)-VLOOKUP(A29,Data!$A:$AN,MATCH(yoy!$H$1,Data!$A$1:$AN$1,),))/VLOOKUP(A29,Data!$A:$AN,MATCH(yoy!$H$1,Data!$A$1:$AN$1,),)</f>
        <v/>
      </c>
      <c r="I29" s="14">
        <f>(VLOOKUP(B29,Data!$A:$AN,MATCH(yoy!$I$1,Data!$A$1:$AN$1,),)-VLOOKUP(A29,Data!$A:$AN,MATCH(yoy!$I$1,Data!$A$1:$AN$1,),))/VLOOKUP(A29,Data!$A:$AN,MATCH(yoy!$I$1,Data!$A$1:$AN$1,),)</f>
        <v/>
      </c>
      <c r="J29" s="14">
        <f>(VLOOKUP(B29,Data!$A:$AN,MATCH(yoy!$J$1,Data!$A$1:$AN$1,),)-VLOOKUP(A29,Data!$A:$AN,MATCH(yoy!$J$1,Data!$A$1:$AN$1,),))/VLOOKUP(A29,Data!$A:$AN,MATCH(yoy!$J$1,Data!$A$1:$AN$1,),)</f>
        <v/>
      </c>
      <c r="K29" s="14">
        <f>(VLOOKUP(B29,Data!$A:$AN,MATCH(yoy!$K$1,Data!$A$1:$AN$1,),)-VLOOKUP(A29,Data!$A:$AN,MATCH(yoy!$K$1,Data!$A$1:$AN$1,),))/VLOOKUP(A29,Data!$A:$AN,MATCH(yoy!$K$1,Data!$A$1:$AN$1,),)</f>
        <v/>
      </c>
      <c r="L29" s="14">
        <f>(VLOOKUP(B29,Data!$A:$AN,MATCH(yoy!$L$1,Data!$A$1:$AN$1,),)-VLOOKUP(A29,Data!$A:$AN,MATCH(yoy!$L$1,Data!$A$1:$AN$1,),))/VLOOKUP(A29,Data!$A:$AN,MATCH(yoy!$L$1,Data!$A$1:$AN$1,),)</f>
        <v/>
      </c>
      <c r="M29" s="14">
        <f>(VLOOKUP(B29,Data!$A:$AN,MATCH(yoy!$M$1,Data!$A$1:$AN$1,),)-VLOOKUP(A29,Data!$A:$AN,MATCH(yoy!$M$1,Data!$A$1:$AN$1,),))/VLOOKUP(A29,Data!$A:$AN,MATCH(yoy!$M$1,Data!$A$1:$AN$1,),)</f>
        <v/>
      </c>
      <c r="N29" s="14">
        <f>(VLOOKUP(B29,Data!$A:$AN,MATCH(yoy!$N$1,Data!$A$1:$AN$1,),)-VLOOKUP(A29,Data!$A:$AN,MATCH(yoy!$N$1,Data!$A$1:$AN$1,),))/VLOOKUP(A29,Data!$A:$AN,MATCH(yoy!$N$1,Data!$A$1:$AN$1,),)</f>
        <v/>
      </c>
      <c r="O29" s="14">
        <f>(VLOOKUP(B29,Data!$A:$AN,MATCH(yoy!$O$1,Data!$A$1:$AN$1,),)-VLOOKUP(A29,Data!$A:$AN,MATCH(yoy!$O$1,Data!$A$1:$AN$1,),))/VLOOKUP(A29,Data!$A:$AN,MATCH(yoy!$O$1,Data!$A$1:$AN$1,),)</f>
        <v/>
      </c>
      <c r="P29" s="14">
        <f>(VLOOKUP(B29,Data!$A:$AN,MATCH(yoy!$P$1,Data!$A$1:$AN$1,),)-VLOOKUP(A29,Data!$A:$AN,MATCH(yoy!$P$1,Data!$A$1:$AN$1,),))/VLOOKUP(A29,Data!$A:$AN,MATCH(yoy!$P$1,Data!$A$1:$AN$1,),)</f>
        <v/>
      </c>
      <c r="Q29" s="14">
        <f>(VLOOKUP(B29,Data!$A:$AN,MATCH(yoy!$Q$1,Data!$A$1:$AN$1,),)-VLOOKUP(A29,Data!$A:$AN,MATCH(yoy!$Q$1,Data!$A$1:$AN$1,),))/VLOOKUP(A29,Data!$A:$AN,MATCH(yoy!$Q$1,Data!$A$1:$AN$1,),)</f>
        <v/>
      </c>
      <c r="R29" s="14">
        <f>(VLOOKUP(B29,Data!$A:$AN,MATCH(yoy!$R$1,Data!$A$1:$AN$1,),)-VLOOKUP(A29,Data!$A:$AN,MATCH(yoy!$R$1,Data!$A$1:$AN$1,),))/VLOOKUP(A29,Data!$A:$AN,MATCH(yoy!$R$1,Data!$A$1:$AN$1,),)</f>
        <v/>
      </c>
      <c r="S29" s="14">
        <f>(VLOOKUP(B29,Data!$A:$AN,MATCH(yoy!$S$1,Data!$A$1:$AN$1,),)-VLOOKUP(A29,Data!$A:$AN,MATCH(yoy!$S$1,Data!$A$1:$AN$1,),))/VLOOKUP(A29,Data!$A:$AN,MATCH(yoy!$S$1,Data!$A$1:$AN$1,),)</f>
        <v/>
      </c>
      <c r="T29" s="14">
        <f>(VLOOKUP(B29,Data!$A:$AN,MATCH(yoy!$T$1,Data!$A$1:$AN$1,),)-VLOOKUP(A29,Data!$A:$AN,MATCH(yoy!$T$1,Data!$A$1:$AN$1,),))/VLOOKUP(A29,Data!$A:$AN,MATCH(yoy!$T$1,Data!$A$1:$AN$1,),)</f>
        <v/>
      </c>
      <c r="U29" s="14">
        <f>(VLOOKUP(B29,Data!$A:$AN,MATCH(yoy!$U$1,Data!$A$1:$AN$1,),)-VLOOKUP(A29,Data!$A:$AN,MATCH(yoy!$U$1,Data!$A$1:$AN$1,),))/VLOOKUP(A29,Data!$A:$AN,MATCH(yoy!$U$1,Data!$A$1:$AN$1,),)</f>
        <v/>
      </c>
      <c r="V29" s="14">
        <f>(VLOOKUP(B29,Data!$A:$AN,MATCH(yoy!$V$1,Data!$A$1:$AN$1,),)-VLOOKUP(A29,Data!$A:$AN,MATCH(yoy!$V$1,Data!$A$1:$AN$1,),))/VLOOKUP(A29,Data!$A:$AN,MATCH(yoy!$V$1,Data!$A$1:$AN$1,),)</f>
        <v/>
      </c>
      <c r="W29" s="14">
        <f>(VLOOKUP(B29,Data!$A:$AN,MATCH(yoy!$W$1,Data!$A$1:$AN$1,),)-VLOOKUP(A29,Data!$A:$AN,MATCH(yoy!$W$1,Data!$A$1:$AN$1,),))/VLOOKUP(A29,Data!$A:$AN,MATCH(yoy!$W$1,Data!$A$1:$AN$1,),)</f>
        <v/>
      </c>
      <c r="X29" s="14">
        <f>(VLOOKUP(B29,Data!$A:$AN,MATCH(yoy!$X$1,Data!$A$1:$AN$1,),)-VLOOKUP(A29,Data!$A:$AN,MATCH(yoy!$X$1,Data!$A$1:$AN$1,),))/VLOOKUP(A29,Data!$A:$AN,MATCH(yoy!$X$1,Data!$A$1:$AN$1,),)</f>
        <v/>
      </c>
      <c r="Y29" s="14">
        <f>(VLOOKUP(B29,Data!$A:$AN,MATCH(yoy!$Y$1,Data!$A$1:$AN$1,),)-VLOOKUP(A29,Data!$A:$AN,MATCH(yoy!$Y$1,Data!$A$1:$AN$1,),))/VLOOKUP(A29,Data!$A:$AN,MATCH(yoy!$Y$1,Data!$A$1:$AN$1,),)</f>
        <v/>
      </c>
      <c r="Z29" s="14">
        <f>(VLOOKUP(B29,Data!$A:$AN,MATCH(yoy!$Z$1,Data!$A$1:$AN$1,),)-VLOOKUP(A29,Data!$A:$AN,MATCH(yoy!$Z$1,Data!$A$1:$AN$1,),))/VLOOKUP(A29,Data!$A:$AN,MATCH(yoy!$Z$1,Data!$A$1:$AN$1,),)</f>
        <v/>
      </c>
      <c r="AA29" s="14">
        <f>(VLOOKUP(B29,Data!$A:$AN,MATCH(yoy!$AA$1,Data!$A$1:$AN$1,),)-VLOOKUP(A29,Data!$A:$AN,MATCH(yoy!$AA$1,Data!$A$1:$AN$1,),))/VLOOKUP(A29,Data!$A:$AN,MATCH(yoy!$AA$1,Data!$A$1:$AN$1,),)</f>
        <v/>
      </c>
    </row>
    <row r="30">
      <c r="A30" s="20">
        <f>DATE(YEAR(B30)-1,MONTH(B30),DAY(B30))</f>
        <v/>
      </c>
      <c r="B30" s="12" t="n">
        <v>42767</v>
      </c>
      <c r="C30" s="14">
        <f>(VLOOKUP(B30,Data!$A:$AN,MATCH(yoy!$C$1,Data!$A$1:$AN$1,),)-VLOOKUP(A30,Data!$A:$AN,MATCH(yoy!$C$1,Data!$A$1:$AN$1,),))/VLOOKUP(A30,Data!$A:$AN,MATCH(yoy!$C$1,Data!$A$1:$AN$1,),)</f>
        <v/>
      </c>
      <c r="D30" s="14">
        <f>(VLOOKUP(B30,Data!$A:$AN,MATCH(yoy!$D$1,Data!$A$1:$AN$1,),)-VLOOKUP(A30,Data!$A:$AN,MATCH(yoy!$D$1,Data!$A$1:$AN$1,),))/VLOOKUP(A30,Data!$A:$AN,MATCH(yoy!$D$1,Data!$A$1:$AN$1,),)</f>
        <v/>
      </c>
      <c r="E30" s="14">
        <f>(VLOOKUP(B30,Data!$A:$AN,MATCH(yoy!$E$1,Data!$A$1:$AN$1,),)-VLOOKUP(A30,Data!$A:$AN,MATCH(yoy!$E$1,Data!$A$1:$AN$1,),))/VLOOKUP(A30,Data!$A:$AN,MATCH(yoy!$E$1,Data!$A$1:$AN$1,),)</f>
        <v/>
      </c>
      <c r="F30" s="14">
        <f>(VLOOKUP(B30,Data!$A:$AN,MATCH(yoy!$F$1,Data!$A$1:$AN$1,),)-VLOOKUP(A30,Data!$A:$AN,MATCH(yoy!$F$1,Data!$A$1:$AN$1,),))/VLOOKUP(A30,Data!$A:$AN,MATCH(yoy!$F$1,Data!$A$1:$AN$1,),)</f>
        <v/>
      </c>
      <c r="G30" s="14">
        <f>(VLOOKUP(B30,Data!$A:$AN,MATCH(yoy!$G$1,Data!$A$1:$AN$1,),)-VLOOKUP(A30,Data!$A:$AN,MATCH(yoy!$G$1,Data!$A$1:$AN$1,),))/VLOOKUP(A30,Data!$A:$AN,MATCH(yoy!$G$1,Data!$A$1:$AN$1,),)</f>
        <v/>
      </c>
      <c r="H30" s="14">
        <f>(VLOOKUP(B30,Data!$A:$AN,MATCH(yoy!$H$1,Data!$A$1:$AN$1,),)-VLOOKUP(A30,Data!$A:$AN,MATCH(yoy!$H$1,Data!$A$1:$AN$1,),))/VLOOKUP(A30,Data!$A:$AN,MATCH(yoy!$H$1,Data!$A$1:$AN$1,),)</f>
        <v/>
      </c>
      <c r="I30" s="14">
        <f>(VLOOKUP(B30,Data!$A:$AN,MATCH(yoy!$I$1,Data!$A$1:$AN$1,),)-VLOOKUP(A30,Data!$A:$AN,MATCH(yoy!$I$1,Data!$A$1:$AN$1,),))/VLOOKUP(A30,Data!$A:$AN,MATCH(yoy!$I$1,Data!$A$1:$AN$1,),)</f>
        <v/>
      </c>
      <c r="J30" s="14">
        <f>(VLOOKUP(B30,Data!$A:$AN,MATCH(yoy!$J$1,Data!$A$1:$AN$1,),)-VLOOKUP(A30,Data!$A:$AN,MATCH(yoy!$J$1,Data!$A$1:$AN$1,),))/VLOOKUP(A30,Data!$A:$AN,MATCH(yoy!$J$1,Data!$A$1:$AN$1,),)</f>
        <v/>
      </c>
      <c r="K30" s="14">
        <f>(VLOOKUP(B30,Data!$A:$AN,MATCH(yoy!$K$1,Data!$A$1:$AN$1,),)-VLOOKUP(A30,Data!$A:$AN,MATCH(yoy!$K$1,Data!$A$1:$AN$1,),))/VLOOKUP(A30,Data!$A:$AN,MATCH(yoy!$K$1,Data!$A$1:$AN$1,),)</f>
        <v/>
      </c>
      <c r="L30" s="14">
        <f>(VLOOKUP(B30,Data!$A:$AN,MATCH(yoy!$L$1,Data!$A$1:$AN$1,),)-VLOOKUP(A30,Data!$A:$AN,MATCH(yoy!$L$1,Data!$A$1:$AN$1,),))/VLOOKUP(A30,Data!$A:$AN,MATCH(yoy!$L$1,Data!$A$1:$AN$1,),)</f>
        <v/>
      </c>
      <c r="M30" s="14">
        <f>(VLOOKUP(B30,Data!$A:$AN,MATCH(yoy!$M$1,Data!$A$1:$AN$1,),)-VLOOKUP(A30,Data!$A:$AN,MATCH(yoy!$M$1,Data!$A$1:$AN$1,),))/VLOOKUP(A30,Data!$A:$AN,MATCH(yoy!$M$1,Data!$A$1:$AN$1,),)</f>
        <v/>
      </c>
      <c r="N30" s="14">
        <f>(VLOOKUP(B30,Data!$A:$AN,MATCH(yoy!$N$1,Data!$A$1:$AN$1,),)-VLOOKUP(A30,Data!$A:$AN,MATCH(yoy!$N$1,Data!$A$1:$AN$1,),))/VLOOKUP(A30,Data!$A:$AN,MATCH(yoy!$N$1,Data!$A$1:$AN$1,),)</f>
        <v/>
      </c>
      <c r="O30" s="14">
        <f>(VLOOKUP(B30,Data!$A:$AN,MATCH(yoy!$O$1,Data!$A$1:$AN$1,),)-VLOOKUP(A30,Data!$A:$AN,MATCH(yoy!$O$1,Data!$A$1:$AN$1,),))/VLOOKUP(A30,Data!$A:$AN,MATCH(yoy!$O$1,Data!$A$1:$AN$1,),)</f>
        <v/>
      </c>
      <c r="P30" s="14">
        <f>(VLOOKUP(B30,Data!$A:$AN,MATCH(yoy!$P$1,Data!$A$1:$AN$1,),)-VLOOKUP(A30,Data!$A:$AN,MATCH(yoy!$P$1,Data!$A$1:$AN$1,),))/VLOOKUP(A30,Data!$A:$AN,MATCH(yoy!$P$1,Data!$A$1:$AN$1,),)</f>
        <v/>
      </c>
      <c r="Q30" s="14">
        <f>(VLOOKUP(B30,Data!$A:$AN,MATCH(yoy!$Q$1,Data!$A$1:$AN$1,),)-VLOOKUP(A30,Data!$A:$AN,MATCH(yoy!$Q$1,Data!$A$1:$AN$1,),))/VLOOKUP(A30,Data!$A:$AN,MATCH(yoy!$Q$1,Data!$A$1:$AN$1,),)</f>
        <v/>
      </c>
      <c r="R30" s="14">
        <f>(VLOOKUP(B30,Data!$A:$AN,MATCH(yoy!$R$1,Data!$A$1:$AN$1,),)-VLOOKUP(A30,Data!$A:$AN,MATCH(yoy!$R$1,Data!$A$1:$AN$1,),))/VLOOKUP(A30,Data!$A:$AN,MATCH(yoy!$R$1,Data!$A$1:$AN$1,),)</f>
        <v/>
      </c>
      <c r="S30" s="14">
        <f>(VLOOKUP(B30,Data!$A:$AN,MATCH(yoy!$S$1,Data!$A$1:$AN$1,),)-VLOOKUP(A30,Data!$A:$AN,MATCH(yoy!$S$1,Data!$A$1:$AN$1,),))/VLOOKUP(A30,Data!$A:$AN,MATCH(yoy!$S$1,Data!$A$1:$AN$1,),)</f>
        <v/>
      </c>
      <c r="T30" s="14">
        <f>(VLOOKUP(B30,Data!$A:$AN,MATCH(yoy!$T$1,Data!$A$1:$AN$1,),)-VLOOKUP(A30,Data!$A:$AN,MATCH(yoy!$T$1,Data!$A$1:$AN$1,),))/VLOOKUP(A30,Data!$A:$AN,MATCH(yoy!$T$1,Data!$A$1:$AN$1,),)</f>
        <v/>
      </c>
      <c r="U30" s="14">
        <f>(VLOOKUP(B30,Data!$A:$AN,MATCH(yoy!$U$1,Data!$A$1:$AN$1,),)-VLOOKUP(A30,Data!$A:$AN,MATCH(yoy!$U$1,Data!$A$1:$AN$1,),))/VLOOKUP(A30,Data!$A:$AN,MATCH(yoy!$U$1,Data!$A$1:$AN$1,),)</f>
        <v/>
      </c>
      <c r="V30" s="14">
        <f>(VLOOKUP(B30,Data!$A:$AN,MATCH(yoy!$V$1,Data!$A$1:$AN$1,),)-VLOOKUP(A30,Data!$A:$AN,MATCH(yoy!$V$1,Data!$A$1:$AN$1,),))/VLOOKUP(A30,Data!$A:$AN,MATCH(yoy!$V$1,Data!$A$1:$AN$1,),)</f>
        <v/>
      </c>
      <c r="W30" s="14">
        <f>(VLOOKUP(B30,Data!$A:$AN,MATCH(yoy!$W$1,Data!$A$1:$AN$1,),)-VLOOKUP(A30,Data!$A:$AN,MATCH(yoy!$W$1,Data!$A$1:$AN$1,),))/VLOOKUP(A30,Data!$A:$AN,MATCH(yoy!$W$1,Data!$A$1:$AN$1,),)</f>
        <v/>
      </c>
      <c r="X30" s="14">
        <f>(VLOOKUP(B30,Data!$A:$AN,MATCH(yoy!$X$1,Data!$A$1:$AN$1,),)-VLOOKUP(A30,Data!$A:$AN,MATCH(yoy!$X$1,Data!$A$1:$AN$1,),))/VLOOKUP(A30,Data!$A:$AN,MATCH(yoy!$X$1,Data!$A$1:$AN$1,),)</f>
        <v/>
      </c>
      <c r="Y30" s="14">
        <f>(VLOOKUP(B30,Data!$A:$AN,MATCH(yoy!$Y$1,Data!$A$1:$AN$1,),)-VLOOKUP(A30,Data!$A:$AN,MATCH(yoy!$Y$1,Data!$A$1:$AN$1,),))/VLOOKUP(A30,Data!$A:$AN,MATCH(yoy!$Y$1,Data!$A$1:$AN$1,),)</f>
        <v/>
      </c>
      <c r="Z30" s="14">
        <f>(VLOOKUP(B30,Data!$A:$AN,MATCH(yoy!$Z$1,Data!$A$1:$AN$1,),)-VLOOKUP(A30,Data!$A:$AN,MATCH(yoy!$Z$1,Data!$A$1:$AN$1,),))/VLOOKUP(A30,Data!$A:$AN,MATCH(yoy!$Z$1,Data!$A$1:$AN$1,),)</f>
        <v/>
      </c>
      <c r="AA30" s="14">
        <f>(VLOOKUP(B30,Data!$A:$AN,MATCH(yoy!$AA$1,Data!$A$1:$AN$1,),)-VLOOKUP(A30,Data!$A:$AN,MATCH(yoy!$AA$1,Data!$A$1:$AN$1,),))/VLOOKUP(A30,Data!$A:$AN,MATCH(yoy!$AA$1,Data!$A$1:$AN$1,),)</f>
        <v/>
      </c>
    </row>
    <row r="31">
      <c r="A31" s="20">
        <f>DATE(YEAR(B31)-1,MONTH(B31),DAY(B31))</f>
        <v/>
      </c>
      <c r="B31" s="12" t="n">
        <v>42795</v>
      </c>
      <c r="C31" s="14">
        <f>(VLOOKUP(B31,Data!$A:$AN,MATCH(yoy!$C$1,Data!$A$1:$AN$1,),)-VLOOKUP(A31,Data!$A:$AN,MATCH(yoy!$C$1,Data!$A$1:$AN$1,),))/VLOOKUP(A31,Data!$A:$AN,MATCH(yoy!$C$1,Data!$A$1:$AN$1,),)</f>
        <v/>
      </c>
      <c r="D31" s="14">
        <f>(VLOOKUP(B31,Data!$A:$AN,MATCH(yoy!$D$1,Data!$A$1:$AN$1,),)-VLOOKUP(A31,Data!$A:$AN,MATCH(yoy!$D$1,Data!$A$1:$AN$1,),))/VLOOKUP(A31,Data!$A:$AN,MATCH(yoy!$D$1,Data!$A$1:$AN$1,),)</f>
        <v/>
      </c>
      <c r="E31" s="14">
        <f>(VLOOKUP(B31,Data!$A:$AN,MATCH(yoy!$E$1,Data!$A$1:$AN$1,),)-VLOOKUP(A31,Data!$A:$AN,MATCH(yoy!$E$1,Data!$A$1:$AN$1,),))/VLOOKUP(A31,Data!$A:$AN,MATCH(yoy!$E$1,Data!$A$1:$AN$1,),)</f>
        <v/>
      </c>
      <c r="F31" s="14">
        <f>(VLOOKUP(B31,Data!$A:$AN,MATCH(yoy!$F$1,Data!$A$1:$AN$1,),)-VLOOKUP(A31,Data!$A:$AN,MATCH(yoy!$F$1,Data!$A$1:$AN$1,),))/VLOOKUP(A31,Data!$A:$AN,MATCH(yoy!$F$1,Data!$A$1:$AN$1,),)</f>
        <v/>
      </c>
      <c r="G31" s="14">
        <f>(VLOOKUP(B31,Data!$A:$AN,MATCH(yoy!$G$1,Data!$A$1:$AN$1,),)-VLOOKUP(A31,Data!$A:$AN,MATCH(yoy!$G$1,Data!$A$1:$AN$1,),))/VLOOKUP(A31,Data!$A:$AN,MATCH(yoy!$G$1,Data!$A$1:$AN$1,),)</f>
        <v/>
      </c>
      <c r="H31" s="14">
        <f>(VLOOKUP(B31,Data!$A:$AN,MATCH(yoy!$H$1,Data!$A$1:$AN$1,),)-VLOOKUP(A31,Data!$A:$AN,MATCH(yoy!$H$1,Data!$A$1:$AN$1,),))/VLOOKUP(A31,Data!$A:$AN,MATCH(yoy!$H$1,Data!$A$1:$AN$1,),)</f>
        <v/>
      </c>
      <c r="I31" s="14">
        <f>(VLOOKUP(B31,Data!$A:$AN,MATCH(yoy!$I$1,Data!$A$1:$AN$1,),)-VLOOKUP(A31,Data!$A:$AN,MATCH(yoy!$I$1,Data!$A$1:$AN$1,),))/VLOOKUP(A31,Data!$A:$AN,MATCH(yoy!$I$1,Data!$A$1:$AN$1,),)</f>
        <v/>
      </c>
      <c r="J31" s="14">
        <f>(VLOOKUP(B31,Data!$A:$AN,MATCH(yoy!$J$1,Data!$A$1:$AN$1,),)-VLOOKUP(A31,Data!$A:$AN,MATCH(yoy!$J$1,Data!$A$1:$AN$1,),))/VLOOKUP(A31,Data!$A:$AN,MATCH(yoy!$J$1,Data!$A$1:$AN$1,),)</f>
        <v/>
      </c>
      <c r="K31" s="14">
        <f>(VLOOKUP(B31,Data!$A:$AN,MATCH(yoy!$K$1,Data!$A$1:$AN$1,),)-VLOOKUP(A31,Data!$A:$AN,MATCH(yoy!$K$1,Data!$A$1:$AN$1,),))/VLOOKUP(A31,Data!$A:$AN,MATCH(yoy!$K$1,Data!$A$1:$AN$1,),)</f>
        <v/>
      </c>
      <c r="L31" s="14">
        <f>(VLOOKUP(B31,Data!$A:$AN,MATCH(yoy!$L$1,Data!$A$1:$AN$1,),)-VLOOKUP(A31,Data!$A:$AN,MATCH(yoy!$L$1,Data!$A$1:$AN$1,),))/VLOOKUP(A31,Data!$A:$AN,MATCH(yoy!$L$1,Data!$A$1:$AN$1,),)</f>
        <v/>
      </c>
      <c r="M31" s="14">
        <f>(VLOOKUP(B31,Data!$A:$AN,MATCH(yoy!$M$1,Data!$A$1:$AN$1,),)-VLOOKUP(A31,Data!$A:$AN,MATCH(yoy!$M$1,Data!$A$1:$AN$1,),))/VLOOKUP(A31,Data!$A:$AN,MATCH(yoy!$M$1,Data!$A$1:$AN$1,),)</f>
        <v/>
      </c>
      <c r="N31" s="14">
        <f>(VLOOKUP(B31,Data!$A:$AN,MATCH(yoy!$N$1,Data!$A$1:$AN$1,),)-VLOOKUP(A31,Data!$A:$AN,MATCH(yoy!$N$1,Data!$A$1:$AN$1,),))/VLOOKUP(A31,Data!$A:$AN,MATCH(yoy!$N$1,Data!$A$1:$AN$1,),)</f>
        <v/>
      </c>
      <c r="O31" s="14">
        <f>(VLOOKUP(B31,Data!$A:$AN,MATCH(yoy!$O$1,Data!$A$1:$AN$1,),)-VLOOKUP(A31,Data!$A:$AN,MATCH(yoy!$O$1,Data!$A$1:$AN$1,),))/VLOOKUP(A31,Data!$A:$AN,MATCH(yoy!$O$1,Data!$A$1:$AN$1,),)</f>
        <v/>
      </c>
      <c r="P31" s="14">
        <f>(VLOOKUP(B31,Data!$A:$AN,MATCH(yoy!$P$1,Data!$A$1:$AN$1,),)-VLOOKUP(A31,Data!$A:$AN,MATCH(yoy!$P$1,Data!$A$1:$AN$1,),))/VLOOKUP(A31,Data!$A:$AN,MATCH(yoy!$P$1,Data!$A$1:$AN$1,),)</f>
        <v/>
      </c>
      <c r="Q31" s="14">
        <f>(VLOOKUP(B31,Data!$A:$AN,MATCH(yoy!$Q$1,Data!$A$1:$AN$1,),)-VLOOKUP(A31,Data!$A:$AN,MATCH(yoy!$Q$1,Data!$A$1:$AN$1,),))/VLOOKUP(A31,Data!$A:$AN,MATCH(yoy!$Q$1,Data!$A$1:$AN$1,),)</f>
        <v/>
      </c>
      <c r="R31" s="14">
        <f>(VLOOKUP(B31,Data!$A:$AN,MATCH(yoy!$R$1,Data!$A$1:$AN$1,),)-VLOOKUP(A31,Data!$A:$AN,MATCH(yoy!$R$1,Data!$A$1:$AN$1,),))/VLOOKUP(A31,Data!$A:$AN,MATCH(yoy!$R$1,Data!$A$1:$AN$1,),)</f>
        <v/>
      </c>
      <c r="S31" s="14">
        <f>(VLOOKUP(B31,Data!$A:$AN,MATCH(yoy!$S$1,Data!$A$1:$AN$1,),)-VLOOKUP(A31,Data!$A:$AN,MATCH(yoy!$S$1,Data!$A$1:$AN$1,),))/VLOOKUP(A31,Data!$A:$AN,MATCH(yoy!$S$1,Data!$A$1:$AN$1,),)</f>
        <v/>
      </c>
      <c r="T31" s="14">
        <f>(VLOOKUP(B31,Data!$A:$AN,MATCH(yoy!$T$1,Data!$A$1:$AN$1,),)-VLOOKUP(A31,Data!$A:$AN,MATCH(yoy!$T$1,Data!$A$1:$AN$1,),))/VLOOKUP(A31,Data!$A:$AN,MATCH(yoy!$T$1,Data!$A$1:$AN$1,),)</f>
        <v/>
      </c>
      <c r="U31" s="14">
        <f>(VLOOKUP(B31,Data!$A:$AN,MATCH(yoy!$U$1,Data!$A$1:$AN$1,),)-VLOOKUP(A31,Data!$A:$AN,MATCH(yoy!$U$1,Data!$A$1:$AN$1,),))/VLOOKUP(A31,Data!$A:$AN,MATCH(yoy!$U$1,Data!$A$1:$AN$1,),)</f>
        <v/>
      </c>
      <c r="V31" s="14">
        <f>(VLOOKUP(B31,Data!$A:$AN,MATCH(yoy!$V$1,Data!$A$1:$AN$1,),)-VLOOKUP(A31,Data!$A:$AN,MATCH(yoy!$V$1,Data!$A$1:$AN$1,),))/VLOOKUP(A31,Data!$A:$AN,MATCH(yoy!$V$1,Data!$A$1:$AN$1,),)</f>
        <v/>
      </c>
      <c r="W31" s="14">
        <f>(VLOOKUP(B31,Data!$A:$AN,MATCH(yoy!$W$1,Data!$A$1:$AN$1,),)-VLOOKUP(A31,Data!$A:$AN,MATCH(yoy!$W$1,Data!$A$1:$AN$1,),))/VLOOKUP(A31,Data!$A:$AN,MATCH(yoy!$W$1,Data!$A$1:$AN$1,),)</f>
        <v/>
      </c>
      <c r="X31" s="14">
        <f>(VLOOKUP(B31,Data!$A:$AN,MATCH(yoy!$X$1,Data!$A$1:$AN$1,),)-VLOOKUP(A31,Data!$A:$AN,MATCH(yoy!$X$1,Data!$A$1:$AN$1,),))/VLOOKUP(A31,Data!$A:$AN,MATCH(yoy!$X$1,Data!$A$1:$AN$1,),)</f>
        <v/>
      </c>
      <c r="Y31" s="14">
        <f>(VLOOKUP(B31,Data!$A:$AN,MATCH(yoy!$Y$1,Data!$A$1:$AN$1,),)-VLOOKUP(A31,Data!$A:$AN,MATCH(yoy!$Y$1,Data!$A$1:$AN$1,),))/VLOOKUP(A31,Data!$A:$AN,MATCH(yoy!$Y$1,Data!$A$1:$AN$1,),)</f>
        <v/>
      </c>
      <c r="Z31" s="14">
        <f>(VLOOKUP(B31,Data!$A:$AN,MATCH(yoy!$Z$1,Data!$A$1:$AN$1,),)-VLOOKUP(A31,Data!$A:$AN,MATCH(yoy!$Z$1,Data!$A$1:$AN$1,),))/VLOOKUP(A31,Data!$A:$AN,MATCH(yoy!$Z$1,Data!$A$1:$AN$1,),)</f>
        <v/>
      </c>
      <c r="AA31" s="14">
        <f>(VLOOKUP(B31,Data!$A:$AN,MATCH(yoy!$AA$1,Data!$A$1:$AN$1,),)-VLOOKUP(A31,Data!$A:$AN,MATCH(yoy!$AA$1,Data!$A$1:$AN$1,),))/VLOOKUP(A31,Data!$A:$AN,MATCH(yoy!$AA$1,Data!$A$1:$AN$1,),)</f>
        <v/>
      </c>
    </row>
    <row r="32">
      <c r="A32" s="20">
        <f>DATE(YEAR(B32)-1,MONTH(B32),DAY(B32))</f>
        <v/>
      </c>
      <c r="B32" s="12" t="n">
        <v>42826</v>
      </c>
      <c r="C32" s="14">
        <f>(VLOOKUP(B32,Data!$A:$AN,MATCH(yoy!$C$1,Data!$A$1:$AN$1,),)-VLOOKUP(A32,Data!$A:$AN,MATCH(yoy!$C$1,Data!$A$1:$AN$1,),))/VLOOKUP(A32,Data!$A:$AN,MATCH(yoy!$C$1,Data!$A$1:$AN$1,),)</f>
        <v/>
      </c>
      <c r="D32" s="14">
        <f>(VLOOKUP(B32,Data!$A:$AN,MATCH(yoy!$D$1,Data!$A$1:$AN$1,),)-VLOOKUP(A32,Data!$A:$AN,MATCH(yoy!$D$1,Data!$A$1:$AN$1,),))/VLOOKUP(A32,Data!$A:$AN,MATCH(yoy!$D$1,Data!$A$1:$AN$1,),)</f>
        <v/>
      </c>
      <c r="E32" s="14">
        <f>(VLOOKUP(B32,Data!$A:$AN,MATCH(yoy!$E$1,Data!$A$1:$AN$1,),)-VLOOKUP(A32,Data!$A:$AN,MATCH(yoy!$E$1,Data!$A$1:$AN$1,),))/VLOOKUP(A32,Data!$A:$AN,MATCH(yoy!$E$1,Data!$A$1:$AN$1,),)</f>
        <v/>
      </c>
      <c r="F32" s="14">
        <f>(VLOOKUP(B32,Data!$A:$AN,MATCH(yoy!$F$1,Data!$A$1:$AN$1,),)-VLOOKUP(A32,Data!$A:$AN,MATCH(yoy!$F$1,Data!$A$1:$AN$1,),))/VLOOKUP(A32,Data!$A:$AN,MATCH(yoy!$F$1,Data!$A$1:$AN$1,),)</f>
        <v/>
      </c>
      <c r="G32" s="14">
        <f>(VLOOKUP(B32,Data!$A:$AN,MATCH(yoy!$G$1,Data!$A$1:$AN$1,),)-VLOOKUP(A32,Data!$A:$AN,MATCH(yoy!$G$1,Data!$A$1:$AN$1,),))/VLOOKUP(A32,Data!$A:$AN,MATCH(yoy!$G$1,Data!$A$1:$AN$1,),)</f>
        <v/>
      </c>
      <c r="H32" s="14">
        <f>(VLOOKUP(B32,Data!$A:$AN,MATCH(yoy!$H$1,Data!$A$1:$AN$1,),)-VLOOKUP(A32,Data!$A:$AN,MATCH(yoy!$H$1,Data!$A$1:$AN$1,),))/VLOOKUP(A32,Data!$A:$AN,MATCH(yoy!$H$1,Data!$A$1:$AN$1,),)</f>
        <v/>
      </c>
      <c r="I32" s="14">
        <f>(VLOOKUP(B32,Data!$A:$AN,MATCH(yoy!$I$1,Data!$A$1:$AN$1,),)-VLOOKUP(A32,Data!$A:$AN,MATCH(yoy!$I$1,Data!$A$1:$AN$1,),))/VLOOKUP(A32,Data!$A:$AN,MATCH(yoy!$I$1,Data!$A$1:$AN$1,),)</f>
        <v/>
      </c>
      <c r="J32" s="14">
        <f>(VLOOKUP(B32,Data!$A:$AN,MATCH(yoy!$J$1,Data!$A$1:$AN$1,),)-VLOOKUP(A32,Data!$A:$AN,MATCH(yoy!$J$1,Data!$A$1:$AN$1,),))/VLOOKUP(A32,Data!$A:$AN,MATCH(yoy!$J$1,Data!$A$1:$AN$1,),)</f>
        <v/>
      </c>
      <c r="K32" s="14">
        <f>(VLOOKUP(B32,Data!$A:$AN,MATCH(yoy!$K$1,Data!$A$1:$AN$1,),)-VLOOKUP(A32,Data!$A:$AN,MATCH(yoy!$K$1,Data!$A$1:$AN$1,),))/VLOOKUP(A32,Data!$A:$AN,MATCH(yoy!$K$1,Data!$A$1:$AN$1,),)</f>
        <v/>
      </c>
      <c r="L32" s="14">
        <f>(VLOOKUP(B32,Data!$A:$AN,MATCH(yoy!$L$1,Data!$A$1:$AN$1,),)-VLOOKUP(A32,Data!$A:$AN,MATCH(yoy!$L$1,Data!$A$1:$AN$1,),))/VLOOKUP(A32,Data!$A:$AN,MATCH(yoy!$L$1,Data!$A$1:$AN$1,),)</f>
        <v/>
      </c>
      <c r="M32" s="14">
        <f>(VLOOKUP(B32,Data!$A:$AN,MATCH(yoy!$M$1,Data!$A$1:$AN$1,),)-VLOOKUP(A32,Data!$A:$AN,MATCH(yoy!$M$1,Data!$A$1:$AN$1,),))/VLOOKUP(A32,Data!$A:$AN,MATCH(yoy!$M$1,Data!$A$1:$AN$1,),)</f>
        <v/>
      </c>
      <c r="N32" s="14">
        <f>(VLOOKUP(B32,Data!$A:$AN,MATCH(yoy!$N$1,Data!$A$1:$AN$1,),)-VLOOKUP(A32,Data!$A:$AN,MATCH(yoy!$N$1,Data!$A$1:$AN$1,),))/VLOOKUP(A32,Data!$A:$AN,MATCH(yoy!$N$1,Data!$A$1:$AN$1,),)</f>
        <v/>
      </c>
      <c r="O32" s="14">
        <f>(VLOOKUP(B32,Data!$A:$AN,MATCH(yoy!$O$1,Data!$A$1:$AN$1,),)-VLOOKUP(A32,Data!$A:$AN,MATCH(yoy!$O$1,Data!$A$1:$AN$1,),))/VLOOKUP(A32,Data!$A:$AN,MATCH(yoy!$O$1,Data!$A$1:$AN$1,),)</f>
        <v/>
      </c>
      <c r="P32" s="14">
        <f>(VLOOKUP(B32,Data!$A:$AN,MATCH(yoy!$P$1,Data!$A$1:$AN$1,),)-VLOOKUP(A32,Data!$A:$AN,MATCH(yoy!$P$1,Data!$A$1:$AN$1,),))/VLOOKUP(A32,Data!$A:$AN,MATCH(yoy!$P$1,Data!$A$1:$AN$1,),)</f>
        <v/>
      </c>
      <c r="Q32" s="14">
        <f>(VLOOKUP(B32,Data!$A:$AN,MATCH(yoy!$Q$1,Data!$A$1:$AN$1,),)-VLOOKUP(A32,Data!$A:$AN,MATCH(yoy!$Q$1,Data!$A$1:$AN$1,),))/VLOOKUP(A32,Data!$A:$AN,MATCH(yoy!$Q$1,Data!$A$1:$AN$1,),)</f>
        <v/>
      </c>
      <c r="R32" s="14">
        <f>(VLOOKUP(B32,Data!$A:$AN,MATCH(yoy!$R$1,Data!$A$1:$AN$1,),)-VLOOKUP(A32,Data!$A:$AN,MATCH(yoy!$R$1,Data!$A$1:$AN$1,),))/VLOOKUP(A32,Data!$A:$AN,MATCH(yoy!$R$1,Data!$A$1:$AN$1,),)</f>
        <v/>
      </c>
      <c r="S32" s="14">
        <f>(VLOOKUP(B32,Data!$A:$AN,MATCH(yoy!$S$1,Data!$A$1:$AN$1,),)-VLOOKUP(A32,Data!$A:$AN,MATCH(yoy!$S$1,Data!$A$1:$AN$1,),))/VLOOKUP(A32,Data!$A:$AN,MATCH(yoy!$S$1,Data!$A$1:$AN$1,),)</f>
        <v/>
      </c>
      <c r="T32" s="14">
        <f>(VLOOKUP(B32,Data!$A:$AN,MATCH(yoy!$T$1,Data!$A$1:$AN$1,),)-VLOOKUP(A32,Data!$A:$AN,MATCH(yoy!$T$1,Data!$A$1:$AN$1,),))/VLOOKUP(A32,Data!$A:$AN,MATCH(yoy!$T$1,Data!$A$1:$AN$1,),)</f>
        <v/>
      </c>
      <c r="U32" s="14">
        <f>(VLOOKUP(B32,Data!$A:$AN,MATCH(yoy!$U$1,Data!$A$1:$AN$1,),)-VLOOKUP(A32,Data!$A:$AN,MATCH(yoy!$U$1,Data!$A$1:$AN$1,),))/VLOOKUP(A32,Data!$A:$AN,MATCH(yoy!$U$1,Data!$A$1:$AN$1,),)</f>
        <v/>
      </c>
      <c r="V32" s="14">
        <f>(VLOOKUP(B32,Data!$A:$AN,MATCH(yoy!$V$1,Data!$A$1:$AN$1,),)-VLOOKUP(A32,Data!$A:$AN,MATCH(yoy!$V$1,Data!$A$1:$AN$1,),))/VLOOKUP(A32,Data!$A:$AN,MATCH(yoy!$V$1,Data!$A$1:$AN$1,),)</f>
        <v/>
      </c>
      <c r="W32" s="14">
        <f>(VLOOKUP(B32,Data!$A:$AN,MATCH(yoy!$W$1,Data!$A$1:$AN$1,),)-VLOOKUP(A32,Data!$A:$AN,MATCH(yoy!$W$1,Data!$A$1:$AN$1,),))/VLOOKUP(A32,Data!$A:$AN,MATCH(yoy!$W$1,Data!$A$1:$AN$1,),)</f>
        <v/>
      </c>
      <c r="X32" s="14">
        <f>(VLOOKUP(B32,Data!$A:$AN,MATCH(yoy!$X$1,Data!$A$1:$AN$1,),)-VLOOKUP(A32,Data!$A:$AN,MATCH(yoy!$X$1,Data!$A$1:$AN$1,),))/VLOOKUP(A32,Data!$A:$AN,MATCH(yoy!$X$1,Data!$A$1:$AN$1,),)</f>
        <v/>
      </c>
      <c r="Y32" s="14">
        <f>(VLOOKUP(B32,Data!$A:$AN,MATCH(yoy!$Y$1,Data!$A$1:$AN$1,),)-VLOOKUP(A32,Data!$A:$AN,MATCH(yoy!$Y$1,Data!$A$1:$AN$1,),))/VLOOKUP(A32,Data!$A:$AN,MATCH(yoy!$Y$1,Data!$A$1:$AN$1,),)</f>
        <v/>
      </c>
      <c r="Z32" s="14">
        <f>(VLOOKUP(B32,Data!$A:$AN,MATCH(yoy!$Z$1,Data!$A$1:$AN$1,),)-VLOOKUP(A32,Data!$A:$AN,MATCH(yoy!$Z$1,Data!$A$1:$AN$1,),))/VLOOKUP(A32,Data!$A:$AN,MATCH(yoy!$Z$1,Data!$A$1:$AN$1,),)</f>
        <v/>
      </c>
      <c r="AA32" s="14">
        <f>(VLOOKUP(B32,Data!$A:$AN,MATCH(yoy!$AA$1,Data!$A$1:$AN$1,),)-VLOOKUP(A32,Data!$A:$AN,MATCH(yoy!$AA$1,Data!$A$1:$AN$1,),))/VLOOKUP(A32,Data!$A:$AN,MATCH(yoy!$AA$1,Data!$A$1:$AN$1,),)</f>
        <v/>
      </c>
    </row>
    <row r="33">
      <c r="A33" s="20">
        <f>DATE(YEAR(B33)-1,MONTH(B33),DAY(B33))</f>
        <v/>
      </c>
      <c r="B33" s="12" t="n">
        <v>42856</v>
      </c>
      <c r="C33" s="14">
        <f>(VLOOKUP(B33,Data!$A:$AN,MATCH(yoy!$C$1,Data!$A$1:$AN$1,),)-VLOOKUP(A33,Data!$A:$AN,MATCH(yoy!$C$1,Data!$A$1:$AN$1,),))/VLOOKUP(A33,Data!$A:$AN,MATCH(yoy!$C$1,Data!$A$1:$AN$1,),)</f>
        <v/>
      </c>
      <c r="D33" s="14">
        <f>(VLOOKUP(B33,Data!$A:$AN,MATCH(yoy!$D$1,Data!$A$1:$AN$1,),)-VLOOKUP(A33,Data!$A:$AN,MATCH(yoy!$D$1,Data!$A$1:$AN$1,),))/VLOOKUP(A33,Data!$A:$AN,MATCH(yoy!$D$1,Data!$A$1:$AN$1,),)</f>
        <v/>
      </c>
      <c r="E33" s="14">
        <f>(VLOOKUP(B33,Data!$A:$AN,MATCH(yoy!$E$1,Data!$A$1:$AN$1,),)-VLOOKUP(A33,Data!$A:$AN,MATCH(yoy!$E$1,Data!$A$1:$AN$1,),))/VLOOKUP(A33,Data!$A:$AN,MATCH(yoy!$E$1,Data!$A$1:$AN$1,),)</f>
        <v/>
      </c>
      <c r="F33" s="14">
        <f>(VLOOKUP(B33,Data!$A:$AN,MATCH(yoy!$F$1,Data!$A$1:$AN$1,),)-VLOOKUP(A33,Data!$A:$AN,MATCH(yoy!$F$1,Data!$A$1:$AN$1,),))/VLOOKUP(A33,Data!$A:$AN,MATCH(yoy!$F$1,Data!$A$1:$AN$1,),)</f>
        <v/>
      </c>
      <c r="G33" s="14">
        <f>(VLOOKUP(B33,Data!$A:$AN,MATCH(yoy!$G$1,Data!$A$1:$AN$1,),)-VLOOKUP(A33,Data!$A:$AN,MATCH(yoy!$G$1,Data!$A$1:$AN$1,),))/VLOOKUP(A33,Data!$A:$AN,MATCH(yoy!$G$1,Data!$A$1:$AN$1,),)</f>
        <v/>
      </c>
      <c r="H33" s="14">
        <f>(VLOOKUP(B33,Data!$A:$AN,MATCH(yoy!$H$1,Data!$A$1:$AN$1,),)-VLOOKUP(A33,Data!$A:$AN,MATCH(yoy!$H$1,Data!$A$1:$AN$1,),))/VLOOKUP(A33,Data!$A:$AN,MATCH(yoy!$H$1,Data!$A$1:$AN$1,),)</f>
        <v/>
      </c>
      <c r="I33" s="14">
        <f>(VLOOKUP(B33,Data!$A:$AN,MATCH(yoy!$I$1,Data!$A$1:$AN$1,),)-VLOOKUP(A33,Data!$A:$AN,MATCH(yoy!$I$1,Data!$A$1:$AN$1,),))/VLOOKUP(A33,Data!$A:$AN,MATCH(yoy!$I$1,Data!$A$1:$AN$1,),)</f>
        <v/>
      </c>
      <c r="J33" s="14">
        <f>(VLOOKUP(B33,Data!$A:$AN,MATCH(yoy!$J$1,Data!$A$1:$AN$1,),)-VLOOKUP(A33,Data!$A:$AN,MATCH(yoy!$J$1,Data!$A$1:$AN$1,),))/VLOOKUP(A33,Data!$A:$AN,MATCH(yoy!$J$1,Data!$A$1:$AN$1,),)</f>
        <v/>
      </c>
      <c r="K33" s="14">
        <f>(VLOOKUP(B33,Data!$A:$AN,MATCH(yoy!$K$1,Data!$A$1:$AN$1,),)-VLOOKUP(A33,Data!$A:$AN,MATCH(yoy!$K$1,Data!$A$1:$AN$1,),))/VLOOKUP(A33,Data!$A:$AN,MATCH(yoy!$K$1,Data!$A$1:$AN$1,),)</f>
        <v/>
      </c>
      <c r="L33" s="14">
        <f>(VLOOKUP(B33,Data!$A:$AN,MATCH(yoy!$L$1,Data!$A$1:$AN$1,),)-VLOOKUP(A33,Data!$A:$AN,MATCH(yoy!$L$1,Data!$A$1:$AN$1,),))/VLOOKUP(A33,Data!$A:$AN,MATCH(yoy!$L$1,Data!$A$1:$AN$1,),)</f>
        <v/>
      </c>
      <c r="M33" s="14">
        <f>(VLOOKUP(B33,Data!$A:$AN,MATCH(yoy!$M$1,Data!$A$1:$AN$1,),)-VLOOKUP(A33,Data!$A:$AN,MATCH(yoy!$M$1,Data!$A$1:$AN$1,),))/VLOOKUP(A33,Data!$A:$AN,MATCH(yoy!$M$1,Data!$A$1:$AN$1,),)</f>
        <v/>
      </c>
      <c r="N33" s="14">
        <f>(VLOOKUP(B33,Data!$A:$AN,MATCH(yoy!$N$1,Data!$A$1:$AN$1,),)-VLOOKUP(A33,Data!$A:$AN,MATCH(yoy!$N$1,Data!$A$1:$AN$1,),))/VLOOKUP(A33,Data!$A:$AN,MATCH(yoy!$N$1,Data!$A$1:$AN$1,),)</f>
        <v/>
      </c>
      <c r="O33" s="14">
        <f>(VLOOKUP(B33,Data!$A:$AN,MATCH(yoy!$O$1,Data!$A$1:$AN$1,),)-VLOOKUP(A33,Data!$A:$AN,MATCH(yoy!$O$1,Data!$A$1:$AN$1,),))/VLOOKUP(A33,Data!$A:$AN,MATCH(yoy!$O$1,Data!$A$1:$AN$1,),)</f>
        <v/>
      </c>
      <c r="P33" s="14">
        <f>(VLOOKUP(B33,Data!$A:$AN,MATCH(yoy!$P$1,Data!$A$1:$AN$1,),)-VLOOKUP(A33,Data!$A:$AN,MATCH(yoy!$P$1,Data!$A$1:$AN$1,),))/VLOOKUP(A33,Data!$A:$AN,MATCH(yoy!$P$1,Data!$A$1:$AN$1,),)</f>
        <v/>
      </c>
      <c r="Q33" s="14">
        <f>(VLOOKUP(B33,Data!$A:$AN,MATCH(yoy!$Q$1,Data!$A$1:$AN$1,),)-VLOOKUP(A33,Data!$A:$AN,MATCH(yoy!$Q$1,Data!$A$1:$AN$1,),))/VLOOKUP(A33,Data!$A:$AN,MATCH(yoy!$Q$1,Data!$A$1:$AN$1,),)</f>
        <v/>
      </c>
      <c r="R33" s="14">
        <f>(VLOOKUP(B33,Data!$A:$AN,MATCH(yoy!$R$1,Data!$A$1:$AN$1,),)-VLOOKUP(A33,Data!$A:$AN,MATCH(yoy!$R$1,Data!$A$1:$AN$1,),))/VLOOKUP(A33,Data!$A:$AN,MATCH(yoy!$R$1,Data!$A$1:$AN$1,),)</f>
        <v/>
      </c>
      <c r="S33" s="14">
        <f>(VLOOKUP(B33,Data!$A:$AN,MATCH(yoy!$S$1,Data!$A$1:$AN$1,),)-VLOOKUP(A33,Data!$A:$AN,MATCH(yoy!$S$1,Data!$A$1:$AN$1,),))/VLOOKUP(A33,Data!$A:$AN,MATCH(yoy!$S$1,Data!$A$1:$AN$1,),)</f>
        <v/>
      </c>
      <c r="T33" s="14">
        <f>(VLOOKUP(B33,Data!$A:$AN,MATCH(yoy!$T$1,Data!$A$1:$AN$1,),)-VLOOKUP(A33,Data!$A:$AN,MATCH(yoy!$T$1,Data!$A$1:$AN$1,),))/VLOOKUP(A33,Data!$A:$AN,MATCH(yoy!$T$1,Data!$A$1:$AN$1,),)</f>
        <v/>
      </c>
      <c r="U33" s="14">
        <f>(VLOOKUP(B33,Data!$A:$AN,MATCH(yoy!$U$1,Data!$A$1:$AN$1,),)-VLOOKUP(A33,Data!$A:$AN,MATCH(yoy!$U$1,Data!$A$1:$AN$1,),))/VLOOKUP(A33,Data!$A:$AN,MATCH(yoy!$U$1,Data!$A$1:$AN$1,),)</f>
        <v/>
      </c>
      <c r="V33" s="14">
        <f>(VLOOKUP(B33,Data!$A:$AN,MATCH(yoy!$V$1,Data!$A$1:$AN$1,),)-VLOOKUP(A33,Data!$A:$AN,MATCH(yoy!$V$1,Data!$A$1:$AN$1,),))/VLOOKUP(A33,Data!$A:$AN,MATCH(yoy!$V$1,Data!$A$1:$AN$1,),)</f>
        <v/>
      </c>
      <c r="W33" s="14">
        <f>(VLOOKUP(B33,Data!$A:$AN,MATCH(yoy!$W$1,Data!$A$1:$AN$1,),)-VLOOKUP(A33,Data!$A:$AN,MATCH(yoy!$W$1,Data!$A$1:$AN$1,),))/VLOOKUP(A33,Data!$A:$AN,MATCH(yoy!$W$1,Data!$A$1:$AN$1,),)</f>
        <v/>
      </c>
      <c r="X33" s="14">
        <f>(VLOOKUP(B33,Data!$A:$AN,MATCH(yoy!$X$1,Data!$A$1:$AN$1,),)-VLOOKUP(A33,Data!$A:$AN,MATCH(yoy!$X$1,Data!$A$1:$AN$1,),))/VLOOKUP(A33,Data!$A:$AN,MATCH(yoy!$X$1,Data!$A$1:$AN$1,),)</f>
        <v/>
      </c>
      <c r="Y33" s="14">
        <f>(VLOOKUP(B33,Data!$A:$AN,MATCH(yoy!$Y$1,Data!$A$1:$AN$1,),)-VLOOKUP(A33,Data!$A:$AN,MATCH(yoy!$Y$1,Data!$A$1:$AN$1,),))/VLOOKUP(A33,Data!$A:$AN,MATCH(yoy!$Y$1,Data!$A$1:$AN$1,),)</f>
        <v/>
      </c>
      <c r="Z33" s="14">
        <f>(VLOOKUP(B33,Data!$A:$AN,MATCH(yoy!$Z$1,Data!$A$1:$AN$1,),)-VLOOKUP(A33,Data!$A:$AN,MATCH(yoy!$Z$1,Data!$A$1:$AN$1,),))/VLOOKUP(A33,Data!$A:$AN,MATCH(yoy!$Z$1,Data!$A$1:$AN$1,),)</f>
        <v/>
      </c>
      <c r="AA33" s="14">
        <f>(VLOOKUP(B33,Data!$A:$AN,MATCH(yoy!$AA$1,Data!$A$1:$AN$1,),)-VLOOKUP(A33,Data!$A:$AN,MATCH(yoy!$AA$1,Data!$A$1:$AN$1,),))/VLOOKUP(A33,Data!$A:$AN,MATCH(yoy!$AA$1,Data!$A$1:$AN$1,),)</f>
        <v/>
      </c>
    </row>
    <row r="34">
      <c r="A34" s="20">
        <f>DATE(YEAR(B34)-1,MONTH(B34),DAY(B34))</f>
        <v/>
      </c>
      <c r="B34" s="12" t="n">
        <v>42887</v>
      </c>
      <c r="C34" s="14">
        <f>(VLOOKUP(B34,Data!$A:$AN,MATCH(yoy!$C$1,Data!$A$1:$AN$1,),)-VLOOKUP(A34,Data!$A:$AN,MATCH(yoy!$C$1,Data!$A$1:$AN$1,),))/VLOOKUP(A34,Data!$A:$AN,MATCH(yoy!$C$1,Data!$A$1:$AN$1,),)</f>
        <v/>
      </c>
      <c r="D34" s="14">
        <f>(VLOOKUP(B34,Data!$A:$AN,MATCH(yoy!$D$1,Data!$A$1:$AN$1,),)-VLOOKUP(A34,Data!$A:$AN,MATCH(yoy!$D$1,Data!$A$1:$AN$1,),))/VLOOKUP(A34,Data!$A:$AN,MATCH(yoy!$D$1,Data!$A$1:$AN$1,),)</f>
        <v/>
      </c>
      <c r="E34" s="14">
        <f>(VLOOKUP(B34,Data!$A:$AN,MATCH(yoy!$E$1,Data!$A$1:$AN$1,),)-VLOOKUP(A34,Data!$A:$AN,MATCH(yoy!$E$1,Data!$A$1:$AN$1,),))/VLOOKUP(A34,Data!$A:$AN,MATCH(yoy!$E$1,Data!$A$1:$AN$1,),)</f>
        <v/>
      </c>
      <c r="F34" s="14">
        <f>(VLOOKUP(B34,Data!$A:$AN,MATCH(yoy!$F$1,Data!$A$1:$AN$1,),)-VLOOKUP(A34,Data!$A:$AN,MATCH(yoy!$F$1,Data!$A$1:$AN$1,),))/VLOOKUP(A34,Data!$A:$AN,MATCH(yoy!$F$1,Data!$A$1:$AN$1,),)</f>
        <v/>
      </c>
      <c r="G34" s="14">
        <f>(VLOOKUP(B34,Data!$A:$AN,MATCH(yoy!$G$1,Data!$A$1:$AN$1,),)-VLOOKUP(A34,Data!$A:$AN,MATCH(yoy!$G$1,Data!$A$1:$AN$1,),))/VLOOKUP(A34,Data!$A:$AN,MATCH(yoy!$G$1,Data!$A$1:$AN$1,),)</f>
        <v/>
      </c>
      <c r="H34" s="14">
        <f>(VLOOKUP(B34,Data!$A:$AN,MATCH(yoy!$H$1,Data!$A$1:$AN$1,),)-VLOOKUP(A34,Data!$A:$AN,MATCH(yoy!$H$1,Data!$A$1:$AN$1,),))/VLOOKUP(A34,Data!$A:$AN,MATCH(yoy!$H$1,Data!$A$1:$AN$1,),)</f>
        <v/>
      </c>
      <c r="I34" s="14">
        <f>(VLOOKUP(B34,Data!$A:$AN,MATCH(yoy!$I$1,Data!$A$1:$AN$1,),)-VLOOKUP(A34,Data!$A:$AN,MATCH(yoy!$I$1,Data!$A$1:$AN$1,),))/VLOOKUP(A34,Data!$A:$AN,MATCH(yoy!$I$1,Data!$A$1:$AN$1,),)</f>
        <v/>
      </c>
      <c r="J34" s="14">
        <f>(VLOOKUP(B34,Data!$A:$AN,MATCH(yoy!$J$1,Data!$A$1:$AN$1,),)-VLOOKUP(A34,Data!$A:$AN,MATCH(yoy!$J$1,Data!$A$1:$AN$1,),))/VLOOKUP(A34,Data!$A:$AN,MATCH(yoy!$J$1,Data!$A$1:$AN$1,),)</f>
        <v/>
      </c>
      <c r="K34" s="14">
        <f>(VLOOKUP(B34,Data!$A:$AN,MATCH(yoy!$K$1,Data!$A$1:$AN$1,),)-VLOOKUP(A34,Data!$A:$AN,MATCH(yoy!$K$1,Data!$A$1:$AN$1,),))/VLOOKUP(A34,Data!$A:$AN,MATCH(yoy!$K$1,Data!$A$1:$AN$1,),)</f>
        <v/>
      </c>
      <c r="L34" s="14">
        <f>(VLOOKUP(B34,Data!$A:$AN,MATCH(yoy!$L$1,Data!$A$1:$AN$1,),)-VLOOKUP(A34,Data!$A:$AN,MATCH(yoy!$L$1,Data!$A$1:$AN$1,),))/VLOOKUP(A34,Data!$A:$AN,MATCH(yoy!$L$1,Data!$A$1:$AN$1,),)</f>
        <v/>
      </c>
      <c r="M34" s="14">
        <f>(VLOOKUP(B34,Data!$A:$AN,MATCH(yoy!$M$1,Data!$A$1:$AN$1,),)-VLOOKUP(A34,Data!$A:$AN,MATCH(yoy!$M$1,Data!$A$1:$AN$1,),))/VLOOKUP(A34,Data!$A:$AN,MATCH(yoy!$M$1,Data!$A$1:$AN$1,),)</f>
        <v/>
      </c>
      <c r="N34" s="14">
        <f>(VLOOKUP(B34,Data!$A:$AN,MATCH(yoy!$N$1,Data!$A$1:$AN$1,),)-VLOOKUP(A34,Data!$A:$AN,MATCH(yoy!$N$1,Data!$A$1:$AN$1,),))/VLOOKUP(A34,Data!$A:$AN,MATCH(yoy!$N$1,Data!$A$1:$AN$1,),)</f>
        <v/>
      </c>
      <c r="O34" s="14">
        <f>(VLOOKUP(B34,Data!$A:$AN,MATCH(yoy!$O$1,Data!$A$1:$AN$1,),)-VLOOKUP(A34,Data!$A:$AN,MATCH(yoy!$O$1,Data!$A$1:$AN$1,),))/VLOOKUP(A34,Data!$A:$AN,MATCH(yoy!$O$1,Data!$A$1:$AN$1,),)</f>
        <v/>
      </c>
      <c r="P34" s="14">
        <f>(VLOOKUP(B34,Data!$A:$AN,MATCH(yoy!$P$1,Data!$A$1:$AN$1,),)-VLOOKUP(A34,Data!$A:$AN,MATCH(yoy!$P$1,Data!$A$1:$AN$1,),))/VLOOKUP(A34,Data!$A:$AN,MATCH(yoy!$P$1,Data!$A$1:$AN$1,),)</f>
        <v/>
      </c>
      <c r="Q34" s="14">
        <f>(VLOOKUP(B34,Data!$A:$AN,MATCH(yoy!$Q$1,Data!$A$1:$AN$1,),)-VLOOKUP(A34,Data!$A:$AN,MATCH(yoy!$Q$1,Data!$A$1:$AN$1,),))/VLOOKUP(A34,Data!$A:$AN,MATCH(yoy!$Q$1,Data!$A$1:$AN$1,),)</f>
        <v/>
      </c>
      <c r="R34" s="14">
        <f>(VLOOKUP(B34,Data!$A:$AN,MATCH(yoy!$R$1,Data!$A$1:$AN$1,),)-VLOOKUP(A34,Data!$A:$AN,MATCH(yoy!$R$1,Data!$A$1:$AN$1,),))/VLOOKUP(A34,Data!$A:$AN,MATCH(yoy!$R$1,Data!$A$1:$AN$1,),)</f>
        <v/>
      </c>
      <c r="S34" s="14">
        <f>(VLOOKUP(B34,Data!$A:$AN,MATCH(yoy!$S$1,Data!$A$1:$AN$1,),)-VLOOKUP(A34,Data!$A:$AN,MATCH(yoy!$S$1,Data!$A$1:$AN$1,),))/VLOOKUP(A34,Data!$A:$AN,MATCH(yoy!$S$1,Data!$A$1:$AN$1,),)</f>
        <v/>
      </c>
      <c r="T34" s="14">
        <f>(VLOOKUP(B34,Data!$A:$AN,MATCH(yoy!$T$1,Data!$A$1:$AN$1,),)-VLOOKUP(A34,Data!$A:$AN,MATCH(yoy!$T$1,Data!$A$1:$AN$1,),))/VLOOKUP(A34,Data!$A:$AN,MATCH(yoy!$T$1,Data!$A$1:$AN$1,),)</f>
        <v/>
      </c>
      <c r="U34" s="14">
        <f>(VLOOKUP(B34,Data!$A:$AN,MATCH(yoy!$U$1,Data!$A$1:$AN$1,),)-VLOOKUP(A34,Data!$A:$AN,MATCH(yoy!$U$1,Data!$A$1:$AN$1,),))/VLOOKUP(A34,Data!$A:$AN,MATCH(yoy!$U$1,Data!$A$1:$AN$1,),)</f>
        <v/>
      </c>
      <c r="V34" s="14">
        <f>(VLOOKUP(B34,Data!$A:$AN,MATCH(yoy!$V$1,Data!$A$1:$AN$1,),)-VLOOKUP(A34,Data!$A:$AN,MATCH(yoy!$V$1,Data!$A$1:$AN$1,),))/VLOOKUP(A34,Data!$A:$AN,MATCH(yoy!$V$1,Data!$A$1:$AN$1,),)</f>
        <v/>
      </c>
      <c r="W34" s="14">
        <f>(VLOOKUP(B34,Data!$A:$AN,MATCH(yoy!$W$1,Data!$A$1:$AN$1,),)-VLOOKUP(A34,Data!$A:$AN,MATCH(yoy!$W$1,Data!$A$1:$AN$1,),))/VLOOKUP(A34,Data!$A:$AN,MATCH(yoy!$W$1,Data!$A$1:$AN$1,),)</f>
        <v/>
      </c>
      <c r="X34" s="14">
        <f>(VLOOKUP(B34,Data!$A:$AN,MATCH(yoy!$X$1,Data!$A$1:$AN$1,),)-VLOOKUP(A34,Data!$A:$AN,MATCH(yoy!$X$1,Data!$A$1:$AN$1,),))/VLOOKUP(A34,Data!$A:$AN,MATCH(yoy!$X$1,Data!$A$1:$AN$1,),)</f>
        <v/>
      </c>
      <c r="Y34" s="14">
        <f>(VLOOKUP(B34,Data!$A:$AN,MATCH(yoy!$Y$1,Data!$A$1:$AN$1,),)-VLOOKUP(A34,Data!$A:$AN,MATCH(yoy!$Y$1,Data!$A$1:$AN$1,),))/VLOOKUP(A34,Data!$A:$AN,MATCH(yoy!$Y$1,Data!$A$1:$AN$1,),)</f>
        <v/>
      </c>
      <c r="Z34" s="14">
        <f>(VLOOKUP(B34,Data!$A:$AN,MATCH(yoy!$Z$1,Data!$A$1:$AN$1,),)-VLOOKUP(A34,Data!$A:$AN,MATCH(yoy!$Z$1,Data!$A$1:$AN$1,),))/VLOOKUP(A34,Data!$A:$AN,MATCH(yoy!$Z$1,Data!$A$1:$AN$1,),)</f>
        <v/>
      </c>
      <c r="AA34" s="14">
        <f>(VLOOKUP(B34,Data!$A:$AN,MATCH(yoy!$AA$1,Data!$A$1:$AN$1,),)-VLOOKUP(A34,Data!$A:$AN,MATCH(yoy!$AA$1,Data!$A$1:$AN$1,),))/VLOOKUP(A34,Data!$A:$AN,MATCH(yoy!$AA$1,Data!$A$1:$AN$1,),)</f>
        <v/>
      </c>
    </row>
    <row r="35">
      <c r="A35" s="20">
        <f>DATE(YEAR(B35)-1,MONTH(B35),DAY(B35))</f>
        <v/>
      </c>
      <c r="B35" s="12" t="n">
        <v>42917</v>
      </c>
      <c r="C35" s="14">
        <f>(VLOOKUP(B35,Data!$A:$AN,MATCH(yoy!$C$1,Data!$A$1:$AN$1,),)-VLOOKUP(A35,Data!$A:$AN,MATCH(yoy!$C$1,Data!$A$1:$AN$1,),))/VLOOKUP(A35,Data!$A:$AN,MATCH(yoy!$C$1,Data!$A$1:$AN$1,),)</f>
        <v/>
      </c>
      <c r="D35" s="14">
        <f>(VLOOKUP(B35,Data!$A:$AN,MATCH(yoy!$D$1,Data!$A$1:$AN$1,),)-VLOOKUP(A35,Data!$A:$AN,MATCH(yoy!$D$1,Data!$A$1:$AN$1,),))/VLOOKUP(A35,Data!$A:$AN,MATCH(yoy!$D$1,Data!$A$1:$AN$1,),)</f>
        <v/>
      </c>
      <c r="E35" s="14">
        <f>(VLOOKUP(B35,Data!$A:$AN,MATCH(yoy!$E$1,Data!$A$1:$AN$1,),)-VLOOKUP(A35,Data!$A:$AN,MATCH(yoy!$E$1,Data!$A$1:$AN$1,),))/VLOOKUP(A35,Data!$A:$AN,MATCH(yoy!$E$1,Data!$A$1:$AN$1,),)</f>
        <v/>
      </c>
      <c r="F35" s="14">
        <f>(VLOOKUP(B35,Data!$A:$AN,MATCH(yoy!$F$1,Data!$A$1:$AN$1,),)-VLOOKUP(A35,Data!$A:$AN,MATCH(yoy!$F$1,Data!$A$1:$AN$1,),))/VLOOKUP(A35,Data!$A:$AN,MATCH(yoy!$F$1,Data!$A$1:$AN$1,),)</f>
        <v/>
      </c>
      <c r="G35" s="14">
        <f>(VLOOKUP(B35,Data!$A:$AN,MATCH(yoy!$G$1,Data!$A$1:$AN$1,),)-VLOOKUP(A35,Data!$A:$AN,MATCH(yoy!$G$1,Data!$A$1:$AN$1,),))/VLOOKUP(A35,Data!$A:$AN,MATCH(yoy!$G$1,Data!$A$1:$AN$1,),)</f>
        <v/>
      </c>
      <c r="H35" s="14">
        <f>(VLOOKUP(B35,Data!$A:$AN,MATCH(yoy!$H$1,Data!$A$1:$AN$1,),)-VLOOKUP(A35,Data!$A:$AN,MATCH(yoy!$H$1,Data!$A$1:$AN$1,),))/VLOOKUP(A35,Data!$A:$AN,MATCH(yoy!$H$1,Data!$A$1:$AN$1,),)</f>
        <v/>
      </c>
      <c r="I35" s="14">
        <f>(VLOOKUP(B35,Data!$A:$AN,MATCH(yoy!$I$1,Data!$A$1:$AN$1,),)-VLOOKUP(A35,Data!$A:$AN,MATCH(yoy!$I$1,Data!$A$1:$AN$1,),))/VLOOKUP(A35,Data!$A:$AN,MATCH(yoy!$I$1,Data!$A$1:$AN$1,),)</f>
        <v/>
      </c>
      <c r="J35" s="14">
        <f>(VLOOKUP(B35,Data!$A:$AN,MATCH(yoy!$J$1,Data!$A$1:$AN$1,),)-VLOOKUP(A35,Data!$A:$AN,MATCH(yoy!$J$1,Data!$A$1:$AN$1,),))/VLOOKUP(A35,Data!$A:$AN,MATCH(yoy!$J$1,Data!$A$1:$AN$1,),)</f>
        <v/>
      </c>
      <c r="K35" s="14">
        <f>(VLOOKUP(B35,Data!$A:$AN,MATCH(yoy!$K$1,Data!$A$1:$AN$1,),)-VLOOKUP(A35,Data!$A:$AN,MATCH(yoy!$K$1,Data!$A$1:$AN$1,),))/VLOOKUP(A35,Data!$A:$AN,MATCH(yoy!$K$1,Data!$A$1:$AN$1,),)</f>
        <v/>
      </c>
      <c r="L35" s="14">
        <f>(VLOOKUP(B35,Data!$A:$AN,MATCH(yoy!$L$1,Data!$A$1:$AN$1,),)-VLOOKUP(A35,Data!$A:$AN,MATCH(yoy!$L$1,Data!$A$1:$AN$1,),))/VLOOKUP(A35,Data!$A:$AN,MATCH(yoy!$L$1,Data!$A$1:$AN$1,),)</f>
        <v/>
      </c>
      <c r="M35" s="14">
        <f>(VLOOKUP(B35,Data!$A:$AN,MATCH(yoy!$M$1,Data!$A$1:$AN$1,),)-VLOOKUP(A35,Data!$A:$AN,MATCH(yoy!$M$1,Data!$A$1:$AN$1,),))/VLOOKUP(A35,Data!$A:$AN,MATCH(yoy!$M$1,Data!$A$1:$AN$1,),)</f>
        <v/>
      </c>
      <c r="N35" s="14">
        <f>(VLOOKUP(B35,Data!$A:$AN,MATCH(yoy!$N$1,Data!$A$1:$AN$1,),)-VLOOKUP(A35,Data!$A:$AN,MATCH(yoy!$N$1,Data!$A$1:$AN$1,),))/VLOOKUP(A35,Data!$A:$AN,MATCH(yoy!$N$1,Data!$A$1:$AN$1,),)</f>
        <v/>
      </c>
      <c r="O35" s="14">
        <f>(VLOOKUP(B35,Data!$A:$AN,MATCH(yoy!$O$1,Data!$A$1:$AN$1,),)-VLOOKUP(A35,Data!$A:$AN,MATCH(yoy!$O$1,Data!$A$1:$AN$1,),))/VLOOKUP(A35,Data!$A:$AN,MATCH(yoy!$O$1,Data!$A$1:$AN$1,),)</f>
        <v/>
      </c>
      <c r="P35" s="14">
        <f>(VLOOKUP(B35,Data!$A:$AN,MATCH(yoy!$P$1,Data!$A$1:$AN$1,),)-VLOOKUP(A35,Data!$A:$AN,MATCH(yoy!$P$1,Data!$A$1:$AN$1,),))/VLOOKUP(A35,Data!$A:$AN,MATCH(yoy!$P$1,Data!$A$1:$AN$1,),)</f>
        <v/>
      </c>
      <c r="Q35" s="14">
        <f>(VLOOKUP(B35,Data!$A:$AN,MATCH(yoy!$Q$1,Data!$A$1:$AN$1,),)-VLOOKUP(A35,Data!$A:$AN,MATCH(yoy!$Q$1,Data!$A$1:$AN$1,),))/VLOOKUP(A35,Data!$A:$AN,MATCH(yoy!$Q$1,Data!$A$1:$AN$1,),)</f>
        <v/>
      </c>
      <c r="R35" s="14">
        <f>(VLOOKUP(B35,Data!$A:$AN,MATCH(yoy!$R$1,Data!$A$1:$AN$1,),)-VLOOKUP(A35,Data!$A:$AN,MATCH(yoy!$R$1,Data!$A$1:$AN$1,),))/VLOOKUP(A35,Data!$A:$AN,MATCH(yoy!$R$1,Data!$A$1:$AN$1,),)</f>
        <v/>
      </c>
      <c r="S35" s="14">
        <f>(VLOOKUP(B35,Data!$A:$AN,MATCH(yoy!$S$1,Data!$A$1:$AN$1,),)-VLOOKUP(A35,Data!$A:$AN,MATCH(yoy!$S$1,Data!$A$1:$AN$1,),))/VLOOKUP(A35,Data!$A:$AN,MATCH(yoy!$S$1,Data!$A$1:$AN$1,),)</f>
        <v/>
      </c>
      <c r="T35" s="14">
        <f>(VLOOKUP(B35,Data!$A:$AN,MATCH(yoy!$T$1,Data!$A$1:$AN$1,),)-VLOOKUP(A35,Data!$A:$AN,MATCH(yoy!$T$1,Data!$A$1:$AN$1,),))/VLOOKUP(A35,Data!$A:$AN,MATCH(yoy!$T$1,Data!$A$1:$AN$1,),)</f>
        <v/>
      </c>
      <c r="U35" s="14">
        <f>(VLOOKUP(B35,Data!$A:$AN,MATCH(yoy!$U$1,Data!$A$1:$AN$1,),)-VLOOKUP(A35,Data!$A:$AN,MATCH(yoy!$U$1,Data!$A$1:$AN$1,),))/VLOOKUP(A35,Data!$A:$AN,MATCH(yoy!$U$1,Data!$A$1:$AN$1,),)</f>
        <v/>
      </c>
      <c r="V35" s="14">
        <f>(VLOOKUP(B35,Data!$A:$AN,MATCH(yoy!$V$1,Data!$A$1:$AN$1,),)-VLOOKUP(A35,Data!$A:$AN,MATCH(yoy!$V$1,Data!$A$1:$AN$1,),))/VLOOKUP(A35,Data!$A:$AN,MATCH(yoy!$V$1,Data!$A$1:$AN$1,),)</f>
        <v/>
      </c>
      <c r="W35" s="14">
        <f>(VLOOKUP(B35,Data!$A:$AN,MATCH(yoy!$W$1,Data!$A$1:$AN$1,),)-VLOOKUP(A35,Data!$A:$AN,MATCH(yoy!$W$1,Data!$A$1:$AN$1,),))/VLOOKUP(A35,Data!$A:$AN,MATCH(yoy!$W$1,Data!$A$1:$AN$1,),)</f>
        <v/>
      </c>
      <c r="X35" s="14">
        <f>(VLOOKUP(B35,Data!$A:$AN,MATCH(yoy!$X$1,Data!$A$1:$AN$1,),)-VLOOKUP(A35,Data!$A:$AN,MATCH(yoy!$X$1,Data!$A$1:$AN$1,),))/VLOOKUP(A35,Data!$A:$AN,MATCH(yoy!$X$1,Data!$A$1:$AN$1,),)</f>
        <v/>
      </c>
      <c r="Y35" s="14">
        <f>(VLOOKUP(B35,Data!$A:$AN,MATCH(yoy!$Y$1,Data!$A$1:$AN$1,),)-VLOOKUP(A35,Data!$A:$AN,MATCH(yoy!$Y$1,Data!$A$1:$AN$1,),))/VLOOKUP(A35,Data!$A:$AN,MATCH(yoy!$Y$1,Data!$A$1:$AN$1,),)</f>
        <v/>
      </c>
      <c r="Z35" s="14">
        <f>(VLOOKUP(B35,Data!$A:$AN,MATCH(yoy!$Z$1,Data!$A$1:$AN$1,),)-VLOOKUP(A35,Data!$A:$AN,MATCH(yoy!$Z$1,Data!$A$1:$AN$1,),))/VLOOKUP(A35,Data!$A:$AN,MATCH(yoy!$Z$1,Data!$A$1:$AN$1,),)</f>
        <v/>
      </c>
      <c r="AA35" s="14">
        <f>(VLOOKUP(B35,Data!$A:$AN,MATCH(yoy!$AA$1,Data!$A$1:$AN$1,),)-VLOOKUP(A35,Data!$A:$AN,MATCH(yoy!$AA$1,Data!$A$1:$AN$1,),))/VLOOKUP(A35,Data!$A:$AN,MATCH(yoy!$AA$1,Data!$A$1:$AN$1,),)</f>
        <v/>
      </c>
    </row>
    <row r="36">
      <c r="A36" s="20">
        <f>DATE(YEAR(B36)-1,MONTH(B36),DAY(B36))</f>
        <v/>
      </c>
      <c r="B36" s="12" t="n">
        <v>42948</v>
      </c>
      <c r="C36" s="14">
        <f>(VLOOKUP(B36,Data!$A:$AN,MATCH(yoy!$C$1,Data!$A$1:$AN$1,),)-VLOOKUP(A36,Data!$A:$AN,MATCH(yoy!$C$1,Data!$A$1:$AN$1,),))/VLOOKUP(A36,Data!$A:$AN,MATCH(yoy!$C$1,Data!$A$1:$AN$1,),)</f>
        <v/>
      </c>
      <c r="D36" s="14">
        <f>(VLOOKUP(B36,Data!$A:$AN,MATCH(yoy!$D$1,Data!$A$1:$AN$1,),)-VLOOKUP(A36,Data!$A:$AN,MATCH(yoy!$D$1,Data!$A$1:$AN$1,),))/VLOOKUP(A36,Data!$A:$AN,MATCH(yoy!$D$1,Data!$A$1:$AN$1,),)</f>
        <v/>
      </c>
      <c r="E36" s="14">
        <f>(VLOOKUP(B36,Data!$A:$AN,MATCH(yoy!$E$1,Data!$A$1:$AN$1,),)-VLOOKUP(A36,Data!$A:$AN,MATCH(yoy!$E$1,Data!$A$1:$AN$1,),))/VLOOKUP(A36,Data!$A:$AN,MATCH(yoy!$E$1,Data!$A$1:$AN$1,),)</f>
        <v/>
      </c>
      <c r="F36" s="14">
        <f>(VLOOKUP(B36,Data!$A:$AN,MATCH(yoy!$F$1,Data!$A$1:$AN$1,),)-VLOOKUP(A36,Data!$A:$AN,MATCH(yoy!$F$1,Data!$A$1:$AN$1,),))/VLOOKUP(A36,Data!$A:$AN,MATCH(yoy!$F$1,Data!$A$1:$AN$1,),)</f>
        <v/>
      </c>
      <c r="G36" s="14">
        <f>(VLOOKUP(B36,Data!$A:$AN,MATCH(yoy!$G$1,Data!$A$1:$AN$1,),)-VLOOKUP(A36,Data!$A:$AN,MATCH(yoy!$G$1,Data!$A$1:$AN$1,),))/VLOOKUP(A36,Data!$A:$AN,MATCH(yoy!$G$1,Data!$A$1:$AN$1,),)</f>
        <v/>
      </c>
      <c r="H36" s="14">
        <f>(VLOOKUP(B36,Data!$A:$AN,MATCH(yoy!$H$1,Data!$A$1:$AN$1,),)-VLOOKUP(A36,Data!$A:$AN,MATCH(yoy!$H$1,Data!$A$1:$AN$1,),))/VLOOKUP(A36,Data!$A:$AN,MATCH(yoy!$H$1,Data!$A$1:$AN$1,),)</f>
        <v/>
      </c>
      <c r="I36" s="14">
        <f>(VLOOKUP(B36,Data!$A:$AN,MATCH(yoy!$I$1,Data!$A$1:$AN$1,),)-VLOOKUP(A36,Data!$A:$AN,MATCH(yoy!$I$1,Data!$A$1:$AN$1,),))/VLOOKUP(A36,Data!$A:$AN,MATCH(yoy!$I$1,Data!$A$1:$AN$1,),)</f>
        <v/>
      </c>
      <c r="J36" s="14">
        <f>(VLOOKUP(B36,Data!$A:$AN,MATCH(yoy!$J$1,Data!$A$1:$AN$1,),)-VLOOKUP(A36,Data!$A:$AN,MATCH(yoy!$J$1,Data!$A$1:$AN$1,),))/VLOOKUP(A36,Data!$A:$AN,MATCH(yoy!$J$1,Data!$A$1:$AN$1,),)</f>
        <v/>
      </c>
      <c r="K36" s="14">
        <f>(VLOOKUP(B36,Data!$A:$AN,MATCH(yoy!$K$1,Data!$A$1:$AN$1,),)-VLOOKUP(A36,Data!$A:$AN,MATCH(yoy!$K$1,Data!$A$1:$AN$1,),))/VLOOKUP(A36,Data!$A:$AN,MATCH(yoy!$K$1,Data!$A$1:$AN$1,),)</f>
        <v/>
      </c>
      <c r="L36" s="14">
        <f>(VLOOKUP(B36,Data!$A:$AN,MATCH(yoy!$L$1,Data!$A$1:$AN$1,),)-VLOOKUP(A36,Data!$A:$AN,MATCH(yoy!$L$1,Data!$A$1:$AN$1,),))/VLOOKUP(A36,Data!$A:$AN,MATCH(yoy!$L$1,Data!$A$1:$AN$1,),)</f>
        <v/>
      </c>
      <c r="M36" s="14">
        <f>(VLOOKUP(B36,Data!$A:$AN,MATCH(yoy!$M$1,Data!$A$1:$AN$1,),)-VLOOKUP(A36,Data!$A:$AN,MATCH(yoy!$M$1,Data!$A$1:$AN$1,),))/VLOOKUP(A36,Data!$A:$AN,MATCH(yoy!$M$1,Data!$A$1:$AN$1,),)</f>
        <v/>
      </c>
      <c r="N36" s="14">
        <f>(VLOOKUP(B36,Data!$A:$AN,MATCH(yoy!$N$1,Data!$A$1:$AN$1,),)-VLOOKUP(A36,Data!$A:$AN,MATCH(yoy!$N$1,Data!$A$1:$AN$1,),))/VLOOKUP(A36,Data!$A:$AN,MATCH(yoy!$N$1,Data!$A$1:$AN$1,),)</f>
        <v/>
      </c>
      <c r="O36" s="14">
        <f>(VLOOKUP(B36,Data!$A:$AN,MATCH(yoy!$O$1,Data!$A$1:$AN$1,),)-VLOOKUP(A36,Data!$A:$AN,MATCH(yoy!$O$1,Data!$A$1:$AN$1,),))/VLOOKUP(A36,Data!$A:$AN,MATCH(yoy!$O$1,Data!$A$1:$AN$1,),)</f>
        <v/>
      </c>
      <c r="P36" s="14">
        <f>(VLOOKUP(B36,Data!$A:$AN,MATCH(yoy!$P$1,Data!$A$1:$AN$1,),)-VLOOKUP(A36,Data!$A:$AN,MATCH(yoy!$P$1,Data!$A$1:$AN$1,),))/VLOOKUP(A36,Data!$A:$AN,MATCH(yoy!$P$1,Data!$A$1:$AN$1,),)</f>
        <v/>
      </c>
      <c r="Q36" s="14">
        <f>(VLOOKUP(B36,Data!$A:$AN,MATCH(yoy!$Q$1,Data!$A$1:$AN$1,),)-VLOOKUP(A36,Data!$A:$AN,MATCH(yoy!$Q$1,Data!$A$1:$AN$1,),))/VLOOKUP(A36,Data!$A:$AN,MATCH(yoy!$Q$1,Data!$A$1:$AN$1,),)</f>
        <v/>
      </c>
      <c r="R36" s="14">
        <f>(VLOOKUP(B36,Data!$A:$AN,MATCH(yoy!$R$1,Data!$A$1:$AN$1,),)-VLOOKUP(A36,Data!$A:$AN,MATCH(yoy!$R$1,Data!$A$1:$AN$1,),))/VLOOKUP(A36,Data!$A:$AN,MATCH(yoy!$R$1,Data!$A$1:$AN$1,),)</f>
        <v/>
      </c>
      <c r="S36" s="14">
        <f>(VLOOKUP(B36,Data!$A:$AN,MATCH(yoy!$S$1,Data!$A$1:$AN$1,),)-VLOOKUP(A36,Data!$A:$AN,MATCH(yoy!$S$1,Data!$A$1:$AN$1,),))/VLOOKUP(A36,Data!$A:$AN,MATCH(yoy!$S$1,Data!$A$1:$AN$1,),)</f>
        <v/>
      </c>
      <c r="T36" s="14">
        <f>(VLOOKUP(B36,Data!$A:$AN,MATCH(yoy!$T$1,Data!$A$1:$AN$1,),)-VLOOKUP(A36,Data!$A:$AN,MATCH(yoy!$T$1,Data!$A$1:$AN$1,),))/VLOOKUP(A36,Data!$A:$AN,MATCH(yoy!$T$1,Data!$A$1:$AN$1,),)</f>
        <v/>
      </c>
      <c r="U36" s="14">
        <f>(VLOOKUP(B36,Data!$A:$AN,MATCH(yoy!$U$1,Data!$A$1:$AN$1,),)-VLOOKUP(A36,Data!$A:$AN,MATCH(yoy!$U$1,Data!$A$1:$AN$1,),))/VLOOKUP(A36,Data!$A:$AN,MATCH(yoy!$U$1,Data!$A$1:$AN$1,),)</f>
        <v/>
      </c>
      <c r="V36" s="14">
        <f>(VLOOKUP(B36,Data!$A:$AN,MATCH(yoy!$V$1,Data!$A$1:$AN$1,),)-VLOOKUP(A36,Data!$A:$AN,MATCH(yoy!$V$1,Data!$A$1:$AN$1,),))/VLOOKUP(A36,Data!$A:$AN,MATCH(yoy!$V$1,Data!$A$1:$AN$1,),)</f>
        <v/>
      </c>
      <c r="W36" s="14">
        <f>(VLOOKUP(B36,Data!$A:$AN,MATCH(yoy!$W$1,Data!$A$1:$AN$1,),)-VLOOKUP(A36,Data!$A:$AN,MATCH(yoy!$W$1,Data!$A$1:$AN$1,),))/VLOOKUP(A36,Data!$A:$AN,MATCH(yoy!$W$1,Data!$A$1:$AN$1,),)</f>
        <v/>
      </c>
      <c r="X36" s="14">
        <f>(VLOOKUP(B36,Data!$A:$AN,MATCH(yoy!$X$1,Data!$A$1:$AN$1,),)-VLOOKUP(A36,Data!$A:$AN,MATCH(yoy!$X$1,Data!$A$1:$AN$1,),))/VLOOKUP(A36,Data!$A:$AN,MATCH(yoy!$X$1,Data!$A$1:$AN$1,),)</f>
        <v/>
      </c>
      <c r="Y36" s="14">
        <f>(VLOOKUP(B36,Data!$A:$AN,MATCH(yoy!$Y$1,Data!$A$1:$AN$1,),)-VLOOKUP(A36,Data!$A:$AN,MATCH(yoy!$Y$1,Data!$A$1:$AN$1,),))/VLOOKUP(A36,Data!$A:$AN,MATCH(yoy!$Y$1,Data!$A$1:$AN$1,),)</f>
        <v/>
      </c>
      <c r="Z36" s="14">
        <f>(VLOOKUP(B36,Data!$A:$AN,MATCH(yoy!$Z$1,Data!$A$1:$AN$1,),)-VLOOKUP(A36,Data!$A:$AN,MATCH(yoy!$Z$1,Data!$A$1:$AN$1,),))/VLOOKUP(A36,Data!$A:$AN,MATCH(yoy!$Z$1,Data!$A$1:$AN$1,),)</f>
        <v/>
      </c>
      <c r="AA36" s="14">
        <f>(VLOOKUP(B36,Data!$A:$AN,MATCH(yoy!$AA$1,Data!$A$1:$AN$1,),)-VLOOKUP(A36,Data!$A:$AN,MATCH(yoy!$AA$1,Data!$A$1:$AN$1,),))/VLOOKUP(A36,Data!$A:$AN,MATCH(yoy!$AA$1,Data!$A$1:$AN$1,),)</f>
        <v/>
      </c>
    </row>
    <row r="37">
      <c r="A37" s="20">
        <f>DATE(YEAR(B37)-1,MONTH(B37),DAY(B37))</f>
        <v/>
      </c>
      <c r="B37" s="12" t="n">
        <v>42979</v>
      </c>
      <c r="C37" s="14">
        <f>(VLOOKUP(B37,Data!$A:$AN,MATCH(yoy!$C$1,Data!$A$1:$AN$1,),)-VLOOKUP(A37,Data!$A:$AN,MATCH(yoy!$C$1,Data!$A$1:$AN$1,),))/VLOOKUP(A37,Data!$A:$AN,MATCH(yoy!$C$1,Data!$A$1:$AN$1,),)</f>
        <v/>
      </c>
      <c r="D37" s="14">
        <f>(VLOOKUP(B37,Data!$A:$AN,MATCH(yoy!$D$1,Data!$A$1:$AN$1,),)-VLOOKUP(A37,Data!$A:$AN,MATCH(yoy!$D$1,Data!$A$1:$AN$1,),))/VLOOKUP(A37,Data!$A:$AN,MATCH(yoy!$D$1,Data!$A$1:$AN$1,),)</f>
        <v/>
      </c>
      <c r="E37" s="14">
        <f>(VLOOKUP(B37,Data!$A:$AN,MATCH(yoy!$E$1,Data!$A$1:$AN$1,),)-VLOOKUP(A37,Data!$A:$AN,MATCH(yoy!$E$1,Data!$A$1:$AN$1,),))/VLOOKUP(A37,Data!$A:$AN,MATCH(yoy!$E$1,Data!$A$1:$AN$1,),)</f>
        <v/>
      </c>
      <c r="F37" s="14">
        <f>(VLOOKUP(B37,Data!$A:$AN,MATCH(yoy!$F$1,Data!$A$1:$AN$1,),)-VLOOKUP(A37,Data!$A:$AN,MATCH(yoy!$F$1,Data!$A$1:$AN$1,),))/VLOOKUP(A37,Data!$A:$AN,MATCH(yoy!$F$1,Data!$A$1:$AN$1,),)</f>
        <v/>
      </c>
      <c r="G37" s="14">
        <f>(VLOOKUP(B37,Data!$A:$AN,MATCH(yoy!$G$1,Data!$A$1:$AN$1,),)-VLOOKUP(A37,Data!$A:$AN,MATCH(yoy!$G$1,Data!$A$1:$AN$1,),))/VLOOKUP(A37,Data!$A:$AN,MATCH(yoy!$G$1,Data!$A$1:$AN$1,),)</f>
        <v/>
      </c>
      <c r="H37" s="14">
        <f>(VLOOKUP(B37,Data!$A:$AN,MATCH(yoy!$H$1,Data!$A$1:$AN$1,),)-VLOOKUP(A37,Data!$A:$AN,MATCH(yoy!$H$1,Data!$A$1:$AN$1,),))/VLOOKUP(A37,Data!$A:$AN,MATCH(yoy!$H$1,Data!$A$1:$AN$1,),)</f>
        <v/>
      </c>
      <c r="I37" s="14">
        <f>(VLOOKUP(B37,Data!$A:$AN,MATCH(yoy!$I$1,Data!$A$1:$AN$1,),)-VLOOKUP(A37,Data!$A:$AN,MATCH(yoy!$I$1,Data!$A$1:$AN$1,),))/VLOOKUP(A37,Data!$A:$AN,MATCH(yoy!$I$1,Data!$A$1:$AN$1,),)</f>
        <v/>
      </c>
      <c r="J37" s="14">
        <f>(VLOOKUP(B37,Data!$A:$AN,MATCH(yoy!$J$1,Data!$A$1:$AN$1,),)-VLOOKUP(A37,Data!$A:$AN,MATCH(yoy!$J$1,Data!$A$1:$AN$1,),))/VLOOKUP(A37,Data!$A:$AN,MATCH(yoy!$J$1,Data!$A$1:$AN$1,),)</f>
        <v/>
      </c>
      <c r="K37" s="14">
        <f>(VLOOKUP(B37,Data!$A:$AN,MATCH(yoy!$K$1,Data!$A$1:$AN$1,),)-VLOOKUP(A37,Data!$A:$AN,MATCH(yoy!$K$1,Data!$A$1:$AN$1,),))/VLOOKUP(A37,Data!$A:$AN,MATCH(yoy!$K$1,Data!$A$1:$AN$1,),)</f>
        <v/>
      </c>
      <c r="L37" s="14">
        <f>(VLOOKUP(B37,Data!$A:$AN,MATCH(yoy!$L$1,Data!$A$1:$AN$1,),)-VLOOKUP(A37,Data!$A:$AN,MATCH(yoy!$L$1,Data!$A$1:$AN$1,),))/VLOOKUP(A37,Data!$A:$AN,MATCH(yoy!$L$1,Data!$A$1:$AN$1,),)</f>
        <v/>
      </c>
      <c r="M37" s="14">
        <f>(VLOOKUP(B37,Data!$A:$AN,MATCH(yoy!$M$1,Data!$A$1:$AN$1,),)-VLOOKUP(A37,Data!$A:$AN,MATCH(yoy!$M$1,Data!$A$1:$AN$1,),))/VLOOKUP(A37,Data!$A:$AN,MATCH(yoy!$M$1,Data!$A$1:$AN$1,),)</f>
        <v/>
      </c>
      <c r="N37" s="14">
        <f>(VLOOKUP(B37,Data!$A:$AN,MATCH(yoy!$N$1,Data!$A$1:$AN$1,),)-VLOOKUP(A37,Data!$A:$AN,MATCH(yoy!$N$1,Data!$A$1:$AN$1,),))/VLOOKUP(A37,Data!$A:$AN,MATCH(yoy!$N$1,Data!$A$1:$AN$1,),)</f>
        <v/>
      </c>
      <c r="O37" s="14">
        <f>(VLOOKUP(B37,Data!$A:$AN,MATCH(yoy!$O$1,Data!$A$1:$AN$1,),)-VLOOKUP(A37,Data!$A:$AN,MATCH(yoy!$O$1,Data!$A$1:$AN$1,),))/VLOOKUP(A37,Data!$A:$AN,MATCH(yoy!$O$1,Data!$A$1:$AN$1,),)</f>
        <v/>
      </c>
      <c r="P37" s="14">
        <f>(VLOOKUP(B37,Data!$A:$AN,MATCH(yoy!$P$1,Data!$A$1:$AN$1,),)-VLOOKUP(A37,Data!$A:$AN,MATCH(yoy!$P$1,Data!$A$1:$AN$1,),))/VLOOKUP(A37,Data!$A:$AN,MATCH(yoy!$P$1,Data!$A$1:$AN$1,),)</f>
        <v/>
      </c>
      <c r="Q37" s="14">
        <f>(VLOOKUP(B37,Data!$A:$AN,MATCH(yoy!$Q$1,Data!$A$1:$AN$1,),)-VLOOKUP(A37,Data!$A:$AN,MATCH(yoy!$Q$1,Data!$A$1:$AN$1,),))/VLOOKUP(A37,Data!$A:$AN,MATCH(yoy!$Q$1,Data!$A$1:$AN$1,),)</f>
        <v/>
      </c>
      <c r="R37" s="14">
        <f>(VLOOKUP(B37,Data!$A:$AN,MATCH(yoy!$R$1,Data!$A$1:$AN$1,),)-VLOOKUP(A37,Data!$A:$AN,MATCH(yoy!$R$1,Data!$A$1:$AN$1,),))/VLOOKUP(A37,Data!$A:$AN,MATCH(yoy!$R$1,Data!$A$1:$AN$1,),)</f>
        <v/>
      </c>
      <c r="S37" s="14">
        <f>(VLOOKUP(B37,Data!$A:$AN,MATCH(yoy!$S$1,Data!$A$1:$AN$1,),)-VLOOKUP(A37,Data!$A:$AN,MATCH(yoy!$S$1,Data!$A$1:$AN$1,),))/VLOOKUP(A37,Data!$A:$AN,MATCH(yoy!$S$1,Data!$A$1:$AN$1,),)</f>
        <v/>
      </c>
      <c r="T37" s="14">
        <f>(VLOOKUP(B37,Data!$A:$AN,MATCH(yoy!$T$1,Data!$A$1:$AN$1,),)-VLOOKUP(A37,Data!$A:$AN,MATCH(yoy!$T$1,Data!$A$1:$AN$1,),))/VLOOKUP(A37,Data!$A:$AN,MATCH(yoy!$T$1,Data!$A$1:$AN$1,),)</f>
        <v/>
      </c>
      <c r="U37" s="14">
        <f>(VLOOKUP(B37,Data!$A:$AN,MATCH(yoy!$U$1,Data!$A$1:$AN$1,),)-VLOOKUP(A37,Data!$A:$AN,MATCH(yoy!$U$1,Data!$A$1:$AN$1,),))/VLOOKUP(A37,Data!$A:$AN,MATCH(yoy!$U$1,Data!$A$1:$AN$1,),)</f>
        <v/>
      </c>
      <c r="V37" s="14">
        <f>(VLOOKUP(B37,Data!$A:$AN,MATCH(yoy!$V$1,Data!$A$1:$AN$1,),)-VLOOKUP(A37,Data!$A:$AN,MATCH(yoy!$V$1,Data!$A$1:$AN$1,),))/VLOOKUP(A37,Data!$A:$AN,MATCH(yoy!$V$1,Data!$A$1:$AN$1,),)</f>
        <v/>
      </c>
      <c r="W37" s="14">
        <f>(VLOOKUP(B37,Data!$A:$AN,MATCH(yoy!$W$1,Data!$A$1:$AN$1,),)-VLOOKUP(A37,Data!$A:$AN,MATCH(yoy!$W$1,Data!$A$1:$AN$1,),))/VLOOKUP(A37,Data!$A:$AN,MATCH(yoy!$W$1,Data!$A$1:$AN$1,),)</f>
        <v/>
      </c>
      <c r="X37" s="14">
        <f>(VLOOKUP(B37,Data!$A:$AN,MATCH(yoy!$X$1,Data!$A$1:$AN$1,),)-VLOOKUP(A37,Data!$A:$AN,MATCH(yoy!$X$1,Data!$A$1:$AN$1,),))/VLOOKUP(A37,Data!$A:$AN,MATCH(yoy!$X$1,Data!$A$1:$AN$1,),)</f>
        <v/>
      </c>
      <c r="Y37" s="14">
        <f>(VLOOKUP(B37,Data!$A:$AN,MATCH(yoy!$Y$1,Data!$A$1:$AN$1,),)-VLOOKUP(A37,Data!$A:$AN,MATCH(yoy!$Y$1,Data!$A$1:$AN$1,),))/VLOOKUP(A37,Data!$A:$AN,MATCH(yoy!$Y$1,Data!$A$1:$AN$1,),)</f>
        <v/>
      </c>
      <c r="Z37" s="14">
        <f>(VLOOKUP(B37,Data!$A:$AN,MATCH(yoy!$Z$1,Data!$A$1:$AN$1,),)-VLOOKUP(A37,Data!$A:$AN,MATCH(yoy!$Z$1,Data!$A$1:$AN$1,),))/VLOOKUP(A37,Data!$A:$AN,MATCH(yoy!$Z$1,Data!$A$1:$AN$1,),)</f>
        <v/>
      </c>
      <c r="AA37" s="14">
        <f>(VLOOKUP(B37,Data!$A:$AN,MATCH(yoy!$AA$1,Data!$A$1:$AN$1,),)-VLOOKUP(A37,Data!$A:$AN,MATCH(yoy!$AA$1,Data!$A$1:$AN$1,),))/VLOOKUP(A37,Data!$A:$AN,MATCH(yoy!$AA$1,Data!$A$1:$AN$1,),)</f>
        <v/>
      </c>
    </row>
    <row r="38">
      <c r="A38" s="20">
        <f>DATE(YEAR(B38)-1,MONTH(B38),DAY(B38))</f>
        <v/>
      </c>
      <c r="B38" s="12" t="n">
        <v>43009</v>
      </c>
      <c r="C38" s="14">
        <f>(VLOOKUP(B38,Data!$A:$AN,MATCH(yoy!$C$1,Data!$A$1:$AN$1,),)-VLOOKUP(A38,Data!$A:$AN,MATCH(yoy!$C$1,Data!$A$1:$AN$1,),))/VLOOKUP(A38,Data!$A:$AN,MATCH(yoy!$C$1,Data!$A$1:$AN$1,),)</f>
        <v/>
      </c>
      <c r="D38" s="14">
        <f>(VLOOKUP(B38,Data!$A:$AN,MATCH(yoy!$D$1,Data!$A$1:$AN$1,),)-VLOOKUP(A38,Data!$A:$AN,MATCH(yoy!$D$1,Data!$A$1:$AN$1,),))/VLOOKUP(A38,Data!$A:$AN,MATCH(yoy!$D$1,Data!$A$1:$AN$1,),)</f>
        <v/>
      </c>
      <c r="E38" s="14">
        <f>(VLOOKUP(B38,Data!$A:$AN,MATCH(yoy!$E$1,Data!$A$1:$AN$1,),)-VLOOKUP(A38,Data!$A:$AN,MATCH(yoy!$E$1,Data!$A$1:$AN$1,),))/VLOOKUP(A38,Data!$A:$AN,MATCH(yoy!$E$1,Data!$A$1:$AN$1,),)</f>
        <v/>
      </c>
      <c r="F38" s="14">
        <f>(VLOOKUP(B38,Data!$A:$AN,MATCH(yoy!$F$1,Data!$A$1:$AN$1,),)-VLOOKUP(A38,Data!$A:$AN,MATCH(yoy!$F$1,Data!$A$1:$AN$1,),))/VLOOKUP(A38,Data!$A:$AN,MATCH(yoy!$F$1,Data!$A$1:$AN$1,),)</f>
        <v/>
      </c>
      <c r="G38" s="14">
        <f>(VLOOKUP(B38,Data!$A:$AN,MATCH(yoy!$G$1,Data!$A$1:$AN$1,),)-VLOOKUP(A38,Data!$A:$AN,MATCH(yoy!$G$1,Data!$A$1:$AN$1,),))/VLOOKUP(A38,Data!$A:$AN,MATCH(yoy!$G$1,Data!$A$1:$AN$1,),)</f>
        <v/>
      </c>
      <c r="H38" s="14">
        <f>(VLOOKUP(B38,Data!$A:$AN,MATCH(yoy!$H$1,Data!$A$1:$AN$1,),)-VLOOKUP(A38,Data!$A:$AN,MATCH(yoy!$H$1,Data!$A$1:$AN$1,),))/VLOOKUP(A38,Data!$A:$AN,MATCH(yoy!$H$1,Data!$A$1:$AN$1,),)</f>
        <v/>
      </c>
      <c r="I38" s="14">
        <f>(VLOOKUP(B38,Data!$A:$AN,MATCH(yoy!$I$1,Data!$A$1:$AN$1,),)-VLOOKUP(A38,Data!$A:$AN,MATCH(yoy!$I$1,Data!$A$1:$AN$1,),))/VLOOKUP(A38,Data!$A:$AN,MATCH(yoy!$I$1,Data!$A$1:$AN$1,),)</f>
        <v/>
      </c>
      <c r="J38" s="14">
        <f>(VLOOKUP(B38,Data!$A:$AN,MATCH(yoy!$J$1,Data!$A$1:$AN$1,),)-VLOOKUP(A38,Data!$A:$AN,MATCH(yoy!$J$1,Data!$A$1:$AN$1,),))/VLOOKUP(A38,Data!$A:$AN,MATCH(yoy!$J$1,Data!$A$1:$AN$1,),)</f>
        <v/>
      </c>
      <c r="K38" s="14">
        <f>(VLOOKUP(B38,Data!$A:$AN,MATCH(yoy!$K$1,Data!$A$1:$AN$1,),)-VLOOKUP(A38,Data!$A:$AN,MATCH(yoy!$K$1,Data!$A$1:$AN$1,),))/VLOOKUP(A38,Data!$A:$AN,MATCH(yoy!$K$1,Data!$A$1:$AN$1,),)</f>
        <v/>
      </c>
      <c r="L38" s="14">
        <f>(VLOOKUP(B38,Data!$A:$AN,MATCH(yoy!$L$1,Data!$A$1:$AN$1,),)-VLOOKUP(A38,Data!$A:$AN,MATCH(yoy!$L$1,Data!$A$1:$AN$1,),))/VLOOKUP(A38,Data!$A:$AN,MATCH(yoy!$L$1,Data!$A$1:$AN$1,),)</f>
        <v/>
      </c>
      <c r="M38" s="14">
        <f>(VLOOKUP(B38,Data!$A:$AN,MATCH(yoy!$M$1,Data!$A$1:$AN$1,),)-VLOOKUP(A38,Data!$A:$AN,MATCH(yoy!$M$1,Data!$A$1:$AN$1,),))/VLOOKUP(A38,Data!$A:$AN,MATCH(yoy!$M$1,Data!$A$1:$AN$1,),)</f>
        <v/>
      </c>
      <c r="N38" s="14">
        <f>(VLOOKUP(B38,Data!$A:$AN,MATCH(yoy!$N$1,Data!$A$1:$AN$1,),)-VLOOKUP(A38,Data!$A:$AN,MATCH(yoy!$N$1,Data!$A$1:$AN$1,),))/VLOOKUP(A38,Data!$A:$AN,MATCH(yoy!$N$1,Data!$A$1:$AN$1,),)</f>
        <v/>
      </c>
      <c r="O38" s="14">
        <f>(VLOOKUP(B38,Data!$A:$AN,MATCH(yoy!$O$1,Data!$A$1:$AN$1,),)-VLOOKUP(A38,Data!$A:$AN,MATCH(yoy!$O$1,Data!$A$1:$AN$1,),))/VLOOKUP(A38,Data!$A:$AN,MATCH(yoy!$O$1,Data!$A$1:$AN$1,),)</f>
        <v/>
      </c>
      <c r="P38" s="14">
        <f>(VLOOKUP(B38,Data!$A:$AN,MATCH(yoy!$P$1,Data!$A$1:$AN$1,),)-VLOOKUP(A38,Data!$A:$AN,MATCH(yoy!$P$1,Data!$A$1:$AN$1,),))/VLOOKUP(A38,Data!$A:$AN,MATCH(yoy!$P$1,Data!$A$1:$AN$1,),)</f>
        <v/>
      </c>
      <c r="Q38" s="14">
        <f>(VLOOKUP(B38,Data!$A:$AN,MATCH(yoy!$Q$1,Data!$A$1:$AN$1,),)-VLOOKUP(A38,Data!$A:$AN,MATCH(yoy!$Q$1,Data!$A$1:$AN$1,),))/VLOOKUP(A38,Data!$A:$AN,MATCH(yoy!$Q$1,Data!$A$1:$AN$1,),)</f>
        <v/>
      </c>
      <c r="R38" s="14">
        <f>(VLOOKUP(B38,Data!$A:$AN,MATCH(yoy!$R$1,Data!$A$1:$AN$1,),)-VLOOKUP(A38,Data!$A:$AN,MATCH(yoy!$R$1,Data!$A$1:$AN$1,),))/VLOOKUP(A38,Data!$A:$AN,MATCH(yoy!$R$1,Data!$A$1:$AN$1,),)</f>
        <v/>
      </c>
      <c r="S38" s="14">
        <f>(VLOOKUP(B38,Data!$A:$AN,MATCH(yoy!$S$1,Data!$A$1:$AN$1,),)-VLOOKUP(A38,Data!$A:$AN,MATCH(yoy!$S$1,Data!$A$1:$AN$1,),))/VLOOKUP(A38,Data!$A:$AN,MATCH(yoy!$S$1,Data!$A$1:$AN$1,),)</f>
        <v/>
      </c>
      <c r="T38" s="14">
        <f>(VLOOKUP(B38,Data!$A:$AN,MATCH(yoy!$T$1,Data!$A$1:$AN$1,),)-VLOOKUP(A38,Data!$A:$AN,MATCH(yoy!$T$1,Data!$A$1:$AN$1,),))/VLOOKUP(A38,Data!$A:$AN,MATCH(yoy!$T$1,Data!$A$1:$AN$1,),)</f>
        <v/>
      </c>
      <c r="U38" s="14">
        <f>(VLOOKUP(B38,Data!$A:$AN,MATCH(yoy!$U$1,Data!$A$1:$AN$1,),)-VLOOKUP(A38,Data!$A:$AN,MATCH(yoy!$U$1,Data!$A$1:$AN$1,),))/VLOOKUP(A38,Data!$A:$AN,MATCH(yoy!$U$1,Data!$A$1:$AN$1,),)</f>
        <v/>
      </c>
      <c r="V38" s="14">
        <f>(VLOOKUP(B38,Data!$A:$AN,MATCH(yoy!$V$1,Data!$A$1:$AN$1,),)-VLOOKUP(A38,Data!$A:$AN,MATCH(yoy!$V$1,Data!$A$1:$AN$1,),))/VLOOKUP(A38,Data!$A:$AN,MATCH(yoy!$V$1,Data!$A$1:$AN$1,),)</f>
        <v/>
      </c>
      <c r="W38" s="14">
        <f>(VLOOKUP(B38,Data!$A:$AN,MATCH(yoy!$W$1,Data!$A$1:$AN$1,),)-VLOOKUP(A38,Data!$A:$AN,MATCH(yoy!$W$1,Data!$A$1:$AN$1,),))/VLOOKUP(A38,Data!$A:$AN,MATCH(yoy!$W$1,Data!$A$1:$AN$1,),)</f>
        <v/>
      </c>
      <c r="X38" s="14">
        <f>(VLOOKUP(B38,Data!$A:$AN,MATCH(yoy!$X$1,Data!$A$1:$AN$1,),)-VLOOKUP(A38,Data!$A:$AN,MATCH(yoy!$X$1,Data!$A$1:$AN$1,),))/VLOOKUP(A38,Data!$A:$AN,MATCH(yoy!$X$1,Data!$A$1:$AN$1,),)</f>
        <v/>
      </c>
      <c r="Y38" s="14">
        <f>(VLOOKUP(B38,Data!$A:$AN,MATCH(yoy!$Y$1,Data!$A$1:$AN$1,),)-VLOOKUP(A38,Data!$A:$AN,MATCH(yoy!$Y$1,Data!$A$1:$AN$1,),))/VLOOKUP(A38,Data!$A:$AN,MATCH(yoy!$Y$1,Data!$A$1:$AN$1,),)</f>
        <v/>
      </c>
      <c r="Z38" s="14">
        <f>(VLOOKUP(B38,Data!$A:$AN,MATCH(yoy!$Z$1,Data!$A$1:$AN$1,),)-VLOOKUP(A38,Data!$A:$AN,MATCH(yoy!$Z$1,Data!$A$1:$AN$1,),))/VLOOKUP(A38,Data!$A:$AN,MATCH(yoy!$Z$1,Data!$A$1:$AN$1,),)</f>
        <v/>
      </c>
      <c r="AA38" s="14">
        <f>(VLOOKUP(B38,Data!$A:$AN,MATCH(yoy!$AA$1,Data!$A$1:$AN$1,),)-VLOOKUP(A38,Data!$A:$AN,MATCH(yoy!$AA$1,Data!$A$1:$AN$1,),))/VLOOKUP(A38,Data!$A:$AN,MATCH(yoy!$AA$1,Data!$A$1:$AN$1,),)</f>
        <v/>
      </c>
    </row>
    <row r="39">
      <c r="A39" s="20">
        <f>DATE(YEAR(B39)-1,MONTH(B39),DAY(B39))</f>
        <v/>
      </c>
      <c r="B39" s="12" t="n">
        <v>43040</v>
      </c>
      <c r="C39" s="14">
        <f>(VLOOKUP(B39,Data!$A:$AN,MATCH(yoy!$C$1,Data!$A$1:$AN$1,),)-VLOOKUP(A39,Data!$A:$AN,MATCH(yoy!$C$1,Data!$A$1:$AN$1,),))/VLOOKUP(A39,Data!$A:$AN,MATCH(yoy!$C$1,Data!$A$1:$AN$1,),)</f>
        <v/>
      </c>
      <c r="D39" s="14">
        <f>(VLOOKUP(B39,Data!$A:$AN,MATCH(yoy!$D$1,Data!$A$1:$AN$1,),)-VLOOKUP(A39,Data!$A:$AN,MATCH(yoy!$D$1,Data!$A$1:$AN$1,),))/VLOOKUP(A39,Data!$A:$AN,MATCH(yoy!$D$1,Data!$A$1:$AN$1,),)</f>
        <v/>
      </c>
      <c r="E39" s="14">
        <f>(VLOOKUP(B39,Data!$A:$AN,MATCH(yoy!$E$1,Data!$A$1:$AN$1,),)-VLOOKUP(A39,Data!$A:$AN,MATCH(yoy!$E$1,Data!$A$1:$AN$1,),))/VLOOKUP(A39,Data!$A:$AN,MATCH(yoy!$E$1,Data!$A$1:$AN$1,),)</f>
        <v/>
      </c>
      <c r="F39" s="14">
        <f>(VLOOKUP(B39,Data!$A:$AN,MATCH(yoy!$F$1,Data!$A$1:$AN$1,),)-VLOOKUP(A39,Data!$A:$AN,MATCH(yoy!$F$1,Data!$A$1:$AN$1,),))/VLOOKUP(A39,Data!$A:$AN,MATCH(yoy!$F$1,Data!$A$1:$AN$1,),)</f>
        <v/>
      </c>
      <c r="G39" s="14">
        <f>(VLOOKUP(B39,Data!$A:$AN,MATCH(yoy!$G$1,Data!$A$1:$AN$1,),)-VLOOKUP(A39,Data!$A:$AN,MATCH(yoy!$G$1,Data!$A$1:$AN$1,),))/VLOOKUP(A39,Data!$A:$AN,MATCH(yoy!$G$1,Data!$A$1:$AN$1,),)</f>
        <v/>
      </c>
      <c r="H39" s="14">
        <f>(VLOOKUP(B39,Data!$A:$AN,MATCH(yoy!$H$1,Data!$A$1:$AN$1,),)-VLOOKUP(A39,Data!$A:$AN,MATCH(yoy!$H$1,Data!$A$1:$AN$1,),))/VLOOKUP(A39,Data!$A:$AN,MATCH(yoy!$H$1,Data!$A$1:$AN$1,),)</f>
        <v/>
      </c>
      <c r="I39" s="14">
        <f>(VLOOKUP(B39,Data!$A:$AN,MATCH(yoy!$I$1,Data!$A$1:$AN$1,),)-VLOOKUP(A39,Data!$A:$AN,MATCH(yoy!$I$1,Data!$A$1:$AN$1,),))/VLOOKUP(A39,Data!$A:$AN,MATCH(yoy!$I$1,Data!$A$1:$AN$1,),)</f>
        <v/>
      </c>
      <c r="J39" s="14">
        <f>(VLOOKUP(B39,Data!$A:$AN,MATCH(yoy!$J$1,Data!$A$1:$AN$1,),)-VLOOKUP(A39,Data!$A:$AN,MATCH(yoy!$J$1,Data!$A$1:$AN$1,),))/VLOOKUP(A39,Data!$A:$AN,MATCH(yoy!$J$1,Data!$A$1:$AN$1,),)</f>
        <v/>
      </c>
      <c r="K39" s="14">
        <f>(VLOOKUP(B39,Data!$A:$AN,MATCH(yoy!$K$1,Data!$A$1:$AN$1,),)-VLOOKUP(A39,Data!$A:$AN,MATCH(yoy!$K$1,Data!$A$1:$AN$1,),))/VLOOKUP(A39,Data!$A:$AN,MATCH(yoy!$K$1,Data!$A$1:$AN$1,),)</f>
        <v/>
      </c>
      <c r="L39" s="14">
        <f>(VLOOKUP(B39,Data!$A:$AN,MATCH(yoy!$L$1,Data!$A$1:$AN$1,),)-VLOOKUP(A39,Data!$A:$AN,MATCH(yoy!$L$1,Data!$A$1:$AN$1,),))/VLOOKUP(A39,Data!$A:$AN,MATCH(yoy!$L$1,Data!$A$1:$AN$1,),)</f>
        <v/>
      </c>
      <c r="M39" s="14">
        <f>(VLOOKUP(B39,Data!$A:$AN,MATCH(yoy!$M$1,Data!$A$1:$AN$1,),)-VLOOKUP(A39,Data!$A:$AN,MATCH(yoy!$M$1,Data!$A$1:$AN$1,),))/VLOOKUP(A39,Data!$A:$AN,MATCH(yoy!$M$1,Data!$A$1:$AN$1,),)</f>
        <v/>
      </c>
      <c r="N39" s="14">
        <f>(VLOOKUP(B39,Data!$A:$AN,MATCH(yoy!$N$1,Data!$A$1:$AN$1,),)-VLOOKUP(A39,Data!$A:$AN,MATCH(yoy!$N$1,Data!$A$1:$AN$1,),))/VLOOKUP(A39,Data!$A:$AN,MATCH(yoy!$N$1,Data!$A$1:$AN$1,),)</f>
        <v/>
      </c>
      <c r="O39" s="14">
        <f>(VLOOKUP(B39,Data!$A:$AN,MATCH(yoy!$O$1,Data!$A$1:$AN$1,),)-VLOOKUP(A39,Data!$A:$AN,MATCH(yoy!$O$1,Data!$A$1:$AN$1,),))/VLOOKUP(A39,Data!$A:$AN,MATCH(yoy!$O$1,Data!$A$1:$AN$1,),)</f>
        <v/>
      </c>
      <c r="P39" s="14">
        <f>(VLOOKUP(B39,Data!$A:$AN,MATCH(yoy!$P$1,Data!$A$1:$AN$1,),)-VLOOKUP(A39,Data!$A:$AN,MATCH(yoy!$P$1,Data!$A$1:$AN$1,),))/VLOOKUP(A39,Data!$A:$AN,MATCH(yoy!$P$1,Data!$A$1:$AN$1,),)</f>
        <v/>
      </c>
      <c r="Q39" s="14">
        <f>(VLOOKUP(B39,Data!$A:$AN,MATCH(yoy!$Q$1,Data!$A$1:$AN$1,),)-VLOOKUP(A39,Data!$A:$AN,MATCH(yoy!$Q$1,Data!$A$1:$AN$1,),))/VLOOKUP(A39,Data!$A:$AN,MATCH(yoy!$Q$1,Data!$A$1:$AN$1,),)</f>
        <v/>
      </c>
      <c r="R39" s="14">
        <f>(VLOOKUP(B39,Data!$A:$AN,MATCH(yoy!$R$1,Data!$A$1:$AN$1,),)-VLOOKUP(A39,Data!$A:$AN,MATCH(yoy!$R$1,Data!$A$1:$AN$1,),))/VLOOKUP(A39,Data!$A:$AN,MATCH(yoy!$R$1,Data!$A$1:$AN$1,),)</f>
        <v/>
      </c>
      <c r="S39" s="14">
        <f>(VLOOKUP(B39,Data!$A:$AN,MATCH(yoy!$S$1,Data!$A$1:$AN$1,),)-VLOOKUP(A39,Data!$A:$AN,MATCH(yoy!$S$1,Data!$A$1:$AN$1,),))/VLOOKUP(A39,Data!$A:$AN,MATCH(yoy!$S$1,Data!$A$1:$AN$1,),)</f>
        <v/>
      </c>
      <c r="T39" s="14">
        <f>(VLOOKUP(B39,Data!$A:$AN,MATCH(yoy!$T$1,Data!$A$1:$AN$1,),)-VLOOKUP(A39,Data!$A:$AN,MATCH(yoy!$T$1,Data!$A$1:$AN$1,),))/VLOOKUP(A39,Data!$A:$AN,MATCH(yoy!$T$1,Data!$A$1:$AN$1,),)</f>
        <v/>
      </c>
      <c r="U39" s="14">
        <f>(VLOOKUP(B39,Data!$A:$AN,MATCH(yoy!$U$1,Data!$A$1:$AN$1,),)-VLOOKUP(A39,Data!$A:$AN,MATCH(yoy!$U$1,Data!$A$1:$AN$1,),))/VLOOKUP(A39,Data!$A:$AN,MATCH(yoy!$U$1,Data!$A$1:$AN$1,),)</f>
        <v/>
      </c>
      <c r="V39" s="14">
        <f>(VLOOKUP(B39,Data!$A:$AN,MATCH(yoy!$V$1,Data!$A$1:$AN$1,),)-VLOOKUP(A39,Data!$A:$AN,MATCH(yoy!$V$1,Data!$A$1:$AN$1,),))/VLOOKUP(A39,Data!$A:$AN,MATCH(yoy!$V$1,Data!$A$1:$AN$1,),)</f>
        <v/>
      </c>
      <c r="W39" s="14">
        <f>(VLOOKUP(B39,Data!$A:$AN,MATCH(yoy!$W$1,Data!$A$1:$AN$1,),)-VLOOKUP(A39,Data!$A:$AN,MATCH(yoy!$W$1,Data!$A$1:$AN$1,),))/VLOOKUP(A39,Data!$A:$AN,MATCH(yoy!$W$1,Data!$A$1:$AN$1,),)</f>
        <v/>
      </c>
      <c r="X39" s="14">
        <f>(VLOOKUP(B39,Data!$A:$AN,MATCH(yoy!$X$1,Data!$A$1:$AN$1,),)-VLOOKUP(A39,Data!$A:$AN,MATCH(yoy!$X$1,Data!$A$1:$AN$1,),))/VLOOKUP(A39,Data!$A:$AN,MATCH(yoy!$X$1,Data!$A$1:$AN$1,),)</f>
        <v/>
      </c>
      <c r="Y39" s="14">
        <f>(VLOOKUP(B39,Data!$A:$AN,MATCH(yoy!$Y$1,Data!$A$1:$AN$1,),)-VLOOKUP(A39,Data!$A:$AN,MATCH(yoy!$Y$1,Data!$A$1:$AN$1,),))/VLOOKUP(A39,Data!$A:$AN,MATCH(yoy!$Y$1,Data!$A$1:$AN$1,),)</f>
        <v/>
      </c>
      <c r="Z39" s="14">
        <f>(VLOOKUP(B39,Data!$A:$AN,MATCH(yoy!$Z$1,Data!$A$1:$AN$1,),)-VLOOKUP(A39,Data!$A:$AN,MATCH(yoy!$Z$1,Data!$A$1:$AN$1,),))/VLOOKUP(A39,Data!$A:$AN,MATCH(yoy!$Z$1,Data!$A$1:$AN$1,),)</f>
        <v/>
      </c>
      <c r="AA39" s="14">
        <f>(VLOOKUP(B39,Data!$A:$AN,MATCH(yoy!$AA$1,Data!$A$1:$AN$1,),)-VLOOKUP(A39,Data!$A:$AN,MATCH(yoy!$AA$1,Data!$A$1:$AN$1,),))/VLOOKUP(A39,Data!$A:$AN,MATCH(yoy!$AA$1,Data!$A$1:$AN$1,),)</f>
        <v/>
      </c>
    </row>
    <row r="40">
      <c r="A40" s="20">
        <f>DATE(YEAR(B40)-1,MONTH(B40),DAY(B40))</f>
        <v/>
      </c>
      <c r="B40" s="12" t="n">
        <v>43070</v>
      </c>
      <c r="C40" s="14">
        <f>(VLOOKUP(B40,Data!$A:$AN,MATCH(yoy!$C$1,Data!$A$1:$AN$1,),)-VLOOKUP(A40,Data!$A:$AN,MATCH(yoy!$C$1,Data!$A$1:$AN$1,),))/VLOOKUP(A40,Data!$A:$AN,MATCH(yoy!$C$1,Data!$A$1:$AN$1,),)</f>
        <v/>
      </c>
      <c r="D40" s="14">
        <f>(VLOOKUP(B40,Data!$A:$AN,MATCH(yoy!$D$1,Data!$A$1:$AN$1,),)-VLOOKUP(A40,Data!$A:$AN,MATCH(yoy!$D$1,Data!$A$1:$AN$1,),))/VLOOKUP(A40,Data!$A:$AN,MATCH(yoy!$D$1,Data!$A$1:$AN$1,),)</f>
        <v/>
      </c>
      <c r="E40" s="14">
        <f>(VLOOKUP(B40,Data!$A:$AN,MATCH(yoy!$E$1,Data!$A$1:$AN$1,),)-VLOOKUP(A40,Data!$A:$AN,MATCH(yoy!$E$1,Data!$A$1:$AN$1,),))/VLOOKUP(A40,Data!$A:$AN,MATCH(yoy!$E$1,Data!$A$1:$AN$1,),)</f>
        <v/>
      </c>
      <c r="F40" s="14">
        <f>(VLOOKUP(B40,Data!$A:$AN,MATCH(yoy!$F$1,Data!$A$1:$AN$1,),)-VLOOKUP(A40,Data!$A:$AN,MATCH(yoy!$F$1,Data!$A$1:$AN$1,),))/VLOOKUP(A40,Data!$A:$AN,MATCH(yoy!$F$1,Data!$A$1:$AN$1,),)</f>
        <v/>
      </c>
      <c r="G40" s="14">
        <f>(VLOOKUP(B40,Data!$A:$AN,MATCH(yoy!$G$1,Data!$A$1:$AN$1,),)-VLOOKUP(A40,Data!$A:$AN,MATCH(yoy!$G$1,Data!$A$1:$AN$1,),))/VLOOKUP(A40,Data!$A:$AN,MATCH(yoy!$G$1,Data!$A$1:$AN$1,),)</f>
        <v/>
      </c>
      <c r="H40" s="14">
        <f>(VLOOKUP(B40,Data!$A:$AN,MATCH(yoy!$H$1,Data!$A$1:$AN$1,),)-VLOOKUP(A40,Data!$A:$AN,MATCH(yoy!$H$1,Data!$A$1:$AN$1,),))/VLOOKUP(A40,Data!$A:$AN,MATCH(yoy!$H$1,Data!$A$1:$AN$1,),)</f>
        <v/>
      </c>
      <c r="I40" s="14">
        <f>(VLOOKUP(B40,Data!$A:$AN,MATCH(yoy!$I$1,Data!$A$1:$AN$1,),)-VLOOKUP(A40,Data!$A:$AN,MATCH(yoy!$I$1,Data!$A$1:$AN$1,),))/VLOOKUP(A40,Data!$A:$AN,MATCH(yoy!$I$1,Data!$A$1:$AN$1,),)</f>
        <v/>
      </c>
      <c r="J40" s="14">
        <f>(VLOOKUP(B40,Data!$A:$AN,MATCH(yoy!$J$1,Data!$A$1:$AN$1,),)-VLOOKUP(A40,Data!$A:$AN,MATCH(yoy!$J$1,Data!$A$1:$AN$1,),))/VLOOKUP(A40,Data!$A:$AN,MATCH(yoy!$J$1,Data!$A$1:$AN$1,),)</f>
        <v/>
      </c>
      <c r="K40" s="14">
        <f>(VLOOKUP(B40,Data!$A:$AN,MATCH(yoy!$K$1,Data!$A$1:$AN$1,),)-VLOOKUP(A40,Data!$A:$AN,MATCH(yoy!$K$1,Data!$A$1:$AN$1,),))/VLOOKUP(A40,Data!$A:$AN,MATCH(yoy!$K$1,Data!$A$1:$AN$1,),)</f>
        <v/>
      </c>
      <c r="L40" s="14">
        <f>(VLOOKUP(B40,Data!$A:$AN,MATCH(yoy!$L$1,Data!$A$1:$AN$1,),)-VLOOKUP(A40,Data!$A:$AN,MATCH(yoy!$L$1,Data!$A$1:$AN$1,),))/VLOOKUP(A40,Data!$A:$AN,MATCH(yoy!$L$1,Data!$A$1:$AN$1,),)</f>
        <v/>
      </c>
      <c r="M40" s="14">
        <f>(VLOOKUP(B40,Data!$A:$AN,MATCH(yoy!$M$1,Data!$A$1:$AN$1,),)-VLOOKUP(A40,Data!$A:$AN,MATCH(yoy!$M$1,Data!$A$1:$AN$1,),))/VLOOKUP(A40,Data!$A:$AN,MATCH(yoy!$M$1,Data!$A$1:$AN$1,),)</f>
        <v/>
      </c>
      <c r="N40" s="14">
        <f>(VLOOKUP(B40,Data!$A:$AN,MATCH(yoy!$N$1,Data!$A$1:$AN$1,),)-VLOOKUP(A40,Data!$A:$AN,MATCH(yoy!$N$1,Data!$A$1:$AN$1,),))/VLOOKUP(A40,Data!$A:$AN,MATCH(yoy!$N$1,Data!$A$1:$AN$1,),)</f>
        <v/>
      </c>
      <c r="O40" s="14">
        <f>(VLOOKUP(B40,Data!$A:$AN,MATCH(yoy!$O$1,Data!$A$1:$AN$1,),)-VLOOKUP(A40,Data!$A:$AN,MATCH(yoy!$O$1,Data!$A$1:$AN$1,),))/VLOOKUP(A40,Data!$A:$AN,MATCH(yoy!$O$1,Data!$A$1:$AN$1,),)</f>
        <v/>
      </c>
      <c r="P40" s="14">
        <f>(VLOOKUP(B40,Data!$A:$AN,MATCH(yoy!$P$1,Data!$A$1:$AN$1,),)-VLOOKUP(A40,Data!$A:$AN,MATCH(yoy!$P$1,Data!$A$1:$AN$1,),))/VLOOKUP(A40,Data!$A:$AN,MATCH(yoy!$P$1,Data!$A$1:$AN$1,),)</f>
        <v/>
      </c>
      <c r="Q40" s="14">
        <f>(VLOOKUP(B40,Data!$A:$AN,MATCH(yoy!$Q$1,Data!$A$1:$AN$1,),)-VLOOKUP(A40,Data!$A:$AN,MATCH(yoy!$Q$1,Data!$A$1:$AN$1,),))/VLOOKUP(A40,Data!$A:$AN,MATCH(yoy!$Q$1,Data!$A$1:$AN$1,),)</f>
        <v/>
      </c>
      <c r="R40" s="14">
        <f>(VLOOKUP(B40,Data!$A:$AN,MATCH(yoy!$R$1,Data!$A$1:$AN$1,),)-VLOOKUP(A40,Data!$A:$AN,MATCH(yoy!$R$1,Data!$A$1:$AN$1,),))/VLOOKUP(A40,Data!$A:$AN,MATCH(yoy!$R$1,Data!$A$1:$AN$1,),)</f>
        <v/>
      </c>
      <c r="S40" s="14">
        <f>(VLOOKUP(B40,Data!$A:$AN,MATCH(yoy!$S$1,Data!$A$1:$AN$1,),)-VLOOKUP(A40,Data!$A:$AN,MATCH(yoy!$S$1,Data!$A$1:$AN$1,),))/VLOOKUP(A40,Data!$A:$AN,MATCH(yoy!$S$1,Data!$A$1:$AN$1,),)</f>
        <v/>
      </c>
      <c r="T40" s="14">
        <f>(VLOOKUP(B40,Data!$A:$AN,MATCH(yoy!$T$1,Data!$A$1:$AN$1,),)-VLOOKUP(A40,Data!$A:$AN,MATCH(yoy!$T$1,Data!$A$1:$AN$1,),))/VLOOKUP(A40,Data!$A:$AN,MATCH(yoy!$T$1,Data!$A$1:$AN$1,),)</f>
        <v/>
      </c>
      <c r="U40" s="14">
        <f>(VLOOKUP(B40,Data!$A:$AN,MATCH(yoy!$U$1,Data!$A$1:$AN$1,),)-VLOOKUP(A40,Data!$A:$AN,MATCH(yoy!$U$1,Data!$A$1:$AN$1,),))/VLOOKUP(A40,Data!$A:$AN,MATCH(yoy!$U$1,Data!$A$1:$AN$1,),)</f>
        <v/>
      </c>
      <c r="V40" s="14">
        <f>(VLOOKUP(B40,Data!$A:$AN,MATCH(yoy!$V$1,Data!$A$1:$AN$1,),)-VLOOKUP(A40,Data!$A:$AN,MATCH(yoy!$V$1,Data!$A$1:$AN$1,),))/VLOOKUP(A40,Data!$A:$AN,MATCH(yoy!$V$1,Data!$A$1:$AN$1,),)</f>
        <v/>
      </c>
      <c r="W40" s="14">
        <f>(VLOOKUP(B40,Data!$A:$AN,MATCH(yoy!$W$1,Data!$A$1:$AN$1,),)-VLOOKUP(A40,Data!$A:$AN,MATCH(yoy!$W$1,Data!$A$1:$AN$1,),))/VLOOKUP(A40,Data!$A:$AN,MATCH(yoy!$W$1,Data!$A$1:$AN$1,),)</f>
        <v/>
      </c>
      <c r="X40" s="14">
        <f>(VLOOKUP(B40,Data!$A:$AN,MATCH(yoy!$X$1,Data!$A$1:$AN$1,),)-VLOOKUP(A40,Data!$A:$AN,MATCH(yoy!$X$1,Data!$A$1:$AN$1,),))/VLOOKUP(A40,Data!$A:$AN,MATCH(yoy!$X$1,Data!$A$1:$AN$1,),)</f>
        <v/>
      </c>
      <c r="Y40" s="14">
        <f>(VLOOKUP(B40,Data!$A:$AN,MATCH(yoy!$Y$1,Data!$A$1:$AN$1,),)-VLOOKUP(A40,Data!$A:$AN,MATCH(yoy!$Y$1,Data!$A$1:$AN$1,),))/VLOOKUP(A40,Data!$A:$AN,MATCH(yoy!$Y$1,Data!$A$1:$AN$1,),)</f>
        <v/>
      </c>
      <c r="Z40" s="14">
        <f>(VLOOKUP(B40,Data!$A:$AN,MATCH(yoy!$Z$1,Data!$A$1:$AN$1,),)-VLOOKUP(A40,Data!$A:$AN,MATCH(yoy!$Z$1,Data!$A$1:$AN$1,),))/VLOOKUP(A40,Data!$A:$AN,MATCH(yoy!$Z$1,Data!$A$1:$AN$1,),)</f>
        <v/>
      </c>
      <c r="AA40" s="14">
        <f>(VLOOKUP(B40,Data!$A:$AN,MATCH(yoy!$AA$1,Data!$A$1:$AN$1,),)-VLOOKUP(A40,Data!$A:$AN,MATCH(yoy!$AA$1,Data!$A$1:$AN$1,),))/VLOOKUP(A40,Data!$A:$AN,MATCH(yoy!$AA$1,Data!$A$1:$AN$1,),)</f>
        <v/>
      </c>
    </row>
    <row r="41">
      <c r="A41" s="20">
        <f>DATE(YEAR(B41)-1,MONTH(B41),DAY(B41))</f>
        <v/>
      </c>
      <c r="B41" s="12" t="n">
        <v>43101</v>
      </c>
      <c r="C41" s="14">
        <f>(VLOOKUP(B41,Data!$A:$AN,MATCH(yoy!$C$1,Data!$A$1:$AN$1,),)-VLOOKUP(A41,Data!$A:$AN,MATCH(yoy!$C$1,Data!$A$1:$AN$1,),))/VLOOKUP(A41,Data!$A:$AN,MATCH(yoy!$C$1,Data!$A$1:$AN$1,),)</f>
        <v/>
      </c>
      <c r="D41" s="14">
        <f>(VLOOKUP(B41,Data!$A:$AN,MATCH(yoy!$D$1,Data!$A$1:$AN$1,),)-VLOOKUP(A41,Data!$A:$AN,MATCH(yoy!$D$1,Data!$A$1:$AN$1,),))/VLOOKUP(A41,Data!$A:$AN,MATCH(yoy!$D$1,Data!$A$1:$AN$1,),)</f>
        <v/>
      </c>
      <c r="E41" s="14">
        <f>(VLOOKUP(B41,Data!$A:$AN,MATCH(yoy!$E$1,Data!$A$1:$AN$1,),)-VLOOKUP(A41,Data!$A:$AN,MATCH(yoy!$E$1,Data!$A$1:$AN$1,),))/VLOOKUP(A41,Data!$A:$AN,MATCH(yoy!$E$1,Data!$A$1:$AN$1,),)</f>
        <v/>
      </c>
      <c r="F41" s="14">
        <f>(VLOOKUP(B41,Data!$A:$AN,MATCH(yoy!$F$1,Data!$A$1:$AN$1,),)-VLOOKUP(A41,Data!$A:$AN,MATCH(yoy!$F$1,Data!$A$1:$AN$1,),))/VLOOKUP(A41,Data!$A:$AN,MATCH(yoy!$F$1,Data!$A$1:$AN$1,),)</f>
        <v/>
      </c>
      <c r="G41" s="14">
        <f>(VLOOKUP(B41,Data!$A:$AN,MATCH(yoy!$G$1,Data!$A$1:$AN$1,),)-VLOOKUP(A41,Data!$A:$AN,MATCH(yoy!$G$1,Data!$A$1:$AN$1,),))/VLOOKUP(A41,Data!$A:$AN,MATCH(yoy!$G$1,Data!$A$1:$AN$1,),)</f>
        <v/>
      </c>
      <c r="H41" s="14">
        <f>(VLOOKUP(B41,Data!$A:$AN,MATCH(yoy!$H$1,Data!$A$1:$AN$1,),)-VLOOKUP(A41,Data!$A:$AN,MATCH(yoy!$H$1,Data!$A$1:$AN$1,),))/VLOOKUP(A41,Data!$A:$AN,MATCH(yoy!$H$1,Data!$A$1:$AN$1,),)</f>
        <v/>
      </c>
      <c r="I41" s="14">
        <f>(VLOOKUP(B41,Data!$A:$AN,MATCH(yoy!$I$1,Data!$A$1:$AN$1,),)-VLOOKUP(A41,Data!$A:$AN,MATCH(yoy!$I$1,Data!$A$1:$AN$1,),))/VLOOKUP(A41,Data!$A:$AN,MATCH(yoy!$I$1,Data!$A$1:$AN$1,),)</f>
        <v/>
      </c>
      <c r="J41" s="14">
        <f>(VLOOKUP(B41,Data!$A:$AN,MATCH(yoy!$J$1,Data!$A$1:$AN$1,),)-VLOOKUP(A41,Data!$A:$AN,MATCH(yoy!$J$1,Data!$A$1:$AN$1,),))/VLOOKUP(A41,Data!$A:$AN,MATCH(yoy!$J$1,Data!$A$1:$AN$1,),)</f>
        <v/>
      </c>
      <c r="K41" s="14">
        <f>(VLOOKUP(B41,Data!$A:$AN,MATCH(yoy!$K$1,Data!$A$1:$AN$1,),)-VLOOKUP(A41,Data!$A:$AN,MATCH(yoy!$K$1,Data!$A$1:$AN$1,),))/VLOOKUP(A41,Data!$A:$AN,MATCH(yoy!$K$1,Data!$A$1:$AN$1,),)</f>
        <v/>
      </c>
      <c r="L41" s="14">
        <f>(VLOOKUP(B41,Data!$A:$AN,MATCH(yoy!$L$1,Data!$A$1:$AN$1,),)-VLOOKUP(A41,Data!$A:$AN,MATCH(yoy!$L$1,Data!$A$1:$AN$1,),))/VLOOKUP(A41,Data!$A:$AN,MATCH(yoy!$L$1,Data!$A$1:$AN$1,),)</f>
        <v/>
      </c>
      <c r="M41" s="14">
        <f>(VLOOKUP(B41,Data!$A:$AN,MATCH(yoy!$M$1,Data!$A$1:$AN$1,),)-VLOOKUP(A41,Data!$A:$AN,MATCH(yoy!$M$1,Data!$A$1:$AN$1,),))/VLOOKUP(A41,Data!$A:$AN,MATCH(yoy!$M$1,Data!$A$1:$AN$1,),)</f>
        <v/>
      </c>
      <c r="N41" s="14">
        <f>(VLOOKUP(B41,Data!$A:$AN,MATCH(yoy!$N$1,Data!$A$1:$AN$1,),)-VLOOKUP(A41,Data!$A:$AN,MATCH(yoy!$N$1,Data!$A$1:$AN$1,),))/VLOOKUP(A41,Data!$A:$AN,MATCH(yoy!$N$1,Data!$A$1:$AN$1,),)</f>
        <v/>
      </c>
      <c r="O41" s="14">
        <f>(VLOOKUP(B41,Data!$A:$AN,MATCH(yoy!$O$1,Data!$A$1:$AN$1,),)-VLOOKUP(A41,Data!$A:$AN,MATCH(yoy!$O$1,Data!$A$1:$AN$1,),))/VLOOKUP(A41,Data!$A:$AN,MATCH(yoy!$O$1,Data!$A$1:$AN$1,),)</f>
        <v/>
      </c>
      <c r="P41" s="14">
        <f>(VLOOKUP(B41,Data!$A:$AN,MATCH(yoy!$P$1,Data!$A$1:$AN$1,),)-VLOOKUP(A41,Data!$A:$AN,MATCH(yoy!$P$1,Data!$A$1:$AN$1,),))/VLOOKUP(A41,Data!$A:$AN,MATCH(yoy!$P$1,Data!$A$1:$AN$1,),)</f>
        <v/>
      </c>
      <c r="Q41" s="14">
        <f>(VLOOKUP(B41,Data!$A:$AN,MATCH(yoy!$Q$1,Data!$A$1:$AN$1,),)-VLOOKUP(A41,Data!$A:$AN,MATCH(yoy!$Q$1,Data!$A$1:$AN$1,),))/VLOOKUP(A41,Data!$A:$AN,MATCH(yoy!$Q$1,Data!$A$1:$AN$1,),)</f>
        <v/>
      </c>
      <c r="R41" s="14">
        <f>(VLOOKUP(B41,Data!$A:$AN,MATCH(yoy!$R$1,Data!$A$1:$AN$1,),)-VLOOKUP(A41,Data!$A:$AN,MATCH(yoy!$R$1,Data!$A$1:$AN$1,),))/VLOOKUP(A41,Data!$A:$AN,MATCH(yoy!$R$1,Data!$A$1:$AN$1,),)</f>
        <v/>
      </c>
      <c r="S41" s="14">
        <f>(VLOOKUP(B41,Data!$A:$AN,MATCH(yoy!$S$1,Data!$A$1:$AN$1,),)-VLOOKUP(A41,Data!$A:$AN,MATCH(yoy!$S$1,Data!$A$1:$AN$1,),))/VLOOKUP(A41,Data!$A:$AN,MATCH(yoy!$S$1,Data!$A$1:$AN$1,),)</f>
        <v/>
      </c>
      <c r="T41" s="14">
        <f>(VLOOKUP(B41,Data!$A:$AN,MATCH(yoy!$T$1,Data!$A$1:$AN$1,),)-VLOOKUP(A41,Data!$A:$AN,MATCH(yoy!$T$1,Data!$A$1:$AN$1,),))/VLOOKUP(A41,Data!$A:$AN,MATCH(yoy!$T$1,Data!$A$1:$AN$1,),)</f>
        <v/>
      </c>
      <c r="U41" s="14">
        <f>(VLOOKUP(B41,Data!$A:$AN,MATCH(yoy!$U$1,Data!$A$1:$AN$1,),)-VLOOKUP(A41,Data!$A:$AN,MATCH(yoy!$U$1,Data!$A$1:$AN$1,),))/VLOOKUP(A41,Data!$A:$AN,MATCH(yoy!$U$1,Data!$A$1:$AN$1,),)</f>
        <v/>
      </c>
      <c r="V41" s="14">
        <f>(VLOOKUP(B41,Data!$A:$AN,MATCH(yoy!$V$1,Data!$A$1:$AN$1,),)-VLOOKUP(A41,Data!$A:$AN,MATCH(yoy!$V$1,Data!$A$1:$AN$1,),))/VLOOKUP(A41,Data!$A:$AN,MATCH(yoy!$V$1,Data!$A$1:$AN$1,),)</f>
        <v/>
      </c>
      <c r="W41" s="14">
        <f>(VLOOKUP(B41,Data!$A:$AN,MATCH(yoy!$W$1,Data!$A$1:$AN$1,),)-VLOOKUP(A41,Data!$A:$AN,MATCH(yoy!$W$1,Data!$A$1:$AN$1,),))/VLOOKUP(A41,Data!$A:$AN,MATCH(yoy!$W$1,Data!$A$1:$AN$1,),)</f>
        <v/>
      </c>
      <c r="X41" s="14">
        <f>(VLOOKUP(B41,Data!$A:$AN,MATCH(yoy!$X$1,Data!$A$1:$AN$1,),)-VLOOKUP(A41,Data!$A:$AN,MATCH(yoy!$X$1,Data!$A$1:$AN$1,),))/VLOOKUP(A41,Data!$A:$AN,MATCH(yoy!$X$1,Data!$A$1:$AN$1,),)</f>
        <v/>
      </c>
      <c r="Y41" s="14">
        <f>(VLOOKUP(B41,Data!$A:$AN,MATCH(yoy!$Y$1,Data!$A$1:$AN$1,),)-VLOOKUP(A41,Data!$A:$AN,MATCH(yoy!$Y$1,Data!$A$1:$AN$1,),))/VLOOKUP(A41,Data!$A:$AN,MATCH(yoy!$Y$1,Data!$A$1:$AN$1,),)</f>
        <v/>
      </c>
      <c r="Z41" s="14">
        <f>(VLOOKUP(B41,Data!$A:$AN,MATCH(yoy!$Z$1,Data!$A$1:$AN$1,),)-VLOOKUP(A41,Data!$A:$AN,MATCH(yoy!$Z$1,Data!$A$1:$AN$1,),))/VLOOKUP(A41,Data!$A:$AN,MATCH(yoy!$Z$1,Data!$A$1:$AN$1,),)</f>
        <v/>
      </c>
      <c r="AA41" s="14">
        <f>(VLOOKUP(B41,Data!$A:$AN,MATCH(yoy!$AA$1,Data!$A$1:$AN$1,),)-VLOOKUP(A41,Data!$A:$AN,MATCH(yoy!$AA$1,Data!$A$1:$AN$1,),))/VLOOKUP(A41,Data!$A:$AN,MATCH(yoy!$AA$1,Data!$A$1:$AN$1,),)</f>
        <v/>
      </c>
    </row>
    <row r="42">
      <c r="A42" s="20">
        <f>DATE(YEAR(B42)-1,MONTH(B42),DAY(B42))</f>
        <v/>
      </c>
      <c r="B42" s="12" t="n">
        <v>43132</v>
      </c>
      <c r="C42" s="14">
        <f>(VLOOKUP(B42,Data!$A:$AN,MATCH(yoy!$C$1,Data!$A$1:$AN$1,),)-VLOOKUP(A42,Data!$A:$AN,MATCH(yoy!$C$1,Data!$A$1:$AN$1,),))/VLOOKUP(A42,Data!$A:$AN,MATCH(yoy!$C$1,Data!$A$1:$AN$1,),)</f>
        <v/>
      </c>
      <c r="D42" s="14">
        <f>(VLOOKUP(B42,Data!$A:$AN,MATCH(yoy!$D$1,Data!$A$1:$AN$1,),)-VLOOKUP(A42,Data!$A:$AN,MATCH(yoy!$D$1,Data!$A$1:$AN$1,),))/VLOOKUP(A42,Data!$A:$AN,MATCH(yoy!$D$1,Data!$A$1:$AN$1,),)</f>
        <v/>
      </c>
      <c r="E42" s="14">
        <f>(VLOOKUP(B42,Data!$A:$AN,MATCH(yoy!$E$1,Data!$A$1:$AN$1,),)-VLOOKUP(A42,Data!$A:$AN,MATCH(yoy!$E$1,Data!$A$1:$AN$1,),))/VLOOKUP(A42,Data!$A:$AN,MATCH(yoy!$E$1,Data!$A$1:$AN$1,),)</f>
        <v/>
      </c>
      <c r="F42" s="14">
        <f>(VLOOKUP(B42,Data!$A:$AN,MATCH(yoy!$F$1,Data!$A$1:$AN$1,),)-VLOOKUP(A42,Data!$A:$AN,MATCH(yoy!$F$1,Data!$A$1:$AN$1,),))/VLOOKUP(A42,Data!$A:$AN,MATCH(yoy!$F$1,Data!$A$1:$AN$1,),)</f>
        <v/>
      </c>
      <c r="G42" s="14">
        <f>(VLOOKUP(B42,Data!$A:$AN,MATCH(yoy!$G$1,Data!$A$1:$AN$1,),)-VLOOKUP(A42,Data!$A:$AN,MATCH(yoy!$G$1,Data!$A$1:$AN$1,),))/VLOOKUP(A42,Data!$A:$AN,MATCH(yoy!$G$1,Data!$A$1:$AN$1,),)</f>
        <v/>
      </c>
      <c r="H42" s="14">
        <f>(VLOOKUP(B42,Data!$A:$AN,MATCH(yoy!$H$1,Data!$A$1:$AN$1,),)-VLOOKUP(A42,Data!$A:$AN,MATCH(yoy!$H$1,Data!$A$1:$AN$1,),))/VLOOKUP(A42,Data!$A:$AN,MATCH(yoy!$H$1,Data!$A$1:$AN$1,),)</f>
        <v/>
      </c>
      <c r="I42" s="14">
        <f>(VLOOKUP(B42,Data!$A:$AN,MATCH(yoy!$I$1,Data!$A$1:$AN$1,),)-VLOOKUP(A42,Data!$A:$AN,MATCH(yoy!$I$1,Data!$A$1:$AN$1,),))/VLOOKUP(A42,Data!$A:$AN,MATCH(yoy!$I$1,Data!$A$1:$AN$1,),)</f>
        <v/>
      </c>
      <c r="J42" s="14">
        <f>(VLOOKUP(B42,Data!$A:$AN,MATCH(yoy!$J$1,Data!$A$1:$AN$1,),)-VLOOKUP(A42,Data!$A:$AN,MATCH(yoy!$J$1,Data!$A$1:$AN$1,),))/VLOOKUP(A42,Data!$A:$AN,MATCH(yoy!$J$1,Data!$A$1:$AN$1,),)</f>
        <v/>
      </c>
      <c r="K42" s="14">
        <f>(VLOOKUP(B42,Data!$A:$AN,MATCH(yoy!$K$1,Data!$A$1:$AN$1,),)-VLOOKUP(A42,Data!$A:$AN,MATCH(yoy!$K$1,Data!$A$1:$AN$1,),))/VLOOKUP(A42,Data!$A:$AN,MATCH(yoy!$K$1,Data!$A$1:$AN$1,),)</f>
        <v/>
      </c>
      <c r="L42" s="14">
        <f>(VLOOKUP(B42,Data!$A:$AN,MATCH(yoy!$L$1,Data!$A$1:$AN$1,),)-VLOOKUP(A42,Data!$A:$AN,MATCH(yoy!$L$1,Data!$A$1:$AN$1,),))/VLOOKUP(A42,Data!$A:$AN,MATCH(yoy!$L$1,Data!$A$1:$AN$1,),)</f>
        <v/>
      </c>
      <c r="M42" s="14">
        <f>(VLOOKUP(B42,Data!$A:$AN,MATCH(yoy!$M$1,Data!$A$1:$AN$1,),)-VLOOKUP(A42,Data!$A:$AN,MATCH(yoy!$M$1,Data!$A$1:$AN$1,),))/VLOOKUP(A42,Data!$A:$AN,MATCH(yoy!$M$1,Data!$A$1:$AN$1,),)</f>
        <v/>
      </c>
      <c r="N42" s="14">
        <f>(VLOOKUP(B42,Data!$A:$AN,MATCH(yoy!$N$1,Data!$A$1:$AN$1,),)-VLOOKUP(A42,Data!$A:$AN,MATCH(yoy!$N$1,Data!$A$1:$AN$1,),))/VLOOKUP(A42,Data!$A:$AN,MATCH(yoy!$N$1,Data!$A$1:$AN$1,),)</f>
        <v/>
      </c>
      <c r="O42" s="14">
        <f>(VLOOKUP(B42,Data!$A:$AN,MATCH(yoy!$O$1,Data!$A$1:$AN$1,),)-VLOOKUP(A42,Data!$A:$AN,MATCH(yoy!$O$1,Data!$A$1:$AN$1,),))/VLOOKUP(A42,Data!$A:$AN,MATCH(yoy!$O$1,Data!$A$1:$AN$1,),)</f>
        <v/>
      </c>
      <c r="P42" s="14">
        <f>(VLOOKUP(B42,Data!$A:$AN,MATCH(yoy!$P$1,Data!$A$1:$AN$1,),)-VLOOKUP(A42,Data!$A:$AN,MATCH(yoy!$P$1,Data!$A$1:$AN$1,),))/VLOOKUP(A42,Data!$A:$AN,MATCH(yoy!$P$1,Data!$A$1:$AN$1,),)</f>
        <v/>
      </c>
      <c r="Q42" s="14">
        <f>(VLOOKUP(B42,Data!$A:$AN,MATCH(yoy!$Q$1,Data!$A$1:$AN$1,),)-VLOOKUP(A42,Data!$A:$AN,MATCH(yoy!$Q$1,Data!$A$1:$AN$1,),))/VLOOKUP(A42,Data!$A:$AN,MATCH(yoy!$Q$1,Data!$A$1:$AN$1,),)</f>
        <v/>
      </c>
      <c r="R42" s="14">
        <f>(VLOOKUP(B42,Data!$A:$AN,MATCH(yoy!$R$1,Data!$A$1:$AN$1,),)-VLOOKUP(A42,Data!$A:$AN,MATCH(yoy!$R$1,Data!$A$1:$AN$1,),))/VLOOKUP(A42,Data!$A:$AN,MATCH(yoy!$R$1,Data!$A$1:$AN$1,),)</f>
        <v/>
      </c>
      <c r="S42" s="14">
        <f>(VLOOKUP(B42,Data!$A:$AN,MATCH(yoy!$S$1,Data!$A$1:$AN$1,),)-VLOOKUP(A42,Data!$A:$AN,MATCH(yoy!$S$1,Data!$A$1:$AN$1,),))/VLOOKUP(A42,Data!$A:$AN,MATCH(yoy!$S$1,Data!$A$1:$AN$1,),)</f>
        <v/>
      </c>
      <c r="T42" s="14">
        <f>(VLOOKUP(B42,Data!$A:$AN,MATCH(yoy!$T$1,Data!$A$1:$AN$1,),)-VLOOKUP(A42,Data!$A:$AN,MATCH(yoy!$T$1,Data!$A$1:$AN$1,),))/VLOOKUP(A42,Data!$A:$AN,MATCH(yoy!$T$1,Data!$A$1:$AN$1,),)</f>
        <v/>
      </c>
      <c r="U42" s="14">
        <f>(VLOOKUP(B42,Data!$A:$AN,MATCH(yoy!$U$1,Data!$A$1:$AN$1,),)-VLOOKUP(A42,Data!$A:$AN,MATCH(yoy!$U$1,Data!$A$1:$AN$1,),))/VLOOKUP(A42,Data!$A:$AN,MATCH(yoy!$U$1,Data!$A$1:$AN$1,),)</f>
        <v/>
      </c>
      <c r="V42" s="14">
        <f>(VLOOKUP(B42,Data!$A:$AN,MATCH(yoy!$V$1,Data!$A$1:$AN$1,),)-VLOOKUP(A42,Data!$A:$AN,MATCH(yoy!$V$1,Data!$A$1:$AN$1,),))/VLOOKUP(A42,Data!$A:$AN,MATCH(yoy!$V$1,Data!$A$1:$AN$1,),)</f>
        <v/>
      </c>
      <c r="W42" s="14">
        <f>(VLOOKUP(B42,Data!$A:$AN,MATCH(yoy!$W$1,Data!$A$1:$AN$1,),)-VLOOKUP(A42,Data!$A:$AN,MATCH(yoy!$W$1,Data!$A$1:$AN$1,),))/VLOOKUP(A42,Data!$A:$AN,MATCH(yoy!$W$1,Data!$A$1:$AN$1,),)</f>
        <v/>
      </c>
      <c r="X42" s="14">
        <f>(VLOOKUP(B42,Data!$A:$AN,MATCH(yoy!$X$1,Data!$A$1:$AN$1,),)-VLOOKUP(A42,Data!$A:$AN,MATCH(yoy!$X$1,Data!$A$1:$AN$1,),))/VLOOKUP(A42,Data!$A:$AN,MATCH(yoy!$X$1,Data!$A$1:$AN$1,),)</f>
        <v/>
      </c>
      <c r="Y42" s="14">
        <f>(VLOOKUP(B42,Data!$A:$AN,MATCH(yoy!$Y$1,Data!$A$1:$AN$1,),)-VLOOKUP(A42,Data!$A:$AN,MATCH(yoy!$Y$1,Data!$A$1:$AN$1,),))/VLOOKUP(A42,Data!$A:$AN,MATCH(yoy!$Y$1,Data!$A$1:$AN$1,),)</f>
        <v/>
      </c>
      <c r="Z42" s="14">
        <f>(VLOOKUP(B42,Data!$A:$AN,MATCH(yoy!$Z$1,Data!$A$1:$AN$1,),)-VLOOKUP(A42,Data!$A:$AN,MATCH(yoy!$Z$1,Data!$A$1:$AN$1,),))/VLOOKUP(A42,Data!$A:$AN,MATCH(yoy!$Z$1,Data!$A$1:$AN$1,),)</f>
        <v/>
      </c>
      <c r="AA42" s="14">
        <f>(VLOOKUP(B42,Data!$A:$AN,MATCH(yoy!$AA$1,Data!$A$1:$AN$1,),)-VLOOKUP(A42,Data!$A:$AN,MATCH(yoy!$AA$1,Data!$A$1:$AN$1,),))/VLOOKUP(A42,Data!$A:$AN,MATCH(yoy!$AA$1,Data!$A$1:$AN$1,),)</f>
        <v/>
      </c>
    </row>
    <row r="43">
      <c r="A43" s="20">
        <f>DATE(YEAR(B43)-1,MONTH(B43),DAY(B43))</f>
        <v/>
      </c>
      <c r="B43" s="12" t="n">
        <v>43160</v>
      </c>
      <c r="C43" s="14">
        <f>(VLOOKUP(B43,Data!$A:$AN,MATCH(yoy!$C$1,Data!$A$1:$AN$1,),)-VLOOKUP(A43,Data!$A:$AN,MATCH(yoy!$C$1,Data!$A$1:$AN$1,),))/VLOOKUP(A43,Data!$A:$AN,MATCH(yoy!$C$1,Data!$A$1:$AN$1,),)</f>
        <v/>
      </c>
      <c r="D43" s="14">
        <f>(VLOOKUP(B43,Data!$A:$AN,MATCH(yoy!$D$1,Data!$A$1:$AN$1,),)-VLOOKUP(A43,Data!$A:$AN,MATCH(yoy!$D$1,Data!$A$1:$AN$1,),))/VLOOKUP(A43,Data!$A:$AN,MATCH(yoy!$D$1,Data!$A$1:$AN$1,),)</f>
        <v/>
      </c>
      <c r="E43" s="14">
        <f>(VLOOKUP(B43,Data!$A:$AN,MATCH(yoy!$E$1,Data!$A$1:$AN$1,),)-VLOOKUP(A43,Data!$A:$AN,MATCH(yoy!$E$1,Data!$A$1:$AN$1,),))/VLOOKUP(A43,Data!$A:$AN,MATCH(yoy!$E$1,Data!$A$1:$AN$1,),)</f>
        <v/>
      </c>
      <c r="F43" s="14">
        <f>(VLOOKUP(B43,Data!$A:$AN,MATCH(yoy!$F$1,Data!$A$1:$AN$1,),)-VLOOKUP(A43,Data!$A:$AN,MATCH(yoy!$F$1,Data!$A$1:$AN$1,),))/VLOOKUP(A43,Data!$A:$AN,MATCH(yoy!$F$1,Data!$A$1:$AN$1,),)</f>
        <v/>
      </c>
      <c r="G43" s="14">
        <f>(VLOOKUP(B43,Data!$A:$AN,MATCH(yoy!$G$1,Data!$A$1:$AN$1,),)-VLOOKUP(A43,Data!$A:$AN,MATCH(yoy!$G$1,Data!$A$1:$AN$1,),))/VLOOKUP(A43,Data!$A:$AN,MATCH(yoy!$G$1,Data!$A$1:$AN$1,),)</f>
        <v/>
      </c>
      <c r="H43" s="14">
        <f>(VLOOKUP(B43,Data!$A:$AN,MATCH(yoy!$H$1,Data!$A$1:$AN$1,),)-VLOOKUP(A43,Data!$A:$AN,MATCH(yoy!$H$1,Data!$A$1:$AN$1,),))/VLOOKUP(A43,Data!$A:$AN,MATCH(yoy!$H$1,Data!$A$1:$AN$1,),)</f>
        <v/>
      </c>
      <c r="I43" s="14">
        <f>(VLOOKUP(B43,Data!$A:$AN,MATCH(yoy!$I$1,Data!$A$1:$AN$1,),)-VLOOKUP(A43,Data!$A:$AN,MATCH(yoy!$I$1,Data!$A$1:$AN$1,),))/VLOOKUP(A43,Data!$A:$AN,MATCH(yoy!$I$1,Data!$A$1:$AN$1,),)</f>
        <v/>
      </c>
      <c r="J43" s="14">
        <f>(VLOOKUP(B43,Data!$A:$AN,MATCH(yoy!$J$1,Data!$A$1:$AN$1,),)-VLOOKUP(A43,Data!$A:$AN,MATCH(yoy!$J$1,Data!$A$1:$AN$1,),))/VLOOKUP(A43,Data!$A:$AN,MATCH(yoy!$J$1,Data!$A$1:$AN$1,),)</f>
        <v/>
      </c>
      <c r="K43" s="14">
        <f>(VLOOKUP(B43,Data!$A:$AN,MATCH(yoy!$K$1,Data!$A$1:$AN$1,),)-VLOOKUP(A43,Data!$A:$AN,MATCH(yoy!$K$1,Data!$A$1:$AN$1,),))/VLOOKUP(A43,Data!$A:$AN,MATCH(yoy!$K$1,Data!$A$1:$AN$1,),)</f>
        <v/>
      </c>
      <c r="L43" s="14">
        <f>(VLOOKUP(B43,Data!$A:$AN,MATCH(yoy!$L$1,Data!$A$1:$AN$1,),)-VLOOKUP(A43,Data!$A:$AN,MATCH(yoy!$L$1,Data!$A$1:$AN$1,),))/VLOOKUP(A43,Data!$A:$AN,MATCH(yoy!$L$1,Data!$A$1:$AN$1,),)</f>
        <v/>
      </c>
      <c r="M43" s="14">
        <f>(VLOOKUP(B43,Data!$A:$AN,MATCH(yoy!$M$1,Data!$A$1:$AN$1,),)-VLOOKUP(A43,Data!$A:$AN,MATCH(yoy!$M$1,Data!$A$1:$AN$1,),))/VLOOKUP(A43,Data!$A:$AN,MATCH(yoy!$M$1,Data!$A$1:$AN$1,),)</f>
        <v/>
      </c>
      <c r="N43" s="14">
        <f>(VLOOKUP(B43,Data!$A:$AN,MATCH(yoy!$N$1,Data!$A$1:$AN$1,),)-VLOOKUP(A43,Data!$A:$AN,MATCH(yoy!$N$1,Data!$A$1:$AN$1,),))/VLOOKUP(A43,Data!$A:$AN,MATCH(yoy!$N$1,Data!$A$1:$AN$1,),)</f>
        <v/>
      </c>
      <c r="O43" s="14">
        <f>(VLOOKUP(B43,Data!$A:$AN,MATCH(yoy!$O$1,Data!$A$1:$AN$1,),)-VLOOKUP(A43,Data!$A:$AN,MATCH(yoy!$O$1,Data!$A$1:$AN$1,),))/VLOOKUP(A43,Data!$A:$AN,MATCH(yoy!$O$1,Data!$A$1:$AN$1,),)</f>
        <v/>
      </c>
      <c r="P43" s="14">
        <f>(VLOOKUP(B43,Data!$A:$AN,MATCH(yoy!$P$1,Data!$A$1:$AN$1,),)-VLOOKUP(A43,Data!$A:$AN,MATCH(yoy!$P$1,Data!$A$1:$AN$1,),))/VLOOKUP(A43,Data!$A:$AN,MATCH(yoy!$P$1,Data!$A$1:$AN$1,),)</f>
        <v/>
      </c>
      <c r="Q43" s="14">
        <f>(VLOOKUP(B43,Data!$A:$AN,MATCH(yoy!$Q$1,Data!$A$1:$AN$1,),)-VLOOKUP(A43,Data!$A:$AN,MATCH(yoy!$Q$1,Data!$A$1:$AN$1,),))/VLOOKUP(A43,Data!$A:$AN,MATCH(yoy!$Q$1,Data!$A$1:$AN$1,),)</f>
        <v/>
      </c>
      <c r="R43" s="14">
        <f>(VLOOKUP(B43,Data!$A:$AN,MATCH(yoy!$R$1,Data!$A$1:$AN$1,),)-VLOOKUP(A43,Data!$A:$AN,MATCH(yoy!$R$1,Data!$A$1:$AN$1,),))/VLOOKUP(A43,Data!$A:$AN,MATCH(yoy!$R$1,Data!$A$1:$AN$1,),)</f>
        <v/>
      </c>
      <c r="S43" s="14">
        <f>(VLOOKUP(B43,Data!$A:$AN,MATCH(yoy!$S$1,Data!$A$1:$AN$1,),)-VLOOKUP(A43,Data!$A:$AN,MATCH(yoy!$S$1,Data!$A$1:$AN$1,),))/VLOOKUP(A43,Data!$A:$AN,MATCH(yoy!$S$1,Data!$A$1:$AN$1,),)</f>
        <v/>
      </c>
      <c r="T43" s="14">
        <f>(VLOOKUP(B43,Data!$A:$AN,MATCH(yoy!$T$1,Data!$A$1:$AN$1,),)-VLOOKUP(A43,Data!$A:$AN,MATCH(yoy!$T$1,Data!$A$1:$AN$1,),))/VLOOKUP(A43,Data!$A:$AN,MATCH(yoy!$T$1,Data!$A$1:$AN$1,),)</f>
        <v/>
      </c>
      <c r="U43" s="14">
        <f>(VLOOKUP(B43,Data!$A:$AN,MATCH(yoy!$U$1,Data!$A$1:$AN$1,),)-VLOOKUP(A43,Data!$A:$AN,MATCH(yoy!$U$1,Data!$A$1:$AN$1,),))/VLOOKUP(A43,Data!$A:$AN,MATCH(yoy!$U$1,Data!$A$1:$AN$1,),)</f>
        <v/>
      </c>
      <c r="V43" s="14">
        <f>(VLOOKUP(B43,Data!$A:$AN,MATCH(yoy!$V$1,Data!$A$1:$AN$1,),)-VLOOKUP(A43,Data!$A:$AN,MATCH(yoy!$V$1,Data!$A$1:$AN$1,),))/VLOOKUP(A43,Data!$A:$AN,MATCH(yoy!$V$1,Data!$A$1:$AN$1,),)</f>
        <v/>
      </c>
      <c r="W43" s="14">
        <f>(VLOOKUP(B43,Data!$A:$AN,MATCH(yoy!$W$1,Data!$A$1:$AN$1,),)-VLOOKUP(A43,Data!$A:$AN,MATCH(yoy!$W$1,Data!$A$1:$AN$1,),))/VLOOKUP(A43,Data!$A:$AN,MATCH(yoy!$W$1,Data!$A$1:$AN$1,),)</f>
        <v/>
      </c>
      <c r="X43" s="14">
        <f>(VLOOKUP(B43,Data!$A:$AN,MATCH(yoy!$X$1,Data!$A$1:$AN$1,),)-VLOOKUP(A43,Data!$A:$AN,MATCH(yoy!$X$1,Data!$A$1:$AN$1,),))/VLOOKUP(A43,Data!$A:$AN,MATCH(yoy!$X$1,Data!$A$1:$AN$1,),)</f>
        <v/>
      </c>
      <c r="Y43" s="14">
        <f>(VLOOKUP(B43,Data!$A:$AN,MATCH(yoy!$Y$1,Data!$A$1:$AN$1,),)-VLOOKUP(A43,Data!$A:$AN,MATCH(yoy!$Y$1,Data!$A$1:$AN$1,),))/VLOOKUP(A43,Data!$A:$AN,MATCH(yoy!$Y$1,Data!$A$1:$AN$1,),)</f>
        <v/>
      </c>
      <c r="Z43" s="14">
        <f>(VLOOKUP(B43,Data!$A:$AN,MATCH(yoy!$Z$1,Data!$A$1:$AN$1,),)-VLOOKUP(A43,Data!$A:$AN,MATCH(yoy!$Z$1,Data!$A$1:$AN$1,),))/VLOOKUP(A43,Data!$A:$AN,MATCH(yoy!$Z$1,Data!$A$1:$AN$1,),)</f>
        <v/>
      </c>
      <c r="AA43" s="14">
        <f>(VLOOKUP(B43,Data!$A:$AN,MATCH(yoy!$AA$1,Data!$A$1:$AN$1,),)-VLOOKUP(A43,Data!$A:$AN,MATCH(yoy!$AA$1,Data!$A$1:$AN$1,),))/VLOOKUP(A43,Data!$A:$AN,MATCH(yoy!$AA$1,Data!$A$1:$AN$1,),)</f>
        <v/>
      </c>
    </row>
    <row r="44">
      <c r="A44" s="20">
        <f>DATE(YEAR(B44)-1,MONTH(B44),DAY(B44))</f>
        <v/>
      </c>
      <c r="B44" s="12" t="n">
        <v>43191</v>
      </c>
      <c r="C44" s="14">
        <f>(VLOOKUP(B44,Data!$A:$AN,MATCH(yoy!$C$1,Data!$A$1:$AN$1,),)-VLOOKUP(A44,Data!$A:$AN,MATCH(yoy!$C$1,Data!$A$1:$AN$1,),))/VLOOKUP(A44,Data!$A:$AN,MATCH(yoy!$C$1,Data!$A$1:$AN$1,),)</f>
        <v/>
      </c>
      <c r="D44" s="14">
        <f>(VLOOKUP(B44,Data!$A:$AN,MATCH(yoy!$D$1,Data!$A$1:$AN$1,),)-VLOOKUP(A44,Data!$A:$AN,MATCH(yoy!$D$1,Data!$A$1:$AN$1,),))/VLOOKUP(A44,Data!$A:$AN,MATCH(yoy!$D$1,Data!$A$1:$AN$1,),)</f>
        <v/>
      </c>
      <c r="E44" s="14">
        <f>(VLOOKUP(B44,Data!$A:$AN,MATCH(yoy!$E$1,Data!$A$1:$AN$1,),)-VLOOKUP(A44,Data!$A:$AN,MATCH(yoy!$E$1,Data!$A$1:$AN$1,),))/VLOOKUP(A44,Data!$A:$AN,MATCH(yoy!$E$1,Data!$A$1:$AN$1,),)</f>
        <v/>
      </c>
      <c r="F44" s="14">
        <f>(VLOOKUP(B44,Data!$A:$AN,MATCH(yoy!$F$1,Data!$A$1:$AN$1,),)-VLOOKUP(A44,Data!$A:$AN,MATCH(yoy!$F$1,Data!$A$1:$AN$1,),))/VLOOKUP(A44,Data!$A:$AN,MATCH(yoy!$F$1,Data!$A$1:$AN$1,),)</f>
        <v/>
      </c>
      <c r="G44" s="14">
        <f>(VLOOKUP(B44,Data!$A:$AN,MATCH(yoy!$G$1,Data!$A$1:$AN$1,),)-VLOOKUP(A44,Data!$A:$AN,MATCH(yoy!$G$1,Data!$A$1:$AN$1,),))/VLOOKUP(A44,Data!$A:$AN,MATCH(yoy!$G$1,Data!$A$1:$AN$1,),)</f>
        <v/>
      </c>
      <c r="H44" s="14">
        <f>(VLOOKUP(B44,Data!$A:$AN,MATCH(yoy!$H$1,Data!$A$1:$AN$1,),)-VLOOKUP(A44,Data!$A:$AN,MATCH(yoy!$H$1,Data!$A$1:$AN$1,),))/VLOOKUP(A44,Data!$A:$AN,MATCH(yoy!$H$1,Data!$A$1:$AN$1,),)</f>
        <v/>
      </c>
      <c r="I44" s="14">
        <f>(VLOOKUP(B44,Data!$A:$AN,MATCH(yoy!$I$1,Data!$A$1:$AN$1,),)-VLOOKUP(A44,Data!$A:$AN,MATCH(yoy!$I$1,Data!$A$1:$AN$1,),))/VLOOKUP(A44,Data!$A:$AN,MATCH(yoy!$I$1,Data!$A$1:$AN$1,),)</f>
        <v/>
      </c>
      <c r="J44" s="14">
        <f>(VLOOKUP(B44,Data!$A:$AN,MATCH(yoy!$J$1,Data!$A$1:$AN$1,),)-VLOOKUP(A44,Data!$A:$AN,MATCH(yoy!$J$1,Data!$A$1:$AN$1,),))/VLOOKUP(A44,Data!$A:$AN,MATCH(yoy!$J$1,Data!$A$1:$AN$1,),)</f>
        <v/>
      </c>
      <c r="K44" s="14">
        <f>(VLOOKUP(B44,Data!$A:$AN,MATCH(yoy!$K$1,Data!$A$1:$AN$1,),)-VLOOKUP(A44,Data!$A:$AN,MATCH(yoy!$K$1,Data!$A$1:$AN$1,),))/VLOOKUP(A44,Data!$A:$AN,MATCH(yoy!$K$1,Data!$A$1:$AN$1,),)</f>
        <v/>
      </c>
      <c r="L44" s="14">
        <f>(VLOOKUP(B44,Data!$A:$AN,MATCH(yoy!$L$1,Data!$A$1:$AN$1,),)-VLOOKUP(A44,Data!$A:$AN,MATCH(yoy!$L$1,Data!$A$1:$AN$1,),))/VLOOKUP(A44,Data!$A:$AN,MATCH(yoy!$L$1,Data!$A$1:$AN$1,),)</f>
        <v/>
      </c>
      <c r="M44" s="14">
        <f>(VLOOKUP(B44,Data!$A:$AN,MATCH(yoy!$M$1,Data!$A$1:$AN$1,),)-VLOOKUP(A44,Data!$A:$AN,MATCH(yoy!$M$1,Data!$A$1:$AN$1,),))/VLOOKUP(A44,Data!$A:$AN,MATCH(yoy!$M$1,Data!$A$1:$AN$1,),)</f>
        <v/>
      </c>
      <c r="N44" s="14">
        <f>(VLOOKUP(B44,Data!$A:$AN,MATCH(yoy!$N$1,Data!$A$1:$AN$1,),)-VLOOKUP(A44,Data!$A:$AN,MATCH(yoy!$N$1,Data!$A$1:$AN$1,),))/VLOOKUP(A44,Data!$A:$AN,MATCH(yoy!$N$1,Data!$A$1:$AN$1,),)</f>
        <v/>
      </c>
      <c r="O44" s="14">
        <f>(VLOOKUP(B44,Data!$A:$AN,MATCH(yoy!$O$1,Data!$A$1:$AN$1,),)-VLOOKUP(A44,Data!$A:$AN,MATCH(yoy!$O$1,Data!$A$1:$AN$1,),))/VLOOKUP(A44,Data!$A:$AN,MATCH(yoy!$O$1,Data!$A$1:$AN$1,),)</f>
        <v/>
      </c>
      <c r="P44" s="14">
        <f>(VLOOKUP(B44,Data!$A:$AN,MATCH(yoy!$P$1,Data!$A$1:$AN$1,),)-VLOOKUP(A44,Data!$A:$AN,MATCH(yoy!$P$1,Data!$A$1:$AN$1,),))/VLOOKUP(A44,Data!$A:$AN,MATCH(yoy!$P$1,Data!$A$1:$AN$1,),)</f>
        <v/>
      </c>
      <c r="Q44" s="14">
        <f>(VLOOKUP(B44,Data!$A:$AN,MATCH(yoy!$Q$1,Data!$A$1:$AN$1,),)-VLOOKUP(A44,Data!$A:$AN,MATCH(yoy!$Q$1,Data!$A$1:$AN$1,),))/VLOOKUP(A44,Data!$A:$AN,MATCH(yoy!$Q$1,Data!$A$1:$AN$1,),)</f>
        <v/>
      </c>
      <c r="R44" s="14">
        <f>(VLOOKUP(B44,Data!$A:$AN,MATCH(yoy!$R$1,Data!$A$1:$AN$1,),)-VLOOKUP(A44,Data!$A:$AN,MATCH(yoy!$R$1,Data!$A$1:$AN$1,),))/VLOOKUP(A44,Data!$A:$AN,MATCH(yoy!$R$1,Data!$A$1:$AN$1,),)</f>
        <v/>
      </c>
      <c r="S44" s="14">
        <f>(VLOOKUP(B44,Data!$A:$AN,MATCH(yoy!$S$1,Data!$A$1:$AN$1,),)-VLOOKUP(A44,Data!$A:$AN,MATCH(yoy!$S$1,Data!$A$1:$AN$1,),))/VLOOKUP(A44,Data!$A:$AN,MATCH(yoy!$S$1,Data!$A$1:$AN$1,),)</f>
        <v/>
      </c>
      <c r="T44" s="14">
        <f>(VLOOKUP(B44,Data!$A:$AN,MATCH(yoy!$T$1,Data!$A$1:$AN$1,),)-VLOOKUP(A44,Data!$A:$AN,MATCH(yoy!$T$1,Data!$A$1:$AN$1,),))/VLOOKUP(A44,Data!$A:$AN,MATCH(yoy!$T$1,Data!$A$1:$AN$1,),)</f>
        <v/>
      </c>
      <c r="U44" s="14">
        <f>(VLOOKUP(B44,Data!$A:$AN,MATCH(yoy!$U$1,Data!$A$1:$AN$1,),)-VLOOKUP(A44,Data!$A:$AN,MATCH(yoy!$U$1,Data!$A$1:$AN$1,),))/VLOOKUP(A44,Data!$A:$AN,MATCH(yoy!$U$1,Data!$A$1:$AN$1,),)</f>
        <v/>
      </c>
      <c r="V44" s="14">
        <f>(VLOOKUP(B44,Data!$A:$AN,MATCH(yoy!$V$1,Data!$A$1:$AN$1,),)-VLOOKUP(A44,Data!$A:$AN,MATCH(yoy!$V$1,Data!$A$1:$AN$1,),))/VLOOKUP(A44,Data!$A:$AN,MATCH(yoy!$V$1,Data!$A$1:$AN$1,),)</f>
        <v/>
      </c>
      <c r="W44" s="14">
        <f>(VLOOKUP(B44,Data!$A:$AN,MATCH(yoy!$W$1,Data!$A$1:$AN$1,),)-VLOOKUP(A44,Data!$A:$AN,MATCH(yoy!$W$1,Data!$A$1:$AN$1,),))/VLOOKUP(A44,Data!$A:$AN,MATCH(yoy!$W$1,Data!$A$1:$AN$1,),)</f>
        <v/>
      </c>
      <c r="X44" s="14">
        <f>(VLOOKUP(B44,Data!$A:$AN,MATCH(yoy!$X$1,Data!$A$1:$AN$1,),)-VLOOKUP(A44,Data!$A:$AN,MATCH(yoy!$X$1,Data!$A$1:$AN$1,),))/VLOOKUP(A44,Data!$A:$AN,MATCH(yoy!$X$1,Data!$A$1:$AN$1,),)</f>
        <v/>
      </c>
      <c r="Y44" s="14">
        <f>(VLOOKUP(B44,Data!$A:$AN,MATCH(yoy!$Y$1,Data!$A$1:$AN$1,),)-VLOOKUP(A44,Data!$A:$AN,MATCH(yoy!$Y$1,Data!$A$1:$AN$1,),))/VLOOKUP(A44,Data!$A:$AN,MATCH(yoy!$Y$1,Data!$A$1:$AN$1,),)</f>
        <v/>
      </c>
      <c r="Z44" s="14">
        <f>(VLOOKUP(B44,Data!$A:$AN,MATCH(yoy!$Z$1,Data!$A$1:$AN$1,),)-VLOOKUP(A44,Data!$A:$AN,MATCH(yoy!$Z$1,Data!$A$1:$AN$1,),))/VLOOKUP(A44,Data!$A:$AN,MATCH(yoy!$Z$1,Data!$A$1:$AN$1,),)</f>
        <v/>
      </c>
      <c r="AA44" s="14">
        <f>(VLOOKUP(B44,Data!$A:$AN,MATCH(yoy!$AA$1,Data!$A$1:$AN$1,),)-VLOOKUP(A44,Data!$A:$AN,MATCH(yoy!$AA$1,Data!$A$1:$AN$1,),))/VLOOKUP(A44,Data!$A:$AN,MATCH(yoy!$AA$1,Data!$A$1:$AN$1,),)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(VLOOKUP(B45,Data!$A:$AN,MATCH(yoy!$C$1,Data!$A$1:$AN$1,),)-VLOOKUP(A45,Data!$A:$AN,MATCH(yoy!$C$1,Data!$A$1:$AN$1,),))/VLOOKUP(A45,Data!$A:$AN,MATCH(yoy!$C$1,Data!$A$1:$AN$1,),)</f>
        <v/>
      </c>
      <c r="D45" s="14">
        <f>(VLOOKUP(B45,Data!$A:$AN,MATCH(yoy!$D$1,Data!$A$1:$AN$1,),)-VLOOKUP(A45,Data!$A:$AN,MATCH(yoy!$D$1,Data!$A$1:$AN$1,),))/VLOOKUP(A45,Data!$A:$AN,MATCH(yoy!$D$1,Data!$A$1:$AN$1,),)</f>
        <v/>
      </c>
      <c r="E45" s="14">
        <f>(VLOOKUP(B45,Data!$A:$AN,MATCH(yoy!$E$1,Data!$A$1:$AN$1,),)-VLOOKUP(A45,Data!$A:$AN,MATCH(yoy!$E$1,Data!$A$1:$AN$1,),))/VLOOKUP(A45,Data!$A:$AN,MATCH(yoy!$E$1,Data!$A$1:$AN$1,),)</f>
        <v/>
      </c>
      <c r="F45" s="14">
        <f>(VLOOKUP(B45,Data!$A:$AN,MATCH(yoy!$F$1,Data!$A$1:$AN$1,),)-VLOOKUP(A45,Data!$A:$AN,MATCH(yoy!$F$1,Data!$A$1:$AN$1,),))/VLOOKUP(A45,Data!$A:$AN,MATCH(yoy!$F$1,Data!$A$1:$AN$1,),)</f>
        <v/>
      </c>
      <c r="G45" s="14">
        <f>(VLOOKUP(B45,Data!$A:$AN,MATCH(yoy!$G$1,Data!$A$1:$AN$1,),)-VLOOKUP(A45,Data!$A:$AN,MATCH(yoy!$G$1,Data!$A$1:$AN$1,),))/VLOOKUP(A45,Data!$A:$AN,MATCH(yoy!$G$1,Data!$A$1:$AN$1,),)</f>
        <v/>
      </c>
      <c r="H45" s="14">
        <f>(VLOOKUP(B45,Data!$A:$AN,MATCH(yoy!$H$1,Data!$A$1:$AN$1,),)-VLOOKUP(A45,Data!$A:$AN,MATCH(yoy!$H$1,Data!$A$1:$AN$1,),))/VLOOKUP(A45,Data!$A:$AN,MATCH(yoy!$H$1,Data!$A$1:$AN$1,),)</f>
        <v/>
      </c>
      <c r="I45" s="14">
        <f>(VLOOKUP(B45,Data!$A:$AN,MATCH(yoy!$I$1,Data!$A$1:$AN$1,),)-VLOOKUP(A45,Data!$A:$AN,MATCH(yoy!$I$1,Data!$A$1:$AN$1,),))/VLOOKUP(A45,Data!$A:$AN,MATCH(yoy!$I$1,Data!$A$1:$AN$1,),)</f>
        <v/>
      </c>
      <c r="J45" s="14">
        <f>(VLOOKUP(B45,Data!$A:$AN,MATCH(yoy!$J$1,Data!$A$1:$AN$1,),)-VLOOKUP(A45,Data!$A:$AN,MATCH(yoy!$J$1,Data!$A$1:$AN$1,),))/VLOOKUP(A45,Data!$A:$AN,MATCH(yoy!$J$1,Data!$A$1:$AN$1,),)</f>
        <v/>
      </c>
      <c r="K45" s="14">
        <f>(VLOOKUP(B45,Data!$A:$AN,MATCH(yoy!$K$1,Data!$A$1:$AN$1,),)-VLOOKUP(A45,Data!$A:$AN,MATCH(yoy!$K$1,Data!$A$1:$AN$1,),))/VLOOKUP(A45,Data!$A:$AN,MATCH(yoy!$K$1,Data!$A$1:$AN$1,),)</f>
        <v/>
      </c>
      <c r="L45" s="14">
        <f>(VLOOKUP(B45,Data!$A:$AN,MATCH(yoy!$L$1,Data!$A$1:$AN$1,),)-VLOOKUP(A45,Data!$A:$AN,MATCH(yoy!$L$1,Data!$A$1:$AN$1,),))/VLOOKUP(A45,Data!$A:$AN,MATCH(yoy!$L$1,Data!$A$1:$AN$1,),)</f>
        <v/>
      </c>
      <c r="M45" s="14">
        <f>(VLOOKUP(B45,Data!$A:$AN,MATCH(yoy!$M$1,Data!$A$1:$AN$1,),)-VLOOKUP(A45,Data!$A:$AN,MATCH(yoy!$M$1,Data!$A$1:$AN$1,),))/VLOOKUP(A45,Data!$A:$AN,MATCH(yoy!$M$1,Data!$A$1:$AN$1,),)</f>
        <v/>
      </c>
      <c r="N45" s="14">
        <f>(VLOOKUP(B45,Data!$A:$AN,MATCH(yoy!$N$1,Data!$A$1:$AN$1,),)-VLOOKUP(A45,Data!$A:$AN,MATCH(yoy!$N$1,Data!$A$1:$AN$1,),))/VLOOKUP(A45,Data!$A:$AN,MATCH(yoy!$N$1,Data!$A$1:$AN$1,),)</f>
        <v/>
      </c>
      <c r="O45" s="14">
        <f>(VLOOKUP(B45,Data!$A:$AN,MATCH(yoy!$O$1,Data!$A$1:$AN$1,),)-VLOOKUP(A45,Data!$A:$AN,MATCH(yoy!$O$1,Data!$A$1:$AN$1,),))/VLOOKUP(A45,Data!$A:$AN,MATCH(yoy!$O$1,Data!$A$1:$AN$1,),)</f>
        <v/>
      </c>
      <c r="P45" s="14">
        <f>(VLOOKUP(B45,Data!$A:$AN,MATCH(yoy!$P$1,Data!$A$1:$AN$1,),)-VLOOKUP(A45,Data!$A:$AN,MATCH(yoy!$P$1,Data!$A$1:$AN$1,),))/VLOOKUP(A45,Data!$A:$AN,MATCH(yoy!$P$1,Data!$A$1:$AN$1,),)</f>
        <v/>
      </c>
      <c r="Q45" s="14">
        <f>(VLOOKUP(B45,Data!$A:$AN,MATCH(yoy!$Q$1,Data!$A$1:$AN$1,),)-VLOOKUP(A45,Data!$A:$AN,MATCH(yoy!$Q$1,Data!$A$1:$AN$1,),))/VLOOKUP(A45,Data!$A:$AN,MATCH(yoy!$Q$1,Data!$A$1:$AN$1,),)</f>
        <v/>
      </c>
      <c r="R45" s="14">
        <f>(VLOOKUP(B45,Data!$A:$AN,MATCH(yoy!$R$1,Data!$A$1:$AN$1,),)-VLOOKUP(A45,Data!$A:$AN,MATCH(yoy!$R$1,Data!$A$1:$AN$1,),))/VLOOKUP(A45,Data!$A:$AN,MATCH(yoy!$R$1,Data!$A$1:$AN$1,),)</f>
        <v/>
      </c>
      <c r="S45" s="14">
        <f>(VLOOKUP(B45,Data!$A:$AN,MATCH(yoy!$S$1,Data!$A$1:$AN$1,),)-VLOOKUP(A45,Data!$A:$AN,MATCH(yoy!$S$1,Data!$A$1:$AN$1,),))/VLOOKUP(A45,Data!$A:$AN,MATCH(yoy!$S$1,Data!$A$1:$AN$1,),)</f>
        <v/>
      </c>
      <c r="T45" s="14">
        <f>(VLOOKUP(B45,Data!$A:$AN,MATCH(yoy!$T$1,Data!$A$1:$AN$1,),)-VLOOKUP(A45,Data!$A:$AN,MATCH(yoy!$T$1,Data!$A$1:$AN$1,),))/VLOOKUP(A45,Data!$A:$AN,MATCH(yoy!$T$1,Data!$A$1:$AN$1,),)</f>
        <v/>
      </c>
      <c r="U45" s="14">
        <f>(VLOOKUP(B45,Data!$A:$AN,MATCH(yoy!$U$1,Data!$A$1:$AN$1,),)-VLOOKUP(A45,Data!$A:$AN,MATCH(yoy!$U$1,Data!$A$1:$AN$1,),))/VLOOKUP(A45,Data!$A:$AN,MATCH(yoy!$U$1,Data!$A$1:$AN$1,),)</f>
        <v/>
      </c>
      <c r="V45" s="14">
        <f>(VLOOKUP(B45,Data!$A:$AN,MATCH(yoy!$V$1,Data!$A$1:$AN$1,),)-VLOOKUP(A45,Data!$A:$AN,MATCH(yoy!$V$1,Data!$A$1:$AN$1,),))/VLOOKUP(A45,Data!$A:$AN,MATCH(yoy!$V$1,Data!$A$1:$AN$1,),)</f>
        <v/>
      </c>
      <c r="W45" s="14">
        <f>(VLOOKUP(B45,Data!$A:$AN,MATCH(yoy!$W$1,Data!$A$1:$AN$1,),)-VLOOKUP(A45,Data!$A:$AN,MATCH(yoy!$W$1,Data!$A$1:$AN$1,),))/VLOOKUP(A45,Data!$A:$AN,MATCH(yoy!$W$1,Data!$A$1:$AN$1,),)</f>
        <v/>
      </c>
      <c r="X45" s="14">
        <f>(VLOOKUP(B45,Data!$A:$AN,MATCH(yoy!$X$1,Data!$A$1:$AN$1,),)-VLOOKUP(A45,Data!$A:$AN,MATCH(yoy!$X$1,Data!$A$1:$AN$1,),))/VLOOKUP(A45,Data!$A:$AN,MATCH(yoy!$X$1,Data!$A$1:$AN$1,),)</f>
        <v/>
      </c>
      <c r="Y45" s="14">
        <f>(VLOOKUP(B45,Data!$A:$AN,MATCH(yoy!$Y$1,Data!$A$1:$AN$1,),)-VLOOKUP(A45,Data!$A:$AN,MATCH(yoy!$Y$1,Data!$A$1:$AN$1,),))/VLOOKUP(A45,Data!$A:$AN,MATCH(yoy!$Y$1,Data!$A$1:$AN$1,),)</f>
        <v/>
      </c>
      <c r="Z45" s="14">
        <f>(VLOOKUP(B45,Data!$A:$AN,MATCH(yoy!$Z$1,Data!$A$1:$AN$1,),)-VLOOKUP(A45,Data!$A:$AN,MATCH(yoy!$Z$1,Data!$A$1:$AN$1,),))/VLOOKUP(A45,Data!$A:$AN,MATCH(yoy!$Z$1,Data!$A$1:$AN$1,),)</f>
        <v/>
      </c>
      <c r="AA45" s="14">
        <f>(VLOOKUP(B45,Data!$A:$AN,MATCH(yoy!$AA$1,Data!$A$1:$AN$1,),)-VLOOKUP(A45,Data!$A:$AN,MATCH(yoy!$AA$1,Data!$A$1:$AN$1,),))/VLOOKUP(A45,Data!$A:$AN,MATCH(yoy!$AA$1,Data!$A$1:$AN$1,),)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(VLOOKUP(B46,Data!$A:$AN,MATCH(yoy!$C$1,Data!$A$1:$AN$1,),)-VLOOKUP(A46,Data!$A:$AN,MATCH(yoy!$C$1,Data!$A$1:$AN$1,),))/VLOOKUP(A46,Data!$A:$AN,MATCH(yoy!$C$1,Data!$A$1:$AN$1,),)</f>
        <v/>
      </c>
      <c r="D46" s="14">
        <f>(VLOOKUP(B46,Data!$A:$AN,MATCH(yoy!$D$1,Data!$A$1:$AN$1,),)-VLOOKUP(A46,Data!$A:$AN,MATCH(yoy!$D$1,Data!$A$1:$AN$1,),))/VLOOKUP(A46,Data!$A:$AN,MATCH(yoy!$D$1,Data!$A$1:$AN$1,),)</f>
        <v/>
      </c>
      <c r="E46" s="14">
        <f>(VLOOKUP(B46,Data!$A:$AN,MATCH(yoy!$E$1,Data!$A$1:$AN$1,),)-VLOOKUP(A46,Data!$A:$AN,MATCH(yoy!$E$1,Data!$A$1:$AN$1,),))/VLOOKUP(A46,Data!$A:$AN,MATCH(yoy!$E$1,Data!$A$1:$AN$1,),)</f>
        <v/>
      </c>
      <c r="F46" s="14">
        <f>(VLOOKUP(B46,Data!$A:$AN,MATCH(yoy!$F$1,Data!$A$1:$AN$1,),)-VLOOKUP(A46,Data!$A:$AN,MATCH(yoy!$F$1,Data!$A$1:$AN$1,),))/VLOOKUP(A46,Data!$A:$AN,MATCH(yoy!$F$1,Data!$A$1:$AN$1,),)</f>
        <v/>
      </c>
      <c r="G46" s="14">
        <f>(VLOOKUP(B46,Data!$A:$AN,MATCH(yoy!$G$1,Data!$A$1:$AN$1,),)-VLOOKUP(A46,Data!$A:$AN,MATCH(yoy!$G$1,Data!$A$1:$AN$1,),))/VLOOKUP(A46,Data!$A:$AN,MATCH(yoy!$G$1,Data!$A$1:$AN$1,),)</f>
        <v/>
      </c>
      <c r="H46" s="14">
        <f>(VLOOKUP(B46,Data!$A:$AN,MATCH(yoy!$H$1,Data!$A$1:$AN$1,),)-VLOOKUP(A46,Data!$A:$AN,MATCH(yoy!$H$1,Data!$A$1:$AN$1,),))/VLOOKUP(A46,Data!$A:$AN,MATCH(yoy!$H$1,Data!$A$1:$AN$1,),)</f>
        <v/>
      </c>
      <c r="I46" s="14">
        <f>(VLOOKUP(B46,Data!$A:$AN,MATCH(yoy!$I$1,Data!$A$1:$AN$1,),)-VLOOKUP(A46,Data!$A:$AN,MATCH(yoy!$I$1,Data!$A$1:$AN$1,),))/VLOOKUP(A46,Data!$A:$AN,MATCH(yoy!$I$1,Data!$A$1:$AN$1,),)</f>
        <v/>
      </c>
      <c r="J46" s="14">
        <f>(VLOOKUP(B46,Data!$A:$AN,MATCH(yoy!$J$1,Data!$A$1:$AN$1,),)-VLOOKUP(A46,Data!$A:$AN,MATCH(yoy!$J$1,Data!$A$1:$AN$1,),))/VLOOKUP(A46,Data!$A:$AN,MATCH(yoy!$J$1,Data!$A$1:$AN$1,),)</f>
        <v/>
      </c>
      <c r="K46" s="14">
        <f>(VLOOKUP(B46,Data!$A:$AN,MATCH(yoy!$K$1,Data!$A$1:$AN$1,),)-VLOOKUP(A46,Data!$A:$AN,MATCH(yoy!$K$1,Data!$A$1:$AN$1,),))/VLOOKUP(A46,Data!$A:$AN,MATCH(yoy!$K$1,Data!$A$1:$AN$1,),)</f>
        <v/>
      </c>
      <c r="L46" s="14">
        <f>(VLOOKUP(B46,Data!$A:$AN,MATCH(yoy!$L$1,Data!$A$1:$AN$1,),)-VLOOKUP(A46,Data!$A:$AN,MATCH(yoy!$L$1,Data!$A$1:$AN$1,),))/VLOOKUP(A46,Data!$A:$AN,MATCH(yoy!$L$1,Data!$A$1:$AN$1,),)</f>
        <v/>
      </c>
      <c r="M46" s="14">
        <f>(VLOOKUP(B46,Data!$A:$AN,MATCH(yoy!$M$1,Data!$A$1:$AN$1,),)-VLOOKUP(A46,Data!$A:$AN,MATCH(yoy!$M$1,Data!$A$1:$AN$1,),))/VLOOKUP(A46,Data!$A:$AN,MATCH(yoy!$M$1,Data!$A$1:$AN$1,),)</f>
        <v/>
      </c>
      <c r="N46" s="14">
        <f>(VLOOKUP(B46,Data!$A:$AN,MATCH(yoy!$N$1,Data!$A$1:$AN$1,),)-VLOOKUP(A46,Data!$A:$AN,MATCH(yoy!$N$1,Data!$A$1:$AN$1,),))/VLOOKUP(A46,Data!$A:$AN,MATCH(yoy!$N$1,Data!$A$1:$AN$1,),)</f>
        <v/>
      </c>
      <c r="O46" s="14">
        <f>(VLOOKUP(B46,Data!$A:$AN,MATCH(yoy!$O$1,Data!$A$1:$AN$1,),)-VLOOKUP(A46,Data!$A:$AN,MATCH(yoy!$O$1,Data!$A$1:$AN$1,),))/VLOOKUP(A46,Data!$A:$AN,MATCH(yoy!$O$1,Data!$A$1:$AN$1,),)</f>
        <v/>
      </c>
      <c r="P46" s="14">
        <f>(VLOOKUP(B46,Data!$A:$AN,MATCH(yoy!$P$1,Data!$A$1:$AN$1,),)-VLOOKUP(A46,Data!$A:$AN,MATCH(yoy!$P$1,Data!$A$1:$AN$1,),))/VLOOKUP(A46,Data!$A:$AN,MATCH(yoy!$P$1,Data!$A$1:$AN$1,),)</f>
        <v/>
      </c>
      <c r="Q46" s="14">
        <f>(VLOOKUP(B46,Data!$A:$AN,MATCH(yoy!$Q$1,Data!$A$1:$AN$1,),)-VLOOKUP(A46,Data!$A:$AN,MATCH(yoy!$Q$1,Data!$A$1:$AN$1,),))/VLOOKUP(A46,Data!$A:$AN,MATCH(yoy!$Q$1,Data!$A$1:$AN$1,),)</f>
        <v/>
      </c>
      <c r="R46" s="14">
        <f>(VLOOKUP(B46,Data!$A:$AN,MATCH(yoy!$R$1,Data!$A$1:$AN$1,),)-VLOOKUP(A46,Data!$A:$AN,MATCH(yoy!$R$1,Data!$A$1:$AN$1,),))/VLOOKUP(A46,Data!$A:$AN,MATCH(yoy!$R$1,Data!$A$1:$AN$1,),)</f>
        <v/>
      </c>
      <c r="S46" s="14">
        <f>(VLOOKUP(B46,Data!$A:$AN,MATCH(yoy!$S$1,Data!$A$1:$AN$1,),)-VLOOKUP(A46,Data!$A:$AN,MATCH(yoy!$S$1,Data!$A$1:$AN$1,),))/VLOOKUP(A46,Data!$A:$AN,MATCH(yoy!$S$1,Data!$A$1:$AN$1,),)</f>
        <v/>
      </c>
      <c r="T46" s="14">
        <f>(VLOOKUP(B46,Data!$A:$AN,MATCH(yoy!$T$1,Data!$A$1:$AN$1,),)-VLOOKUP(A46,Data!$A:$AN,MATCH(yoy!$T$1,Data!$A$1:$AN$1,),))/VLOOKUP(A46,Data!$A:$AN,MATCH(yoy!$T$1,Data!$A$1:$AN$1,),)</f>
        <v/>
      </c>
      <c r="U46" s="14">
        <f>(VLOOKUP(B46,Data!$A:$AN,MATCH(yoy!$U$1,Data!$A$1:$AN$1,),)-VLOOKUP(A46,Data!$A:$AN,MATCH(yoy!$U$1,Data!$A$1:$AN$1,),))/VLOOKUP(A46,Data!$A:$AN,MATCH(yoy!$U$1,Data!$A$1:$AN$1,),)</f>
        <v/>
      </c>
      <c r="V46" s="14">
        <f>(VLOOKUP(B46,Data!$A:$AN,MATCH(yoy!$V$1,Data!$A$1:$AN$1,),)-VLOOKUP(A46,Data!$A:$AN,MATCH(yoy!$V$1,Data!$A$1:$AN$1,),))/VLOOKUP(A46,Data!$A:$AN,MATCH(yoy!$V$1,Data!$A$1:$AN$1,),)</f>
        <v/>
      </c>
      <c r="W46" s="14">
        <f>(VLOOKUP(B46,Data!$A:$AN,MATCH(yoy!$W$1,Data!$A$1:$AN$1,),)-VLOOKUP(A46,Data!$A:$AN,MATCH(yoy!$W$1,Data!$A$1:$AN$1,),))/VLOOKUP(A46,Data!$A:$AN,MATCH(yoy!$W$1,Data!$A$1:$AN$1,),)</f>
        <v/>
      </c>
      <c r="X46" s="14">
        <f>(VLOOKUP(B46,Data!$A:$AN,MATCH(yoy!$X$1,Data!$A$1:$AN$1,),)-VLOOKUP(A46,Data!$A:$AN,MATCH(yoy!$X$1,Data!$A$1:$AN$1,),))/VLOOKUP(A46,Data!$A:$AN,MATCH(yoy!$X$1,Data!$A$1:$AN$1,),)</f>
        <v/>
      </c>
      <c r="Y46" s="14">
        <f>(VLOOKUP(B46,Data!$A:$AN,MATCH(yoy!$Y$1,Data!$A$1:$AN$1,),)-VLOOKUP(A46,Data!$A:$AN,MATCH(yoy!$Y$1,Data!$A$1:$AN$1,),))/VLOOKUP(A46,Data!$A:$AN,MATCH(yoy!$Y$1,Data!$A$1:$AN$1,),)</f>
        <v/>
      </c>
      <c r="Z46" s="14">
        <f>(VLOOKUP(B46,Data!$A:$AN,MATCH(yoy!$Z$1,Data!$A$1:$AN$1,),)-VLOOKUP(A46,Data!$A:$AN,MATCH(yoy!$Z$1,Data!$A$1:$AN$1,),))/VLOOKUP(A46,Data!$A:$AN,MATCH(yoy!$Z$1,Data!$A$1:$AN$1,),)</f>
        <v/>
      </c>
      <c r="AA46" s="14">
        <f>(VLOOKUP(B46,Data!$A:$AN,MATCH(yoy!$AA$1,Data!$A$1:$AN$1,),)-VLOOKUP(A46,Data!$A:$AN,MATCH(yoy!$AA$1,Data!$A$1:$AN$1,),))/VLOOKUP(A46,Data!$A:$AN,MATCH(yoy!$AA$1,Data!$A$1:$AN$1,),)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(VLOOKUP(B47,Data!$A:$AN,MATCH(yoy!$C$1,Data!$A$1:$AN$1,),)-VLOOKUP(A47,Data!$A:$AN,MATCH(yoy!$C$1,Data!$A$1:$AN$1,),))/VLOOKUP(A47,Data!$A:$AN,MATCH(yoy!$C$1,Data!$A$1:$AN$1,),)</f>
        <v/>
      </c>
      <c r="D47" s="14">
        <f>(VLOOKUP(B47,Data!$A:$AN,MATCH(yoy!$D$1,Data!$A$1:$AN$1,),)-VLOOKUP(A47,Data!$A:$AN,MATCH(yoy!$D$1,Data!$A$1:$AN$1,),))/VLOOKUP(A47,Data!$A:$AN,MATCH(yoy!$D$1,Data!$A$1:$AN$1,),)</f>
        <v/>
      </c>
      <c r="E47" s="14">
        <f>(VLOOKUP(B47,Data!$A:$AN,MATCH(yoy!$E$1,Data!$A$1:$AN$1,),)-VLOOKUP(A47,Data!$A:$AN,MATCH(yoy!$E$1,Data!$A$1:$AN$1,),))/VLOOKUP(A47,Data!$A:$AN,MATCH(yoy!$E$1,Data!$A$1:$AN$1,),)</f>
        <v/>
      </c>
      <c r="F47" s="14">
        <f>(VLOOKUP(B47,Data!$A:$AN,MATCH(yoy!$F$1,Data!$A$1:$AN$1,),)-VLOOKUP(A47,Data!$A:$AN,MATCH(yoy!$F$1,Data!$A$1:$AN$1,),))/VLOOKUP(A47,Data!$A:$AN,MATCH(yoy!$F$1,Data!$A$1:$AN$1,),)</f>
        <v/>
      </c>
      <c r="G47" s="14">
        <f>(VLOOKUP(B47,Data!$A:$AN,MATCH(yoy!$G$1,Data!$A$1:$AN$1,),)-VLOOKUP(A47,Data!$A:$AN,MATCH(yoy!$G$1,Data!$A$1:$AN$1,),))/VLOOKUP(A47,Data!$A:$AN,MATCH(yoy!$G$1,Data!$A$1:$AN$1,),)</f>
        <v/>
      </c>
      <c r="H47" s="14">
        <f>(VLOOKUP(B47,Data!$A:$AN,MATCH(yoy!$H$1,Data!$A$1:$AN$1,),)-VLOOKUP(A47,Data!$A:$AN,MATCH(yoy!$H$1,Data!$A$1:$AN$1,),))/VLOOKUP(A47,Data!$A:$AN,MATCH(yoy!$H$1,Data!$A$1:$AN$1,),)</f>
        <v/>
      </c>
      <c r="I47" s="14">
        <f>(VLOOKUP(B47,Data!$A:$AN,MATCH(yoy!$I$1,Data!$A$1:$AN$1,),)-VLOOKUP(A47,Data!$A:$AN,MATCH(yoy!$I$1,Data!$A$1:$AN$1,),))/VLOOKUP(A47,Data!$A:$AN,MATCH(yoy!$I$1,Data!$A$1:$AN$1,),)</f>
        <v/>
      </c>
      <c r="J47" s="14">
        <f>(VLOOKUP(B47,Data!$A:$AN,MATCH(yoy!$J$1,Data!$A$1:$AN$1,),)-VLOOKUP(A47,Data!$A:$AN,MATCH(yoy!$J$1,Data!$A$1:$AN$1,),))/VLOOKUP(A47,Data!$A:$AN,MATCH(yoy!$J$1,Data!$A$1:$AN$1,),)</f>
        <v/>
      </c>
      <c r="K47" s="14">
        <f>(VLOOKUP(B47,Data!$A:$AN,MATCH(yoy!$K$1,Data!$A$1:$AN$1,),)-VLOOKUP(A47,Data!$A:$AN,MATCH(yoy!$K$1,Data!$A$1:$AN$1,),))/VLOOKUP(A47,Data!$A:$AN,MATCH(yoy!$K$1,Data!$A$1:$AN$1,),)</f>
        <v/>
      </c>
      <c r="L47" s="14">
        <f>(VLOOKUP(B47,Data!$A:$AN,MATCH(yoy!$L$1,Data!$A$1:$AN$1,),)-VLOOKUP(A47,Data!$A:$AN,MATCH(yoy!$L$1,Data!$A$1:$AN$1,),))/VLOOKUP(A47,Data!$A:$AN,MATCH(yoy!$L$1,Data!$A$1:$AN$1,),)</f>
        <v/>
      </c>
      <c r="M47" s="14">
        <f>(VLOOKUP(B47,Data!$A:$AN,MATCH(yoy!$M$1,Data!$A$1:$AN$1,),)-VLOOKUP(A47,Data!$A:$AN,MATCH(yoy!$M$1,Data!$A$1:$AN$1,),))/VLOOKUP(A47,Data!$A:$AN,MATCH(yoy!$M$1,Data!$A$1:$AN$1,),)</f>
        <v/>
      </c>
      <c r="N47" s="14">
        <f>(VLOOKUP(B47,Data!$A:$AN,MATCH(yoy!$N$1,Data!$A$1:$AN$1,),)-VLOOKUP(A47,Data!$A:$AN,MATCH(yoy!$N$1,Data!$A$1:$AN$1,),))/VLOOKUP(A47,Data!$A:$AN,MATCH(yoy!$N$1,Data!$A$1:$AN$1,),)</f>
        <v/>
      </c>
      <c r="O47" s="14">
        <f>(VLOOKUP(B47,Data!$A:$AN,MATCH(yoy!$O$1,Data!$A$1:$AN$1,),)-VLOOKUP(A47,Data!$A:$AN,MATCH(yoy!$O$1,Data!$A$1:$AN$1,),))/VLOOKUP(A47,Data!$A:$AN,MATCH(yoy!$O$1,Data!$A$1:$AN$1,),)</f>
        <v/>
      </c>
      <c r="P47" s="14">
        <f>(VLOOKUP(B47,Data!$A:$AN,MATCH(yoy!$P$1,Data!$A$1:$AN$1,),)-VLOOKUP(A47,Data!$A:$AN,MATCH(yoy!$P$1,Data!$A$1:$AN$1,),))/VLOOKUP(A47,Data!$A:$AN,MATCH(yoy!$P$1,Data!$A$1:$AN$1,),)</f>
        <v/>
      </c>
      <c r="Q47" s="14">
        <f>(VLOOKUP(B47,Data!$A:$AN,MATCH(yoy!$Q$1,Data!$A$1:$AN$1,),)-VLOOKUP(A47,Data!$A:$AN,MATCH(yoy!$Q$1,Data!$A$1:$AN$1,),))/VLOOKUP(A47,Data!$A:$AN,MATCH(yoy!$Q$1,Data!$A$1:$AN$1,),)</f>
        <v/>
      </c>
      <c r="R47" s="14">
        <f>(VLOOKUP(B47,Data!$A:$AN,MATCH(yoy!$R$1,Data!$A$1:$AN$1,),)-VLOOKUP(A47,Data!$A:$AN,MATCH(yoy!$R$1,Data!$A$1:$AN$1,),))/VLOOKUP(A47,Data!$A:$AN,MATCH(yoy!$R$1,Data!$A$1:$AN$1,),)</f>
        <v/>
      </c>
      <c r="S47" s="14">
        <f>(VLOOKUP(B47,Data!$A:$AN,MATCH(yoy!$S$1,Data!$A$1:$AN$1,),)-VLOOKUP(A47,Data!$A:$AN,MATCH(yoy!$S$1,Data!$A$1:$AN$1,),))/VLOOKUP(A47,Data!$A:$AN,MATCH(yoy!$S$1,Data!$A$1:$AN$1,),)</f>
        <v/>
      </c>
      <c r="T47" s="14">
        <f>(VLOOKUP(B47,Data!$A:$AN,MATCH(yoy!$T$1,Data!$A$1:$AN$1,),)-VLOOKUP(A47,Data!$A:$AN,MATCH(yoy!$T$1,Data!$A$1:$AN$1,),))/VLOOKUP(A47,Data!$A:$AN,MATCH(yoy!$T$1,Data!$A$1:$AN$1,),)</f>
        <v/>
      </c>
      <c r="U47" s="14">
        <f>(VLOOKUP(B47,Data!$A:$AN,MATCH(yoy!$U$1,Data!$A$1:$AN$1,),)-VLOOKUP(A47,Data!$A:$AN,MATCH(yoy!$U$1,Data!$A$1:$AN$1,),))/VLOOKUP(A47,Data!$A:$AN,MATCH(yoy!$U$1,Data!$A$1:$AN$1,),)</f>
        <v/>
      </c>
      <c r="V47" s="14">
        <f>(VLOOKUP(B47,Data!$A:$AN,MATCH(yoy!$V$1,Data!$A$1:$AN$1,),)-VLOOKUP(A47,Data!$A:$AN,MATCH(yoy!$V$1,Data!$A$1:$AN$1,),))/VLOOKUP(A47,Data!$A:$AN,MATCH(yoy!$V$1,Data!$A$1:$AN$1,),)</f>
        <v/>
      </c>
      <c r="W47" s="14">
        <f>(VLOOKUP(B47,Data!$A:$AN,MATCH(yoy!$W$1,Data!$A$1:$AN$1,),)-VLOOKUP(A47,Data!$A:$AN,MATCH(yoy!$W$1,Data!$A$1:$AN$1,),))/VLOOKUP(A47,Data!$A:$AN,MATCH(yoy!$W$1,Data!$A$1:$AN$1,),)</f>
        <v/>
      </c>
      <c r="X47" s="14">
        <f>(VLOOKUP(B47,Data!$A:$AN,MATCH(yoy!$X$1,Data!$A$1:$AN$1,),)-VLOOKUP(A47,Data!$A:$AN,MATCH(yoy!$X$1,Data!$A$1:$AN$1,),))/VLOOKUP(A47,Data!$A:$AN,MATCH(yoy!$X$1,Data!$A$1:$AN$1,),)</f>
        <v/>
      </c>
      <c r="Y47" s="14">
        <f>(VLOOKUP(B47,Data!$A:$AN,MATCH(yoy!$Y$1,Data!$A$1:$AN$1,),)-VLOOKUP(A47,Data!$A:$AN,MATCH(yoy!$Y$1,Data!$A$1:$AN$1,),))/VLOOKUP(A47,Data!$A:$AN,MATCH(yoy!$Y$1,Data!$A$1:$AN$1,),)</f>
        <v/>
      </c>
      <c r="Z47" s="14">
        <f>(VLOOKUP(B47,Data!$A:$AN,MATCH(yoy!$Z$1,Data!$A$1:$AN$1,),)-VLOOKUP(A47,Data!$A:$AN,MATCH(yoy!$Z$1,Data!$A$1:$AN$1,),))/VLOOKUP(A47,Data!$A:$AN,MATCH(yoy!$Z$1,Data!$A$1:$AN$1,),)</f>
        <v/>
      </c>
      <c r="AA47" s="14">
        <f>(VLOOKUP(B47,Data!$A:$AN,MATCH(yoy!$AA$1,Data!$A$1:$AN$1,),)-VLOOKUP(A47,Data!$A:$AN,MATCH(yoy!$AA$1,Data!$A$1:$AN$1,),))/VLOOKUP(A47,Data!$A:$AN,MATCH(yoy!$AA$1,Data!$A$1:$AN$1,),)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(VLOOKUP(B48,Data!$A:$AN,MATCH(yoy!$C$1,Data!$A$1:$AN$1,),)-VLOOKUP(A48,Data!$A:$AN,MATCH(yoy!$C$1,Data!$A$1:$AN$1,),))/VLOOKUP(A48,Data!$A:$AN,MATCH(yoy!$C$1,Data!$A$1:$AN$1,),)</f>
        <v/>
      </c>
      <c r="D48" s="14">
        <f>(VLOOKUP(B48,Data!$A:$AN,MATCH(yoy!$D$1,Data!$A$1:$AN$1,),)-VLOOKUP(A48,Data!$A:$AN,MATCH(yoy!$D$1,Data!$A$1:$AN$1,),))/VLOOKUP(A48,Data!$A:$AN,MATCH(yoy!$D$1,Data!$A$1:$AN$1,),)</f>
        <v/>
      </c>
      <c r="E48" s="14">
        <f>(VLOOKUP(B48,Data!$A:$AN,MATCH(yoy!$E$1,Data!$A$1:$AN$1,),)-VLOOKUP(A48,Data!$A:$AN,MATCH(yoy!$E$1,Data!$A$1:$AN$1,),))/VLOOKUP(A48,Data!$A:$AN,MATCH(yoy!$E$1,Data!$A$1:$AN$1,),)</f>
        <v/>
      </c>
      <c r="F48" s="14">
        <f>(VLOOKUP(B48,Data!$A:$AN,MATCH(yoy!$F$1,Data!$A$1:$AN$1,),)-VLOOKUP(A48,Data!$A:$AN,MATCH(yoy!$F$1,Data!$A$1:$AN$1,),))/VLOOKUP(A48,Data!$A:$AN,MATCH(yoy!$F$1,Data!$A$1:$AN$1,),)</f>
        <v/>
      </c>
      <c r="G48" s="14">
        <f>(VLOOKUP(B48,Data!$A:$AN,MATCH(yoy!$G$1,Data!$A$1:$AN$1,),)-VLOOKUP(A48,Data!$A:$AN,MATCH(yoy!$G$1,Data!$A$1:$AN$1,),))/VLOOKUP(A48,Data!$A:$AN,MATCH(yoy!$G$1,Data!$A$1:$AN$1,),)</f>
        <v/>
      </c>
      <c r="H48" s="14">
        <f>(VLOOKUP(B48,Data!$A:$AN,MATCH(yoy!$H$1,Data!$A$1:$AN$1,),)-VLOOKUP(A48,Data!$A:$AN,MATCH(yoy!$H$1,Data!$A$1:$AN$1,),))/VLOOKUP(A48,Data!$A:$AN,MATCH(yoy!$H$1,Data!$A$1:$AN$1,),)</f>
        <v/>
      </c>
      <c r="I48" s="14">
        <f>(VLOOKUP(B48,Data!$A:$AN,MATCH(yoy!$I$1,Data!$A$1:$AN$1,),)-VLOOKUP(A48,Data!$A:$AN,MATCH(yoy!$I$1,Data!$A$1:$AN$1,),))/VLOOKUP(A48,Data!$A:$AN,MATCH(yoy!$I$1,Data!$A$1:$AN$1,),)</f>
        <v/>
      </c>
      <c r="J48" s="14">
        <f>(VLOOKUP(B48,Data!$A:$AN,MATCH(yoy!$J$1,Data!$A$1:$AN$1,),)-VLOOKUP(A48,Data!$A:$AN,MATCH(yoy!$J$1,Data!$A$1:$AN$1,),))/VLOOKUP(A48,Data!$A:$AN,MATCH(yoy!$J$1,Data!$A$1:$AN$1,),)</f>
        <v/>
      </c>
      <c r="K48" s="14">
        <f>(VLOOKUP(B48,Data!$A:$AN,MATCH(yoy!$K$1,Data!$A$1:$AN$1,),)-VLOOKUP(A48,Data!$A:$AN,MATCH(yoy!$K$1,Data!$A$1:$AN$1,),))/VLOOKUP(A48,Data!$A:$AN,MATCH(yoy!$K$1,Data!$A$1:$AN$1,),)</f>
        <v/>
      </c>
      <c r="L48" s="14">
        <f>(VLOOKUP(B48,Data!$A:$AN,MATCH(yoy!$L$1,Data!$A$1:$AN$1,),)-VLOOKUP(A48,Data!$A:$AN,MATCH(yoy!$L$1,Data!$A$1:$AN$1,),))/VLOOKUP(A48,Data!$A:$AN,MATCH(yoy!$L$1,Data!$A$1:$AN$1,),)</f>
        <v/>
      </c>
      <c r="M48" s="14">
        <f>(VLOOKUP(B48,Data!$A:$AN,MATCH(yoy!$M$1,Data!$A$1:$AN$1,),)-VLOOKUP(A48,Data!$A:$AN,MATCH(yoy!$M$1,Data!$A$1:$AN$1,),))/VLOOKUP(A48,Data!$A:$AN,MATCH(yoy!$M$1,Data!$A$1:$AN$1,),)</f>
        <v/>
      </c>
      <c r="N48" s="14">
        <f>(VLOOKUP(B48,Data!$A:$AN,MATCH(yoy!$N$1,Data!$A$1:$AN$1,),)-VLOOKUP(A48,Data!$A:$AN,MATCH(yoy!$N$1,Data!$A$1:$AN$1,),))/VLOOKUP(A48,Data!$A:$AN,MATCH(yoy!$N$1,Data!$A$1:$AN$1,),)</f>
        <v/>
      </c>
      <c r="O48" s="14">
        <f>(VLOOKUP(B48,Data!$A:$AN,MATCH(yoy!$O$1,Data!$A$1:$AN$1,),)-VLOOKUP(A48,Data!$A:$AN,MATCH(yoy!$O$1,Data!$A$1:$AN$1,),))/VLOOKUP(A48,Data!$A:$AN,MATCH(yoy!$O$1,Data!$A$1:$AN$1,),)</f>
        <v/>
      </c>
      <c r="P48" s="14">
        <f>(VLOOKUP(B48,Data!$A:$AN,MATCH(yoy!$P$1,Data!$A$1:$AN$1,),)-VLOOKUP(A48,Data!$A:$AN,MATCH(yoy!$P$1,Data!$A$1:$AN$1,),))/VLOOKUP(A48,Data!$A:$AN,MATCH(yoy!$P$1,Data!$A$1:$AN$1,),)</f>
        <v/>
      </c>
      <c r="Q48" s="14">
        <f>(VLOOKUP(B48,Data!$A:$AN,MATCH(yoy!$Q$1,Data!$A$1:$AN$1,),)-VLOOKUP(A48,Data!$A:$AN,MATCH(yoy!$Q$1,Data!$A$1:$AN$1,),))/VLOOKUP(A48,Data!$A:$AN,MATCH(yoy!$Q$1,Data!$A$1:$AN$1,),)</f>
        <v/>
      </c>
      <c r="R48" s="14">
        <f>(VLOOKUP(B48,Data!$A:$AN,MATCH(yoy!$R$1,Data!$A$1:$AN$1,),)-VLOOKUP(A48,Data!$A:$AN,MATCH(yoy!$R$1,Data!$A$1:$AN$1,),))/VLOOKUP(A48,Data!$A:$AN,MATCH(yoy!$R$1,Data!$A$1:$AN$1,),)</f>
        <v/>
      </c>
      <c r="S48" s="14">
        <f>(VLOOKUP(B48,Data!$A:$AN,MATCH(yoy!$S$1,Data!$A$1:$AN$1,),)-VLOOKUP(A48,Data!$A:$AN,MATCH(yoy!$S$1,Data!$A$1:$AN$1,),))/VLOOKUP(A48,Data!$A:$AN,MATCH(yoy!$S$1,Data!$A$1:$AN$1,),)</f>
        <v/>
      </c>
      <c r="T48" s="14">
        <f>(VLOOKUP(B48,Data!$A:$AN,MATCH(yoy!$T$1,Data!$A$1:$AN$1,),)-VLOOKUP(A48,Data!$A:$AN,MATCH(yoy!$T$1,Data!$A$1:$AN$1,),))/VLOOKUP(A48,Data!$A:$AN,MATCH(yoy!$T$1,Data!$A$1:$AN$1,),)</f>
        <v/>
      </c>
      <c r="U48" s="14">
        <f>(VLOOKUP(B48,Data!$A:$AN,MATCH(yoy!$U$1,Data!$A$1:$AN$1,),)-VLOOKUP(A48,Data!$A:$AN,MATCH(yoy!$U$1,Data!$A$1:$AN$1,),))/VLOOKUP(A48,Data!$A:$AN,MATCH(yoy!$U$1,Data!$A$1:$AN$1,),)</f>
        <v/>
      </c>
      <c r="V48" s="14">
        <f>(VLOOKUP(B48,Data!$A:$AN,MATCH(yoy!$V$1,Data!$A$1:$AN$1,),)-VLOOKUP(A48,Data!$A:$AN,MATCH(yoy!$V$1,Data!$A$1:$AN$1,),))/VLOOKUP(A48,Data!$A:$AN,MATCH(yoy!$V$1,Data!$A$1:$AN$1,),)</f>
        <v/>
      </c>
      <c r="W48" s="14">
        <f>(VLOOKUP(B48,Data!$A:$AN,MATCH(yoy!$W$1,Data!$A$1:$AN$1,),)-VLOOKUP(A48,Data!$A:$AN,MATCH(yoy!$W$1,Data!$A$1:$AN$1,),))/VLOOKUP(A48,Data!$A:$AN,MATCH(yoy!$W$1,Data!$A$1:$AN$1,),)</f>
        <v/>
      </c>
      <c r="X48" s="14">
        <f>(VLOOKUP(B48,Data!$A:$AN,MATCH(yoy!$X$1,Data!$A$1:$AN$1,),)-VLOOKUP(A48,Data!$A:$AN,MATCH(yoy!$X$1,Data!$A$1:$AN$1,),))/VLOOKUP(A48,Data!$A:$AN,MATCH(yoy!$X$1,Data!$A$1:$AN$1,),)</f>
        <v/>
      </c>
      <c r="Y48" s="14">
        <f>(VLOOKUP(B48,Data!$A:$AN,MATCH(yoy!$Y$1,Data!$A$1:$AN$1,),)-VLOOKUP(A48,Data!$A:$AN,MATCH(yoy!$Y$1,Data!$A$1:$AN$1,),))/VLOOKUP(A48,Data!$A:$AN,MATCH(yoy!$Y$1,Data!$A$1:$AN$1,),)</f>
        <v/>
      </c>
      <c r="Z48" s="14">
        <f>(VLOOKUP(B48,Data!$A:$AN,MATCH(yoy!$Z$1,Data!$A$1:$AN$1,),)-VLOOKUP(A48,Data!$A:$AN,MATCH(yoy!$Z$1,Data!$A$1:$AN$1,),))/VLOOKUP(A48,Data!$A:$AN,MATCH(yoy!$Z$1,Data!$A$1:$AN$1,),)</f>
        <v/>
      </c>
      <c r="AA48" s="14">
        <f>(VLOOKUP(B48,Data!$A:$AN,MATCH(yoy!$AA$1,Data!$A$1:$AN$1,),)-VLOOKUP(A48,Data!$A:$AN,MATCH(yoy!$AA$1,Data!$A$1:$AN$1,),))/VLOOKUP(A48,Data!$A:$AN,MATCH(yoy!$AA$1,Data!$A$1:$AN$1,),)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(VLOOKUP(B49,Data!$A:$AN,MATCH(yoy!$C$1,Data!$A$1:$AN$1,),)-VLOOKUP(A49,Data!$A:$AN,MATCH(yoy!$C$1,Data!$A$1:$AN$1,),))/VLOOKUP(A49,Data!$A:$AN,MATCH(yoy!$C$1,Data!$A$1:$AN$1,),)</f>
        <v/>
      </c>
      <c r="D49" s="14">
        <f>(VLOOKUP(B49,Data!$A:$AN,MATCH(yoy!$D$1,Data!$A$1:$AN$1,),)-VLOOKUP(A49,Data!$A:$AN,MATCH(yoy!$D$1,Data!$A$1:$AN$1,),))/VLOOKUP(A49,Data!$A:$AN,MATCH(yoy!$D$1,Data!$A$1:$AN$1,),)</f>
        <v/>
      </c>
      <c r="E49" s="14">
        <f>(VLOOKUP(B49,Data!$A:$AN,MATCH(yoy!$E$1,Data!$A$1:$AN$1,),)-VLOOKUP(A49,Data!$A:$AN,MATCH(yoy!$E$1,Data!$A$1:$AN$1,),))/VLOOKUP(A49,Data!$A:$AN,MATCH(yoy!$E$1,Data!$A$1:$AN$1,),)</f>
        <v/>
      </c>
      <c r="F49" s="14">
        <f>(VLOOKUP(B49,Data!$A:$AN,MATCH(yoy!$F$1,Data!$A$1:$AN$1,),)-VLOOKUP(A49,Data!$A:$AN,MATCH(yoy!$F$1,Data!$A$1:$AN$1,),))/VLOOKUP(A49,Data!$A:$AN,MATCH(yoy!$F$1,Data!$A$1:$AN$1,),)</f>
        <v/>
      </c>
      <c r="G49" s="14">
        <f>(VLOOKUP(B49,Data!$A:$AN,MATCH(yoy!$G$1,Data!$A$1:$AN$1,),)-VLOOKUP(A49,Data!$A:$AN,MATCH(yoy!$G$1,Data!$A$1:$AN$1,),))/VLOOKUP(A49,Data!$A:$AN,MATCH(yoy!$G$1,Data!$A$1:$AN$1,),)</f>
        <v/>
      </c>
      <c r="H49" s="14">
        <f>(VLOOKUP(B49,Data!$A:$AN,MATCH(yoy!$H$1,Data!$A$1:$AN$1,),)-VLOOKUP(A49,Data!$A:$AN,MATCH(yoy!$H$1,Data!$A$1:$AN$1,),))/VLOOKUP(A49,Data!$A:$AN,MATCH(yoy!$H$1,Data!$A$1:$AN$1,),)</f>
        <v/>
      </c>
      <c r="I49" s="14">
        <f>(VLOOKUP(B49,Data!$A:$AN,MATCH(yoy!$I$1,Data!$A$1:$AN$1,),)-VLOOKUP(A49,Data!$A:$AN,MATCH(yoy!$I$1,Data!$A$1:$AN$1,),))/VLOOKUP(A49,Data!$A:$AN,MATCH(yoy!$I$1,Data!$A$1:$AN$1,),)</f>
        <v/>
      </c>
      <c r="J49" s="14">
        <f>(VLOOKUP(B49,Data!$A:$AN,MATCH(yoy!$J$1,Data!$A$1:$AN$1,),)-VLOOKUP(A49,Data!$A:$AN,MATCH(yoy!$J$1,Data!$A$1:$AN$1,),))/VLOOKUP(A49,Data!$A:$AN,MATCH(yoy!$J$1,Data!$A$1:$AN$1,),)</f>
        <v/>
      </c>
      <c r="K49" s="14">
        <f>(VLOOKUP(B49,Data!$A:$AN,MATCH(yoy!$K$1,Data!$A$1:$AN$1,),)-VLOOKUP(A49,Data!$A:$AN,MATCH(yoy!$K$1,Data!$A$1:$AN$1,),))/VLOOKUP(A49,Data!$A:$AN,MATCH(yoy!$K$1,Data!$A$1:$AN$1,),)</f>
        <v/>
      </c>
      <c r="L49" s="14">
        <f>(VLOOKUP(B49,Data!$A:$AN,MATCH(yoy!$L$1,Data!$A$1:$AN$1,),)-VLOOKUP(A49,Data!$A:$AN,MATCH(yoy!$L$1,Data!$A$1:$AN$1,),))/VLOOKUP(A49,Data!$A:$AN,MATCH(yoy!$L$1,Data!$A$1:$AN$1,),)</f>
        <v/>
      </c>
      <c r="M49" s="14">
        <f>(VLOOKUP(B49,Data!$A:$AN,MATCH(yoy!$M$1,Data!$A$1:$AN$1,),)-VLOOKUP(A49,Data!$A:$AN,MATCH(yoy!$M$1,Data!$A$1:$AN$1,),))/VLOOKUP(A49,Data!$A:$AN,MATCH(yoy!$M$1,Data!$A$1:$AN$1,),)</f>
        <v/>
      </c>
      <c r="N49" s="14">
        <f>(VLOOKUP(B49,Data!$A:$AN,MATCH(yoy!$N$1,Data!$A$1:$AN$1,),)-VLOOKUP(A49,Data!$A:$AN,MATCH(yoy!$N$1,Data!$A$1:$AN$1,),))/VLOOKUP(A49,Data!$A:$AN,MATCH(yoy!$N$1,Data!$A$1:$AN$1,),)</f>
        <v/>
      </c>
      <c r="O49" s="14">
        <f>(VLOOKUP(B49,Data!$A:$AN,MATCH(yoy!$O$1,Data!$A$1:$AN$1,),)-VLOOKUP(A49,Data!$A:$AN,MATCH(yoy!$O$1,Data!$A$1:$AN$1,),))/VLOOKUP(A49,Data!$A:$AN,MATCH(yoy!$O$1,Data!$A$1:$AN$1,),)</f>
        <v/>
      </c>
      <c r="P49" s="14">
        <f>(VLOOKUP(B49,Data!$A:$AN,MATCH(yoy!$P$1,Data!$A$1:$AN$1,),)-VLOOKUP(A49,Data!$A:$AN,MATCH(yoy!$P$1,Data!$A$1:$AN$1,),))/VLOOKUP(A49,Data!$A:$AN,MATCH(yoy!$P$1,Data!$A$1:$AN$1,),)</f>
        <v/>
      </c>
      <c r="Q49" s="14">
        <f>(VLOOKUP(B49,Data!$A:$AN,MATCH(yoy!$Q$1,Data!$A$1:$AN$1,),)-VLOOKUP(A49,Data!$A:$AN,MATCH(yoy!$Q$1,Data!$A$1:$AN$1,),))/VLOOKUP(A49,Data!$A:$AN,MATCH(yoy!$Q$1,Data!$A$1:$AN$1,),)</f>
        <v/>
      </c>
      <c r="R49" s="14">
        <f>(VLOOKUP(B49,Data!$A:$AN,MATCH(yoy!$R$1,Data!$A$1:$AN$1,),)-VLOOKUP(A49,Data!$A:$AN,MATCH(yoy!$R$1,Data!$A$1:$AN$1,),))/VLOOKUP(A49,Data!$A:$AN,MATCH(yoy!$R$1,Data!$A$1:$AN$1,),)</f>
        <v/>
      </c>
      <c r="S49" s="14">
        <f>(VLOOKUP(B49,Data!$A:$AN,MATCH(yoy!$S$1,Data!$A$1:$AN$1,),)-VLOOKUP(A49,Data!$A:$AN,MATCH(yoy!$S$1,Data!$A$1:$AN$1,),))/VLOOKUP(A49,Data!$A:$AN,MATCH(yoy!$S$1,Data!$A$1:$AN$1,),)</f>
        <v/>
      </c>
      <c r="T49" s="14">
        <f>(VLOOKUP(B49,Data!$A:$AN,MATCH(yoy!$T$1,Data!$A$1:$AN$1,),)-VLOOKUP(A49,Data!$A:$AN,MATCH(yoy!$T$1,Data!$A$1:$AN$1,),))/VLOOKUP(A49,Data!$A:$AN,MATCH(yoy!$T$1,Data!$A$1:$AN$1,),)</f>
        <v/>
      </c>
      <c r="U49" s="14">
        <f>(VLOOKUP(B49,Data!$A:$AN,MATCH(yoy!$U$1,Data!$A$1:$AN$1,),)-VLOOKUP(A49,Data!$A:$AN,MATCH(yoy!$U$1,Data!$A$1:$AN$1,),))/VLOOKUP(A49,Data!$A:$AN,MATCH(yoy!$U$1,Data!$A$1:$AN$1,),)</f>
        <v/>
      </c>
      <c r="V49" s="14">
        <f>(VLOOKUP(B49,Data!$A:$AN,MATCH(yoy!$V$1,Data!$A$1:$AN$1,),)-VLOOKUP(A49,Data!$A:$AN,MATCH(yoy!$V$1,Data!$A$1:$AN$1,),))/VLOOKUP(A49,Data!$A:$AN,MATCH(yoy!$V$1,Data!$A$1:$AN$1,),)</f>
        <v/>
      </c>
      <c r="W49" s="14">
        <f>(VLOOKUP(B49,Data!$A:$AN,MATCH(yoy!$W$1,Data!$A$1:$AN$1,),)-VLOOKUP(A49,Data!$A:$AN,MATCH(yoy!$W$1,Data!$A$1:$AN$1,),))/VLOOKUP(A49,Data!$A:$AN,MATCH(yoy!$W$1,Data!$A$1:$AN$1,),)</f>
        <v/>
      </c>
      <c r="X49" s="14">
        <f>(VLOOKUP(B49,Data!$A:$AN,MATCH(yoy!$X$1,Data!$A$1:$AN$1,),)-VLOOKUP(A49,Data!$A:$AN,MATCH(yoy!$X$1,Data!$A$1:$AN$1,),))/VLOOKUP(A49,Data!$A:$AN,MATCH(yoy!$X$1,Data!$A$1:$AN$1,),)</f>
        <v/>
      </c>
      <c r="Y49" s="14">
        <f>(VLOOKUP(B49,Data!$A:$AN,MATCH(yoy!$Y$1,Data!$A$1:$AN$1,),)-VLOOKUP(A49,Data!$A:$AN,MATCH(yoy!$Y$1,Data!$A$1:$AN$1,),))/VLOOKUP(A49,Data!$A:$AN,MATCH(yoy!$Y$1,Data!$A$1:$AN$1,),)</f>
        <v/>
      </c>
      <c r="Z49" s="14">
        <f>(VLOOKUP(B49,Data!$A:$AN,MATCH(yoy!$Z$1,Data!$A$1:$AN$1,),)-VLOOKUP(A49,Data!$A:$AN,MATCH(yoy!$Z$1,Data!$A$1:$AN$1,),))/VLOOKUP(A49,Data!$A:$AN,MATCH(yoy!$Z$1,Data!$A$1:$AN$1,),)</f>
        <v/>
      </c>
      <c r="AA49" s="14">
        <f>(VLOOKUP(B49,Data!$A:$AN,MATCH(yoy!$AA$1,Data!$A$1:$AN$1,),)-VLOOKUP(A49,Data!$A:$AN,MATCH(yoy!$AA$1,Data!$A$1:$AN$1,),))/VLOOKUP(A49,Data!$A:$AN,MATCH(yoy!$AA$1,Data!$A$1:$AN$1,),)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(VLOOKUP(B50,Data!$A:$AN,MATCH(yoy!$C$1,Data!$A$1:$AN$1,),)-VLOOKUP(A50,Data!$A:$AN,MATCH(yoy!$C$1,Data!$A$1:$AN$1,),))/VLOOKUP(A50,Data!$A:$AN,MATCH(yoy!$C$1,Data!$A$1:$AN$1,),)</f>
        <v/>
      </c>
      <c r="D50" s="14">
        <f>(VLOOKUP(B50,Data!$A:$AN,MATCH(yoy!$D$1,Data!$A$1:$AN$1,),)-VLOOKUP(A50,Data!$A:$AN,MATCH(yoy!$D$1,Data!$A$1:$AN$1,),))/VLOOKUP(A50,Data!$A:$AN,MATCH(yoy!$D$1,Data!$A$1:$AN$1,),)</f>
        <v/>
      </c>
      <c r="E50" s="14">
        <f>(VLOOKUP(B50,Data!$A:$AN,MATCH(yoy!$E$1,Data!$A$1:$AN$1,),)-VLOOKUP(A50,Data!$A:$AN,MATCH(yoy!$E$1,Data!$A$1:$AN$1,),))/VLOOKUP(A50,Data!$A:$AN,MATCH(yoy!$E$1,Data!$A$1:$AN$1,),)</f>
        <v/>
      </c>
      <c r="F50" s="14">
        <f>(VLOOKUP(B50,Data!$A:$AN,MATCH(yoy!$F$1,Data!$A$1:$AN$1,),)-VLOOKUP(A50,Data!$A:$AN,MATCH(yoy!$F$1,Data!$A$1:$AN$1,),))/VLOOKUP(A50,Data!$A:$AN,MATCH(yoy!$F$1,Data!$A$1:$AN$1,),)</f>
        <v/>
      </c>
      <c r="G50" s="14">
        <f>(VLOOKUP(B50,Data!$A:$AN,MATCH(yoy!$G$1,Data!$A$1:$AN$1,),)-VLOOKUP(A50,Data!$A:$AN,MATCH(yoy!$G$1,Data!$A$1:$AN$1,),))/VLOOKUP(A50,Data!$A:$AN,MATCH(yoy!$G$1,Data!$A$1:$AN$1,),)</f>
        <v/>
      </c>
      <c r="H50" s="14">
        <f>(VLOOKUP(B50,Data!$A:$AN,MATCH(yoy!$H$1,Data!$A$1:$AN$1,),)-VLOOKUP(A50,Data!$A:$AN,MATCH(yoy!$H$1,Data!$A$1:$AN$1,),))/VLOOKUP(A50,Data!$A:$AN,MATCH(yoy!$H$1,Data!$A$1:$AN$1,),)</f>
        <v/>
      </c>
      <c r="I50" s="14">
        <f>(VLOOKUP(B50,Data!$A:$AN,MATCH(yoy!$I$1,Data!$A$1:$AN$1,),)-VLOOKUP(A50,Data!$A:$AN,MATCH(yoy!$I$1,Data!$A$1:$AN$1,),))/VLOOKUP(A50,Data!$A:$AN,MATCH(yoy!$I$1,Data!$A$1:$AN$1,),)</f>
        <v/>
      </c>
      <c r="J50" s="14">
        <f>(VLOOKUP(B50,Data!$A:$AN,MATCH(yoy!$J$1,Data!$A$1:$AN$1,),)-VLOOKUP(A50,Data!$A:$AN,MATCH(yoy!$J$1,Data!$A$1:$AN$1,),))/VLOOKUP(A50,Data!$A:$AN,MATCH(yoy!$J$1,Data!$A$1:$AN$1,),)</f>
        <v/>
      </c>
      <c r="K50" s="14">
        <f>(VLOOKUP(B50,Data!$A:$AN,MATCH(yoy!$K$1,Data!$A$1:$AN$1,),)-VLOOKUP(A50,Data!$A:$AN,MATCH(yoy!$K$1,Data!$A$1:$AN$1,),))/VLOOKUP(A50,Data!$A:$AN,MATCH(yoy!$K$1,Data!$A$1:$AN$1,),)</f>
        <v/>
      </c>
      <c r="L50" s="14">
        <f>(VLOOKUP(B50,Data!$A:$AN,MATCH(yoy!$L$1,Data!$A$1:$AN$1,),)-VLOOKUP(A50,Data!$A:$AN,MATCH(yoy!$L$1,Data!$A$1:$AN$1,),))/VLOOKUP(A50,Data!$A:$AN,MATCH(yoy!$L$1,Data!$A$1:$AN$1,),)</f>
        <v/>
      </c>
      <c r="M50" s="14">
        <f>(VLOOKUP(B50,Data!$A:$AN,MATCH(yoy!$M$1,Data!$A$1:$AN$1,),)-VLOOKUP(A50,Data!$A:$AN,MATCH(yoy!$M$1,Data!$A$1:$AN$1,),))/VLOOKUP(A50,Data!$A:$AN,MATCH(yoy!$M$1,Data!$A$1:$AN$1,),)</f>
        <v/>
      </c>
      <c r="N50" s="14">
        <f>(VLOOKUP(B50,Data!$A:$AN,MATCH(yoy!$N$1,Data!$A$1:$AN$1,),)-VLOOKUP(A50,Data!$A:$AN,MATCH(yoy!$N$1,Data!$A$1:$AN$1,),))/VLOOKUP(A50,Data!$A:$AN,MATCH(yoy!$N$1,Data!$A$1:$AN$1,),)</f>
        <v/>
      </c>
      <c r="O50" s="14">
        <f>(VLOOKUP(B50,Data!$A:$AN,MATCH(yoy!$O$1,Data!$A$1:$AN$1,),)-VLOOKUP(A50,Data!$A:$AN,MATCH(yoy!$O$1,Data!$A$1:$AN$1,),))/VLOOKUP(A50,Data!$A:$AN,MATCH(yoy!$O$1,Data!$A$1:$AN$1,),)</f>
        <v/>
      </c>
      <c r="P50" s="14">
        <f>(VLOOKUP(B50,Data!$A:$AN,MATCH(yoy!$P$1,Data!$A$1:$AN$1,),)-VLOOKUP(A50,Data!$A:$AN,MATCH(yoy!$P$1,Data!$A$1:$AN$1,),))/VLOOKUP(A50,Data!$A:$AN,MATCH(yoy!$P$1,Data!$A$1:$AN$1,),)</f>
        <v/>
      </c>
      <c r="Q50" s="14">
        <f>(VLOOKUP(B50,Data!$A:$AN,MATCH(yoy!$Q$1,Data!$A$1:$AN$1,),)-VLOOKUP(A50,Data!$A:$AN,MATCH(yoy!$Q$1,Data!$A$1:$AN$1,),))/VLOOKUP(A50,Data!$A:$AN,MATCH(yoy!$Q$1,Data!$A$1:$AN$1,),)</f>
        <v/>
      </c>
      <c r="R50" s="14">
        <f>(VLOOKUP(B50,Data!$A:$AN,MATCH(yoy!$R$1,Data!$A$1:$AN$1,),)-VLOOKUP(A50,Data!$A:$AN,MATCH(yoy!$R$1,Data!$A$1:$AN$1,),))/VLOOKUP(A50,Data!$A:$AN,MATCH(yoy!$R$1,Data!$A$1:$AN$1,),)</f>
        <v/>
      </c>
      <c r="S50" s="14">
        <f>(VLOOKUP(B50,Data!$A:$AN,MATCH(yoy!$S$1,Data!$A$1:$AN$1,),)-VLOOKUP(A50,Data!$A:$AN,MATCH(yoy!$S$1,Data!$A$1:$AN$1,),))/VLOOKUP(A50,Data!$A:$AN,MATCH(yoy!$S$1,Data!$A$1:$AN$1,),)</f>
        <v/>
      </c>
      <c r="T50" s="14">
        <f>(VLOOKUP(B50,Data!$A:$AN,MATCH(yoy!$T$1,Data!$A$1:$AN$1,),)-VLOOKUP(A50,Data!$A:$AN,MATCH(yoy!$T$1,Data!$A$1:$AN$1,),))/VLOOKUP(A50,Data!$A:$AN,MATCH(yoy!$T$1,Data!$A$1:$AN$1,),)</f>
        <v/>
      </c>
      <c r="U50" s="14">
        <f>(VLOOKUP(B50,Data!$A:$AN,MATCH(yoy!$U$1,Data!$A$1:$AN$1,),)-VLOOKUP(A50,Data!$A:$AN,MATCH(yoy!$U$1,Data!$A$1:$AN$1,),))/VLOOKUP(A50,Data!$A:$AN,MATCH(yoy!$U$1,Data!$A$1:$AN$1,),)</f>
        <v/>
      </c>
      <c r="V50" s="14">
        <f>(VLOOKUP(B50,Data!$A:$AN,MATCH(yoy!$V$1,Data!$A$1:$AN$1,),)-VLOOKUP(A50,Data!$A:$AN,MATCH(yoy!$V$1,Data!$A$1:$AN$1,),))/VLOOKUP(A50,Data!$A:$AN,MATCH(yoy!$V$1,Data!$A$1:$AN$1,),)</f>
        <v/>
      </c>
      <c r="W50" s="14">
        <f>(VLOOKUP(B50,Data!$A:$AN,MATCH(yoy!$W$1,Data!$A$1:$AN$1,),)-VLOOKUP(A50,Data!$A:$AN,MATCH(yoy!$W$1,Data!$A$1:$AN$1,),))/VLOOKUP(A50,Data!$A:$AN,MATCH(yoy!$W$1,Data!$A$1:$AN$1,),)</f>
        <v/>
      </c>
      <c r="X50" s="14">
        <f>(VLOOKUP(B50,Data!$A:$AN,MATCH(yoy!$X$1,Data!$A$1:$AN$1,),)-VLOOKUP(A50,Data!$A:$AN,MATCH(yoy!$X$1,Data!$A$1:$AN$1,),))/VLOOKUP(A50,Data!$A:$AN,MATCH(yoy!$X$1,Data!$A$1:$AN$1,),)</f>
        <v/>
      </c>
      <c r="Y50" s="14">
        <f>(VLOOKUP(B50,Data!$A:$AN,MATCH(yoy!$Y$1,Data!$A$1:$AN$1,),)-VLOOKUP(A50,Data!$A:$AN,MATCH(yoy!$Y$1,Data!$A$1:$AN$1,),))/VLOOKUP(A50,Data!$A:$AN,MATCH(yoy!$Y$1,Data!$A$1:$AN$1,),)</f>
        <v/>
      </c>
      <c r="Z50" s="14">
        <f>(VLOOKUP(B50,Data!$A:$AN,MATCH(yoy!$Z$1,Data!$A$1:$AN$1,),)-VLOOKUP(A50,Data!$A:$AN,MATCH(yoy!$Z$1,Data!$A$1:$AN$1,),))/VLOOKUP(A50,Data!$A:$AN,MATCH(yoy!$Z$1,Data!$A$1:$AN$1,),)</f>
        <v/>
      </c>
      <c r="AA50" s="14">
        <f>(VLOOKUP(B50,Data!$A:$AN,MATCH(yoy!$AA$1,Data!$A$1:$AN$1,),)-VLOOKUP(A50,Data!$A:$AN,MATCH(yoy!$AA$1,Data!$A$1:$AN$1,),))/VLOOKUP(A50,Data!$A:$AN,MATCH(yoy!$AA$1,Data!$A$1:$AN$1,),)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(VLOOKUP(B51,Data!$A:$AN,MATCH(yoy!$C$1,Data!$A$1:$AN$1,),)-VLOOKUP(A51,Data!$A:$AN,MATCH(yoy!$C$1,Data!$A$1:$AN$1,),))/VLOOKUP(A51,Data!$A:$AN,MATCH(yoy!$C$1,Data!$A$1:$AN$1,),)</f>
        <v/>
      </c>
      <c r="D51" s="14">
        <f>(VLOOKUP(B51,Data!$A:$AN,MATCH(yoy!$D$1,Data!$A$1:$AN$1,),)-VLOOKUP(A51,Data!$A:$AN,MATCH(yoy!$D$1,Data!$A$1:$AN$1,),))/VLOOKUP(A51,Data!$A:$AN,MATCH(yoy!$D$1,Data!$A$1:$AN$1,),)</f>
        <v/>
      </c>
      <c r="E51" s="14">
        <f>(VLOOKUP(B51,Data!$A:$AN,MATCH(yoy!$E$1,Data!$A$1:$AN$1,),)-VLOOKUP(A51,Data!$A:$AN,MATCH(yoy!$E$1,Data!$A$1:$AN$1,),))/VLOOKUP(A51,Data!$A:$AN,MATCH(yoy!$E$1,Data!$A$1:$AN$1,),)</f>
        <v/>
      </c>
      <c r="F51" s="14">
        <f>(VLOOKUP(B51,Data!$A:$AN,MATCH(yoy!$F$1,Data!$A$1:$AN$1,),)-VLOOKUP(A51,Data!$A:$AN,MATCH(yoy!$F$1,Data!$A$1:$AN$1,),))/VLOOKUP(A51,Data!$A:$AN,MATCH(yoy!$F$1,Data!$A$1:$AN$1,),)</f>
        <v/>
      </c>
      <c r="G51" s="14">
        <f>(VLOOKUP(B51,Data!$A:$AN,MATCH(yoy!$G$1,Data!$A$1:$AN$1,),)-VLOOKUP(A51,Data!$A:$AN,MATCH(yoy!$G$1,Data!$A$1:$AN$1,),))/VLOOKUP(A51,Data!$A:$AN,MATCH(yoy!$G$1,Data!$A$1:$AN$1,),)</f>
        <v/>
      </c>
      <c r="H51" s="14">
        <f>(VLOOKUP(B51,Data!$A:$AN,MATCH(yoy!$H$1,Data!$A$1:$AN$1,),)-VLOOKUP(A51,Data!$A:$AN,MATCH(yoy!$H$1,Data!$A$1:$AN$1,),))/VLOOKUP(A51,Data!$A:$AN,MATCH(yoy!$H$1,Data!$A$1:$AN$1,),)</f>
        <v/>
      </c>
      <c r="I51" s="14">
        <f>(VLOOKUP(B51,Data!$A:$AN,MATCH(yoy!$I$1,Data!$A$1:$AN$1,),)-VLOOKUP(A51,Data!$A:$AN,MATCH(yoy!$I$1,Data!$A$1:$AN$1,),))/VLOOKUP(A51,Data!$A:$AN,MATCH(yoy!$I$1,Data!$A$1:$AN$1,),)</f>
        <v/>
      </c>
      <c r="J51" s="14">
        <f>(VLOOKUP(B51,Data!$A:$AN,MATCH(yoy!$J$1,Data!$A$1:$AN$1,),)-VLOOKUP(A51,Data!$A:$AN,MATCH(yoy!$J$1,Data!$A$1:$AN$1,),))/VLOOKUP(A51,Data!$A:$AN,MATCH(yoy!$J$1,Data!$A$1:$AN$1,),)</f>
        <v/>
      </c>
      <c r="K51" s="14">
        <f>(VLOOKUP(B51,Data!$A:$AN,MATCH(yoy!$K$1,Data!$A$1:$AN$1,),)-VLOOKUP(A51,Data!$A:$AN,MATCH(yoy!$K$1,Data!$A$1:$AN$1,),))/VLOOKUP(A51,Data!$A:$AN,MATCH(yoy!$K$1,Data!$A$1:$AN$1,),)</f>
        <v/>
      </c>
      <c r="L51" s="14">
        <f>(VLOOKUP(B51,Data!$A:$AN,MATCH(yoy!$L$1,Data!$A$1:$AN$1,),)-VLOOKUP(A51,Data!$A:$AN,MATCH(yoy!$L$1,Data!$A$1:$AN$1,),))/VLOOKUP(A51,Data!$A:$AN,MATCH(yoy!$L$1,Data!$A$1:$AN$1,),)</f>
        <v/>
      </c>
      <c r="M51" s="14">
        <f>(VLOOKUP(B51,Data!$A:$AN,MATCH(yoy!$M$1,Data!$A$1:$AN$1,),)-VLOOKUP(A51,Data!$A:$AN,MATCH(yoy!$M$1,Data!$A$1:$AN$1,),))/VLOOKUP(A51,Data!$A:$AN,MATCH(yoy!$M$1,Data!$A$1:$AN$1,),)</f>
        <v/>
      </c>
      <c r="N51" s="14">
        <f>(VLOOKUP(B51,Data!$A:$AN,MATCH(yoy!$N$1,Data!$A$1:$AN$1,),)-VLOOKUP(A51,Data!$A:$AN,MATCH(yoy!$N$1,Data!$A$1:$AN$1,),))/VLOOKUP(A51,Data!$A:$AN,MATCH(yoy!$N$1,Data!$A$1:$AN$1,),)</f>
        <v/>
      </c>
      <c r="O51" s="14">
        <f>(VLOOKUP(B51,Data!$A:$AN,MATCH(yoy!$O$1,Data!$A$1:$AN$1,),)-VLOOKUP(A51,Data!$A:$AN,MATCH(yoy!$O$1,Data!$A$1:$AN$1,),))/VLOOKUP(A51,Data!$A:$AN,MATCH(yoy!$O$1,Data!$A$1:$AN$1,),)</f>
        <v/>
      </c>
      <c r="P51" s="14">
        <f>(VLOOKUP(B51,Data!$A:$AN,MATCH(yoy!$P$1,Data!$A$1:$AN$1,),)-VLOOKUP(A51,Data!$A:$AN,MATCH(yoy!$P$1,Data!$A$1:$AN$1,),))/VLOOKUP(A51,Data!$A:$AN,MATCH(yoy!$P$1,Data!$A$1:$AN$1,),)</f>
        <v/>
      </c>
      <c r="Q51" s="14">
        <f>(VLOOKUP(B51,Data!$A:$AN,MATCH(yoy!$Q$1,Data!$A$1:$AN$1,),)-VLOOKUP(A51,Data!$A:$AN,MATCH(yoy!$Q$1,Data!$A$1:$AN$1,),))/VLOOKUP(A51,Data!$A:$AN,MATCH(yoy!$Q$1,Data!$A$1:$AN$1,),)</f>
        <v/>
      </c>
      <c r="R51" s="14">
        <f>(VLOOKUP(B51,Data!$A:$AN,MATCH(yoy!$R$1,Data!$A$1:$AN$1,),)-VLOOKUP(A51,Data!$A:$AN,MATCH(yoy!$R$1,Data!$A$1:$AN$1,),))/VLOOKUP(A51,Data!$A:$AN,MATCH(yoy!$R$1,Data!$A$1:$AN$1,),)</f>
        <v/>
      </c>
      <c r="S51" s="14">
        <f>(VLOOKUP(B51,Data!$A:$AN,MATCH(yoy!$S$1,Data!$A$1:$AN$1,),)-VLOOKUP(A51,Data!$A:$AN,MATCH(yoy!$S$1,Data!$A$1:$AN$1,),))/VLOOKUP(A51,Data!$A:$AN,MATCH(yoy!$S$1,Data!$A$1:$AN$1,),)</f>
        <v/>
      </c>
      <c r="T51" s="14">
        <f>(VLOOKUP(B51,Data!$A:$AN,MATCH(yoy!$T$1,Data!$A$1:$AN$1,),)-VLOOKUP(A51,Data!$A:$AN,MATCH(yoy!$T$1,Data!$A$1:$AN$1,),))/VLOOKUP(A51,Data!$A:$AN,MATCH(yoy!$T$1,Data!$A$1:$AN$1,),)</f>
        <v/>
      </c>
      <c r="U51" s="14">
        <f>(VLOOKUP(B51,Data!$A:$AN,MATCH(yoy!$U$1,Data!$A$1:$AN$1,),)-VLOOKUP(A51,Data!$A:$AN,MATCH(yoy!$U$1,Data!$A$1:$AN$1,),))/VLOOKUP(A51,Data!$A:$AN,MATCH(yoy!$U$1,Data!$A$1:$AN$1,),)</f>
        <v/>
      </c>
      <c r="V51" s="14">
        <f>(VLOOKUP(B51,Data!$A:$AN,MATCH(yoy!$V$1,Data!$A$1:$AN$1,),)-VLOOKUP(A51,Data!$A:$AN,MATCH(yoy!$V$1,Data!$A$1:$AN$1,),))/VLOOKUP(A51,Data!$A:$AN,MATCH(yoy!$V$1,Data!$A$1:$AN$1,),)</f>
        <v/>
      </c>
      <c r="W51" s="14">
        <f>(VLOOKUP(B51,Data!$A:$AN,MATCH(yoy!$W$1,Data!$A$1:$AN$1,),)-VLOOKUP(A51,Data!$A:$AN,MATCH(yoy!$W$1,Data!$A$1:$AN$1,),))/VLOOKUP(A51,Data!$A:$AN,MATCH(yoy!$W$1,Data!$A$1:$AN$1,),)</f>
        <v/>
      </c>
      <c r="X51" s="14">
        <f>(VLOOKUP(B51,Data!$A:$AN,MATCH(yoy!$X$1,Data!$A$1:$AN$1,),)-VLOOKUP(A51,Data!$A:$AN,MATCH(yoy!$X$1,Data!$A$1:$AN$1,),))/VLOOKUP(A51,Data!$A:$AN,MATCH(yoy!$X$1,Data!$A$1:$AN$1,),)</f>
        <v/>
      </c>
      <c r="Y51" s="14">
        <f>(VLOOKUP(B51,Data!$A:$AN,MATCH(yoy!$Y$1,Data!$A$1:$AN$1,),)-VLOOKUP(A51,Data!$A:$AN,MATCH(yoy!$Y$1,Data!$A$1:$AN$1,),))/VLOOKUP(A51,Data!$A:$AN,MATCH(yoy!$Y$1,Data!$A$1:$AN$1,),)</f>
        <v/>
      </c>
      <c r="Z51" s="14">
        <f>(VLOOKUP(B51,Data!$A:$AN,MATCH(yoy!$Z$1,Data!$A$1:$AN$1,),)-VLOOKUP(A51,Data!$A:$AN,MATCH(yoy!$Z$1,Data!$A$1:$AN$1,),))/VLOOKUP(A51,Data!$A:$AN,MATCH(yoy!$Z$1,Data!$A$1:$AN$1,),)</f>
        <v/>
      </c>
      <c r="AA51" s="14">
        <f>(VLOOKUP(B51,Data!$A:$AN,MATCH(yoy!$AA$1,Data!$A$1:$AN$1,),)-VLOOKUP(A51,Data!$A:$AN,MATCH(yoy!$AA$1,Data!$A$1:$AN$1,),))/VLOOKUP(A51,Data!$A:$AN,MATCH(yoy!$AA$1,Data!$A$1:$AN$1,),)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(VLOOKUP(B52,Data!$A:$AN,MATCH(yoy!$C$1,Data!$A$1:$AN$1,),)-VLOOKUP(A52,Data!$A:$AN,MATCH(yoy!$C$1,Data!$A$1:$AN$1,),))/VLOOKUP(A52,Data!$A:$AN,MATCH(yoy!$C$1,Data!$A$1:$AN$1,),)</f>
        <v/>
      </c>
      <c r="D52" s="14">
        <f>(VLOOKUP(B52,Data!$A:$AN,MATCH(yoy!$D$1,Data!$A$1:$AN$1,),)-VLOOKUP(A52,Data!$A:$AN,MATCH(yoy!$D$1,Data!$A$1:$AN$1,),))/VLOOKUP(A52,Data!$A:$AN,MATCH(yoy!$D$1,Data!$A$1:$AN$1,),)</f>
        <v/>
      </c>
      <c r="E52" s="14">
        <f>(VLOOKUP(B52,Data!$A:$AN,MATCH(yoy!$E$1,Data!$A$1:$AN$1,),)-VLOOKUP(A52,Data!$A:$AN,MATCH(yoy!$E$1,Data!$A$1:$AN$1,),))/VLOOKUP(A52,Data!$A:$AN,MATCH(yoy!$E$1,Data!$A$1:$AN$1,),)</f>
        <v/>
      </c>
      <c r="F52" s="14">
        <f>(VLOOKUP(B52,Data!$A:$AN,MATCH(yoy!$F$1,Data!$A$1:$AN$1,),)-VLOOKUP(A52,Data!$A:$AN,MATCH(yoy!$F$1,Data!$A$1:$AN$1,),))/VLOOKUP(A52,Data!$A:$AN,MATCH(yoy!$F$1,Data!$A$1:$AN$1,),)</f>
        <v/>
      </c>
      <c r="G52" s="14">
        <f>(VLOOKUP(B52,Data!$A:$AN,MATCH(yoy!$G$1,Data!$A$1:$AN$1,),)-VLOOKUP(A52,Data!$A:$AN,MATCH(yoy!$G$1,Data!$A$1:$AN$1,),))/VLOOKUP(A52,Data!$A:$AN,MATCH(yoy!$G$1,Data!$A$1:$AN$1,),)</f>
        <v/>
      </c>
      <c r="H52" s="14">
        <f>(VLOOKUP(B52,Data!$A:$AN,MATCH(yoy!$H$1,Data!$A$1:$AN$1,),)-VLOOKUP(A52,Data!$A:$AN,MATCH(yoy!$H$1,Data!$A$1:$AN$1,),))/VLOOKUP(A52,Data!$A:$AN,MATCH(yoy!$H$1,Data!$A$1:$AN$1,),)</f>
        <v/>
      </c>
      <c r="I52" s="14">
        <f>(VLOOKUP(B52,Data!$A:$AN,MATCH(yoy!$I$1,Data!$A$1:$AN$1,),)-VLOOKUP(A52,Data!$A:$AN,MATCH(yoy!$I$1,Data!$A$1:$AN$1,),))/VLOOKUP(A52,Data!$A:$AN,MATCH(yoy!$I$1,Data!$A$1:$AN$1,),)</f>
        <v/>
      </c>
      <c r="J52" s="14">
        <f>(VLOOKUP(B52,Data!$A:$AN,MATCH(yoy!$J$1,Data!$A$1:$AN$1,),)-VLOOKUP(A52,Data!$A:$AN,MATCH(yoy!$J$1,Data!$A$1:$AN$1,),))/VLOOKUP(A52,Data!$A:$AN,MATCH(yoy!$J$1,Data!$A$1:$AN$1,),)</f>
        <v/>
      </c>
      <c r="K52" s="14">
        <f>(VLOOKUP(B52,Data!$A:$AN,MATCH(yoy!$K$1,Data!$A$1:$AN$1,),)-VLOOKUP(A52,Data!$A:$AN,MATCH(yoy!$K$1,Data!$A$1:$AN$1,),))/VLOOKUP(A52,Data!$A:$AN,MATCH(yoy!$K$1,Data!$A$1:$AN$1,),)</f>
        <v/>
      </c>
      <c r="L52" s="14">
        <f>(VLOOKUP(B52,Data!$A:$AN,MATCH(yoy!$L$1,Data!$A$1:$AN$1,),)-VLOOKUP(A52,Data!$A:$AN,MATCH(yoy!$L$1,Data!$A$1:$AN$1,),))/VLOOKUP(A52,Data!$A:$AN,MATCH(yoy!$L$1,Data!$A$1:$AN$1,),)</f>
        <v/>
      </c>
      <c r="M52" s="14">
        <f>(VLOOKUP(B52,Data!$A:$AN,MATCH(yoy!$M$1,Data!$A$1:$AN$1,),)-VLOOKUP(A52,Data!$A:$AN,MATCH(yoy!$M$1,Data!$A$1:$AN$1,),))/VLOOKUP(A52,Data!$A:$AN,MATCH(yoy!$M$1,Data!$A$1:$AN$1,),)</f>
        <v/>
      </c>
      <c r="N52" s="14">
        <f>(VLOOKUP(B52,Data!$A:$AN,MATCH(yoy!$N$1,Data!$A$1:$AN$1,),)-VLOOKUP(A52,Data!$A:$AN,MATCH(yoy!$N$1,Data!$A$1:$AN$1,),))/VLOOKUP(A52,Data!$A:$AN,MATCH(yoy!$N$1,Data!$A$1:$AN$1,),)</f>
        <v/>
      </c>
      <c r="O52" s="14">
        <f>(VLOOKUP(B52,Data!$A:$AN,MATCH(yoy!$O$1,Data!$A$1:$AN$1,),)-VLOOKUP(A52,Data!$A:$AN,MATCH(yoy!$O$1,Data!$A$1:$AN$1,),))/VLOOKUP(A52,Data!$A:$AN,MATCH(yoy!$O$1,Data!$A$1:$AN$1,),)</f>
        <v/>
      </c>
      <c r="P52" s="14">
        <f>(VLOOKUP(B52,Data!$A:$AN,MATCH(yoy!$P$1,Data!$A$1:$AN$1,),)-VLOOKUP(A52,Data!$A:$AN,MATCH(yoy!$P$1,Data!$A$1:$AN$1,),))/VLOOKUP(A52,Data!$A:$AN,MATCH(yoy!$P$1,Data!$A$1:$AN$1,),)</f>
        <v/>
      </c>
      <c r="Q52" s="14">
        <f>(VLOOKUP(B52,Data!$A:$AN,MATCH(yoy!$Q$1,Data!$A$1:$AN$1,),)-VLOOKUP(A52,Data!$A:$AN,MATCH(yoy!$Q$1,Data!$A$1:$AN$1,),))/VLOOKUP(A52,Data!$A:$AN,MATCH(yoy!$Q$1,Data!$A$1:$AN$1,),)</f>
        <v/>
      </c>
      <c r="R52" s="14">
        <f>(VLOOKUP(B52,Data!$A:$AN,MATCH(yoy!$R$1,Data!$A$1:$AN$1,),)-VLOOKUP(A52,Data!$A:$AN,MATCH(yoy!$R$1,Data!$A$1:$AN$1,),))/VLOOKUP(A52,Data!$A:$AN,MATCH(yoy!$R$1,Data!$A$1:$AN$1,),)</f>
        <v/>
      </c>
      <c r="S52" s="14">
        <f>(VLOOKUP(B52,Data!$A:$AN,MATCH(yoy!$S$1,Data!$A$1:$AN$1,),)-VLOOKUP(A52,Data!$A:$AN,MATCH(yoy!$S$1,Data!$A$1:$AN$1,),))/VLOOKUP(A52,Data!$A:$AN,MATCH(yoy!$S$1,Data!$A$1:$AN$1,),)</f>
        <v/>
      </c>
      <c r="T52" s="14">
        <f>(VLOOKUP(B52,Data!$A:$AN,MATCH(yoy!$T$1,Data!$A$1:$AN$1,),)-VLOOKUP(A52,Data!$A:$AN,MATCH(yoy!$T$1,Data!$A$1:$AN$1,),))/VLOOKUP(A52,Data!$A:$AN,MATCH(yoy!$T$1,Data!$A$1:$AN$1,),)</f>
        <v/>
      </c>
      <c r="U52" s="14">
        <f>(VLOOKUP(B52,Data!$A:$AN,MATCH(yoy!$U$1,Data!$A$1:$AN$1,),)-VLOOKUP(A52,Data!$A:$AN,MATCH(yoy!$U$1,Data!$A$1:$AN$1,),))/VLOOKUP(A52,Data!$A:$AN,MATCH(yoy!$U$1,Data!$A$1:$AN$1,),)</f>
        <v/>
      </c>
      <c r="V52" s="14">
        <f>(VLOOKUP(B52,Data!$A:$AN,MATCH(yoy!$V$1,Data!$A$1:$AN$1,),)-VLOOKUP(A52,Data!$A:$AN,MATCH(yoy!$V$1,Data!$A$1:$AN$1,),))/VLOOKUP(A52,Data!$A:$AN,MATCH(yoy!$V$1,Data!$A$1:$AN$1,),)</f>
        <v/>
      </c>
      <c r="W52" s="14">
        <f>(VLOOKUP(B52,Data!$A:$AN,MATCH(yoy!$W$1,Data!$A$1:$AN$1,),)-VLOOKUP(A52,Data!$A:$AN,MATCH(yoy!$W$1,Data!$A$1:$AN$1,),))/VLOOKUP(A52,Data!$A:$AN,MATCH(yoy!$W$1,Data!$A$1:$AN$1,),)</f>
        <v/>
      </c>
      <c r="X52" s="14">
        <f>(VLOOKUP(B52,Data!$A:$AN,MATCH(yoy!$X$1,Data!$A$1:$AN$1,),)-VLOOKUP(A52,Data!$A:$AN,MATCH(yoy!$X$1,Data!$A$1:$AN$1,),))/VLOOKUP(A52,Data!$A:$AN,MATCH(yoy!$X$1,Data!$A$1:$AN$1,),)</f>
        <v/>
      </c>
      <c r="Y52" s="14">
        <f>(VLOOKUP(B52,Data!$A:$AN,MATCH(yoy!$Y$1,Data!$A$1:$AN$1,),)-VLOOKUP(A52,Data!$A:$AN,MATCH(yoy!$Y$1,Data!$A$1:$AN$1,),))/VLOOKUP(A52,Data!$A:$AN,MATCH(yoy!$Y$1,Data!$A$1:$AN$1,),)</f>
        <v/>
      </c>
      <c r="Z52" s="14">
        <f>(VLOOKUP(B52,Data!$A:$AN,MATCH(yoy!$Z$1,Data!$A$1:$AN$1,),)-VLOOKUP(A52,Data!$A:$AN,MATCH(yoy!$Z$1,Data!$A$1:$AN$1,),))/VLOOKUP(A52,Data!$A:$AN,MATCH(yoy!$Z$1,Data!$A$1:$AN$1,),)</f>
        <v/>
      </c>
      <c r="AA52" s="14">
        <f>(VLOOKUP(B52,Data!$A:$AN,MATCH(yoy!$AA$1,Data!$A$1:$AN$1,),)-VLOOKUP(A52,Data!$A:$AN,MATCH(yoy!$AA$1,Data!$A$1:$AN$1,),))/VLOOKUP(A52,Data!$A:$AN,MATCH(yoy!$AA$1,Data!$A$1:$AN$1,),)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(VLOOKUP(B53,Data!$A:$AN,MATCH(yoy!$C$1,Data!$A$1:$AN$1,),)-VLOOKUP(A53,Data!$A:$AN,MATCH(yoy!$C$1,Data!$A$1:$AN$1,),))/VLOOKUP(A53,Data!$A:$AN,MATCH(yoy!$C$1,Data!$A$1:$AN$1,),)</f>
        <v/>
      </c>
      <c r="D53" s="14">
        <f>(VLOOKUP(B53,Data!$A:$AN,MATCH(yoy!$D$1,Data!$A$1:$AN$1,),)-VLOOKUP(A53,Data!$A:$AN,MATCH(yoy!$D$1,Data!$A$1:$AN$1,),))/VLOOKUP(A53,Data!$A:$AN,MATCH(yoy!$D$1,Data!$A$1:$AN$1,),)</f>
        <v/>
      </c>
      <c r="E53" s="14" t="n"/>
      <c r="F53" s="14">
        <f>(VLOOKUP(B53,Data!$A:$AN,MATCH(yoy!$F$1,Data!$A$1:$AN$1,),)-VLOOKUP(A53,Data!$A:$AN,MATCH(yoy!$F$1,Data!$A$1:$AN$1,),))/VLOOKUP(A53,Data!$A:$AN,MATCH(yoy!$F$1,Data!$A$1:$AN$1,),)</f>
        <v/>
      </c>
      <c r="G53" s="14">
        <f>(VLOOKUP(B53,Data!$A:$AN,MATCH(yoy!$G$1,Data!$A$1:$AN$1,),)-VLOOKUP(A53,Data!$A:$AN,MATCH(yoy!$G$1,Data!$A$1:$AN$1,),))/VLOOKUP(A53,Data!$A:$AN,MATCH(yoy!$G$1,Data!$A$1:$AN$1,),)</f>
        <v/>
      </c>
      <c r="H53" s="14">
        <f>(VLOOKUP(B53,Data!$A:$AN,MATCH(yoy!$H$1,Data!$A$1:$AN$1,),)-VLOOKUP(A53,Data!$A:$AN,MATCH(yoy!$H$1,Data!$A$1:$AN$1,),))/VLOOKUP(A53,Data!$A:$AN,MATCH(yoy!$H$1,Data!$A$1:$AN$1,),)</f>
        <v/>
      </c>
      <c r="I53" s="14" t="n"/>
      <c r="J53" s="14" t="n"/>
      <c r="K53" s="14">
        <f>(VLOOKUP(B53,Data!$A:$AN,MATCH(yoy!$K$1,Data!$A$1:$AN$1,),)-VLOOKUP(A53,Data!$A:$AN,MATCH(yoy!$K$1,Data!$A$1:$AN$1,),))/VLOOKUP(A53,Data!$A:$AN,MATCH(yoy!$K$1,Data!$A$1:$AN$1,),)</f>
        <v/>
      </c>
      <c r="L53" s="14" t="n"/>
      <c r="M53" s="14" t="n"/>
      <c r="N53" s="14" t="n"/>
      <c r="O53" s="14" t="n"/>
      <c r="P53" s="14">
        <f>(VLOOKUP(B53,Data!$A:$AN,MATCH(yoy!$P$1,Data!$A$1:$AN$1,),)-VLOOKUP(A53,Data!$A:$AN,MATCH(yoy!$P$1,Data!$A$1:$AN$1,),))/VLOOKUP(A53,Data!$A:$AN,MATCH(yoy!$P$1,Data!$A$1:$AN$1,),)</f>
        <v/>
      </c>
      <c r="Q53" s="14">
        <f>(VLOOKUP(B53,Data!$A:$AN,MATCH(yoy!$Q$1,Data!$A$1:$AN$1,),)-VLOOKUP(A53,Data!$A:$AN,MATCH(yoy!$Q$1,Data!$A$1:$AN$1,),))/VLOOKUP(A53,Data!$A:$AN,MATCH(yoy!$Q$1,Data!$A$1:$AN$1,),)</f>
        <v/>
      </c>
      <c r="R53" s="14" t="n"/>
      <c r="S53" s="14">
        <f>(VLOOKUP(B53,Data!$A:$AN,MATCH(yoy!$S$1,Data!$A$1:$AN$1,),)-VLOOKUP(A53,Data!$A:$AN,MATCH(yoy!$S$1,Data!$A$1:$AN$1,),))/VLOOKUP(A53,Data!$A:$AN,MATCH(yoy!$S$1,Data!$A$1:$AN$1,),)</f>
        <v/>
      </c>
      <c r="T53" s="14" t="n"/>
      <c r="U53" s="14" t="n"/>
      <c r="V53" s="14">
        <f>(VLOOKUP(B53,Data!$A:$AN,MATCH(yoy!$V$1,Data!$A$1:$AN$1,),)-VLOOKUP(A53,Data!$A:$AN,MATCH(yoy!$V$1,Data!$A$1:$AN$1,),))/VLOOKUP(A53,Data!$A:$AN,MATCH(yoy!$V$1,Data!$A$1:$AN$1,),)</f>
        <v/>
      </c>
      <c r="W53" s="14" t="n"/>
      <c r="X53" s="14">
        <f>(VLOOKUP(B53,Data!$A:$AN,MATCH(yoy!$X$1,Data!$A$1:$AN$1,),)-VLOOKUP(A53,Data!$A:$AN,MATCH(yoy!$X$1,Data!$A$1:$AN$1,),))/VLOOKUP(A53,Data!$A:$AN,MATCH(yoy!$X$1,Data!$A$1:$AN$1,),)</f>
        <v/>
      </c>
      <c r="Y53" s="14" t="n"/>
      <c r="Z53" s="14">
        <f>(VLOOKUP(B53,Data!$A:$AN,MATCH(yoy!$Z$1,Data!$A$1:$AN$1,),)-VLOOKUP(A53,Data!$A:$AN,MATCH(yoy!$Z$1,Data!$A$1:$AN$1,),))/VLOOKUP(A53,Data!$A:$AN,MATCH(yoy!$Z$1,Data!$A$1:$AN$1,),)</f>
        <v/>
      </c>
      <c r="AA53" s="14" t="n"/>
    </row>
    <row r="54" customFormat="1" s="76">
      <c r="A54" s="20">
        <f>DATE(YEAR(B54)-1,MONTH(B54),DAY(B54))</f>
        <v/>
      </c>
      <c r="B54" s="12" t="n">
        <v>43497</v>
      </c>
      <c r="C54" s="14">
        <f>(VLOOKUP(B54,Data!$A:$AN,MATCH(yoy!$C$1,Data!$A$1:$AN$1,),)-VLOOKUP(A54,Data!$A:$AN,MATCH(yoy!$C$1,Data!$A$1:$AN$1,),))/VLOOKUP(A54,Data!$A:$AN,MATCH(yoy!$C$1,Data!$A$1:$AN$1,),)</f>
        <v/>
      </c>
      <c r="D54" s="14">
        <f>(VLOOKUP(B54,Data!$A:$AN,MATCH(yoy!$D$1,Data!$A$1:$AN$1,),)-VLOOKUP(A54,Data!$A:$AN,MATCH(yoy!$D$1,Data!$A$1:$AN$1,),))/VLOOKUP(A54,Data!$A:$AN,MATCH(yoy!$D$1,Data!$A$1:$AN$1,),)</f>
        <v/>
      </c>
      <c r="E54" s="14" t="n"/>
      <c r="F54" s="14">
        <f>(VLOOKUP(B54,Data!$A:$AN,MATCH(yoy!$F$1,Data!$A$1:$AN$1,),)-VLOOKUP(A54,Data!$A:$AN,MATCH(yoy!$F$1,Data!$A$1:$AN$1,),))/VLOOKUP(A54,Data!$A:$AN,MATCH(yoy!$F$1,Data!$A$1:$AN$1,),)</f>
        <v/>
      </c>
      <c r="G54" s="14">
        <f>(VLOOKUP(B54,Data!$A:$AN,MATCH(yoy!$G$1,Data!$A$1:$AN$1,),)-VLOOKUP(A54,Data!$A:$AN,MATCH(yoy!$G$1,Data!$A$1:$AN$1,),))/VLOOKUP(A54,Data!$A:$AN,MATCH(yoy!$G$1,Data!$A$1:$AN$1,),)</f>
        <v/>
      </c>
      <c r="H54" s="14">
        <f>(VLOOKUP(B54,Data!$A:$AN,MATCH(yoy!$H$1,Data!$A$1:$AN$1,),)-VLOOKUP(A54,Data!$A:$AN,MATCH(yoy!$H$1,Data!$A$1:$AN$1,),))/VLOOKUP(A54,Data!$A:$AN,MATCH(yoy!$H$1,Data!$A$1:$AN$1,),)</f>
        <v/>
      </c>
      <c r="I54" s="14" t="n"/>
      <c r="J54" s="14" t="n"/>
      <c r="K54" s="14">
        <f>(VLOOKUP(B54,Data!$A:$AN,MATCH(yoy!$K$1,Data!$A$1:$AN$1,),)-VLOOKUP(A54,Data!$A:$AN,MATCH(yoy!$K$1,Data!$A$1:$AN$1,),))/VLOOKUP(A54,Data!$A:$AN,MATCH(yoy!$K$1,Data!$A$1:$AN$1,),)</f>
        <v/>
      </c>
      <c r="L54" s="14" t="n"/>
      <c r="M54" s="14" t="n"/>
      <c r="N54" s="14" t="n"/>
      <c r="O54" s="14" t="n"/>
      <c r="P54" s="14">
        <f>(VLOOKUP(B54,Data!$A:$AN,MATCH(yoy!$P$1,Data!$A$1:$AN$1,),)-VLOOKUP(A54,Data!$A:$AN,MATCH(yoy!$P$1,Data!$A$1:$AN$1,),))/VLOOKUP(A54,Data!$A:$AN,MATCH(yoy!$P$1,Data!$A$1:$AN$1,),)</f>
        <v/>
      </c>
      <c r="Q54" s="14">
        <f>(VLOOKUP(B54,Data!$A:$AN,MATCH(yoy!$Q$1,Data!$A$1:$AN$1,),)-VLOOKUP(A54,Data!$A:$AN,MATCH(yoy!$Q$1,Data!$A$1:$AN$1,),))/VLOOKUP(A54,Data!$A:$AN,MATCH(yoy!$Q$1,Data!$A$1:$AN$1,),)</f>
        <v/>
      </c>
      <c r="R54" s="14" t="n"/>
      <c r="S54" s="14">
        <f>(VLOOKUP(B54,Data!$A:$AN,MATCH(yoy!$S$1,Data!$A$1:$AN$1,),)-VLOOKUP(A54,Data!$A:$AN,MATCH(yoy!$S$1,Data!$A$1:$AN$1,),))/VLOOKUP(A54,Data!$A:$AN,MATCH(yoy!$S$1,Data!$A$1:$AN$1,),)</f>
        <v/>
      </c>
      <c r="T54" s="14" t="n"/>
      <c r="U54" s="14" t="n"/>
      <c r="V54" s="14">
        <f>(VLOOKUP(B54,Data!$A:$AN,MATCH(yoy!$V$1,Data!$A$1:$AN$1,),)-VLOOKUP(A54,Data!$A:$AN,MATCH(yoy!$V$1,Data!$A$1:$AN$1,),))/VLOOKUP(A54,Data!$A:$AN,MATCH(yoy!$V$1,Data!$A$1:$AN$1,),)</f>
        <v/>
      </c>
      <c r="W54" s="14" t="n"/>
      <c r="X54" s="14">
        <f>(VLOOKUP(B54,Data!$A:$AN,MATCH(yoy!$X$1,Data!$A$1:$AN$1,),)-VLOOKUP(A54,Data!$A:$AN,MATCH(yoy!$X$1,Data!$A$1:$AN$1,),))/VLOOKUP(A54,Data!$A:$AN,MATCH(yoy!$X$1,Data!$A$1:$AN$1,),)</f>
        <v/>
      </c>
      <c r="Y54" s="14" t="n"/>
      <c r="Z54" s="14">
        <f>(VLOOKUP(B54,Data!$A:$AN,MATCH(yoy!$Z$1,Data!$A$1:$AN$1,),)-VLOOKUP(A54,Data!$A:$AN,MATCH(yoy!$Z$1,Data!$A$1:$AN$1,),))/VLOOKUP(A54,Data!$A:$AN,MATCH(yoy!$Z$1,Data!$A$1:$AN$1,),)</f>
        <v/>
      </c>
      <c r="AA54" s="14" t="n"/>
    </row>
    <row r="55" customFormat="1" s="76">
      <c r="A55" s="20">
        <f>DATE(YEAR(B55)-1,MONTH(B55),DAY(B55))</f>
        <v/>
      </c>
      <c r="B55" s="12" t="n">
        <v>43525</v>
      </c>
      <c r="C55" s="14">
        <f>(VLOOKUP(B55,Data!$A:$AN,MATCH(yoy!$C$1,Data!$A$1:$AN$1,),)-VLOOKUP(A55,Data!$A:$AN,MATCH(yoy!$C$1,Data!$A$1:$AN$1,),))/VLOOKUP(A55,Data!$A:$AN,MATCH(yoy!$C$1,Data!$A$1:$AN$1,),)</f>
        <v/>
      </c>
      <c r="D55" s="14">
        <f>(VLOOKUP(B55,Data!$A:$AN,MATCH(yoy!$D$1,Data!$A$1:$AN$1,),)-VLOOKUP(A55,Data!$A:$AN,MATCH(yoy!$D$1,Data!$A$1:$AN$1,),))/VLOOKUP(A55,Data!$A:$AN,MATCH(yoy!$D$1,Data!$A$1:$AN$1,),)</f>
        <v/>
      </c>
      <c r="E55" s="14" t="n"/>
      <c r="F55" s="14">
        <f>(VLOOKUP(B55,Data!$A:$AN,MATCH(yoy!$F$1,Data!$A$1:$AN$1,),)-VLOOKUP(A55,Data!$A:$AN,MATCH(yoy!$F$1,Data!$A$1:$AN$1,),))/VLOOKUP(A55,Data!$A:$AN,MATCH(yoy!$F$1,Data!$A$1:$AN$1,),)</f>
        <v/>
      </c>
      <c r="G55" s="14">
        <f>(VLOOKUP(B55,Data!$A:$AN,MATCH(yoy!$G$1,Data!$A$1:$AN$1,),)-VLOOKUP(A55,Data!$A:$AN,MATCH(yoy!$G$1,Data!$A$1:$AN$1,),))/VLOOKUP(A55,Data!$A:$AN,MATCH(yoy!$G$1,Data!$A$1:$AN$1,),)</f>
        <v/>
      </c>
      <c r="H55" s="14">
        <f>(VLOOKUP(B55,Data!$A:$AN,MATCH(yoy!$H$1,Data!$A$1:$AN$1,),)-VLOOKUP(A55,Data!$A:$AN,MATCH(yoy!$H$1,Data!$A$1:$AN$1,),))/VLOOKUP(A55,Data!$A:$AN,MATCH(yoy!$H$1,Data!$A$1:$AN$1,),)</f>
        <v/>
      </c>
      <c r="I55" s="14" t="n"/>
      <c r="J55" s="14" t="n"/>
      <c r="K55" s="14">
        <f>(VLOOKUP(B55,Data!$A:$AN,MATCH(yoy!$K$1,Data!$A$1:$AN$1,),)-VLOOKUP(A55,Data!$A:$AN,MATCH(yoy!$K$1,Data!$A$1:$AN$1,),))/VLOOKUP(A55,Data!$A:$AN,MATCH(yoy!$K$1,Data!$A$1:$AN$1,),)</f>
        <v/>
      </c>
      <c r="L55" s="14" t="n"/>
      <c r="M55" s="14" t="n"/>
      <c r="N55" s="14" t="n"/>
      <c r="O55" s="14" t="n"/>
      <c r="P55" s="14">
        <f>(VLOOKUP(B55,Data!$A:$AN,MATCH(yoy!$P$1,Data!$A$1:$AN$1,),)-VLOOKUP(A55,Data!$A:$AN,MATCH(yoy!$P$1,Data!$A$1:$AN$1,),))/VLOOKUP(A55,Data!$A:$AN,MATCH(yoy!$P$1,Data!$A$1:$AN$1,),)</f>
        <v/>
      </c>
      <c r="Q55" s="14">
        <f>(VLOOKUP(B55,Data!$A:$AN,MATCH(yoy!$Q$1,Data!$A$1:$AN$1,),)-VLOOKUP(A55,Data!$A:$AN,MATCH(yoy!$Q$1,Data!$A$1:$AN$1,),))/VLOOKUP(A55,Data!$A:$AN,MATCH(yoy!$Q$1,Data!$A$1:$AN$1,),)</f>
        <v/>
      </c>
      <c r="R55" s="14" t="n"/>
      <c r="S55" s="14">
        <f>(VLOOKUP(B55,Data!$A:$AN,MATCH(yoy!$S$1,Data!$A$1:$AN$1,),)-VLOOKUP(A55,Data!$A:$AN,MATCH(yoy!$S$1,Data!$A$1:$AN$1,),))/VLOOKUP(A55,Data!$A:$AN,MATCH(yoy!$S$1,Data!$A$1:$AN$1,),)</f>
        <v/>
      </c>
      <c r="T55" s="14" t="n"/>
      <c r="U55" s="14" t="n"/>
      <c r="V55" s="14">
        <f>(VLOOKUP(B55,Data!$A:$AN,MATCH(yoy!$V$1,Data!$A$1:$AN$1,),)-VLOOKUP(A55,Data!$A:$AN,MATCH(yoy!$V$1,Data!$A$1:$AN$1,),))/VLOOKUP(A55,Data!$A:$AN,MATCH(yoy!$V$1,Data!$A$1:$AN$1,),)</f>
        <v/>
      </c>
      <c r="W55" s="14" t="n"/>
      <c r="X55" s="14">
        <f>(VLOOKUP(B55,Data!$A:$AN,MATCH(yoy!$X$1,Data!$A$1:$AN$1,),)-VLOOKUP(A55,Data!$A:$AN,MATCH(yoy!$X$1,Data!$A$1:$AN$1,),))/VLOOKUP(A55,Data!$A:$AN,MATCH(yoy!$X$1,Data!$A$1:$AN$1,),)</f>
        <v/>
      </c>
      <c r="Y55" s="14" t="n"/>
      <c r="Z55" s="14">
        <f>(VLOOKUP(B55,Data!$A:$AN,MATCH(yoy!$Z$1,Data!$A$1:$AN$1,),)-VLOOKUP(A55,Data!$A:$AN,MATCH(yoy!$Z$1,Data!$A$1:$AN$1,),))/VLOOKUP(A55,Data!$A:$AN,MATCH(yoy!$Z$1,Data!$A$1:$AN$1,),)</f>
        <v/>
      </c>
      <c r="AA55" s="14" t="n"/>
    </row>
    <row r="56" customFormat="1" s="76">
      <c r="A56" s="20">
        <f>DATE(YEAR(B56)-1,MONTH(B56),DAY(B56))</f>
        <v/>
      </c>
      <c r="B56" s="12" t="n">
        <v>43556</v>
      </c>
      <c r="C56" s="14">
        <f>(VLOOKUP(B56,Data!$A:$AN,MATCH(yoy!$C$1,Data!$A$1:$AN$1,),)-VLOOKUP(A56,Data!$A:$AN,MATCH(yoy!$C$1,Data!$A$1:$AN$1,),))/VLOOKUP(A56,Data!$A:$AN,MATCH(yoy!$C$1,Data!$A$1:$AN$1,),)</f>
        <v/>
      </c>
      <c r="D56" s="14">
        <f>(VLOOKUP(B56,Data!$A:$AN,MATCH(yoy!$D$1,Data!$A$1:$AN$1,),)-VLOOKUP(A56,Data!$A:$AN,MATCH(yoy!$D$1,Data!$A$1:$AN$1,),))/VLOOKUP(A56,Data!$A:$AN,MATCH(yoy!$D$1,Data!$A$1:$AN$1,),)</f>
        <v/>
      </c>
      <c r="E56" s="14" t="n"/>
      <c r="F56" s="14">
        <f>(VLOOKUP(B56,Data!$A:$AN,MATCH(yoy!$F$1,Data!$A$1:$AN$1,),)-VLOOKUP(A56,Data!$A:$AN,MATCH(yoy!$F$1,Data!$A$1:$AN$1,),))/VLOOKUP(A56,Data!$A:$AN,MATCH(yoy!$F$1,Data!$A$1:$AN$1,),)</f>
        <v/>
      </c>
      <c r="G56" s="14">
        <f>(VLOOKUP(B56,Data!$A:$AN,MATCH(yoy!$G$1,Data!$A$1:$AN$1,),)-VLOOKUP(A56,Data!$A:$AN,MATCH(yoy!$G$1,Data!$A$1:$AN$1,),))/VLOOKUP(A56,Data!$A:$AN,MATCH(yoy!$G$1,Data!$A$1:$AN$1,),)</f>
        <v/>
      </c>
      <c r="H56" s="14">
        <f>(VLOOKUP(B56,Data!$A:$AN,MATCH(yoy!$H$1,Data!$A$1:$AN$1,),)-VLOOKUP(A56,Data!$A:$AN,MATCH(yoy!$H$1,Data!$A$1:$AN$1,),))/VLOOKUP(A56,Data!$A:$AN,MATCH(yoy!$H$1,Data!$A$1:$AN$1,),)</f>
        <v/>
      </c>
      <c r="I56" s="14" t="n"/>
      <c r="J56" s="14" t="n"/>
      <c r="K56" s="14">
        <f>(VLOOKUP(B56,Data!$A:$AN,MATCH(yoy!$K$1,Data!$A$1:$AN$1,),)-VLOOKUP(A56,Data!$A:$AN,MATCH(yoy!$K$1,Data!$A$1:$AN$1,),))/VLOOKUP(A56,Data!$A:$AN,MATCH(yoy!$K$1,Data!$A$1:$AN$1,),)</f>
        <v/>
      </c>
      <c r="L56" s="14" t="n"/>
      <c r="M56" s="14" t="n"/>
      <c r="N56" s="14" t="n"/>
      <c r="O56" s="14" t="n"/>
      <c r="P56" s="14">
        <f>(VLOOKUP(B56,Data!$A:$AN,MATCH(yoy!$P$1,Data!$A$1:$AN$1,),)-VLOOKUP(A56,Data!$A:$AN,MATCH(yoy!$P$1,Data!$A$1:$AN$1,),))/VLOOKUP(A56,Data!$A:$AN,MATCH(yoy!$P$1,Data!$A$1:$AN$1,),)</f>
        <v/>
      </c>
      <c r="Q56" s="14">
        <f>(VLOOKUP(B56,Data!$A:$AN,MATCH(yoy!$Q$1,Data!$A$1:$AN$1,),)-VLOOKUP(A56,Data!$A:$AN,MATCH(yoy!$Q$1,Data!$A$1:$AN$1,),))/VLOOKUP(A56,Data!$A:$AN,MATCH(yoy!$Q$1,Data!$A$1:$AN$1,),)</f>
        <v/>
      </c>
      <c r="R56" s="14" t="n"/>
      <c r="S56" s="14">
        <f>(VLOOKUP(B56,Data!$A:$AN,MATCH(yoy!$S$1,Data!$A$1:$AN$1,),)-VLOOKUP(A56,Data!$A:$AN,MATCH(yoy!$S$1,Data!$A$1:$AN$1,),))/VLOOKUP(A56,Data!$A:$AN,MATCH(yoy!$S$1,Data!$A$1:$AN$1,),)</f>
        <v/>
      </c>
      <c r="T56" s="14" t="n"/>
      <c r="U56" s="14" t="n"/>
      <c r="V56" s="14">
        <f>(VLOOKUP(B56,Data!$A:$AN,MATCH(yoy!$V$1,Data!$A$1:$AN$1,),)-VLOOKUP(A56,Data!$A:$AN,MATCH(yoy!$V$1,Data!$A$1:$AN$1,),))/VLOOKUP(A56,Data!$A:$AN,MATCH(yoy!$V$1,Data!$A$1:$AN$1,),)</f>
        <v/>
      </c>
      <c r="W56" s="14" t="n"/>
      <c r="X56" s="14">
        <f>(VLOOKUP(B56,Data!$A:$AN,MATCH(yoy!$X$1,Data!$A$1:$AN$1,),)-VLOOKUP(A56,Data!$A:$AN,MATCH(yoy!$X$1,Data!$A$1:$AN$1,),))/VLOOKUP(A56,Data!$A:$AN,MATCH(yoy!$X$1,Data!$A$1:$AN$1,),)</f>
        <v/>
      </c>
      <c r="Y56" s="14" t="n"/>
      <c r="Z56" s="14">
        <f>(VLOOKUP(B56,Data!$A:$AN,MATCH(yoy!$Z$1,Data!$A$1:$AN$1,),)-VLOOKUP(A56,Data!$A:$AN,MATCH(yoy!$Z$1,Data!$A$1:$AN$1,),))/VLOOKUP(A56,Data!$A:$AN,MATCH(yoy!$Z$1,Data!$A$1:$AN$1,),)</f>
        <v/>
      </c>
      <c r="AA56" s="14" t="n"/>
    </row>
    <row r="57" customFormat="1" s="76">
      <c r="A57" s="20">
        <f>DATE(YEAR(B57)-1,MONTH(B57),DAY(B57))</f>
        <v/>
      </c>
      <c r="B57" s="12" t="n">
        <v>43586</v>
      </c>
      <c r="C57" s="14">
        <f>(VLOOKUP(B57,Data!$A:$AN,MATCH(yoy!$C$1,Data!$A$1:$AN$1,),)-VLOOKUP(A57,Data!$A:$AN,MATCH(yoy!$C$1,Data!$A$1:$AN$1,),))/VLOOKUP(A57,Data!$A:$AN,MATCH(yoy!$C$1,Data!$A$1:$AN$1,),)</f>
        <v/>
      </c>
      <c r="D57" s="14">
        <f>(VLOOKUP(B57,Data!$A:$AN,MATCH(yoy!$D$1,Data!$A$1:$AN$1,),)-VLOOKUP(A57,Data!$A:$AN,MATCH(yoy!$D$1,Data!$A$1:$AN$1,),))/VLOOKUP(A57,Data!$A:$AN,MATCH(yoy!$D$1,Data!$A$1:$AN$1,),)</f>
        <v/>
      </c>
      <c r="E57" s="14" t="n"/>
      <c r="F57" s="14">
        <f>(VLOOKUP(B57,Data!$A:$AN,MATCH(yoy!$F$1,Data!$A$1:$AN$1,),)-VLOOKUP(A57,Data!$A:$AN,MATCH(yoy!$F$1,Data!$A$1:$AN$1,),))/VLOOKUP(A57,Data!$A:$AN,MATCH(yoy!$F$1,Data!$A$1:$AN$1,),)</f>
        <v/>
      </c>
      <c r="G57" s="14">
        <f>(VLOOKUP(B57,Data!$A:$AN,MATCH(yoy!$G$1,Data!$A$1:$AN$1,),)-VLOOKUP(A57,Data!$A:$AN,MATCH(yoy!$G$1,Data!$A$1:$AN$1,),))/VLOOKUP(A57,Data!$A:$AN,MATCH(yoy!$G$1,Data!$A$1:$AN$1,),)</f>
        <v/>
      </c>
      <c r="H57" s="14">
        <f>(VLOOKUP(B57,Data!$A:$AN,MATCH(yoy!$H$1,Data!$A$1:$AN$1,),)-VLOOKUP(A57,Data!$A:$AN,MATCH(yoy!$H$1,Data!$A$1:$AN$1,),))/VLOOKUP(A57,Data!$A:$AN,MATCH(yoy!$H$1,Data!$A$1:$AN$1,),)</f>
        <v/>
      </c>
      <c r="I57" s="14" t="n"/>
      <c r="J57" s="14" t="n"/>
      <c r="K57" s="14">
        <f>(VLOOKUP(B57,Data!$A:$AN,MATCH(yoy!$K$1,Data!$A$1:$AN$1,),)-VLOOKUP(A57,Data!$A:$AN,MATCH(yoy!$K$1,Data!$A$1:$AN$1,),))/VLOOKUP(A57,Data!$A:$AN,MATCH(yoy!$K$1,Data!$A$1:$AN$1,),)</f>
        <v/>
      </c>
      <c r="L57" s="14" t="n"/>
      <c r="M57" s="14" t="n"/>
      <c r="N57" s="14" t="n"/>
      <c r="O57" s="14" t="n"/>
      <c r="P57" s="14">
        <f>(VLOOKUP(B57,Data!$A:$AN,MATCH(yoy!$P$1,Data!$A$1:$AN$1,),)-VLOOKUP(A57,Data!$A:$AN,MATCH(yoy!$P$1,Data!$A$1:$AN$1,),))/VLOOKUP(A57,Data!$A:$AN,MATCH(yoy!$P$1,Data!$A$1:$AN$1,),)</f>
        <v/>
      </c>
      <c r="Q57" s="14">
        <f>(VLOOKUP(B57,Data!$A:$AN,MATCH(yoy!$Q$1,Data!$A$1:$AN$1,),)-VLOOKUP(A57,Data!$A:$AN,MATCH(yoy!$Q$1,Data!$A$1:$AN$1,),))/VLOOKUP(A57,Data!$A:$AN,MATCH(yoy!$Q$1,Data!$A$1:$AN$1,),)</f>
        <v/>
      </c>
      <c r="R57" s="14" t="n"/>
      <c r="S57" s="14">
        <f>(VLOOKUP(B57,Data!$A:$AN,MATCH(yoy!$S$1,Data!$A$1:$AN$1,),)-VLOOKUP(A57,Data!$A:$AN,MATCH(yoy!$S$1,Data!$A$1:$AN$1,),))/VLOOKUP(A57,Data!$A:$AN,MATCH(yoy!$S$1,Data!$A$1:$AN$1,),)</f>
        <v/>
      </c>
      <c r="T57" s="14" t="n"/>
      <c r="U57" s="14" t="n"/>
      <c r="V57" s="14">
        <f>(VLOOKUP(B57,Data!$A:$AN,MATCH(yoy!$V$1,Data!$A$1:$AN$1,),)-VLOOKUP(A57,Data!$A:$AN,MATCH(yoy!$V$1,Data!$A$1:$AN$1,),))/VLOOKUP(A57,Data!$A:$AN,MATCH(yoy!$V$1,Data!$A$1:$AN$1,),)</f>
        <v/>
      </c>
      <c r="W57" s="14" t="n"/>
      <c r="X57" s="14">
        <f>(VLOOKUP(B57,Data!$A:$AN,MATCH(yoy!$X$1,Data!$A$1:$AN$1,),)-VLOOKUP(A57,Data!$A:$AN,MATCH(yoy!$X$1,Data!$A$1:$AN$1,),))/VLOOKUP(A57,Data!$A:$AN,MATCH(yoy!$X$1,Data!$A$1:$AN$1,),)</f>
        <v/>
      </c>
      <c r="Y57" s="14" t="n"/>
      <c r="Z57" s="14">
        <f>(VLOOKUP(B57,Data!$A:$AN,MATCH(yoy!$Z$1,Data!$A$1:$AN$1,),)-VLOOKUP(A57,Data!$A:$AN,MATCH(yoy!$Z$1,Data!$A$1:$AN$1,),))/VLOOKUP(A57,Data!$A:$AN,MATCH(yoy!$Z$1,Data!$A$1:$AN$1,),)</f>
        <v/>
      </c>
      <c r="AA57" s="14" t="n"/>
    </row>
    <row r="58" customFormat="1" s="76">
      <c r="A58" s="20">
        <f>DATE(YEAR(B58)-1,MONTH(B58),DAY(B58))</f>
        <v/>
      </c>
      <c r="B58" s="12" t="n">
        <v>43617</v>
      </c>
      <c r="C58" s="14">
        <f>(VLOOKUP(B58,Data!$A:$AN,MATCH(yoy!$C$1,Data!$A$1:$AN$1,),)-VLOOKUP(A58,Data!$A:$AN,MATCH(yoy!$C$1,Data!$A$1:$AN$1,),))/VLOOKUP(A58,Data!$A:$AN,MATCH(yoy!$C$1,Data!$A$1:$AN$1,),)</f>
        <v/>
      </c>
      <c r="D58" s="14">
        <f>(VLOOKUP(B58,Data!$A:$AN,MATCH(yoy!$D$1,Data!$A$1:$AN$1,),)-VLOOKUP(A58,Data!$A:$AN,MATCH(yoy!$D$1,Data!$A$1:$AN$1,),))/VLOOKUP(A58,Data!$A:$AN,MATCH(yoy!$D$1,Data!$A$1:$AN$1,),)</f>
        <v/>
      </c>
      <c r="E58" s="14" t="n"/>
      <c r="F58" s="14">
        <f>(VLOOKUP(B58,Data!$A:$AN,MATCH(yoy!$F$1,Data!$A$1:$AN$1,),)-VLOOKUP(A58,Data!$A:$AN,MATCH(yoy!$F$1,Data!$A$1:$AN$1,),))/VLOOKUP(A58,Data!$A:$AN,MATCH(yoy!$F$1,Data!$A$1:$AN$1,),)</f>
        <v/>
      </c>
      <c r="G58" s="14">
        <f>(VLOOKUP(B58,Data!$A:$AN,MATCH(yoy!$G$1,Data!$A$1:$AN$1,),)-VLOOKUP(A58,Data!$A:$AN,MATCH(yoy!$G$1,Data!$A$1:$AN$1,),))/VLOOKUP(A58,Data!$A:$AN,MATCH(yoy!$G$1,Data!$A$1:$AN$1,),)</f>
        <v/>
      </c>
      <c r="H58" s="14">
        <f>(VLOOKUP(B58,Data!$A:$AN,MATCH(yoy!$H$1,Data!$A$1:$AN$1,),)-VLOOKUP(A58,Data!$A:$AN,MATCH(yoy!$H$1,Data!$A$1:$AN$1,),))/VLOOKUP(A58,Data!$A:$AN,MATCH(yoy!$H$1,Data!$A$1:$AN$1,),)</f>
        <v/>
      </c>
      <c r="I58" s="14" t="n"/>
      <c r="J58" s="14" t="n"/>
      <c r="K58" s="14">
        <f>(VLOOKUP(B58,Data!$A:$AN,MATCH(yoy!$K$1,Data!$A$1:$AN$1,),)-VLOOKUP(A58,Data!$A:$AN,MATCH(yoy!$K$1,Data!$A$1:$AN$1,),))/VLOOKUP(A58,Data!$A:$AN,MATCH(yoy!$K$1,Data!$A$1:$AN$1,),)</f>
        <v/>
      </c>
      <c r="L58" s="14" t="n"/>
      <c r="M58" s="14" t="n"/>
      <c r="N58" s="14" t="n"/>
      <c r="O58" s="14" t="n"/>
      <c r="P58" s="14">
        <f>(VLOOKUP(B58,Data!$A:$AN,MATCH(yoy!$P$1,Data!$A$1:$AN$1,),)-VLOOKUP(A58,Data!$A:$AN,MATCH(yoy!$P$1,Data!$A$1:$AN$1,),))/VLOOKUP(A58,Data!$A:$AN,MATCH(yoy!$P$1,Data!$A$1:$AN$1,),)</f>
        <v/>
      </c>
      <c r="Q58" s="14">
        <f>(VLOOKUP(B58,Data!$A:$AN,MATCH(yoy!$Q$1,Data!$A$1:$AN$1,),)-VLOOKUP(A58,Data!$A:$AN,MATCH(yoy!$Q$1,Data!$A$1:$AN$1,),))/VLOOKUP(A58,Data!$A:$AN,MATCH(yoy!$Q$1,Data!$A$1:$AN$1,),)</f>
        <v/>
      </c>
      <c r="R58" s="14" t="n"/>
      <c r="S58" s="14">
        <f>(VLOOKUP(B58,Data!$A:$AN,MATCH(yoy!$S$1,Data!$A$1:$AN$1,),)-VLOOKUP(A58,Data!$A:$AN,MATCH(yoy!$S$1,Data!$A$1:$AN$1,),))/VLOOKUP(A58,Data!$A:$AN,MATCH(yoy!$S$1,Data!$A$1:$AN$1,),)</f>
        <v/>
      </c>
      <c r="T58" s="14" t="n"/>
      <c r="U58" s="14" t="n"/>
      <c r="V58" s="14">
        <f>(VLOOKUP(B58,Data!$A:$AN,MATCH(yoy!$V$1,Data!$A$1:$AN$1,),)-VLOOKUP(A58,Data!$A:$AN,MATCH(yoy!$V$1,Data!$A$1:$AN$1,),))/VLOOKUP(A58,Data!$A:$AN,MATCH(yoy!$V$1,Data!$A$1:$AN$1,),)</f>
        <v/>
      </c>
      <c r="W58" s="14" t="n"/>
      <c r="X58" s="14">
        <f>(VLOOKUP(B58,Data!$A:$AN,MATCH(yoy!$X$1,Data!$A$1:$AN$1,),)-VLOOKUP(A58,Data!$A:$AN,MATCH(yoy!$X$1,Data!$A$1:$AN$1,),))/VLOOKUP(A58,Data!$A:$AN,MATCH(yoy!$X$1,Data!$A$1:$AN$1,),)</f>
        <v/>
      </c>
      <c r="Y58" s="14" t="n"/>
      <c r="Z58" s="14">
        <f>(VLOOKUP(B58,Data!$A:$AN,MATCH(yoy!$Z$1,Data!$A$1:$AN$1,),)-VLOOKUP(A58,Data!$A:$AN,MATCH(yoy!$Z$1,Data!$A$1:$AN$1,),))/VLOOKUP(A58,Data!$A:$AN,MATCH(yoy!$Z$1,Data!$A$1:$AN$1,),)</f>
        <v/>
      </c>
      <c r="AA58" s="14" t="n"/>
    </row>
    <row r="59" customFormat="1" s="76">
      <c r="A59" s="20">
        <f>DATE(YEAR(B59)-1,MONTH(B59),DAY(B59))</f>
        <v/>
      </c>
      <c r="B59" s="12" t="n">
        <v>43647</v>
      </c>
      <c r="C59" s="14">
        <f>(VLOOKUP(B59,Data!$A:$AN,MATCH(yoy!$C$1,Data!$A$1:$AN$1,),)-VLOOKUP(A59,Data!$A:$AN,MATCH(yoy!$C$1,Data!$A$1:$AN$1,),))/VLOOKUP(A59,Data!$A:$AN,MATCH(yoy!$C$1,Data!$A$1:$AN$1,),)</f>
        <v/>
      </c>
      <c r="D59" s="14">
        <f>(VLOOKUP(B59,Data!$A:$AN,MATCH(yoy!$D$1,Data!$A$1:$AN$1,),)-VLOOKUP(A59,Data!$A:$AN,MATCH(yoy!$D$1,Data!$A$1:$AN$1,),))/VLOOKUP(A59,Data!$A:$AN,MATCH(yoy!$D$1,Data!$A$1:$AN$1,),)</f>
        <v/>
      </c>
      <c r="E59" s="14" t="n"/>
      <c r="F59" s="14">
        <f>(VLOOKUP(B59,Data!$A:$AN,MATCH(yoy!$F$1,Data!$A$1:$AN$1,),)-VLOOKUP(A59,Data!$A:$AN,MATCH(yoy!$F$1,Data!$A$1:$AN$1,),))/VLOOKUP(A59,Data!$A:$AN,MATCH(yoy!$F$1,Data!$A$1:$AN$1,),)</f>
        <v/>
      </c>
      <c r="G59" s="14">
        <f>(VLOOKUP(B59,Data!$A:$AN,MATCH(yoy!$G$1,Data!$A$1:$AN$1,),)-VLOOKUP(A59,Data!$A:$AN,MATCH(yoy!$G$1,Data!$A$1:$AN$1,),))/VLOOKUP(A59,Data!$A:$AN,MATCH(yoy!$G$1,Data!$A$1:$AN$1,),)</f>
        <v/>
      </c>
      <c r="H59" s="14">
        <f>(VLOOKUP(B59,Data!$A:$AN,MATCH(yoy!$H$1,Data!$A$1:$AN$1,),)-VLOOKUP(A59,Data!$A:$AN,MATCH(yoy!$H$1,Data!$A$1:$AN$1,),))/VLOOKUP(A59,Data!$A:$AN,MATCH(yoy!$H$1,Data!$A$1:$AN$1,),)</f>
        <v/>
      </c>
      <c r="I59" s="14" t="n"/>
      <c r="J59" s="14" t="n"/>
      <c r="K59" s="14">
        <f>(VLOOKUP(B59,Data!$A:$AN,MATCH(yoy!$K$1,Data!$A$1:$AN$1,),)-VLOOKUP(A59,Data!$A:$AN,MATCH(yoy!$K$1,Data!$A$1:$AN$1,),))/VLOOKUP(A59,Data!$A:$AN,MATCH(yoy!$K$1,Data!$A$1:$AN$1,),)</f>
        <v/>
      </c>
      <c r="L59" s="14" t="n"/>
      <c r="M59" s="14" t="n"/>
      <c r="N59" s="14" t="n"/>
      <c r="O59" s="14" t="n"/>
      <c r="P59" s="14">
        <f>(VLOOKUP(B59,Data!$A:$AN,MATCH(yoy!$P$1,Data!$A$1:$AN$1,),)-VLOOKUP(A59,Data!$A:$AN,MATCH(yoy!$P$1,Data!$A$1:$AN$1,),))/VLOOKUP(A59,Data!$A:$AN,MATCH(yoy!$P$1,Data!$A$1:$AN$1,),)</f>
        <v/>
      </c>
      <c r="Q59" s="14">
        <f>(VLOOKUP(B59,Data!$A:$AN,MATCH(yoy!$Q$1,Data!$A$1:$AN$1,),)-VLOOKUP(A59,Data!$A:$AN,MATCH(yoy!$Q$1,Data!$A$1:$AN$1,),))/VLOOKUP(A59,Data!$A:$AN,MATCH(yoy!$Q$1,Data!$A$1:$AN$1,),)</f>
        <v/>
      </c>
      <c r="R59" s="14" t="n"/>
      <c r="S59" s="14">
        <f>(VLOOKUP(B59,Data!$A:$AN,MATCH(yoy!$S$1,Data!$A$1:$AN$1,),)-VLOOKUP(A59,Data!$A:$AN,MATCH(yoy!$S$1,Data!$A$1:$AN$1,),))/VLOOKUP(A59,Data!$A:$AN,MATCH(yoy!$S$1,Data!$A$1:$AN$1,),)</f>
        <v/>
      </c>
      <c r="T59" s="14" t="n"/>
      <c r="U59" s="14" t="n"/>
      <c r="V59" s="14">
        <f>(VLOOKUP(B59,Data!$A:$AN,MATCH(yoy!$V$1,Data!$A$1:$AN$1,),)-VLOOKUP(A59,Data!$A:$AN,MATCH(yoy!$V$1,Data!$A$1:$AN$1,),))/VLOOKUP(A59,Data!$A:$AN,MATCH(yoy!$V$1,Data!$A$1:$AN$1,),)</f>
        <v/>
      </c>
      <c r="W59" s="14" t="n"/>
      <c r="X59" s="14">
        <f>(VLOOKUP(B59,Data!$A:$AN,MATCH(yoy!$X$1,Data!$A$1:$AN$1,),)-VLOOKUP(A59,Data!$A:$AN,MATCH(yoy!$X$1,Data!$A$1:$AN$1,),))/VLOOKUP(A59,Data!$A:$AN,MATCH(yoy!$X$1,Data!$A$1:$AN$1,),)</f>
        <v/>
      </c>
      <c r="Y59" s="14" t="n"/>
      <c r="Z59" s="14">
        <f>(VLOOKUP(B59,Data!$A:$AN,MATCH(yoy!$Z$1,Data!$A$1:$AN$1,),)-VLOOKUP(A59,Data!$A:$AN,MATCH(yoy!$Z$1,Data!$A$1:$AN$1,),))/VLOOKUP(A59,Data!$A:$AN,MATCH(yoy!$Z$1,Data!$A$1:$AN$1,),)</f>
        <v/>
      </c>
      <c r="AA59" s="14" t="n"/>
    </row>
    <row r="60" customFormat="1" s="76">
      <c r="A60" s="20">
        <f>DATE(YEAR(B60)-1,MONTH(B60),DAY(B60))</f>
        <v/>
      </c>
      <c r="B60" s="12" t="n">
        <v>43678</v>
      </c>
      <c r="C60" s="14">
        <f>(VLOOKUP(B60,Data!$A:$AN,MATCH(yoy!$C$1,Data!$A$1:$AN$1,),)-VLOOKUP(A60,Data!$A:$AN,MATCH(yoy!$C$1,Data!$A$1:$AN$1,),))/VLOOKUP(A60,Data!$A:$AN,MATCH(yoy!$C$1,Data!$A$1:$AN$1,),)</f>
        <v/>
      </c>
      <c r="D60" s="14">
        <f>(VLOOKUP(B60,Data!$A:$AN,MATCH(yoy!$D$1,Data!$A$1:$AN$1,),)-VLOOKUP(A60,Data!$A:$AN,MATCH(yoy!$D$1,Data!$A$1:$AN$1,),))/VLOOKUP(A60,Data!$A:$AN,MATCH(yoy!$D$1,Data!$A$1:$AN$1,),)</f>
        <v/>
      </c>
      <c r="E60" s="14" t="n"/>
      <c r="F60" s="14">
        <f>(VLOOKUP(B60,Data!$A:$AN,MATCH(yoy!$F$1,Data!$A$1:$AN$1,),)-VLOOKUP(A60,Data!$A:$AN,MATCH(yoy!$F$1,Data!$A$1:$AN$1,),))/VLOOKUP(A60,Data!$A:$AN,MATCH(yoy!$F$1,Data!$A$1:$AN$1,),)</f>
        <v/>
      </c>
      <c r="G60" s="14">
        <f>(VLOOKUP(B60,Data!$A:$AN,MATCH(yoy!$G$1,Data!$A$1:$AN$1,),)-VLOOKUP(A60,Data!$A:$AN,MATCH(yoy!$G$1,Data!$A$1:$AN$1,),))/VLOOKUP(A60,Data!$A:$AN,MATCH(yoy!$G$1,Data!$A$1:$AN$1,),)</f>
        <v/>
      </c>
      <c r="H60" s="14">
        <f>(VLOOKUP(B60,Data!$A:$AN,MATCH(yoy!$H$1,Data!$A$1:$AN$1,),)-VLOOKUP(A60,Data!$A:$AN,MATCH(yoy!$H$1,Data!$A$1:$AN$1,),))/VLOOKUP(A60,Data!$A:$AN,MATCH(yoy!$H$1,Data!$A$1:$AN$1,),)</f>
        <v/>
      </c>
      <c r="I60" s="14" t="n"/>
      <c r="J60" s="14" t="n"/>
      <c r="K60" s="14">
        <f>(VLOOKUP(B60,Data!$A:$AN,MATCH(yoy!$K$1,Data!$A$1:$AN$1,),)-VLOOKUP(A60,Data!$A:$AN,MATCH(yoy!$K$1,Data!$A$1:$AN$1,),))/VLOOKUP(A60,Data!$A:$AN,MATCH(yoy!$K$1,Data!$A$1:$AN$1,),)</f>
        <v/>
      </c>
      <c r="L60" s="14" t="n"/>
      <c r="M60" s="14" t="n"/>
      <c r="N60" s="14" t="n"/>
      <c r="O60" s="14" t="n"/>
      <c r="P60" s="14">
        <f>(VLOOKUP(B60,Data!$A:$AN,MATCH(yoy!$P$1,Data!$A$1:$AN$1,),)-VLOOKUP(A60,Data!$A:$AN,MATCH(yoy!$P$1,Data!$A$1:$AN$1,),))/VLOOKUP(A60,Data!$A:$AN,MATCH(yoy!$P$1,Data!$A$1:$AN$1,),)</f>
        <v/>
      </c>
      <c r="Q60" s="14">
        <f>(VLOOKUP(B60,Data!$A:$AN,MATCH(yoy!$Q$1,Data!$A$1:$AN$1,),)-VLOOKUP(A60,Data!$A:$AN,MATCH(yoy!$Q$1,Data!$A$1:$AN$1,),))/VLOOKUP(A60,Data!$A:$AN,MATCH(yoy!$Q$1,Data!$A$1:$AN$1,),)</f>
        <v/>
      </c>
      <c r="R60" s="14" t="n"/>
      <c r="S60" s="14">
        <f>(VLOOKUP(B60,Data!$A:$AN,MATCH(yoy!$S$1,Data!$A$1:$AN$1,),)-VLOOKUP(A60,Data!$A:$AN,MATCH(yoy!$S$1,Data!$A$1:$AN$1,),))/VLOOKUP(A60,Data!$A:$AN,MATCH(yoy!$S$1,Data!$A$1:$AN$1,),)</f>
        <v/>
      </c>
      <c r="T60" s="14" t="n"/>
      <c r="U60" s="14" t="n"/>
      <c r="V60" s="14">
        <f>(VLOOKUP(B60,Data!$A:$AN,MATCH(yoy!$V$1,Data!$A$1:$AN$1,),)-VLOOKUP(A60,Data!$A:$AN,MATCH(yoy!$V$1,Data!$A$1:$AN$1,),))/VLOOKUP(A60,Data!$A:$AN,MATCH(yoy!$V$1,Data!$A$1:$AN$1,),)</f>
        <v/>
      </c>
      <c r="W60" s="14" t="n"/>
      <c r="X60" s="14">
        <f>(VLOOKUP(B60,Data!$A:$AN,MATCH(yoy!$X$1,Data!$A$1:$AN$1,),)-VLOOKUP(A60,Data!$A:$AN,MATCH(yoy!$X$1,Data!$A$1:$AN$1,),))/VLOOKUP(A60,Data!$A:$AN,MATCH(yoy!$X$1,Data!$A$1:$AN$1,),)</f>
        <v/>
      </c>
      <c r="Y60" s="14" t="n"/>
      <c r="Z60" s="14">
        <f>(VLOOKUP(B60,Data!$A:$AN,MATCH(yoy!$Z$1,Data!$A$1:$AN$1,),)-VLOOKUP(A60,Data!$A:$AN,MATCH(yoy!$Z$1,Data!$A$1:$AN$1,),))/VLOOKUP(A60,Data!$A:$AN,MATCH(yoy!$Z$1,Data!$A$1:$AN$1,),)</f>
        <v/>
      </c>
      <c r="AA60" s="14" t="n"/>
    </row>
    <row r="61" customFormat="1" s="76">
      <c r="A61" s="20">
        <f>DATE(YEAR(B61)-1,MONTH(B61),DAY(B61))</f>
        <v/>
      </c>
      <c r="B61" s="12" t="n">
        <v>43709</v>
      </c>
      <c r="C61" s="14">
        <f>(VLOOKUP(B61,Data!$A:$AN,MATCH(yoy!$C$1,Data!$A$1:$AN$1,),)-VLOOKUP(A61,Data!$A:$AN,MATCH(yoy!$C$1,Data!$A$1:$AN$1,),))/VLOOKUP(A61,Data!$A:$AN,MATCH(yoy!$C$1,Data!$A$1:$AN$1,),)</f>
        <v/>
      </c>
      <c r="D61" s="14">
        <f>(VLOOKUP(B61,Data!$A:$AN,MATCH(yoy!$D$1,Data!$A$1:$AN$1,),)-VLOOKUP(A61,Data!$A:$AN,MATCH(yoy!$D$1,Data!$A$1:$AN$1,),))/VLOOKUP(A61,Data!$A:$AN,MATCH(yoy!$D$1,Data!$A$1:$AN$1,),)</f>
        <v/>
      </c>
      <c r="E61" s="14" t="n"/>
      <c r="F61" s="14">
        <f>(VLOOKUP(B61,Data!$A:$AN,MATCH(yoy!$F$1,Data!$A$1:$AN$1,),)-VLOOKUP(A61,Data!$A:$AN,MATCH(yoy!$F$1,Data!$A$1:$AN$1,),))/VLOOKUP(A61,Data!$A:$AN,MATCH(yoy!$F$1,Data!$A$1:$AN$1,),)</f>
        <v/>
      </c>
      <c r="G61" s="14">
        <f>(VLOOKUP(B61,Data!$A:$AN,MATCH(yoy!$G$1,Data!$A$1:$AN$1,),)-VLOOKUP(A61,Data!$A:$AN,MATCH(yoy!$G$1,Data!$A$1:$AN$1,),))/VLOOKUP(A61,Data!$A:$AN,MATCH(yoy!$G$1,Data!$A$1:$AN$1,),)</f>
        <v/>
      </c>
      <c r="H61" s="14">
        <f>(VLOOKUP(B61,Data!$A:$AN,MATCH(yoy!$H$1,Data!$A$1:$AN$1,),)-VLOOKUP(A61,Data!$A:$AN,MATCH(yoy!$H$1,Data!$A$1:$AN$1,),))/VLOOKUP(A61,Data!$A:$AN,MATCH(yoy!$H$1,Data!$A$1:$AN$1,),)</f>
        <v/>
      </c>
      <c r="I61" s="14" t="n"/>
      <c r="J61" s="14" t="n"/>
      <c r="K61" s="14">
        <f>(VLOOKUP(B61,Data!$A:$AN,MATCH(yoy!$K$1,Data!$A$1:$AN$1,),)-VLOOKUP(A61,Data!$A:$AN,MATCH(yoy!$K$1,Data!$A$1:$AN$1,),))/VLOOKUP(A61,Data!$A:$AN,MATCH(yoy!$K$1,Data!$A$1:$AN$1,),)</f>
        <v/>
      </c>
      <c r="L61" s="14" t="n"/>
      <c r="M61" s="14" t="n"/>
      <c r="N61" s="14" t="n"/>
      <c r="O61" s="14" t="n"/>
      <c r="P61" s="14">
        <f>(VLOOKUP(B61,Data!$A:$AN,MATCH(yoy!$P$1,Data!$A$1:$AN$1,),)-VLOOKUP(A61,Data!$A:$AN,MATCH(yoy!$P$1,Data!$A$1:$AN$1,),))/VLOOKUP(A61,Data!$A:$AN,MATCH(yoy!$P$1,Data!$A$1:$AN$1,),)</f>
        <v/>
      </c>
      <c r="Q61" s="14">
        <f>(VLOOKUP(B61,Data!$A:$AN,MATCH(yoy!$Q$1,Data!$A$1:$AN$1,),)-VLOOKUP(A61,Data!$A:$AN,MATCH(yoy!$Q$1,Data!$A$1:$AN$1,),))/VLOOKUP(A61,Data!$A:$AN,MATCH(yoy!$Q$1,Data!$A$1:$AN$1,),)</f>
        <v/>
      </c>
      <c r="R61" s="14" t="n"/>
      <c r="S61" s="14">
        <f>(VLOOKUP(B61,Data!$A:$AN,MATCH(yoy!$S$1,Data!$A$1:$AN$1,),)-VLOOKUP(A61,Data!$A:$AN,MATCH(yoy!$S$1,Data!$A$1:$AN$1,),))/VLOOKUP(A61,Data!$A:$AN,MATCH(yoy!$S$1,Data!$A$1:$AN$1,),)</f>
        <v/>
      </c>
      <c r="T61" s="14" t="n"/>
      <c r="U61" s="14" t="n"/>
      <c r="V61" s="14">
        <f>(VLOOKUP(B61,Data!$A:$AN,MATCH(yoy!$V$1,Data!$A$1:$AN$1,),)-VLOOKUP(A61,Data!$A:$AN,MATCH(yoy!$V$1,Data!$A$1:$AN$1,),))/VLOOKUP(A61,Data!$A:$AN,MATCH(yoy!$V$1,Data!$A$1:$AN$1,),)</f>
        <v/>
      </c>
      <c r="W61" s="14" t="n"/>
      <c r="X61" s="14">
        <f>(VLOOKUP(B61,Data!$A:$AN,MATCH(yoy!$X$1,Data!$A$1:$AN$1,),)-VLOOKUP(A61,Data!$A:$AN,MATCH(yoy!$X$1,Data!$A$1:$AN$1,),))/VLOOKUP(A61,Data!$A:$AN,MATCH(yoy!$X$1,Data!$A$1:$AN$1,),)</f>
        <v/>
      </c>
      <c r="Y61" s="14" t="n"/>
      <c r="Z61" s="14">
        <f>(VLOOKUP(B61,Data!$A:$AN,MATCH(yoy!$Z$1,Data!$A$1:$AN$1,),)-VLOOKUP(A61,Data!$A:$AN,MATCH(yoy!$Z$1,Data!$A$1:$AN$1,),))/VLOOKUP(A61,Data!$A:$AN,MATCH(yoy!$Z$1,Data!$A$1:$AN$1,),)</f>
        <v/>
      </c>
      <c r="AA61" s="14" t="n"/>
    </row>
    <row r="62" customFormat="1" s="76">
      <c r="A62" s="20">
        <f>DATE(YEAR(B62)-1,MONTH(B62),DAY(B62))</f>
        <v/>
      </c>
      <c r="B62" s="12" t="n">
        <v>43739</v>
      </c>
      <c r="C62" s="14">
        <f>(VLOOKUP(B62,Data!$A:$AN,MATCH(yoy!$C$1,Data!$A$1:$AN$1,),)-VLOOKUP(A62,Data!$A:$AN,MATCH(yoy!$C$1,Data!$A$1:$AN$1,),))/VLOOKUP(A62,Data!$A:$AN,MATCH(yoy!$C$1,Data!$A$1:$AN$1,),)</f>
        <v/>
      </c>
      <c r="D62" s="14">
        <f>(VLOOKUP(B62,Data!$A:$AN,MATCH(yoy!$D$1,Data!$A$1:$AN$1,),)-VLOOKUP(A62,Data!$A:$AN,MATCH(yoy!$D$1,Data!$A$1:$AN$1,),))/VLOOKUP(A62,Data!$A:$AN,MATCH(yoy!$D$1,Data!$A$1:$AN$1,),)</f>
        <v/>
      </c>
      <c r="E62" s="14" t="n"/>
      <c r="F62" s="14">
        <f>(VLOOKUP(B62,Data!$A:$AN,MATCH(yoy!$F$1,Data!$A$1:$AN$1,),)-VLOOKUP(A62,Data!$A:$AN,MATCH(yoy!$F$1,Data!$A$1:$AN$1,),))/VLOOKUP(A62,Data!$A:$AN,MATCH(yoy!$F$1,Data!$A$1:$AN$1,),)</f>
        <v/>
      </c>
      <c r="G62" s="14">
        <f>(VLOOKUP(B62,Data!$A:$AN,MATCH(yoy!$G$1,Data!$A$1:$AN$1,),)-VLOOKUP(A62,Data!$A:$AN,MATCH(yoy!$G$1,Data!$A$1:$AN$1,),))/VLOOKUP(A62,Data!$A:$AN,MATCH(yoy!$G$1,Data!$A$1:$AN$1,),)</f>
        <v/>
      </c>
      <c r="H62" s="14">
        <f>(VLOOKUP(B62,Data!$A:$AN,MATCH(yoy!$H$1,Data!$A$1:$AN$1,),)-VLOOKUP(A62,Data!$A:$AN,MATCH(yoy!$H$1,Data!$A$1:$AN$1,),))/VLOOKUP(A62,Data!$A:$AN,MATCH(yoy!$H$1,Data!$A$1:$AN$1,),)</f>
        <v/>
      </c>
      <c r="I62" s="14" t="n"/>
      <c r="J62" s="14" t="n"/>
      <c r="K62" s="14">
        <f>(VLOOKUP(B62,Data!$A:$AN,MATCH(yoy!$K$1,Data!$A$1:$AN$1,),)-VLOOKUP(A62,Data!$A:$AN,MATCH(yoy!$K$1,Data!$A$1:$AN$1,),))/VLOOKUP(A62,Data!$A:$AN,MATCH(yoy!$K$1,Data!$A$1:$AN$1,),)</f>
        <v/>
      </c>
      <c r="L62" s="14" t="n"/>
      <c r="M62" s="14" t="n"/>
      <c r="N62" s="14" t="n"/>
      <c r="O62" s="14" t="n"/>
      <c r="P62" s="14">
        <f>(VLOOKUP(B62,Data!$A:$AN,MATCH(yoy!$P$1,Data!$A$1:$AN$1,),)-VLOOKUP(A62,Data!$A:$AN,MATCH(yoy!$P$1,Data!$A$1:$AN$1,),))/VLOOKUP(A62,Data!$A:$AN,MATCH(yoy!$P$1,Data!$A$1:$AN$1,),)</f>
        <v/>
      </c>
      <c r="Q62" s="14">
        <f>(VLOOKUP(B62,Data!$A:$AN,MATCH(yoy!$Q$1,Data!$A$1:$AN$1,),)-VLOOKUP(A62,Data!$A:$AN,MATCH(yoy!$Q$1,Data!$A$1:$AN$1,),))/VLOOKUP(A62,Data!$A:$AN,MATCH(yoy!$Q$1,Data!$A$1:$AN$1,),)</f>
        <v/>
      </c>
      <c r="R62" s="14" t="n"/>
      <c r="S62" s="14">
        <f>(VLOOKUP(B62,Data!$A:$AN,MATCH(yoy!$S$1,Data!$A$1:$AN$1,),)-VLOOKUP(A62,Data!$A:$AN,MATCH(yoy!$S$1,Data!$A$1:$AN$1,),))/VLOOKUP(A62,Data!$A:$AN,MATCH(yoy!$S$1,Data!$A$1:$AN$1,),)</f>
        <v/>
      </c>
      <c r="T62" s="14" t="n"/>
      <c r="U62" s="14" t="n"/>
      <c r="V62" s="14">
        <f>(VLOOKUP(B62,Data!$A:$AN,MATCH(yoy!$V$1,Data!$A$1:$AN$1,),)-VLOOKUP(A62,Data!$A:$AN,MATCH(yoy!$V$1,Data!$A$1:$AN$1,),))/VLOOKUP(A62,Data!$A:$AN,MATCH(yoy!$V$1,Data!$A$1:$AN$1,),)</f>
        <v/>
      </c>
      <c r="W62" s="14" t="n"/>
      <c r="X62" s="14">
        <f>(VLOOKUP(B62,Data!$A:$AN,MATCH(yoy!$X$1,Data!$A$1:$AN$1,),)-VLOOKUP(A62,Data!$A:$AN,MATCH(yoy!$X$1,Data!$A$1:$AN$1,),))/VLOOKUP(A62,Data!$A:$AN,MATCH(yoy!$X$1,Data!$A$1:$AN$1,),)</f>
        <v/>
      </c>
      <c r="Y62" s="14" t="n"/>
      <c r="Z62" s="14">
        <f>(VLOOKUP(B62,Data!$A:$AN,MATCH(yoy!$Z$1,Data!$A$1:$AN$1,),)-VLOOKUP(A62,Data!$A:$AN,MATCH(yoy!$Z$1,Data!$A$1:$AN$1,),))/VLOOKUP(A62,Data!$A:$AN,MATCH(yoy!$Z$1,Data!$A$1:$AN$1,),)</f>
        <v/>
      </c>
      <c r="AA62" s="14" t="n"/>
    </row>
    <row r="63" customFormat="1" s="76">
      <c r="A63" s="20">
        <f>DATE(YEAR(B63)-1,MONTH(B63),DAY(B63))</f>
        <v/>
      </c>
      <c r="B63" s="12" t="n">
        <v>43770</v>
      </c>
      <c r="C63" s="14">
        <f>(VLOOKUP(B63,Data!$A:$AN,MATCH(yoy!$C$1,Data!$A$1:$AN$1,),)-VLOOKUP(A63,Data!$A:$AN,MATCH(yoy!$C$1,Data!$A$1:$AN$1,),))/VLOOKUP(A63,Data!$A:$AN,MATCH(yoy!$C$1,Data!$A$1:$AN$1,),)</f>
        <v/>
      </c>
      <c r="D63" s="14">
        <f>(VLOOKUP(B63,Data!$A:$AN,MATCH(yoy!$D$1,Data!$A$1:$AN$1,),)-VLOOKUP(A63,Data!$A:$AN,MATCH(yoy!$D$1,Data!$A$1:$AN$1,),))/VLOOKUP(A63,Data!$A:$AN,MATCH(yoy!$D$1,Data!$A$1:$AN$1,),)</f>
        <v/>
      </c>
      <c r="E63" s="14" t="n"/>
      <c r="F63" s="14">
        <f>(VLOOKUP(B63,Data!$A:$AN,MATCH(yoy!$F$1,Data!$A$1:$AN$1,),)-VLOOKUP(A63,Data!$A:$AN,MATCH(yoy!$F$1,Data!$A$1:$AN$1,),))/VLOOKUP(A63,Data!$A:$AN,MATCH(yoy!$F$1,Data!$A$1:$AN$1,),)</f>
        <v/>
      </c>
      <c r="G63" s="14">
        <f>(VLOOKUP(B63,Data!$A:$AN,MATCH(yoy!$G$1,Data!$A$1:$AN$1,),)-VLOOKUP(A63,Data!$A:$AN,MATCH(yoy!$G$1,Data!$A$1:$AN$1,),))/VLOOKUP(A63,Data!$A:$AN,MATCH(yoy!$G$1,Data!$A$1:$AN$1,),)</f>
        <v/>
      </c>
      <c r="H63" s="14">
        <f>(VLOOKUP(B63,Data!$A:$AN,MATCH(yoy!$H$1,Data!$A$1:$AN$1,),)-VLOOKUP(A63,Data!$A:$AN,MATCH(yoy!$H$1,Data!$A$1:$AN$1,),))/VLOOKUP(A63,Data!$A:$AN,MATCH(yoy!$H$1,Data!$A$1:$AN$1,),)</f>
        <v/>
      </c>
      <c r="I63" s="14" t="n"/>
      <c r="J63" s="14" t="n"/>
      <c r="K63" s="14">
        <f>(VLOOKUP(B63,Data!$A:$AN,MATCH(yoy!$K$1,Data!$A$1:$AN$1,),)-VLOOKUP(A63,Data!$A:$AN,MATCH(yoy!$K$1,Data!$A$1:$AN$1,),))/VLOOKUP(A63,Data!$A:$AN,MATCH(yoy!$K$1,Data!$A$1:$AN$1,),)</f>
        <v/>
      </c>
      <c r="L63" s="14" t="n"/>
      <c r="M63" s="14" t="n"/>
      <c r="N63" s="14" t="n"/>
      <c r="O63" s="14" t="n"/>
      <c r="P63" s="14">
        <f>(VLOOKUP(B63,Data!$A:$AN,MATCH(yoy!$P$1,Data!$A$1:$AN$1,),)-VLOOKUP(A63,Data!$A:$AN,MATCH(yoy!$P$1,Data!$A$1:$AN$1,),))/VLOOKUP(A63,Data!$A:$AN,MATCH(yoy!$P$1,Data!$A$1:$AN$1,),)</f>
        <v/>
      </c>
      <c r="Q63" s="14">
        <f>(VLOOKUP(B63,Data!$A:$AN,MATCH(yoy!$Q$1,Data!$A$1:$AN$1,),)-VLOOKUP(A63,Data!$A:$AN,MATCH(yoy!$Q$1,Data!$A$1:$AN$1,),))/VLOOKUP(A63,Data!$A:$AN,MATCH(yoy!$Q$1,Data!$A$1:$AN$1,),)</f>
        <v/>
      </c>
      <c r="R63" s="14" t="n"/>
      <c r="S63" s="14">
        <f>(VLOOKUP(B63,Data!$A:$AN,MATCH(yoy!$S$1,Data!$A$1:$AN$1,),)-VLOOKUP(A63,Data!$A:$AN,MATCH(yoy!$S$1,Data!$A$1:$AN$1,),))/VLOOKUP(A63,Data!$A:$AN,MATCH(yoy!$S$1,Data!$A$1:$AN$1,),)</f>
        <v/>
      </c>
      <c r="T63" s="14" t="n"/>
      <c r="U63" s="14" t="n"/>
      <c r="V63" s="14">
        <f>(VLOOKUP(B63,Data!$A:$AN,MATCH(yoy!$V$1,Data!$A$1:$AN$1,),)-VLOOKUP(A63,Data!$A:$AN,MATCH(yoy!$V$1,Data!$A$1:$AN$1,),))/VLOOKUP(A63,Data!$A:$AN,MATCH(yoy!$V$1,Data!$A$1:$AN$1,),)</f>
        <v/>
      </c>
      <c r="W63" s="14" t="n"/>
      <c r="X63" s="14">
        <f>(VLOOKUP(B63,Data!$A:$AN,MATCH(yoy!$X$1,Data!$A$1:$AN$1,),)-VLOOKUP(A63,Data!$A:$AN,MATCH(yoy!$X$1,Data!$A$1:$AN$1,),))/VLOOKUP(A63,Data!$A:$AN,MATCH(yoy!$X$1,Data!$A$1:$AN$1,),)</f>
        <v/>
      </c>
      <c r="Y63" s="14" t="n"/>
      <c r="Z63" s="14">
        <f>(VLOOKUP(B63,Data!$A:$AN,MATCH(yoy!$Z$1,Data!$A$1:$AN$1,),)-VLOOKUP(A63,Data!$A:$AN,MATCH(yoy!$Z$1,Data!$A$1:$AN$1,),))/VLOOKUP(A63,Data!$A:$AN,MATCH(yoy!$Z$1,Data!$A$1:$AN$1,),)</f>
        <v/>
      </c>
      <c r="AA63" s="14" t="n"/>
    </row>
    <row r="64" customFormat="1" s="76">
      <c r="A64" s="20">
        <f>DATE(YEAR(B64)-1,MONTH(B64),DAY(B64))</f>
        <v/>
      </c>
      <c r="B64" s="12" t="n">
        <v>43800</v>
      </c>
      <c r="C64" s="14">
        <f>(VLOOKUP(B64,Data!$A:$AN,MATCH(yoy!$C$1,Data!$A$1:$AN$1,),)-VLOOKUP(A64,Data!$A:$AN,MATCH(yoy!$C$1,Data!$A$1:$AN$1,),))/VLOOKUP(A64,Data!$A:$AN,MATCH(yoy!$C$1,Data!$A$1:$AN$1,),)</f>
        <v/>
      </c>
      <c r="D64" s="14">
        <f>(VLOOKUP(B64,Data!$A:$AN,MATCH(yoy!$D$1,Data!$A$1:$AN$1,),)-VLOOKUP(A64,Data!$A:$AN,MATCH(yoy!$D$1,Data!$A$1:$AN$1,),))/VLOOKUP(A64,Data!$A:$AN,MATCH(yoy!$D$1,Data!$A$1:$AN$1,),)</f>
        <v/>
      </c>
      <c r="E64" s="14" t="n"/>
      <c r="F64" s="14">
        <f>(VLOOKUP(B64,Data!$A:$AN,MATCH(yoy!$F$1,Data!$A$1:$AN$1,),)-VLOOKUP(A64,Data!$A:$AN,MATCH(yoy!$F$1,Data!$A$1:$AN$1,),))/VLOOKUP(A64,Data!$A:$AN,MATCH(yoy!$F$1,Data!$A$1:$AN$1,),)</f>
        <v/>
      </c>
      <c r="G64" s="14">
        <f>(VLOOKUP(B64,Data!$A:$AN,MATCH(yoy!$G$1,Data!$A$1:$AN$1,),)-VLOOKUP(A64,Data!$A:$AN,MATCH(yoy!$G$1,Data!$A$1:$AN$1,),))/VLOOKUP(A64,Data!$A:$AN,MATCH(yoy!$G$1,Data!$A$1:$AN$1,),)</f>
        <v/>
      </c>
      <c r="H64" s="14">
        <f>(VLOOKUP(B64,Data!$A:$AN,MATCH(yoy!$H$1,Data!$A$1:$AN$1,),)-VLOOKUP(A64,Data!$A:$AN,MATCH(yoy!$H$1,Data!$A$1:$AN$1,),))/VLOOKUP(A64,Data!$A:$AN,MATCH(yoy!$H$1,Data!$A$1:$AN$1,),)</f>
        <v/>
      </c>
      <c r="I64" s="14" t="n"/>
      <c r="J64" s="14" t="n"/>
      <c r="K64" s="14">
        <f>(VLOOKUP(B64,Data!$A:$AN,MATCH(yoy!$K$1,Data!$A$1:$AN$1,),)-VLOOKUP(A64,Data!$A:$AN,MATCH(yoy!$K$1,Data!$A$1:$AN$1,),))/VLOOKUP(A64,Data!$A:$AN,MATCH(yoy!$K$1,Data!$A$1:$AN$1,),)</f>
        <v/>
      </c>
      <c r="L64" s="14" t="n"/>
      <c r="M64" s="14" t="n"/>
      <c r="N64" s="14" t="n"/>
      <c r="O64" s="14" t="n"/>
      <c r="P64" s="14">
        <f>(VLOOKUP(B64,Data!$A:$AN,MATCH(yoy!$P$1,Data!$A$1:$AN$1,),)-VLOOKUP(A64,Data!$A:$AN,MATCH(yoy!$P$1,Data!$A$1:$AN$1,),))/VLOOKUP(A64,Data!$A:$AN,MATCH(yoy!$P$1,Data!$A$1:$AN$1,),)</f>
        <v/>
      </c>
      <c r="Q64" s="14">
        <f>(VLOOKUP(B64,Data!$A:$AN,MATCH(yoy!$Q$1,Data!$A$1:$AN$1,),)-VLOOKUP(A64,Data!$A:$AN,MATCH(yoy!$Q$1,Data!$A$1:$AN$1,),))/VLOOKUP(A64,Data!$A:$AN,MATCH(yoy!$Q$1,Data!$A$1:$AN$1,),)</f>
        <v/>
      </c>
      <c r="R64" s="14" t="n"/>
      <c r="S64" s="14">
        <f>(VLOOKUP(B64,Data!$A:$AN,MATCH(yoy!$S$1,Data!$A$1:$AN$1,),)-VLOOKUP(A64,Data!$A:$AN,MATCH(yoy!$S$1,Data!$A$1:$AN$1,),))/VLOOKUP(A64,Data!$A:$AN,MATCH(yoy!$S$1,Data!$A$1:$AN$1,),)</f>
        <v/>
      </c>
      <c r="T64" s="14" t="n"/>
      <c r="U64" s="14" t="n"/>
      <c r="V64" s="14">
        <f>(VLOOKUP(B64,Data!$A:$AN,MATCH(yoy!$V$1,Data!$A$1:$AN$1,),)-VLOOKUP(A64,Data!$A:$AN,MATCH(yoy!$V$1,Data!$A$1:$AN$1,),))/VLOOKUP(A64,Data!$A:$AN,MATCH(yoy!$V$1,Data!$A$1:$AN$1,),)</f>
        <v/>
      </c>
      <c r="W64" s="14" t="n"/>
      <c r="X64" s="14">
        <f>(VLOOKUP(B64,Data!$A:$AN,MATCH(yoy!$X$1,Data!$A$1:$AN$1,),)-VLOOKUP(A64,Data!$A:$AN,MATCH(yoy!$X$1,Data!$A$1:$AN$1,),))/VLOOKUP(A64,Data!$A:$AN,MATCH(yoy!$X$1,Data!$A$1:$AN$1,),)</f>
        <v/>
      </c>
      <c r="Y64" s="14" t="n"/>
      <c r="Z64" s="14">
        <f>(VLOOKUP(B64,Data!$A:$AN,MATCH(yoy!$Z$1,Data!$A$1:$AN$1,),)-VLOOKUP(A64,Data!$A:$AN,MATCH(yoy!$Z$1,Data!$A$1:$AN$1,),))/VLOOKUP(A64,Data!$A:$AN,MATCH(yoy!$Z$1,Data!$A$1:$AN$1,),)</f>
        <v/>
      </c>
      <c r="AA64" s="14" t="n"/>
    </row>
    <row r="65" customFormat="1" s="76">
      <c r="A65" s="20">
        <f>DATE(YEAR(B65)-1,MONTH(B65),DAY(B65))</f>
        <v/>
      </c>
      <c r="B65" s="12" t="n">
        <v>43831</v>
      </c>
      <c r="C65" s="14">
        <f>(VLOOKUP(B65,Data!$A:$AN,MATCH(yoy!$C$1,Data!$A$1:$AN$1,),)-VLOOKUP(A65,Data!$A:$AN,MATCH(yoy!$C$1,Data!$A$1:$AN$1,),))/VLOOKUP(A65,Data!$A:$AN,MATCH(yoy!$C$1,Data!$A$1:$AN$1,),)</f>
        <v/>
      </c>
      <c r="D65" s="14">
        <f>(VLOOKUP(B65,Data!$A:$AN,MATCH(yoy!$D$1,Data!$A$1:$AN$1,),)-VLOOKUP(A65,Data!$A:$AN,MATCH(yoy!$D$1,Data!$A$1:$AN$1,),))/VLOOKUP(A65,Data!$A:$AN,MATCH(yoy!$D$1,Data!$A$1:$AN$1,),)</f>
        <v/>
      </c>
      <c r="E65" s="14" t="n"/>
      <c r="F65" s="14">
        <f>(VLOOKUP(B65,Data!$A:$AN,MATCH(yoy!$F$1,Data!$A$1:$AN$1,),)-VLOOKUP(A65,Data!$A:$AN,MATCH(yoy!$F$1,Data!$A$1:$AN$1,),))/VLOOKUP(A65,Data!$A:$AN,MATCH(yoy!$F$1,Data!$A$1:$AN$1,),)</f>
        <v/>
      </c>
      <c r="G65" s="14">
        <f>(VLOOKUP(B65,Data!$A:$AN,MATCH(yoy!$G$1,Data!$A$1:$AN$1,),)-VLOOKUP(A65,Data!$A:$AN,MATCH(yoy!$G$1,Data!$A$1:$AN$1,),))/VLOOKUP(A65,Data!$A:$AN,MATCH(yoy!$G$1,Data!$A$1:$AN$1,),)</f>
        <v/>
      </c>
      <c r="H65" s="14">
        <f>(VLOOKUP(B65,Data!$A:$AN,MATCH(yoy!$H$1,Data!$A$1:$AN$1,),)-VLOOKUP(A65,Data!$A:$AN,MATCH(yoy!$H$1,Data!$A$1:$AN$1,),))/VLOOKUP(A65,Data!$A:$AN,MATCH(yoy!$H$1,Data!$A$1:$AN$1,),)</f>
        <v/>
      </c>
      <c r="I65" s="14" t="n"/>
      <c r="J65" s="14" t="n"/>
      <c r="K65" s="14">
        <f>(VLOOKUP(B65,Data!$A:$AN,MATCH(yoy!$K$1,Data!$A$1:$AN$1,),)-VLOOKUP(A65,Data!$A:$AN,MATCH(yoy!$K$1,Data!$A$1:$AN$1,),))/VLOOKUP(A65,Data!$A:$AN,MATCH(yoy!$K$1,Data!$A$1:$AN$1,),)</f>
        <v/>
      </c>
      <c r="L65" s="14" t="n"/>
      <c r="M65" s="14" t="n"/>
      <c r="N65" s="14" t="n"/>
      <c r="O65" s="14" t="n"/>
      <c r="P65" s="14">
        <f>(VLOOKUP(B65,Data!$A:$AN,MATCH(yoy!$P$1,Data!$A$1:$AN$1,),)-VLOOKUP(A65,Data!$A:$AN,MATCH(yoy!$P$1,Data!$A$1:$AN$1,),))/VLOOKUP(A65,Data!$A:$AN,MATCH(yoy!$P$1,Data!$A$1:$AN$1,),)</f>
        <v/>
      </c>
      <c r="Q65" s="14">
        <f>(VLOOKUP(B65,Data!$A:$AN,MATCH(yoy!$Q$1,Data!$A$1:$AN$1,),)-VLOOKUP(A65,Data!$A:$AN,MATCH(yoy!$Q$1,Data!$A$1:$AN$1,),))/VLOOKUP(A65,Data!$A:$AN,MATCH(yoy!$Q$1,Data!$A$1:$AN$1,),)</f>
        <v/>
      </c>
      <c r="R65" s="14" t="n"/>
      <c r="S65" s="14">
        <f>(VLOOKUP(B65,Data!$A:$AN,MATCH(yoy!$S$1,Data!$A$1:$AN$1,),)-VLOOKUP(A65,Data!$A:$AN,MATCH(yoy!$S$1,Data!$A$1:$AN$1,),))/VLOOKUP(A65,Data!$A:$AN,MATCH(yoy!$S$1,Data!$A$1:$AN$1,),)</f>
        <v/>
      </c>
      <c r="T65" s="14" t="n"/>
      <c r="U65" s="14" t="n"/>
      <c r="V65" s="14">
        <f>(VLOOKUP(B65,Data!$A:$AN,MATCH(yoy!$V$1,Data!$A$1:$AN$1,),)-VLOOKUP(A65,Data!$A:$AN,MATCH(yoy!$V$1,Data!$A$1:$AN$1,),))/VLOOKUP(A65,Data!$A:$AN,MATCH(yoy!$V$1,Data!$A$1:$AN$1,),)</f>
        <v/>
      </c>
      <c r="W65" s="14" t="n"/>
      <c r="X65" s="14">
        <f>(VLOOKUP(B65,Data!$A:$AN,MATCH(yoy!$X$1,Data!$A$1:$AN$1,),)-VLOOKUP(A65,Data!$A:$AN,MATCH(yoy!$X$1,Data!$A$1:$AN$1,),))/VLOOKUP(A65,Data!$A:$AN,MATCH(yoy!$X$1,Data!$A$1:$AN$1,),)</f>
        <v/>
      </c>
      <c r="Y65" s="14" t="n"/>
      <c r="Z65" s="14">
        <f>(VLOOKUP(B65,Data!$A:$AN,MATCH(yoy!$Z$1,Data!$A$1:$AN$1,),)-VLOOKUP(A65,Data!$A:$AN,MATCH(yoy!$Z$1,Data!$A$1:$AN$1,),))/VLOOKUP(A65,Data!$A:$AN,MATCH(yoy!$Z$1,Data!$A$1:$AN$1,),)</f>
        <v/>
      </c>
      <c r="AA65" s="14" t="n"/>
    </row>
    <row r="66" customFormat="1" s="76">
      <c r="A66" s="20">
        <f>DATE(YEAR(B66)-1,MONTH(B66),DAY(B66))</f>
        <v/>
      </c>
      <c r="B66" s="12" t="n">
        <v>43862</v>
      </c>
      <c r="C66" s="14">
        <f>(VLOOKUP(B66,Data!$A:$AN,MATCH(yoy!$C$1,Data!$A$1:$AN$1,),)-VLOOKUP(A66,Data!$A:$AN,MATCH(yoy!$C$1,Data!$A$1:$AN$1,),))/VLOOKUP(A66,Data!$A:$AN,MATCH(yoy!$C$1,Data!$A$1:$AN$1,),)</f>
        <v/>
      </c>
      <c r="D66" s="14">
        <f>(VLOOKUP(B66,Data!$A:$AN,MATCH(yoy!$D$1,Data!$A$1:$AN$1,),)-VLOOKUP(A66,Data!$A:$AN,MATCH(yoy!$D$1,Data!$A$1:$AN$1,),))/VLOOKUP(A66,Data!$A:$AN,MATCH(yoy!$D$1,Data!$A$1:$AN$1,),)</f>
        <v/>
      </c>
      <c r="E66" s="14" t="n"/>
      <c r="F66" s="14">
        <f>(VLOOKUP(B66,Data!$A:$AN,MATCH(yoy!$F$1,Data!$A$1:$AN$1,),)-VLOOKUP(A66,Data!$A:$AN,MATCH(yoy!$F$1,Data!$A$1:$AN$1,),))/VLOOKUP(A66,Data!$A:$AN,MATCH(yoy!$F$1,Data!$A$1:$AN$1,),)</f>
        <v/>
      </c>
      <c r="G66" s="14">
        <f>(VLOOKUP(B66,Data!$A:$AN,MATCH(yoy!$G$1,Data!$A$1:$AN$1,),)-VLOOKUP(A66,Data!$A:$AN,MATCH(yoy!$G$1,Data!$A$1:$AN$1,),))/VLOOKUP(A66,Data!$A:$AN,MATCH(yoy!$G$1,Data!$A$1:$AN$1,),)</f>
        <v/>
      </c>
      <c r="H66" s="14">
        <f>(VLOOKUP(B66,Data!$A:$AN,MATCH(yoy!$H$1,Data!$A$1:$AN$1,),)-VLOOKUP(A66,Data!$A:$AN,MATCH(yoy!$H$1,Data!$A$1:$AN$1,),))/VLOOKUP(A66,Data!$A:$AN,MATCH(yoy!$H$1,Data!$A$1:$AN$1,),)</f>
        <v/>
      </c>
      <c r="I66" s="14" t="n"/>
      <c r="J66" s="14" t="n"/>
      <c r="K66" s="14">
        <f>(VLOOKUP(B66,Data!$A:$AN,MATCH(yoy!$K$1,Data!$A$1:$AN$1,),)-VLOOKUP(A66,Data!$A:$AN,MATCH(yoy!$K$1,Data!$A$1:$AN$1,),))/VLOOKUP(A66,Data!$A:$AN,MATCH(yoy!$K$1,Data!$A$1:$AN$1,),)</f>
        <v/>
      </c>
      <c r="L66" s="14" t="n"/>
      <c r="M66" s="14" t="n"/>
      <c r="N66" s="14" t="n"/>
      <c r="O66" s="14" t="n"/>
      <c r="P66" s="14">
        <f>(VLOOKUP(B66,Data!$A:$AN,MATCH(yoy!$P$1,Data!$A$1:$AN$1,),)-VLOOKUP(A66,Data!$A:$AN,MATCH(yoy!$P$1,Data!$A$1:$AN$1,),))/VLOOKUP(A66,Data!$A:$AN,MATCH(yoy!$P$1,Data!$A$1:$AN$1,),)</f>
        <v/>
      </c>
      <c r="Q66" s="14">
        <f>(VLOOKUP(B66,Data!$A:$AN,MATCH(yoy!$Q$1,Data!$A$1:$AN$1,),)-VLOOKUP(A66,Data!$A:$AN,MATCH(yoy!$Q$1,Data!$A$1:$AN$1,),))/VLOOKUP(A66,Data!$A:$AN,MATCH(yoy!$Q$1,Data!$A$1:$AN$1,),)</f>
        <v/>
      </c>
      <c r="R66" s="14" t="n"/>
      <c r="S66" s="14">
        <f>(VLOOKUP(B66,Data!$A:$AN,MATCH(yoy!$S$1,Data!$A$1:$AN$1,),)-VLOOKUP(A66,Data!$A:$AN,MATCH(yoy!$S$1,Data!$A$1:$AN$1,),))/VLOOKUP(A66,Data!$A:$AN,MATCH(yoy!$S$1,Data!$A$1:$AN$1,),)</f>
        <v/>
      </c>
      <c r="T66" s="14" t="n"/>
      <c r="U66" s="14" t="n"/>
      <c r="V66" s="14">
        <f>(VLOOKUP(B66,Data!$A:$AN,MATCH(yoy!$V$1,Data!$A$1:$AN$1,),)-VLOOKUP(A66,Data!$A:$AN,MATCH(yoy!$V$1,Data!$A$1:$AN$1,),))/VLOOKUP(A66,Data!$A:$AN,MATCH(yoy!$V$1,Data!$A$1:$AN$1,),)</f>
        <v/>
      </c>
      <c r="W66" s="14" t="n"/>
      <c r="X66" s="14">
        <f>(VLOOKUP(B66,Data!$A:$AN,MATCH(yoy!$X$1,Data!$A$1:$AN$1,),)-VLOOKUP(A66,Data!$A:$AN,MATCH(yoy!$X$1,Data!$A$1:$AN$1,),))/VLOOKUP(A66,Data!$A:$AN,MATCH(yoy!$X$1,Data!$A$1:$AN$1,),)</f>
        <v/>
      </c>
      <c r="Y66" s="14" t="n"/>
      <c r="Z66" s="14">
        <f>(VLOOKUP(B66,Data!$A:$AN,MATCH(yoy!$Z$1,Data!$A$1:$AN$1,),)-VLOOKUP(A66,Data!$A:$AN,MATCH(yoy!$Z$1,Data!$A$1:$AN$1,),))/VLOOKUP(A66,Data!$A:$AN,MATCH(yoy!$Z$1,Data!$A$1:$AN$1,),)</f>
        <v/>
      </c>
      <c r="AA66" s="14" t="n"/>
    </row>
    <row r="67" customFormat="1" s="76">
      <c r="A67" s="20">
        <f>DATE(YEAR(B67)-1,MONTH(B67),DAY(B67))</f>
        <v/>
      </c>
      <c r="B67" s="12" t="n">
        <v>43891</v>
      </c>
      <c r="C67" s="14">
        <f>(VLOOKUP(B67,Data!$A:$AN,MATCH(yoy!$C$1,Data!$A$1:$AN$1,),)-VLOOKUP(A67,Data!$A:$AN,MATCH(yoy!$C$1,Data!$A$1:$AN$1,),))/VLOOKUP(A67,Data!$A:$AN,MATCH(yoy!$C$1,Data!$A$1:$AN$1,),)</f>
        <v/>
      </c>
      <c r="D67" s="14">
        <f>(VLOOKUP(B67,Data!$A:$AN,MATCH(yoy!$D$1,Data!$A$1:$AN$1,),)-VLOOKUP(A67,Data!$A:$AN,MATCH(yoy!$D$1,Data!$A$1:$AN$1,),))/VLOOKUP(A67,Data!$A:$AN,MATCH(yoy!$D$1,Data!$A$1:$AN$1,),)</f>
        <v/>
      </c>
      <c r="E67" s="14" t="n"/>
      <c r="F67" s="14">
        <f>(VLOOKUP(B67,Data!$A:$AN,MATCH(yoy!$F$1,Data!$A$1:$AN$1,),)-VLOOKUP(A67,Data!$A:$AN,MATCH(yoy!$F$1,Data!$A$1:$AN$1,),))/VLOOKUP(A67,Data!$A:$AN,MATCH(yoy!$F$1,Data!$A$1:$AN$1,),)</f>
        <v/>
      </c>
      <c r="G67" s="14">
        <f>(VLOOKUP(B67,Data!$A:$AN,MATCH(yoy!$G$1,Data!$A$1:$AN$1,),)-VLOOKUP(A67,Data!$A:$AN,MATCH(yoy!$G$1,Data!$A$1:$AN$1,),))/VLOOKUP(A67,Data!$A:$AN,MATCH(yoy!$G$1,Data!$A$1:$AN$1,),)</f>
        <v/>
      </c>
      <c r="H67" s="14">
        <f>(VLOOKUP(B67,Data!$A:$AN,MATCH(yoy!$H$1,Data!$A$1:$AN$1,),)-VLOOKUP(A67,Data!$A:$AN,MATCH(yoy!$H$1,Data!$A$1:$AN$1,),))/VLOOKUP(A67,Data!$A:$AN,MATCH(yoy!$H$1,Data!$A$1:$AN$1,),)</f>
        <v/>
      </c>
      <c r="I67" s="14" t="n"/>
      <c r="J67" s="14" t="n"/>
      <c r="K67" s="14">
        <f>(VLOOKUP(B67,Data!$A:$AN,MATCH(yoy!$K$1,Data!$A$1:$AN$1,),)-VLOOKUP(A67,Data!$A:$AN,MATCH(yoy!$K$1,Data!$A$1:$AN$1,),))/VLOOKUP(A67,Data!$A:$AN,MATCH(yoy!$K$1,Data!$A$1:$AN$1,),)</f>
        <v/>
      </c>
      <c r="L67" s="14" t="n"/>
      <c r="M67" s="14" t="n"/>
      <c r="N67" s="14" t="n"/>
      <c r="O67" s="14" t="n"/>
      <c r="P67" s="14">
        <f>(VLOOKUP(B67,Data!$A:$AN,MATCH(yoy!$P$1,Data!$A$1:$AN$1,),)-VLOOKUP(A67,Data!$A:$AN,MATCH(yoy!$P$1,Data!$A$1:$AN$1,),))/VLOOKUP(A67,Data!$A:$AN,MATCH(yoy!$P$1,Data!$A$1:$AN$1,),)</f>
        <v/>
      </c>
      <c r="Q67" s="14">
        <f>(VLOOKUP(B67,Data!$A:$AN,MATCH(yoy!$Q$1,Data!$A$1:$AN$1,),)-VLOOKUP(A67,Data!$A:$AN,MATCH(yoy!$Q$1,Data!$A$1:$AN$1,),))/VLOOKUP(A67,Data!$A:$AN,MATCH(yoy!$Q$1,Data!$A$1:$AN$1,),)</f>
        <v/>
      </c>
      <c r="R67" s="14" t="n"/>
      <c r="S67" s="14">
        <f>(VLOOKUP(B67,Data!$A:$AN,MATCH(yoy!$S$1,Data!$A$1:$AN$1,),)-VLOOKUP(A67,Data!$A:$AN,MATCH(yoy!$S$1,Data!$A$1:$AN$1,),))/VLOOKUP(A67,Data!$A:$AN,MATCH(yoy!$S$1,Data!$A$1:$AN$1,),)</f>
        <v/>
      </c>
      <c r="T67" s="14" t="n"/>
      <c r="U67" s="14" t="n"/>
      <c r="V67" s="14">
        <f>(VLOOKUP(B67,Data!$A:$AN,MATCH(yoy!$V$1,Data!$A$1:$AN$1,),)-VLOOKUP(A67,Data!$A:$AN,MATCH(yoy!$V$1,Data!$A$1:$AN$1,),))/VLOOKUP(A67,Data!$A:$AN,MATCH(yoy!$V$1,Data!$A$1:$AN$1,),)</f>
        <v/>
      </c>
      <c r="W67" s="14" t="n"/>
      <c r="X67" s="14">
        <f>(VLOOKUP(B67,Data!$A:$AN,MATCH(yoy!$X$1,Data!$A$1:$AN$1,),)-VLOOKUP(A67,Data!$A:$AN,MATCH(yoy!$X$1,Data!$A$1:$AN$1,),))/VLOOKUP(A67,Data!$A:$AN,MATCH(yoy!$X$1,Data!$A$1:$AN$1,),)</f>
        <v/>
      </c>
      <c r="Y67" s="14" t="n"/>
      <c r="Z67" s="14">
        <f>(VLOOKUP(B67,Data!$A:$AN,MATCH(yoy!$Z$1,Data!$A$1:$AN$1,),)-VLOOKUP(A67,Data!$A:$AN,MATCH(yoy!$Z$1,Data!$A$1:$AN$1,),))/VLOOKUP(A67,Data!$A:$AN,MATCH(yoy!$Z$1,Data!$A$1:$AN$1,),)</f>
        <v/>
      </c>
      <c r="AA67" s="14" t="n"/>
    </row>
    <row r="68" customFormat="1" s="76">
      <c r="A68" s="20">
        <f>DATE(YEAR(B68)-1,MONTH(B68),DAY(B68))</f>
        <v/>
      </c>
      <c r="B68" s="12" t="n">
        <v>43922</v>
      </c>
      <c r="C68" s="14">
        <f>(VLOOKUP(B68,Data!$A:$AN,MATCH(yoy!$C$1,Data!$A$1:$AN$1,),)-VLOOKUP(A68,Data!$A:$AN,MATCH(yoy!$C$1,Data!$A$1:$AN$1,),))/VLOOKUP(A68,Data!$A:$AN,MATCH(yoy!$C$1,Data!$A$1:$AN$1,),)</f>
        <v/>
      </c>
      <c r="D68" s="14">
        <f>(VLOOKUP(B68,Data!$A:$AN,MATCH(yoy!$D$1,Data!$A$1:$AN$1,),)-VLOOKUP(A68,Data!$A:$AN,MATCH(yoy!$D$1,Data!$A$1:$AN$1,),))/VLOOKUP(A68,Data!$A:$AN,MATCH(yoy!$D$1,Data!$A$1:$AN$1,),)</f>
        <v/>
      </c>
      <c r="E68" s="14" t="n"/>
      <c r="F68" s="14">
        <f>(VLOOKUP(B68,Data!$A:$AN,MATCH(yoy!$F$1,Data!$A$1:$AN$1,),)-VLOOKUP(A68,Data!$A:$AN,MATCH(yoy!$F$1,Data!$A$1:$AN$1,),))/VLOOKUP(A68,Data!$A:$AN,MATCH(yoy!$F$1,Data!$A$1:$AN$1,),)</f>
        <v/>
      </c>
      <c r="G68" s="14">
        <f>(VLOOKUP(B68,Data!$A:$AN,MATCH(yoy!$G$1,Data!$A$1:$AN$1,),)-VLOOKUP(A68,Data!$A:$AN,MATCH(yoy!$G$1,Data!$A$1:$AN$1,),))/VLOOKUP(A68,Data!$A:$AN,MATCH(yoy!$G$1,Data!$A$1:$AN$1,),)</f>
        <v/>
      </c>
      <c r="H68" s="14">
        <f>(VLOOKUP(B68,Data!$A:$AN,MATCH(yoy!$H$1,Data!$A$1:$AN$1,),)-VLOOKUP(A68,Data!$A:$AN,MATCH(yoy!$H$1,Data!$A$1:$AN$1,),))/VLOOKUP(A68,Data!$A:$AN,MATCH(yoy!$H$1,Data!$A$1:$AN$1,),)</f>
        <v/>
      </c>
      <c r="I68" s="14" t="n"/>
      <c r="J68" s="14" t="n"/>
      <c r="K68" s="14">
        <f>(VLOOKUP(B68,Data!$A:$AN,MATCH(yoy!$K$1,Data!$A$1:$AN$1,),)-VLOOKUP(A68,Data!$A:$AN,MATCH(yoy!$K$1,Data!$A$1:$AN$1,),))/VLOOKUP(A68,Data!$A:$AN,MATCH(yoy!$K$1,Data!$A$1:$AN$1,),)</f>
        <v/>
      </c>
      <c r="L68" s="14" t="n"/>
      <c r="M68" s="14" t="n"/>
      <c r="N68" s="14" t="n"/>
      <c r="O68" s="14" t="n"/>
      <c r="P68" s="14">
        <f>(VLOOKUP(B68,Data!$A:$AN,MATCH(yoy!$P$1,Data!$A$1:$AN$1,),)-VLOOKUP(A68,Data!$A:$AN,MATCH(yoy!$P$1,Data!$A$1:$AN$1,),))/VLOOKUP(A68,Data!$A:$AN,MATCH(yoy!$P$1,Data!$A$1:$AN$1,),)</f>
        <v/>
      </c>
      <c r="Q68" s="14">
        <f>(VLOOKUP(B68,Data!$A:$AN,MATCH(yoy!$Q$1,Data!$A$1:$AN$1,),)-VLOOKUP(A68,Data!$A:$AN,MATCH(yoy!$Q$1,Data!$A$1:$AN$1,),))/VLOOKUP(A68,Data!$A:$AN,MATCH(yoy!$Q$1,Data!$A$1:$AN$1,),)</f>
        <v/>
      </c>
      <c r="R68" s="14" t="n"/>
      <c r="S68" s="14">
        <f>(VLOOKUP(B68,Data!$A:$AN,MATCH(yoy!$S$1,Data!$A$1:$AN$1,),)-VLOOKUP(A68,Data!$A:$AN,MATCH(yoy!$S$1,Data!$A$1:$AN$1,),))/VLOOKUP(A68,Data!$A:$AN,MATCH(yoy!$S$1,Data!$A$1:$AN$1,),)</f>
        <v/>
      </c>
      <c r="T68" s="14" t="n"/>
      <c r="U68" s="14" t="n"/>
      <c r="V68" s="14">
        <f>(VLOOKUP(B68,Data!$A:$AN,MATCH(yoy!$V$1,Data!$A$1:$AN$1,),)-VLOOKUP(A68,Data!$A:$AN,MATCH(yoy!$V$1,Data!$A$1:$AN$1,),))/VLOOKUP(A68,Data!$A:$AN,MATCH(yoy!$V$1,Data!$A$1:$AN$1,),)</f>
        <v/>
      </c>
      <c r="W68" s="14" t="n"/>
      <c r="X68" s="14">
        <f>(VLOOKUP(B68,Data!$A:$AN,MATCH(yoy!$X$1,Data!$A$1:$AN$1,),)-VLOOKUP(A68,Data!$A:$AN,MATCH(yoy!$X$1,Data!$A$1:$AN$1,),))/VLOOKUP(A68,Data!$A:$AN,MATCH(yoy!$X$1,Data!$A$1:$AN$1,),)</f>
        <v/>
      </c>
      <c r="Y68" s="14" t="n"/>
      <c r="Z68" s="14">
        <f>(VLOOKUP(B68,Data!$A:$AN,MATCH(yoy!$Z$1,Data!$A$1:$AN$1,),)-VLOOKUP(A68,Data!$A:$AN,MATCH(yoy!$Z$1,Data!$A$1:$AN$1,),))/VLOOKUP(A68,Data!$A:$AN,MATCH(yoy!$Z$1,Data!$A$1:$AN$1,),)</f>
        <v/>
      </c>
      <c r="AA68" s="14" t="n"/>
    </row>
    <row r="69" customFormat="1" s="76">
      <c r="A69" s="20">
        <f>DATE(YEAR(B69)-1,MONTH(B69),DAY(B69))</f>
        <v/>
      </c>
      <c r="B69" s="12" t="n">
        <v>43952</v>
      </c>
      <c r="C69" s="14">
        <f>(VLOOKUP(B69,Data!$A:$AN,MATCH(yoy!$C$1,Data!$A$1:$AN$1,),)-VLOOKUP(A69,Data!$A:$AN,MATCH(yoy!$C$1,Data!$A$1:$AN$1,),))/VLOOKUP(A69,Data!$A:$AN,MATCH(yoy!$C$1,Data!$A$1:$AN$1,),)</f>
        <v/>
      </c>
      <c r="D69" s="14">
        <f>(VLOOKUP(B69,Data!$A:$AN,MATCH(yoy!$D$1,Data!$A$1:$AN$1,),)-VLOOKUP(A69,Data!$A:$AN,MATCH(yoy!$D$1,Data!$A$1:$AN$1,),))/VLOOKUP(A69,Data!$A:$AN,MATCH(yoy!$D$1,Data!$A$1:$AN$1,),)</f>
        <v/>
      </c>
      <c r="E69" s="14" t="n"/>
      <c r="F69" s="14">
        <f>(VLOOKUP(B69,Data!$A:$AN,MATCH(yoy!$F$1,Data!$A$1:$AN$1,),)-VLOOKUP(A69,Data!$A:$AN,MATCH(yoy!$F$1,Data!$A$1:$AN$1,),))/VLOOKUP(A69,Data!$A:$AN,MATCH(yoy!$F$1,Data!$A$1:$AN$1,),)</f>
        <v/>
      </c>
      <c r="G69" s="14">
        <f>(VLOOKUP(B69,Data!$A:$AN,MATCH(yoy!$G$1,Data!$A$1:$AN$1,),)-VLOOKUP(A69,Data!$A:$AN,MATCH(yoy!$G$1,Data!$A$1:$AN$1,),))/VLOOKUP(A69,Data!$A:$AN,MATCH(yoy!$G$1,Data!$A$1:$AN$1,),)</f>
        <v/>
      </c>
      <c r="H69" s="14">
        <f>(VLOOKUP(B69,Data!$A:$AN,MATCH(yoy!$H$1,Data!$A$1:$AN$1,),)-VLOOKUP(A69,Data!$A:$AN,MATCH(yoy!$H$1,Data!$A$1:$AN$1,),))/VLOOKUP(A69,Data!$A:$AN,MATCH(yoy!$H$1,Data!$A$1:$AN$1,),)</f>
        <v/>
      </c>
      <c r="I69" s="14" t="n"/>
      <c r="J69" s="14" t="n"/>
      <c r="K69" s="14">
        <f>(VLOOKUP(B69,Data!$A:$AN,MATCH(yoy!$K$1,Data!$A$1:$AN$1,),)-VLOOKUP(A69,Data!$A:$AN,MATCH(yoy!$K$1,Data!$A$1:$AN$1,),))/VLOOKUP(A69,Data!$A:$AN,MATCH(yoy!$K$1,Data!$A$1:$AN$1,),)</f>
        <v/>
      </c>
      <c r="L69" s="14" t="n"/>
      <c r="M69" s="14" t="n"/>
      <c r="N69" s="14" t="n"/>
      <c r="O69" s="14" t="n"/>
      <c r="P69" s="14">
        <f>(VLOOKUP(B69,Data!$A:$AN,MATCH(yoy!$P$1,Data!$A$1:$AN$1,),)-VLOOKUP(A69,Data!$A:$AN,MATCH(yoy!$P$1,Data!$A$1:$AN$1,),))/VLOOKUP(A69,Data!$A:$AN,MATCH(yoy!$P$1,Data!$A$1:$AN$1,),)</f>
        <v/>
      </c>
      <c r="Q69" s="14">
        <f>(VLOOKUP(B69,Data!$A:$AN,MATCH(yoy!$Q$1,Data!$A$1:$AN$1,),)-VLOOKUP(A69,Data!$A:$AN,MATCH(yoy!$Q$1,Data!$A$1:$AN$1,),))/VLOOKUP(A69,Data!$A:$AN,MATCH(yoy!$Q$1,Data!$A$1:$AN$1,),)</f>
        <v/>
      </c>
      <c r="R69" s="14" t="n"/>
      <c r="S69" s="14">
        <f>(VLOOKUP(B69,Data!$A:$AN,MATCH(yoy!$S$1,Data!$A$1:$AN$1,),)-VLOOKUP(A69,Data!$A:$AN,MATCH(yoy!$S$1,Data!$A$1:$AN$1,),))/VLOOKUP(A69,Data!$A:$AN,MATCH(yoy!$S$1,Data!$A$1:$AN$1,),)</f>
        <v/>
      </c>
      <c r="T69" s="14" t="n"/>
      <c r="U69" s="14" t="n"/>
      <c r="V69" s="14">
        <f>(VLOOKUP(B69,Data!$A:$AN,MATCH(yoy!$V$1,Data!$A$1:$AN$1,),)-VLOOKUP(A69,Data!$A:$AN,MATCH(yoy!$V$1,Data!$A$1:$AN$1,),))/VLOOKUP(A69,Data!$A:$AN,MATCH(yoy!$V$1,Data!$A$1:$AN$1,),)</f>
        <v/>
      </c>
      <c r="W69" s="14" t="n"/>
      <c r="X69" s="14">
        <f>(VLOOKUP(B69,Data!$A:$AN,MATCH(yoy!$X$1,Data!$A$1:$AN$1,),)-VLOOKUP(A69,Data!$A:$AN,MATCH(yoy!$X$1,Data!$A$1:$AN$1,),))/VLOOKUP(A69,Data!$A:$AN,MATCH(yoy!$X$1,Data!$A$1:$AN$1,),)</f>
        <v/>
      </c>
      <c r="Y69" s="14" t="n"/>
      <c r="Z69" s="14">
        <f>(VLOOKUP(B69,Data!$A:$AN,MATCH(yoy!$Z$1,Data!$A$1:$AN$1,),)-VLOOKUP(A69,Data!$A:$AN,MATCH(yoy!$Z$1,Data!$A$1:$AN$1,),))/VLOOKUP(A69,Data!$A:$AN,MATCH(yoy!$Z$1,Data!$A$1:$AN$1,),)</f>
        <v/>
      </c>
      <c r="AA69" s="14" t="n"/>
    </row>
    <row r="70" customFormat="1" s="76">
      <c r="A70" s="20">
        <f>DATE(YEAR(B70)-1,MONTH(B70),DAY(B70))</f>
        <v/>
      </c>
      <c r="B70" s="12" t="n">
        <v>43983</v>
      </c>
      <c r="C70" s="14">
        <f>(VLOOKUP(B70,Data!$A:$AN,MATCH(yoy!$C$1,Data!$A$1:$AN$1,),)-VLOOKUP(A70,Data!$A:$AN,MATCH(yoy!$C$1,Data!$A$1:$AN$1,),))/VLOOKUP(A70,Data!$A:$AN,MATCH(yoy!$C$1,Data!$A$1:$AN$1,),)</f>
        <v/>
      </c>
      <c r="D70" s="14">
        <f>(VLOOKUP(B70,Data!$A:$AN,MATCH(yoy!$D$1,Data!$A$1:$AN$1,),)-VLOOKUP(A70,Data!$A:$AN,MATCH(yoy!$D$1,Data!$A$1:$AN$1,),))/VLOOKUP(A70,Data!$A:$AN,MATCH(yoy!$D$1,Data!$A$1:$AN$1,),)</f>
        <v/>
      </c>
      <c r="E70" s="14" t="n"/>
      <c r="F70" s="14">
        <f>(VLOOKUP(B70,Data!$A:$AN,MATCH(yoy!$F$1,Data!$A$1:$AN$1,),)-VLOOKUP(A70,Data!$A:$AN,MATCH(yoy!$F$1,Data!$A$1:$AN$1,),))/VLOOKUP(A70,Data!$A:$AN,MATCH(yoy!$F$1,Data!$A$1:$AN$1,),)</f>
        <v/>
      </c>
      <c r="G70" s="14">
        <f>(VLOOKUP(B70,Data!$A:$AN,MATCH(yoy!$G$1,Data!$A$1:$AN$1,),)-VLOOKUP(A70,Data!$A:$AN,MATCH(yoy!$G$1,Data!$A$1:$AN$1,),))/VLOOKUP(A70,Data!$A:$AN,MATCH(yoy!$G$1,Data!$A$1:$AN$1,),)</f>
        <v/>
      </c>
      <c r="H70" s="14">
        <f>(VLOOKUP(B70,Data!$A:$AN,MATCH(yoy!$H$1,Data!$A$1:$AN$1,),)-VLOOKUP(A70,Data!$A:$AN,MATCH(yoy!$H$1,Data!$A$1:$AN$1,),))/VLOOKUP(A70,Data!$A:$AN,MATCH(yoy!$H$1,Data!$A$1:$AN$1,),)</f>
        <v/>
      </c>
      <c r="I70" s="14" t="n"/>
      <c r="J70" s="14" t="n"/>
      <c r="K70" s="14">
        <f>(VLOOKUP(B70,Data!$A:$AN,MATCH(yoy!$K$1,Data!$A$1:$AN$1,),)-VLOOKUP(A70,Data!$A:$AN,MATCH(yoy!$K$1,Data!$A$1:$AN$1,),))/VLOOKUP(A70,Data!$A:$AN,MATCH(yoy!$K$1,Data!$A$1:$AN$1,),)</f>
        <v/>
      </c>
      <c r="L70" s="14" t="n"/>
      <c r="M70" s="14" t="n"/>
      <c r="N70" s="14" t="n"/>
      <c r="O70" s="14" t="n"/>
      <c r="P70" s="14">
        <f>(VLOOKUP(B70,Data!$A:$AN,MATCH(yoy!$P$1,Data!$A$1:$AN$1,),)-VLOOKUP(A70,Data!$A:$AN,MATCH(yoy!$P$1,Data!$A$1:$AN$1,),))/VLOOKUP(A70,Data!$A:$AN,MATCH(yoy!$P$1,Data!$A$1:$AN$1,),)</f>
        <v/>
      </c>
      <c r="Q70" s="14">
        <f>(VLOOKUP(B70,Data!$A:$AN,MATCH(yoy!$Q$1,Data!$A$1:$AN$1,),)-VLOOKUP(A70,Data!$A:$AN,MATCH(yoy!$Q$1,Data!$A$1:$AN$1,),))/VLOOKUP(A70,Data!$A:$AN,MATCH(yoy!$Q$1,Data!$A$1:$AN$1,),)</f>
        <v/>
      </c>
      <c r="R70" s="14" t="n"/>
      <c r="S70" s="14">
        <f>(VLOOKUP(B70,Data!$A:$AN,MATCH(yoy!$S$1,Data!$A$1:$AN$1,),)-VLOOKUP(A70,Data!$A:$AN,MATCH(yoy!$S$1,Data!$A$1:$AN$1,),))/VLOOKUP(A70,Data!$A:$AN,MATCH(yoy!$S$1,Data!$A$1:$AN$1,),)</f>
        <v/>
      </c>
      <c r="T70" s="14" t="n"/>
      <c r="U70" s="14" t="n"/>
      <c r="V70" s="14">
        <f>(VLOOKUP(B70,Data!$A:$AN,MATCH(yoy!$V$1,Data!$A$1:$AN$1,),)-VLOOKUP(A70,Data!$A:$AN,MATCH(yoy!$V$1,Data!$A$1:$AN$1,),))/VLOOKUP(A70,Data!$A:$AN,MATCH(yoy!$V$1,Data!$A$1:$AN$1,),)</f>
        <v/>
      </c>
      <c r="W70" s="14" t="n"/>
      <c r="X70" s="14">
        <f>(VLOOKUP(B70,Data!$A:$AN,MATCH(yoy!$X$1,Data!$A$1:$AN$1,),)-VLOOKUP(A70,Data!$A:$AN,MATCH(yoy!$X$1,Data!$A$1:$AN$1,),))/VLOOKUP(A70,Data!$A:$AN,MATCH(yoy!$X$1,Data!$A$1:$AN$1,),)</f>
        <v/>
      </c>
      <c r="Y70" s="14" t="n"/>
      <c r="Z70" s="14">
        <f>(VLOOKUP(B70,Data!$A:$AN,MATCH(yoy!$Z$1,Data!$A$1:$AN$1,),)-VLOOKUP(A70,Data!$A:$AN,MATCH(yoy!$Z$1,Data!$A$1:$AN$1,),))/VLOOKUP(A70,Data!$A:$AN,MATCH(yoy!$Z$1,Data!$A$1:$AN$1,),)</f>
        <v/>
      </c>
      <c r="AA70" s="14" t="n"/>
    </row>
    <row r="71" customFormat="1" s="76">
      <c r="A71" s="20">
        <f>DATE(YEAR(B71)-1,MONTH(B71),DAY(B71))</f>
        <v/>
      </c>
      <c r="B71" s="12" t="n">
        <v>44013</v>
      </c>
      <c r="C71" s="14">
        <f>(VLOOKUP(B71,Data!$A:$AN,MATCH(yoy!$C$1,Data!$A$1:$AN$1,),)-VLOOKUP(A71,Data!$A:$AN,MATCH(yoy!$C$1,Data!$A$1:$AN$1,),))/VLOOKUP(A71,Data!$A:$AN,MATCH(yoy!$C$1,Data!$A$1:$AN$1,),)</f>
        <v/>
      </c>
      <c r="D71" s="14">
        <f>(VLOOKUP(B71,Data!$A:$AN,MATCH(yoy!$D$1,Data!$A$1:$AN$1,),)-VLOOKUP(A71,Data!$A:$AN,MATCH(yoy!$D$1,Data!$A$1:$AN$1,),))/VLOOKUP(A71,Data!$A:$AN,MATCH(yoy!$D$1,Data!$A$1:$AN$1,),)</f>
        <v/>
      </c>
      <c r="E71" s="14" t="n"/>
      <c r="F71" s="14">
        <f>(VLOOKUP(B71,Data!$A:$AN,MATCH(yoy!$F$1,Data!$A$1:$AN$1,),)-VLOOKUP(A71,Data!$A:$AN,MATCH(yoy!$F$1,Data!$A$1:$AN$1,),))/VLOOKUP(A71,Data!$A:$AN,MATCH(yoy!$F$1,Data!$A$1:$AN$1,),)</f>
        <v/>
      </c>
      <c r="G71" s="14">
        <f>(VLOOKUP(B71,Data!$A:$AN,MATCH(yoy!$G$1,Data!$A$1:$AN$1,),)-VLOOKUP(A71,Data!$A:$AN,MATCH(yoy!$G$1,Data!$A$1:$AN$1,),))/VLOOKUP(A71,Data!$A:$AN,MATCH(yoy!$G$1,Data!$A$1:$AN$1,),)</f>
        <v/>
      </c>
      <c r="H71" s="14">
        <f>(VLOOKUP(B71,Data!$A:$AN,MATCH(yoy!$H$1,Data!$A$1:$AN$1,),)-VLOOKUP(A71,Data!$A:$AN,MATCH(yoy!$H$1,Data!$A$1:$AN$1,),))/VLOOKUP(A71,Data!$A:$AN,MATCH(yoy!$H$1,Data!$A$1:$AN$1,),)</f>
        <v/>
      </c>
      <c r="I71" s="14" t="n"/>
      <c r="J71" s="14" t="n"/>
      <c r="K71" s="14">
        <f>(VLOOKUP(B71,Data!$A:$AN,MATCH(yoy!$K$1,Data!$A$1:$AN$1,),)-VLOOKUP(A71,Data!$A:$AN,MATCH(yoy!$K$1,Data!$A$1:$AN$1,),))/VLOOKUP(A71,Data!$A:$AN,MATCH(yoy!$K$1,Data!$A$1:$AN$1,),)</f>
        <v/>
      </c>
      <c r="L71" s="14" t="n"/>
      <c r="M71" s="14" t="n"/>
      <c r="N71" s="14" t="n"/>
      <c r="O71" s="14" t="n"/>
      <c r="P71" s="14">
        <f>(VLOOKUP(B71,Data!$A:$AN,MATCH(yoy!$P$1,Data!$A$1:$AN$1,),)-VLOOKUP(A71,Data!$A:$AN,MATCH(yoy!$P$1,Data!$A$1:$AN$1,),))/VLOOKUP(A71,Data!$A:$AN,MATCH(yoy!$P$1,Data!$A$1:$AN$1,),)</f>
        <v/>
      </c>
      <c r="Q71" s="14">
        <f>(VLOOKUP(B71,Data!$A:$AN,MATCH(yoy!$Q$1,Data!$A$1:$AN$1,),)-VLOOKUP(A71,Data!$A:$AN,MATCH(yoy!$Q$1,Data!$A$1:$AN$1,),))/VLOOKUP(A71,Data!$A:$AN,MATCH(yoy!$Q$1,Data!$A$1:$AN$1,),)</f>
        <v/>
      </c>
      <c r="R71" s="14" t="n"/>
      <c r="S71" s="14">
        <f>(VLOOKUP(B71,Data!$A:$AN,MATCH(yoy!$S$1,Data!$A$1:$AN$1,),)-VLOOKUP(A71,Data!$A:$AN,MATCH(yoy!$S$1,Data!$A$1:$AN$1,),))/VLOOKUP(A71,Data!$A:$AN,MATCH(yoy!$S$1,Data!$A$1:$AN$1,),)</f>
        <v/>
      </c>
      <c r="T71" s="14" t="n"/>
      <c r="U71" s="14" t="n"/>
      <c r="V71" s="14">
        <f>(VLOOKUP(B71,Data!$A:$AN,MATCH(yoy!$V$1,Data!$A$1:$AN$1,),)-VLOOKUP(A71,Data!$A:$AN,MATCH(yoy!$V$1,Data!$A$1:$AN$1,),))/VLOOKUP(A71,Data!$A:$AN,MATCH(yoy!$V$1,Data!$A$1:$AN$1,),)</f>
        <v/>
      </c>
      <c r="W71" s="14" t="n"/>
      <c r="X71" s="14">
        <f>(VLOOKUP(B71,Data!$A:$AN,MATCH(yoy!$X$1,Data!$A$1:$AN$1,),)-VLOOKUP(A71,Data!$A:$AN,MATCH(yoy!$X$1,Data!$A$1:$AN$1,),))/VLOOKUP(A71,Data!$A:$AN,MATCH(yoy!$X$1,Data!$A$1:$AN$1,),)</f>
        <v/>
      </c>
      <c r="Y71" s="14" t="n"/>
      <c r="Z71" s="14">
        <f>(VLOOKUP(B71,Data!$A:$AN,MATCH(yoy!$Z$1,Data!$A$1:$AN$1,),)-VLOOKUP(A71,Data!$A:$AN,MATCH(yoy!$Z$1,Data!$A$1:$AN$1,),))/VLOOKUP(A71,Data!$A:$AN,MATCH(yoy!$Z$1,Data!$A$1:$AN$1,),)</f>
        <v/>
      </c>
      <c r="AA71" s="14" t="n"/>
    </row>
    <row r="72" customFormat="1" s="76">
      <c r="A72" s="20">
        <f>DATE(YEAR(B72)-1,MONTH(B72),DAY(B72))</f>
        <v/>
      </c>
      <c r="B72" s="12" t="n">
        <v>44044</v>
      </c>
      <c r="C72" s="14">
        <f>(VLOOKUP(B72,Data!$A:$AN,MATCH(yoy!$C$1,Data!$A$1:$AN$1,),)-VLOOKUP(A72,Data!$A:$AN,MATCH(yoy!$C$1,Data!$A$1:$AN$1,),))/VLOOKUP(A72,Data!$A:$AN,MATCH(yoy!$C$1,Data!$A$1:$AN$1,),)</f>
        <v/>
      </c>
      <c r="D72" s="14">
        <f>(VLOOKUP(B72,Data!$A:$AN,MATCH(yoy!$D$1,Data!$A$1:$AN$1,),)-VLOOKUP(A72,Data!$A:$AN,MATCH(yoy!$D$1,Data!$A$1:$AN$1,),))/VLOOKUP(A72,Data!$A:$AN,MATCH(yoy!$D$1,Data!$A$1:$AN$1,),)</f>
        <v/>
      </c>
      <c r="E72" s="14" t="n"/>
      <c r="F72" s="14">
        <f>(VLOOKUP(B72,Data!$A:$AN,MATCH(yoy!$F$1,Data!$A$1:$AN$1,),)-VLOOKUP(A72,Data!$A:$AN,MATCH(yoy!$F$1,Data!$A$1:$AN$1,),))/VLOOKUP(A72,Data!$A:$AN,MATCH(yoy!$F$1,Data!$A$1:$AN$1,),)</f>
        <v/>
      </c>
      <c r="G72" s="14">
        <f>(VLOOKUP(B72,Data!$A:$AN,MATCH(yoy!$G$1,Data!$A$1:$AN$1,),)-VLOOKUP(A72,Data!$A:$AN,MATCH(yoy!$G$1,Data!$A$1:$AN$1,),))/VLOOKUP(A72,Data!$A:$AN,MATCH(yoy!$G$1,Data!$A$1:$AN$1,),)</f>
        <v/>
      </c>
      <c r="H72" s="14">
        <f>(VLOOKUP(B72,Data!$A:$AN,MATCH(yoy!$H$1,Data!$A$1:$AN$1,),)-VLOOKUP(A72,Data!$A:$AN,MATCH(yoy!$H$1,Data!$A$1:$AN$1,),))/VLOOKUP(A72,Data!$A:$AN,MATCH(yoy!$H$1,Data!$A$1:$AN$1,),)</f>
        <v/>
      </c>
      <c r="I72" s="14" t="n"/>
      <c r="J72" s="14" t="n"/>
      <c r="K72" s="14">
        <f>(VLOOKUP(B72,Data!$A:$AN,MATCH(yoy!$K$1,Data!$A$1:$AN$1,),)-VLOOKUP(A72,Data!$A:$AN,MATCH(yoy!$K$1,Data!$A$1:$AN$1,),))/VLOOKUP(A72,Data!$A:$AN,MATCH(yoy!$K$1,Data!$A$1:$AN$1,),)</f>
        <v/>
      </c>
      <c r="L72" s="14" t="n"/>
      <c r="M72" s="14" t="n"/>
      <c r="N72" s="14" t="n"/>
      <c r="O72" s="14" t="n"/>
      <c r="P72" s="14">
        <f>(VLOOKUP(B72,Data!$A:$AN,MATCH(yoy!$P$1,Data!$A$1:$AN$1,),)-VLOOKUP(A72,Data!$A:$AN,MATCH(yoy!$P$1,Data!$A$1:$AN$1,),))/VLOOKUP(A72,Data!$A:$AN,MATCH(yoy!$P$1,Data!$A$1:$AN$1,),)</f>
        <v/>
      </c>
      <c r="Q72" s="14">
        <f>(VLOOKUP(B72,Data!$A:$AN,MATCH(yoy!$Q$1,Data!$A$1:$AN$1,),)-VLOOKUP(A72,Data!$A:$AN,MATCH(yoy!$Q$1,Data!$A$1:$AN$1,),))/VLOOKUP(A72,Data!$A:$AN,MATCH(yoy!$Q$1,Data!$A$1:$AN$1,),)</f>
        <v/>
      </c>
      <c r="R72" s="14" t="n"/>
      <c r="S72" s="14">
        <f>(VLOOKUP(B72,Data!$A:$AN,MATCH(yoy!$S$1,Data!$A$1:$AN$1,),)-VLOOKUP(A72,Data!$A:$AN,MATCH(yoy!$S$1,Data!$A$1:$AN$1,),))/VLOOKUP(A72,Data!$A:$AN,MATCH(yoy!$S$1,Data!$A$1:$AN$1,),)</f>
        <v/>
      </c>
      <c r="T72" s="14" t="n"/>
      <c r="U72" s="14" t="n"/>
      <c r="V72" s="14">
        <f>(VLOOKUP(B72,Data!$A:$AN,MATCH(yoy!$V$1,Data!$A$1:$AN$1,),)-VLOOKUP(A72,Data!$A:$AN,MATCH(yoy!$V$1,Data!$A$1:$AN$1,),))/VLOOKUP(A72,Data!$A:$AN,MATCH(yoy!$V$1,Data!$A$1:$AN$1,),)</f>
        <v/>
      </c>
      <c r="W72" s="14" t="n"/>
      <c r="X72" s="14">
        <f>(VLOOKUP(B72,Data!$A:$AN,MATCH(yoy!$X$1,Data!$A$1:$AN$1,),)-VLOOKUP(A72,Data!$A:$AN,MATCH(yoy!$X$1,Data!$A$1:$AN$1,),))/VLOOKUP(A72,Data!$A:$AN,MATCH(yoy!$X$1,Data!$A$1:$AN$1,),)</f>
        <v/>
      </c>
      <c r="Y72" s="14" t="n"/>
      <c r="Z72" s="14">
        <f>(VLOOKUP(B72,Data!$A:$AN,MATCH(yoy!$Z$1,Data!$A$1:$AN$1,),)-VLOOKUP(A72,Data!$A:$AN,MATCH(yoy!$Z$1,Data!$A$1:$AN$1,),))/VLOOKUP(A72,Data!$A:$AN,MATCH(yoy!$Z$1,Data!$A$1:$AN$1,),)</f>
        <v/>
      </c>
      <c r="AA72" s="14" t="n"/>
    </row>
    <row r="73" customFormat="1" s="76">
      <c r="A73" s="20">
        <f>DATE(YEAR(B73)-1,MONTH(B73),DAY(B73))</f>
        <v/>
      </c>
      <c r="B73" s="12" t="n">
        <v>44075</v>
      </c>
      <c r="C73" s="14">
        <f>(VLOOKUP(B73,Data!$A:$AN,MATCH(yoy!$C$1,Data!$A$1:$AN$1,),)-VLOOKUP(A73,Data!$A:$AN,MATCH(yoy!$C$1,Data!$A$1:$AN$1,),))/VLOOKUP(A73,Data!$A:$AN,MATCH(yoy!$C$1,Data!$A$1:$AN$1,),)</f>
        <v/>
      </c>
      <c r="D73" s="14">
        <f>(VLOOKUP(B73,Data!$A:$AN,MATCH(yoy!$D$1,Data!$A$1:$AN$1,),)-VLOOKUP(A73,Data!$A:$AN,MATCH(yoy!$D$1,Data!$A$1:$AN$1,),))/VLOOKUP(A73,Data!$A:$AN,MATCH(yoy!$D$1,Data!$A$1:$AN$1,),)</f>
        <v/>
      </c>
      <c r="E73" s="14" t="n"/>
      <c r="F73" s="14">
        <f>(VLOOKUP(B73,Data!$A:$AN,MATCH(yoy!$F$1,Data!$A$1:$AN$1,),)-VLOOKUP(A73,Data!$A:$AN,MATCH(yoy!$F$1,Data!$A$1:$AN$1,),))/VLOOKUP(A73,Data!$A:$AN,MATCH(yoy!$F$1,Data!$A$1:$AN$1,),)</f>
        <v/>
      </c>
      <c r="G73" s="14">
        <f>(VLOOKUP(B73,Data!$A:$AN,MATCH(yoy!$G$1,Data!$A$1:$AN$1,),)-VLOOKUP(A73,Data!$A:$AN,MATCH(yoy!$G$1,Data!$A$1:$AN$1,),))/VLOOKUP(A73,Data!$A:$AN,MATCH(yoy!$G$1,Data!$A$1:$AN$1,),)</f>
        <v/>
      </c>
      <c r="H73" s="14">
        <f>(VLOOKUP(B73,Data!$A:$AN,MATCH(yoy!$H$1,Data!$A$1:$AN$1,),)-VLOOKUP(A73,Data!$A:$AN,MATCH(yoy!$H$1,Data!$A$1:$AN$1,),))/VLOOKUP(A73,Data!$A:$AN,MATCH(yoy!$H$1,Data!$A$1:$AN$1,),)</f>
        <v/>
      </c>
      <c r="I73" s="14" t="n"/>
      <c r="J73" s="14" t="n"/>
      <c r="K73" s="14">
        <f>(VLOOKUP(B73,Data!$A:$AN,MATCH(yoy!$K$1,Data!$A$1:$AN$1,),)-VLOOKUP(A73,Data!$A:$AN,MATCH(yoy!$K$1,Data!$A$1:$AN$1,),))/VLOOKUP(A73,Data!$A:$AN,MATCH(yoy!$K$1,Data!$A$1:$AN$1,),)</f>
        <v/>
      </c>
      <c r="L73" s="14" t="n"/>
      <c r="M73" s="14" t="n"/>
      <c r="N73" s="14" t="n"/>
      <c r="O73" s="14" t="n"/>
      <c r="P73" s="14">
        <f>(VLOOKUP(B73,Data!$A:$AN,MATCH(yoy!$P$1,Data!$A$1:$AN$1,),)-VLOOKUP(A73,Data!$A:$AN,MATCH(yoy!$P$1,Data!$A$1:$AN$1,),))/VLOOKUP(A73,Data!$A:$AN,MATCH(yoy!$P$1,Data!$A$1:$AN$1,),)</f>
        <v/>
      </c>
      <c r="Q73" s="14">
        <f>(VLOOKUP(B73,Data!$A:$AN,MATCH(yoy!$Q$1,Data!$A$1:$AN$1,),)-VLOOKUP(A73,Data!$A:$AN,MATCH(yoy!$Q$1,Data!$A$1:$AN$1,),))/VLOOKUP(A73,Data!$A:$AN,MATCH(yoy!$Q$1,Data!$A$1:$AN$1,),)</f>
        <v/>
      </c>
      <c r="R73" s="14" t="n"/>
      <c r="S73" s="14">
        <f>(VLOOKUP(B73,Data!$A:$AN,MATCH(yoy!$S$1,Data!$A$1:$AN$1,),)-VLOOKUP(A73,Data!$A:$AN,MATCH(yoy!$S$1,Data!$A$1:$AN$1,),))/VLOOKUP(A73,Data!$A:$AN,MATCH(yoy!$S$1,Data!$A$1:$AN$1,),)</f>
        <v/>
      </c>
      <c r="T73" s="14" t="n"/>
      <c r="U73" s="14" t="n"/>
      <c r="V73" s="14">
        <f>(VLOOKUP(B73,Data!$A:$AN,MATCH(yoy!$V$1,Data!$A$1:$AN$1,),)-VLOOKUP(A73,Data!$A:$AN,MATCH(yoy!$V$1,Data!$A$1:$AN$1,),))/VLOOKUP(A73,Data!$A:$AN,MATCH(yoy!$V$1,Data!$A$1:$AN$1,),)</f>
        <v/>
      </c>
      <c r="W73" s="14" t="n"/>
      <c r="X73" s="14">
        <f>(VLOOKUP(B73,Data!$A:$AN,MATCH(yoy!$X$1,Data!$A$1:$AN$1,),)-VLOOKUP(A73,Data!$A:$AN,MATCH(yoy!$X$1,Data!$A$1:$AN$1,),))/VLOOKUP(A73,Data!$A:$AN,MATCH(yoy!$X$1,Data!$A$1:$AN$1,),)</f>
        <v/>
      </c>
      <c r="Y73" s="14" t="n"/>
      <c r="Z73" s="14">
        <f>(VLOOKUP(B73,Data!$A:$AN,MATCH(yoy!$Z$1,Data!$A$1:$AN$1,),)-VLOOKUP(A73,Data!$A:$AN,MATCH(yoy!$Z$1,Data!$A$1:$AN$1,),))/VLOOKUP(A73,Data!$A:$AN,MATCH(yoy!$Z$1,Data!$A$1:$AN$1,),)</f>
        <v/>
      </c>
      <c r="AA73" s="14" t="n"/>
    </row>
    <row r="74" customFormat="1" s="76">
      <c r="A74" s="20">
        <f>DATE(YEAR(B74)-1,MONTH(B74),DAY(B74))</f>
        <v/>
      </c>
      <c r="B74" s="12" t="n">
        <v>44105</v>
      </c>
      <c r="C74" s="14">
        <f>(VLOOKUP(B74,Data!$A:$AN,MATCH(yoy!$C$1,Data!$A$1:$AN$1,),)-VLOOKUP(A74,Data!$A:$AN,MATCH(yoy!$C$1,Data!$A$1:$AN$1,),))/VLOOKUP(A74,Data!$A:$AN,MATCH(yoy!$C$1,Data!$A$1:$AN$1,),)</f>
        <v/>
      </c>
      <c r="D74" s="14">
        <f>(VLOOKUP(B74,Data!$A:$AN,MATCH(yoy!$D$1,Data!$A$1:$AN$1,),)-VLOOKUP(A74,Data!$A:$AN,MATCH(yoy!$D$1,Data!$A$1:$AN$1,),))/VLOOKUP(A74,Data!$A:$AN,MATCH(yoy!$D$1,Data!$A$1:$AN$1,),)</f>
        <v/>
      </c>
      <c r="E74" s="14" t="n"/>
      <c r="F74" s="14">
        <f>(VLOOKUP(B74,Data!$A:$AN,MATCH(yoy!$F$1,Data!$A$1:$AN$1,),)-VLOOKUP(A74,Data!$A:$AN,MATCH(yoy!$F$1,Data!$A$1:$AN$1,),))/VLOOKUP(A74,Data!$A:$AN,MATCH(yoy!$F$1,Data!$A$1:$AN$1,),)</f>
        <v/>
      </c>
      <c r="G74" s="14">
        <f>(VLOOKUP(B74,Data!$A:$AN,MATCH(yoy!$G$1,Data!$A$1:$AN$1,),)-VLOOKUP(A74,Data!$A:$AN,MATCH(yoy!$G$1,Data!$A$1:$AN$1,),))/VLOOKUP(A74,Data!$A:$AN,MATCH(yoy!$G$1,Data!$A$1:$AN$1,),)</f>
        <v/>
      </c>
      <c r="H74" s="14">
        <f>(VLOOKUP(B74,Data!$A:$AN,MATCH(yoy!$H$1,Data!$A$1:$AN$1,),)-VLOOKUP(A74,Data!$A:$AN,MATCH(yoy!$H$1,Data!$A$1:$AN$1,),))/VLOOKUP(A74,Data!$A:$AN,MATCH(yoy!$H$1,Data!$A$1:$AN$1,),)</f>
        <v/>
      </c>
      <c r="I74" s="14" t="n"/>
      <c r="J74" s="14" t="n"/>
      <c r="K74" s="14">
        <f>(VLOOKUP(B74,Data!$A:$AN,MATCH(yoy!$K$1,Data!$A$1:$AN$1,),)-VLOOKUP(A74,Data!$A:$AN,MATCH(yoy!$K$1,Data!$A$1:$AN$1,),))/VLOOKUP(A74,Data!$A:$AN,MATCH(yoy!$K$1,Data!$A$1:$AN$1,),)</f>
        <v/>
      </c>
      <c r="L74" s="14" t="n"/>
      <c r="M74" s="14" t="n"/>
      <c r="N74" s="14" t="n"/>
      <c r="O74" s="14" t="n"/>
      <c r="P74" s="14">
        <f>(VLOOKUP(B74,Data!$A:$AN,MATCH(yoy!$P$1,Data!$A$1:$AN$1,),)-VLOOKUP(A74,Data!$A:$AN,MATCH(yoy!$P$1,Data!$A$1:$AN$1,),))/VLOOKUP(A74,Data!$A:$AN,MATCH(yoy!$P$1,Data!$A$1:$AN$1,),)</f>
        <v/>
      </c>
      <c r="Q74" s="14">
        <f>(VLOOKUP(B74,Data!$A:$AN,MATCH(yoy!$Q$1,Data!$A$1:$AN$1,),)-VLOOKUP(A74,Data!$A:$AN,MATCH(yoy!$Q$1,Data!$A$1:$AN$1,),))/VLOOKUP(A74,Data!$A:$AN,MATCH(yoy!$Q$1,Data!$A$1:$AN$1,),)</f>
        <v/>
      </c>
      <c r="R74" s="14" t="n"/>
      <c r="S74" s="14">
        <f>(VLOOKUP(B74,Data!$A:$AN,MATCH(yoy!$S$1,Data!$A$1:$AN$1,),)-VLOOKUP(A74,Data!$A:$AN,MATCH(yoy!$S$1,Data!$A$1:$AN$1,),))/VLOOKUP(A74,Data!$A:$AN,MATCH(yoy!$S$1,Data!$A$1:$AN$1,),)</f>
        <v/>
      </c>
      <c r="T74" s="14" t="n"/>
      <c r="U74" s="14" t="n"/>
      <c r="V74" s="14">
        <f>(VLOOKUP(B74,Data!$A:$AN,MATCH(yoy!$V$1,Data!$A$1:$AN$1,),)-VLOOKUP(A74,Data!$A:$AN,MATCH(yoy!$V$1,Data!$A$1:$AN$1,),))/VLOOKUP(A74,Data!$A:$AN,MATCH(yoy!$V$1,Data!$A$1:$AN$1,),)</f>
        <v/>
      </c>
      <c r="W74" s="14" t="n"/>
      <c r="X74" s="14">
        <f>(VLOOKUP(B74,Data!$A:$AN,MATCH(yoy!$X$1,Data!$A$1:$AN$1,),)-VLOOKUP(A74,Data!$A:$AN,MATCH(yoy!$X$1,Data!$A$1:$AN$1,),))/VLOOKUP(A74,Data!$A:$AN,MATCH(yoy!$X$1,Data!$A$1:$AN$1,),)</f>
        <v/>
      </c>
      <c r="Y74" s="14" t="n"/>
      <c r="Z74" s="14">
        <f>(VLOOKUP(B74,Data!$A:$AN,MATCH(yoy!$Z$1,Data!$A$1:$AN$1,),)-VLOOKUP(A74,Data!$A:$AN,MATCH(yoy!$Z$1,Data!$A$1:$AN$1,),))/VLOOKUP(A74,Data!$A:$AN,MATCH(yoy!$Z$1,Data!$A$1:$AN$1,),)</f>
        <v/>
      </c>
      <c r="AA74" s="14" t="n"/>
    </row>
    <row r="75" customFormat="1" s="76">
      <c r="A75" s="20">
        <f>DATE(YEAR(B75)-1,MONTH(B75),DAY(B75))</f>
        <v/>
      </c>
      <c r="B75" s="12" t="n">
        <v>44136</v>
      </c>
      <c r="C75" s="14">
        <f>(VLOOKUP(B75,Data!$A:$AN,MATCH(yoy!$C$1,Data!$A$1:$AN$1,),)-VLOOKUP(A75,Data!$A:$AN,MATCH(yoy!$C$1,Data!$A$1:$AN$1,),))/VLOOKUP(A75,Data!$A:$AN,MATCH(yoy!$C$1,Data!$A$1:$AN$1,),)</f>
        <v/>
      </c>
      <c r="D75" s="14">
        <f>(VLOOKUP(B75,Data!$A:$AN,MATCH(yoy!$D$1,Data!$A$1:$AN$1,),)-VLOOKUP(A75,Data!$A:$AN,MATCH(yoy!$D$1,Data!$A$1:$AN$1,),))/VLOOKUP(A75,Data!$A:$AN,MATCH(yoy!$D$1,Data!$A$1:$AN$1,),)</f>
        <v/>
      </c>
      <c r="E75" s="14" t="n"/>
      <c r="F75" s="14">
        <f>(VLOOKUP(B75,Data!$A:$AN,MATCH(yoy!$F$1,Data!$A$1:$AN$1,),)-VLOOKUP(A75,Data!$A:$AN,MATCH(yoy!$F$1,Data!$A$1:$AN$1,),))/VLOOKUP(A75,Data!$A:$AN,MATCH(yoy!$F$1,Data!$A$1:$AN$1,),)</f>
        <v/>
      </c>
      <c r="G75" s="14">
        <f>(VLOOKUP(B75,Data!$A:$AN,MATCH(yoy!$G$1,Data!$A$1:$AN$1,),)-VLOOKUP(A75,Data!$A:$AN,MATCH(yoy!$G$1,Data!$A$1:$AN$1,),))/VLOOKUP(A75,Data!$A:$AN,MATCH(yoy!$G$1,Data!$A$1:$AN$1,),)</f>
        <v/>
      </c>
      <c r="H75" s="14">
        <f>(VLOOKUP(B75,Data!$A:$AN,MATCH(yoy!$H$1,Data!$A$1:$AN$1,),)-VLOOKUP(A75,Data!$A:$AN,MATCH(yoy!$H$1,Data!$A$1:$AN$1,),))/VLOOKUP(A75,Data!$A:$AN,MATCH(yoy!$H$1,Data!$A$1:$AN$1,),)</f>
        <v/>
      </c>
      <c r="I75" s="14" t="n"/>
      <c r="J75" s="14" t="n"/>
      <c r="K75" s="14">
        <f>(VLOOKUP(B75,Data!$A:$AN,MATCH(yoy!$K$1,Data!$A$1:$AN$1,),)-VLOOKUP(A75,Data!$A:$AN,MATCH(yoy!$K$1,Data!$A$1:$AN$1,),))/VLOOKUP(A75,Data!$A:$AN,MATCH(yoy!$K$1,Data!$A$1:$AN$1,),)</f>
        <v/>
      </c>
      <c r="L75" s="14" t="n"/>
      <c r="M75" s="14" t="n"/>
      <c r="N75" s="14" t="n"/>
      <c r="O75" s="14" t="n"/>
      <c r="P75" s="14">
        <f>(VLOOKUP(B75,Data!$A:$AN,MATCH(yoy!$P$1,Data!$A$1:$AN$1,),)-VLOOKUP(A75,Data!$A:$AN,MATCH(yoy!$P$1,Data!$A$1:$AN$1,),))/VLOOKUP(A75,Data!$A:$AN,MATCH(yoy!$P$1,Data!$A$1:$AN$1,),)</f>
        <v/>
      </c>
      <c r="Q75" s="14">
        <f>(VLOOKUP(B75,Data!$A:$AN,MATCH(yoy!$Q$1,Data!$A$1:$AN$1,),)-VLOOKUP(A75,Data!$A:$AN,MATCH(yoy!$Q$1,Data!$A$1:$AN$1,),))/VLOOKUP(A75,Data!$A:$AN,MATCH(yoy!$Q$1,Data!$A$1:$AN$1,),)</f>
        <v/>
      </c>
      <c r="R75" s="14" t="n"/>
      <c r="S75" s="14">
        <f>(VLOOKUP(B75,Data!$A:$AN,MATCH(yoy!$S$1,Data!$A$1:$AN$1,),)-VLOOKUP(A75,Data!$A:$AN,MATCH(yoy!$S$1,Data!$A$1:$AN$1,),))/VLOOKUP(A75,Data!$A:$AN,MATCH(yoy!$S$1,Data!$A$1:$AN$1,),)</f>
        <v/>
      </c>
      <c r="T75" s="14" t="n"/>
      <c r="U75" s="14" t="n"/>
      <c r="V75" s="14">
        <f>(VLOOKUP(B75,Data!$A:$AN,MATCH(yoy!$V$1,Data!$A$1:$AN$1,),)-VLOOKUP(A75,Data!$A:$AN,MATCH(yoy!$V$1,Data!$A$1:$AN$1,),))/VLOOKUP(A75,Data!$A:$AN,MATCH(yoy!$V$1,Data!$A$1:$AN$1,),)</f>
        <v/>
      </c>
      <c r="W75" s="14" t="n"/>
      <c r="X75" s="14">
        <f>(VLOOKUP(B75,Data!$A:$AN,MATCH(yoy!$X$1,Data!$A$1:$AN$1,),)-VLOOKUP(A75,Data!$A:$AN,MATCH(yoy!$X$1,Data!$A$1:$AN$1,),))/VLOOKUP(A75,Data!$A:$AN,MATCH(yoy!$X$1,Data!$A$1:$AN$1,),)</f>
        <v/>
      </c>
      <c r="Y75" s="14" t="n"/>
      <c r="Z75" s="14">
        <f>(VLOOKUP(B75,Data!$A:$AN,MATCH(yoy!$Z$1,Data!$A$1:$AN$1,),)-VLOOKUP(A75,Data!$A:$AN,MATCH(yoy!$Z$1,Data!$A$1:$AN$1,),))/VLOOKUP(A75,Data!$A:$AN,MATCH(yoy!$Z$1,Data!$A$1:$AN$1,),)</f>
        <v/>
      </c>
      <c r="AA75" s="14" t="n"/>
    </row>
    <row r="76" customFormat="1" s="76">
      <c r="A76" s="20">
        <f>DATE(YEAR(B76)-1,MONTH(B76),DAY(B76))</f>
        <v/>
      </c>
      <c r="B76" s="12" t="n">
        <v>44166</v>
      </c>
      <c r="C76" s="14">
        <f>(VLOOKUP(B76,Data!$A:$AN,MATCH(yoy!$C$1,Data!$A$1:$AN$1,),)-VLOOKUP(A76,Data!$A:$AN,MATCH(yoy!$C$1,Data!$A$1:$AN$1,),))/VLOOKUP(A76,Data!$A:$AN,MATCH(yoy!$C$1,Data!$A$1:$AN$1,),)</f>
        <v/>
      </c>
      <c r="D76" s="14">
        <f>(VLOOKUP(B76,Data!$A:$AN,MATCH(yoy!$D$1,Data!$A$1:$AN$1,),)-VLOOKUP(A76,Data!$A:$AN,MATCH(yoy!$D$1,Data!$A$1:$AN$1,),))/VLOOKUP(A76,Data!$A:$AN,MATCH(yoy!$D$1,Data!$A$1:$AN$1,),)</f>
        <v/>
      </c>
      <c r="E76" s="14" t="n"/>
      <c r="F76" s="14">
        <f>(VLOOKUP(B76,Data!$A:$AN,MATCH(yoy!$F$1,Data!$A$1:$AN$1,),)-VLOOKUP(A76,Data!$A:$AN,MATCH(yoy!$F$1,Data!$A$1:$AN$1,),))/VLOOKUP(A76,Data!$A:$AN,MATCH(yoy!$F$1,Data!$A$1:$AN$1,),)</f>
        <v/>
      </c>
      <c r="G76" s="14">
        <f>(VLOOKUP(B76,Data!$A:$AN,MATCH(yoy!$G$1,Data!$A$1:$AN$1,),)-VLOOKUP(A76,Data!$A:$AN,MATCH(yoy!$G$1,Data!$A$1:$AN$1,),))/VLOOKUP(A76,Data!$A:$AN,MATCH(yoy!$G$1,Data!$A$1:$AN$1,),)</f>
        <v/>
      </c>
      <c r="H76" s="14">
        <f>(VLOOKUP(B76,Data!$A:$AN,MATCH(yoy!$H$1,Data!$A$1:$AN$1,),)-VLOOKUP(A76,Data!$A:$AN,MATCH(yoy!$H$1,Data!$A$1:$AN$1,),))/VLOOKUP(A76,Data!$A:$AN,MATCH(yoy!$H$1,Data!$A$1:$AN$1,),)</f>
        <v/>
      </c>
      <c r="I76" s="14" t="n"/>
      <c r="J76" s="14" t="n"/>
      <c r="K76" s="14">
        <f>(VLOOKUP(B76,Data!$A:$AN,MATCH(yoy!$K$1,Data!$A$1:$AN$1,),)-VLOOKUP(A76,Data!$A:$AN,MATCH(yoy!$K$1,Data!$A$1:$AN$1,),))/VLOOKUP(A76,Data!$A:$AN,MATCH(yoy!$K$1,Data!$A$1:$AN$1,),)</f>
        <v/>
      </c>
      <c r="L76" s="14" t="n"/>
      <c r="M76" s="14" t="n"/>
      <c r="N76" s="14" t="n"/>
      <c r="O76" s="14" t="n"/>
      <c r="P76" s="14">
        <f>(VLOOKUP(B76,Data!$A:$AN,MATCH(yoy!$P$1,Data!$A$1:$AN$1,),)-VLOOKUP(A76,Data!$A:$AN,MATCH(yoy!$P$1,Data!$A$1:$AN$1,),))/VLOOKUP(A76,Data!$A:$AN,MATCH(yoy!$P$1,Data!$A$1:$AN$1,),)</f>
        <v/>
      </c>
      <c r="Q76" s="14">
        <f>(VLOOKUP(B76,Data!$A:$AN,MATCH(yoy!$Q$1,Data!$A$1:$AN$1,),)-VLOOKUP(A76,Data!$A:$AN,MATCH(yoy!$Q$1,Data!$A$1:$AN$1,),))/VLOOKUP(A76,Data!$A:$AN,MATCH(yoy!$Q$1,Data!$A$1:$AN$1,),)</f>
        <v/>
      </c>
      <c r="R76" s="14" t="n"/>
      <c r="S76" s="14">
        <f>(VLOOKUP(B76,Data!$A:$AN,MATCH(yoy!$S$1,Data!$A$1:$AN$1,),)-VLOOKUP(A76,Data!$A:$AN,MATCH(yoy!$S$1,Data!$A$1:$AN$1,),))/VLOOKUP(A76,Data!$A:$AN,MATCH(yoy!$S$1,Data!$A$1:$AN$1,),)</f>
        <v/>
      </c>
      <c r="T76" s="14" t="n"/>
      <c r="U76" s="14" t="n"/>
      <c r="V76" s="14">
        <f>(VLOOKUP(B76,Data!$A:$AN,MATCH(yoy!$V$1,Data!$A$1:$AN$1,),)-VLOOKUP(A76,Data!$A:$AN,MATCH(yoy!$V$1,Data!$A$1:$AN$1,),))/VLOOKUP(A76,Data!$A:$AN,MATCH(yoy!$V$1,Data!$A$1:$AN$1,),)</f>
        <v/>
      </c>
      <c r="W76" s="14" t="n"/>
      <c r="X76" s="14">
        <f>(VLOOKUP(B76,Data!$A:$AN,MATCH(yoy!$X$1,Data!$A$1:$AN$1,),)-VLOOKUP(A76,Data!$A:$AN,MATCH(yoy!$X$1,Data!$A$1:$AN$1,),))/VLOOKUP(A76,Data!$A:$AN,MATCH(yoy!$X$1,Data!$A$1:$AN$1,),)</f>
        <v/>
      </c>
      <c r="Y76" s="14" t="n"/>
      <c r="Z76" s="14">
        <f>(VLOOKUP(B76,Data!$A:$AN,MATCH(yoy!$Z$1,Data!$A$1:$AN$1,),)-VLOOKUP(A76,Data!$A:$AN,MATCH(yoy!$Z$1,Data!$A$1:$AN$1,),))/VLOOKUP(A76,Data!$A:$AN,MATCH(yoy!$Z$1,Data!$A$1:$AN$1,),)</f>
        <v/>
      </c>
      <c r="AA76" s="14" t="n"/>
    </row>
    <row r="77" customFormat="1" s="76">
      <c r="A77" s="20">
        <f>DATE(YEAR(B77)-1,MONTH(B77),DAY(B77))</f>
        <v/>
      </c>
      <c r="B77" s="12" t="n">
        <v>44197</v>
      </c>
      <c r="C77" s="14">
        <f>(VLOOKUP(B77,Data!$A:$AN,MATCH(yoy!$C$1,Data!$A$1:$AN$1,),)-VLOOKUP(A77,Data!$A:$AN,MATCH(yoy!$C$1,Data!$A$1:$AN$1,),))/VLOOKUP(A77,Data!$A:$AN,MATCH(yoy!$C$1,Data!$A$1:$AN$1,),)</f>
        <v/>
      </c>
      <c r="D77" s="14">
        <f>(VLOOKUP(B77,Data!$A:$AN,MATCH(yoy!$D$1,Data!$A$1:$AN$1,),)-VLOOKUP(A77,Data!$A:$AN,MATCH(yoy!$D$1,Data!$A$1:$AN$1,),))/VLOOKUP(A77,Data!$A:$AN,MATCH(yoy!$D$1,Data!$A$1:$AN$1,),)</f>
        <v/>
      </c>
      <c r="E77" s="14" t="n"/>
      <c r="F77" s="14">
        <f>(VLOOKUP(B77,Data!$A:$AN,MATCH(yoy!$F$1,Data!$A$1:$AN$1,),)-VLOOKUP(A77,Data!$A:$AN,MATCH(yoy!$F$1,Data!$A$1:$AN$1,),))/VLOOKUP(A77,Data!$A:$AN,MATCH(yoy!$F$1,Data!$A$1:$AN$1,),)</f>
        <v/>
      </c>
      <c r="G77" s="14">
        <f>(VLOOKUP(B77,Data!$A:$AN,MATCH(yoy!$G$1,Data!$A$1:$AN$1,),)-VLOOKUP(A77,Data!$A:$AN,MATCH(yoy!$G$1,Data!$A$1:$AN$1,),))/VLOOKUP(A77,Data!$A:$AN,MATCH(yoy!$G$1,Data!$A$1:$AN$1,),)</f>
        <v/>
      </c>
      <c r="H77" s="14">
        <f>(VLOOKUP(B77,Data!$A:$AN,MATCH(yoy!$H$1,Data!$A$1:$AN$1,),)-VLOOKUP(A77,Data!$A:$AN,MATCH(yoy!$H$1,Data!$A$1:$AN$1,),))/VLOOKUP(A77,Data!$A:$AN,MATCH(yoy!$H$1,Data!$A$1:$AN$1,),)</f>
        <v/>
      </c>
      <c r="I77" s="14" t="n"/>
      <c r="J77" s="14" t="n"/>
      <c r="K77" s="14">
        <f>(VLOOKUP(B77,Data!$A:$AN,MATCH(yoy!$K$1,Data!$A$1:$AN$1,),)-VLOOKUP(A77,Data!$A:$AN,MATCH(yoy!$K$1,Data!$A$1:$AN$1,),))/VLOOKUP(A77,Data!$A:$AN,MATCH(yoy!$K$1,Data!$A$1:$AN$1,),)</f>
        <v/>
      </c>
      <c r="L77" s="14" t="n"/>
      <c r="M77" s="14" t="n"/>
      <c r="N77" s="14" t="n"/>
      <c r="O77" s="14" t="n"/>
      <c r="P77" s="14">
        <f>(VLOOKUP(B77,Data!$A:$AN,MATCH(yoy!$P$1,Data!$A$1:$AN$1,),)-VLOOKUP(A77,Data!$A:$AN,MATCH(yoy!$P$1,Data!$A$1:$AN$1,),))/VLOOKUP(A77,Data!$A:$AN,MATCH(yoy!$P$1,Data!$A$1:$AN$1,),)</f>
        <v/>
      </c>
      <c r="Q77" s="14">
        <f>(VLOOKUP(B77,Data!$A:$AN,MATCH(yoy!$Q$1,Data!$A$1:$AN$1,),)-VLOOKUP(A77,Data!$A:$AN,MATCH(yoy!$Q$1,Data!$A$1:$AN$1,),))/VLOOKUP(A77,Data!$A:$AN,MATCH(yoy!$Q$1,Data!$A$1:$AN$1,),)</f>
        <v/>
      </c>
      <c r="R77" s="14" t="n"/>
      <c r="S77" s="14">
        <f>(VLOOKUP(B77,Data!$A:$AN,MATCH(yoy!$S$1,Data!$A$1:$AN$1,),)-VLOOKUP(A77,Data!$A:$AN,MATCH(yoy!$S$1,Data!$A$1:$AN$1,),))/VLOOKUP(A77,Data!$A:$AN,MATCH(yoy!$S$1,Data!$A$1:$AN$1,),)</f>
        <v/>
      </c>
      <c r="T77" s="14" t="n"/>
      <c r="U77" s="14" t="n"/>
      <c r="V77" s="14">
        <f>(VLOOKUP(B77,Data!$A:$AN,MATCH(yoy!$V$1,Data!$A$1:$AN$1,),)-VLOOKUP(A77,Data!$A:$AN,MATCH(yoy!$V$1,Data!$A$1:$AN$1,),))/VLOOKUP(A77,Data!$A:$AN,MATCH(yoy!$V$1,Data!$A$1:$AN$1,),)</f>
        <v/>
      </c>
      <c r="W77" s="14" t="n"/>
      <c r="X77" s="14">
        <f>(VLOOKUP(B77,Data!$A:$AN,MATCH(yoy!$X$1,Data!$A$1:$AN$1,),)-VLOOKUP(A77,Data!$A:$AN,MATCH(yoy!$X$1,Data!$A$1:$AN$1,),))/VLOOKUP(A77,Data!$A:$AN,MATCH(yoy!$X$1,Data!$A$1:$AN$1,),)</f>
        <v/>
      </c>
      <c r="Y77" s="14" t="n"/>
      <c r="Z77" s="14">
        <f>(VLOOKUP(B77,Data!$A:$AN,MATCH(yoy!$Z$1,Data!$A$1:$AN$1,),)-VLOOKUP(A77,Data!$A:$AN,MATCH(yoy!$Z$1,Data!$A$1:$AN$1,),))/VLOOKUP(A77,Data!$A:$AN,MATCH(yoy!$Z$1,Data!$A$1:$AN$1,),)</f>
        <v/>
      </c>
      <c r="AA77" s="14" t="n"/>
    </row>
    <row r="78" customFormat="1" s="76">
      <c r="A78" s="20">
        <f>DATE(YEAR(B78)-1,MONTH(B78),DAY(B78))</f>
        <v/>
      </c>
      <c r="B78" s="12" t="n">
        <v>44228</v>
      </c>
      <c r="C78" s="14">
        <f>(VLOOKUP(B78,Data!$A:$AN,MATCH(yoy!$C$1,Data!$A$1:$AN$1,),)-VLOOKUP(A78,Data!$A:$AN,MATCH(yoy!$C$1,Data!$A$1:$AN$1,),))/VLOOKUP(A78,Data!$A:$AN,MATCH(yoy!$C$1,Data!$A$1:$AN$1,),)</f>
        <v/>
      </c>
      <c r="D78" s="14">
        <f>(VLOOKUP(B78,Data!$A:$AN,MATCH(yoy!$D$1,Data!$A$1:$AN$1,),)-VLOOKUP(A78,Data!$A:$AN,MATCH(yoy!$D$1,Data!$A$1:$AN$1,),))/VLOOKUP(A78,Data!$A:$AN,MATCH(yoy!$D$1,Data!$A$1:$AN$1,),)</f>
        <v/>
      </c>
      <c r="E78" s="14" t="n"/>
      <c r="F78" s="14">
        <f>(VLOOKUP(B78,Data!$A:$AN,MATCH(yoy!$F$1,Data!$A$1:$AN$1,),)-VLOOKUP(A78,Data!$A:$AN,MATCH(yoy!$F$1,Data!$A$1:$AN$1,),))/VLOOKUP(A78,Data!$A:$AN,MATCH(yoy!$F$1,Data!$A$1:$AN$1,),)</f>
        <v/>
      </c>
      <c r="G78" s="14">
        <f>(VLOOKUP(B78,Data!$A:$AN,MATCH(yoy!$G$1,Data!$A$1:$AN$1,),)-VLOOKUP(A78,Data!$A:$AN,MATCH(yoy!$G$1,Data!$A$1:$AN$1,),))/VLOOKUP(A78,Data!$A:$AN,MATCH(yoy!$G$1,Data!$A$1:$AN$1,),)</f>
        <v/>
      </c>
      <c r="H78" s="14">
        <f>(VLOOKUP(B78,Data!$A:$AN,MATCH(yoy!$H$1,Data!$A$1:$AN$1,),)-VLOOKUP(A78,Data!$A:$AN,MATCH(yoy!$H$1,Data!$A$1:$AN$1,),))/VLOOKUP(A78,Data!$A:$AN,MATCH(yoy!$H$1,Data!$A$1:$AN$1,),)</f>
        <v/>
      </c>
      <c r="I78" s="14" t="n"/>
      <c r="J78" s="14" t="n"/>
      <c r="K78" s="14">
        <f>(VLOOKUP(B78,Data!$A:$AN,MATCH(yoy!$K$1,Data!$A$1:$AN$1,),)-VLOOKUP(A78,Data!$A:$AN,MATCH(yoy!$K$1,Data!$A$1:$AN$1,),))/VLOOKUP(A78,Data!$A:$AN,MATCH(yoy!$K$1,Data!$A$1:$AN$1,),)</f>
        <v/>
      </c>
      <c r="L78" s="14" t="n"/>
      <c r="M78" s="14" t="n"/>
      <c r="N78" s="14" t="n"/>
      <c r="O78" s="14" t="n"/>
      <c r="P78" s="14">
        <f>(VLOOKUP(B78,Data!$A:$AN,MATCH(yoy!$P$1,Data!$A$1:$AN$1,),)-VLOOKUP(A78,Data!$A:$AN,MATCH(yoy!$P$1,Data!$A$1:$AN$1,),))/VLOOKUP(A78,Data!$A:$AN,MATCH(yoy!$P$1,Data!$A$1:$AN$1,),)</f>
        <v/>
      </c>
      <c r="Q78" s="14">
        <f>(VLOOKUP(B78,Data!$A:$AN,MATCH(yoy!$Q$1,Data!$A$1:$AN$1,),)-VLOOKUP(A78,Data!$A:$AN,MATCH(yoy!$Q$1,Data!$A$1:$AN$1,),))/VLOOKUP(A78,Data!$A:$AN,MATCH(yoy!$Q$1,Data!$A$1:$AN$1,),)</f>
        <v/>
      </c>
      <c r="R78" s="14" t="n"/>
      <c r="S78" s="14">
        <f>(VLOOKUP(B78,Data!$A:$AN,MATCH(yoy!$S$1,Data!$A$1:$AN$1,),)-VLOOKUP(A78,Data!$A:$AN,MATCH(yoy!$S$1,Data!$A$1:$AN$1,),))/VLOOKUP(A78,Data!$A:$AN,MATCH(yoy!$S$1,Data!$A$1:$AN$1,),)</f>
        <v/>
      </c>
      <c r="T78" s="14" t="n"/>
      <c r="U78" s="14" t="n"/>
      <c r="V78" s="14">
        <f>(VLOOKUP(B78,Data!$A:$AN,MATCH(yoy!$V$1,Data!$A$1:$AN$1,),)-VLOOKUP(A78,Data!$A:$AN,MATCH(yoy!$V$1,Data!$A$1:$AN$1,),))/VLOOKUP(A78,Data!$A:$AN,MATCH(yoy!$V$1,Data!$A$1:$AN$1,),)</f>
        <v/>
      </c>
      <c r="W78" s="14" t="n"/>
      <c r="X78" s="14">
        <f>(VLOOKUP(B78,Data!$A:$AN,MATCH(yoy!$X$1,Data!$A$1:$AN$1,),)-VLOOKUP(A78,Data!$A:$AN,MATCH(yoy!$X$1,Data!$A$1:$AN$1,),))/VLOOKUP(A78,Data!$A:$AN,MATCH(yoy!$X$1,Data!$A$1:$AN$1,),)</f>
        <v/>
      </c>
      <c r="Y78" s="14" t="n"/>
      <c r="Z78" s="14">
        <f>(VLOOKUP(B78,Data!$A:$AN,MATCH(yoy!$Z$1,Data!$A$1:$AN$1,),)-VLOOKUP(A78,Data!$A:$AN,MATCH(yoy!$Z$1,Data!$A$1:$AN$1,),))/VLOOKUP(A78,Data!$A:$AN,MATCH(yoy!$Z$1,Data!$A$1:$AN$1,),)</f>
        <v/>
      </c>
      <c r="AA78" s="14" t="n"/>
    </row>
    <row r="79" customFormat="1" s="76">
      <c r="A79" s="20">
        <f>DATE(YEAR(B79)-1,MONTH(B79),DAY(B79))</f>
        <v/>
      </c>
      <c r="B79" s="12" t="n">
        <v>44256</v>
      </c>
      <c r="C79" s="14">
        <f>(VLOOKUP(B79,Data!$A:$AN,MATCH(yoy!$C$1,Data!$A$1:$AN$1,),)-VLOOKUP(A79,Data!$A:$AN,MATCH(yoy!$C$1,Data!$A$1:$AN$1,),))/VLOOKUP(A79,Data!$A:$AN,MATCH(yoy!$C$1,Data!$A$1:$AN$1,),)</f>
        <v/>
      </c>
      <c r="D79" s="14">
        <f>(VLOOKUP(B79,Data!$A:$AN,MATCH(yoy!$D$1,Data!$A$1:$AN$1,),)-VLOOKUP(A79,Data!$A:$AN,MATCH(yoy!$D$1,Data!$A$1:$AN$1,),))/VLOOKUP(A79,Data!$A:$AN,MATCH(yoy!$D$1,Data!$A$1:$AN$1,),)</f>
        <v/>
      </c>
      <c r="E79" s="14" t="n"/>
      <c r="F79" s="14">
        <f>(VLOOKUP(B79,Data!$A:$AN,MATCH(yoy!$F$1,Data!$A$1:$AN$1,),)-VLOOKUP(A79,Data!$A:$AN,MATCH(yoy!$F$1,Data!$A$1:$AN$1,),))/VLOOKUP(A79,Data!$A:$AN,MATCH(yoy!$F$1,Data!$A$1:$AN$1,),)</f>
        <v/>
      </c>
      <c r="G79" s="14">
        <f>(VLOOKUP(B79,Data!$A:$AN,MATCH(yoy!$G$1,Data!$A$1:$AN$1,),)-VLOOKUP(A79,Data!$A:$AN,MATCH(yoy!$G$1,Data!$A$1:$AN$1,),))/VLOOKUP(A79,Data!$A:$AN,MATCH(yoy!$G$1,Data!$A$1:$AN$1,),)</f>
        <v/>
      </c>
      <c r="H79" s="14">
        <f>(VLOOKUP(B79,Data!$A:$AN,MATCH(yoy!$H$1,Data!$A$1:$AN$1,),)-VLOOKUP(A79,Data!$A:$AN,MATCH(yoy!$H$1,Data!$A$1:$AN$1,),))/VLOOKUP(A79,Data!$A:$AN,MATCH(yoy!$H$1,Data!$A$1:$AN$1,),)</f>
        <v/>
      </c>
      <c r="I79" s="14" t="n"/>
      <c r="J79" s="14" t="n"/>
      <c r="K79" s="14">
        <f>(VLOOKUP(B79,Data!$A:$AN,MATCH(yoy!$K$1,Data!$A$1:$AN$1,),)-VLOOKUP(A79,Data!$A:$AN,MATCH(yoy!$K$1,Data!$A$1:$AN$1,),))/VLOOKUP(A79,Data!$A:$AN,MATCH(yoy!$K$1,Data!$A$1:$AN$1,),)</f>
        <v/>
      </c>
      <c r="L79" s="14" t="n"/>
      <c r="M79" s="14" t="n"/>
      <c r="N79" s="14" t="n"/>
      <c r="O79" s="14" t="n"/>
      <c r="P79" s="14">
        <f>(VLOOKUP(B79,Data!$A:$AN,MATCH(yoy!$P$1,Data!$A$1:$AN$1,),)-VLOOKUP(A79,Data!$A:$AN,MATCH(yoy!$P$1,Data!$A$1:$AN$1,),))/VLOOKUP(A79,Data!$A:$AN,MATCH(yoy!$P$1,Data!$A$1:$AN$1,),)</f>
        <v/>
      </c>
      <c r="Q79" s="14">
        <f>(VLOOKUP(B79,Data!$A:$AN,MATCH(yoy!$Q$1,Data!$A$1:$AN$1,),)-VLOOKUP(A79,Data!$A:$AN,MATCH(yoy!$Q$1,Data!$A$1:$AN$1,),))/VLOOKUP(A79,Data!$A:$AN,MATCH(yoy!$Q$1,Data!$A$1:$AN$1,),)</f>
        <v/>
      </c>
      <c r="R79" s="14" t="n"/>
      <c r="S79" s="14">
        <f>(VLOOKUP(B79,Data!$A:$AN,MATCH(yoy!$S$1,Data!$A$1:$AN$1,),)-VLOOKUP(A79,Data!$A:$AN,MATCH(yoy!$S$1,Data!$A$1:$AN$1,),))/VLOOKUP(A79,Data!$A:$AN,MATCH(yoy!$S$1,Data!$A$1:$AN$1,),)</f>
        <v/>
      </c>
      <c r="T79" s="14" t="n"/>
      <c r="U79" s="14" t="n"/>
      <c r="V79" s="14">
        <f>(VLOOKUP(B79,Data!$A:$AN,MATCH(yoy!$V$1,Data!$A$1:$AN$1,),)-VLOOKUP(A79,Data!$A:$AN,MATCH(yoy!$V$1,Data!$A$1:$AN$1,),))/VLOOKUP(A79,Data!$A:$AN,MATCH(yoy!$V$1,Data!$A$1:$AN$1,),)</f>
        <v/>
      </c>
      <c r="W79" s="14" t="n"/>
      <c r="X79" s="14">
        <f>(VLOOKUP(B79,Data!$A:$AN,MATCH(yoy!$X$1,Data!$A$1:$AN$1,),)-VLOOKUP(A79,Data!$A:$AN,MATCH(yoy!$X$1,Data!$A$1:$AN$1,),))/VLOOKUP(A79,Data!$A:$AN,MATCH(yoy!$X$1,Data!$A$1:$AN$1,),)</f>
        <v/>
      </c>
      <c r="Y79" s="14" t="n"/>
      <c r="Z79" s="14">
        <f>(VLOOKUP(B79,Data!$A:$AN,MATCH(yoy!$Z$1,Data!$A$1:$AN$1,),)-VLOOKUP(A79,Data!$A:$AN,MATCH(yoy!$Z$1,Data!$A$1:$AN$1,),))/VLOOKUP(A79,Data!$A:$AN,MATCH(yoy!$Z$1,Data!$A$1:$AN$1,),)</f>
        <v/>
      </c>
      <c r="AA79" s="14" t="n"/>
    </row>
    <row r="80" customFormat="1" s="76">
      <c r="A80" s="20">
        <f>DATE(YEAR(B80)-1,MONTH(B80),DAY(B80))</f>
        <v/>
      </c>
      <c r="B80" s="12" t="n">
        <v>44287</v>
      </c>
      <c r="C80" s="14">
        <f>(VLOOKUP(B80,Data!$A:$AN,MATCH(yoy!$C$1,Data!$A$1:$AN$1,),)-VLOOKUP(A80,Data!$A:$AN,MATCH(yoy!$C$1,Data!$A$1:$AN$1,),))/VLOOKUP(A80,Data!$A:$AN,MATCH(yoy!$C$1,Data!$A$1:$AN$1,),)</f>
        <v/>
      </c>
      <c r="D80" s="14">
        <f>(VLOOKUP(B80,Data!$A:$AN,MATCH(yoy!$D$1,Data!$A$1:$AN$1,),)-VLOOKUP(A80,Data!$A:$AN,MATCH(yoy!$D$1,Data!$A$1:$AN$1,),))/VLOOKUP(A80,Data!$A:$AN,MATCH(yoy!$D$1,Data!$A$1:$AN$1,),)</f>
        <v/>
      </c>
      <c r="E80" s="14" t="n"/>
      <c r="F80" s="14">
        <f>(VLOOKUP(B80,Data!$A:$AN,MATCH(yoy!$F$1,Data!$A$1:$AN$1,),)-VLOOKUP(A80,Data!$A:$AN,MATCH(yoy!$F$1,Data!$A$1:$AN$1,),))/VLOOKUP(A80,Data!$A:$AN,MATCH(yoy!$F$1,Data!$A$1:$AN$1,),)</f>
        <v/>
      </c>
      <c r="G80" s="14">
        <f>(VLOOKUP(B80,Data!$A:$AN,MATCH(yoy!$G$1,Data!$A$1:$AN$1,),)-VLOOKUP(A80,Data!$A:$AN,MATCH(yoy!$G$1,Data!$A$1:$AN$1,),))/VLOOKUP(A80,Data!$A:$AN,MATCH(yoy!$G$1,Data!$A$1:$AN$1,),)</f>
        <v/>
      </c>
      <c r="H80" s="14">
        <f>(VLOOKUP(B80,Data!$A:$AN,MATCH(yoy!$H$1,Data!$A$1:$AN$1,),)-VLOOKUP(A80,Data!$A:$AN,MATCH(yoy!$H$1,Data!$A$1:$AN$1,),))/VLOOKUP(A80,Data!$A:$AN,MATCH(yoy!$H$1,Data!$A$1:$AN$1,),)</f>
        <v/>
      </c>
      <c r="I80" s="14" t="n"/>
      <c r="J80" s="14" t="n"/>
      <c r="K80" s="14">
        <f>(VLOOKUP(B80,Data!$A:$AN,MATCH(yoy!$K$1,Data!$A$1:$AN$1,),)-VLOOKUP(A80,Data!$A:$AN,MATCH(yoy!$K$1,Data!$A$1:$AN$1,),))/VLOOKUP(A80,Data!$A:$AN,MATCH(yoy!$K$1,Data!$A$1:$AN$1,),)</f>
        <v/>
      </c>
      <c r="L80" s="14" t="n"/>
      <c r="M80" s="14" t="n"/>
      <c r="N80" s="14" t="n"/>
      <c r="O80" s="14" t="n"/>
      <c r="P80" s="14">
        <f>(VLOOKUP(B80,Data!$A:$AN,MATCH(yoy!$P$1,Data!$A$1:$AN$1,),)-VLOOKUP(A80,Data!$A:$AN,MATCH(yoy!$P$1,Data!$A$1:$AN$1,),))/VLOOKUP(A80,Data!$A:$AN,MATCH(yoy!$P$1,Data!$A$1:$AN$1,),)</f>
        <v/>
      </c>
      <c r="Q80" s="14">
        <f>(VLOOKUP(B80,Data!$A:$AN,MATCH(yoy!$Q$1,Data!$A$1:$AN$1,),)-VLOOKUP(A80,Data!$A:$AN,MATCH(yoy!$Q$1,Data!$A$1:$AN$1,),))/VLOOKUP(A80,Data!$A:$AN,MATCH(yoy!$Q$1,Data!$A$1:$AN$1,),)</f>
        <v/>
      </c>
      <c r="R80" s="14" t="n"/>
      <c r="S80" s="14">
        <f>(VLOOKUP(B80,Data!$A:$AN,MATCH(yoy!$S$1,Data!$A$1:$AN$1,),)-VLOOKUP(A80,Data!$A:$AN,MATCH(yoy!$S$1,Data!$A$1:$AN$1,),))/VLOOKUP(A80,Data!$A:$AN,MATCH(yoy!$S$1,Data!$A$1:$AN$1,),)</f>
        <v/>
      </c>
      <c r="T80" s="14" t="n"/>
      <c r="U80" s="14" t="n"/>
      <c r="V80" s="14">
        <f>(VLOOKUP(B80,Data!$A:$AN,MATCH(yoy!$V$1,Data!$A$1:$AN$1,),)-VLOOKUP(A80,Data!$A:$AN,MATCH(yoy!$V$1,Data!$A$1:$AN$1,),))/VLOOKUP(A80,Data!$A:$AN,MATCH(yoy!$V$1,Data!$A$1:$AN$1,),)</f>
        <v/>
      </c>
      <c r="W80" s="14" t="n"/>
      <c r="X80" s="14">
        <f>(VLOOKUP(B80,Data!$A:$AN,MATCH(yoy!$X$1,Data!$A$1:$AN$1,),)-VLOOKUP(A80,Data!$A:$AN,MATCH(yoy!$X$1,Data!$A$1:$AN$1,),))/VLOOKUP(A80,Data!$A:$AN,MATCH(yoy!$X$1,Data!$A$1:$AN$1,),)</f>
        <v/>
      </c>
      <c r="Y80" s="14" t="n"/>
      <c r="Z80" s="14">
        <f>(VLOOKUP(B80,Data!$A:$AN,MATCH(yoy!$Z$1,Data!$A$1:$AN$1,),)-VLOOKUP(A80,Data!$A:$AN,MATCH(yoy!$Z$1,Data!$A$1:$AN$1,),))/VLOOKUP(A80,Data!$A:$AN,MATCH(yoy!$Z$1,Data!$A$1:$AN$1,),)</f>
        <v/>
      </c>
      <c r="AA80" s="14" t="n"/>
    </row>
    <row r="81" customFormat="1" s="76">
      <c r="A81" s="20">
        <f>DATE(YEAR(B81)-1,MONTH(B81),DAY(B81))</f>
        <v/>
      </c>
      <c r="B81" s="12" t="n">
        <v>44317</v>
      </c>
      <c r="C81" s="14">
        <f>(VLOOKUP(B81,Data!$A:$AN,MATCH(yoy!$C$1,Data!$A$1:$AN$1,),)-VLOOKUP(A81,Data!$A:$AN,MATCH(yoy!$C$1,Data!$A$1:$AN$1,),))/VLOOKUP(A81,Data!$A:$AN,MATCH(yoy!$C$1,Data!$A$1:$AN$1,),)</f>
        <v/>
      </c>
      <c r="D81" s="14">
        <f>(VLOOKUP(B81,Data!$A:$AN,MATCH(yoy!$D$1,Data!$A$1:$AN$1,),)-VLOOKUP(A81,Data!$A:$AN,MATCH(yoy!$D$1,Data!$A$1:$AN$1,),))/VLOOKUP(A81,Data!$A:$AN,MATCH(yoy!$D$1,Data!$A$1:$AN$1,),)</f>
        <v/>
      </c>
      <c r="E81" s="14" t="n"/>
      <c r="F81" s="14">
        <f>(VLOOKUP(B81,Data!$A:$AN,MATCH(yoy!$F$1,Data!$A$1:$AN$1,),)-VLOOKUP(A81,Data!$A:$AN,MATCH(yoy!$F$1,Data!$A$1:$AN$1,),))/VLOOKUP(A81,Data!$A:$AN,MATCH(yoy!$F$1,Data!$A$1:$AN$1,),)</f>
        <v/>
      </c>
      <c r="G81" s="14">
        <f>(VLOOKUP(B81,Data!$A:$AN,MATCH(yoy!$G$1,Data!$A$1:$AN$1,),)-VLOOKUP(A81,Data!$A:$AN,MATCH(yoy!$G$1,Data!$A$1:$AN$1,),))/VLOOKUP(A81,Data!$A:$AN,MATCH(yoy!$G$1,Data!$A$1:$AN$1,),)</f>
        <v/>
      </c>
      <c r="H81" s="14">
        <f>(VLOOKUP(B81,Data!$A:$AN,MATCH(yoy!$H$1,Data!$A$1:$AN$1,),)-VLOOKUP(A81,Data!$A:$AN,MATCH(yoy!$H$1,Data!$A$1:$AN$1,),))/VLOOKUP(A81,Data!$A:$AN,MATCH(yoy!$H$1,Data!$A$1:$AN$1,),)</f>
        <v/>
      </c>
      <c r="I81" s="14" t="n"/>
      <c r="J81" s="14" t="n"/>
      <c r="K81" s="14">
        <f>(VLOOKUP(B81,Data!$A:$AN,MATCH(yoy!$K$1,Data!$A$1:$AN$1,),)-VLOOKUP(A81,Data!$A:$AN,MATCH(yoy!$K$1,Data!$A$1:$AN$1,),))/VLOOKUP(A81,Data!$A:$AN,MATCH(yoy!$K$1,Data!$A$1:$AN$1,),)</f>
        <v/>
      </c>
      <c r="L81" s="14" t="n"/>
      <c r="M81" s="14" t="n"/>
      <c r="N81" s="14" t="n"/>
      <c r="O81" s="14" t="n"/>
      <c r="P81" s="14">
        <f>(VLOOKUP(B81,Data!$A:$AN,MATCH(yoy!$P$1,Data!$A$1:$AN$1,),)-VLOOKUP(A81,Data!$A:$AN,MATCH(yoy!$P$1,Data!$A$1:$AN$1,),))/VLOOKUP(A81,Data!$A:$AN,MATCH(yoy!$P$1,Data!$A$1:$AN$1,),)</f>
        <v/>
      </c>
      <c r="Q81" s="14">
        <f>(VLOOKUP(B81,Data!$A:$AN,MATCH(yoy!$Q$1,Data!$A$1:$AN$1,),)-VLOOKUP(A81,Data!$A:$AN,MATCH(yoy!$Q$1,Data!$A$1:$AN$1,),))/VLOOKUP(A81,Data!$A:$AN,MATCH(yoy!$Q$1,Data!$A$1:$AN$1,),)</f>
        <v/>
      </c>
      <c r="R81" s="14" t="n"/>
      <c r="S81" s="14">
        <f>(VLOOKUP(B81,Data!$A:$AN,MATCH(yoy!$S$1,Data!$A$1:$AN$1,),)-VLOOKUP(A81,Data!$A:$AN,MATCH(yoy!$S$1,Data!$A$1:$AN$1,),))/VLOOKUP(A81,Data!$A:$AN,MATCH(yoy!$S$1,Data!$A$1:$AN$1,),)</f>
        <v/>
      </c>
      <c r="T81" s="14" t="n"/>
      <c r="U81" s="14" t="n"/>
      <c r="V81" s="14">
        <f>(VLOOKUP(B81,Data!$A:$AN,MATCH(yoy!$V$1,Data!$A$1:$AN$1,),)-VLOOKUP(A81,Data!$A:$AN,MATCH(yoy!$V$1,Data!$A$1:$AN$1,),))/VLOOKUP(A81,Data!$A:$AN,MATCH(yoy!$V$1,Data!$A$1:$AN$1,),)</f>
        <v/>
      </c>
      <c r="W81" s="14" t="n"/>
      <c r="X81" s="14">
        <f>(VLOOKUP(B81,Data!$A:$AN,MATCH(yoy!$X$1,Data!$A$1:$AN$1,),)-VLOOKUP(A81,Data!$A:$AN,MATCH(yoy!$X$1,Data!$A$1:$AN$1,),))/VLOOKUP(A81,Data!$A:$AN,MATCH(yoy!$X$1,Data!$A$1:$AN$1,),)</f>
        <v/>
      </c>
      <c r="Y81" s="14" t="n"/>
      <c r="Z81" s="14">
        <f>(VLOOKUP(B81,Data!$A:$AN,MATCH(yoy!$Z$1,Data!$A$1:$AN$1,),)-VLOOKUP(A81,Data!$A:$AN,MATCH(yoy!$Z$1,Data!$A$1:$AN$1,),))/VLOOKUP(A81,Data!$A:$AN,MATCH(yoy!$Z$1,Data!$A$1:$AN$1,),)</f>
        <v/>
      </c>
      <c r="AA81" s="14" t="n"/>
    </row>
    <row r="82" customFormat="1" s="76">
      <c r="A82" s="20">
        <f>DATE(YEAR(B82)-1,MONTH(B82),DAY(B82))</f>
        <v/>
      </c>
      <c r="B82" s="12" t="n">
        <v>44348</v>
      </c>
      <c r="C82" s="14">
        <f>(VLOOKUP(B82,Data!$A:$AN,MATCH(yoy!$C$1,Data!$A$1:$AN$1,),)-VLOOKUP(A82,Data!$A:$AN,MATCH(yoy!$C$1,Data!$A$1:$AN$1,),))/VLOOKUP(A82,Data!$A:$AN,MATCH(yoy!$C$1,Data!$A$1:$AN$1,),)</f>
        <v/>
      </c>
      <c r="D82" s="14">
        <f>(VLOOKUP(B82,Data!$A:$AN,MATCH(yoy!$D$1,Data!$A$1:$AN$1,),)-VLOOKUP(A82,Data!$A:$AN,MATCH(yoy!$D$1,Data!$A$1:$AN$1,),))/VLOOKUP(A82,Data!$A:$AN,MATCH(yoy!$D$1,Data!$A$1:$AN$1,),)</f>
        <v/>
      </c>
      <c r="E82" s="14" t="n"/>
      <c r="F82" s="14">
        <f>(VLOOKUP(B82,Data!$A:$AN,MATCH(yoy!$F$1,Data!$A$1:$AN$1,),)-VLOOKUP(A82,Data!$A:$AN,MATCH(yoy!$F$1,Data!$A$1:$AN$1,),))/VLOOKUP(A82,Data!$A:$AN,MATCH(yoy!$F$1,Data!$A$1:$AN$1,),)</f>
        <v/>
      </c>
      <c r="G82" s="14">
        <f>(VLOOKUP(B82,Data!$A:$AN,MATCH(yoy!$G$1,Data!$A$1:$AN$1,),)-VLOOKUP(A82,Data!$A:$AN,MATCH(yoy!$G$1,Data!$A$1:$AN$1,),))/VLOOKUP(A82,Data!$A:$AN,MATCH(yoy!$G$1,Data!$A$1:$AN$1,),)</f>
        <v/>
      </c>
      <c r="H82" s="14">
        <f>(VLOOKUP(B82,Data!$A:$AN,MATCH(yoy!$H$1,Data!$A$1:$AN$1,),)-VLOOKUP(A82,Data!$A:$AN,MATCH(yoy!$H$1,Data!$A$1:$AN$1,),))/VLOOKUP(A82,Data!$A:$AN,MATCH(yoy!$H$1,Data!$A$1:$AN$1,),)</f>
        <v/>
      </c>
      <c r="I82" s="14" t="n"/>
      <c r="J82" s="14" t="n"/>
      <c r="K82" s="14">
        <f>(VLOOKUP(B82,Data!$A:$AN,MATCH(yoy!$K$1,Data!$A$1:$AN$1,),)-VLOOKUP(A82,Data!$A:$AN,MATCH(yoy!$K$1,Data!$A$1:$AN$1,),))/VLOOKUP(A82,Data!$A:$AN,MATCH(yoy!$K$1,Data!$A$1:$AN$1,),)</f>
        <v/>
      </c>
      <c r="L82" s="14" t="n"/>
      <c r="M82" s="14" t="n"/>
      <c r="N82" s="14" t="n"/>
      <c r="O82" s="14" t="n"/>
      <c r="P82" s="14">
        <f>(VLOOKUP(B82,Data!$A:$AN,MATCH(yoy!$P$1,Data!$A$1:$AN$1,),)-VLOOKUP(A82,Data!$A:$AN,MATCH(yoy!$P$1,Data!$A$1:$AN$1,),))/VLOOKUP(A82,Data!$A:$AN,MATCH(yoy!$P$1,Data!$A$1:$AN$1,),)</f>
        <v/>
      </c>
      <c r="Q82" s="14">
        <f>(VLOOKUP(B82,Data!$A:$AN,MATCH(yoy!$Q$1,Data!$A$1:$AN$1,),)-VLOOKUP(A82,Data!$A:$AN,MATCH(yoy!$Q$1,Data!$A$1:$AN$1,),))/VLOOKUP(A82,Data!$A:$AN,MATCH(yoy!$Q$1,Data!$A$1:$AN$1,),)</f>
        <v/>
      </c>
      <c r="R82" s="14" t="n"/>
      <c r="S82" s="14">
        <f>(VLOOKUP(B82,Data!$A:$AN,MATCH(yoy!$S$1,Data!$A$1:$AN$1,),)-VLOOKUP(A82,Data!$A:$AN,MATCH(yoy!$S$1,Data!$A$1:$AN$1,),))/VLOOKUP(A82,Data!$A:$AN,MATCH(yoy!$S$1,Data!$A$1:$AN$1,),)</f>
        <v/>
      </c>
      <c r="T82" s="14" t="n"/>
      <c r="U82" s="14" t="n"/>
      <c r="V82" s="14">
        <f>(VLOOKUP(B82,Data!$A:$AN,MATCH(yoy!$V$1,Data!$A$1:$AN$1,),)-VLOOKUP(A82,Data!$A:$AN,MATCH(yoy!$V$1,Data!$A$1:$AN$1,),))/VLOOKUP(A82,Data!$A:$AN,MATCH(yoy!$V$1,Data!$A$1:$AN$1,),)</f>
        <v/>
      </c>
      <c r="W82" s="14" t="n"/>
      <c r="X82" s="14">
        <f>(VLOOKUP(B82,Data!$A:$AN,MATCH(yoy!$X$1,Data!$A$1:$AN$1,),)-VLOOKUP(A82,Data!$A:$AN,MATCH(yoy!$X$1,Data!$A$1:$AN$1,),))/VLOOKUP(A82,Data!$A:$AN,MATCH(yoy!$X$1,Data!$A$1:$AN$1,),)</f>
        <v/>
      </c>
      <c r="Y82" s="14" t="n"/>
      <c r="Z82" s="14">
        <f>(VLOOKUP(B82,Data!$A:$AN,MATCH(yoy!$Z$1,Data!$A$1:$AN$1,),)-VLOOKUP(A82,Data!$A:$AN,MATCH(yoy!$Z$1,Data!$A$1:$AN$1,),))/VLOOKUP(A82,Data!$A:$AN,MATCH(yoy!$Z$1,Data!$A$1:$AN$1,),)</f>
        <v/>
      </c>
      <c r="AA82" s="14" t="n"/>
    </row>
    <row r="83" customFormat="1" s="76">
      <c r="A83" s="20">
        <f>DATE(YEAR(B83)-1,MONTH(B83),DAY(B83))</f>
        <v/>
      </c>
      <c r="B83" s="12" t="n">
        <v>44378</v>
      </c>
      <c r="C83" s="14">
        <f>(VLOOKUP(B83,Data!$A:$AN,MATCH(yoy!$C$1,Data!$A$1:$AN$1,),)-VLOOKUP(A83,Data!$A:$AN,MATCH(yoy!$C$1,Data!$A$1:$AN$1,),))/VLOOKUP(A83,Data!$A:$AN,MATCH(yoy!$C$1,Data!$A$1:$AN$1,),)</f>
        <v/>
      </c>
      <c r="D83" s="14">
        <f>(VLOOKUP(B83,Data!$A:$AN,MATCH(yoy!$D$1,Data!$A$1:$AN$1,),)-VLOOKUP(A83,Data!$A:$AN,MATCH(yoy!$D$1,Data!$A$1:$AN$1,),))/VLOOKUP(A83,Data!$A:$AN,MATCH(yoy!$D$1,Data!$A$1:$AN$1,),)</f>
        <v/>
      </c>
      <c r="E83" s="14" t="n"/>
      <c r="F83" s="14">
        <f>(VLOOKUP(B83,Data!$A:$AN,MATCH(yoy!$F$1,Data!$A$1:$AN$1,),)-VLOOKUP(A83,Data!$A:$AN,MATCH(yoy!$F$1,Data!$A$1:$AN$1,),))/VLOOKUP(A83,Data!$A:$AN,MATCH(yoy!$F$1,Data!$A$1:$AN$1,),)</f>
        <v/>
      </c>
      <c r="G83" s="14">
        <f>(VLOOKUP(B83,Data!$A:$AN,MATCH(yoy!$G$1,Data!$A$1:$AN$1,),)-VLOOKUP(A83,Data!$A:$AN,MATCH(yoy!$G$1,Data!$A$1:$AN$1,),))/VLOOKUP(A83,Data!$A:$AN,MATCH(yoy!$G$1,Data!$A$1:$AN$1,),)</f>
        <v/>
      </c>
      <c r="H83" s="14">
        <f>(VLOOKUP(B83,Data!$A:$AN,MATCH(yoy!$H$1,Data!$A$1:$AN$1,),)-VLOOKUP(A83,Data!$A:$AN,MATCH(yoy!$H$1,Data!$A$1:$AN$1,),))/VLOOKUP(A83,Data!$A:$AN,MATCH(yoy!$H$1,Data!$A$1:$AN$1,),)</f>
        <v/>
      </c>
      <c r="I83" s="14" t="n"/>
      <c r="J83" s="14" t="n"/>
      <c r="K83" s="14">
        <f>(VLOOKUP(B83,Data!$A:$AN,MATCH(yoy!$K$1,Data!$A$1:$AN$1,),)-VLOOKUP(A83,Data!$A:$AN,MATCH(yoy!$K$1,Data!$A$1:$AN$1,),))/VLOOKUP(A83,Data!$A:$AN,MATCH(yoy!$K$1,Data!$A$1:$AN$1,),)</f>
        <v/>
      </c>
      <c r="L83" s="14" t="n"/>
      <c r="M83" s="14" t="n"/>
      <c r="N83" s="14" t="n"/>
      <c r="O83" s="14" t="n"/>
      <c r="P83" s="14">
        <f>(VLOOKUP(B83,Data!$A:$AN,MATCH(yoy!$P$1,Data!$A$1:$AN$1,),)-VLOOKUP(A83,Data!$A:$AN,MATCH(yoy!$P$1,Data!$A$1:$AN$1,),))/VLOOKUP(A83,Data!$A:$AN,MATCH(yoy!$P$1,Data!$A$1:$AN$1,),)</f>
        <v/>
      </c>
      <c r="Q83" s="14">
        <f>(VLOOKUP(B83,Data!$A:$AN,MATCH(yoy!$Q$1,Data!$A$1:$AN$1,),)-VLOOKUP(A83,Data!$A:$AN,MATCH(yoy!$Q$1,Data!$A$1:$AN$1,),))/VLOOKUP(A83,Data!$A:$AN,MATCH(yoy!$Q$1,Data!$A$1:$AN$1,),)</f>
        <v/>
      </c>
      <c r="R83" s="14" t="n"/>
      <c r="S83" s="14">
        <f>(VLOOKUP(B83,Data!$A:$AN,MATCH(yoy!$S$1,Data!$A$1:$AN$1,),)-VLOOKUP(A83,Data!$A:$AN,MATCH(yoy!$S$1,Data!$A$1:$AN$1,),))/VLOOKUP(A83,Data!$A:$AN,MATCH(yoy!$S$1,Data!$A$1:$AN$1,),)</f>
        <v/>
      </c>
      <c r="T83" s="14" t="n"/>
      <c r="U83" s="14" t="n"/>
      <c r="V83" s="14">
        <f>(VLOOKUP(B83,Data!$A:$AN,MATCH(yoy!$V$1,Data!$A$1:$AN$1,),)-VLOOKUP(A83,Data!$A:$AN,MATCH(yoy!$V$1,Data!$A$1:$AN$1,),))/VLOOKUP(A83,Data!$A:$AN,MATCH(yoy!$V$1,Data!$A$1:$AN$1,),)</f>
        <v/>
      </c>
      <c r="W83" s="14" t="n"/>
      <c r="X83" s="14">
        <f>(VLOOKUP(B83,Data!$A:$AN,MATCH(yoy!$X$1,Data!$A$1:$AN$1,),)-VLOOKUP(A83,Data!$A:$AN,MATCH(yoy!$X$1,Data!$A$1:$AN$1,),))/VLOOKUP(A83,Data!$A:$AN,MATCH(yoy!$X$1,Data!$A$1:$AN$1,),)</f>
        <v/>
      </c>
      <c r="Y83" s="14" t="n"/>
      <c r="Z83" s="14">
        <f>(VLOOKUP(B83,Data!$A:$AN,MATCH(yoy!$Z$1,Data!$A$1:$AN$1,),)-VLOOKUP(A83,Data!$A:$AN,MATCH(yoy!$Z$1,Data!$A$1:$AN$1,),))/VLOOKUP(A83,Data!$A:$AN,MATCH(yoy!$Z$1,Data!$A$1:$AN$1,),)</f>
        <v/>
      </c>
      <c r="AA83" s="14" t="n"/>
    </row>
    <row r="84" customFormat="1" s="76">
      <c r="A84" s="20">
        <f>DATE(YEAR(B84)-1,MONTH(B84),DAY(B84))</f>
        <v/>
      </c>
      <c r="B84" s="12" t="n">
        <v>44409</v>
      </c>
      <c r="C84" s="14">
        <f>(VLOOKUP(B84,Data!$A:$AN,MATCH(yoy!$C$1,Data!$A$1:$AN$1,),)-VLOOKUP(A84,Data!$A:$AN,MATCH(yoy!$C$1,Data!$A$1:$AN$1,),))/VLOOKUP(A84,Data!$A:$AN,MATCH(yoy!$C$1,Data!$A$1:$AN$1,),)</f>
        <v/>
      </c>
      <c r="D84" s="14">
        <f>(VLOOKUP(B84,Data!$A:$AN,MATCH(yoy!$D$1,Data!$A$1:$AN$1,),)-VLOOKUP(A84,Data!$A:$AN,MATCH(yoy!$D$1,Data!$A$1:$AN$1,),))/VLOOKUP(A84,Data!$A:$AN,MATCH(yoy!$D$1,Data!$A$1:$AN$1,),)</f>
        <v/>
      </c>
      <c r="E84" s="14" t="n"/>
      <c r="F84" s="14">
        <f>(VLOOKUP(B84,Data!$A:$AN,MATCH(yoy!$F$1,Data!$A$1:$AN$1,),)-VLOOKUP(A84,Data!$A:$AN,MATCH(yoy!$F$1,Data!$A$1:$AN$1,),))/VLOOKUP(A84,Data!$A:$AN,MATCH(yoy!$F$1,Data!$A$1:$AN$1,),)</f>
        <v/>
      </c>
      <c r="G84" s="14">
        <f>(VLOOKUP(B84,Data!$A:$AN,MATCH(yoy!$G$1,Data!$A$1:$AN$1,),)-VLOOKUP(A84,Data!$A:$AN,MATCH(yoy!$G$1,Data!$A$1:$AN$1,),))/VLOOKUP(A84,Data!$A:$AN,MATCH(yoy!$G$1,Data!$A$1:$AN$1,),)</f>
        <v/>
      </c>
      <c r="H84" s="14">
        <f>(VLOOKUP(B84,Data!$A:$AN,MATCH(yoy!$H$1,Data!$A$1:$AN$1,),)-VLOOKUP(A84,Data!$A:$AN,MATCH(yoy!$H$1,Data!$A$1:$AN$1,),))/VLOOKUP(A84,Data!$A:$AN,MATCH(yoy!$H$1,Data!$A$1:$AN$1,),)</f>
        <v/>
      </c>
      <c r="I84" s="14" t="n"/>
      <c r="J84" s="14" t="n"/>
      <c r="K84" s="14">
        <f>(VLOOKUP(B84,Data!$A:$AN,MATCH(yoy!$K$1,Data!$A$1:$AN$1,),)-VLOOKUP(A84,Data!$A:$AN,MATCH(yoy!$K$1,Data!$A$1:$AN$1,),))/VLOOKUP(A84,Data!$A:$AN,MATCH(yoy!$K$1,Data!$A$1:$AN$1,),)</f>
        <v/>
      </c>
      <c r="L84" s="14" t="n"/>
      <c r="M84" s="14" t="n"/>
      <c r="N84" s="14" t="n"/>
      <c r="O84" s="14" t="n"/>
      <c r="P84" s="14">
        <f>(VLOOKUP(B84,Data!$A:$AN,MATCH(yoy!$P$1,Data!$A$1:$AN$1,),)-VLOOKUP(A84,Data!$A:$AN,MATCH(yoy!$P$1,Data!$A$1:$AN$1,),))/VLOOKUP(A84,Data!$A:$AN,MATCH(yoy!$P$1,Data!$A$1:$AN$1,),)</f>
        <v/>
      </c>
      <c r="Q84" s="14">
        <f>(VLOOKUP(B84,Data!$A:$AN,MATCH(yoy!$Q$1,Data!$A$1:$AN$1,),)-VLOOKUP(A84,Data!$A:$AN,MATCH(yoy!$Q$1,Data!$A$1:$AN$1,),))/VLOOKUP(A84,Data!$A:$AN,MATCH(yoy!$Q$1,Data!$A$1:$AN$1,),)</f>
        <v/>
      </c>
      <c r="R84" s="14" t="n"/>
      <c r="S84" s="14">
        <f>(VLOOKUP(B84,Data!$A:$AN,MATCH(yoy!$S$1,Data!$A$1:$AN$1,),)-VLOOKUP(A84,Data!$A:$AN,MATCH(yoy!$S$1,Data!$A$1:$AN$1,),))/VLOOKUP(A84,Data!$A:$AN,MATCH(yoy!$S$1,Data!$A$1:$AN$1,),)</f>
        <v/>
      </c>
      <c r="T84" s="14" t="n"/>
      <c r="U84" s="14" t="n"/>
      <c r="V84" s="14">
        <f>(VLOOKUP(B84,Data!$A:$AN,MATCH(yoy!$V$1,Data!$A$1:$AN$1,),)-VLOOKUP(A84,Data!$A:$AN,MATCH(yoy!$V$1,Data!$A$1:$AN$1,),))/VLOOKUP(A84,Data!$A:$AN,MATCH(yoy!$V$1,Data!$A$1:$AN$1,),)</f>
        <v/>
      </c>
      <c r="W84" s="14" t="n"/>
      <c r="X84" s="14">
        <f>(VLOOKUP(B84,Data!$A:$AN,MATCH(yoy!$X$1,Data!$A$1:$AN$1,),)-VLOOKUP(A84,Data!$A:$AN,MATCH(yoy!$X$1,Data!$A$1:$AN$1,),))/VLOOKUP(A84,Data!$A:$AN,MATCH(yoy!$X$1,Data!$A$1:$AN$1,),)</f>
        <v/>
      </c>
      <c r="Y84" s="14" t="n"/>
      <c r="Z84" s="14">
        <f>(VLOOKUP(B84,Data!$A:$AN,MATCH(yoy!$Z$1,Data!$A$1:$AN$1,),)-VLOOKUP(A84,Data!$A:$AN,MATCH(yoy!$Z$1,Data!$A$1:$AN$1,),))/VLOOKUP(A84,Data!$A:$AN,MATCH(yoy!$Z$1,Data!$A$1:$AN$1,),)</f>
        <v/>
      </c>
      <c r="AA84" s="14" t="n"/>
    </row>
    <row r="85" customFormat="1" s="76">
      <c r="A85" s="20">
        <f>DATE(YEAR(B85)-1,MONTH(B85),DAY(B85))</f>
        <v/>
      </c>
      <c r="B85" s="12" t="n">
        <v>44440</v>
      </c>
      <c r="C85" s="14">
        <f>(VLOOKUP(B85,Data!$A:$AN,MATCH(yoy!$C$1,Data!$A$1:$AN$1,),)-VLOOKUP(A85,Data!$A:$AN,MATCH(yoy!$C$1,Data!$A$1:$AN$1,),))/VLOOKUP(A85,Data!$A:$AN,MATCH(yoy!$C$1,Data!$A$1:$AN$1,),)</f>
        <v/>
      </c>
      <c r="D85" s="14">
        <f>(VLOOKUP(B85,Data!$A:$AN,MATCH(yoy!$D$1,Data!$A$1:$AN$1,),)-VLOOKUP(A85,Data!$A:$AN,MATCH(yoy!$D$1,Data!$A$1:$AN$1,),))/VLOOKUP(A85,Data!$A:$AN,MATCH(yoy!$D$1,Data!$A$1:$AN$1,),)</f>
        <v/>
      </c>
      <c r="E85" s="14" t="n"/>
      <c r="F85" s="14">
        <f>(VLOOKUP(B85,Data!$A:$AN,MATCH(yoy!$F$1,Data!$A$1:$AN$1,),)-VLOOKUP(A85,Data!$A:$AN,MATCH(yoy!$F$1,Data!$A$1:$AN$1,),))/VLOOKUP(A85,Data!$A:$AN,MATCH(yoy!$F$1,Data!$A$1:$AN$1,),)</f>
        <v/>
      </c>
      <c r="G85" s="14">
        <f>(VLOOKUP(B85,Data!$A:$AN,MATCH(yoy!$G$1,Data!$A$1:$AN$1,),)-VLOOKUP(A85,Data!$A:$AN,MATCH(yoy!$G$1,Data!$A$1:$AN$1,),))/VLOOKUP(A85,Data!$A:$AN,MATCH(yoy!$G$1,Data!$A$1:$AN$1,),)</f>
        <v/>
      </c>
      <c r="H85" s="14">
        <f>(VLOOKUP(B85,Data!$A:$AN,MATCH(yoy!$H$1,Data!$A$1:$AN$1,),)-VLOOKUP(A85,Data!$A:$AN,MATCH(yoy!$H$1,Data!$A$1:$AN$1,),))/VLOOKUP(A85,Data!$A:$AN,MATCH(yoy!$H$1,Data!$A$1:$AN$1,),)</f>
        <v/>
      </c>
      <c r="I85" s="14" t="n"/>
      <c r="J85" s="14" t="n"/>
      <c r="K85" s="14">
        <f>(VLOOKUP(B85,Data!$A:$AN,MATCH(yoy!$K$1,Data!$A$1:$AN$1,),)-VLOOKUP(A85,Data!$A:$AN,MATCH(yoy!$K$1,Data!$A$1:$AN$1,),))/VLOOKUP(A85,Data!$A:$AN,MATCH(yoy!$K$1,Data!$A$1:$AN$1,),)</f>
        <v/>
      </c>
      <c r="L85" s="14" t="n"/>
      <c r="M85" s="14" t="n"/>
      <c r="N85" s="14" t="n"/>
      <c r="O85" s="14" t="n"/>
      <c r="P85" s="14">
        <f>(VLOOKUP(B85,Data!$A:$AN,MATCH(yoy!$P$1,Data!$A$1:$AN$1,),)-VLOOKUP(A85,Data!$A:$AN,MATCH(yoy!$P$1,Data!$A$1:$AN$1,),))/VLOOKUP(A85,Data!$A:$AN,MATCH(yoy!$P$1,Data!$A$1:$AN$1,),)</f>
        <v/>
      </c>
      <c r="Q85" s="14">
        <f>(VLOOKUP(B85,Data!$A:$AN,MATCH(yoy!$Q$1,Data!$A$1:$AN$1,),)-VLOOKUP(A85,Data!$A:$AN,MATCH(yoy!$Q$1,Data!$A$1:$AN$1,),))/VLOOKUP(A85,Data!$A:$AN,MATCH(yoy!$Q$1,Data!$A$1:$AN$1,),)</f>
        <v/>
      </c>
      <c r="R85" s="14" t="n"/>
      <c r="S85" s="14">
        <f>(VLOOKUP(B85,Data!$A:$AN,MATCH(yoy!$S$1,Data!$A$1:$AN$1,),)-VLOOKUP(A85,Data!$A:$AN,MATCH(yoy!$S$1,Data!$A$1:$AN$1,),))/VLOOKUP(A85,Data!$A:$AN,MATCH(yoy!$S$1,Data!$A$1:$AN$1,),)</f>
        <v/>
      </c>
      <c r="T85" s="14" t="n"/>
      <c r="U85" s="14" t="n"/>
      <c r="V85" s="14">
        <f>(VLOOKUP(B85,Data!$A:$AN,MATCH(yoy!$V$1,Data!$A$1:$AN$1,),)-VLOOKUP(A85,Data!$A:$AN,MATCH(yoy!$V$1,Data!$A$1:$AN$1,),))/VLOOKUP(A85,Data!$A:$AN,MATCH(yoy!$V$1,Data!$A$1:$AN$1,),)</f>
        <v/>
      </c>
      <c r="W85" s="14" t="n"/>
      <c r="X85" s="14">
        <f>(VLOOKUP(B85,Data!$A:$AN,MATCH(yoy!$X$1,Data!$A$1:$AN$1,),)-VLOOKUP(A85,Data!$A:$AN,MATCH(yoy!$X$1,Data!$A$1:$AN$1,),))/VLOOKUP(A85,Data!$A:$AN,MATCH(yoy!$X$1,Data!$A$1:$AN$1,),)</f>
        <v/>
      </c>
      <c r="Y85" s="14" t="n"/>
      <c r="Z85" s="14">
        <f>(VLOOKUP(B85,Data!$A:$AN,MATCH(yoy!$Z$1,Data!$A$1:$AN$1,),)-VLOOKUP(A85,Data!$A:$AN,MATCH(yoy!$Z$1,Data!$A$1:$AN$1,),))/VLOOKUP(A85,Data!$A:$AN,MATCH(yoy!$Z$1,Data!$A$1:$AN$1,),)</f>
        <v/>
      </c>
      <c r="AA85" s="14" t="n"/>
    </row>
    <row r="86" customFormat="1" s="76">
      <c r="A86" s="20">
        <f>DATE(YEAR(B86)-1,MONTH(B86),DAY(B86))</f>
        <v/>
      </c>
      <c r="B86" s="12" t="n">
        <v>44470</v>
      </c>
      <c r="C86" s="14" t="n"/>
      <c r="D86" s="14">
        <f>(VLOOKUP(B86,Data!$A:$AN,MATCH(yoy!$D$1,Data!$A$1:$AN$1,),)-VLOOKUP(A86,Data!$A:$AN,MATCH(yoy!$D$1,Data!$A$1:$AN$1,),))/VLOOKUP(A86,Data!$A:$AN,MATCH(yoy!$D$1,Data!$A$1:$AN$1,),)</f>
        <v/>
      </c>
      <c r="E86" s="14" t="n"/>
      <c r="F86" s="14">
        <f>(VLOOKUP(B86,Data!$A:$AN,MATCH(yoy!$F$1,Data!$A$1:$AN$1,),)-VLOOKUP(A86,Data!$A:$AN,MATCH(yoy!$F$1,Data!$A$1:$AN$1,),))/VLOOKUP(A86,Data!$A:$AN,MATCH(yoy!$F$1,Data!$A$1:$AN$1,),)</f>
        <v/>
      </c>
      <c r="G86" s="14">
        <f>(VLOOKUP(B86,Data!$A:$AN,MATCH(yoy!$G$1,Data!$A$1:$AN$1,),)-VLOOKUP(A86,Data!$A:$AN,MATCH(yoy!$G$1,Data!$A$1:$AN$1,),))/VLOOKUP(A86,Data!$A:$AN,MATCH(yoy!$G$1,Data!$A$1:$AN$1,),)</f>
        <v/>
      </c>
      <c r="H86" s="14">
        <f>(VLOOKUP(B86,Data!$A:$AN,MATCH(yoy!$H$1,Data!$A$1:$AN$1,),)-VLOOKUP(A86,Data!$A:$AN,MATCH(yoy!$H$1,Data!$A$1:$AN$1,),))/VLOOKUP(A86,Data!$A:$AN,MATCH(yoy!$H$1,Data!$A$1:$AN$1,),)</f>
        <v/>
      </c>
      <c r="I86" s="14" t="n"/>
      <c r="J86" s="14" t="n"/>
      <c r="K86" s="14">
        <f>(VLOOKUP(B86,Data!$A:$AN,MATCH(yoy!$K$1,Data!$A$1:$AN$1,),)-VLOOKUP(A86,Data!$A:$AN,MATCH(yoy!$K$1,Data!$A$1:$AN$1,),))/VLOOKUP(A86,Data!$A:$AN,MATCH(yoy!$K$1,Data!$A$1:$AN$1,),)</f>
        <v/>
      </c>
      <c r="L86" s="14" t="n"/>
      <c r="M86" s="14" t="n"/>
      <c r="N86" s="14" t="n"/>
      <c r="O86" s="14" t="n"/>
      <c r="P86" s="14" t="n"/>
      <c r="Q86" s="14">
        <f>(VLOOKUP(B86,Data!$A:$AN,MATCH(yoy!$Q$1,Data!$A$1:$AN$1,),)-VLOOKUP(A86,Data!$A:$AN,MATCH(yoy!$Q$1,Data!$A$1:$AN$1,),))/VLOOKUP(A86,Data!$A:$AN,MATCH(yoy!$Q$1,Data!$A$1:$AN$1,),)</f>
        <v/>
      </c>
      <c r="R86" s="14" t="n"/>
      <c r="S86" s="14" t="n"/>
      <c r="T86" s="14" t="n"/>
      <c r="U86" s="14" t="n"/>
      <c r="V86" s="14" t="n"/>
      <c r="W86" s="14" t="n"/>
      <c r="X86" s="14">
        <f>(VLOOKUP(B86,Data!$A:$AN,MATCH(yoy!$X$1,Data!$A$1:$AN$1,),)-VLOOKUP(A86,Data!$A:$AN,MATCH(yoy!$X$1,Data!$A$1:$AN$1,),))/VLOOKUP(A86,Data!$A:$AN,MATCH(yoy!$X$1,Data!$A$1:$AN$1,),)</f>
        <v/>
      </c>
      <c r="Y86" s="14" t="n"/>
      <c r="Z86" s="14">
        <f>(VLOOKUP(B86,Data!$A:$AN,MATCH(yoy!$Z$1,Data!$A$1:$AN$1,),)-VLOOKUP(A86,Data!$A:$AN,MATCH(yoy!$Z$1,Data!$A$1:$AN$1,),))/VLOOKUP(A86,Data!$A:$AN,MATCH(yoy!$Z$1,Data!$A$1:$AN$1,),)</f>
        <v/>
      </c>
      <c r="AA86" s="14" t="n"/>
    </row>
    <row r="87" customFormat="1" s="76"/>
    <row r="88" customFormat="1" s="76"/>
    <row r="89" customFormat="1" s="76"/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6"/>
  <sheetViews>
    <sheetView zoomScale="140" zoomScaleNormal="140" workbookViewId="0">
      <pane xSplit="2" ySplit="5" topLeftCell="C42" activePane="bottomRight" state="frozen"/>
      <selection pane="topRight" activeCell="C1" sqref="C1"/>
      <selection pane="bottomLeft" activeCell="A6" sqref="A6"/>
      <selection pane="bottomRight" activeCell="AD53" sqref="AD53"/>
    </sheetView>
  </sheetViews>
  <sheetFormatPr baseColWidth="10" defaultColWidth="8.83203125" defaultRowHeight="15"/>
  <cols>
    <col width="10.6640625" bestFit="1" customWidth="1" style="76" min="1" max="1"/>
    <col width="13.6640625" customWidth="1" style="88" min="2" max="2"/>
    <col width="6.1640625" customWidth="1" style="88" min="3" max="22"/>
    <col width="5.6640625" customWidth="1" style="88" min="23" max="23"/>
    <col width="6.1640625" customWidth="1" style="88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88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88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88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88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88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88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88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88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88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88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88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88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88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88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(((VLOOKUP(B20,Data!$A:$AN,MATCH(yoy!$C$1,Data!$A$1:$AN$1,),)-VLOOKUP(A20,Data!$A:$AN,MATCH(yoy!$C$1,Data!$A$1:$AN$1,),))/VLOOKUP(A20,Data!$A:$AN,MATCH(yoy!$C$1,Data!$A$1:$AN$1,),))+1)^12-1</f>
        <v/>
      </c>
      <c r="D20" s="14">
        <f>(((VLOOKUP(B20,Data!$A:$AN,MATCH(yoy!$D$1,Data!$A$1:$AN$1,),)-VLOOKUP(A20,Data!$A:$AN,MATCH(yoy!$D$1,Data!$A$1:$AN$1,),))/VLOOKUP(A20,Data!$A:$AN,MATCH(yoy!$D$1,Data!$A$1:$AN$1,),))+1)^12-1</f>
        <v/>
      </c>
      <c r="E20" s="14">
        <f>(((VLOOKUP(B20,Data!$A:$AN,MATCH(yoy!$E$1,Data!$A$1:$AN$1,),)-VLOOKUP(A20,Data!$A:$AN,MATCH(yoy!$E$1,Data!$A$1:$AN$1,),))/VLOOKUP(A20,Data!$A:$AN,MATCH(yoy!$E$1,Data!$A$1:$AN$1,),))+1)^12-1</f>
        <v/>
      </c>
      <c r="F20" s="14">
        <f>(((VLOOKUP(B20,Data!$A:$AN,MATCH(yoy!$F$1,Data!$A$1:$AN$1,),)-VLOOKUP(A20,Data!$A:$AN,MATCH(yoy!$F$1,Data!$A$1:$AN$1,),))/VLOOKUP(A20,Data!$A:$AN,MATCH(yoy!$F$1,Data!$A$1:$AN$1,),))+1)^12-1</f>
        <v/>
      </c>
      <c r="G20" s="14">
        <f>(((VLOOKUP(B20,Data!$A:$AN,MATCH(yoy!$G$1,Data!$A$1:$AN$1,),)-VLOOKUP(A20,Data!$A:$AN,MATCH(yoy!$G$1,Data!$A$1:$AN$1,),))/VLOOKUP(A20,Data!$A:$AN,MATCH(yoy!$G$1,Data!$A$1:$AN$1,),))+1)^12-1</f>
        <v/>
      </c>
      <c r="H20" s="14">
        <f>(((VLOOKUP(B20,Data!$A:$AN,MATCH(yoy!$H$1,Data!$A$1:$AN$1,),)-VLOOKUP(A20,Data!$A:$AN,MATCH(yoy!$H$1,Data!$A$1:$AN$1,),))/VLOOKUP(A20,Data!$A:$AN,MATCH(yoy!$H$1,Data!$A$1:$AN$1,),))+1)^12-1</f>
        <v/>
      </c>
      <c r="I20" s="14">
        <f>(((VLOOKUP(B20,Data!$A:$AN,MATCH(yoy!$I$1,Data!$A$1:$AN$1,),)-VLOOKUP(A20,Data!$A:$AN,MATCH(yoy!$I$1,Data!$A$1:$AN$1,),))/VLOOKUP(A20,Data!$A:$AN,MATCH(yoy!$I$1,Data!$A$1:$AN$1,),))+1)^12-1</f>
        <v/>
      </c>
      <c r="J20" s="14">
        <f>(((VLOOKUP(B20,Data!$A:$AN,MATCH(yoy!$J$1,Data!$A$1:$AN$1,),)-VLOOKUP(A20,Data!$A:$AN,MATCH(yoy!$J$1,Data!$A$1:$AN$1,),))/VLOOKUP(A20,Data!$A:$AN,MATCH(yoy!$J$1,Data!$A$1:$AN$1,),))+1)^12-1</f>
        <v/>
      </c>
      <c r="K20" s="14">
        <f>(((VLOOKUP(B20,Data!$A:$AN,MATCH(yoy!$K$1,Data!$A$1:$AN$1,),)-VLOOKUP(A20,Data!$A:$AN,MATCH(yoy!$K$1,Data!$A$1:$AN$1,),))/VLOOKUP(A20,Data!$A:$AN,MATCH(yoy!$K$1,Data!$A$1:$AN$1,),))+1)^12-1</f>
        <v/>
      </c>
      <c r="L20" s="14">
        <f>(((VLOOKUP(B20,Data!$A:$AN,MATCH(yoy!$L$1,Data!$A$1:$AN$1,),)-VLOOKUP(A20,Data!$A:$AN,MATCH(yoy!$L$1,Data!$A$1:$AN$1,),))/VLOOKUP(A20,Data!$A:$AN,MATCH(yoy!$L$1,Data!$A$1:$AN$1,),))+1)^12-1</f>
        <v/>
      </c>
      <c r="M20" s="14">
        <f>(((VLOOKUP(B20,Data!$A:$AN,MATCH(yoy!$M$1,Data!$A$1:$AN$1,),)-VLOOKUP(A20,Data!$A:$AN,MATCH(yoy!$M$1,Data!$A$1:$AN$1,),))/VLOOKUP(A20,Data!$A:$AN,MATCH(yoy!$M$1,Data!$A$1:$AN$1,),))+1)^12-1</f>
        <v/>
      </c>
      <c r="N20" s="14">
        <f>(((VLOOKUP(B20,Data!$A:$AN,MATCH(yoy!$N$1,Data!$A$1:$AN$1,),)-VLOOKUP(A20,Data!$A:$AN,MATCH(yoy!$N$1,Data!$A$1:$AN$1,),))/VLOOKUP(A20,Data!$A:$AN,MATCH(yoy!$N$1,Data!$A$1:$AN$1,),))+1)^12-1</f>
        <v/>
      </c>
      <c r="O20" s="14">
        <f>(((VLOOKUP(B20,Data!$A:$AN,MATCH(yoy!$O$1,Data!$A$1:$AN$1,),)-VLOOKUP(A20,Data!$A:$AN,MATCH(yoy!$O$1,Data!$A$1:$AN$1,),))/VLOOKUP(A20,Data!$A:$AN,MATCH(yoy!$O$1,Data!$A$1:$AN$1,),))+1)^12-1</f>
        <v/>
      </c>
      <c r="P20" s="14">
        <f>(((VLOOKUP(B20,Data!$A:$AN,MATCH(yoy!$P$1,Data!$A$1:$AN$1,),)-VLOOKUP(A20,Data!$A:$AN,MATCH(yoy!$P$1,Data!$A$1:$AN$1,),))/VLOOKUP(A20,Data!$A:$AN,MATCH(yoy!$P$1,Data!$A$1:$AN$1,),))+1)^12-1</f>
        <v/>
      </c>
      <c r="Q20" s="14">
        <f>(((VLOOKUP(B20,Data!$A:$AN,MATCH(yoy!$Q$1,Data!$A$1:$AN$1,),)-VLOOKUP(A20,Data!$A:$AN,MATCH(yoy!$Q$1,Data!$A$1:$AN$1,),))/VLOOKUP(A20,Data!$A:$AN,MATCH(yoy!$Q$1,Data!$A$1:$AN$1,),))+1)^12-1</f>
        <v/>
      </c>
      <c r="R20" s="14">
        <f>(((VLOOKUP(B20,Data!$A:$AN,MATCH(yoy!$R$1,Data!$A$1:$AN$1,),)-VLOOKUP(A20,Data!$A:$AN,MATCH(yoy!$R$1,Data!$A$1:$AN$1,),))/VLOOKUP(A20,Data!$A:$AN,MATCH(yoy!$R$1,Data!$A$1:$AN$1,),))+1)^12-1</f>
        <v/>
      </c>
      <c r="S20" s="14">
        <f>(((VLOOKUP(B20,Data!$A:$AN,MATCH(yoy!$S$1,Data!$A$1:$AN$1,),)-VLOOKUP(A20,Data!$A:$AN,MATCH(yoy!$S$1,Data!$A$1:$AN$1,),))/VLOOKUP(A20,Data!$A:$AN,MATCH(yoy!$S$1,Data!$A$1:$AN$1,),))+1)^12-1</f>
        <v/>
      </c>
      <c r="T20" s="14">
        <f>(((VLOOKUP(B20,Data!$A:$AN,MATCH(yoy!$T$1,Data!$A$1:$AN$1,),)-VLOOKUP(A20,Data!$A:$AN,MATCH(yoy!$T$1,Data!$A$1:$AN$1,),))/VLOOKUP(A20,Data!$A:$AN,MATCH(yoy!$T$1,Data!$A$1:$AN$1,),))+1)^12-1</f>
        <v/>
      </c>
      <c r="U20" s="14">
        <f>(((VLOOKUP(B20,Data!$A:$AN,MATCH(yoy!$U$1,Data!$A$1:$AN$1,),)-VLOOKUP(A20,Data!$A:$AN,MATCH(yoy!$U$1,Data!$A$1:$AN$1,),))/VLOOKUP(A20,Data!$A:$AN,MATCH(yoy!$U$1,Data!$A$1:$AN$1,),))+1)^12-1</f>
        <v/>
      </c>
      <c r="V20" s="14">
        <f>(((VLOOKUP(B20,Data!$A:$AN,MATCH(yoy!$V$1,Data!$A$1:$AN$1,),)-VLOOKUP(A20,Data!$A:$AN,MATCH(yoy!$V$1,Data!$A$1:$AN$1,),))/VLOOKUP(A20,Data!$A:$AN,MATCH(yoy!$V$1,Data!$A$1:$AN$1,),))+1)^12-1</f>
        <v/>
      </c>
      <c r="W20" s="14">
        <f>(((VLOOKUP(B20,Data!$A:$AN,MATCH(yoy!$W$1,Data!$A$1:$AN$1,),)-VLOOKUP(A20,Data!$A:$AN,MATCH(yoy!$W$1,Data!$A$1:$AN$1,),))/VLOOKUP(A20,Data!$A:$AN,MATCH(yoy!$W$1,Data!$A$1:$AN$1,),))+1)^12-1</f>
        <v/>
      </c>
      <c r="X20" s="14">
        <f>(((VLOOKUP(B20,Data!$A:$AN,MATCH(yoy!$X$1,Data!$A$1:$AN$1,),)-VLOOKUP(A20,Data!$A:$AN,MATCH(yoy!$X$1,Data!$A$1:$AN$1,),))/VLOOKUP(A20,Data!$A:$AN,MATCH(yoy!$X$1,Data!$A$1:$AN$1,),))+1)^12-1</f>
        <v/>
      </c>
      <c r="Y20" s="14">
        <f>(((VLOOKUP(B20,Data!$A:$AN,MATCH(yoy!$Y$1,Data!$A$1:$AN$1,),)-VLOOKUP(A20,Data!$A:$AN,MATCH(yoy!$Y$1,Data!$A$1:$AN$1,),))/VLOOKUP(A20,Data!$A:$AN,MATCH(yoy!$Y$1,Data!$A$1:$AN$1,),))+1)^12-1</f>
        <v/>
      </c>
      <c r="Z20" s="14">
        <f>(((VLOOKUP(B20,Data!$A:$AN,MATCH(yoy!$Z$1,Data!$A$1:$AN$1,),)-VLOOKUP(A20,Data!$A:$AN,MATCH(yoy!$Z$1,Data!$A$1:$AN$1,),))/VLOOKUP(A20,Data!$A:$AN,MATCH(yoy!$Z$1,Data!$A$1:$AN$1,),))+1)^12-1</f>
        <v/>
      </c>
      <c r="AA20" s="14">
        <f>(((VLOOKUP(B20,Data!$A:$AN,MATCH(yoy!$AA$1,Data!$A$1:$AN$1,),)-VLOOKUP(A20,Data!$A:$AN,MATCH(yoy!$AA$1,Data!$A$1:$AN$1,),))/VLOOKUP(A20,Data!$A:$AN,MATCH(yoy!$AA$1,Data!$A$1:$AN$1,),))+1)^12-1</f>
        <v/>
      </c>
    </row>
    <row r="21">
      <c r="A21" s="20">
        <f>DATE(YEAR(B21),MONTH(B21)-1,DAY(B21))</f>
        <v/>
      </c>
      <c r="B21" s="12" t="n">
        <v>42491</v>
      </c>
      <c r="C21" s="14">
        <f>(((VLOOKUP(B21,Data!$A:$AN,MATCH(yoy!$C$1,Data!$A$1:$AN$1,),)-VLOOKUP(A21,Data!$A:$AN,MATCH(yoy!$C$1,Data!$A$1:$AN$1,),))/VLOOKUP(A21,Data!$A:$AN,MATCH(yoy!$C$1,Data!$A$1:$AN$1,),))+1)^12-1</f>
        <v/>
      </c>
      <c r="D21" s="14">
        <f>(((VLOOKUP(B21,Data!$A:$AN,MATCH(yoy!$D$1,Data!$A$1:$AN$1,),)-VLOOKUP(A21,Data!$A:$AN,MATCH(yoy!$D$1,Data!$A$1:$AN$1,),))/VLOOKUP(A21,Data!$A:$AN,MATCH(yoy!$D$1,Data!$A$1:$AN$1,),))+1)^12-1</f>
        <v/>
      </c>
      <c r="E21" s="14">
        <f>(((VLOOKUP(B21,Data!$A:$AN,MATCH(yoy!$E$1,Data!$A$1:$AN$1,),)-VLOOKUP(A21,Data!$A:$AN,MATCH(yoy!$E$1,Data!$A$1:$AN$1,),))/VLOOKUP(A21,Data!$A:$AN,MATCH(yoy!$E$1,Data!$A$1:$AN$1,),))+1)^12-1</f>
        <v/>
      </c>
      <c r="F21" s="14">
        <f>(((VLOOKUP(B21,Data!$A:$AN,MATCH(yoy!$F$1,Data!$A$1:$AN$1,),)-VLOOKUP(A21,Data!$A:$AN,MATCH(yoy!$F$1,Data!$A$1:$AN$1,),))/VLOOKUP(A21,Data!$A:$AN,MATCH(yoy!$F$1,Data!$A$1:$AN$1,),))+1)^12-1</f>
        <v/>
      </c>
      <c r="G21" s="14">
        <f>(((VLOOKUP(B21,Data!$A:$AN,MATCH(yoy!$G$1,Data!$A$1:$AN$1,),)-VLOOKUP(A21,Data!$A:$AN,MATCH(yoy!$G$1,Data!$A$1:$AN$1,),))/VLOOKUP(A21,Data!$A:$AN,MATCH(yoy!$G$1,Data!$A$1:$AN$1,),))+1)^12-1</f>
        <v/>
      </c>
      <c r="H21" s="14">
        <f>(((VLOOKUP(B21,Data!$A:$AN,MATCH(yoy!$H$1,Data!$A$1:$AN$1,),)-VLOOKUP(A21,Data!$A:$AN,MATCH(yoy!$H$1,Data!$A$1:$AN$1,),))/VLOOKUP(A21,Data!$A:$AN,MATCH(yoy!$H$1,Data!$A$1:$AN$1,),))+1)^12-1</f>
        <v/>
      </c>
      <c r="I21" s="14">
        <f>(((VLOOKUP(B21,Data!$A:$AN,MATCH(yoy!$I$1,Data!$A$1:$AN$1,),)-VLOOKUP(A21,Data!$A:$AN,MATCH(yoy!$I$1,Data!$A$1:$AN$1,),))/VLOOKUP(A21,Data!$A:$AN,MATCH(yoy!$I$1,Data!$A$1:$AN$1,),))+1)^12-1</f>
        <v/>
      </c>
      <c r="J21" s="14">
        <f>(((VLOOKUP(B21,Data!$A:$AN,MATCH(yoy!$J$1,Data!$A$1:$AN$1,),)-VLOOKUP(A21,Data!$A:$AN,MATCH(yoy!$J$1,Data!$A$1:$AN$1,),))/VLOOKUP(A21,Data!$A:$AN,MATCH(yoy!$J$1,Data!$A$1:$AN$1,),))+1)^12-1</f>
        <v/>
      </c>
      <c r="K21" s="14">
        <f>(((VLOOKUP(B21,Data!$A:$AN,MATCH(yoy!$K$1,Data!$A$1:$AN$1,),)-VLOOKUP(A21,Data!$A:$AN,MATCH(yoy!$K$1,Data!$A$1:$AN$1,),))/VLOOKUP(A21,Data!$A:$AN,MATCH(yoy!$K$1,Data!$A$1:$AN$1,),))+1)^12-1</f>
        <v/>
      </c>
      <c r="L21" s="14">
        <f>(((VLOOKUP(B21,Data!$A:$AN,MATCH(yoy!$L$1,Data!$A$1:$AN$1,),)-VLOOKUP(A21,Data!$A:$AN,MATCH(yoy!$L$1,Data!$A$1:$AN$1,),))/VLOOKUP(A21,Data!$A:$AN,MATCH(yoy!$L$1,Data!$A$1:$AN$1,),))+1)^12-1</f>
        <v/>
      </c>
      <c r="M21" s="14">
        <f>(((VLOOKUP(B21,Data!$A:$AN,MATCH(yoy!$M$1,Data!$A$1:$AN$1,),)-VLOOKUP(A21,Data!$A:$AN,MATCH(yoy!$M$1,Data!$A$1:$AN$1,),))/VLOOKUP(A21,Data!$A:$AN,MATCH(yoy!$M$1,Data!$A$1:$AN$1,),))+1)^12-1</f>
        <v/>
      </c>
      <c r="N21" s="14">
        <f>(((VLOOKUP(B21,Data!$A:$AN,MATCH(yoy!$N$1,Data!$A$1:$AN$1,),)-VLOOKUP(A21,Data!$A:$AN,MATCH(yoy!$N$1,Data!$A$1:$AN$1,),))/VLOOKUP(A21,Data!$A:$AN,MATCH(yoy!$N$1,Data!$A$1:$AN$1,),))+1)^12-1</f>
        <v/>
      </c>
      <c r="O21" s="14">
        <f>(((VLOOKUP(B21,Data!$A:$AN,MATCH(yoy!$O$1,Data!$A$1:$AN$1,),)-VLOOKUP(A21,Data!$A:$AN,MATCH(yoy!$O$1,Data!$A$1:$AN$1,),))/VLOOKUP(A21,Data!$A:$AN,MATCH(yoy!$O$1,Data!$A$1:$AN$1,),))+1)^12-1</f>
        <v/>
      </c>
      <c r="P21" s="14">
        <f>(((VLOOKUP(B21,Data!$A:$AN,MATCH(yoy!$P$1,Data!$A$1:$AN$1,),)-VLOOKUP(A21,Data!$A:$AN,MATCH(yoy!$P$1,Data!$A$1:$AN$1,),))/VLOOKUP(A21,Data!$A:$AN,MATCH(yoy!$P$1,Data!$A$1:$AN$1,),))+1)^12-1</f>
        <v/>
      </c>
      <c r="Q21" s="14">
        <f>(((VLOOKUP(B21,Data!$A:$AN,MATCH(yoy!$Q$1,Data!$A$1:$AN$1,),)-VLOOKUP(A21,Data!$A:$AN,MATCH(yoy!$Q$1,Data!$A$1:$AN$1,),))/VLOOKUP(A21,Data!$A:$AN,MATCH(yoy!$Q$1,Data!$A$1:$AN$1,),))+1)^12-1</f>
        <v/>
      </c>
      <c r="R21" s="14">
        <f>(((VLOOKUP(B21,Data!$A:$AN,MATCH(yoy!$R$1,Data!$A$1:$AN$1,),)-VLOOKUP(A21,Data!$A:$AN,MATCH(yoy!$R$1,Data!$A$1:$AN$1,),))/VLOOKUP(A21,Data!$A:$AN,MATCH(yoy!$R$1,Data!$A$1:$AN$1,),))+1)^12-1</f>
        <v/>
      </c>
      <c r="S21" s="14">
        <f>(((VLOOKUP(B21,Data!$A:$AN,MATCH(yoy!$S$1,Data!$A$1:$AN$1,),)-VLOOKUP(A21,Data!$A:$AN,MATCH(yoy!$S$1,Data!$A$1:$AN$1,),))/VLOOKUP(A21,Data!$A:$AN,MATCH(yoy!$S$1,Data!$A$1:$AN$1,),))+1)^12-1</f>
        <v/>
      </c>
      <c r="T21" s="14">
        <f>(((VLOOKUP(B21,Data!$A:$AN,MATCH(yoy!$T$1,Data!$A$1:$AN$1,),)-VLOOKUP(A21,Data!$A:$AN,MATCH(yoy!$T$1,Data!$A$1:$AN$1,),))/VLOOKUP(A21,Data!$A:$AN,MATCH(yoy!$T$1,Data!$A$1:$AN$1,),))+1)^12-1</f>
        <v/>
      </c>
      <c r="U21" s="14">
        <f>(((VLOOKUP(B21,Data!$A:$AN,MATCH(yoy!$U$1,Data!$A$1:$AN$1,),)-VLOOKUP(A21,Data!$A:$AN,MATCH(yoy!$U$1,Data!$A$1:$AN$1,),))/VLOOKUP(A21,Data!$A:$AN,MATCH(yoy!$U$1,Data!$A$1:$AN$1,),))+1)^12-1</f>
        <v/>
      </c>
      <c r="V21" s="14">
        <f>(((VLOOKUP(B21,Data!$A:$AN,MATCH(yoy!$V$1,Data!$A$1:$AN$1,),)-VLOOKUP(A21,Data!$A:$AN,MATCH(yoy!$V$1,Data!$A$1:$AN$1,),))/VLOOKUP(A21,Data!$A:$AN,MATCH(yoy!$V$1,Data!$A$1:$AN$1,),))+1)^12-1</f>
        <v/>
      </c>
      <c r="W21" s="14">
        <f>(((VLOOKUP(B21,Data!$A:$AN,MATCH(yoy!$W$1,Data!$A$1:$AN$1,),)-VLOOKUP(A21,Data!$A:$AN,MATCH(yoy!$W$1,Data!$A$1:$AN$1,),))/VLOOKUP(A21,Data!$A:$AN,MATCH(yoy!$W$1,Data!$A$1:$AN$1,),))+1)^12-1</f>
        <v/>
      </c>
      <c r="X21" s="14">
        <f>(((VLOOKUP(B21,Data!$A:$AN,MATCH(yoy!$X$1,Data!$A$1:$AN$1,),)-VLOOKUP(A21,Data!$A:$AN,MATCH(yoy!$X$1,Data!$A$1:$AN$1,),))/VLOOKUP(A21,Data!$A:$AN,MATCH(yoy!$X$1,Data!$A$1:$AN$1,),))+1)^12-1</f>
        <v/>
      </c>
      <c r="Y21" s="14">
        <f>(((VLOOKUP(B21,Data!$A:$AN,MATCH(yoy!$Y$1,Data!$A$1:$AN$1,),)-VLOOKUP(A21,Data!$A:$AN,MATCH(yoy!$Y$1,Data!$A$1:$AN$1,),))/VLOOKUP(A21,Data!$A:$AN,MATCH(yoy!$Y$1,Data!$A$1:$AN$1,),))+1)^12-1</f>
        <v/>
      </c>
      <c r="Z21" s="14">
        <f>(((VLOOKUP(B21,Data!$A:$AN,MATCH(yoy!$Z$1,Data!$A$1:$AN$1,),)-VLOOKUP(A21,Data!$A:$AN,MATCH(yoy!$Z$1,Data!$A$1:$AN$1,),))/VLOOKUP(A21,Data!$A:$AN,MATCH(yoy!$Z$1,Data!$A$1:$AN$1,),))+1)^12-1</f>
        <v/>
      </c>
      <c r="AA21" s="14">
        <f>(((VLOOKUP(B21,Data!$A:$AN,MATCH(yoy!$AA$1,Data!$A$1:$AN$1,),)-VLOOKUP(A21,Data!$A:$AN,MATCH(yoy!$AA$1,Data!$A$1:$AN$1,),))/VLOOKUP(A21,Data!$A:$AN,MATCH(yoy!$AA$1,Data!$A$1:$AN$1,),))+1)^12-1</f>
        <v/>
      </c>
    </row>
    <row r="22">
      <c r="A22" s="20">
        <f>DATE(YEAR(B22),MONTH(B22)-1,DAY(B22))</f>
        <v/>
      </c>
      <c r="B22" s="12" t="n">
        <v>42522</v>
      </c>
      <c r="C22" s="14">
        <f>(((VLOOKUP(B22,Data!$A:$AN,MATCH(yoy!$C$1,Data!$A$1:$AN$1,),)-VLOOKUP(A22,Data!$A:$AN,MATCH(yoy!$C$1,Data!$A$1:$AN$1,),))/VLOOKUP(A22,Data!$A:$AN,MATCH(yoy!$C$1,Data!$A$1:$AN$1,),))+1)^12-1</f>
        <v/>
      </c>
      <c r="D22" s="14">
        <f>(((VLOOKUP(B22,Data!$A:$AN,MATCH(yoy!$D$1,Data!$A$1:$AN$1,),)-VLOOKUP(A22,Data!$A:$AN,MATCH(yoy!$D$1,Data!$A$1:$AN$1,),))/VLOOKUP(A22,Data!$A:$AN,MATCH(yoy!$D$1,Data!$A$1:$AN$1,),))+1)^12-1</f>
        <v/>
      </c>
      <c r="E22" s="14">
        <f>(((VLOOKUP(B22,Data!$A:$AN,MATCH(yoy!$E$1,Data!$A$1:$AN$1,),)-VLOOKUP(A22,Data!$A:$AN,MATCH(yoy!$E$1,Data!$A$1:$AN$1,),))/VLOOKUP(A22,Data!$A:$AN,MATCH(yoy!$E$1,Data!$A$1:$AN$1,),))+1)^12-1</f>
        <v/>
      </c>
      <c r="F22" s="14">
        <f>(((VLOOKUP(B22,Data!$A:$AN,MATCH(yoy!$F$1,Data!$A$1:$AN$1,),)-VLOOKUP(A22,Data!$A:$AN,MATCH(yoy!$F$1,Data!$A$1:$AN$1,),))/VLOOKUP(A22,Data!$A:$AN,MATCH(yoy!$F$1,Data!$A$1:$AN$1,),))+1)^12-1</f>
        <v/>
      </c>
      <c r="G22" s="14">
        <f>(((VLOOKUP(B22,Data!$A:$AN,MATCH(yoy!$G$1,Data!$A$1:$AN$1,),)-VLOOKUP(A22,Data!$A:$AN,MATCH(yoy!$G$1,Data!$A$1:$AN$1,),))/VLOOKUP(A22,Data!$A:$AN,MATCH(yoy!$G$1,Data!$A$1:$AN$1,),))+1)^12-1</f>
        <v/>
      </c>
      <c r="H22" s="14">
        <f>(((VLOOKUP(B22,Data!$A:$AN,MATCH(yoy!$H$1,Data!$A$1:$AN$1,),)-VLOOKUP(A22,Data!$A:$AN,MATCH(yoy!$H$1,Data!$A$1:$AN$1,),))/VLOOKUP(A22,Data!$A:$AN,MATCH(yoy!$H$1,Data!$A$1:$AN$1,),))+1)^12-1</f>
        <v/>
      </c>
      <c r="I22" s="14">
        <f>(((VLOOKUP(B22,Data!$A:$AN,MATCH(yoy!$I$1,Data!$A$1:$AN$1,),)-VLOOKUP(A22,Data!$A:$AN,MATCH(yoy!$I$1,Data!$A$1:$AN$1,),))/VLOOKUP(A22,Data!$A:$AN,MATCH(yoy!$I$1,Data!$A$1:$AN$1,),))+1)^12-1</f>
        <v/>
      </c>
      <c r="J22" s="14">
        <f>(((VLOOKUP(B22,Data!$A:$AN,MATCH(yoy!$J$1,Data!$A$1:$AN$1,),)-VLOOKUP(A22,Data!$A:$AN,MATCH(yoy!$J$1,Data!$A$1:$AN$1,),))/VLOOKUP(A22,Data!$A:$AN,MATCH(yoy!$J$1,Data!$A$1:$AN$1,),))+1)^12-1</f>
        <v/>
      </c>
      <c r="K22" s="14">
        <f>(((VLOOKUP(B22,Data!$A:$AN,MATCH(yoy!$K$1,Data!$A$1:$AN$1,),)-VLOOKUP(A22,Data!$A:$AN,MATCH(yoy!$K$1,Data!$A$1:$AN$1,),))/VLOOKUP(A22,Data!$A:$AN,MATCH(yoy!$K$1,Data!$A$1:$AN$1,),))+1)^12-1</f>
        <v/>
      </c>
      <c r="L22" s="14">
        <f>(((VLOOKUP(B22,Data!$A:$AN,MATCH(yoy!$L$1,Data!$A$1:$AN$1,),)-VLOOKUP(A22,Data!$A:$AN,MATCH(yoy!$L$1,Data!$A$1:$AN$1,),))/VLOOKUP(A22,Data!$A:$AN,MATCH(yoy!$L$1,Data!$A$1:$AN$1,),))+1)^12-1</f>
        <v/>
      </c>
      <c r="M22" s="14">
        <f>(((VLOOKUP(B22,Data!$A:$AN,MATCH(yoy!$M$1,Data!$A$1:$AN$1,),)-VLOOKUP(A22,Data!$A:$AN,MATCH(yoy!$M$1,Data!$A$1:$AN$1,),))/VLOOKUP(A22,Data!$A:$AN,MATCH(yoy!$M$1,Data!$A$1:$AN$1,),))+1)^12-1</f>
        <v/>
      </c>
      <c r="N22" s="14">
        <f>(((VLOOKUP(B22,Data!$A:$AN,MATCH(yoy!$N$1,Data!$A$1:$AN$1,),)-VLOOKUP(A22,Data!$A:$AN,MATCH(yoy!$N$1,Data!$A$1:$AN$1,),))/VLOOKUP(A22,Data!$A:$AN,MATCH(yoy!$N$1,Data!$A$1:$AN$1,),))+1)^12-1</f>
        <v/>
      </c>
      <c r="O22" s="14">
        <f>(((VLOOKUP(B22,Data!$A:$AN,MATCH(yoy!$O$1,Data!$A$1:$AN$1,),)-VLOOKUP(A22,Data!$A:$AN,MATCH(yoy!$O$1,Data!$A$1:$AN$1,),))/VLOOKUP(A22,Data!$A:$AN,MATCH(yoy!$O$1,Data!$A$1:$AN$1,),))+1)^12-1</f>
        <v/>
      </c>
      <c r="P22" s="14">
        <f>(((VLOOKUP(B22,Data!$A:$AN,MATCH(yoy!$P$1,Data!$A$1:$AN$1,),)-VLOOKUP(A22,Data!$A:$AN,MATCH(yoy!$P$1,Data!$A$1:$AN$1,),))/VLOOKUP(A22,Data!$A:$AN,MATCH(yoy!$P$1,Data!$A$1:$AN$1,),))+1)^12-1</f>
        <v/>
      </c>
      <c r="Q22" s="14">
        <f>(((VLOOKUP(B22,Data!$A:$AN,MATCH(yoy!$Q$1,Data!$A$1:$AN$1,),)-VLOOKUP(A22,Data!$A:$AN,MATCH(yoy!$Q$1,Data!$A$1:$AN$1,),))/VLOOKUP(A22,Data!$A:$AN,MATCH(yoy!$Q$1,Data!$A$1:$AN$1,),))+1)^12-1</f>
        <v/>
      </c>
      <c r="R22" s="14">
        <f>(((VLOOKUP(B22,Data!$A:$AN,MATCH(yoy!$R$1,Data!$A$1:$AN$1,),)-VLOOKUP(A22,Data!$A:$AN,MATCH(yoy!$R$1,Data!$A$1:$AN$1,),))/VLOOKUP(A22,Data!$A:$AN,MATCH(yoy!$R$1,Data!$A$1:$AN$1,),))+1)^12-1</f>
        <v/>
      </c>
      <c r="S22" s="14">
        <f>(((VLOOKUP(B22,Data!$A:$AN,MATCH(yoy!$S$1,Data!$A$1:$AN$1,),)-VLOOKUP(A22,Data!$A:$AN,MATCH(yoy!$S$1,Data!$A$1:$AN$1,),))/VLOOKUP(A22,Data!$A:$AN,MATCH(yoy!$S$1,Data!$A$1:$AN$1,),))+1)^12-1</f>
        <v/>
      </c>
      <c r="T22" s="14">
        <f>(((VLOOKUP(B22,Data!$A:$AN,MATCH(yoy!$T$1,Data!$A$1:$AN$1,),)-VLOOKUP(A22,Data!$A:$AN,MATCH(yoy!$T$1,Data!$A$1:$AN$1,),))/VLOOKUP(A22,Data!$A:$AN,MATCH(yoy!$T$1,Data!$A$1:$AN$1,),))+1)^12-1</f>
        <v/>
      </c>
      <c r="U22" s="14">
        <f>(((VLOOKUP(B22,Data!$A:$AN,MATCH(yoy!$U$1,Data!$A$1:$AN$1,),)-VLOOKUP(A22,Data!$A:$AN,MATCH(yoy!$U$1,Data!$A$1:$AN$1,),))/VLOOKUP(A22,Data!$A:$AN,MATCH(yoy!$U$1,Data!$A$1:$AN$1,),))+1)^12-1</f>
        <v/>
      </c>
      <c r="V22" s="14">
        <f>(((VLOOKUP(B22,Data!$A:$AN,MATCH(yoy!$V$1,Data!$A$1:$AN$1,),)-VLOOKUP(A22,Data!$A:$AN,MATCH(yoy!$V$1,Data!$A$1:$AN$1,),))/VLOOKUP(A22,Data!$A:$AN,MATCH(yoy!$V$1,Data!$A$1:$AN$1,),))+1)^12-1</f>
        <v/>
      </c>
      <c r="W22" s="14">
        <f>(((VLOOKUP(B22,Data!$A:$AN,MATCH(yoy!$W$1,Data!$A$1:$AN$1,),)-VLOOKUP(A22,Data!$A:$AN,MATCH(yoy!$W$1,Data!$A$1:$AN$1,),))/VLOOKUP(A22,Data!$A:$AN,MATCH(yoy!$W$1,Data!$A$1:$AN$1,),))+1)^12-1</f>
        <v/>
      </c>
      <c r="X22" s="14">
        <f>(((VLOOKUP(B22,Data!$A:$AN,MATCH(yoy!$X$1,Data!$A$1:$AN$1,),)-VLOOKUP(A22,Data!$A:$AN,MATCH(yoy!$X$1,Data!$A$1:$AN$1,),))/VLOOKUP(A22,Data!$A:$AN,MATCH(yoy!$X$1,Data!$A$1:$AN$1,),))+1)^12-1</f>
        <v/>
      </c>
      <c r="Y22" s="14">
        <f>(((VLOOKUP(B22,Data!$A:$AN,MATCH(yoy!$Y$1,Data!$A$1:$AN$1,),)-VLOOKUP(A22,Data!$A:$AN,MATCH(yoy!$Y$1,Data!$A$1:$AN$1,),))/VLOOKUP(A22,Data!$A:$AN,MATCH(yoy!$Y$1,Data!$A$1:$AN$1,),))+1)^12-1</f>
        <v/>
      </c>
      <c r="Z22" s="14">
        <f>(((VLOOKUP(B22,Data!$A:$AN,MATCH(yoy!$Z$1,Data!$A$1:$AN$1,),)-VLOOKUP(A22,Data!$A:$AN,MATCH(yoy!$Z$1,Data!$A$1:$AN$1,),))/VLOOKUP(A22,Data!$A:$AN,MATCH(yoy!$Z$1,Data!$A$1:$AN$1,),))+1)^12-1</f>
        <v/>
      </c>
      <c r="AA22" s="14">
        <f>(((VLOOKUP(B22,Data!$A:$AN,MATCH(yoy!$AA$1,Data!$A$1:$AN$1,),)-VLOOKUP(A22,Data!$A:$AN,MATCH(yoy!$AA$1,Data!$A$1:$AN$1,),))/VLOOKUP(A22,Data!$A:$AN,MATCH(yoy!$AA$1,Data!$A$1:$AN$1,),))+1)^12-1</f>
        <v/>
      </c>
    </row>
    <row r="23">
      <c r="A23" s="20">
        <f>DATE(YEAR(B23),MONTH(B23)-1,DAY(B23))</f>
        <v/>
      </c>
      <c r="B23" s="12" t="n">
        <v>42552</v>
      </c>
      <c r="C23" s="14">
        <f>(((VLOOKUP(B23,Data!$A:$AN,MATCH(yoy!$C$1,Data!$A$1:$AN$1,),)-VLOOKUP(A23,Data!$A:$AN,MATCH(yoy!$C$1,Data!$A$1:$AN$1,),))/VLOOKUP(A23,Data!$A:$AN,MATCH(yoy!$C$1,Data!$A$1:$AN$1,),))+1)^12-1</f>
        <v/>
      </c>
      <c r="D23" s="14">
        <f>(((VLOOKUP(B23,Data!$A:$AN,MATCH(yoy!$D$1,Data!$A$1:$AN$1,),)-VLOOKUP(A23,Data!$A:$AN,MATCH(yoy!$D$1,Data!$A$1:$AN$1,),))/VLOOKUP(A23,Data!$A:$AN,MATCH(yoy!$D$1,Data!$A$1:$AN$1,),))+1)^12-1</f>
        <v/>
      </c>
      <c r="E23" s="14">
        <f>(((VLOOKUP(B23,Data!$A:$AN,MATCH(yoy!$E$1,Data!$A$1:$AN$1,),)-VLOOKUP(A23,Data!$A:$AN,MATCH(yoy!$E$1,Data!$A$1:$AN$1,),))/VLOOKUP(A23,Data!$A:$AN,MATCH(yoy!$E$1,Data!$A$1:$AN$1,),))+1)^12-1</f>
        <v/>
      </c>
      <c r="F23" s="14">
        <f>(((VLOOKUP(B23,Data!$A:$AN,MATCH(yoy!$F$1,Data!$A$1:$AN$1,),)-VLOOKUP(A23,Data!$A:$AN,MATCH(yoy!$F$1,Data!$A$1:$AN$1,),))/VLOOKUP(A23,Data!$A:$AN,MATCH(yoy!$F$1,Data!$A$1:$AN$1,),))+1)^12-1</f>
        <v/>
      </c>
      <c r="G23" s="14">
        <f>(((VLOOKUP(B23,Data!$A:$AN,MATCH(yoy!$G$1,Data!$A$1:$AN$1,),)-VLOOKUP(A23,Data!$A:$AN,MATCH(yoy!$G$1,Data!$A$1:$AN$1,),))/VLOOKUP(A23,Data!$A:$AN,MATCH(yoy!$G$1,Data!$A$1:$AN$1,),))+1)^12-1</f>
        <v/>
      </c>
      <c r="H23" s="14">
        <f>(((VLOOKUP(B23,Data!$A:$AN,MATCH(yoy!$H$1,Data!$A$1:$AN$1,),)-VLOOKUP(A23,Data!$A:$AN,MATCH(yoy!$H$1,Data!$A$1:$AN$1,),))/VLOOKUP(A23,Data!$A:$AN,MATCH(yoy!$H$1,Data!$A$1:$AN$1,),))+1)^12-1</f>
        <v/>
      </c>
      <c r="I23" s="14">
        <f>(((VLOOKUP(B23,Data!$A:$AN,MATCH(yoy!$I$1,Data!$A$1:$AN$1,),)-VLOOKUP(A23,Data!$A:$AN,MATCH(yoy!$I$1,Data!$A$1:$AN$1,),))/VLOOKUP(A23,Data!$A:$AN,MATCH(yoy!$I$1,Data!$A$1:$AN$1,),))+1)^12-1</f>
        <v/>
      </c>
      <c r="J23" s="14">
        <f>(((VLOOKUP(B23,Data!$A:$AN,MATCH(yoy!$J$1,Data!$A$1:$AN$1,),)-VLOOKUP(A23,Data!$A:$AN,MATCH(yoy!$J$1,Data!$A$1:$AN$1,),))/VLOOKUP(A23,Data!$A:$AN,MATCH(yoy!$J$1,Data!$A$1:$AN$1,),))+1)^12-1</f>
        <v/>
      </c>
      <c r="K23" s="14">
        <f>(((VLOOKUP(B23,Data!$A:$AN,MATCH(yoy!$K$1,Data!$A$1:$AN$1,),)-VLOOKUP(A23,Data!$A:$AN,MATCH(yoy!$K$1,Data!$A$1:$AN$1,),))/VLOOKUP(A23,Data!$A:$AN,MATCH(yoy!$K$1,Data!$A$1:$AN$1,),))+1)^12-1</f>
        <v/>
      </c>
      <c r="L23" s="14">
        <f>(((VLOOKUP(B23,Data!$A:$AN,MATCH(yoy!$L$1,Data!$A$1:$AN$1,),)-VLOOKUP(A23,Data!$A:$AN,MATCH(yoy!$L$1,Data!$A$1:$AN$1,),))/VLOOKUP(A23,Data!$A:$AN,MATCH(yoy!$L$1,Data!$A$1:$AN$1,),))+1)^12-1</f>
        <v/>
      </c>
      <c r="M23" s="14">
        <f>(((VLOOKUP(B23,Data!$A:$AN,MATCH(yoy!$M$1,Data!$A$1:$AN$1,),)-VLOOKUP(A23,Data!$A:$AN,MATCH(yoy!$M$1,Data!$A$1:$AN$1,),))/VLOOKUP(A23,Data!$A:$AN,MATCH(yoy!$M$1,Data!$A$1:$AN$1,),))+1)^12-1</f>
        <v/>
      </c>
      <c r="N23" s="14">
        <f>(((VLOOKUP(B23,Data!$A:$AN,MATCH(yoy!$N$1,Data!$A$1:$AN$1,),)-VLOOKUP(A23,Data!$A:$AN,MATCH(yoy!$N$1,Data!$A$1:$AN$1,),))/VLOOKUP(A23,Data!$A:$AN,MATCH(yoy!$N$1,Data!$A$1:$AN$1,),))+1)^12-1</f>
        <v/>
      </c>
      <c r="O23" s="14">
        <f>(((VLOOKUP(B23,Data!$A:$AN,MATCH(yoy!$O$1,Data!$A$1:$AN$1,),)-VLOOKUP(A23,Data!$A:$AN,MATCH(yoy!$O$1,Data!$A$1:$AN$1,),))/VLOOKUP(A23,Data!$A:$AN,MATCH(yoy!$O$1,Data!$A$1:$AN$1,),))+1)^12-1</f>
        <v/>
      </c>
      <c r="P23" s="14">
        <f>(((VLOOKUP(B23,Data!$A:$AN,MATCH(yoy!$P$1,Data!$A$1:$AN$1,),)-VLOOKUP(A23,Data!$A:$AN,MATCH(yoy!$P$1,Data!$A$1:$AN$1,),))/VLOOKUP(A23,Data!$A:$AN,MATCH(yoy!$P$1,Data!$A$1:$AN$1,),))+1)^12-1</f>
        <v/>
      </c>
      <c r="Q23" s="14">
        <f>(((VLOOKUP(B23,Data!$A:$AN,MATCH(yoy!$Q$1,Data!$A$1:$AN$1,),)-VLOOKUP(A23,Data!$A:$AN,MATCH(yoy!$Q$1,Data!$A$1:$AN$1,),))/VLOOKUP(A23,Data!$A:$AN,MATCH(yoy!$Q$1,Data!$A$1:$AN$1,),))+1)^12-1</f>
        <v/>
      </c>
      <c r="R23" s="14">
        <f>(((VLOOKUP(B23,Data!$A:$AN,MATCH(yoy!$R$1,Data!$A$1:$AN$1,),)-VLOOKUP(A23,Data!$A:$AN,MATCH(yoy!$R$1,Data!$A$1:$AN$1,),))/VLOOKUP(A23,Data!$A:$AN,MATCH(yoy!$R$1,Data!$A$1:$AN$1,),))+1)^12-1</f>
        <v/>
      </c>
      <c r="S23" s="14">
        <f>(((VLOOKUP(B23,Data!$A:$AN,MATCH(yoy!$S$1,Data!$A$1:$AN$1,),)-VLOOKUP(A23,Data!$A:$AN,MATCH(yoy!$S$1,Data!$A$1:$AN$1,),))/VLOOKUP(A23,Data!$A:$AN,MATCH(yoy!$S$1,Data!$A$1:$AN$1,),))+1)^12-1</f>
        <v/>
      </c>
      <c r="T23" s="14">
        <f>(((VLOOKUP(B23,Data!$A:$AN,MATCH(yoy!$T$1,Data!$A$1:$AN$1,),)-VLOOKUP(A23,Data!$A:$AN,MATCH(yoy!$T$1,Data!$A$1:$AN$1,),))/VLOOKUP(A23,Data!$A:$AN,MATCH(yoy!$T$1,Data!$A$1:$AN$1,),))+1)^12-1</f>
        <v/>
      </c>
      <c r="U23" s="14">
        <f>(((VLOOKUP(B23,Data!$A:$AN,MATCH(yoy!$U$1,Data!$A$1:$AN$1,),)-VLOOKUP(A23,Data!$A:$AN,MATCH(yoy!$U$1,Data!$A$1:$AN$1,),))/VLOOKUP(A23,Data!$A:$AN,MATCH(yoy!$U$1,Data!$A$1:$AN$1,),))+1)^12-1</f>
        <v/>
      </c>
      <c r="V23" s="14">
        <f>(((VLOOKUP(B23,Data!$A:$AN,MATCH(yoy!$V$1,Data!$A$1:$AN$1,),)-VLOOKUP(A23,Data!$A:$AN,MATCH(yoy!$V$1,Data!$A$1:$AN$1,),))/VLOOKUP(A23,Data!$A:$AN,MATCH(yoy!$V$1,Data!$A$1:$AN$1,),))+1)^12-1</f>
        <v/>
      </c>
      <c r="W23" s="14">
        <f>(((VLOOKUP(B23,Data!$A:$AN,MATCH(yoy!$W$1,Data!$A$1:$AN$1,),)-VLOOKUP(A23,Data!$A:$AN,MATCH(yoy!$W$1,Data!$A$1:$AN$1,),))/VLOOKUP(A23,Data!$A:$AN,MATCH(yoy!$W$1,Data!$A$1:$AN$1,),))+1)^12-1</f>
        <v/>
      </c>
      <c r="X23" s="14">
        <f>(((VLOOKUP(B23,Data!$A:$AN,MATCH(yoy!$X$1,Data!$A$1:$AN$1,),)-VLOOKUP(A23,Data!$A:$AN,MATCH(yoy!$X$1,Data!$A$1:$AN$1,),))/VLOOKUP(A23,Data!$A:$AN,MATCH(yoy!$X$1,Data!$A$1:$AN$1,),))+1)^12-1</f>
        <v/>
      </c>
      <c r="Y23" s="14">
        <f>(((VLOOKUP(B23,Data!$A:$AN,MATCH(yoy!$Y$1,Data!$A$1:$AN$1,),)-VLOOKUP(A23,Data!$A:$AN,MATCH(yoy!$Y$1,Data!$A$1:$AN$1,),))/VLOOKUP(A23,Data!$A:$AN,MATCH(yoy!$Y$1,Data!$A$1:$AN$1,),))+1)^12-1</f>
        <v/>
      </c>
      <c r="Z23" s="14">
        <f>(((VLOOKUP(B23,Data!$A:$AN,MATCH(yoy!$Z$1,Data!$A$1:$AN$1,),)-VLOOKUP(A23,Data!$A:$AN,MATCH(yoy!$Z$1,Data!$A$1:$AN$1,),))/VLOOKUP(A23,Data!$A:$AN,MATCH(yoy!$Z$1,Data!$A$1:$AN$1,),))+1)^12-1</f>
        <v/>
      </c>
      <c r="AA23" s="14">
        <f>(((VLOOKUP(B23,Data!$A:$AN,MATCH(yoy!$AA$1,Data!$A$1:$AN$1,),)-VLOOKUP(A23,Data!$A:$AN,MATCH(yoy!$AA$1,Data!$A$1:$AN$1,),))/VLOOKUP(A23,Data!$A:$AN,MATCH(yoy!$AA$1,Data!$A$1:$AN$1,),))+1)^12-1</f>
        <v/>
      </c>
    </row>
    <row r="24">
      <c r="A24" s="20">
        <f>DATE(YEAR(B24),MONTH(B24)-1,DAY(B24))</f>
        <v/>
      </c>
      <c r="B24" s="12" t="n">
        <v>42583</v>
      </c>
      <c r="C24" s="14">
        <f>(((VLOOKUP(B24,Data!$A:$AN,MATCH(yoy!$C$1,Data!$A$1:$AN$1,),)-VLOOKUP(A24,Data!$A:$AN,MATCH(yoy!$C$1,Data!$A$1:$AN$1,),))/VLOOKUP(A24,Data!$A:$AN,MATCH(yoy!$C$1,Data!$A$1:$AN$1,),))+1)^12-1</f>
        <v/>
      </c>
      <c r="D24" s="14">
        <f>(((VLOOKUP(B24,Data!$A:$AN,MATCH(yoy!$D$1,Data!$A$1:$AN$1,),)-VLOOKUP(A24,Data!$A:$AN,MATCH(yoy!$D$1,Data!$A$1:$AN$1,),))/VLOOKUP(A24,Data!$A:$AN,MATCH(yoy!$D$1,Data!$A$1:$AN$1,),))+1)^12-1</f>
        <v/>
      </c>
      <c r="E24" s="14">
        <f>(((VLOOKUP(B24,Data!$A:$AN,MATCH(yoy!$E$1,Data!$A$1:$AN$1,),)-VLOOKUP(A24,Data!$A:$AN,MATCH(yoy!$E$1,Data!$A$1:$AN$1,),))/VLOOKUP(A24,Data!$A:$AN,MATCH(yoy!$E$1,Data!$A$1:$AN$1,),))+1)^12-1</f>
        <v/>
      </c>
      <c r="F24" s="14">
        <f>(((VLOOKUP(B24,Data!$A:$AN,MATCH(yoy!$F$1,Data!$A$1:$AN$1,),)-VLOOKUP(A24,Data!$A:$AN,MATCH(yoy!$F$1,Data!$A$1:$AN$1,),))/VLOOKUP(A24,Data!$A:$AN,MATCH(yoy!$F$1,Data!$A$1:$AN$1,),))+1)^12-1</f>
        <v/>
      </c>
      <c r="G24" s="14">
        <f>(((VLOOKUP(B24,Data!$A:$AN,MATCH(yoy!$G$1,Data!$A$1:$AN$1,),)-VLOOKUP(A24,Data!$A:$AN,MATCH(yoy!$G$1,Data!$A$1:$AN$1,),))/VLOOKUP(A24,Data!$A:$AN,MATCH(yoy!$G$1,Data!$A$1:$AN$1,),))+1)^12-1</f>
        <v/>
      </c>
      <c r="H24" s="14">
        <f>(((VLOOKUP(B24,Data!$A:$AN,MATCH(yoy!$H$1,Data!$A$1:$AN$1,),)-VLOOKUP(A24,Data!$A:$AN,MATCH(yoy!$H$1,Data!$A$1:$AN$1,),))/VLOOKUP(A24,Data!$A:$AN,MATCH(yoy!$H$1,Data!$A$1:$AN$1,),))+1)^12-1</f>
        <v/>
      </c>
      <c r="I24" s="14">
        <f>(((VLOOKUP(B24,Data!$A:$AN,MATCH(yoy!$I$1,Data!$A$1:$AN$1,),)-VLOOKUP(A24,Data!$A:$AN,MATCH(yoy!$I$1,Data!$A$1:$AN$1,),))/VLOOKUP(A24,Data!$A:$AN,MATCH(yoy!$I$1,Data!$A$1:$AN$1,),))+1)^12-1</f>
        <v/>
      </c>
      <c r="J24" s="14">
        <f>(((VLOOKUP(B24,Data!$A:$AN,MATCH(yoy!$J$1,Data!$A$1:$AN$1,),)-VLOOKUP(A24,Data!$A:$AN,MATCH(yoy!$J$1,Data!$A$1:$AN$1,),))/VLOOKUP(A24,Data!$A:$AN,MATCH(yoy!$J$1,Data!$A$1:$AN$1,),))+1)^12-1</f>
        <v/>
      </c>
      <c r="K24" s="14">
        <f>(((VLOOKUP(B24,Data!$A:$AN,MATCH(yoy!$K$1,Data!$A$1:$AN$1,),)-VLOOKUP(A24,Data!$A:$AN,MATCH(yoy!$K$1,Data!$A$1:$AN$1,),))/VLOOKUP(A24,Data!$A:$AN,MATCH(yoy!$K$1,Data!$A$1:$AN$1,),))+1)^12-1</f>
        <v/>
      </c>
      <c r="L24" s="14">
        <f>(((VLOOKUP(B24,Data!$A:$AN,MATCH(yoy!$L$1,Data!$A$1:$AN$1,),)-VLOOKUP(A24,Data!$A:$AN,MATCH(yoy!$L$1,Data!$A$1:$AN$1,),))/VLOOKUP(A24,Data!$A:$AN,MATCH(yoy!$L$1,Data!$A$1:$AN$1,),))+1)^12-1</f>
        <v/>
      </c>
      <c r="M24" s="14">
        <f>(((VLOOKUP(B24,Data!$A:$AN,MATCH(yoy!$M$1,Data!$A$1:$AN$1,),)-VLOOKUP(A24,Data!$A:$AN,MATCH(yoy!$M$1,Data!$A$1:$AN$1,),))/VLOOKUP(A24,Data!$A:$AN,MATCH(yoy!$M$1,Data!$A$1:$AN$1,),))+1)^12-1</f>
        <v/>
      </c>
      <c r="N24" s="14">
        <f>(((VLOOKUP(B24,Data!$A:$AN,MATCH(yoy!$N$1,Data!$A$1:$AN$1,),)-VLOOKUP(A24,Data!$A:$AN,MATCH(yoy!$N$1,Data!$A$1:$AN$1,),))/VLOOKUP(A24,Data!$A:$AN,MATCH(yoy!$N$1,Data!$A$1:$AN$1,),))+1)^12-1</f>
        <v/>
      </c>
      <c r="O24" s="14">
        <f>(((VLOOKUP(B24,Data!$A:$AN,MATCH(yoy!$O$1,Data!$A$1:$AN$1,),)-VLOOKUP(A24,Data!$A:$AN,MATCH(yoy!$O$1,Data!$A$1:$AN$1,),))/VLOOKUP(A24,Data!$A:$AN,MATCH(yoy!$O$1,Data!$A$1:$AN$1,),))+1)^12-1</f>
        <v/>
      </c>
      <c r="P24" s="14">
        <f>(((VLOOKUP(B24,Data!$A:$AN,MATCH(yoy!$P$1,Data!$A$1:$AN$1,),)-VLOOKUP(A24,Data!$A:$AN,MATCH(yoy!$P$1,Data!$A$1:$AN$1,),))/VLOOKUP(A24,Data!$A:$AN,MATCH(yoy!$P$1,Data!$A$1:$AN$1,),))+1)^12-1</f>
        <v/>
      </c>
      <c r="Q24" s="14">
        <f>(((VLOOKUP(B24,Data!$A:$AN,MATCH(yoy!$Q$1,Data!$A$1:$AN$1,),)-VLOOKUP(A24,Data!$A:$AN,MATCH(yoy!$Q$1,Data!$A$1:$AN$1,),))/VLOOKUP(A24,Data!$A:$AN,MATCH(yoy!$Q$1,Data!$A$1:$AN$1,),))+1)^12-1</f>
        <v/>
      </c>
      <c r="R24" s="14">
        <f>(((VLOOKUP(B24,Data!$A:$AN,MATCH(yoy!$R$1,Data!$A$1:$AN$1,),)-VLOOKUP(A24,Data!$A:$AN,MATCH(yoy!$R$1,Data!$A$1:$AN$1,),))/VLOOKUP(A24,Data!$A:$AN,MATCH(yoy!$R$1,Data!$A$1:$AN$1,),))+1)^12-1</f>
        <v/>
      </c>
      <c r="S24" s="14">
        <f>(((VLOOKUP(B24,Data!$A:$AN,MATCH(yoy!$S$1,Data!$A$1:$AN$1,),)-VLOOKUP(A24,Data!$A:$AN,MATCH(yoy!$S$1,Data!$A$1:$AN$1,),))/VLOOKUP(A24,Data!$A:$AN,MATCH(yoy!$S$1,Data!$A$1:$AN$1,),))+1)^12-1</f>
        <v/>
      </c>
      <c r="T24" s="14">
        <f>(((VLOOKUP(B24,Data!$A:$AN,MATCH(yoy!$T$1,Data!$A$1:$AN$1,),)-VLOOKUP(A24,Data!$A:$AN,MATCH(yoy!$T$1,Data!$A$1:$AN$1,),))/VLOOKUP(A24,Data!$A:$AN,MATCH(yoy!$T$1,Data!$A$1:$AN$1,),))+1)^12-1</f>
        <v/>
      </c>
      <c r="U24" s="14">
        <f>(((VLOOKUP(B24,Data!$A:$AN,MATCH(yoy!$U$1,Data!$A$1:$AN$1,),)-VLOOKUP(A24,Data!$A:$AN,MATCH(yoy!$U$1,Data!$A$1:$AN$1,),))/VLOOKUP(A24,Data!$A:$AN,MATCH(yoy!$U$1,Data!$A$1:$AN$1,),))+1)^12-1</f>
        <v/>
      </c>
      <c r="V24" s="14">
        <f>(((VLOOKUP(B24,Data!$A:$AN,MATCH(yoy!$V$1,Data!$A$1:$AN$1,),)-VLOOKUP(A24,Data!$A:$AN,MATCH(yoy!$V$1,Data!$A$1:$AN$1,),))/VLOOKUP(A24,Data!$A:$AN,MATCH(yoy!$V$1,Data!$A$1:$AN$1,),))+1)^12-1</f>
        <v/>
      </c>
      <c r="W24" s="14">
        <f>(((VLOOKUP(B24,Data!$A:$AN,MATCH(yoy!$W$1,Data!$A$1:$AN$1,),)-VLOOKUP(A24,Data!$A:$AN,MATCH(yoy!$W$1,Data!$A$1:$AN$1,),))/VLOOKUP(A24,Data!$A:$AN,MATCH(yoy!$W$1,Data!$A$1:$AN$1,),))+1)^12-1</f>
        <v/>
      </c>
      <c r="X24" s="14">
        <f>(((VLOOKUP(B24,Data!$A:$AN,MATCH(yoy!$X$1,Data!$A$1:$AN$1,),)-VLOOKUP(A24,Data!$A:$AN,MATCH(yoy!$X$1,Data!$A$1:$AN$1,),))/VLOOKUP(A24,Data!$A:$AN,MATCH(yoy!$X$1,Data!$A$1:$AN$1,),))+1)^12-1</f>
        <v/>
      </c>
      <c r="Y24" s="14">
        <f>(((VLOOKUP(B24,Data!$A:$AN,MATCH(yoy!$Y$1,Data!$A$1:$AN$1,),)-VLOOKUP(A24,Data!$A:$AN,MATCH(yoy!$Y$1,Data!$A$1:$AN$1,),))/VLOOKUP(A24,Data!$A:$AN,MATCH(yoy!$Y$1,Data!$A$1:$AN$1,),))+1)^12-1</f>
        <v/>
      </c>
      <c r="Z24" s="14">
        <f>(((VLOOKUP(B24,Data!$A:$AN,MATCH(yoy!$Z$1,Data!$A$1:$AN$1,),)-VLOOKUP(A24,Data!$A:$AN,MATCH(yoy!$Z$1,Data!$A$1:$AN$1,),))/VLOOKUP(A24,Data!$A:$AN,MATCH(yoy!$Z$1,Data!$A$1:$AN$1,),))+1)^12-1</f>
        <v/>
      </c>
      <c r="AA24" s="14">
        <f>(((VLOOKUP(B24,Data!$A:$AN,MATCH(yoy!$AA$1,Data!$A$1:$AN$1,),)-VLOOKUP(A24,Data!$A:$AN,MATCH(yoy!$AA$1,Data!$A$1:$AN$1,),))/VLOOKUP(A24,Data!$A:$AN,MATCH(yoy!$AA$1,Data!$A$1:$AN$1,),))+1)^12-1</f>
        <v/>
      </c>
    </row>
    <row r="25">
      <c r="A25" s="20">
        <f>DATE(YEAR(B25),MONTH(B25)-1,DAY(B25))</f>
        <v/>
      </c>
      <c r="B25" s="12" t="n">
        <v>42614</v>
      </c>
      <c r="C25" s="14">
        <f>(((VLOOKUP(B25,Data!$A:$AN,MATCH(yoy!$C$1,Data!$A$1:$AN$1,),)-VLOOKUP(A25,Data!$A:$AN,MATCH(yoy!$C$1,Data!$A$1:$AN$1,),))/VLOOKUP(A25,Data!$A:$AN,MATCH(yoy!$C$1,Data!$A$1:$AN$1,),))+1)^12-1</f>
        <v/>
      </c>
      <c r="D25" s="14">
        <f>(((VLOOKUP(B25,Data!$A:$AN,MATCH(yoy!$D$1,Data!$A$1:$AN$1,),)-VLOOKUP(A25,Data!$A:$AN,MATCH(yoy!$D$1,Data!$A$1:$AN$1,),))/VLOOKUP(A25,Data!$A:$AN,MATCH(yoy!$D$1,Data!$A$1:$AN$1,),))+1)^12-1</f>
        <v/>
      </c>
      <c r="E25" s="14">
        <f>(((VLOOKUP(B25,Data!$A:$AN,MATCH(yoy!$E$1,Data!$A$1:$AN$1,),)-VLOOKUP(A25,Data!$A:$AN,MATCH(yoy!$E$1,Data!$A$1:$AN$1,),))/VLOOKUP(A25,Data!$A:$AN,MATCH(yoy!$E$1,Data!$A$1:$AN$1,),))+1)^12-1</f>
        <v/>
      </c>
      <c r="F25" s="14">
        <f>(((VLOOKUP(B25,Data!$A:$AN,MATCH(yoy!$F$1,Data!$A$1:$AN$1,),)-VLOOKUP(A25,Data!$A:$AN,MATCH(yoy!$F$1,Data!$A$1:$AN$1,),))/VLOOKUP(A25,Data!$A:$AN,MATCH(yoy!$F$1,Data!$A$1:$AN$1,),))+1)^12-1</f>
        <v/>
      </c>
      <c r="G25" s="14">
        <f>(((VLOOKUP(B25,Data!$A:$AN,MATCH(yoy!$G$1,Data!$A$1:$AN$1,),)-VLOOKUP(A25,Data!$A:$AN,MATCH(yoy!$G$1,Data!$A$1:$AN$1,),))/VLOOKUP(A25,Data!$A:$AN,MATCH(yoy!$G$1,Data!$A$1:$AN$1,),))+1)^12-1</f>
        <v/>
      </c>
      <c r="H25" s="14">
        <f>(((VLOOKUP(B25,Data!$A:$AN,MATCH(yoy!$H$1,Data!$A$1:$AN$1,),)-VLOOKUP(A25,Data!$A:$AN,MATCH(yoy!$H$1,Data!$A$1:$AN$1,),))/VLOOKUP(A25,Data!$A:$AN,MATCH(yoy!$H$1,Data!$A$1:$AN$1,),))+1)^12-1</f>
        <v/>
      </c>
      <c r="I25" s="14">
        <f>(((VLOOKUP(B25,Data!$A:$AN,MATCH(yoy!$I$1,Data!$A$1:$AN$1,),)-VLOOKUP(A25,Data!$A:$AN,MATCH(yoy!$I$1,Data!$A$1:$AN$1,),))/VLOOKUP(A25,Data!$A:$AN,MATCH(yoy!$I$1,Data!$A$1:$AN$1,),))+1)^12-1</f>
        <v/>
      </c>
      <c r="J25" s="14">
        <f>(((VLOOKUP(B25,Data!$A:$AN,MATCH(yoy!$J$1,Data!$A$1:$AN$1,),)-VLOOKUP(A25,Data!$A:$AN,MATCH(yoy!$J$1,Data!$A$1:$AN$1,),))/VLOOKUP(A25,Data!$A:$AN,MATCH(yoy!$J$1,Data!$A$1:$AN$1,),))+1)^12-1</f>
        <v/>
      </c>
      <c r="K25" s="14">
        <f>(((VLOOKUP(B25,Data!$A:$AN,MATCH(yoy!$K$1,Data!$A$1:$AN$1,),)-VLOOKUP(A25,Data!$A:$AN,MATCH(yoy!$K$1,Data!$A$1:$AN$1,),))/VLOOKUP(A25,Data!$A:$AN,MATCH(yoy!$K$1,Data!$A$1:$AN$1,),))+1)^12-1</f>
        <v/>
      </c>
      <c r="L25" s="14">
        <f>(((VLOOKUP(B25,Data!$A:$AN,MATCH(yoy!$L$1,Data!$A$1:$AN$1,),)-VLOOKUP(A25,Data!$A:$AN,MATCH(yoy!$L$1,Data!$A$1:$AN$1,),))/VLOOKUP(A25,Data!$A:$AN,MATCH(yoy!$L$1,Data!$A$1:$AN$1,),))+1)^12-1</f>
        <v/>
      </c>
      <c r="M25" s="14">
        <f>(((VLOOKUP(B25,Data!$A:$AN,MATCH(yoy!$M$1,Data!$A$1:$AN$1,),)-VLOOKUP(A25,Data!$A:$AN,MATCH(yoy!$M$1,Data!$A$1:$AN$1,),))/VLOOKUP(A25,Data!$A:$AN,MATCH(yoy!$M$1,Data!$A$1:$AN$1,),))+1)^12-1</f>
        <v/>
      </c>
      <c r="N25" s="14">
        <f>(((VLOOKUP(B25,Data!$A:$AN,MATCH(yoy!$N$1,Data!$A$1:$AN$1,),)-VLOOKUP(A25,Data!$A:$AN,MATCH(yoy!$N$1,Data!$A$1:$AN$1,),))/VLOOKUP(A25,Data!$A:$AN,MATCH(yoy!$N$1,Data!$A$1:$AN$1,),))+1)^12-1</f>
        <v/>
      </c>
      <c r="O25" s="14">
        <f>(((VLOOKUP(B25,Data!$A:$AN,MATCH(yoy!$O$1,Data!$A$1:$AN$1,),)-VLOOKUP(A25,Data!$A:$AN,MATCH(yoy!$O$1,Data!$A$1:$AN$1,),))/VLOOKUP(A25,Data!$A:$AN,MATCH(yoy!$O$1,Data!$A$1:$AN$1,),))+1)^12-1</f>
        <v/>
      </c>
      <c r="P25" s="14">
        <f>(((VLOOKUP(B25,Data!$A:$AN,MATCH(yoy!$P$1,Data!$A$1:$AN$1,),)-VLOOKUP(A25,Data!$A:$AN,MATCH(yoy!$P$1,Data!$A$1:$AN$1,),))/VLOOKUP(A25,Data!$A:$AN,MATCH(yoy!$P$1,Data!$A$1:$AN$1,),))+1)^12-1</f>
        <v/>
      </c>
      <c r="Q25" s="14">
        <f>(((VLOOKUP(B25,Data!$A:$AN,MATCH(yoy!$Q$1,Data!$A$1:$AN$1,),)-VLOOKUP(A25,Data!$A:$AN,MATCH(yoy!$Q$1,Data!$A$1:$AN$1,),))/VLOOKUP(A25,Data!$A:$AN,MATCH(yoy!$Q$1,Data!$A$1:$AN$1,),))+1)^12-1</f>
        <v/>
      </c>
      <c r="R25" s="14">
        <f>(((VLOOKUP(B25,Data!$A:$AN,MATCH(yoy!$R$1,Data!$A$1:$AN$1,),)-VLOOKUP(A25,Data!$A:$AN,MATCH(yoy!$R$1,Data!$A$1:$AN$1,),))/VLOOKUP(A25,Data!$A:$AN,MATCH(yoy!$R$1,Data!$A$1:$AN$1,),))+1)^12-1</f>
        <v/>
      </c>
      <c r="S25" s="14">
        <f>(((VLOOKUP(B25,Data!$A:$AN,MATCH(yoy!$S$1,Data!$A$1:$AN$1,),)-VLOOKUP(A25,Data!$A:$AN,MATCH(yoy!$S$1,Data!$A$1:$AN$1,),))/VLOOKUP(A25,Data!$A:$AN,MATCH(yoy!$S$1,Data!$A$1:$AN$1,),))+1)^12-1</f>
        <v/>
      </c>
      <c r="T25" s="14">
        <f>(((VLOOKUP(B25,Data!$A:$AN,MATCH(yoy!$T$1,Data!$A$1:$AN$1,),)-VLOOKUP(A25,Data!$A:$AN,MATCH(yoy!$T$1,Data!$A$1:$AN$1,),))/VLOOKUP(A25,Data!$A:$AN,MATCH(yoy!$T$1,Data!$A$1:$AN$1,),))+1)^12-1</f>
        <v/>
      </c>
      <c r="U25" s="14">
        <f>(((VLOOKUP(B25,Data!$A:$AN,MATCH(yoy!$U$1,Data!$A$1:$AN$1,),)-VLOOKUP(A25,Data!$A:$AN,MATCH(yoy!$U$1,Data!$A$1:$AN$1,),))/VLOOKUP(A25,Data!$A:$AN,MATCH(yoy!$U$1,Data!$A$1:$AN$1,),))+1)^12-1</f>
        <v/>
      </c>
      <c r="V25" s="14">
        <f>(((VLOOKUP(B25,Data!$A:$AN,MATCH(yoy!$V$1,Data!$A$1:$AN$1,),)-VLOOKUP(A25,Data!$A:$AN,MATCH(yoy!$V$1,Data!$A$1:$AN$1,),))/VLOOKUP(A25,Data!$A:$AN,MATCH(yoy!$V$1,Data!$A$1:$AN$1,),))+1)^12-1</f>
        <v/>
      </c>
      <c r="W25" s="14">
        <f>(((VLOOKUP(B25,Data!$A:$AN,MATCH(yoy!$W$1,Data!$A$1:$AN$1,),)-VLOOKUP(A25,Data!$A:$AN,MATCH(yoy!$W$1,Data!$A$1:$AN$1,),))/VLOOKUP(A25,Data!$A:$AN,MATCH(yoy!$W$1,Data!$A$1:$AN$1,),))+1)^12-1</f>
        <v/>
      </c>
      <c r="X25" s="14">
        <f>(((VLOOKUP(B25,Data!$A:$AN,MATCH(yoy!$X$1,Data!$A$1:$AN$1,),)-VLOOKUP(A25,Data!$A:$AN,MATCH(yoy!$X$1,Data!$A$1:$AN$1,),))/VLOOKUP(A25,Data!$A:$AN,MATCH(yoy!$X$1,Data!$A$1:$AN$1,),))+1)^12-1</f>
        <v/>
      </c>
      <c r="Y25" s="14">
        <f>(((VLOOKUP(B25,Data!$A:$AN,MATCH(yoy!$Y$1,Data!$A$1:$AN$1,),)-VLOOKUP(A25,Data!$A:$AN,MATCH(yoy!$Y$1,Data!$A$1:$AN$1,),))/VLOOKUP(A25,Data!$A:$AN,MATCH(yoy!$Y$1,Data!$A$1:$AN$1,),))+1)^12-1</f>
        <v/>
      </c>
      <c r="Z25" s="14">
        <f>(((VLOOKUP(B25,Data!$A:$AN,MATCH(yoy!$Z$1,Data!$A$1:$AN$1,),)-VLOOKUP(A25,Data!$A:$AN,MATCH(yoy!$Z$1,Data!$A$1:$AN$1,),))/VLOOKUP(A25,Data!$A:$AN,MATCH(yoy!$Z$1,Data!$A$1:$AN$1,),))+1)^12-1</f>
        <v/>
      </c>
      <c r="AA25" s="14">
        <f>(((VLOOKUP(B25,Data!$A:$AN,MATCH(yoy!$AA$1,Data!$A$1:$AN$1,),)-VLOOKUP(A25,Data!$A:$AN,MATCH(yoy!$AA$1,Data!$A$1:$AN$1,),))/VLOOKUP(A25,Data!$A:$AN,MATCH(yoy!$AA$1,Data!$A$1:$AN$1,),))+1)^12-1</f>
        <v/>
      </c>
    </row>
    <row r="26">
      <c r="A26" s="20">
        <f>DATE(YEAR(B26),MONTH(B26)-1,DAY(B26))</f>
        <v/>
      </c>
      <c r="B26" s="12" t="n">
        <v>42644</v>
      </c>
      <c r="C26" s="14">
        <f>(((VLOOKUP(B26,Data!$A:$AN,MATCH(yoy!$C$1,Data!$A$1:$AN$1,),)-VLOOKUP(A26,Data!$A:$AN,MATCH(yoy!$C$1,Data!$A$1:$AN$1,),))/VLOOKUP(A26,Data!$A:$AN,MATCH(yoy!$C$1,Data!$A$1:$AN$1,),))+1)^12-1</f>
        <v/>
      </c>
      <c r="D26" s="14">
        <f>(((VLOOKUP(B26,Data!$A:$AN,MATCH(yoy!$D$1,Data!$A$1:$AN$1,),)-VLOOKUP(A26,Data!$A:$AN,MATCH(yoy!$D$1,Data!$A$1:$AN$1,),))/VLOOKUP(A26,Data!$A:$AN,MATCH(yoy!$D$1,Data!$A$1:$AN$1,),))+1)^12-1</f>
        <v/>
      </c>
      <c r="E26" s="14">
        <f>(((VLOOKUP(B26,Data!$A:$AN,MATCH(yoy!$E$1,Data!$A$1:$AN$1,),)-VLOOKUP(A26,Data!$A:$AN,MATCH(yoy!$E$1,Data!$A$1:$AN$1,),))/VLOOKUP(A26,Data!$A:$AN,MATCH(yoy!$E$1,Data!$A$1:$AN$1,),))+1)^12-1</f>
        <v/>
      </c>
      <c r="F26" s="14">
        <f>(((VLOOKUP(B26,Data!$A:$AN,MATCH(yoy!$F$1,Data!$A$1:$AN$1,),)-VLOOKUP(A26,Data!$A:$AN,MATCH(yoy!$F$1,Data!$A$1:$AN$1,),))/VLOOKUP(A26,Data!$A:$AN,MATCH(yoy!$F$1,Data!$A$1:$AN$1,),))+1)^12-1</f>
        <v/>
      </c>
      <c r="G26" s="14">
        <f>(((VLOOKUP(B26,Data!$A:$AN,MATCH(yoy!$G$1,Data!$A$1:$AN$1,),)-VLOOKUP(A26,Data!$A:$AN,MATCH(yoy!$G$1,Data!$A$1:$AN$1,),))/VLOOKUP(A26,Data!$A:$AN,MATCH(yoy!$G$1,Data!$A$1:$AN$1,),))+1)^12-1</f>
        <v/>
      </c>
      <c r="H26" s="14">
        <f>(((VLOOKUP(B26,Data!$A:$AN,MATCH(yoy!$H$1,Data!$A$1:$AN$1,),)-VLOOKUP(A26,Data!$A:$AN,MATCH(yoy!$H$1,Data!$A$1:$AN$1,),))/VLOOKUP(A26,Data!$A:$AN,MATCH(yoy!$H$1,Data!$A$1:$AN$1,),))+1)^12-1</f>
        <v/>
      </c>
      <c r="I26" s="14">
        <f>(((VLOOKUP(B26,Data!$A:$AN,MATCH(yoy!$I$1,Data!$A$1:$AN$1,),)-VLOOKUP(A26,Data!$A:$AN,MATCH(yoy!$I$1,Data!$A$1:$AN$1,),))/VLOOKUP(A26,Data!$A:$AN,MATCH(yoy!$I$1,Data!$A$1:$AN$1,),))+1)^12-1</f>
        <v/>
      </c>
      <c r="J26" s="14">
        <f>(((VLOOKUP(B26,Data!$A:$AN,MATCH(yoy!$J$1,Data!$A$1:$AN$1,),)-VLOOKUP(A26,Data!$A:$AN,MATCH(yoy!$J$1,Data!$A$1:$AN$1,),))/VLOOKUP(A26,Data!$A:$AN,MATCH(yoy!$J$1,Data!$A$1:$AN$1,),))+1)^12-1</f>
        <v/>
      </c>
      <c r="K26" s="14">
        <f>(((VLOOKUP(B26,Data!$A:$AN,MATCH(yoy!$K$1,Data!$A$1:$AN$1,),)-VLOOKUP(A26,Data!$A:$AN,MATCH(yoy!$K$1,Data!$A$1:$AN$1,),))/VLOOKUP(A26,Data!$A:$AN,MATCH(yoy!$K$1,Data!$A$1:$AN$1,),))+1)^12-1</f>
        <v/>
      </c>
      <c r="L26" s="14">
        <f>(((VLOOKUP(B26,Data!$A:$AN,MATCH(yoy!$L$1,Data!$A$1:$AN$1,),)-VLOOKUP(A26,Data!$A:$AN,MATCH(yoy!$L$1,Data!$A$1:$AN$1,),))/VLOOKUP(A26,Data!$A:$AN,MATCH(yoy!$L$1,Data!$A$1:$AN$1,),))+1)^12-1</f>
        <v/>
      </c>
      <c r="M26" s="14">
        <f>(((VLOOKUP(B26,Data!$A:$AN,MATCH(yoy!$M$1,Data!$A$1:$AN$1,),)-VLOOKUP(A26,Data!$A:$AN,MATCH(yoy!$M$1,Data!$A$1:$AN$1,),))/VLOOKUP(A26,Data!$A:$AN,MATCH(yoy!$M$1,Data!$A$1:$AN$1,),))+1)^12-1</f>
        <v/>
      </c>
      <c r="N26" s="14">
        <f>(((VLOOKUP(B26,Data!$A:$AN,MATCH(yoy!$N$1,Data!$A$1:$AN$1,),)-VLOOKUP(A26,Data!$A:$AN,MATCH(yoy!$N$1,Data!$A$1:$AN$1,),))/VLOOKUP(A26,Data!$A:$AN,MATCH(yoy!$N$1,Data!$A$1:$AN$1,),))+1)^12-1</f>
        <v/>
      </c>
      <c r="O26" s="14">
        <f>(((VLOOKUP(B26,Data!$A:$AN,MATCH(yoy!$O$1,Data!$A$1:$AN$1,),)-VLOOKUP(A26,Data!$A:$AN,MATCH(yoy!$O$1,Data!$A$1:$AN$1,),))/VLOOKUP(A26,Data!$A:$AN,MATCH(yoy!$O$1,Data!$A$1:$AN$1,),))+1)^12-1</f>
        <v/>
      </c>
      <c r="P26" s="14">
        <f>(((VLOOKUP(B26,Data!$A:$AN,MATCH(yoy!$P$1,Data!$A$1:$AN$1,),)-VLOOKUP(A26,Data!$A:$AN,MATCH(yoy!$P$1,Data!$A$1:$AN$1,),))/VLOOKUP(A26,Data!$A:$AN,MATCH(yoy!$P$1,Data!$A$1:$AN$1,),))+1)^12-1</f>
        <v/>
      </c>
      <c r="Q26" s="14">
        <f>(((VLOOKUP(B26,Data!$A:$AN,MATCH(yoy!$Q$1,Data!$A$1:$AN$1,),)-VLOOKUP(A26,Data!$A:$AN,MATCH(yoy!$Q$1,Data!$A$1:$AN$1,),))/VLOOKUP(A26,Data!$A:$AN,MATCH(yoy!$Q$1,Data!$A$1:$AN$1,),))+1)^12-1</f>
        <v/>
      </c>
      <c r="R26" s="14">
        <f>(((VLOOKUP(B26,Data!$A:$AN,MATCH(yoy!$R$1,Data!$A$1:$AN$1,),)-VLOOKUP(A26,Data!$A:$AN,MATCH(yoy!$R$1,Data!$A$1:$AN$1,),))/VLOOKUP(A26,Data!$A:$AN,MATCH(yoy!$R$1,Data!$A$1:$AN$1,),))+1)^12-1</f>
        <v/>
      </c>
      <c r="S26" s="14">
        <f>(((VLOOKUP(B26,Data!$A:$AN,MATCH(yoy!$S$1,Data!$A$1:$AN$1,),)-VLOOKUP(A26,Data!$A:$AN,MATCH(yoy!$S$1,Data!$A$1:$AN$1,),))/VLOOKUP(A26,Data!$A:$AN,MATCH(yoy!$S$1,Data!$A$1:$AN$1,),))+1)^12-1</f>
        <v/>
      </c>
      <c r="T26" s="14">
        <f>(((VLOOKUP(B26,Data!$A:$AN,MATCH(yoy!$T$1,Data!$A$1:$AN$1,),)-VLOOKUP(A26,Data!$A:$AN,MATCH(yoy!$T$1,Data!$A$1:$AN$1,),))/VLOOKUP(A26,Data!$A:$AN,MATCH(yoy!$T$1,Data!$A$1:$AN$1,),))+1)^12-1</f>
        <v/>
      </c>
      <c r="U26" s="14">
        <f>(((VLOOKUP(B26,Data!$A:$AN,MATCH(yoy!$U$1,Data!$A$1:$AN$1,),)-VLOOKUP(A26,Data!$A:$AN,MATCH(yoy!$U$1,Data!$A$1:$AN$1,),))/VLOOKUP(A26,Data!$A:$AN,MATCH(yoy!$U$1,Data!$A$1:$AN$1,),))+1)^12-1</f>
        <v/>
      </c>
      <c r="V26" s="14">
        <f>(((VLOOKUP(B26,Data!$A:$AN,MATCH(yoy!$V$1,Data!$A$1:$AN$1,),)-VLOOKUP(A26,Data!$A:$AN,MATCH(yoy!$V$1,Data!$A$1:$AN$1,),))/VLOOKUP(A26,Data!$A:$AN,MATCH(yoy!$V$1,Data!$A$1:$AN$1,),))+1)^12-1</f>
        <v/>
      </c>
      <c r="W26" s="14">
        <f>(((VLOOKUP(B26,Data!$A:$AN,MATCH(yoy!$W$1,Data!$A$1:$AN$1,),)-VLOOKUP(A26,Data!$A:$AN,MATCH(yoy!$W$1,Data!$A$1:$AN$1,),))/VLOOKUP(A26,Data!$A:$AN,MATCH(yoy!$W$1,Data!$A$1:$AN$1,),))+1)^12-1</f>
        <v/>
      </c>
      <c r="X26" s="14">
        <f>(((VLOOKUP(B26,Data!$A:$AN,MATCH(yoy!$X$1,Data!$A$1:$AN$1,),)-VLOOKUP(A26,Data!$A:$AN,MATCH(yoy!$X$1,Data!$A$1:$AN$1,),))/VLOOKUP(A26,Data!$A:$AN,MATCH(yoy!$X$1,Data!$A$1:$AN$1,),))+1)^12-1</f>
        <v/>
      </c>
      <c r="Y26" s="14">
        <f>(((VLOOKUP(B26,Data!$A:$AN,MATCH(yoy!$Y$1,Data!$A$1:$AN$1,),)-VLOOKUP(A26,Data!$A:$AN,MATCH(yoy!$Y$1,Data!$A$1:$AN$1,),))/VLOOKUP(A26,Data!$A:$AN,MATCH(yoy!$Y$1,Data!$A$1:$AN$1,),))+1)^12-1</f>
        <v/>
      </c>
      <c r="Z26" s="14">
        <f>(((VLOOKUP(B26,Data!$A:$AN,MATCH(yoy!$Z$1,Data!$A$1:$AN$1,),)-VLOOKUP(A26,Data!$A:$AN,MATCH(yoy!$Z$1,Data!$A$1:$AN$1,),))/VLOOKUP(A26,Data!$A:$AN,MATCH(yoy!$Z$1,Data!$A$1:$AN$1,),))+1)^12-1</f>
        <v/>
      </c>
      <c r="AA26" s="14">
        <f>(((VLOOKUP(B26,Data!$A:$AN,MATCH(yoy!$AA$1,Data!$A$1:$AN$1,),)-VLOOKUP(A26,Data!$A:$AN,MATCH(yoy!$AA$1,Data!$A$1:$AN$1,),))/VLOOKUP(A26,Data!$A:$AN,MATCH(yoy!$AA$1,Data!$A$1:$AN$1,),))+1)^12-1</f>
        <v/>
      </c>
    </row>
    <row r="27">
      <c r="A27" s="20">
        <f>DATE(YEAR(B27),MONTH(B27)-1,DAY(B27))</f>
        <v/>
      </c>
      <c r="B27" s="12" t="n">
        <v>42675</v>
      </c>
      <c r="C27" s="14">
        <f>(((VLOOKUP(B27,Data!$A:$AN,MATCH(yoy!$C$1,Data!$A$1:$AN$1,),)-VLOOKUP(A27,Data!$A:$AN,MATCH(yoy!$C$1,Data!$A$1:$AN$1,),))/VLOOKUP(A27,Data!$A:$AN,MATCH(yoy!$C$1,Data!$A$1:$AN$1,),))+1)^12-1</f>
        <v/>
      </c>
      <c r="D27" s="14">
        <f>(((VLOOKUP(B27,Data!$A:$AN,MATCH(yoy!$D$1,Data!$A$1:$AN$1,),)-VLOOKUP(A27,Data!$A:$AN,MATCH(yoy!$D$1,Data!$A$1:$AN$1,),))/VLOOKUP(A27,Data!$A:$AN,MATCH(yoy!$D$1,Data!$A$1:$AN$1,),))+1)^12-1</f>
        <v/>
      </c>
      <c r="E27" s="14">
        <f>(((VLOOKUP(B27,Data!$A:$AN,MATCH(yoy!$E$1,Data!$A$1:$AN$1,),)-VLOOKUP(A27,Data!$A:$AN,MATCH(yoy!$E$1,Data!$A$1:$AN$1,),))/VLOOKUP(A27,Data!$A:$AN,MATCH(yoy!$E$1,Data!$A$1:$AN$1,),))+1)^12-1</f>
        <v/>
      </c>
      <c r="F27" s="14">
        <f>(((VLOOKUP(B27,Data!$A:$AN,MATCH(yoy!$F$1,Data!$A$1:$AN$1,),)-VLOOKUP(A27,Data!$A:$AN,MATCH(yoy!$F$1,Data!$A$1:$AN$1,),))/VLOOKUP(A27,Data!$A:$AN,MATCH(yoy!$F$1,Data!$A$1:$AN$1,),))+1)^12-1</f>
        <v/>
      </c>
      <c r="G27" s="14">
        <f>(((VLOOKUP(B27,Data!$A:$AN,MATCH(yoy!$G$1,Data!$A$1:$AN$1,),)-VLOOKUP(A27,Data!$A:$AN,MATCH(yoy!$G$1,Data!$A$1:$AN$1,),))/VLOOKUP(A27,Data!$A:$AN,MATCH(yoy!$G$1,Data!$A$1:$AN$1,),))+1)^12-1</f>
        <v/>
      </c>
      <c r="H27" s="14">
        <f>(((VLOOKUP(B27,Data!$A:$AN,MATCH(yoy!$H$1,Data!$A$1:$AN$1,),)-VLOOKUP(A27,Data!$A:$AN,MATCH(yoy!$H$1,Data!$A$1:$AN$1,),))/VLOOKUP(A27,Data!$A:$AN,MATCH(yoy!$H$1,Data!$A$1:$AN$1,),))+1)^12-1</f>
        <v/>
      </c>
      <c r="I27" s="14">
        <f>(((VLOOKUP(B27,Data!$A:$AN,MATCH(yoy!$I$1,Data!$A$1:$AN$1,),)-VLOOKUP(A27,Data!$A:$AN,MATCH(yoy!$I$1,Data!$A$1:$AN$1,),))/VLOOKUP(A27,Data!$A:$AN,MATCH(yoy!$I$1,Data!$A$1:$AN$1,),))+1)^12-1</f>
        <v/>
      </c>
      <c r="J27" s="14">
        <f>(((VLOOKUP(B27,Data!$A:$AN,MATCH(yoy!$J$1,Data!$A$1:$AN$1,),)-VLOOKUP(A27,Data!$A:$AN,MATCH(yoy!$J$1,Data!$A$1:$AN$1,),))/VLOOKUP(A27,Data!$A:$AN,MATCH(yoy!$J$1,Data!$A$1:$AN$1,),))+1)^12-1</f>
        <v/>
      </c>
      <c r="K27" s="14">
        <f>(((VLOOKUP(B27,Data!$A:$AN,MATCH(yoy!$K$1,Data!$A$1:$AN$1,),)-VLOOKUP(A27,Data!$A:$AN,MATCH(yoy!$K$1,Data!$A$1:$AN$1,),))/VLOOKUP(A27,Data!$A:$AN,MATCH(yoy!$K$1,Data!$A$1:$AN$1,),))+1)^12-1</f>
        <v/>
      </c>
      <c r="L27" s="14">
        <f>(((VLOOKUP(B27,Data!$A:$AN,MATCH(yoy!$L$1,Data!$A$1:$AN$1,),)-VLOOKUP(A27,Data!$A:$AN,MATCH(yoy!$L$1,Data!$A$1:$AN$1,),))/VLOOKUP(A27,Data!$A:$AN,MATCH(yoy!$L$1,Data!$A$1:$AN$1,),))+1)^12-1</f>
        <v/>
      </c>
      <c r="M27" s="14">
        <f>(((VLOOKUP(B27,Data!$A:$AN,MATCH(yoy!$M$1,Data!$A$1:$AN$1,),)-VLOOKUP(A27,Data!$A:$AN,MATCH(yoy!$M$1,Data!$A$1:$AN$1,),))/VLOOKUP(A27,Data!$A:$AN,MATCH(yoy!$M$1,Data!$A$1:$AN$1,),))+1)^12-1</f>
        <v/>
      </c>
      <c r="N27" s="14">
        <f>(((VLOOKUP(B27,Data!$A:$AN,MATCH(yoy!$N$1,Data!$A$1:$AN$1,),)-VLOOKUP(A27,Data!$A:$AN,MATCH(yoy!$N$1,Data!$A$1:$AN$1,),))/VLOOKUP(A27,Data!$A:$AN,MATCH(yoy!$N$1,Data!$A$1:$AN$1,),))+1)^12-1</f>
        <v/>
      </c>
      <c r="O27" s="14">
        <f>(((VLOOKUP(B27,Data!$A:$AN,MATCH(yoy!$O$1,Data!$A$1:$AN$1,),)-VLOOKUP(A27,Data!$A:$AN,MATCH(yoy!$O$1,Data!$A$1:$AN$1,),))/VLOOKUP(A27,Data!$A:$AN,MATCH(yoy!$O$1,Data!$A$1:$AN$1,),))+1)^12-1</f>
        <v/>
      </c>
      <c r="P27" s="14">
        <f>(((VLOOKUP(B27,Data!$A:$AN,MATCH(yoy!$P$1,Data!$A$1:$AN$1,),)-VLOOKUP(A27,Data!$A:$AN,MATCH(yoy!$P$1,Data!$A$1:$AN$1,),))/VLOOKUP(A27,Data!$A:$AN,MATCH(yoy!$P$1,Data!$A$1:$AN$1,),))+1)^12-1</f>
        <v/>
      </c>
      <c r="Q27" s="14">
        <f>(((VLOOKUP(B27,Data!$A:$AN,MATCH(yoy!$Q$1,Data!$A$1:$AN$1,),)-VLOOKUP(A27,Data!$A:$AN,MATCH(yoy!$Q$1,Data!$A$1:$AN$1,),))/VLOOKUP(A27,Data!$A:$AN,MATCH(yoy!$Q$1,Data!$A$1:$AN$1,),))+1)^12-1</f>
        <v/>
      </c>
      <c r="R27" s="14">
        <f>(((VLOOKUP(B27,Data!$A:$AN,MATCH(yoy!$R$1,Data!$A$1:$AN$1,),)-VLOOKUP(A27,Data!$A:$AN,MATCH(yoy!$R$1,Data!$A$1:$AN$1,),))/VLOOKUP(A27,Data!$A:$AN,MATCH(yoy!$R$1,Data!$A$1:$AN$1,),))+1)^12-1</f>
        <v/>
      </c>
      <c r="S27" s="14">
        <f>(((VLOOKUP(B27,Data!$A:$AN,MATCH(yoy!$S$1,Data!$A$1:$AN$1,),)-VLOOKUP(A27,Data!$A:$AN,MATCH(yoy!$S$1,Data!$A$1:$AN$1,),))/VLOOKUP(A27,Data!$A:$AN,MATCH(yoy!$S$1,Data!$A$1:$AN$1,),))+1)^12-1</f>
        <v/>
      </c>
      <c r="T27" s="14">
        <f>(((VLOOKUP(B27,Data!$A:$AN,MATCH(yoy!$T$1,Data!$A$1:$AN$1,),)-VLOOKUP(A27,Data!$A:$AN,MATCH(yoy!$T$1,Data!$A$1:$AN$1,),))/VLOOKUP(A27,Data!$A:$AN,MATCH(yoy!$T$1,Data!$A$1:$AN$1,),))+1)^12-1</f>
        <v/>
      </c>
      <c r="U27" s="14">
        <f>(((VLOOKUP(B27,Data!$A:$AN,MATCH(yoy!$U$1,Data!$A$1:$AN$1,),)-VLOOKUP(A27,Data!$A:$AN,MATCH(yoy!$U$1,Data!$A$1:$AN$1,),))/VLOOKUP(A27,Data!$A:$AN,MATCH(yoy!$U$1,Data!$A$1:$AN$1,),))+1)^12-1</f>
        <v/>
      </c>
      <c r="V27" s="14">
        <f>(((VLOOKUP(B27,Data!$A:$AN,MATCH(yoy!$V$1,Data!$A$1:$AN$1,),)-VLOOKUP(A27,Data!$A:$AN,MATCH(yoy!$V$1,Data!$A$1:$AN$1,),))/VLOOKUP(A27,Data!$A:$AN,MATCH(yoy!$V$1,Data!$A$1:$AN$1,),))+1)^12-1</f>
        <v/>
      </c>
      <c r="W27" s="14">
        <f>(((VLOOKUP(B27,Data!$A:$AN,MATCH(yoy!$W$1,Data!$A$1:$AN$1,),)-VLOOKUP(A27,Data!$A:$AN,MATCH(yoy!$W$1,Data!$A$1:$AN$1,),))/VLOOKUP(A27,Data!$A:$AN,MATCH(yoy!$W$1,Data!$A$1:$AN$1,),))+1)^12-1</f>
        <v/>
      </c>
      <c r="X27" s="14">
        <f>(((VLOOKUP(B27,Data!$A:$AN,MATCH(yoy!$X$1,Data!$A$1:$AN$1,),)-VLOOKUP(A27,Data!$A:$AN,MATCH(yoy!$X$1,Data!$A$1:$AN$1,),))/VLOOKUP(A27,Data!$A:$AN,MATCH(yoy!$X$1,Data!$A$1:$AN$1,),))+1)^12-1</f>
        <v/>
      </c>
      <c r="Y27" s="14">
        <f>(((VLOOKUP(B27,Data!$A:$AN,MATCH(yoy!$Y$1,Data!$A$1:$AN$1,),)-VLOOKUP(A27,Data!$A:$AN,MATCH(yoy!$Y$1,Data!$A$1:$AN$1,),))/VLOOKUP(A27,Data!$A:$AN,MATCH(yoy!$Y$1,Data!$A$1:$AN$1,),))+1)^12-1</f>
        <v/>
      </c>
      <c r="Z27" s="14">
        <f>(((VLOOKUP(B27,Data!$A:$AN,MATCH(yoy!$Z$1,Data!$A$1:$AN$1,),)-VLOOKUP(A27,Data!$A:$AN,MATCH(yoy!$Z$1,Data!$A$1:$AN$1,),))/VLOOKUP(A27,Data!$A:$AN,MATCH(yoy!$Z$1,Data!$A$1:$AN$1,),))+1)^12-1</f>
        <v/>
      </c>
      <c r="AA27" s="14">
        <f>(((VLOOKUP(B27,Data!$A:$AN,MATCH(yoy!$AA$1,Data!$A$1:$AN$1,),)-VLOOKUP(A27,Data!$A:$AN,MATCH(yoy!$AA$1,Data!$A$1:$AN$1,),))/VLOOKUP(A27,Data!$A:$AN,MATCH(yoy!$AA$1,Data!$A$1:$AN$1,),))+1)^12-1</f>
        <v/>
      </c>
    </row>
    <row r="28">
      <c r="A28" s="20">
        <f>DATE(YEAR(B28),MONTH(B28)-1,DAY(B28))</f>
        <v/>
      </c>
      <c r="B28" s="12" t="n">
        <v>42705</v>
      </c>
      <c r="C28" s="14">
        <f>(((VLOOKUP(B28,Data!$A:$AN,MATCH(yoy!$C$1,Data!$A$1:$AN$1,),)-VLOOKUP(A28,Data!$A:$AN,MATCH(yoy!$C$1,Data!$A$1:$AN$1,),))/VLOOKUP(A28,Data!$A:$AN,MATCH(yoy!$C$1,Data!$A$1:$AN$1,),))+1)^12-1</f>
        <v/>
      </c>
      <c r="D28" s="14">
        <f>(((VLOOKUP(B28,Data!$A:$AN,MATCH(yoy!$D$1,Data!$A$1:$AN$1,),)-VLOOKUP(A28,Data!$A:$AN,MATCH(yoy!$D$1,Data!$A$1:$AN$1,),))/VLOOKUP(A28,Data!$A:$AN,MATCH(yoy!$D$1,Data!$A$1:$AN$1,),))+1)^12-1</f>
        <v/>
      </c>
      <c r="E28" s="14">
        <f>(((VLOOKUP(B28,Data!$A:$AN,MATCH(yoy!$E$1,Data!$A$1:$AN$1,),)-VLOOKUP(A28,Data!$A:$AN,MATCH(yoy!$E$1,Data!$A$1:$AN$1,),))/VLOOKUP(A28,Data!$A:$AN,MATCH(yoy!$E$1,Data!$A$1:$AN$1,),))+1)^12-1</f>
        <v/>
      </c>
      <c r="F28" s="14">
        <f>(((VLOOKUP(B28,Data!$A:$AN,MATCH(yoy!$F$1,Data!$A$1:$AN$1,),)-VLOOKUP(A28,Data!$A:$AN,MATCH(yoy!$F$1,Data!$A$1:$AN$1,),))/VLOOKUP(A28,Data!$A:$AN,MATCH(yoy!$F$1,Data!$A$1:$AN$1,),))+1)^12-1</f>
        <v/>
      </c>
      <c r="G28" s="14">
        <f>(((VLOOKUP(B28,Data!$A:$AN,MATCH(yoy!$G$1,Data!$A$1:$AN$1,),)-VLOOKUP(A28,Data!$A:$AN,MATCH(yoy!$G$1,Data!$A$1:$AN$1,),))/VLOOKUP(A28,Data!$A:$AN,MATCH(yoy!$G$1,Data!$A$1:$AN$1,),))+1)^12-1</f>
        <v/>
      </c>
      <c r="H28" s="14">
        <f>(((VLOOKUP(B28,Data!$A:$AN,MATCH(yoy!$H$1,Data!$A$1:$AN$1,),)-VLOOKUP(A28,Data!$A:$AN,MATCH(yoy!$H$1,Data!$A$1:$AN$1,),))/VLOOKUP(A28,Data!$A:$AN,MATCH(yoy!$H$1,Data!$A$1:$AN$1,),))+1)^12-1</f>
        <v/>
      </c>
      <c r="I28" s="14">
        <f>(((VLOOKUP(B28,Data!$A:$AN,MATCH(yoy!$I$1,Data!$A$1:$AN$1,),)-VLOOKUP(A28,Data!$A:$AN,MATCH(yoy!$I$1,Data!$A$1:$AN$1,),))/VLOOKUP(A28,Data!$A:$AN,MATCH(yoy!$I$1,Data!$A$1:$AN$1,),))+1)^12-1</f>
        <v/>
      </c>
      <c r="J28" s="14">
        <f>(((VLOOKUP(B28,Data!$A:$AN,MATCH(yoy!$J$1,Data!$A$1:$AN$1,),)-VLOOKUP(A28,Data!$A:$AN,MATCH(yoy!$J$1,Data!$A$1:$AN$1,),))/VLOOKUP(A28,Data!$A:$AN,MATCH(yoy!$J$1,Data!$A$1:$AN$1,),))+1)^12-1</f>
        <v/>
      </c>
      <c r="K28" s="14">
        <f>(((VLOOKUP(B28,Data!$A:$AN,MATCH(yoy!$K$1,Data!$A$1:$AN$1,),)-VLOOKUP(A28,Data!$A:$AN,MATCH(yoy!$K$1,Data!$A$1:$AN$1,),))/VLOOKUP(A28,Data!$A:$AN,MATCH(yoy!$K$1,Data!$A$1:$AN$1,),))+1)^12-1</f>
        <v/>
      </c>
      <c r="L28" s="14">
        <f>(((VLOOKUP(B28,Data!$A:$AN,MATCH(yoy!$L$1,Data!$A$1:$AN$1,),)-VLOOKUP(A28,Data!$A:$AN,MATCH(yoy!$L$1,Data!$A$1:$AN$1,),))/VLOOKUP(A28,Data!$A:$AN,MATCH(yoy!$L$1,Data!$A$1:$AN$1,),))+1)^12-1</f>
        <v/>
      </c>
      <c r="M28" s="14">
        <f>(((VLOOKUP(B28,Data!$A:$AN,MATCH(yoy!$M$1,Data!$A$1:$AN$1,),)-VLOOKUP(A28,Data!$A:$AN,MATCH(yoy!$M$1,Data!$A$1:$AN$1,),))/VLOOKUP(A28,Data!$A:$AN,MATCH(yoy!$M$1,Data!$A$1:$AN$1,),))+1)^12-1</f>
        <v/>
      </c>
      <c r="N28" s="14">
        <f>(((VLOOKUP(B28,Data!$A:$AN,MATCH(yoy!$N$1,Data!$A$1:$AN$1,),)-VLOOKUP(A28,Data!$A:$AN,MATCH(yoy!$N$1,Data!$A$1:$AN$1,),))/VLOOKUP(A28,Data!$A:$AN,MATCH(yoy!$N$1,Data!$A$1:$AN$1,),))+1)^12-1</f>
        <v/>
      </c>
      <c r="O28" s="14">
        <f>(((VLOOKUP(B28,Data!$A:$AN,MATCH(yoy!$O$1,Data!$A$1:$AN$1,),)-VLOOKUP(A28,Data!$A:$AN,MATCH(yoy!$O$1,Data!$A$1:$AN$1,),))/VLOOKUP(A28,Data!$A:$AN,MATCH(yoy!$O$1,Data!$A$1:$AN$1,),))+1)^12-1</f>
        <v/>
      </c>
      <c r="P28" s="14">
        <f>(((VLOOKUP(B28,Data!$A:$AN,MATCH(yoy!$P$1,Data!$A$1:$AN$1,),)-VLOOKUP(A28,Data!$A:$AN,MATCH(yoy!$P$1,Data!$A$1:$AN$1,),))/VLOOKUP(A28,Data!$A:$AN,MATCH(yoy!$P$1,Data!$A$1:$AN$1,),))+1)^12-1</f>
        <v/>
      </c>
      <c r="Q28" s="14">
        <f>(((VLOOKUP(B28,Data!$A:$AN,MATCH(yoy!$Q$1,Data!$A$1:$AN$1,),)-VLOOKUP(A28,Data!$A:$AN,MATCH(yoy!$Q$1,Data!$A$1:$AN$1,),))/VLOOKUP(A28,Data!$A:$AN,MATCH(yoy!$Q$1,Data!$A$1:$AN$1,),))+1)^12-1</f>
        <v/>
      </c>
      <c r="R28" s="14">
        <f>(((VLOOKUP(B28,Data!$A:$AN,MATCH(yoy!$R$1,Data!$A$1:$AN$1,),)-VLOOKUP(A28,Data!$A:$AN,MATCH(yoy!$R$1,Data!$A$1:$AN$1,),))/VLOOKUP(A28,Data!$A:$AN,MATCH(yoy!$R$1,Data!$A$1:$AN$1,),))+1)^12-1</f>
        <v/>
      </c>
      <c r="S28" s="14">
        <f>(((VLOOKUP(B28,Data!$A:$AN,MATCH(yoy!$S$1,Data!$A$1:$AN$1,),)-VLOOKUP(A28,Data!$A:$AN,MATCH(yoy!$S$1,Data!$A$1:$AN$1,),))/VLOOKUP(A28,Data!$A:$AN,MATCH(yoy!$S$1,Data!$A$1:$AN$1,),))+1)^12-1</f>
        <v/>
      </c>
      <c r="T28" s="14">
        <f>(((VLOOKUP(B28,Data!$A:$AN,MATCH(yoy!$T$1,Data!$A$1:$AN$1,),)-VLOOKUP(A28,Data!$A:$AN,MATCH(yoy!$T$1,Data!$A$1:$AN$1,),))/VLOOKUP(A28,Data!$A:$AN,MATCH(yoy!$T$1,Data!$A$1:$AN$1,),))+1)^12-1</f>
        <v/>
      </c>
      <c r="U28" s="14">
        <f>(((VLOOKUP(B28,Data!$A:$AN,MATCH(yoy!$U$1,Data!$A$1:$AN$1,),)-VLOOKUP(A28,Data!$A:$AN,MATCH(yoy!$U$1,Data!$A$1:$AN$1,),))/VLOOKUP(A28,Data!$A:$AN,MATCH(yoy!$U$1,Data!$A$1:$AN$1,),))+1)^12-1</f>
        <v/>
      </c>
      <c r="V28" s="14">
        <f>(((VLOOKUP(B28,Data!$A:$AN,MATCH(yoy!$V$1,Data!$A$1:$AN$1,),)-VLOOKUP(A28,Data!$A:$AN,MATCH(yoy!$V$1,Data!$A$1:$AN$1,),))/VLOOKUP(A28,Data!$A:$AN,MATCH(yoy!$V$1,Data!$A$1:$AN$1,),))+1)^12-1</f>
        <v/>
      </c>
      <c r="W28" s="14">
        <f>(((VLOOKUP(B28,Data!$A:$AN,MATCH(yoy!$W$1,Data!$A$1:$AN$1,),)-VLOOKUP(A28,Data!$A:$AN,MATCH(yoy!$W$1,Data!$A$1:$AN$1,),))/VLOOKUP(A28,Data!$A:$AN,MATCH(yoy!$W$1,Data!$A$1:$AN$1,),))+1)^12-1</f>
        <v/>
      </c>
      <c r="X28" s="14">
        <f>(((VLOOKUP(B28,Data!$A:$AN,MATCH(yoy!$X$1,Data!$A$1:$AN$1,),)-VLOOKUP(A28,Data!$A:$AN,MATCH(yoy!$X$1,Data!$A$1:$AN$1,),))/VLOOKUP(A28,Data!$A:$AN,MATCH(yoy!$X$1,Data!$A$1:$AN$1,),))+1)^12-1</f>
        <v/>
      </c>
      <c r="Y28" s="14">
        <f>(((VLOOKUP(B28,Data!$A:$AN,MATCH(yoy!$Y$1,Data!$A$1:$AN$1,),)-VLOOKUP(A28,Data!$A:$AN,MATCH(yoy!$Y$1,Data!$A$1:$AN$1,),))/VLOOKUP(A28,Data!$A:$AN,MATCH(yoy!$Y$1,Data!$A$1:$AN$1,),))+1)^12-1</f>
        <v/>
      </c>
      <c r="Z28" s="14">
        <f>(((VLOOKUP(B28,Data!$A:$AN,MATCH(yoy!$Z$1,Data!$A$1:$AN$1,),)-VLOOKUP(A28,Data!$A:$AN,MATCH(yoy!$Z$1,Data!$A$1:$AN$1,),))/VLOOKUP(A28,Data!$A:$AN,MATCH(yoy!$Z$1,Data!$A$1:$AN$1,),))+1)^12-1</f>
        <v/>
      </c>
      <c r="AA28" s="14">
        <f>(((VLOOKUP(B28,Data!$A:$AN,MATCH(yoy!$AA$1,Data!$A$1:$AN$1,),)-VLOOKUP(A28,Data!$A:$AN,MATCH(yoy!$AA$1,Data!$A$1:$AN$1,),))/VLOOKUP(A28,Data!$A:$AN,MATCH(yoy!$AA$1,Data!$A$1:$AN$1,),))+1)^12-1</f>
        <v/>
      </c>
    </row>
    <row r="29">
      <c r="A29" s="20">
        <f>DATE(YEAR(B29),MONTH(B29)-1,DAY(B29))</f>
        <v/>
      </c>
      <c r="B29" s="12" t="n">
        <v>42736</v>
      </c>
      <c r="C29" s="14">
        <f>(((VLOOKUP(B29,Data!$A:$AN,MATCH(yoy!$C$1,Data!$A$1:$AN$1,),)-VLOOKUP(A29,Data!$A:$AN,MATCH(yoy!$C$1,Data!$A$1:$AN$1,),))/VLOOKUP(A29,Data!$A:$AN,MATCH(yoy!$C$1,Data!$A$1:$AN$1,),))+1)^12-1</f>
        <v/>
      </c>
      <c r="D29" s="14">
        <f>(((VLOOKUP(B29,Data!$A:$AN,MATCH(yoy!$D$1,Data!$A$1:$AN$1,),)-VLOOKUP(A29,Data!$A:$AN,MATCH(yoy!$D$1,Data!$A$1:$AN$1,),))/VLOOKUP(A29,Data!$A:$AN,MATCH(yoy!$D$1,Data!$A$1:$AN$1,),))+1)^12-1</f>
        <v/>
      </c>
      <c r="E29" s="14">
        <f>(((VLOOKUP(B29,Data!$A:$AN,MATCH(yoy!$E$1,Data!$A$1:$AN$1,),)-VLOOKUP(A29,Data!$A:$AN,MATCH(yoy!$E$1,Data!$A$1:$AN$1,),))/VLOOKUP(A29,Data!$A:$AN,MATCH(yoy!$E$1,Data!$A$1:$AN$1,),))+1)^12-1</f>
        <v/>
      </c>
      <c r="F29" s="14">
        <f>(((VLOOKUP(B29,Data!$A:$AN,MATCH(yoy!$F$1,Data!$A$1:$AN$1,),)-VLOOKUP(A29,Data!$A:$AN,MATCH(yoy!$F$1,Data!$A$1:$AN$1,),))/VLOOKUP(A29,Data!$A:$AN,MATCH(yoy!$F$1,Data!$A$1:$AN$1,),))+1)^12-1</f>
        <v/>
      </c>
      <c r="G29" s="14">
        <f>(((VLOOKUP(B29,Data!$A:$AN,MATCH(yoy!$G$1,Data!$A$1:$AN$1,),)-VLOOKUP(A29,Data!$A:$AN,MATCH(yoy!$G$1,Data!$A$1:$AN$1,),))/VLOOKUP(A29,Data!$A:$AN,MATCH(yoy!$G$1,Data!$A$1:$AN$1,),))+1)^12-1</f>
        <v/>
      </c>
      <c r="H29" s="14">
        <f>(((VLOOKUP(B29,Data!$A:$AN,MATCH(yoy!$H$1,Data!$A$1:$AN$1,),)-VLOOKUP(A29,Data!$A:$AN,MATCH(yoy!$H$1,Data!$A$1:$AN$1,),))/VLOOKUP(A29,Data!$A:$AN,MATCH(yoy!$H$1,Data!$A$1:$AN$1,),))+1)^12-1</f>
        <v/>
      </c>
      <c r="I29" s="14">
        <f>(((VLOOKUP(B29,Data!$A:$AN,MATCH(yoy!$I$1,Data!$A$1:$AN$1,),)-VLOOKUP(A29,Data!$A:$AN,MATCH(yoy!$I$1,Data!$A$1:$AN$1,),))/VLOOKUP(A29,Data!$A:$AN,MATCH(yoy!$I$1,Data!$A$1:$AN$1,),))+1)^12-1</f>
        <v/>
      </c>
      <c r="J29" s="14">
        <f>(((VLOOKUP(B29,Data!$A:$AN,MATCH(yoy!$J$1,Data!$A$1:$AN$1,),)-VLOOKUP(A29,Data!$A:$AN,MATCH(yoy!$J$1,Data!$A$1:$AN$1,),))/VLOOKUP(A29,Data!$A:$AN,MATCH(yoy!$J$1,Data!$A$1:$AN$1,),))+1)^12-1</f>
        <v/>
      </c>
      <c r="K29" s="14">
        <f>(((VLOOKUP(B29,Data!$A:$AN,MATCH(yoy!$K$1,Data!$A$1:$AN$1,),)-VLOOKUP(A29,Data!$A:$AN,MATCH(yoy!$K$1,Data!$A$1:$AN$1,),))/VLOOKUP(A29,Data!$A:$AN,MATCH(yoy!$K$1,Data!$A$1:$AN$1,),))+1)^12-1</f>
        <v/>
      </c>
      <c r="L29" s="14">
        <f>(((VLOOKUP(B29,Data!$A:$AN,MATCH(yoy!$L$1,Data!$A$1:$AN$1,),)-VLOOKUP(A29,Data!$A:$AN,MATCH(yoy!$L$1,Data!$A$1:$AN$1,),))/VLOOKUP(A29,Data!$A:$AN,MATCH(yoy!$L$1,Data!$A$1:$AN$1,),))+1)^12-1</f>
        <v/>
      </c>
      <c r="M29" s="14">
        <f>(((VLOOKUP(B29,Data!$A:$AN,MATCH(yoy!$M$1,Data!$A$1:$AN$1,),)-VLOOKUP(A29,Data!$A:$AN,MATCH(yoy!$M$1,Data!$A$1:$AN$1,),))/VLOOKUP(A29,Data!$A:$AN,MATCH(yoy!$M$1,Data!$A$1:$AN$1,),))+1)^12-1</f>
        <v/>
      </c>
      <c r="N29" s="14">
        <f>(((VLOOKUP(B29,Data!$A:$AN,MATCH(yoy!$N$1,Data!$A$1:$AN$1,),)-VLOOKUP(A29,Data!$A:$AN,MATCH(yoy!$N$1,Data!$A$1:$AN$1,),))/VLOOKUP(A29,Data!$A:$AN,MATCH(yoy!$N$1,Data!$A$1:$AN$1,),))+1)^12-1</f>
        <v/>
      </c>
      <c r="O29" s="14">
        <f>(((VLOOKUP(B29,Data!$A:$AN,MATCH(yoy!$O$1,Data!$A$1:$AN$1,),)-VLOOKUP(A29,Data!$A:$AN,MATCH(yoy!$O$1,Data!$A$1:$AN$1,),))/VLOOKUP(A29,Data!$A:$AN,MATCH(yoy!$O$1,Data!$A$1:$AN$1,),))+1)^12-1</f>
        <v/>
      </c>
      <c r="P29" s="14">
        <f>(((VLOOKUP(B29,Data!$A:$AN,MATCH(yoy!$P$1,Data!$A$1:$AN$1,),)-VLOOKUP(A29,Data!$A:$AN,MATCH(yoy!$P$1,Data!$A$1:$AN$1,),))/VLOOKUP(A29,Data!$A:$AN,MATCH(yoy!$P$1,Data!$A$1:$AN$1,),))+1)^12-1</f>
        <v/>
      </c>
      <c r="Q29" s="14">
        <f>(((VLOOKUP(B29,Data!$A:$AN,MATCH(yoy!$Q$1,Data!$A$1:$AN$1,),)-VLOOKUP(A29,Data!$A:$AN,MATCH(yoy!$Q$1,Data!$A$1:$AN$1,),))/VLOOKUP(A29,Data!$A:$AN,MATCH(yoy!$Q$1,Data!$A$1:$AN$1,),))+1)^12-1</f>
        <v/>
      </c>
      <c r="R29" s="14">
        <f>(((VLOOKUP(B29,Data!$A:$AN,MATCH(yoy!$R$1,Data!$A$1:$AN$1,),)-VLOOKUP(A29,Data!$A:$AN,MATCH(yoy!$R$1,Data!$A$1:$AN$1,),))/VLOOKUP(A29,Data!$A:$AN,MATCH(yoy!$R$1,Data!$A$1:$AN$1,),))+1)^12-1</f>
        <v/>
      </c>
      <c r="S29" s="14">
        <f>(((VLOOKUP(B29,Data!$A:$AN,MATCH(yoy!$S$1,Data!$A$1:$AN$1,),)-VLOOKUP(A29,Data!$A:$AN,MATCH(yoy!$S$1,Data!$A$1:$AN$1,),))/VLOOKUP(A29,Data!$A:$AN,MATCH(yoy!$S$1,Data!$A$1:$AN$1,),))+1)^12-1</f>
        <v/>
      </c>
      <c r="T29" s="14">
        <f>(((VLOOKUP(B29,Data!$A:$AN,MATCH(yoy!$T$1,Data!$A$1:$AN$1,),)-VLOOKUP(A29,Data!$A:$AN,MATCH(yoy!$T$1,Data!$A$1:$AN$1,),))/VLOOKUP(A29,Data!$A:$AN,MATCH(yoy!$T$1,Data!$A$1:$AN$1,),))+1)^12-1</f>
        <v/>
      </c>
      <c r="U29" s="14">
        <f>(((VLOOKUP(B29,Data!$A:$AN,MATCH(yoy!$U$1,Data!$A$1:$AN$1,),)-VLOOKUP(A29,Data!$A:$AN,MATCH(yoy!$U$1,Data!$A$1:$AN$1,),))/VLOOKUP(A29,Data!$A:$AN,MATCH(yoy!$U$1,Data!$A$1:$AN$1,),))+1)^12-1</f>
        <v/>
      </c>
      <c r="V29" s="14">
        <f>(((VLOOKUP(B29,Data!$A:$AN,MATCH(yoy!$V$1,Data!$A$1:$AN$1,),)-VLOOKUP(A29,Data!$A:$AN,MATCH(yoy!$V$1,Data!$A$1:$AN$1,),))/VLOOKUP(A29,Data!$A:$AN,MATCH(yoy!$V$1,Data!$A$1:$AN$1,),))+1)^12-1</f>
        <v/>
      </c>
      <c r="W29" s="14">
        <f>(((VLOOKUP(B29,Data!$A:$AN,MATCH(yoy!$W$1,Data!$A$1:$AN$1,),)-VLOOKUP(A29,Data!$A:$AN,MATCH(yoy!$W$1,Data!$A$1:$AN$1,),))/VLOOKUP(A29,Data!$A:$AN,MATCH(yoy!$W$1,Data!$A$1:$AN$1,),))+1)^12-1</f>
        <v/>
      </c>
      <c r="X29" s="14">
        <f>(((VLOOKUP(B29,Data!$A:$AN,MATCH(yoy!$X$1,Data!$A$1:$AN$1,),)-VLOOKUP(A29,Data!$A:$AN,MATCH(yoy!$X$1,Data!$A$1:$AN$1,),))/VLOOKUP(A29,Data!$A:$AN,MATCH(yoy!$X$1,Data!$A$1:$AN$1,),))+1)^12-1</f>
        <v/>
      </c>
      <c r="Y29" s="14">
        <f>(((VLOOKUP(B29,Data!$A:$AN,MATCH(yoy!$Y$1,Data!$A$1:$AN$1,),)-VLOOKUP(A29,Data!$A:$AN,MATCH(yoy!$Y$1,Data!$A$1:$AN$1,),))/VLOOKUP(A29,Data!$A:$AN,MATCH(yoy!$Y$1,Data!$A$1:$AN$1,),))+1)^12-1</f>
        <v/>
      </c>
      <c r="Z29" s="14">
        <f>(((VLOOKUP(B29,Data!$A:$AN,MATCH(yoy!$Z$1,Data!$A$1:$AN$1,),)-VLOOKUP(A29,Data!$A:$AN,MATCH(yoy!$Z$1,Data!$A$1:$AN$1,),))/VLOOKUP(A29,Data!$A:$AN,MATCH(yoy!$Z$1,Data!$A$1:$AN$1,),))+1)^12-1</f>
        <v/>
      </c>
      <c r="AA29" s="14">
        <f>(((VLOOKUP(B29,Data!$A:$AN,MATCH(yoy!$AA$1,Data!$A$1:$AN$1,),)-VLOOKUP(A29,Data!$A:$AN,MATCH(yoy!$AA$1,Data!$A$1:$AN$1,),))/VLOOKUP(A29,Data!$A:$AN,MATCH(yoy!$AA$1,Data!$A$1:$AN$1,),))+1)^12-1</f>
        <v/>
      </c>
    </row>
    <row r="30">
      <c r="A30" s="20">
        <f>DATE(YEAR(B30),MONTH(B30)-1,DAY(B30))</f>
        <v/>
      </c>
      <c r="B30" s="12" t="n">
        <v>42767</v>
      </c>
      <c r="C30" s="14">
        <f>(((VLOOKUP(B30,Data!$A:$AN,MATCH(yoy!$C$1,Data!$A$1:$AN$1,),)-VLOOKUP(A30,Data!$A:$AN,MATCH(yoy!$C$1,Data!$A$1:$AN$1,),))/VLOOKUP(A30,Data!$A:$AN,MATCH(yoy!$C$1,Data!$A$1:$AN$1,),))+1)^12-1</f>
        <v/>
      </c>
      <c r="D30" s="14">
        <f>(((VLOOKUP(B30,Data!$A:$AN,MATCH(yoy!$D$1,Data!$A$1:$AN$1,),)-VLOOKUP(A30,Data!$A:$AN,MATCH(yoy!$D$1,Data!$A$1:$AN$1,),))/VLOOKUP(A30,Data!$A:$AN,MATCH(yoy!$D$1,Data!$A$1:$AN$1,),))+1)^12-1</f>
        <v/>
      </c>
      <c r="E30" s="14">
        <f>(((VLOOKUP(B30,Data!$A:$AN,MATCH(yoy!$E$1,Data!$A$1:$AN$1,),)-VLOOKUP(A30,Data!$A:$AN,MATCH(yoy!$E$1,Data!$A$1:$AN$1,),))/VLOOKUP(A30,Data!$A:$AN,MATCH(yoy!$E$1,Data!$A$1:$AN$1,),))+1)^12-1</f>
        <v/>
      </c>
      <c r="F30" s="14">
        <f>(((VLOOKUP(B30,Data!$A:$AN,MATCH(yoy!$F$1,Data!$A$1:$AN$1,),)-VLOOKUP(A30,Data!$A:$AN,MATCH(yoy!$F$1,Data!$A$1:$AN$1,),))/VLOOKUP(A30,Data!$A:$AN,MATCH(yoy!$F$1,Data!$A$1:$AN$1,),))+1)^12-1</f>
        <v/>
      </c>
      <c r="G30" s="14">
        <f>(((VLOOKUP(B30,Data!$A:$AN,MATCH(yoy!$G$1,Data!$A$1:$AN$1,),)-VLOOKUP(A30,Data!$A:$AN,MATCH(yoy!$G$1,Data!$A$1:$AN$1,),))/VLOOKUP(A30,Data!$A:$AN,MATCH(yoy!$G$1,Data!$A$1:$AN$1,),))+1)^12-1</f>
        <v/>
      </c>
      <c r="H30" s="14">
        <f>(((VLOOKUP(B30,Data!$A:$AN,MATCH(yoy!$H$1,Data!$A$1:$AN$1,),)-VLOOKUP(A30,Data!$A:$AN,MATCH(yoy!$H$1,Data!$A$1:$AN$1,),))/VLOOKUP(A30,Data!$A:$AN,MATCH(yoy!$H$1,Data!$A$1:$AN$1,),))+1)^12-1</f>
        <v/>
      </c>
      <c r="I30" s="14">
        <f>(((VLOOKUP(B30,Data!$A:$AN,MATCH(yoy!$I$1,Data!$A$1:$AN$1,),)-VLOOKUP(A30,Data!$A:$AN,MATCH(yoy!$I$1,Data!$A$1:$AN$1,),))/VLOOKUP(A30,Data!$A:$AN,MATCH(yoy!$I$1,Data!$A$1:$AN$1,),))+1)^12-1</f>
        <v/>
      </c>
      <c r="J30" s="14">
        <f>(((VLOOKUP(B30,Data!$A:$AN,MATCH(yoy!$J$1,Data!$A$1:$AN$1,),)-VLOOKUP(A30,Data!$A:$AN,MATCH(yoy!$J$1,Data!$A$1:$AN$1,),))/VLOOKUP(A30,Data!$A:$AN,MATCH(yoy!$J$1,Data!$A$1:$AN$1,),))+1)^12-1</f>
        <v/>
      </c>
      <c r="K30" s="14">
        <f>(((VLOOKUP(B30,Data!$A:$AN,MATCH(yoy!$K$1,Data!$A$1:$AN$1,),)-VLOOKUP(A30,Data!$A:$AN,MATCH(yoy!$K$1,Data!$A$1:$AN$1,),))/VLOOKUP(A30,Data!$A:$AN,MATCH(yoy!$K$1,Data!$A$1:$AN$1,),))+1)^12-1</f>
        <v/>
      </c>
      <c r="L30" s="14">
        <f>(((VLOOKUP(B30,Data!$A:$AN,MATCH(yoy!$L$1,Data!$A$1:$AN$1,),)-VLOOKUP(A30,Data!$A:$AN,MATCH(yoy!$L$1,Data!$A$1:$AN$1,),))/VLOOKUP(A30,Data!$A:$AN,MATCH(yoy!$L$1,Data!$A$1:$AN$1,),))+1)^12-1</f>
        <v/>
      </c>
      <c r="M30" s="14">
        <f>(((VLOOKUP(B30,Data!$A:$AN,MATCH(yoy!$M$1,Data!$A$1:$AN$1,),)-VLOOKUP(A30,Data!$A:$AN,MATCH(yoy!$M$1,Data!$A$1:$AN$1,),))/VLOOKUP(A30,Data!$A:$AN,MATCH(yoy!$M$1,Data!$A$1:$AN$1,),))+1)^12-1</f>
        <v/>
      </c>
      <c r="N30" s="14">
        <f>(((VLOOKUP(B30,Data!$A:$AN,MATCH(yoy!$N$1,Data!$A$1:$AN$1,),)-VLOOKUP(A30,Data!$A:$AN,MATCH(yoy!$N$1,Data!$A$1:$AN$1,),))/VLOOKUP(A30,Data!$A:$AN,MATCH(yoy!$N$1,Data!$A$1:$AN$1,),))+1)^12-1</f>
        <v/>
      </c>
      <c r="O30" s="14">
        <f>(((VLOOKUP(B30,Data!$A:$AN,MATCH(yoy!$O$1,Data!$A$1:$AN$1,),)-VLOOKUP(A30,Data!$A:$AN,MATCH(yoy!$O$1,Data!$A$1:$AN$1,),))/VLOOKUP(A30,Data!$A:$AN,MATCH(yoy!$O$1,Data!$A$1:$AN$1,),))+1)^12-1</f>
        <v/>
      </c>
      <c r="P30" s="14">
        <f>(((VLOOKUP(B30,Data!$A:$AN,MATCH(yoy!$P$1,Data!$A$1:$AN$1,),)-VLOOKUP(A30,Data!$A:$AN,MATCH(yoy!$P$1,Data!$A$1:$AN$1,),))/VLOOKUP(A30,Data!$A:$AN,MATCH(yoy!$P$1,Data!$A$1:$AN$1,),))+1)^12-1</f>
        <v/>
      </c>
      <c r="Q30" s="14">
        <f>(((VLOOKUP(B30,Data!$A:$AN,MATCH(yoy!$Q$1,Data!$A$1:$AN$1,),)-VLOOKUP(A30,Data!$A:$AN,MATCH(yoy!$Q$1,Data!$A$1:$AN$1,),))/VLOOKUP(A30,Data!$A:$AN,MATCH(yoy!$Q$1,Data!$A$1:$AN$1,),))+1)^12-1</f>
        <v/>
      </c>
      <c r="R30" s="14">
        <f>(((VLOOKUP(B30,Data!$A:$AN,MATCH(yoy!$R$1,Data!$A$1:$AN$1,),)-VLOOKUP(A30,Data!$A:$AN,MATCH(yoy!$R$1,Data!$A$1:$AN$1,),))/VLOOKUP(A30,Data!$A:$AN,MATCH(yoy!$R$1,Data!$A$1:$AN$1,),))+1)^12-1</f>
        <v/>
      </c>
      <c r="S30" s="14">
        <f>(((VLOOKUP(B30,Data!$A:$AN,MATCH(yoy!$S$1,Data!$A$1:$AN$1,),)-VLOOKUP(A30,Data!$A:$AN,MATCH(yoy!$S$1,Data!$A$1:$AN$1,),))/VLOOKUP(A30,Data!$A:$AN,MATCH(yoy!$S$1,Data!$A$1:$AN$1,),))+1)^12-1</f>
        <v/>
      </c>
      <c r="T30" s="14">
        <f>(((VLOOKUP(B30,Data!$A:$AN,MATCH(yoy!$T$1,Data!$A$1:$AN$1,),)-VLOOKUP(A30,Data!$A:$AN,MATCH(yoy!$T$1,Data!$A$1:$AN$1,),))/VLOOKUP(A30,Data!$A:$AN,MATCH(yoy!$T$1,Data!$A$1:$AN$1,),))+1)^12-1</f>
        <v/>
      </c>
      <c r="U30" s="14">
        <f>(((VLOOKUP(B30,Data!$A:$AN,MATCH(yoy!$U$1,Data!$A$1:$AN$1,),)-VLOOKUP(A30,Data!$A:$AN,MATCH(yoy!$U$1,Data!$A$1:$AN$1,),))/VLOOKUP(A30,Data!$A:$AN,MATCH(yoy!$U$1,Data!$A$1:$AN$1,),))+1)^12-1</f>
        <v/>
      </c>
      <c r="V30" s="14">
        <f>(((VLOOKUP(B30,Data!$A:$AN,MATCH(yoy!$V$1,Data!$A$1:$AN$1,),)-VLOOKUP(A30,Data!$A:$AN,MATCH(yoy!$V$1,Data!$A$1:$AN$1,),))/VLOOKUP(A30,Data!$A:$AN,MATCH(yoy!$V$1,Data!$A$1:$AN$1,),))+1)^12-1</f>
        <v/>
      </c>
      <c r="W30" s="14">
        <f>(((VLOOKUP(B30,Data!$A:$AN,MATCH(yoy!$W$1,Data!$A$1:$AN$1,),)-VLOOKUP(A30,Data!$A:$AN,MATCH(yoy!$W$1,Data!$A$1:$AN$1,),))/VLOOKUP(A30,Data!$A:$AN,MATCH(yoy!$W$1,Data!$A$1:$AN$1,),))+1)^12-1</f>
        <v/>
      </c>
      <c r="X30" s="14">
        <f>(((VLOOKUP(B30,Data!$A:$AN,MATCH(yoy!$X$1,Data!$A$1:$AN$1,),)-VLOOKUP(A30,Data!$A:$AN,MATCH(yoy!$X$1,Data!$A$1:$AN$1,),))/VLOOKUP(A30,Data!$A:$AN,MATCH(yoy!$X$1,Data!$A$1:$AN$1,),))+1)^12-1</f>
        <v/>
      </c>
      <c r="Y30" s="14">
        <f>(((VLOOKUP(B30,Data!$A:$AN,MATCH(yoy!$Y$1,Data!$A$1:$AN$1,),)-VLOOKUP(A30,Data!$A:$AN,MATCH(yoy!$Y$1,Data!$A$1:$AN$1,),))/VLOOKUP(A30,Data!$A:$AN,MATCH(yoy!$Y$1,Data!$A$1:$AN$1,),))+1)^12-1</f>
        <v/>
      </c>
      <c r="Z30" s="14">
        <f>(((VLOOKUP(B30,Data!$A:$AN,MATCH(yoy!$Z$1,Data!$A$1:$AN$1,),)-VLOOKUP(A30,Data!$A:$AN,MATCH(yoy!$Z$1,Data!$A$1:$AN$1,),))/VLOOKUP(A30,Data!$A:$AN,MATCH(yoy!$Z$1,Data!$A$1:$AN$1,),))+1)^12-1</f>
        <v/>
      </c>
      <c r="AA30" s="14">
        <f>(((VLOOKUP(B30,Data!$A:$AN,MATCH(yoy!$AA$1,Data!$A$1:$AN$1,),)-VLOOKUP(A30,Data!$A:$AN,MATCH(yoy!$AA$1,Data!$A$1:$AN$1,),))/VLOOKUP(A30,Data!$A:$AN,MATCH(yoy!$AA$1,Data!$A$1:$AN$1,),))+1)^12-1</f>
        <v/>
      </c>
    </row>
    <row r="31">
      <c r="A31" s="20">
        <f>DATE(YEAR(B31),MONTH(B31)-1,DAY(B31))</f>
        <v/>
      </c>
      <c r="B31" s="12" t="n">
        <v>42795</v>
      </c>
      <c r="C31" s="14">
        <f>(((VLOOKUP(B31,Data!$A:$AN,MATCH(yoy!$C$1,Data!$A$1:$AN$1,),)-VLOOKUP(A31,Data!$A:$AN,MATCH(yoy!$C$1,Data!$A$1:$AN$1,),))/VLOOKUP(A31,Data!$A:$AN,MATCH(yoy!$C$1,Data!$A$1:$AN$1,),))+1)^12-1</f>
        <v/>
      </c>
      <c r="D31" s="14">
        <f>(((VLOOKUP(B31,Data!$A:$AN,MATCH(yoy!$D$1,Data!$A$1:$AN$1,),)-VLOOKUP(A31,Data!$A:$AN,MATCH(yoy!$D$1,Data!$A$1:$AN$1,),))/VLOOKUP(A31,Data!$A:$AN,MATCH(yoy!$D$1,Data!$A$1:$AN$1,),))+1)^12-1</f>
        <v/>
      </c>
      <c r="E31" s="14">
        <f>(((VLOOKUP(B31,Data!$A:$AN,MATCH(yoy!$E$1,Data!$A$1:$AN$1,),)-VLOOKUP(A31,Data!$A:$AN,MATCH(yoy!$E$1,Data!$A$1:$AN$1,),))/VLOOKUP(A31,Data!$A:$AN,MATCH(yoy!$E$1,Data!$A$1:$AN$1,),))+1)^12-1</f>
        <v/>
      </c>
      <c r="F31" s="14">
        <f>(((VLOOKUP(B31,Data!$A:$AN,MATCH(yoy!$F$1,Data!$A$1:$AN$1,),)-VLOOKUP(A31,Data!$A:$AN,MATCH(yoy!$F$1,Data!$A$1:$AN$1,),))/VLOOKUP(A31,Data!$A:$AN,MATCH(yoy!$F$1,Data!$A$1:$AN$1,),))+1)^12-1</f>
        <v/>
      </c>
      <c r="G31" s="14">
        <f>(((VLOOKUP(B31,Data!$A:$AN,MATCH(yoy!$G$1,Data!$A$1:$AN$1,),)-VLOOKUP(A31,Data!$A:$AN,MATCH(yoy!$G$1,Data!$A$1:$AN$1,),))/VLOOKUP(A31,Data!$A:$AN,MATCH(yoy!$G$1,Data!$A$1:$AN$1,),))+1)^12-1</f>
        <v/>
      </c>
      <c r="H31" s="14">
        <f>(((VLOOKUP(B31,Data!$A:$AN,MATCH(yoy!$H$1,Data!$A$1:$AN$1,),)-VLOOKUP(A31,Data!$A:$AN,MATCH(yoy!$H$1,Data!$A$1:$AN$1,),))/VLOOKUP(A31,Data!$A:$AN,MATCH(yoy!$H$1,Data!$A$1:$AN$1,),))+1)^12-1</f>
        <v/>
      </c>
      <c r="I31" s="14">
        <f>(((VLOOKUP(B31,Data!$A:$AN,MATCH(yoy!$I$1,Data!$A$1:$AN$1,),)-VLOOKUP(A31,Data!$A:$AN,MATCH(yoy!$I$1,Data!$A$1:$AN$1,),))/VLOOKUP(A31,Data!$A:$AN,MATCH(yoy!$I$1,Data!$A$1:$AN$1,),))+1)^12-1</f>
        <v/>
      </c>
      <c r="J31" s="14">
        <f>(((VLOOKUP(B31,Data!$A:$AN,MATCH(yoy!$J$1,Data!$A$1:$AN$1,),)-VLOOKUP(A31,Data!$A:$AN,MATCH(yoy!$J$1,Data!$A$1:$AN$1,),))/VLOOKUP(A31,Data!$A:$AN,MATCH(yoy!$J$1,Data!$A$1:$AN$1,),))+1)^12-1</f>
        <v/>
      </c>
      <c r="K31" s="14">
        <f>(((VLOOKUP(B31,Data!$A:$AN,MATCH(yoy!$K$1,Data!$A$1:$AN$1,),)-VLOOKUP(A31,Data!$A:$AN,MATCH(yoy!$K$1,Data!$A$1:$AN$1,),))/VLOOKUP(A31,Data!$A:$AN,MATCH(yoy!$K$1,Data!$A$1:$AN$1,),))+1)^12-1</f>
        <v/>
      </c>
      <c r="L31" s="14">
        <f>(((VLOOKUP(B31,Data!$A:$AN,MATCH(yoy!$L$1,Data!$A$1:$AN$1,),)-VLOOKUP(A31,Data!$A:$AN,MATCH(yoy!$L$1,Data!$A$1:$AN$1,),))/VLOOKUP(A31,Data!$A:$AN,MATCH(yoy!$L$1,Data!$A$1:$AN$1,),))+1)^12-1</f>
        <v/>
      </c>
      <c r="M31" s="14">
        <f>(((VLOOKUP(B31,Data!$A:$AN,MATCH(yoy!$M$1,Data!$A$1:$AN$1,),)-VLOOKUP(A31,Data!$A:$AN,MATCH(yoy!$M$1,Data!$A$1:$AN$1,),))/VLOOKUP(A31,Data!$A:$AN,MATCH(yoy!$M$1,Data!$A$1:$AN$1,),))+1)^12-1</f>
        <v/>
      </c>
      <c r="N31" s="14">
        <f>(((VLOOKUP(B31,Data!$A:$AN,MATCH(yoy!$N$1,Data!$A$1:$AN$1,),)-VLOOKUP(A31,Data!$A:$AN,MATCH(yoy!$N$1,Data!$A$1:$AN$1,),))/VLOOKUP(A31,Data!$A:$AN,MATCH(yoy!$N$1,Data!$A$1:$AN$1,),))+1)^12-1</f>
        <v/>
      </c>
      <c r="O31" s="14">
        <f>(((VLOOKUP(B31,Data!$A:$AN,MATCH(yoy!$O$1,Data!$A$1:$AN$1,),)-VLOOKUP(A31,Data!$A:$AN,MATCH(yoy!$O$1,Data!$A$1:$AN$1,),))/VLOOKUP(A31,Data!$A:$AN,MATCH(yoy!$O$1,Data!$A$1:$AN$1,),))+1)^12-1</f>
        <v/>
      </c>
      <c r="P31" s="14">
        <f>(((VLOOKUP(B31,Data!$A:$AN,MATCH(yoy!$P$1,Data!$A$1:$AN$1,),)-VLOOKUP(A31,Data!$A:$AN,MATCH(yoy!$P$1,Data!$A$1:$AN$1,),))/VLOOKUP(A31,Data!$A:$AN,MATCH(yoy!$P$1,Data!$A$1:$AN$1,),))+1)^12-1</f>
        <v/>
      </c>
      <c r="Q31" s="14">
        <f>(((VLOOKUP(B31,Data!$A:$AN,MATCH(yoy!$Q$1,Data!$A$1:$AN$1,),)-VLOOKUP(A31,Data!$A:$AN,MATCH(yoy!$Q$1,Data!$A$1:$AN$1,),))/VLOOKUP(A31,Data!$A:$AN,MATCH(yoy!$Q$1,Data!$A$1:$AN$1,),))+1)^12-1</f>
        <v/>
      </c>
      <c r="R31" s="14">
        <f>(((VLOOKUP(B31,Data!$A:$AN,MATCH(yoy!$R$1,Data!$A$1:$AN$1,),)-VLOOKUP(A31,Data!$A:$AN,MATCH(yoy!$R$1,Data!$A$1:$AN$1,),))/VLOOKUP(A31,Data!$A:$AN,MATCH(yoy!$R$1,Data!$A$1:$AN$1,),))+1)^12-1</f>
        <v/>
      </c>
      <c r="S31" s="14">
        <f>(((VLOOKUP(B31,Data!$A:$AN,MATCH(yoy!$S$1,Data!$A$1:$AN$1,),)-VLOOKUP(A31,Data!$A:$AN,MATCH(yoy!$S$1,Data!$A$1:$AN$1,),))/VLOOKUP(A31,Data!$A:$AN,MATCH(yoy!$S$1,Data!$A$1:$AN$1,),))+1)^12-1</f>
        <v/>
      </c>
      <c r="T31" s="14">
        <f>(((VLOOKUP(B31,Data!$A:$AN,MATCH(yoy!$T$1,Data!$A$1:$AN$1,),)-VLOOKUP(A31,Data!$A:$AN,MATCH(yoy!$T$1,Data!$A$1:$AN$1,),))/VLOOKUP(A31,Data!$A:$AN,MATCH(yoy!$T$1,Data!$A$1:$AN$1,),))+1)^12-1</f>
        <v/>
      </c>
      <c r="U31" s="14">
        <f>(((VLOOKUP(B31,Data!$A:$AN,MATCH(yoy!$U$1,Data!$A$1:$AN$1,),)-VLOOKUP(A31,Data!$A:$AN,MATCH(yoy!$U$1,Data!$A$1:$AN$1,),))/VLOOKUP(A31,Data!$A:$AN,MATCH(yoy!$U$1,Data!$A$1:$AN$1,),))+1)^12-1</f>
        <v/>
      </c>
      <c r="V31" s="14">
        <f>(((VLOOKUP(B31,Data!$A:$AN,MATCH(yoy!$V$1,Data!$A$1:$AN$1,),)-VLOOKUP(A31,Data!$A:$AN,MATCH(yoy!$V$1,Data!$A$1:$AN$1,),))/VLOOKUP(A31,Data!$A:$AN,MATCH(yoy!$V$1,Data!$A$1:$AN$1,),))+1)^12-1</f>
        <v/>
      </c>
      <c r="W31" s="14">
        <f>(((VLOOKUP(B31,Data!$A:$AN,MATCH(yoy!$W$1,Data!$A$1:$AN$1,),)-VLOOKUP(A31,Data!$A:$AN,MATCH(yoy!$W$1,Data!$A$1:$AN$1,),))/VLOOKUP(A31,Data!$A:$AN,MATCH(yoy!$W$1,Data!$A$1:$AN$1,),))+1)^12-1</f>
        <v/>
      </c>
      <c r="X31" s="14">
        <f>(((VLOOKUP(B31,Data!$A:$AN,MATCH(yoy!$X$1,Data!$A$1:$AN$1,),)-VLOOKUP(A31,Data!$A:$AN,MATCH(yoy!$X$1,Data!$A$1:$AN$1,),))/VLOOKUP(A31,Data!$A:$AN,MATCH(yoy!$X$1,Data!$A$1:$AN$1,),))+1)^12-1</f>
        <v/>
      </c>
      <c r="Y31" s="14">
        <f>(((VLOOKUP(B31,Data!$A:$AN,MATCH(yoy!$Y$1,Data!$A$1:$AN$1,),)-VLOOKUP(A31,Data!$A:$AN,MATCH(yoy!$Y$1,Data!$A$1:$AN$1,),))/VLOOKUP(A31,Data!$A:$AN,MATCH(yoy!$Y$1,Data!$A$1:$AN$1,),))+1)^12-1</f>
        <v/>
      </c>
      <c r="Z31" s="14">
        <f>(((VLOOKUP(B31,Data!$A:$AN,MATCH(yoy!$Z$1,Data!$A$1:$AN$1,),)-VLOOKUP(A31,Data!$A:$AN,MATCH(yoy!$Z$1,Data!$A$1:$AN$1,),))/VLOOKUP(A31,Data!$A:$AN,MATCH(yoy!$Z$1,Data!$A$1:$AN$1,),))+1)^12-1</f>
        <v/>
      </c>
      <c r="AA31" s="14">
        <f>(((VLOOKUP(B31,Data!$A:$AN,MATCH(yoy!$AA$1,Data!$A$1:$AN$1,),)-VLOOKUP(A31,Data!$A:$AN,MATCH(yoy!$AA$1,Data!$A$1:$AN$1,),))/VLOOKUP(A31,Data!$A:$AN,MATCH(yoy!$AA$1,Data!$A$1:$AN$1,),))+1)^12-1</f>
        <v/>
      </c>
    </row>
    <row r="32">
      <c r="A32" s="20">
        <f>DATE(YEAR(B32),MONTH(B32)-1,DAY(B32))</f>
        <v/>
      </c>
      <c r="B32" s="12" t="n">
        <v>42826</v>
      </c>
      <c r="C32" s="14">
        <f>(((VLOOKUP(B32,Data!$A:$AN,MATCH(yoy!$C$1,Data!$A$1:$AN$1,),)-VLOOKUP(A32,Data!$A:$AN,MATCH(yoy!$C$1,Data!$A$1:$AN$1,),))/VLOOKUP(A32,Data!$A:$AN,MATCH(yoy!$C$1,Data!$A$1:$AN$1,),))+1)^12-1</f>
        <v/>
      </c>
      <c r="D32" s="14">
        <f>(((VLOOKUP(B32,Data!$A:$AN,MATCH(yoy!$D$1,Data!$A$1:$AN$1,),)-VLOOKUP(A32,Data!$A:$AN,MATCH(yoy!$D$1,Data!$A$1:$AN$1,),))/VLOOKUP(A32,Data!$A:$AN,MATCH(yoy!$D$1,Data!$A$1:$AN$1,),))+1)^12-1</f>
        <v/>
      </c>
      <c r="E32" s="14">
        <f>(((VLOOKUP(B32,Data!$A:$AN,MATCH(yoy!$E$1,Data!$A$1:$AN$1,),)-VLOOKUP(A32,Data!$A:$AN,MATCH(yoy!$E$1,Data!$A$1:$AN$1,),))/VLOOKUP(A32,Data!$A:$AN,MATCH(yoy!$E$1,Data!$A$1:$AN$1,),))+1)^12-1</f>
        <v/>
      </c>
      <c r="F32" s="14">
        <f>(((VLOOKUP(B32,Data!$A:$AN,MATCH(yoy!$F$1,Data!$A$1:$AN$1,),)-VLOOKUP(A32,Data!$A:$AN,MATCH(yoy!$F$1,Data!$A$1:$AN$1,),))/VLOOKUP(A32,Data!$A:$AN,MATCH(yoy!$F$1,Data!$A$1:$AN$1,),))+1)^12-1</f>
        <v/>
      </c>
      <c r="G32" s="14">
        <f>(((VLOOKUP(B32,Data!$A:$AN,MATCH(yoy!$G$1,Data!$A$1:$AN$1,),)-VLOOKUP(A32,Data!$A:$AN,MATCH(yoy!$G$1,Data!$A$1:$AN$1,),))/VLOOKUP(A32,Data!$A:$AN,MATCH(yoy!$G$1,Data!$A$1:$AN$1,),))+1)^12-1</f>
        <v/>
      </c>
      <c r="H32" s="14">
        <f>(((VLOOKUP(B32,Data!$A:$AN,MATCH(yoy!$H$1,Data!$A$1:$AN$1,),)-VLOOKUP(A32,Data!$A:$AN,MATCH(yoy!$H$1,Data!$A$1:$AN$1,),))/VLOOKUP(A32,Data!$A:$AN,MATCH(yoy!$H$1,Data!$A$1:$AN$1,),))+1)^12-1</f>
        <v/>
      </c>
      <c r="I32" s="14">
        <f>(((VLOOKUP(B32,Data!$A:$AN,MATCH(yoy!$I$1,Data!$A$1:$AN$1,),)-VLOOKUP(A32,Data!$A:$AN,MATCH(yoy!$I$1,Data!$A$1:$AN$1,),))/VLOOKUP(A32,Data!$A:$AN,MATCH(yoy!$I$1,Data!$A$1:$AN$1,),))+1)^12-1</f>
        <v/>
      </c>
      <c r="J32" s="14">
        <f>(((VLOOKUP(B32,Data!$A:$AN,MATCH(yoy!$J$1,Data!$A$1:$AN$1,),)-VLOOKUP(A32,Data!$A:$AN,MATCH(yoy!$J$1,Data!$A$1:$AN$1,),))/VLOOKUP(A32,Data!$A:$AN,MATCH(yoy!$J$1,Data!$A$1:$AN$1,),))+1)^12-1</f>
        <v/>
      </c>
      <c r="K32" s="14">
        <f>(((VLOOKUP(B32,Data!$A:$AN,MATCH(yoy!$K$1,Data!$A$1:$AN$1,),)-VLOOKUP(A32,Data!$A:$AN,MATCH(yoy!$K$1,Data!$A$1:$AN$1,),))/VLOOKUP(A32,Data!$A:$AN,MATCH(yoy!$K$1,Data!$A$1:$AN$1,),))+1)^12-1</f>
        <v/>
      </c>
      <c r="L32" s="14">
        <f>(((VLOOKUP(B32,Data!$A:$AN,MATCH(yoy!$L$1,Data!$A$1:$AN$1,),)-VLOOKUP(A32,Data!$A:$AN,MATCH(yoy!$L$1,Data!$A$1:$AN$1,),))/VLOOKUP(A32,Data!$A:$AN,MATCH(yoy!$L$1,Data!$A$1:$AN$1,),))+1)^12-1</f>
        <v/>
      </c>
      <c r="M32" s="14">
        <f>(((VLOOKUP(B32,Data!$A:$AN,MATCH(yoy!$M$1,Data!$A$1:$AN$1,),)-VLOOKUP(A32,Data!$A:$AN,MATCH(yoy!$M$1,Data!$A$1:$AN$1,),))/VLOOKUP(A32,Data!$A:$AN,MATCH(yoy!$M$1,Data!$A$1:$AN$1,),))+1)^12-1</f>
        <v/>
      </c>
      <c r="N32" s="14">
        <f>(((VLOOKUP(B32,Data!$A:$AN,MATCH(yoy!$N$1,Data!$A$1:$AN$1,),)-VLOOKUP(A32,Data!$A:$AN,MATCH(yoy!$N$1,Data!$A$1:$AN$1,),))/VLOOKUP(A32,Data!$A:$AN,MATCH(yoy!$N$1,Data!$A$1:$AN$1,),))+1)^12-1</f>
        <v/>
      </c>
      <c r="O32" s="14">
        <f>(((VLOOKUP(B32,Data!$A:$AN,MATCH(yoy!$O$1,Data!$A$1:$AN$1,),)-VLOOKUP(A32,Data!$A:$AN,MATCH(yoy!$O$1,Data!$A$1:$AN$1,),))/VLOOKUP(A32,Data!$A:$AN,MATCH(yoy!$O$1,Data!$A$1:$AN$1,),))+1)^12-1</f>
        <v/>
      </c>
      <c r="P32" s="14">
        <f>(((VLOOKUP(B32,Data!$A:$AN,MATCH(yoy!$P$1,Data!$A$1:$AN$1,),)-VLOOKUP(A32,Data!$A:$AN,MATCH(yoy!$P$1,Data!$A$1:$AN$1,),))/VLOOKUP(A32,Data!$A:$AN,MATCH(yoy!$P$1,Data!$A$1:$AN$1,),))+1)^12-1</f>
        <v/>
      </c>
      <c r="Q32" s="14">
        <f>(((VLOOKUP(B32,Data!$A:$AN,MATCH(yoy!$Q$1,Data!$A$1:$AN$1,),)-VLOOKUP(A32,Data!$A:$AN,MATCH(yoy!$Q$1,Data!$A$1:$AN$1,),))/VLOOKUP(A32,Data!$A:$AN,MATCH(yoy!$Q$1,Data!$A$1:$AN$1,),))+1)^12-1</f>
        <v/>
      </c>
      <c r="R32" s="14">
        <f>(((VLOOKUP(B32,Data!$A:$AN,MATCH(yoy!$R$1,Data!$A$1:$AN$1,),)-VLOOKUP(A32,Data!$A:$AN,MATCH(yoy!$R$1,Data!$A$1:$AN$1,),))/VLOOKUP(A32,Data!$A:$AN,MATCH(yoy!$R$1,Data!$A$1:$AN$1,),))+1)^12-1</f>
        <v/>
      </c>
      <c r="S32" s="14">
        <f>(((VLOOKUP(B32,Data!$A:$AN,MATCH(yoy!$S$1,Data!$A$1:$AN$1,),)-VLOOKUP(A32,Data!$A:$AN,MATCH(yoy!$S$1,Data!$A$1:$AN$1,),))/VLOOKUP(A32,Data!$A:$AN,MATCH(yoy!$S$1,Data!$A$1:$AN$1,),))+1)^12-1</f>
        <v/>
      </c>
      <c r="T32" s="14">
        <f>(((VLOOKUP(B32,Data!$A:$AN,MATCH(yoy!$T$1,Data!$A$1:$AN$1,),)-VLOOKUP(A32,Data!$A:$AN,MATCH(yoy!$T$1,Data!$A$1:$AN$1,),))/VLOOKUP(A32,Data!$A:$AN,MATCH(yoy!$T$1,Data!$A$1:$AN$1,),))+1)^12-1</f>
        <v/>
      </c>
      <c r="U32" s="14">
        <f>(((VLOOKUP(B32,Data!$A:$AN,MATCH(yoy!$U$1,Data!$A$1:$AN$1,),)-VLOOKUP(A32,Data!$A:$AN,MATCH(yoy!$U$1,Data!$A$1:$AN$1,),))/VLOOKUP(A32,Data!$A:$AN,MATCH(yoy!$U$1,Data!$A$1:$AN$1,),))+1)^12-1</f>
        <v/>
      </c>
      <c r="V32" s="14">
        <f>(((VLOOKUP(B32,Data!$A:$AN,MATCH(yoy!$V$1,Data!$A$1:$AN$1,),)-VLOOKUP(A32,Data!$A:$AN,MATCH(yoy!$V$1,Data!$A$1:$AN$1,),))/VLOOKUP(A32,Data!$A:$AN,MATCH(yoy!$V$1,Data!$A$1:$AN$1,),))+1)^12-1</f>
        <v/>
      </c>
      <c r="W32" s="14">
        <f>(((VLOOKUP(B32,Data!$A:$AN,MATCH(yoy!$W$1,Data!$A$1:$AN$1,),)-VLOOKUP(A32,Data!$A:$AN,MATCH(yoy!$W$1,Data!$A$1:$AN$1,),))/VLOOKUP(A32,Data!$A:$AN,MATCH(yoy!$W$1,Data!$A$1:$AN$1,),))+1)^12-1</f>
        <v/>
      </c>
      <c r="X32" s="14">
        <f>(((VLOOKUP(B32,Data!$A:$AN,MATCH(yoy!$X$1,Data!$A$1:$AN$1,),)-VLOOKUP(A32,Data!$A:$AN,MATCH(yoy!$X$1,Data!$A$1:$AN$1,),))/VLOOKUP(A32,Data!$A:$AN,MATCH(yoy!$X$1,Data!$A$1:$AN$1,),))+1)^12-1</f>
        <v/>
      </c>
      <c r="Y32" s="14">
        <f>(((VLOOKUP(B32,Data!$A:$AN,MATCH(yoy!$Y$1,Data!$A$1:$AN$1,),)-VLOOKUP(A32,Data!$A:$AN,MATCH(yoy!$Y$1,Data!$A$1:$AN$1,),))/VLOOKUP(A32,Data!$A:$AN,MATCH(yoy!$Y$1,Data!$A$1:$AN$1,),))+1)^12-1</f>
        <v/>
      </c>
      <c r="Z32" s="14">
        <f>(((VLOOKUP(B32,Data!$A:$AN,MATCH(yoy!$Z$1,Data!$A$1:$AN$1,),)-VLOOKUP(A32,Data!$A:$AN,MATCH(yoy!$Z$1,Data!$A$1:$AN$1,),))/VLOOKUP(A32,Data!$A:$AN,MATCH(yoy!$Z$1,Data!$A$1:$AN$1,),))+1)^12-1</f>
        <v/>
      </c>
      <c r="AA32" s="14">
        <f>(((VLOOKUP(B32,Data!$A:$AN,MATCH(yoy!$AA$1,Data!$A$1:$AN$1,),)-VLOOKUP(A32,Data!$A:$AN,MATCH(yoy!$AA$1,Data!$A$1:$AN$1,),))/VLOOKUP(A32,Data!$A:$AN,MATCH(yoy!$AA$1,Data!$A$1:$AN$1,),))+1)^12-1</f>
        <v/>
      </c>
    </row>
    <row r="33">
      <c r="A33" s="20">
        <f>DATE(YEAR(B33),MONTH(B33)-1,DAY(B33))</f>
        <v/>
      </c>
      <c r="B33" s="12" t="n">
        <v>42856</v>
      </c>
      <c r="C33" s="14">
        <f>(((VLOOKUP(B33,Data!$A:$AN,MATCH(yoy!$C$1,Data!$A$1:$AN$1,),)-VLOOKUP(A33,Data!$A:$AN,MATCH(yoy!$C$1,Data!$A$1:$AN$1,),))/VLOOKUP(A33,Data!$A:$AN,MATCH(yoy!$C$1,Data!$A$1:$AN$1,),))+1)^12-1</f>
        <v/>
      </c>
      <c r="D33" s="14">
        <f>(((VLOOKUP(B33,Data!$A:$AN,MATCH(yoy!$D$1,Data!$A$1:$AN$1,),)-VLOOKUP(A33,Data!$A:$AN,MATCH(yoy!$D$1,Data!$A$1:$AN$1,),))/VLOOKUP(A33,Data!$A:$AN,MATCH(yoy!$D$1,Data!$A$1:$AN$1,),))+1)^12-1</f>
        <v/>
      </c>
      <c r="E33" s="14">
        <f>(((VLOOKUP(B33,Data!$A:$AN,MATCH(yoy!$E$1,Data!$A$1:$AN$1,),)-VLOOKUP(A33,Data!$A:$AN,MATCH(yoy!$E$1,Data!$A$1:$AN$1,),))/VLOOKUP(A33,Data!$A:$AN,MATCH(yoy!$E$1,Data!$A$1:$AN$1,),))+1)^12-1</f>
        <v/>
      </c>
      <c r="F33" s="14">
        <f>(((VLOOKUP(B33,Data!$A:$AN,MATCH(yoy!$F$1,Data!$A$1:$AN$1,),)-VLOOKUP(A33,Data!$A:$AN,MATCH(yoy!$F$1,Data!$A$1:$AN$1,),))/VLOOKUP(A33,Data!$A:$AN,MATCH(yoy!$F$1,Data!$A$1:$AN$1,),))+1)^12-1</f>
        <v/>
      </c>
      <c r="G33" s="14">
        <f>(((VLOOKUP(B33,Data!$A:$AN,MATCH(yoy!$G$1,Data!$A$1:$AN$1,),)-VLOOKUP(A33,Data!$A:$AN,MATCH(yoy!$G$1,Data!$A$1:$AN$1,),))/VLOOKUP(A33,Data!$A:$AN,MATCH(yoy!$G$1,Data!$A$1:$AN$1,),))+1)^12-1</f>
        <v/>
      </c>
      <c r="H33" s="14">
        <f>(((VLOOKUP(B33,Data!$A:$AN,MATCH(yoy!$H$1,Data!$A$1:$AN$1,),)-VLOOKUP(A33,Data!$A:$AN,MATCH(yoy!$H$1,Data!$A$1:$AN$1,),))/VLOOKUP(A33,Data!$A:$AN,MATCH(yoy!$H$1,Data!$A$1:$AN$1,),))+1)^12-1</f>
        <v/>
      </c>
      <c r="I33" s="14">
        <f>(((VLOOKUP(B33,Data!$A:$AN,MATCH(yoy!$I$1,Data!$A$1:$AN$1,),)-VLOOKUP(A33,Data!$A:$AN,MATCH(yoy!$I$1,Data!$A$1:$AN$1,),))/VLOOKUP(A33,Data!$A:$AN,MATCH(yoy!$I$1,Data!$A$1:$AN$1,),))+1)^12-1</f>
        <v/>
      </c>
      <c r="J33" s="14">
        <f>(((VLOOKUP(B33,Data!$A:$AN,MATCH(yoy!$J$1,Data!$A$1:$AN$1,),)-VLOOKUP(A33,Data!$A:$AN,MATCH(yoy!$J$1,Data!$A$1:$AN$1,),))/VLOOKUP(A33,Data!$A:$AN,MATCH(yoy!$J$1,Data!$A$1:$AN$1,),))+1)^12-1</f>
        <v/>
      </c>
      <c r="K33" s="14">
        <f>(((VLOOKUP(B33,Data!$A:$AN,MATCH(yoy!$K$1,Data!$A$1:$AN$1,),)-VLOOKUP(A33,Data!$A:$AN,MATCH(yoy!$K$1,Data!$A$1:$AN$1,),))/VLOOKUP(A33,Data!$A:$AN,MATCH(yoy!$K$1,Data!$A$1:$AN$1,),))+1)^12-1</f>
        <v/>
      </c>
      <c r="L33" s="14">
        <f>(((VLOOKUP(B33,Data!$A:$AN,MATCH(yoy!$L$1,Data!$A$1:$AN$1,),)-VLOOKUP(A33,Data!$A:$AN,MATCH(yoy!$L$1,Data!$A$1:$AN$1,),))/VLOOKUP(A33,Data!$A:$AN,MATCH(yoy!$L$1,Data!$A$1:$AN$1,),))+1)^12-1</f>
        <v/>
      </c>
      <c r="M33" s="14">
        <f>(((VLOOKUP(B33,Data!$A:$AN,MATCH(yoy!$M$1,Data!$A$1:$AN$1,),)-VLOOKUP(A33,Data!$A:$AN,MATCH(yoy!$M$1,Data!$A$1:$AN$1,),))/VLOOKUP(A33,Data!$A:$AN,MATCH(yoy!$M$1,Data!$A$1:$AN$1,),))+1)^12-1</f>
        <v/>
      </c>
      <c r="N33" s="14">
        <f>(((VLOOKUP(B33,Data!$A:$AN,MATCH(yoy!$N$1,Data!$A$1:$AN$1,),)-VLOOKUP(A33,Data!$A:$AN,MATCH(yoy!$N$1,Data!$A$1:$AN$1,),))/VLOOKUP(A33,Data!$A:$AN,MATCH(yoy!$N$1,Data!$A$1:$AN$1,),))+1)^12-1</f>
        <v/>
      </c>
      <c r="O33" s="14">
        <f>(((VLOOKUP(B33,Data!$A:$AN,MATCH(yoy!$O$1,Data!$A$1:$AN$1,),)-VLOOKUP(A33,Data!$A:$AN,MATCH(yoy!$O$1,Data!$A$1:$AN$1,),))/VLOOKUP(A33,Data!$A:$AN,MATCH(yoy!$O$1,Data!$A$1:$AN$1,),))+1)^12-1</f>
        <v/>
      </c>
      <c r="P33" s="14">
        <f>(((VLOOKUP(B33,Data!$A:$AN,MATCH(yoy!$P$1,Data!$A$1:$AN$1,),)-VLOOKUP(A33,Data!$A:$AN,MATCH(yoy!$P$1,Data!$A$1:$AN$1,),))/VLOOKUP(A33,Data!$A:$AN,MATCH(yoy!$P$1,Data!$A$1:$AN$1,),))+1)^12-1</f>
        <v/>
      </c>
      <c r="Q33" s="14">
        <f>(((VLOOKUP(B33,Data!$A:$AN,MATCH(yoy!$Q$1,Data!$A$1:$AN$1,),)-VLOOKUP(A33,Data!$A:$AN,MATCH(yoy!$Q$1,Data!$A$1:$AN$1,),))/VLOOKUP(A33,Data!$A:$AN,MATCH(yoy!$Q$1,Data!$A$1:$AN$1,),))+1)^12-1</f>
        <v/>
      </c>
      <c r="R33" s="14">
        <f>(((VLOOKUP(B33,Data!$A:$AN,MATCH(yoy!$R$1,Data!$A$1:$AN$1,),)-VLOOKUP(A33,Data!$A:$AN,MATCH(yoy!$R$1,Data!$A$1:$AN$1,),))/VLOOKUP(A33,Data!$A:$AN,MATCH(yoy!$R$1,Data!$A$1:$AN$1,),))+1)^12-1</f>
        <v/>
      </c>
      <c r="S33" s="14">
        <f>(((VLOOKUP(B33,Data!$A:$AN,MATCH(yoy!$S$1,Data!$A$1:$AN$1,),)-VLOOKUP(A33,Data!$A:$AN,MATCH(yoy!$S$1,Data!$A$1:$AN$1,),))/VLOOKUP(A33,Data!$A:$AN,MATCH(yoy!$S$1,Data!$A$1:$AN$1,),))+1)^12-1</f>
        <v/>
      </c>
      <c r="T33" s="14">
        <f>(((VLOOKUP(B33,Data!$A:$AN,MATCH(yoy!$T$1,Data!$A$1:$AN$1,),)-VLOOKUP(A33,Data!$A:$AN,MATCH(yoy!$T$1,Data!$A$1:$AN$1,),))/VLOOKUP(A33,Data!$A:$AN,MATCH(yoy!$T$1,Data!$A$1:$AN$1,),))+1)^12-1</f>
        <v/>
      </c>
      <c r="U33" s="14">
        <f>(((VLOOKUP(B33,Data!$A:$AN,MATCH(yoy!$U$1,Data!$A$1:$AN$1,),)-VLOOKUP(A33,Data!$A:$AN,MATCH(yoy!$U$1,Data!$A$1:$AN$1,),))/VLOOKUP(A33,Data!$A:$AN,MATCH(yoy!$U$1,Data!$A$1:$AN$1,),))+1)^12-1</f>
        <v/>
      </c>
      <c r="V33" s="14">
        <f>(((VLOOKUP(B33,Data!$A:$AN,MATCH(yoy!$V$1,Data!$A$1:$AN$1,),)-VLOOKUP(A33,Data!$A:$AN,MATCH(yoy!$V$1,Data!$A$1:$AN$1,),))/VLOOKUP(A33,Data!$A:$AN,MATCH(yoy!$V$1,Data!$A$1:$AN$1,),))+1)^12-1</f>
        <v/>
      </c>
      <c r="W33" s="14">
        <f>(((VLOOKUP(B33,Data!$A:$AN,MATCH(yoy!$W$1,Data!$A$1:$AN$1,),)-VLOOKUP(A33,Data!$A:$AN,MATCH(yoy!$W$1,Data!$A$1:$AN$1,),))/VLOOKUP(A33,Data!$A:$AN,MATCH(yoy!$W$1,Data!$A$1:$AN$1,),))+1)^12-1</f>
        <v/>
      </c>
      <c r="X33" s="14">
        <f>(((VLOOKUP(B33,Data!$A:$AN,MATCH(yoy!$X$1,Data!$A$1:$AN$1,),)-VLOOKUP(A33,Data!$A:$AN,MATCH(yoy!$X$1,Data!$A$1:$AN$1,),))/VLOOKUP(A33,Data!$A:$AN,MATCH(yoy!$X$1,Data!$A$1:$AN$1,),))+1)^12-1</f>
        <v/>
      </c>
      <c r="Y33" s="14">
        <f>(((VLOOKUP(B33,Data!$A:$AN,MATCH(yoy!$Y$1,Data!$A$1:$AN$1,),)-VLOOKUP(A33,Data!$A:$AN,MATCH(yoy!$Y$1,Data!$A$1:$AN$1,),))/VLOOKUP(A33,Data!$A:$AN,MATCH(yoy!$Y$1,Data!$A$1:$AN$1,),))+1)^12-1</f>
        <v/>
      </c>
      <c r="Z33" s="14">
        <f>(((VLOOKUP(B33,Data!$A:$AN,MATCH(yoy!$Z$1,Data!$A$1:$AN$1,),)-VLOOKUP(A33,Data!$A:$AN,MATCH(yoy!$Z$1,Data!$A$1:$AN$1,),))/VLOOKUP(A33,Data!$A:$AN,MATCH(yoy!$Z$1,Data!$A$1:$AN$1,),))+1)^12-1</f>
        <v/>
      </c>
      <c r="AA33" s="14">
        <f>(((VLOOKUP(B33,Data!$A:$AN,MATCH(yoy!$AA$1,Data!$A$1:$AN$1,),)-VLOOKUP(A33,Data!$A:$AN,MATCH(yoy!$AA$1,Data!$A$1:$AN$1,),))/VLOOKUP(A33,Data!$A:$AN,MATCH(yoy!$AA$1,Data!$A$1:$AN$1,),))+1)^12-1</f>
        <v/>
      </c>
    </row>
    <row r="34">
      <c r="A34" s="20">
        <f>DATE(YEAR(B34),MONTH(B34)-1,DAY(B34))</f>
        <v/>
      </c>
      <c r="B34" s="12" t="n">
        <v>42887</v>
      </c>
      <c r="C34" s="14">
        <f>(((VLOOKUP(B34,Data!$A:$AN,MATCH(yoy!$C$1,Data!$A$1:$AN$1,),)-VLOOKUP(A34,Data!$A:$AN,MATCH(yoy!$C$1,Data!$A$1:$AN$1,),))/VLOOKUP(A34,Data!$A:$AN,MATCH(yoy!$C$1,Data!$A$1:$AN$1,),))+1)^12-1</f>
        <v/>
      </c>
      <c r="D34" s="14">
        <f>(((VLOOKUP(B34,Data!$A:$AN,MATCH(yoy!$D$1,Data!$A$1:$AN$1,),)-VLOOKUP(A34,Data!$A:$AN,MATCH(yoy!$D$1,Data!$A$1:$AN$1,),))/VLOOKUP(A34,Data!$A:$AN,MATCH(yoy!$D$1,Data!$A$1:$AN$1,),))+1)^12-1</f>
        <v/>
      </c>
      <c r="E34" s="14">
        <f>(((VLOOKUP(B34,Data!$A:$AN,MATCH(yoy!$E$1,Data!$A$1:$AN$1,),)-VLOOKUP(A34,Data!$A:$AN,MATCH(yoy!$E$1,Data!$A$1:$AN$1,),))/VLOOKUP(A34,Data!$A:$AN,MATCH(yoy!$E$1,Data!$A$1:$AN$1,),))+1)^12-1</f>
        <v/>
      </c>
      <c r="F34" s="14">
        <f>(((VLOOKUP(B34,Data!$A:$AN,MATCH(yoy!$F$1,Data!$A$1:$AN$1,),)-VLOOKUP(A34,Data!$A:$AN,MATCH(yoy!$F$1,Data!$A$1:$AN$1,),))/VLOOKUP(A34,Data!$A:$AN,MATCH(yoy!$F$1,Data!$A$1:$AN$1,),))+1)^12-1</f>
        <v/>
      </c>
      <c r="G34" s="14">
        <f>(((VLOOKUP(B34,Data!$A:$AN,MATCH(yoy!$G$1,Data!$A$1:$AN$1,),)-VLOOKUP(A34,Data!$A:$AN,MATCH(yoy!$G$1,Data!$A$1:$AN$1,),))/VLOOKUP(A34,Data!$A:$AN,MATCH(yoy!$G$1,Data!$A$1:$AN$1,),))+1)^12-1</f>
        <v/>
      </c>
      <c r="H34" s="14">
        <f>(((VLOOKUP(B34,Data!$A:$AN,MATCH(yoy!$H$1,Data!$A$1:$AN$1,),)-VLOOKUP(A34,Data!$A:$AN,MATCH(yoy!$H$1,Data!$A$1:$AN$1,),))/VLOOKUP(A34,Data!$A:$AN,MATCH(yoy!$H$1,Data!$A$1:$AN$1,),))+1)^12-1</f>
        <v/>
      </c>
      <c r="I34" s="14">
        <f>(((VLOOKUP(B34,Data!$A:$AN,MATCH(yoy!$I$1,Data!$A$1:$AN$1,),)-VLOOKUP(A34,Data!$A:$AN,MATCH(yoy!$I$1,Data!$A$1:$AN$1,),))/VLOOKUP(A34,Data!$A:$AN,MATCH(yoy!$I$1,Data!$A$1:$AN$1,),))+1)^12-1</f>
        <v/>
      </c>
      <c r="J34" s="14">
        <f>(((VLOOKUP(B34,Data!$A:$AN,MATCH(yoy!$J$1,Data!$A$1:$AN$1,),)-VLOOKUP(A34,Data!$A:$AN,MATCH(yoy!$J$1,Data!$A$1:$AN$1,),))/VLOOKUP(A34,Data!$A:$AN,MATCH(yoy!$J$1,Data!$A$1:$AN$1,),))+1)^12-1</f>
        <v/>
      </c>
      <c r="K34" s="14">
        <f>(((VLOOKUP(B34,Data!$A:$AN,MATCH(yoy!$K$1,Data!$A$1:$AN$1,),)-VLOOKUP(A34,Data!$A:$AN,MATCH(yoy!$K$1,Data!$A$1:$AN$1,),))/VLOOKUP(A34,Data!$A:$AN,MATCH(yoy!$K$1,Data!$A$1:$AN$1,),))+1)^12-1</f>
        <v/>
      </c>
      <c r="L34" s="14">
        <f>(((VLOOKUP(B34,Data!$A:$AN,MATCH(yoy!$L$1,Data!$A$1:$AN$1,),)-VLOOKUP(A34,Data!$A:$AN,MATCH(yoy!$L$1,Data!$A$1:$AN$1,),))/VLOOKUP(A34,Data!$A:$AN,MATCH(yoy!$L$1,Data!$A$1:$AN$1,),))+1)^12-1</f>
        <v/>
      </c>
      <c r="M34" s="14">
        <f>(((VLOOKUP(B34,Data!$A:$AN,MATCH(yoy!$M$1,Data!$A$1:$AN$1,),)-VLOOKUP(A34,Data!$A:$AN,MATCH(yoy!$M$1,Data!$A$1:$AN$1,),))/VLOOKUP(A34,Data!$A:$AN,MATCH(yoy!$M$1,Data!$A$1:$AN$1,),))+1)^12-1</f>
        <v/>
      </c>
      <c r="N34" s="14">
        <f>(((VLOOKUP(B34,Data!$A:$AN,MATCH(yoy!$N$1,Data!$A$1:$AN$1,),)-VLOOKUP(A34,Data!$A:$AN,MATCH(yoy!$N$1,Data!$A$1:$AN$1,),))/VLOOKUP(A34,Data!$A:$AN,MATCH(yoy!$N$1,Data!$A$1:$AN$1,),))+1)^12-1</f>
        <v/>
      </c>
      <c r="O34" s="14">
        <f>(((VLOOKUP(B34,Data!$A:$AN,MATCH(yoy!$O$1,Data!$A$1:$AN$1,),)-VLOOKUP(A34,Data!$A:$AN,MATCH(yoy!$O$1,Data!$A$1:$AN$1,),))/VLOOKUP(A34,Data!$A:$AN,MATCH(yoy!$O$1,Data!$A$1:$AN$1,),))+1)^12-1</f>
        <v/>
      </c>
      <c r="P34" s="14">
        <f>(((VLOOKUP(B34,Data!$A:$AN,MATCH(yoy!$P$1,Data!$A$1:$AN$1,),)-VLOOKUP(A34,Data!$A:$AN,MATCH(yoy!$P$1,Data!$A$1:$AN$1,),))/VLOOKUP(A34,Data!$A:$AN,MATCH(yoy!$P$1,Data!$A$1:$AN$1,),))+1)^12-1</f>
        <v/>
      </c>
      <c r="Q34" s="14">
        <f>(((VLOOKUP(B34,Data!$A:$AN,MATCH(yoy!$Q$1,Data!$A$1:$AN$1,),)-VLOOKUP(A34,Data!$A:$AN,MATCH(yoy!$Q$1,Data!$A$1:$AN$1,),))/VLOOKUP(A34,Data!$A:$AN,MATCH(yoy!$Q$1,Data!$A$1:$AN$1,),))+1)^12-1</f>
        <v/>
      </c>
      <c r="R34" s="14">
        <f>(((VLOOKUP(B34,Data!$A:$AN,MATCH(yoy!$R$1,Data!$A$1:$AN$1,),)-VLOOKUP(A34,Data!$A:$AN,MATCH(yoy!$R$1,Data!$A$1:$AN$1,),))/VLOOKUP(A34,Data!$A:$AN,MATCH(yoy!$R$1,Data!$A$1:$AN$1,),))+1)^12-1</f>
        <v/>
      </c>
      <c r="S34" s="14">
        <f>(((VLOOKUP(B34,Data!$A:$AN,MATCH(yoy!$S$1,Data!$A$1:$AN$1,),)-VLOOKUP(A34,Data!$A:$AN,MATCH(yoy!$S$1,Data!$A$1:$AN$1,),))/VLOOKUP(A34,Data!$A:$AN,MATCH(yoy!$S$1,Data!$A$1:$AN$1,),))+1)^12-1</f>
        <v/>
      </c>
      <c r="T34" s="14">
        <f>(((VLOOKUP(B34,Data!$A:$AN,MATCH(yoy!$T$1,Data!$A$1:$AN$1,),)-VLOOKUP(A34,Data!$A:$AN,MATCH(yoy!$T$1,Data!$A$1:$AN$1,),))/VLOOKUP(A34,Data!$A:$AN,MATCH(yoy!$T$1,Data!$A$1:$AN$1,),))+1)^12-1</f>
        <v/>
      </c>
      <c r="U34" s="14">
        <f>(((VLOOKUP(B34,Data!$A:$AN,MATCH(yoy!$U$1,Data!$A$1:$AN$1,),)-VLOOKUP(A34,Data!$A:$AN,MATCH(yoy!$U$1,Data!$A$1:$AN$1,),))/VLOOKUP(A34,Data!$A:$AN,MATCH(yoy!$U$1,Data!$A$1:$AN$1,),))+1)^12-1</f>
        <v/>
      </c>
      <c r="V34" s="14">
        <f>(((VLOOKUP(B34,Data!$A:$AN,MATCH(yoy!$V$1,Data!$A$1:$AN$1,),)-VLOOKUP(A34,Data!$A:$AN,MATCH(yoy!$V$1,Data!$A$1:$AN$1,),))/VLOOKUP(A34,Data!$A:$AN,MATCH(yoy!$V$1,Data!$A$1:$AN$1,),))+1)^12-1</f>
        <v/>
      </c>
      <c r="W34" s="14">
        <f>(((VLOOKUP(B34,Data!$A:$AN,MATCH(yoy!$W$1,Data!$A$1:$AN$1,),)-VLOOKUP(A34,Data!$A:$AN,MATCH(yoy!$W$1,Data!$A$1:$AN$1,),))/VLOOKUP(A34,Data!$A:$AN,MATCH(yoy!$W$1,Data!$A$1:$AN$1,),))+1)^12-1</f>
        <v/>
      </c>
      <c r="X34" s="14">
        <f>(((VLOOKUP(B34,Data!$A:$AN,MATCH(yoy!$X$1,Data!$A$1:$AN$1,),)-VLOOKUP(A34,Data!$A:$AN,MATCH(yoy!$X$1,Data!$A$1:$AN$1,),))/VLOOKUP(A34,Data!$A:$AN,MATCH(yoy!$X$1,Data!$A$1:$AN$1,),))+1)^12-1</f>
        <v/>
      </c>
      <c r="Y34" s="14">
        <f>(((VLOOKUP(B34,Data!$A:$AN,MATCH(yoy!$Y$1,Data!$A$1:$AN$1,),)-VLOOKUP(A34,Data!$A:$AN,MATCH(yoy!$Y$1,Data!$A$1:$AN$1,),))/VLOOKUP(A34,Data!$A:$AN,MATCH(yoy!$Y$1,Data!$A$1:$AN$1,),))+1)^12-1</f>
        <v/>
      </c>
      <c r="Z34" s="14">
        <f>(((VLOOKUP(B34,Data!$A:$AN,MATCH(yoy!$Z$1,Data!$A$1:$AN$1,),)-VLOOKUP(A34,Data!$A:$AN,MATCH(yoy!$Z$1,Data!$A$1:$AN$1,),))/VLOOKUP(A34,Data!$A:$AN,MATCH(yoy!$Z$1,Data!$A$1:$AN$1,),))+1)^12-1</f>
        <v/>
      </c>
      <c r="AA34" s="14">
        <f>(((VLOOKUP(B34,Data!$A:$AN,MATCH(yoy!$AA$1,Data!$A$1:$AN$1,),)-VLOOKUP(A34,Data!$A:$AN,MATCH(yoy!$AA$1,Data!$A$1:$AN$1,),))/VLOOKUP(A34,Data!$A:$AN,MATCH(yoy!$AA$1,Data!$A$1:$AN$1,),))+1)^12-1</f>
        <v/>
      </c>
    </row>
    <row r="35">
      <c r="A35" s="20">
        <f>DATE(YEAR(B35),MONTH(B35)-1,DAY(B35))</f>
        <v/>
      </c>
      <c r="B35" s="12" t="n">
        <v>42917</v>
      </c>
      <c r="C35" s="14">
        <f>(((VLOOKUP(B35,Data!$A:$AN,MATCH(yoy!$C$1,Data!$A$1:$AN$1,),)-VLOOKUP(A35,Data!$A:$AN,MATCH(yoy!$C$1,Data!$A$1:$AN$1,),))/VLOOKUP(A35,Data!$A:$AN,MATCH(yoy!$C$1,Data!$A$1:$AN$1,),))+1)^12-1</f>
        <v/>
      </c>
      <c r="D35" s="14">
        <f>(((VLOOKUP(B35,Data!$A:$AN,MATCH(yoy!$D$1,Data!$A$1:$AN$1,),)-VLOOKUP(A35,Data!$A:$AN,MATCH(yoy!$D$1,Data!$A$1:$AN$1,),))/VLOOKUP(A35,Data!$A:$AN,MATCH(yoy!$D$1,Data!$A$1:$AN$1,),))+1)^12-1</f>
        <v/>
      </c>
      <c r="E35" s="14">
        <f>(((VLOOKUP(B35,Data!$A:$AN,MATCH(yoy!$E$1,Data!$A$1:$AN$1,),)-VLOOKUP(A35,Data!$A:$AN,MATCH(yoy!$E$1,Data!$A$1:$AN$1,),))/VLOOKUP(A35,Data!$A:$AN,MATCH(yoy!$E$1,Data!$A$1:$AN$1,),))+1)^12-1</f>
        <v/>
      </c>
      <c r="F35" s="14">
        <f>(((VLOOKUP(B35,Data!$A:$AN,MATCH(yoy!$F$1,Data!$A$1:$AN$1,),)-VLOOKUP(A35,Data!$A:$AN,MATCH(yoy!$F$1,Data!$A$1:$AN$1,),))/VLOOKUP(A35,Data!$A:$AN,MATCH(yoy!$F$1,Data!$A$1:$AN$1,),))+1)^12-1</f>
        <v/>
      </c>
      <c r="G35" s="14">
        <f>(((VLOOKUP(B35,Data!$A:$AN,MATCH(yoy!$G$1,Data!$A$1:$AN$1,),)-VLOOKUP(A35,Data!$A:$AN,MATCH(yoy!$G$1,Data!$A$1:$AN$1,),))/VLOOKUP(A35,Data!$A:$AN,MATCH(yoy!$G$1,Data!$A$1:$AN$1,),))+1)^12-1</f>
        <v/>
      </c>
      <c r="H35" s="14">
        <f>(((VLOOKUP(B35,Data!$A:$AN,MATCH(yoy!$H$1,Data!$A$1:$AN$1,),)-VLOOKUP(A35,Data!$A:$AN,MATCH(yoy!$H$1,Data!$A$1:$AN$1,),))/VLOOKUP(A35,Data!$A:$AN,MATCH(yoy!$H$1,Data!$A$1:$AN$1,),))+1)^12-1</f>
        <v/>
      </c>
      <c r="I35" s="14">
        <f>(((VLOOKUP(B35,Data!$A:$AN,MATCH(yoy!$I$1,Data!$A$1:$AN$1,),)-VLOOKUP(A35,Data!$A:$AN,MATCH(yoy!$I$1,Data!$A$1:$AN$1,),))/VLOOKUP(A35,Data!$A:$AN,MATCH(yoy!$I$1,Data!$A$1:$AN$1,),))+1)^12-1</f>
        <v/>
      </c>
      <c r="J35" s="14">
        <f>(((VLOOKUP(B35,Data!$A:$AN,MATCH(yoy!$J$1,Data!$A$1:$AN$1,),)-VLOOKUP(A35,Data!$A:$AN,MATCH(yoy!$J$1,Data!$A$1:$AN$1,),))/VLOOKUP(A35,Data!$A:$AN,MATCH(yoy!$J$1,Data!$A$1:$AN$1,),))+1)^12-1</f>
        <v/>
      </c>
      <c r="K35" s="14">
        <f>(((VLOOKUP(B35,Data!$A:$AN,MATCH(yoy!$K$1,Data!$A$1:$AN$1,),)-VLOOKUP(A35,Data!$A:$AN,MATCH(yoy!$K$1,Data!$A$1:$AN$1,),))/VLOOKUP(A35,Data!$A:$AN,MATCH(yoy!$K$1,Data!$A$1:$AN$1,),))+1)^12-1</f>
        <v/>
      </c>
      <c r="L35" s="14">
        <f>(((VLOOKUP(B35,Data!$A:$AN,MATCH(yoy!$L$1,Data!$A$1:$AN$1,),)-VLOOKUP(A35,Data!$A:$AN,MATCH(yoy!$L$1,Data!$A$1:$AN$1,),))/VLOOKUP(A35,Data!$A:$AN,MATCH(yoy!$L$1,Data!$A$1:$AN$1,),))+1)^12-1</f>
        <v/>
      </c>
      <c r="M35" s="14">
        <f>(((VLOOKUP(B35,Data!$A:$AN,MATCH(yoy!$M$1,Data!$A$1:$AN$1,),)-VLOOKUP(A35,Data!$A:$AN,MATCH(yoy!$M$1,Data!$A$1:$AN$1,),))/VLOOKUP(A35,Data!$A:$AN,MATCH(yoy!$M$1,Data!$A$1:$AN$1,),))+1)^12-1</f>
        <v/>
      </c>
      <c r="N35" s="14">
        <f>(((VLOOKUP(B35,Data!$A:$AN,MATCH(yoy!$N$1,Data!$A$1:$AN$1,),)-VLOOKUP(A35,Data!$A:$AN,MATCH(yoy!$N$1,Data!$A$1:$AN$1,),))/VLOOKUP(A35,Data!$A:$AN,MATCH(yoy!$N$1,Data!$A$1:$AN$1,),))+1)^12-1</f>
        <v/>
      </c>
      <c r="O35" s="14">
        <f>(((VLOOKUP(B35,Data!$A:$AN,MATCH(yoy!$O$1,Data!$A$1:$AN$1,),)-VLOOKUP(A35,Data!$A:$AN,MATCH(yoy!$O$1,Data!$A$1:$AN$1,),))/VLOOKUP(A35,Data!$A:$AN,MATCH(yoy!$O$1,Data!$A$1:$AN$1,),))+1)^12-1</f>
        <v/>
      </c>
      <c r="P35" s="14">
        <f>(((VLOOKUP(B35,Data!$A:$AN,MATCH(yoy!$P$1,Data!$A$1:$AN$1,),)-VLOOKUP(A35,Data!$A:$AN,MATCH(yoy!$P$1,Data!$A$1:$AN$1,),))/VLOOKUP(A35,Data!$A:$AN,MATCH(yoy!$P$1,Data!$A$1:$AN$1,),))+1)^12-1</f>
        <v/>
      </c>
      <c r="Q35" s="14">
        <f>(((VLOOKUP(B35,Data!$A:$AN,MATCH(yoy!$Q$1,Data!$A$1:$AN$1,),)-VLOOKUP(A35,Data!$A:$AN,MATCH(yoy!$Q$1,Data!$A$1:$AN$1,),))/VLOOKUP(A35,Data!$A:$AN,MATCH(yoy!$Q$1,Data!$A$1:$AN$1,),))+1)^12-1</f>
        <v/>
      </c>
      <c r="R35" s="14">
        <f>(((VLOOKUP(B35,Data!$A:$AN,MATCH(yoy!$R$1,Data!$A$1:$AN$1,),)-VLOOKUP(A35,Data!$A:$AN,MATCH(yoy!$R$1,Data!$A$1:$AN$1,),))/VLOOKUP(A35,Data!$A:$AN,MATCH(yoy!$R$1,Data!$A$1:$AN$1,),))+1)^12-1</f>
        <v/>
      </c>
      <c r="S35" s="14">
        <f>(((VLOOKUP(B35,Data!$A:$AN,MATCH(yoy!$S$1,Data!$A$1:$AN$1,),)-VLOOKUP(A35,Data!$A:$AN,MATCH(yoy!$S$1,Data!$A$1:$AN$1,),))/VLOOKUP(A35,Data!$A:$AN,MATCH(yoy!$S$1,Data!$A$1:$AN$1,),))+1)^12-1</f>
        <v/>
      </c>
      <c r="T35" s="14">
        <f>(((VLOOKUP(B35,Data!$A:$AN,MATCH(yoy!$T$1,Data!$A$1:$AN$1,),)-VLOOKUP(A35,Data!$A:$AN,MATCH(yoy!$T$1,Data!$A$1:$AN$1,),))/VLOOKUP(A35,Data!$A:$AN,MATCH(yoy!$T$1,Data!$A$1:$AN$1,),))+1)^12-1</f>
        <v/>
      </c>
      <c r="U35" s="14">
        <f>(((VLOOKUP(B35,Data!$A:$AN,MATCH(yoy!$U$1,Data!$A$1:$AN$1,),)-VLOOKUP(A35,Data!$A:$AN,MATCH(yoy!$U$1,Data!$A$1:$AN$1,),))/VLOOKUP(A35,Data!$A:$AN,MATCH(yoy!$U$1,Data!$A$1:$AN$1,),))+1)^12-1</f>
        <v/>
      </c>
      <c r="V35" s="14">
        <f>(((VLOOKUP(B35,Data!$A:$AN,MATCH(yoy!$V$1,Data!$A$1:$AN$1,),)-VLOOKUP(A35,Data!$A:$AN,MATCH(yoy!$V$1,Data!$A$1:$AN$1,),))/VLOOKUP(A35,Data!$A:$AN,MATCH(yoy!$V$1,Data!$A$1:$AN$1,),))+1)^12-1</f>
        <v/>
      </c>
      <c r="W35" s="14">
        <f>(((VLOOKUP(B35,Data!$A:$AN,MATCH(yoy!$W$1,Data!$A$1:$AN$1,),)-VLOOKUP(A35,Data!$A:$AN,MATCH(yoy!$W$1,Data!$A$1:$AN$1,),))/VLOOKUP(A35,Data!$A:$AN,MATCH(yoy!$W$1,Data!$A$1:$AN$1,),))+1)^12-1</f>
        <v/>
      </c>
      <c r="X35" s="14">
        <f>(((VLOOKUP(B35,Data!$A:$AN,MATCH(yoy!$X$1,Data!$A$1:$AN$1,),)-VLOOKUP(A35,Data!$A:$AN,MATCH(yoy!$X$1,Data!$A$1:$AN$1,),))/VLOOKUP(A35,Data!$A:$AN,MATCH(yoy!$X$1,Data!$A$1:$AN$1,),))+1)^12-1</f>
        <v/>
      </c>
      <c r="Y35" s="14">
        <f>(((VLOOKUP(B35,Data!$A:$AN,MATCH(yoy!$Y$1,Data!$A$1:$AN$1,),)-VLOOKUP(A35,Data!$A:$AN,MATCH(yoy!$Y$1,Data!$A$1:$AN$1,),))/VLOOKUP(A35,Data!$A:$AN,MATCH(yoy!$Y$1,Data!$A$1:$AN$1,),))+1)^12-1</f>
        <v/>
      </c>
      <c r="Z35" s="14">
        <f>(((VLOOKUP(B35,Data!$A:$AN,MATCH(yoy!$Z$1,Data!$A$1:$AN$1,),)-VLOOKUP(A35,Data!$A:$AN,MATCH(yoy!$Z$1,Data!$A$1:$AN$1,),))/VLOOKUP(A35,Data!$A:$AN,MATCH(yoy!$Z$1,Data!$A$1:$AN$1,),))+1)^12-1</f>
        <v/>
      </c>
      <c r="AA35" s="14">
        <f>(((VLOOKUP(B35,Data!$A:$AN,MATCH(yoy!$AA$1,Data!$A$1:$AN$1,),)-VLOOKUP(A35,Data!$A:$AN,MATCH(yoy!$AA$1,Data!$A$1:$AN$1,),))/VLOOKUP(A35,Data!$A:$AN,MATCH(yoy!$AA$1,Data!$A$1:$AN$1,),))+1)^12-1</f>
        <v/>
      </c>
    </row>
    <row r="36">
      <c r="A36" s="20">
        <f>DATE(YEAR(B36),MONTH(B36)-1,DAY(B36))</f>
        <v/>
      </c>
      <c r="B36" s="12" t="n">
        <v>42948</v>
      </c>
      <c r="C36" s="14">
        <f>(((VLOOKUP(B36,Data!$A:$AN,MATCH(yoy!$C$1,Data!$A$1:$AN$1,),)-VLOOKUP(A36,Data!$A:$AN,MATCH(yoy!$C$1,Data!$A$1:$AN$1,),))/VLOOKUP(A36,Data!$A:$AN,MATCH(yoy!$C$1,Data!$A$1:$AN$1,),))+1)^12-1</f>
        <v/>
      </c>
      <c r="D36" s="14">
        <f>(((VLOOKUP(B36,Data!$A:$AN,MATCH(yoy!$D$1,Data!$A$1:$AN$1,),)-VLOOKUP(A36,Data!$A:$AN,MATCH(yoy!$D$1,Data!$A$1:$AN$1,),))/VLOOKUP(A36,Data!$A:$AN,MATCH(yoy!$D$1,Data!$A$1:$AN$1,),))+1)^12-1</f>
        <v/>
      </c>
      <c r="E36" s="14">
        <f>(((VLOOKUP(B36,Data!$A:$AN,MATCH(yoy!$E$1,Data!$A$1:$AN$1,),)-VLOOKUP(A36,Data!$A:$AN,MATCH(yoy!$E$1,Data!$A$1:$AN$1,),))/VLOOKUP(A36,Data!$A:$AN,MATCH(yoy!$E$1,Data!$A$1:$AN$1,),))+1)^12-1</f>
        <v/>
      </c>
      <c r="F36" s="14">
        <f>(((VLOOKUP(B36,Data!$A:$AN,MATCH(yoy!$F$1,Data!$A$1:$AN$1,),)-VLOOKUP(A36,Data!$A:$AN,MATCH(yoy!$F$1,Data!$A$1:$AN$1,),))/VLOOKUP(A36,Data!$A:$AN,MATCH(yoy!$F$1,Data!$A$1:$AN$1,),))+1)^12-1</f>
        <v/>
      </c>
      <c r="G36" s="14">
        <f>(((VLOOKUP(B36,Data!$A:$AN,MATCH(yoy!$G$1,Data!$A$1:$AN$1,),)-VLOOKUP(A36,Data!$A:$AN,MATCH(yoy!$G$1,Data!$A$1:$AN$1,),))/VLOOKUP(A36,Data!$A:$AN,MATCH(yoy!$G$1,Data!$A$1:$AN$1,),))+1)^12-1</f>
        <v/>
      </c>
      <c r="H36" s="14">
        <f>(((VLOOKUP(B36,Data!$A:$AN,MATCH(yoy!$H$1,Data!$A$1:$AN$1,),)-VLOOKUP(A36,Data!$A:$AN,MATCH(yoy!$H$1,Data!$A$1:$AN$1,),))/VLOOKUP(A36,Data!$A:$AN,MATCH(yoy!$H$1,Data!$A$1:$AN$1,),))+1)^12-1</f>
        <v/>
      </c>
      <c r="I36" s="14">
        <f>(((VLOOKUP(B36,Data!$A:$AN,MATCH(yoy!$I$1,Data!$A$1:$AN$1,),)-VLOOKUP(A36,Data!$A:$AN,MATCH(yoy!$I$1,Data!$A$1:$AN$1,),))/VLOOKUP(A36,Data!$A:$AN,MATCH(yoy!$I$1,Data!$A$1:$AN$1,),))+1)^12-1</f>
        <v/>
      </c>
      <c r="J36" s="14">
        <f>(((VLOOKUP(B36,Data!$A:$AN,MATCH(yoy!$J$1,Data!$A$1:$AN$1,),)-VLOOKUP(A36,Data!$A:$AN,MATCH(yoy!$J$1,Data!$A$1:$AN$1,),))/VLOOKUP(A36,Data!$A:$AN,MATCH(yoy!$J$1,Data!$A$1:$AN$1,),))+1)^12-1</f>
        <v/>
      </c>
      <c r="K36" s="14">
        <f>(((VLOOKUP(B36,Data!$A:$AN,MATCH(yoy!$K$1,Data!$A$1:$AN$1,),)-VLOOKUP(A36,Data!$A:$AN,MATCH(yoy!$K$1,Data!$A$1:$AN$1,),))/VLOOKUP(A36,Data!$A:$AN,MATCH(yoy!$K$1,Data!$A$1:$AN$1,),))+1)^12-1</f>
        <v/>
      </c>
      <c r="L36" s="14">
        <f>(((VLOOKUP(B36,Data!$A:$AN,MATCH(yoy!$L$1,Data!$A$1:$AN$1,),)-VLOOKUP(A36,Data!$A:$AN,MATCH(yoy!$L$1,Data!$A$1:$AN$1,),))/VLOOKUP(A36,Data!$A:$AN,MATCH(yoy!$L$1,Data!$A$1:$AN$1,),))+1)^12-1</f>
        <v/>
      </c>
      <c r="M36" s="14">
        <f>(((VLOOKUP(B36,Data!$A:$AN,MATCH(yoy!$M$1,Data!$A$1:$AN$1,),)-VLOOKUP(A36,Data!$A:$AN,MATCH(yoy!$M$1,Data!$A$1:$AN$1,),))/VLOOKUP(A36,Data!$A:$AN,MATCH(yoy!$M$1,Data!$A$1:$AN$1,),))+1)^12-1</f>
        <v/>
      </c>
      <c r="N36" s="14">
        <f>(((VLOOKUP(B36,Data!$A:$AN,MATCH(yoy!$N$1,Data!$A$1:$AN$1,),)-VLOOKUP(A36,Data!$A:$AN,MATCH(yoy!$N$1,Data!$A$1:$AN$1,),))/VLOOKUP(A36,Data!$A:$AN,MATCH(yoy!$N$1,Data!$A$1:$AN$1,),))+1)^12-1</f>
        <v/>
      </c>
      <c r="O36" s="14">
        <f>(((VLOOKUP(B36,Data!$A:$AN,MATCH(yoy!$O$1,Data!$A$1:$AN$1,),)-VLOOKUP(A36,Data!$A:$AN,MATCH(yoy!$O$1,Data!$A$1:$AN$1,),))/VLOOKUP(A36,Data!$A:$AN,MATCH(yoy!$O$1,Data!$A$1:$AN$1,),))+1)^12-1</f>
        <v/>
      </c>
      <c r="P36" s="14">
        <f>(((VLOOKUP(B36,Data!$A:$AN,MATCH(yoy!$P$1,Data!$A$1:$AN$1,),)-VLOOKUP(A36,Data!$A:$AN,MATCH(yoy!$P$1,Data!$A$1:$AN$1,),))/VLOOKUP(A36,Data!$A:$AN,MATCH(yoy!$P$1,Data!$A$1:$AN$1,),))+1)^12-1</f>
        <v/>
      </c>
      <c r="Q36" s="14">
        <f>(((VLOOKUP(B36,Data!$A:$AN,MATCH(yoy!$Q$1,Data!$A$1:$AN$1,),)-VLOOKUP(A36,Data!$A:$AN,MATCH(yoy!$Q$1,Data!$A$1:$AN$1,),))/VLOOKUP(A36,Data!$A:$AN,MATCH(yoy!$Q$1,Data!$A$1:$AN$1,),))+1)^12-1</f>
        <v/>
      </c>
      <c r="R36" s="14">
        <f>(((VLOOKUP(B36,Data!$A:$AN,MATCH(yoy!$R$1,Data!$A$1:$AN$1,),)-VLOOKUP(A36,Data!$A:$AN,MATCH(yoy!$R$1,Data!$A$1:$AN$1,),))/VLOOKUP(A36,Data!$A:$AN,MATCH(yoy!$R$1,Data!$A$1:$AN$1,),))+1)^12-1</f>
        <v/>
      </c>
      <c r="S36" s="14">
        <f>(((VLOOKUP(B36,Data!$A:$AN,MATCH(yoy!$S$1,Data!$A$1:$AN$1,),)-VLOOKUP(A36,Data!$A:$AN,MATCH(yoy!$S$1,Data!$A$1:$AN$1,),))/VLOOKUP(A36,Data!$A:$AN,MATCH(yoy!$S$1,Data!$A$1:$AN$1,),))+1)^12-1</f>
        <v/>
      </c>
      <c r="T36" s="14">
        <f>(((VLOOKUP(B36,Data!$A:$AN,MATCH(yoy!$T$1,Data!$A$1:$AN$1,),)-VLOOKUP(A36,Data!$A:$AN,MATCH(yoy!$T$1,Data!$A$1:$AN$1,),))/VLOOKUP(A36,Data!$A:$AN,MATCH(yoy!$T$1,Data!$A$1:$AN$1,),))+1)^12-1</f>
        <v/>
      </c>
      <c r="U36" s="14">
        <f>(((VLOOKUP(B36,Data!$A:$AN,MATCH(yoy!$U$1,Data!$A$1:$AN$1,),)-VLOOKUP(A36,Data!$A:$AN,MATCH(yoy!$U$1,Data!$A$1:$AN$1,),))/VLOOKUP(A36,Data!$A:$AN,MATCH(yoy!$U$1,Data!$A$1:$AN$1,),))+1)^12-1</f>
        <v/>
      </c>
      <c r="V36" s="14">
        <f>(((VLOOKUP(B36,Data!$A:$AN,MATCH(yoy!$V$1,Data!$A$1:$AN$1,),)-VLOOKUP(A36,Data!$A:$AN,MATCH(yoy!$V$1,Data!$A$1:$AN$1,),))/VLOOKUP(A36,Data!$A:$AN,MATCH(yoy!$V$1,Data!$A$1:$AN$1,),))+1)^12-1</f>
        <v/>
      </c>
      <c r="W36" s="14">
        <f>(((VLOOKUP(B36,Data!$A:$AN,MATCH(yoy!$W$1,Data!$A$1:$AN$1,),)-VLOOKUP(A36,Data!$A:$AN,MATCH(yoy!$W$1,Data!$A$1:$AN$1,),))/VLOOKUP(A36,Data!$A:$AN,MATCH(yoy!$W$1,Data!$A$1:$AN$1,),))+1)^12-1</f>
        <v/>
      </c>
      <c r="X36" s="14">
        <f>(((VLOOKUP(B36,Data!$A:$AN,MATCH(yoy!$X$1,Data!$A$1:$AN$1,),)-VLOOKUP(A36,Data!$A:$AN,MATCH(yoy!$X$1,Data!$A$1:$AN$1,),))/VLOOKUP(A36,Data!$A:$AN,MATCH(yoy!$X$1,Data!$A$1:$AN$1,),))+1)^12-1</f>
        <v/>
      </c>
      <c r="Y36" s="14">
        <f>(((VLOOKUP(B36,Data!$A:$AN,MATCH(yoy!$Y$1,Data!$A$1:$AN$1,),)-VLOOKUP(A36,Data!$A:$AN,MATCH(yoy!$Y$1,Data!$A$1:$AN$1,),))/VLOOKUP(A36,Data!$A:$AN,MATCH(yoy!$Y$1,Data!$A$1:$AN$1,),))+1)^12-1</f>
        <v/>
      </c>
      <c r="Z36" s="14">
        <f>(((VLOOKUP(B36,Data!$A:$AN,MATCH(yoy!$Z$1,Data!$A$1:$AN$1,),)-VLOOKUP(A36,Data!$A:$AN,MATCH(yoy!$Z$1,Data!$A$1:$AN$1,),))/VLOOKUP(A36,Data!$A:$AN,MATCH(yoy!$Z$1,Data!$A$1:$AN$1,),))+1)^12-1</f>
        <v/>
      </c>
      <c r="AA36" s="14">
        <f>(((VLOOKUP(B36,Data!$A:$AN,MATCH(yoy!$AA$1,Data!$A$1:$AN$1,),)-VLOOKUP(A36,Data!$A:$AN,MATCH(yoy!$AA$1,Data!$A$1:$AN$1,),))/VLOOKUP(A36,Data!$A:$AN,MATCH(yoy!$AA$1,Data!$A$1:$AN$1,),))+1)^12-1</f>
        <v/>
      </c>
    </row>
    <row r="37">
      <c r="A37" s="20">
        <f>DATE(YEAR(B37),MONTH(B37)-1,DAY(B37))</f>
        <v/>
      </c>
      <c r="B37" s="12" t="n">
        <v>42979</v>
      </c>
      <c r="C37" s="14">
        <f>(((VLOOKUP(B37,Data!$A:$AN,MATCH(yoy!$C$1,Data!$A$1:$AN$1,),)-VLOOKUP(A37,Data!$A:$AN,MATCH(yoy!$C$1,Data!$A$1:$AN$1,),))/VLOOKUP(A37,Data!$A:$AN,MATCH(yoy!$C$1,Data!$A$1:$AN$1,),))+1)^12-1</f>
        <v/>
      </c>
      <c r="D37" s="14">
        <f>(((VLOOKUP(B37,Data!$A:$AN,MATCH(yoy!$D$1,Data!$A$1:$AN$1,),)-VLOOKUP(A37,Data!$A:$AN,MATCH(yoy!$D$1,Data!$A$1:$AN$1,),))/VLOOKUP(A37,Data!$A:$AN,MATCH(yoy!$D$1,Data!$A$1:$AN$1,),))+1)^12-1</f>
        <v/>
      </c>
      <c r="E37" s="14">
        <f>(((VLOOKUP(B37,Data!$A:$AN,MATCH(yoy!$E$1,Data!$A$1:$AN$1,),)-VLOOKUP(A37,Data!$A:$AN,MATCH(yoy!$E$1,Data!$A$1:$AN$1,),))/VLOOKUP(A37,Data!$A:$AN,MATCH(yoy!$E$1,Data!$A$1:$AN$1,),))+1)^12-1</f>
        <v/>
      </c>
      <c r="F37" s="14">
        <f>(((VLOOKUP(B37,Data!$A:$AN,MATCH(yoy!$F$1,Data!$A$1:$AN$1,),)-VLOOKUP(A37,Data!$A:$AN,MATCH(yoy!$F$1,Data!$A$1:$AN$1,),))/VLOOKUP(A37,Data!$A:$AN,MATCH(yoy!$F$1,Data!$A$1:$AN$1,),))+1)^12-1</f>
        <v/>
      </c>
      <c r="G37" s="14">
        <f>(((VLOOKUP(B37,Data!$A:$AN,MATCH(yoy!$G$1,Data!$A$1:$AN$1,),)-VLOOKUP(A37,Data!$A:$AN,MATCH(yoy!$G$1,Data!$A$1:$AN$1,),))/VLOOKUP(A37,Data!$A:$AN,MATCH(yoy!$G$1,Data!$A$1:$AN$1,),))+1)^12-1</f>
        <v/>
      </c>
      <c r="H37" s="14">
        <f>(((VLOOKUP(B37,Data!$A:$AN,MATCH(yoy!$H$1,Data!$A$1:$AN$1,),)-VLOOKUP(A37,Data!$A:$AN,MATCH(yoy!$H$1,Data!$A$1:$AN$1,),))/VLOOKUP(A37,Data!$A:$AN,MATCH(yoy!$H$1,Data!$A$1:$AN$1,),))+1)^12-1</f>
        <v/>
      </c>
      <c r="I37" s="14">
        <f>(((VLOOKUP(B37,Data!$A:$AN,MATCH(yoy!$I$1,Data!$A$1:$AN$1,),)-VLOOKUP(A37,Data!$A:$AN,MATCH(yoy!$I$1,Data!$A$1:$AN$1,),))/VLOOKUP(A37,Data!$A:$AN,MATCH(yoy!$I$1,Data!$A$1:$AN$1,),))+1)^12-1</f>
        <v/>
      </c>
      <c r="J37" s="14">
        <f>(((VLOOKUP(B37,Data!$A:$AN,MATCH(yoy!$J$1,Data!$A$1:$AN$1,),)-VLOOKUP(A37,Data!$A:$AN,MATCH(yoy!$J$1,Data!$A$1:$AN$1,),))/VLOOKUP(A37,Data!$A:$AN,MATCH(yoy!$J$1,Data!$A$1:$AN$1,),))+1)^12-1</f>
        <v/>
      </c>
      <c r="K37" s="14">
        <f>(((VLOOKUP(B37,Data!$A:$AN,MATCH(yoy!$K$1,Data!$A$1:$AN$1,),)-VLOOKUP(A37,Data!$A:$AN,MATCH(yoy!$K$1,Data!$A$1:$AN$1,),))/VLOOKUP(A37,Data!$A:$AN,MATCH(yoy!$K$1,Data!$A$1:$AN$1,),))+1)^12-1</f>
        <v/>
      </c>
      <c r="L37" s="14">
        <f>(((VLOOKUP(B37,Data!$A:$AN,MATCH(yoy!$L$1,Data!$A$1:$AN$1,),)-VLOOKUP(A37,Data!$A:$AN,MATCH(yoy!$L$1,Data!$A$1:$AN$1,),))/VLOOKUP(A37,Data!$A:$AN,MATCH(yoy!$L$1,Data!$A$1:$AN$1,),))+1)^12-1</f>
        <v/>
      </c>
      <c r="M37" s="14">
        <f>(((VLOOKUP(B37,Data!$A:$AN,MATCH(yoy!$M$1,Data!$A$1:$AN$1,),)-VLOOKUP(A37,Data!$A:$AN,MATCH(yoy!$M$1,Data!$A$1:$AN$1,),))/VLOOKUP(A37,Data!$A:$AN,MATCH(yoy!$M$1,Data!$A$1:$AN$1,),))+1)^12-1</f>
        <v/>
      </c>
      <c r="N37" s="14">
        <f>(((VLOOKUP(B37,Data!$A:$AN,MATCH(yoy!$N$1,Data!$A$1:$AN$1,),)-VLOOKUP(A37,Data!$A:$AN,MATCH(yoy!$N$1,Data!$A$1:$AN$1,),))/VLOOKUP(A37,Data!$A:$AN,MATCH(yoy!$N$1,Data!$A$1:$AN$1,),))+1)^12-1</f>
        <v/>
      </c>
      <c r="O37" s="14">
        <f>(((VLOOKUP(B37,Data!$A:$AN,MATCH(yoy!$O$1,Data!$A$1:$AN$1,),)-VLOOKUP(A37,Data!$A:$AN,MATCH(yoy!$O$1,Data!$A$1:$AN$1,),))/VLOOKUP(A37,Data!$A:$AN,MATCH(yoy!$O$1,Data!$A$1:$AN$1,),))+1)^12-1</f>
        <v/>
      </c>
      <c r="P37" s="14">
        <f>(((VLOOKUP(B37,Data!$A:$AN,MATCH(yoy!$P$1,Data!$A$1:$AN$1,),)-VLOOKUP(A37,Data!$A:$AN,MATCH(yoy!$P$1,Data!$A$1:$AN$1,),))/VLOOKUP(A37,Data!$A:$AN,MATCH(yoy!$P$1,Data!$A$1:$AN$1,),))+1)^12-1</f>
        <v/>
      </c>
      <c r="Q37" s="14">
        <f>(((VLOOKUP(B37,Data!$A:$AN,MATCH(yoy!$Q$1,Data!$A$1:$AN$1,),)-VLOOKUP(A37,Data!$A:$AN,MATCH(yoy!$Q$1,Data!$A$1:$AN$1,),))/VLOOKUP(A37,Data!$A:$AN,MATCH(yoy!$Q$1,Data!$A$1:$AN$1,),))+1)^12-1</f>
        <v/>
      </c>
      <c r="R37" s="14">
        <f>(((VLOOKUP(B37,Data!$A:$AN,MATCH(yoy!$R$1,Data!$A$1:$AN$1,),)-VLOOKUP(A37,Data!$A:$AN,MATCH(yoy!$R$1,Data!$A$1:$AN$1,),))/VLOOKUP(A37,Data!$A:$AN,MATCH(yoy!$R$1,Data!$A$1:$AN$1,),))+1)^12-1</f>
        <v/>
      </c>
      <c r="S37" s="14">
        <f>(((VLOOKUP(B37,Data!$A:$AN,MATCH(yoy!$S$1,Data!$A$1:$AN$1,),)-VLOOKUP(A37,Data!$A:$AN,MATCH(yoy!$S$1,Data!$A$1:$AN$1,),))/VLOOKUP(A37,Data!$A:$AN,MATCH(yoy!$S$1,Data!$A$1:$AN$1,),))+1)^12-1</f>
        <v/>
      </c>
      <c r="T37" s="14">
        <f>(((VLOOKUP(B37,Data!$A:$AN,MATCH(yoy!$T$1,Data!$A$1:$AN$1,),)-VLOOKUP(A37,Data!$A:$AN,MATCH(yoy!$T$1,Data!$A$1:$AN$1,),))/VLOOKUP(A37,Data!$A:$AN,MATCH(yoy!$T$1,Data!$A$1:$AN$1,),))+1)^12-1</f>
        <v/>
      </c>
      <c r="U37" s="14">
        <f>(((VLOOKUP(B37,Data!$A:$AN,MATCH(yoy!$U$1,Data!$A$1:$AN$1,),)-VLOOKUP(A37,Data!$A:$AN,MATCH(yoy!$U$1,Data!$A$1:$AN$1,),))/VLOOKUP(A37,Data!$A:$AN,MATCH(yoy!$U$1,Data!$A$1:$AN$1,),))+1)^12-1</f>
        <v/>
      </c>
      <c r="V37" s="14">
        <f>(((VLOOKUP(B37,Data!$A:$AN,MATCH(yoy!$V$1,Data!$A$1:$AN$1,),)-VLOOKUP(A37,Data!$A:$AN,MATCH(yoy!$V$1,Data!$A$1:$AN$1,),))/VLOOKUP(A37,Data!$A:$AN,MATCH(yoy!$V$1,Data!$A$1:$AN$1,),))+1)^12-1</f>
        <v/>
      </c>
      <c r="W37" s="14">
        <f>(((VLOOKUP(B37,Data!$A:$AN,MATCH(yoy!$W$1,Data!$A$1:$AN$1,),)-VLOOKUP(A37,Data!$A:$AN,MATCH(yoy!$W$1,Data!$A$1:$AN$1,),))/VLOOKUP(A37,Data!$A:$AN,MATCH(yoy!$W$1,Data!$A$1:$AN$1,),))+1)^12-1</f>
        <v/>
      </c>
      <c r="X37" s="14">
        <f>(((VLOOKUP(B37,Data!$A:$AN,MATCH(yoy!$X$1,Data!$A$1:$AN$1,),)-VLOOKUP(A37,Data!$A:$AN,MATCH(yoy!$X$1,Data!$A$1:$AN$1,),))/VLOOKUP(A37,Data!$A:$AN,MATCH(yoy!$X$1,Data!$A$1:$AN$1,),))+1)^12-1</f>
        <v/>
      </c>
      <c r="Y37" s="14">
        <f>(((VLOOKUP(B37,Data!$A:$AN,MATCH(yoy!$Y$1,Data!$A$1:$AN$1,),)-VLOOKUP(A37,Data!$A:$AN,MATCH(yoy!$Y$1,Data!$A$1:$AN$1,),))/VLOOKUP(A37,Data!$A:$AN,MATCH(yoy!$Y$1,Data!$A$1:$AN$1,),))+1)^12-1</f>
        <v/>
      </c>
      <c r="Z37" s="14">
        <f>(((VLOOKUP(B37,Data!$A:$AN,MATCH(yoy!$Z$1,Data!$A$1:$AN$1,),)-VLOOKUP(A37,Data!$A:$AN,MATCH(yoy!$Z$1,Data!$A$1:$AN$1,),))/VLOOKUP(A37,Data!$A:$AN,MATCH(yoy!$Z$1,Data!$A$1:$AN$1,),))+1)^12-1</f>
        <v/>
      </c>
      <c r="AA37" s="14">
        <f>(((VLOOKUP(B37,Data!$A:$AN,MATCH(yoy!$AA$1,Data!$A$1:$AN$1,),)-VLOOKUP(A37,Data!$A:$AN,MATCH(yoy!$AA$1,Data!$A$1:$AN$1,),))/VLOOKUP(A37,Data!$A:$AN,MATCH(yoy!$AA$1,Data!$A$1:$AN$1,),))+1)^12-1</f>
        <v/>
      </c>
    </row>
    <row r="38">
      <c r="A38" s="20">
        <f>DATE(YEAR(B38),MONTH(B38)-1,DAY(B38))</f>
        <v/>
      </c>
      <c r="B38" s="12" t="n">
        <v>43009</v>
      </c>
      <c r="C38" s="14">
        <f>(((VLOOKUP(B38,Data!$A:$AN,MATCH(yoy!$C$1,Data!$A$1:$AN$1,),)-VLOOKUP(A38,Data!$A:$AN,MATCH(yoy!$C$1,Data!$A$1:$AN$1,),))/VLOOKUP(A38,Data!$A:$AN,MATCH(yoy!$C$1,Data!$A$1:$AN$1,),))+1)^12-1</f>
        <v/>
      </c>
      <c r="D38" s="14">
        <f>(((VLOOKUP(B38,Data!$A:$AN,MATCH(yoy!$D$1,Data!$A$1:$AN$1,),)-VLOOKUP(A38,Data!$A:$AN,MATCH(yoy!$D$1,Data!$A$1:$AN$1,),))/VLOOKUP(A38,Data!$A:$AN,MATCH(yoy!$D$1,Data!$A$1:$AN$1,),))+1)^12-1</f>
        <v/>
      </c>
      <c r="E38" s="14">
        <f>(((VLOOKUP(B38,Data!$A:$AN,MATCH(yoy!$E$1,Data!$A$1:$AN$1,),)-VLOOKUP(A38,Data!$A:$AN,MATCH(yoy!$E$1,Data!$A$1:$AN$1,),))/VLOOKUP(A38,Data!$A:$AN,MATCH(yoy!$E$1,Data!$A$1:$AN$1,),))+1)^12-1</f>
        <v/>
      </c>
      <c r="F38" s="14">
        <f>(((VLOOKUP(B38,Data!$A:$AN,MATCH(yoy!$F$1,Data!$A$1:$AN$1,),)-VLOOKUP(A38,Data!$A:$AN,MATCH(yoy!$F$1,Data!$A$1:$AN$1,),))/VLOOKUP(A38,Data!$A:$AN,MATCH(yoy!$F$1,Data!$A$1:$AN$1,),))+1)^12-1</f>
        <v/>
      </c>
      <c r="G38" s="14">
        <f>(((VLOOKUP(B38,Data!$A:$AN,MATCH(yoy!$G$1,Data!$A$1:$AN$1,),)-VLOOKUP(A38,Data!$A:$AN,MATCH(yoy!$G$1,Data!$A$1:$AN$1,),))/VLOOKUP(A38,Data!$A:$AN,MATCH(yoy!$G$1,Data!$A$1:$AN$1,),))+1)^12-1</f>
        <v/>
      </c>
      <c r="H38" s="14">
        <f>(((VLOOKUP(B38,Data!$A:$AN,MATCH(yoy!$H$1,Data!$A$1:$AN$1,),)-VLOOKUP(A38,Data!$A:$AN,MATCH(yoy!$H$1,Data!$A$1:$AN$1,),))/VLOOKUP(A38,Data!$A:$AN,MATCH(yoy!$H$1,Data!$A$1:$AN$1,),))+1)^12-1</f>
        <v/>
      </c>
      <c r="I38" s="14">
        <f>(((VLOOKUP(B38,Data!$A:$AN,MATCH(yoy!$I$1,Data!$A$1:$AN$1,),)-VLOOKUP(A38,Data!$A:$AN,MATCH(yoy!$I$1,Data!$A$1:$AN$1,),))/VLOOKUP(A38,Data!$A:$AN,MATCH(yoy!$I$1,Data!$A$1:$AN$1,),))+1)^12-1</f>
        <v/>
      </c>
      <c r="J38" s="14">
        <f>(((VLOOKUP(B38,Data!$A:$AN,MATCH(yoy!$J$1,Data!$A$1:$AN$1,),)-VLOOKUP(A38,Data!$A:$AN,MATCH(yoy!$J$1,Data!$A$1:$AN$1,),))/VLOOKUP(A38,Data!$A:$AN,MATCH(yoy!$J$1,Data!$A$1:$AN$1,),))+1)^12-1</f>
        <v/>
      </c>
      <c r="K38" s="14">
        <f>(((VLOOKUP(B38,Data!$A:$AN,MATCH(yoy!$K$1,Data!$A$1:$AN$1,),)-VLOOKUP(A38,Data!$A:$AN,MATCH(yoy!$K$1,Data!$A$1:$AN$1,),))/VLOOKUP(A38,Data!$A:$AN,MATCH(yoy!$K$1,Data!$A$1:$AN$1,),))+1)^12-1</f>
        <v/>
      </c>
      <c r="L38" s="14">
        <f>(((VLOOKUP(B38,Data!$A:$AN,MATCH(yoy!$L$1,Data!$A$1:$AN$1,),)-VLOOKUP(A38,Data!$A:$AN,MATCH(yoy!$L$1,Data!$A$1:$AN$1,),))/VLOOKUP(A38,Data!$A:$AN,MATCH(yoy!$L$1,Data!$A$1:$AN$1,),))+1)^12-1</f>
        <v/>
      </c>
      <c r="M38" s="14">
        <f>(((VLOOKUP(B38,Data!$A:$AN,MATCH(yoy!$M$1,Data!$A$1:$AN$1,),)-VLOOKUP(A38,Data!$A:$AN,MATCH(yoy!$M$1,Data!$A$1:$AN$1,),))/VLOOKUP(A38,Data!$A:$AN,MATCH(yoy!$M$1,Data!$A$1:$AN$1,),))+1)^12-1</f>
        <v/>
      </c>
      <c r="N38" s="14">
        <f>(((VLOOKUP(B38,Data!$A:$AN,MATCH(yoy!$N$1,Data!$A$1:$AN$1,),)-VLOOKUP(A38,Data!$A:$AN,MATCH(yoy!$N$1,Data!$A$1:$AN$1,),))/VLOOKUP(A38,Data!$A:$AN,MATCH(yoy!$N$1,Data!$A$1:$AN$1,),))+1)^12-1</f>
        <v/>
      </c>
      <c r="O38" s="14">
        <f>(((VLOOKUP(B38,Data!$A:$AN,MATCH(yoy!$O$1,Data!$A$1:$AN$1,),)-VLOOKUP(A38,Data!$A:$AN,MATCH(yoy!$O$1,Data!$A$1:$AN$1,),))/VLOOKUP(A38,Data!$A:$AN,MATCH(yoy!$O$1,Data!$A$1:$AN$1,),))+1)^12-1</f>
        <v/>
      </c>
      <c r="P38" s="14">
        <f>(((VLOOKUP(B38,Data!$A:$AN,MATCH(yoy!$P$1,Data!$A$1:$AN$1,),)-VLOOKUP(A38,Data!$A:$AN,MATCH(yoy!$P$1,Data!$A$1:$AN$1,),))/VLOOKUP(A38,Data!$A:$AN,MATCH(yoy!$P$1,Data!$A$1:$AN$1,),))+1)^12-1</f>
        <v/>
      </c>
      <c r="Q38" s="14">
        <f>(((VLOOKUP(B38,Data!$A:$AN,MATCH(yoy!$Q$1,Data!$A$1:$AN$1,),)-VLOOKUP(A38,Data!$A:$AN,MATCH(yoy!$Q$1,Data!$A$1:$AN$1,),))/VLOOKUP(A38,Data!$A:$AN,MATCH(yoy!$Q$1,Data!$A$1:$AN$1,),))+1)^12-1</f>
        <v/>
      </c>
      <c r="R38" s="14">
        <f>(((VLOOKUP(B38,Data!$A:$AN,MATCH(yoy!$R$1,Data!$A$1:$AN$1,),)-VLOOKUP(A38,Data!$A:$AN,MATCH(yoy!$R$1,Data!$A$1:$AN$1,),))/VLOOKUP(A38,Data!$A:$AN,MATCH(yoy!$R$1,Data!$A$1:$AN$1,),))+1)^12-1</f>
        <v/>
      </c>
      <c r="S38" s="14">
        <f>(((VLOOKUP(B38,Data!$A:$AN,MATCH(yoy!$S$1,Data!$A$1:$AN$1,),)-VLOOKUP(A38,Data!$A:$AN,MATCH(yoy!$S$1,Data!$A$1:$AN$1,),))/VLOOKUP(A38,Data!$A:$AN,MATCH(yoy!$S$1,Data!$A$1:$AN$1,),))+1)^12-1</f>
        <v/>
      </c>
      <c r="T38" s="14">
        <f>(((VLOOKUP(B38,Data!$A:$AN,MATCH(yoy!$T$1,Data!$A$1:$AN$1,),)-VLOOKUP(A38,Data!$A:$AN,MATCH(yoy!$T$1,Data!$A$1:$AN$1,),))/VLOOKUP(A38,Data!$A:$AN,MATCH(yoy!$T$1,Data!$A$1:$AN$1,),))+1)^12-1</f>
        <v/>
      </c>
      <c r="U38" s="14">
        <f>(((VLOOKUP(B38,Data!$A:$AN,MATCH(yoy!$U$1,Data!$A$1:$AN$1,),)-VLOOKUP(A38,Data!$A:$AN,MATCH(yoy!$U$1,Data!$A$1:$AN$1,),))/VLOOKUP(A38,Data!$A:$AN,MATCH(yoy!$U$1,Data!$A$1:$AN$1,),))+1)^12-1</f>
        <v/>
      </c>
      <c r="V38" s="14">
        <f>(((VLOOKUP(B38,Data!$A:$AN,MATCH(yoy!$V$1,Data!$A$1:$AN$1,),)-VLOOKUP(A38,Data!$A:$AN,MATCH(yoy!$V$1,Data!$A$1:$AN$1,),))/VLOOKUP(A38,Data!$A:$AN,MATCH(yoy!$V$1,Data!$A$1:$AN$1,),))+1)^12-1</f>
        <v/>
      </c>
      <c r="W38" s="14">
        <f>(((VLOOKUP(B38,Data!$A:$AN,MATCH(yoy!$W$1,Data!$A$1:$AN$1,),)-VLOOKUP(A38,Data!$A:$AN,MATCH(yoy!$W$1,Data!$A$1:$AN$1,),))/VLOOKUP(A38,Data!$A:$AN,MATCH(yoy!$W$1,Data!$A$1:$AN$1,),))+1)^12-1</f>
        <v/>
      </c>
      <c r="X38" s="14">
        <f>(((VLOOKUP(B38,Data!$A:$AN,MATCH(yoy!$X$1,Data!$A$1:$AN$1,),)-VLOOKUP(A38,Data!$A:$AN,MATCH(yoy!$X$1,Data!$A$1:$AN$1,),))/VLOOKUP(A38,Data!$A:$AN,MATCH(yoy!$X$1,Data!$A$1:$AN$1,),))+1)^12-1</f>
        <v/>
      </c>
      <c r="Y38" s="14">
        <f>(((VLOOKUP(B38,Data!$A:$AN,MATCH(yoy!$Y$1,Data!$A$1:$AN$1,),)-VLOOKUP(A38,Data!$A:$AN,MATCH(yoy!$Y$1,Data!$A$1:$AN$1,),))/VLOOKUP(A38,Data!$A:$AN,MATCH(yoy!$Y$1,Data!$A$1:$AN$1,),))+1)^12-1</f>
        <v/>
      </c>
      <c r="Z38" s="14">
        <f>(((VLOOKUP(B38,Data!$A:$AN,MATCH(yoy!$Z$1,Data!$A$1:$AN$1,),)-VLOOKUP(A38,Data!$A:$AN,MATCH(yoy!$Z$1,Data!$A$1:$AN$1,),))/VLOOKUP(A38,Data!$A:$AN,MATCH(yoy!$Z$1,Data!$A$1:$AN$1,),))+1)^12-1</f>
        <v/>
      </c>
      <c r="AA38" s="14">
        <f>(((VLOOKUP(B38,Data!$A:$AN,MATCH(yoy!$AA$1,Data!$A$1:$AN$1,),)-VLOOKUP(A38,Data!$A:$AN,MATCH(yoy!$AA$1,Data!$A$1:$AN$1,),))/VLOOKUP(A38,Data!$A:$AN,MATCH(yoy!$AA$1,Data!$A$1:$AN$1,),))+1)^12-1</f>
        <v/>
      </c>
    </row>
    <row r="39">
      <c r="A39" s="20">
        <f>DATE(YEAR(B39),MONTH(B39)-1,DAY(B39))</f>
        <v/>
      </c>
      <c r="B39" s="12" t="n">
        <v>43040</v>
      </c>
      <c r="C39" s="14">
        <f>(((VLOOKUP(B39,Data!$A:$AN,MATCH(yoy!$C$1,Data!$A$1:$AN$1,),)-VLOOKUP(A39,Data!$A:$AN,MATCH(yoy!$C$1,Data!$A$1:$AN$1,),))/VLOOKUP(A39,Data!$A:$AN,MATCH(yoy!$C$1,Data!$A$1:$AN$1,),))+1)^12-1</f>
        <v/>
      </c>
      <c r="D39" s="14">
        <f>(((VLOOKUP(B39,Data!$A:$AN,MATCH(yoy!$D$1,Data!$A$1:$AN$1,),)-VLOOKUP(A39,Data!$A:$AN,MATCH(yoy!$D$1,Data!$A$1:$AN$1,),))/VLOOKUP(A39,Data!$A:$AN,MATCH(yoy!$D$1,Data!$A$1:$AN$1,),))+1)^12-1</f>
        <v/>
      </c>
      <c r="E39" s="14">
        <f>(((VLOOKUP(B39,Data!$A:$AN,MATCH(yoy!$E$1,Data!$A$1:$AN$1,),)-VLOOKUP(A39,Data!$A:$AN,MATCH(yoy!$E$1,Data!$A$1:$AN$1,),))/VLOOKUP(A39,Data!$A:$AN,MATCH(yoy!$E$1,Data!$A$1:$AN$1,),))+1)^12-1</f>
        <v/>
      </c>
      <c r="F39" s="14">
        <f>(((VLOOKUP(B39,Data!$A:$AN,MATCH(yoy!$F$1,Data!$A$1:$AN$1,),)-VLOOKUP(A39,Data!$A:$AN,MATCH(yoy!$F$1,Data!$A$1:$AN$1,),))/VLOOKUP(A39,Data!$A:$AN,MATCH(yoy!$F$1,Data!$A$1:$AN$1,),))+1)^12-1</f>
        <v/>
      </c>
      <c r="G39" s="14">
        <f>(((VLOOKUP(B39,Data!$A:$AN,MATCH(yoy!$G$1,Data!$A$1:$AN$1,),)-VLOOKUP(A39,Data!$A:$AN,MATCH(yoy!$G$1,Data!$A$1:$AN$1,),))/VLOOKUP(A39,Data!$A:$AN,MATCH(yoy!$G$1,Data!$A$1:$AN$1,),))+1)^12-1</f>
        <v/>
      </c>
      <c r="H39" s="14">
        <f>(((VLOOKUP(B39,Data!$A:$AN,MATCH(yoy!$H$1,Data!$A$1:$AN$1,),)-VLOOKUP(A39,Data!$A:$AN,MATCH(yoy!$H$1,Data!$A$1:$AN$1,),))/VLOOKUP(A39,Data!$A:$AN,MATCH(yoy!$H$1,Data!$A$1:$AN$1,),))+1)^12-1</f>
        <v/>
      </c>
      <c r="I39" s="14">
        <f>(((VLOOKUP(B39,Data!$A:$AN,MATCH(yoy!$I$1,Data!$A$1:$AN$1,),)-VLOOKUP(A39,Data!$A:$AN,MATCH(yoy!$I$1,Data!$A$1:$AN$1,),))/VLOOKUP(A39,Data!$A:$AN,MATCH(yoy!$I$1,Data!$A$1:$AN$1,),))+1)^12-1</f>
        <v/>
      </c>
      <c r="J39" s="14">
        <f>(((VLOOKUP(B39,Data!$A:$AN,MATCH(yoy!$J$1,Data!$A$1:$AN$1,),)-VLOOKUP(A39,Data!$A:$AN,MATCH(yoy!$J$1,Data!$A$1:$AN$1,),))/VLOOKUP(A39,Data!$A:$AN,MATCH(yoy!$J$1,Data!$A$1:$AN$1,),))+1)^12-1</f>
        <v/>
      </c>
      <c r="K39" s="14">
        <f>(((VLOOKUP(B39,Data!$A:$AN,MATCH(yoy!$K$1,Data!$A$1:$AN$1,),)-VLOOKUP(A39,Data!$A:$AN,MATCH(yoy!$K$1,Data!$A$1:$AN$1,),))/VLOOKUP(A39,Data!$A:$AN,MATCH(yoy!$K$1,Data!$A$1:$AN$1,),))+1)^12-1</f>
        <v/>
      </c>
      <c r="L39" s="14">
        <f>(((VLOOKUP(B39,Data!$A:$AN,MATCH(yoy!$L$1,Data!$A$1:$AN$1,),)-VLOOKUP(A39,Data!$A:$AN,MATCH(yoy!$L$1,Data!$A$1:$AN$1,),))/VLOOKUP(A39,Data!$A:$AN,MATCH(yoy!$L$1,Data!$A$1:$AN$1,),))+1)^12-1</f>
        <v/>
      </c>
      <c r="M39" s="14">
        <f>(((VLOOKUP(B39,Data!$A:$AN,MATCH(yoy!$M$1,Data!$A$1:$AN$1,),)-VLOOKUP(A39,Data!$A:$AN,MATCH(yoy!$M$1,Data!$A$1:$AN$1,),))/VLOOKUP(A39,Data!$A:$AN,MATCH(yoy!$M$1,Data!$A$1:$AN$1,),))+1)^12-1</f>
        <v/>
      </c>
      <c r="N39" s="14">
        <f>(((VLOOKUP(B39,Data!$A:$AN,MATCH(yoy!$N$1,Data!$A$1:$AN$1,),)-VLOOKUP(A39,Data!$A:$AN,MATCH(yoy!$N$1,Data!$A$1:$AN$1,),))/VLOOKUP(A39,Data!$A:$AN,MATCH(yoy!$N$1,Data!$A$1:$AN$1,),))+1)^12-1</f>
        <v/>
      </c>
      <c r="O39" s="14">
        <f>(((VLOOKUP(B39,Data!$A:$AN,MATCH(yoy!$O$1,Data!$A$1:$AN$1,),)-VLOOKUP(A39,Data!$A:$AN,MATCH(yoy!$O$1,Data!$A$1:$AN$1,),))/VLOOKUP(A39,Data!$A:$AN,MATCH(yoy!$O$1,Data!$A$1:$AN$1,),))+1)^12-1</f>
        <v/>
      </c>
      <c r="P39" s="14">
        <f>(((VLOOKUP(B39,Data!$A:$AN,MATCH(yoy!$P$1,Data!$A$1:$AN$1,),)-VLOOKUP(A39,Data!$A:$AN,MATCH(yoy!$P$1,Data!$A$1:$AN$1,),))/VLOOKUP(A39,Data!$A:$AN,MATCH(yoy!$P$1,Data!$A$1:$AN$1,),))+1)^12-1</f>
        <v/>
      </c>
      <c r="Q39" s="14">
        <f>(((VLOOKUP(B39,Data!$A:$AN,MATCH(yoy!$Q$1,Data!$A$1:$AN$1,),)-VLOOKUP(A39,Data!$A:$AN,MATCH(yoy!$Q$1,Data!$A$1:$AN$1,),))/VLOOKUP(A39,Data!$A:$AN,MATCH(yoy!$Q$1,Data!$A$1:$AN$1,),))+1)^12-1</f>
        <v/>
      </c>
      <c r="R39" s="14">
        <f>(((VLOOKUP(B39,Data!$A:$AN,MATCH(yoy!$R$1,Data!$A$1:$AN$1,),)-VLOOKUP(A39,Data!$A:$AN,MATCH(yoy!$R$1,Data!$A$1:$AN$1,),))/VLOOKUP(A39,Data!$A:$AN,MATCH(yoy!$R$1,Data!$A$1:$AN$1,),))+1)^12-1</f>
        <v/>
      </c>
      <c r="S39" s="14">
        <f>(((VLOOKUP(B39,Data!$A:$AN,MATCH(yoy!$S$1,Data!$A$1:$AN$1,),)-VLOOKUP(A39,Data!$A:$AN,MATCH(yoy!$S$1,Data!$A$1:$AN$1,),))/VLOOKUP(A39,Data!$A:$AN,MATCH(yoy!$S$1,Data!$A$1:$AN$1,),))+1)^12-1</f>
        <v/>
      </c>
      <c r="T39" s="14">
        <f>(((VLOOKUP(B39,Data!$A:$AN,MATCH(yoy!$T$1,Data!$A$1:$AN$1,),)-VLOOKUP(A39,Data!$A:$AN,MATCH(yoy!$T$1,Data!$A$1:$AN$1,),))/VLOOKUP(A39,Data!$A:$AN,MATCH(yoy!$T$1,Data!$A$1:$AN$1,),))+1)^12-1</f>
        <v/>
      </c>
      <c r="U39" s="14">
        <f>(((VLOOKUP(B39,Data!$A:$AN,MATCH(yoy!$U$1,Data!$A$1:$AN$1,),)-VLOOKUP(A39,Data!$A:$AN,MATCH(yoy!$U$1,Data!$A$1:$AN$1,),))/VLOOKUP(A39,Data!$A:$AN,MATCH(yoy!$U$1,Data!$A$1:$AN$1,),))+1)^12-1</f>
        <v/>
      </c>
      <c r="V39" s="14">
        <f>(((VLOOKUP(B39,Data!$A:$AN,MATCH(yoy!$V$1,Data!$A$1:$AN$1,),)-VLOOKUP(A39,Data!$A:$AN,MATCH(yoy!$V$1,Data!$A$1:$AN$1,),))/VLOOKUP(A39,Data!$A:$AN,MATCH(yoy!$V$1,Data!$A$1:$AN$1,),))+1)^12-1</f>
        <v/>
      </c>
      <c r="W39" s="14">
        <f>(((VLOOKUP(B39,Data!$A:$AN,MATCH(yoy!$W$1,Data!$A$1:$AN$1,),)-VLOOKUP(A39,Data!$A:$AN,MATCH(yoy!$W$1,Data!$A$1:$AN$1,),))/VLOOKUP(A39,Data!$A:$AN,MATCH(yoy!$W$1,Data!$A$1:$AN$1,),))+1)^12-1</f>
        <v/>
      </c>
      <c r="X39" s="14">
        <f>(((VLOOKUP(B39,Data!$A:$AN,MATCH(yoy!$X$1,Data!$A$1:$AN$1,),)-VLOOKUP(A39,Data!$A:$AN,MATCH(yoy!$X$1,Data!$A$1:$AN$1,),))/VLOOKUP(A39,Data!$A:$AN,MATCH(yoy!$X$1,Data!$A$1:$AN$1,),))+1)^12-1</f>
        <v/>
      </c>
      <c r="Y39" s="14">
        <f>(((VLOOKUP(B39,Data!$A:$AN,MATCH(yoy!$Y$1,Data!$A$1:$AN$1,),)-VLOOKUP(A39,Data!$A:$AN,MATCH(yoy!$Y$1,Data!$A$1:$AN$1,),))/VLOOKUP(A39,Data!$A:$AN,MATCH(yoy!$Y$1,Data!$A$1:$AN$1,),))+1)^12-1</f>
        <v/>
      </c>
      <c r="Z39" s="14">
        <f>(((VLOOKUP(B39,Data!$A:$AN,MATCH(yoy!$Z$1,Data!$A$1:$AN$1,),)-VLOOKUP(A39,Data!$A:$AN,MATCH(yoy!$Z$1,Data!$A$1:$AN$1,),))/VLOOKUP(A39,Data!$A:$AN,MATCH(yoy!$Z$1,Data!$A$1:$AN$1,),))+1)^12-1</f>
        <v/>
      </c>
      <c r="AA39" s="14">
        <f>(((VLOOKUP(B39,Data!$A:$AN,MATCH(yoy!$AA$1,Data!$A$1:$AN$1,),)-VLOOKUP(A39,Data!$A:$AN,MATCH(yoy!$AA$1,Data!$A$1:$AN$1,),))/VLOOKUP(A39,Data!$A:$AN,MATCH(yoy!$AA$1,Data!$A$1:$AN$1,),))+1)^12-1</f>
        <v/>
      </c>
    </row>
    <row r="40">
      <c r="A40" s="20">
        <f>DATE(YEAR(B40),MONTH(B40)-1,DAY(B40))</f>
        <v/>
      </c>
      <c r="B40" s="12" t="n">
        <v>43070</v>
      </c>
      <c r="C40" s="14">
        <f>(((VLOOKUP(B40,Data!$A:$AN,MATCH(yoy!$C$1,Data!$A$1:$AN$1,),)-VLOOKUP(A40,Data!$A:$AN,MATCH(yoy!$C$1,Data!$A$1:$AN$1,),))/VLOOKUP(A40,Data!$A:$AN,MATCH(yoy!$C$1,Data!$A$1:$AN$1,),))+1)^12-1</f>
        <v/>
      </c>
      <c r="D40" s="14">
        <f>(((VLOOKUP(B40,Data!$A:$AN,MATCH(yoy!$D$1,Data!$A$1:$AN$1,),)-VLOOKUP(A40,Data!$A:$AN,MATCH(yoy!$D$1,Data!$A$1:$AN$1,),))/VLOOKUP(A40,Data!$A:$AN,MATCH(yoy!$D$1,Data!$A$1:$AN$1,),))+1)^12-1</f>
        <v/>
      </c>
      <c r="E40" s="14">
        <f>(((VLOOKUP(B40,Data!$A:$AN,MATCH(yoy!$E$1,Data!$A$1:$AN$1,),)-VLOOKUP(A40,Data!$A:$AN,MATCH(yoy!$E$1,Data!$A$1:$AN$1,),))/VLOOKUP(A40,Data!$A:$AN,MATCH(yoy!$E$1,Data!$A$1:$AN$1,),))+1)^12-1</f>
        <v/>
      </c>
      <c r="F40" s="14">
        <f>(((VLOOKUP(B40,Data!$A:$AN,MATCH(yoy!$F$1,Data!$A$1:$AN$1,),)-VLOOKUP(A40,Data!$A:$AN,MATCH(yoy!$F$1,Data!$A$1:$AN$1,),))/VLOOKUP(A40,Data!$A:$AN,MATCH(yoy!$F$1,Data!$A$1:$AN$1,),))+1)^12-1</f>
        <v/>
      </c>
      <c r="G40" s="14">
        <f>(((VLOOKUP(B40,Data!$A:$AN,MATCH(yoy!$G$1,Data!$A$1:$AN$1,),)-VLOOKUP(A40,Data!$A:$AN,MATCH(yoy!$G$1,Data!$A$1:$AN$1,),))/VLOOKUP(A40,Data!$A:$AN,MATCH(yoy!$G$1,Data!$A$1:$AN$1,),))+1)^12-1</f>
        <v/>
      </c>
      <c r="H40" s="14">
        <f>(((VLOOKUP(B40,Data!$A:$AN,MATCH(yoy!$H$1,Data!$A$1:$AN$1,),)-VLOOKUP(A40,Data!$A:$AN,MATCH(yoy!$H$1,Data!$A$1:$AN$1,),))/VLOOKUP(A40,Data!$A:$AN,MATCH(yoy!$H$1,Data!$A$1:$AN$1,),))+1)^12-1</f>
        <v/>
      </c>
      <c r="I40" s="14">
        <f>(((VLOOKUP(B40,Data!$A:$AN,MATCH(yoy!$I$1,Data!$A$1:$AN$1,),)-VLOOKUP(A40,Data!$A:$AN,MATCH(yoy!$I$1,Data!$A$1:$AN$1,),))/VLOOKUP(A40,Data!$A:$AN,MATCH(yoy!$I$1,Data!$A$1:$AN$1,),))+1)^12-1</f>
        <v/>
      </c>
      <c r="J40" s="14">
        <f>(((VLOOKUP(B40,Data!$A:$AN,MATCH(yoy!$J$1,Data!$A$1:$AN$1,),)-VLOOKUP(A40,Data!$A:$AN,MATCH(yoy!$J$1,Data!$A$1:$AN$1,),))/VLOOKUP(A40,Data!$A:$AN,MATCH(yoy!$J$1,Data!$A$1:$AN$1,),))+1)^12-1</f>
        <v/>
      </c>
      <c r="K40" s="14">
        <f>(((VLOOKUP(B40,Data!$A:$AN,MATCH(yoy!$K$1,Data!$A$1:$AN$1,),)-VLOOKUP(A40,Data!$A:$AN,MATCH(yoy!$K$1,Data!$A$1:$AN$1,),))/VLOOKUP(A40,Data!$A:$AN,MATCH(yoy!$K$1,Data!$A$1:$AN$1,),))+1)^12-1</f>
        <v/>
      </c>
      <c r="L40" s="14">
        <f>(((VLOOKUP(B40,Data!$A:$AN,MATCH(yoy!$L$1,Data!$A$1:$AN$1,),)-VLOOKUP(A40,Data!$A:$AN,MATCH(yoy!$L$1,Data!$A$1:$AN$1,),))/VLOOKUP(A40,Data!$A:$AN,MATCH(yoy!$L$1,Data!$A$1:$AN$1,),))+1)^12-1</f>
        <v/>
      </c>
      <c r="M40" s="14">
        <f>(((VLOOKUP(B40,Data!$A:$AN,MATCH(yoy!$M$1,Data!$A$1:$AN$1,),)-VLOOKUP(A40,Data!$A:$AN,MATCH(yoy!$M$1,Data!$A$1:$AN$1,),))/VLOOKUP(A40,Data!$A:$AN,MATCH(yoy!$M$1,Data!$A$1:$AN$1,),))+1)^12-1</f>
        <v/>
      </c>
      <c r="N40" s="14">
        <f>(((VLOOKUP(B40,Data!$A:$AN,MATCH(yoy!$N$1,Data!$A$1:$AN$1,),)-VLOOKUP(A40,Data!$A:$AN,MATCH(yoy!$N$1,Data!$A$1:$AN$1,),))/VLOOKUP(A40,Data!$A:$AN,MATCH(yoy!$N$1,Data!$A$1:$AN$1,),))+1)^12-1</f>
        <v/>
      </c>
      <c r="O40" s="14">
        <f>(((VLOOKUP(B40,Data!$A:$AN,MATCH(yoy!$O$1,Data!$A$1:$AN$1,),)-VLOOKUP(A40,Data!$A:$AN,MATCH(yoy!$O$1,Data!$A$1:$AN$1,),))/VLOOKUP(A40,Data!$A:$AN,MATCH(yoy!$O$1,Data!$A$1:$AN$1,),))+1)^12-1</f>
        <v/>
      </c>
      <c r="P40" s="14">
        <f>(((VLOOKUP(B40,Data!$A:$AN,MATCH(yoy!$P$1,Data!$A$1:$AN$1,),)-VLOOKUP(A40,Data!$A:$AN,MATCH(yoy!$P$1,Data!$A$1:$AN$1,),))/VLOOKUP(A40,Data!$A:$AN,MATCH(yoy!$P$1,Data!$A$1:$AN$1,),))+1)^12-1</f>
        <v/>
      </c>
      <c r="Q40" s="14">
        <f>(((VLOOKUP(B40,Data!$A:$AN,MATCH(yoy!$Q$1,Data!$A$1:$AN$1,),)-VLOOKUP(A40,Data!$A:$AN,MATCH(yoy!$Q$1,Data!$A$1:$AN$1,),))/VLOOKUP(A40,Data!$A:$AN,MATCH(yoy!$Q$1,Data!$A$1:$AN$1,),))+1)^12-1</f>
        <v/>
      </c>
      <c r="R40" s="14">
        <f>(((VLOOKUP(B40,Data!$A:$AN,MATCH(yoy!$R$1,Data!$A$1:$AN$1,),)-VLOOKUP(A40,Data!$A:$AN,MATCH(yoy!$R$1,Data!$A$1:$AN$1,),))/VLOOKUP(A40,Data!$A:$AN,MATCH(yoy!$R$1,Data!$A$1:$AN$1,),))+1)^12-1</f>
        <v/>
      </c>
      <c r="S40" s="14">
        <f>(((VLOOKUP(B40,Data!$A:$AN,MATCH(yoy!$S$1,Data!$A$1:$AN$1,),)-VLOOKUP(A40,Data!$A:$AN,MATCH(yoy!$S$1,Data!$A$1:$AN$1,),))/VLOOKUP(A40,Data!$A:$AN,MATCH(yoy!$S$1,Data!$A$1:$AN$1,),))+1)^12-1</f>
        <v/>
      </c>
      <c r="T40" s="14">
        <f>(((VLOOKUP(B40,Data!$A:$AN,MATCH(yoy!$T$1,Data!$A$1:$AN$1,),)-VLOOKUP(A40,Data!$A:$AN,MATCH(yoy!$T$1,Data!$A$1:$AN$1,),))/VLOOKUP(A40,Data!$A:$AN,MATCH(yoy!$T$1,Data!$A$1:$AN$1,),))+1)^12-1</f>
        <v/>
      </c>
      <c r="U40" s="14">
        <f>(((VLOOKUP(B40,Data!$A:$AN,MATCH(yoy!$U$1,Data!$A$1:$AN$1,),)-VLOOKUP(A40,Data!$A:$AN,MATCH(yoy!$U$1,Data!$A$1:$AN$1,),))/VLOOKUP(A40,Data!$A:$AN,MATCH(yoy!$U$1,Data!$A$1:$AN$1,),))+1)^12-1</f>
        <v/>
      </c>
      <c r="V40" s="14">
        <f>(((VLOOKUP(B40,Data!$A:$AN,MATCH(yoy!$V$1,Data!$A$1:$AN$1,),)-VLOOKUP(A40,Data!$A:$AN,MATCH(yoy!$V$1,Data!$A$1:$AN$1,),))/VLOOKUP(A40,Data!$A:$AN,MATCH(yoy!$V$1,Data!$A$1:$AN$1,),))+1)^12-1</f>
        <v/>
      </c>
      <c r="W40" s="14">
        <f>(((VLOOKUP(B40,Data!$A:$AN,MATCH(yoy!$W$1,Data!$A$1:$AN$1,),)-VLOOKUP(A40,Data!$A:$AN,MATCH(yoy!$W$1,Data!$A$1:$AN$1,),))/VLOOKUP(A40,Data!$A:$AN,MATCH(yoy!$W$1,Data!$A$1:$AN$1,),))+1)^12-1</f>
        <v/>
      </c>
      <c r="X40" s="14">
        <f>(((VLOOKUP(B40,Data!$A:$AN,MATCH(yoy!$X$1,Data!$A$1:$AN$1,),)-VLOOKUP(A40,Data!$A:$AN,MATCH(yoy!$X$1,Data!$A$1:$AN$1,),))/VLOOKUP(A40,Data!$A:$AN,MATCH(yoy!$X$1,Data!$A$1:$AN$1,),))+1)^12-1</f>
        <v/>
      </c>
      <c r="Y40" s="14">
        <f>(((VLOOKUP(B40,Data!$A:$AN,MATCH(yoy!$Y$1,Data!$A$1:$AN$1,),)-VLOOKUP(A40,Data!$A:$AN,MATCH(yoy!$Y$1,Data!$A$1:$AN$1,),))/VLOOKUP(A40,Data!$A:$AN,MATCH(yoy!$Y$1,Data!$A$1:$AN$1,),))+1)^12-1</f>
        <v/>
      </c>
      <c r="Z40" s="14">
        <f>(((VLOOKUP(B40,Data!$A:$AN,MATCH(yoy!$Z$1,Data!$A$1:$AN$1,),)-VLOOKUP(A40,Data!$A:$AN,MATCH(yoy!$Z$1,Data!$A$1:$AN$1,),))/VLOOKUP(A40,Data!$A:$AN,MATCH(yoy!$Z$1,Data!$A$1:$AN$1,),))+1)^12-1</f>
        <v/>
      </c>
      <c r="AA40" s="14">
        <f>(((VLOOKUP(B40,Data!$A:$AN,MATCH(yoy!$AA$1,Data!$A$1:$AN$1,),)-VLOOKUP(A40,Data!$A:$AN,MATCH(yoy!$AA$1,Data!$A$1:$AN$1,),))/VLOOKUP(A40,Data!$A:$AN,MATCH(yoy!$AA$1,Data!$A$1:$AN$1,),))+1)^12-1</f>
        <v/>
      </c>
    </row>
    <row r="41">
      <c r="A41" s="20">
        <f>DATE(YEAR(B41),MONTH(B41)-1,DAY(B41))</f>
        <v/>
      </c>
      <c r="B41" s="12" t="n">
        <v>43101</v>
      </c>
      <c r="C41" s="14">
        <f>(((VLOOKUP(B41,Data!$A:$AN,MATCH(yoy!$C$1,Data!$A$1:$AN$1,),)-VLOOKUP(A41,Data!$A:$AN,MATCH(yoy!$C$1,Data!$A$1:$AN$1,),))/VLOOKUP(A41,Data!$A:$AN,MATCH(yoy!$C$1,Data!$A$1:$AN$1,),))+1)^12-1</f>
        <v/>
      </c>
      <c r="D41" s="14">
        <f>(((VLOOKUP(B41,Data!$A:$AN,MATCH(yoy!$D$1,Data!$A$1:$AN$1,),)-VLOOKUP(A41,Data!$A:$AN,MATCH(yoy!$D$1,Data!$A$1:$AN$1,),))/VLOOKUP(A41,Data!$A:$AN,MATCH(yoy!$D$1,Data!$A$1:$AN$1,),))+1)^12-1</f>
        <v/>
      </c>
      <c r="E41" s="14">
        <f>(((VLOOKUP(B41,Data!$A:$AN,MATCH(yoy!$E$1,Data!$A$1:$AN$1,),)-VLOOKUP(A41,Data!$A:$AN,MATCH(yoy!$E$1,Data!$A$1:$AN$1,),))/VLOOKUP(A41,Data!$A:$AN,MATCH(yoy!$E$1,Data!$A$1:$AN$1,),))+1)^12-1</f>
        <v/>
      </c>
      <c r="F41" s="14">
        <f>(((VLOOKUP(B41,Data!$A:$AN,MATCH(yoy!$F$1,Data!$A$1:$AN$1,),)-VLOOKUP(A41,Data!$A:$AN,MATCH(yoy!$F$1,Data!$A$1:$AN$1,),))/VLOOKUP(A41,Data!$A:$AN,MATCH(yoy!$F$1,Data!$A$1:$AN$1,),))+1)^12-1</f>
        <v/>
      </c>
      <c r="G41" s="14">
        <f>(((VLOOKUP(B41,Data!$A:$AN,MATCH(yoy!$G$1,Data!$A$1:$AN$1,),)-VLOOKUP(A41,Data!$A:$AN,MATCH(yoy!$G$1,Data!$A$1:$AN$1,),))/VLOOKUP(A41,Data!$A:$AN,MATCH(yoy!$G$1,Data!$A$1:$AN$1,),))+1)^12-1</f>
        <v/>
      </c>
      <c r="H41" s="14">
        <f>(((VLOOKUP(B41,Data!$A:$AN,MATCH(yoy!$H$1,Data!$A$1:$AN$1,),)-VLOOKUP(A41,Data!$A:$AN,MATCH(yoy!$H$1,Data!$A$1:$AN$1,),))/VLOOKUP(A41,Data!$A:$AN,MATCH(yoy!$H$1,Data!$A$1:$AN$1,),))+1)^12-1</f>
        <v/>
      </c>
      <c r="I41" s="14">
        <f>(((VLOOKUP(B41,Data!$A:$AN,MATCH(yoy!$I$1,Data!$A$1:$AN$1,),)-VLOOKUP(A41,Data!$A:$AN,MATCH(yoy!$I$1,Data!$A$1:$AN$1,),))/VLOOKUP(A41,Data!$A:$AN,MATCH(yoy!$I$1,Data!$A$1:$AN$1,),))+1)^12-1</f>
        <v/>
      </c>
      <c r="J41" s="14">
        <f>(((VLOOKUP(B41,Data!$A:$AN,MATCH(yoy!$J$1,Data!$A$1:$AN$1,),)-VLOOKUP(A41,Data!$A:$AN,MATCH(yoy!$J$1,Data!$A$1:$AN$1,),))/VLOOKUP(A41,Data!$A:$AN,MATCH(yoy!$J$1,Data!$A$1:$AN$1,),))+1)^12-1</f>
        <v/>
      </c>
      <c r="K41" s="14">
        <f>(((VLOOKUP(B41,Data!$A:$AN,MATCH(yoy!$K$1,Data!$A$1:$AN$1,),)-VLOOKUP(A41,Data!$A:$AN,MATCH(yoy!$K$1,Data!$A$1:$AN$1,),))/VLOOKUP(A41,Data!$A:$AN,MATCH(yoy!$K$1,Data!$A$1:$AN$1,),))+1)^12-1</f>
        <v/>
      </c>
      <c r="L41" s="14">
        <f>(((VLOOKUP(B41,Data!$A:$AN,MATCH(yoy!$L$1,Data!$A$1:$AN$1,),)-VLOOKUP(A41,Data!$A:$AN,MATCH(yoy!$L$1,Data!$A$1:$AN$1,),))/VLOOKUP(A41,Data!$A:$AN,MATCH(yoy!$L$1,Data!$A$1:$AN$1,),))+1)^12-1</f>
        <v/>
      </c>
      <c r="M41" s="14">
        <f>(((VLOOKUP(B41,Data!$A:$AN,MATCH(yoy!$M$1,Data!$A$1:$AN$1,),)-VLOOKUP(A41,Data!$A:$AN,MATCH(yoy!$M$1,Data!$A$1:$AN$1,),))/VLOOKUP(A41,Data!$A:$AN,MATCH(yoy!$M$1,Data!$A$1:$AN$1,),))+1)^12-1</f>
        <v/>
      </c>
      <c r="N41" s="14">
        <f>(((VLOOKUP(B41,Data!$A:$AN,MATCH(yoy!$N$1,Data!$A$1:$AN$1,),)-VLOOKUP(A41,Data!$A:$AN,MATCH(yoy!$N$1,Data!$A$1:$AN$1,),))/VLOOKUP(A41,Data!$A:$AN,MATCH(yoy!$N$1,Data!$A$1:$AN$1,),))+1)^12-1</f>
        <v/>
      </c>
      <c r="O41" s="14">
        <f>(((VLOOKUP(B41,Data!$A:$AN,MATCH(yoy!$O$1,Data!$A$1:$AN$1,),)-VLOOKUP(A41,Data!$A:$AN,MATCH(yoy!$O$1,Data!$A$1:$AN$1,),))/VLOOKUP(A41,Data!$A:$AN,MATCH(yoy!$O$1,Data!$A$1:$AN$1,),))+1)^12-1</f>
        <v/>
      </c>
      <c r="P41" s="14">
        <f>(((VLOOKUP(B41,Data!$A:$AN,MATCH(yoy!$P$1,Data!$A$1:$AN$1,),)-VLOOKUP(A41,Data!$A:$AN,MATCH(yoy!$P$1,Data!$A$1:$AN$1,),))/VLOOKUP(A41,Data!$A:$AN,MATCH(yoy!$P$1,Data!$A$1:$AN$1,),))+1)^12-1</f>
        <v/>
      </c>
      <c r="Q41" s="14">
        <f>(((VLOOKUP(B41,Data!$A:$AN,MATCH(yoy!$Q$1,Data!$A$1:$AN$1,),)-VLOOKUP(A41,Data!$A:$AN,MATCH(yoy!$Q$1,Data!$A$1:$AN$1,),))/VLOOKUP(A41,Data!$A:$AN,MATCH(yoy!$Q$1,Data!$A$1:$AN$1,),))+1)^12-1</f>
        <v/>
      </c>
      <c r="R41" s="14">
        <f>(((VLOOKUP(B41,Data!$A:$AN,MATCH(yoy!$R$1,Data!$A$1:$AN$1,),)-VLOOKUP(A41,Data!$A:$AN,MATCH(yoy!$R$1,Data!$A$1:$AN$1,),))/VLOOKUP(A41,Data!$A:$AN,MATCH(yoy!$R$1,Data!$A$1:$AN$1,),))+1)^12-1</f>
        <v/>
      </c>
      <c r="S41" s="14">
        <f>(((VLOOKUP(B41,Data!$A:$AN,MATCH(yoy!$S$1,Data!$A$1:$AN$1,),)-VLOOKUP(A41,Data!$A:$AN,MATCH(yoy!$S$1,Data!$A$1:$AN$1,),))/VLOOKUP(A41,Data!$A:$AN,MATCH(yoy!$S$1,Data!$A$1:$AN$1,),))+1)^12-1</f>
        <v/>
      </c>
      <c r="T41" s="14">
        <f>(((VLOOKUP(B41,Data!$A:$AN,MATCH(yoy!$T$1,Data!$A$1:$AN$1,),)-VLOOKUP(A41,Data!$A:$AN,MATCH(yoy!$T$1,Data!$A$1:$AN$1,),))/VLOOKUP(A41,Data!$A:$AN,MATCH(yoy!$T$1,Data!$A$1:$AN$1,),))+1)^12-1</f>
        <v/>
      </c>
      <c r="U41" s="14">
        <f>(((VLOOKUP(B41,Data!$A:$AN,MATCH(yoy!$U$1,Data!$A$1:$AN$1,),)-VLOOKUP(A41,Data!$A:$AN,MATCH(yoy!$U$1,Data!$A$1:$AN$1,),))/VLOOKUP(A41,Data!$A:$AN,MATCH(yoy!$U$1,Data!$A$1:$AN$1,),))+1)^12-1</f>
        <v/>
      </c>
      <c r="V41" s="14">
        <f>(((VLOOKUP(B41,Data!$A:$AN,MATCH(yoy!$V$1,Data!$A$1:$AN$1,),)-VLOOKUP(A41,Data!$A:$AN,MATCH(yoy!$V$1,Data!$A$1:$AN$1,),))/VLOOKUP(A41,Data!$A:$AN,MATCH(yoy!$V$1,Data!$A$1:$AN$1,),))+1)^12-1</f>
        <v/>
      </c>
      <c r="W41" s="14">
        <f>(((VLOOKUP(B41,Data!$A:$AN,MATCH(yoy!$W$1,Data!$A$1:$AN$1,),)-VLOOKUP(A41,Data!$A:$AN,MATCH(yoy!$W$1,Data!$A$1:$AN$1,),))/VLOOKUP(A41,Data!$A:$AN,MATCH(yoy!$W$1,Data!$A$1:$AN$1,),))+1)^12-1</f>
        <v/>
      </c>
      <c r="X41" s="14">
        <f>(((VLOOKUP(B41,Data!$A:$AN,MATCH(yoy!$X$1,Data!$A$1:$AN$1,),)-VLOOKUP(A41,Data!$A:$AN,MATCH(yoy!$X$1,Data!$A$1:$AN$1,),))/VLOOKUP(A41,Data!$A:$AN,MATCH(yoy!$X$1,Data!$A$1:$AN$1,),))+1)^12-1</f>
        <v/>
      </c>
      <c r="Y41" s="14">
        <f>(((VLOOKUP(B41,Data!$A:$AN,MATCH(yoy!$Y$1,Data!$A$1:$AN$1,),)-VLOOKUP(A41,Data!$A:$AN,MATCH(yoy!$Y$1,Data!$A$1:$AN$1,),))/VLOOKUP(A41,Data!$A:$AN,MATCH(yoy!$Y$1,Data!$A$1:$AN$1,),))+1)^12-1</f>
        <v/>
      </c>
      <c r="Z41" s="14">
        <f>(((VLOOKUP(B41,Data!$A:$AN,MATCH(yoy!$Z$1,Data!$A$1:$AN$1,),)-VLOOKUP(A41,Data!$A:$AN,MATCH(yoy!$Z$1,Data!$A$1:$AN$1,),))/VLOOKUP(A41,Data!$A:$AN,MATCH(yoy!$Z$1,Data!$A$1:$AN$1,),))+1)^12-1</f>
        <v/>
      </c>
      <c r="AA41" s="14">
        <f>(((VLOOKUP(B41,Data!$A:$AN,MATCH(yoy!$AA$1,Data!$A$1:$AN$1,),)-VLOOKUP(A41,Data!$A:$AN,MATCH(yoy!$AA$1,Data!$A$1:$AN$1,),))/VLOOKUP(A41,Data!$A:$AN,MATCH(yoy!$AA$1,Data!$A$1:$AN$1,),))+1)^12-1</f>
        <v/>
      </c>
    </row>
    <row r="42">
      <c r="A42" s="20">
        <f>DATE(YEAR(B42),MONTH(B42)-1,DAY(B42))</f>
        <v/>
      </c>
      <c r="B42" s="12" t="n">
        <v>43132</v>
      </c>
      <c r="C42" s="14">
        <f>(((VLOOKUP(B42,Data!$A:$AN,MATCH(yoy!$C$1,Data!$A$1:$AN$1,),)-VLOOKUP(A42,Data!$A:$AN,MATCH(yoy!$C$1,Data!$A$1:$AN$1,),))/VLOOKUP(A42,Data!$A:$AN,MATCH(yoy!$C$1,Data!$A$1:$AN$1,),))+1)^12-1</f>
        <v/>
      </c>
      <c r="D42" s="14">
        <f>(((VLOOKUP(B42,Data!$A:$AN,MATCH(yoy!$D$1,Data!$A$1:$AN$1,),)-VLOOKUP(A42,Data!$A:$AN,MATCH(yoy!$D$1,Data!$A$1:$AN$1,),))/VLOOKUP(A42,Data!$A:$AN,MATCH(yoy!$D$1,Data!$A$1:$AN$1,),))+1)^12-1</f>
        <v/>
      </c>
      <c r="E42" s="14">
        <f>(((VLOOKUP(B42,Data!$A:$AN,MATCH(yoy!$E$1,Data!$A$1:$AN$1,),)-VLOOKUP(A42,Data!$A:$AN,MATCH(yoy!$E$1,Data!$A$1:$AN$1,),))/VLOOKUP(A42,Data!$A:$AN,MATCH(yoy!$E$1,Data!$A$1:$AN$1,),))+1)^12-1</f>
        <v/>
      </c>
      <c r="F42" s="14">
        <f>(((VLOOKUP(B42,Data!$A:$AN,MATCH(yoy!$F$1,Data!$A$1:$AN$1,),)-VLOOKUP(A42,Data!$A:$AN,MATCH(yoy!$F$1,Data!$A$1:$AN$1,),))/VLOOKUP(A42,Data!$A:$AN,MATCH(yoy!$F$1,Data!$A$1:$AN$1,),))+1)^12-1</f>
        <v/>
      </c>
      <c r="G42" s="14">
        <f>(((VLOOKUP(B42,Data!$A:$AN,MATCH(yoy!$G$1,Data!$A$1:$AN$1,),)-VLOOKUP(A42,Data!$A:$AN,MATCH(yoy!$G$1,Data!$A$1:$AN$1,),))/VLOOKUP(A42,Data!$A:$AN,MATCH(yoy!$G$1,Data!$A$1:$AN$1,),))+1)^12-1</f>
        <v/>
      </c>
      <c r="H42" s="14">
        <f>(((VLOOKUP(B42,Data!$A:$AN,MATCH(yoy!$H$1,Data!$A$1:$AN$1,),)-VLOOKUP(A42,Data!$A:$AN,MATCH(yoy!$H$1,Data!$A$1:$AN$1,),))/VLOOKUP(A42,Data!$A:$AN,MATCH(yoy!$H$1,Data!$A$1:$AN$1,),))+1)^12-1</f>
        <v/>
      </c>
      <c r="I42" s="14">
        <f>(((VLOOKUP(B42,Data!$A:$AN,MATCH(yoy!$I$1,Data!$A$1:$AN$1,),)-VLOOKUP(A42,Data!$A:$AN,MATCH(yoy!$I$1,Data!$A$1:$AN$1,),))/VLOOKUP(A42,Data!$A:$AN,MATCH(yoy!$I$1,Data!$A$1:$AN$1,),))+1)^12-1</f>
        <v/>
      </c>
      <c r="J42" s="14">
        <f>(((VLOOKUP(B42,Data!$A:$AN,MATCH(yoy!$J$1,Data!$A$1:$AN$1,),)-VLOOKUP(A42,Data!$A:$AN,MATCH(yoy!$J$1,Data!$A$1:$AN$1,),))/VLOOKUP(A42,Data!$A:$AN,MATCH(yoy!$J$1,Data!$A$1:$AN$1,),))+1)^12-1</f>
        <v/>
      </c>
      <c r="K42" s="14">
        <f>(((VLOOKUP(B42,Data!$A:$AN,MATCH(yoy!$K$1,Data!$A$1:$AN$1,),)-VLOOKUP(A42,Data!$A:$AN,MATCH(yoy!$K$1,Data!$A$1:$AN$1,),))/VLOOKUP(A42,Data!$A:$AN,MATCH(yoy!$K$1,Data!$A$1:$AN$1,),))+1)^12-1</f>
        <v/>
      </c>
      <c r="L42" s="14">
        <f>(((VLOOKUP(B42,Data!$A:$AN,MATCH(yoy!$L$1,Data!$A$1:$AN$1,),)-VLOOKUP(A42,Data!$A:$AN,MATCH(yoy!$L$1,Data!$A$1:$AN$1,),))/VLOOKUP(A42,Data!$A:$AN,MATCH(yoy!$L$1,Data!$A$1:$AN$1,),))+1)^12-1</f>
        <v/>
      </c>
      <c r="M42" s="14">
        <f>(((VLOOKUP(B42,Data!$A:$AN,MATCH(yoy!$M$1,Data!$A$1:$AN$1,),)-VLOOKUP(A42,Data!$A:$AN,MATCH(yoy!$M$1,Data!$A$1:$AN$1,),))/VLOOKUP(A42,Data!$A:$AN,MATCH(yoy!$M$1,Data!$A$1:$AN$1,),))+1)^12-1</f>
        <v/>
      </c>
      <c r="N42" s="14">
        <f>(((VLOOKUP(B42,Data!$A:$AN,MATCH(yoy!$N$1,Data!$A$1:$AN$1,),)-VLOOKUP(A42,Data!$A:$AN,MATCH(yoy!$N$1,Data!$A$1:$AN$1,),))/VLOOKUP(A42,Data!$A:$AN,MATCH(yoy!$N$1,Data!$A$1:$AN$1,),))+1)^12-1</f>
        <v/>
      </c>
      <c r="O42" s="14">
        <f>(((VLOOKUP(B42,Data!$A:$AN,MATCH(yoy!$O$1,Data!$A$1:$AN$1,),)-VLOOKUP(A42,Data!$A:$AN,MATCH(yoy!$O$1,Data!$A$1:$AN$1,),))/VLOOKUP(A42,Data!$A:$AN,MATCH(yoy!$O$1,Data!$A$1:$AN$1,),))+1)^12-1</f>
        <v/>
      </c>
      <c r="P42" s="14">
        <f>(((VLOOKUP(B42,Data!$A:$AN,MATCH(yoy!$P$1,Data!$A$1:$AN$1,),)-VLOOKUP(A42,Data!$A:$AN,MATCH(yoy!$P$1,Data!$A$1:$AN$1,),))/VLOOKUP(A42,Data!$A:$AN,MATCH(yoy!$P$1,Data!$A$1:$AN$1,),))+1)^12-1</f>
        <v/>
      </c>
      <c r="Q42" s="14">
        <f>(((VLOOKUP(B42,Data!$A:$AN,MATCH(yoy!$Q$1,Data!$A$1:$AN$1,),)-VLOOKUP(A42,Data!$A:$AN,MATCH(yoy!$Q$1,Data!$A$1:$AN$1,),))/VLOOKUP(A42,Data!$A:$AN,MATCH(yoy!$Q$1,Data!$A$1:$AN$1,),))+1)^12-1</f>
        <v/>
      </c>
      <c r="R42" s="14">
        <f>(((VLOOKUP(B42,Data!$A:$AN,MATCH(yoy!$R$1,Data!$A$1:$AN$1,),)-VLOOKUP(A42,Data!$A:$AN,MATCH(yoy!$R$1,Data!$A$1:$AN$1,),))/VLOOKUP(A42,Data!$A:$AN,MATCH(yoy!$R$1,Data!$A$1:$AN$1,),))+1)^12-1</f>
        <v/>
      </c>
      <c r="S42" s="14">
        <f>(((VLOOKUP(B42,Data!$A:$AN,MATCH(yoy!$S$1,Data!$A$1:$AN$1,),)-VLOOKUP(A42,Data!$A:$AN,MATCH(yoy!$S$1,Data!$A$1:$AN$1,),))/VLOOKUP(A42,Data!$A:$AN,MATCH(yoy!$S$1,Data!$A$1:$AN$1,),))+1)^12-1</f>
        <v/>
      </c>
      <c r="T42" s="14">
        <f>(((VLOOKUP(B42,Data!$A:$AN,MATCH(yoy!$T$1,Data!$A$1:$AN$1,),)-VLOOKUP(A42,Data!$A:$AN,MATCH(yoy!$T$1,Data!$A$1:$AN$1,),))/VLOOKUP(A42,Data!$A:$AN,MATCH(yoy!$T$1,Data!$A$1:$AN$1,),))+1)^12-1</f>
        <v/>
      </c>
      <c r="U42" s="14">
        <f>(((VLOOKUP(B42,Data!$A:$AN,MATCH(yoy!$U$1,Data!$A$1:$AN$1,),)-VLOOKUP(A42,Data!$A:$AN,MATCH(yoy!$U$1,Data!$A$1:$AN$1,),))/VLOOKUP(A42,Data!$A:$AN,MATCH(yoy!$U$1,Data!$A$1:$AN$1,),))+1)^12-1</f>
        <v/>
      </c>
      <c r="V42" s="14">
        <f>(((VLOOKUP(B42,Data!$A:$AN,MATCH(yoy!$V$1,Data!$A$1:$AN$1,),)-VLOOKUP(A42,Data!$A:$AN,MATCH(yoy!$V$1,Data!$A$1:$AN$1,),))/VLOOKUP(A42,Data!$A:$AN,MATCH(yoy!$V$1,Data!$A$1:$AN$1,),))+1)^12-1</f>
        <v/>
      </c>
      <c r="W42" s="14">
        <f>(((VLOOKUP(B42,Data!$A:$AN,MATCH(yoy!$W$1,Data!$A$1:$AN$1,),)-VLOOKUP(A42,Data!$A:$AN,MATCH(yoy!$W$1,Data!$A$1:$AN$1,),))/VLOOKUP(A42,Data!$A:$AN,MATCH(yoy!$W$1,Data!$A$1:$AN$1,),))+1)^12-1</f>
        <v/>
      </c>
      <c r="X42" s="14">
        <f>(((VLOOKUP(B42,Data!$A:$AN,MATCH(yoy!$X$1,Data!$A$1:$AN$1,),)-VLOOKUP(A42,Data!$A:$AN,MATCH(yoy!$X$1,Data!$A$1:$AN$1,),))/VLOOKUP(A42,Data!$A:$AN,MATCH(yoy!$X$1,Data!$A$1:$AN$1,),))+1)^12-1</f>
        <v/>
      </c>
      <c r="Y42" s="14">
        <f>(((VLOOKUP(B42,Data!$A:$AN,MATCH(yoy!$Y$1,Data!$A$1:$AN$1,),)-VLOOKUP(A42,Data!$A:$AN,MATCH(yoy!$Y$1,Data!$A$1:$AN$1,),))/VLOOKUP(A42,Data!$A:$AN,MATCH(yoy!$Y$1,Data!$A$1:$AN$1,),))+1)^12-1</f>
        <v/>
      </c>
      <c r="Z42" s="14">
        <f>(((VLOOKUP(B42,Data!$A:$AN,MATCH(yoy!$Z$1,Data!$A$1:$AN$1,),)-VLOOKUP(A42,Data!$A:$AN,MATCH(yoy!$Z$1,Data!$A$1:$AN$1,),))/VLOOKUP(A42,Data!$A:$AN,MATCH(yoy!$Z$1,Data!$A$1:$AN$1,),))+1)^12-1</f>
        <v/>
      </c>
      <c r="AA42" s="14">
        <f>(((VLOOKUP(B42,Data!$A:$AN,MATCH(yoy!$AA$1,Data!$A$1:$AN$1,),)-VLOOKUP(A42,Data!$A:$AN,MATCH(yoy!$AA$1,Data!$A$1:$AN$1,),))/VLOOKUP(A42,Data!$A:$AN,MATCH(yoy!$AA$1,Data!$A$1:$AN$1,),))+1)^12-1</f>
        <v/>
      </c>
    </row>
    <row r="43">
      <c r="A43" s="20">
        <f>DATE(YEAR(B43),MONTH(B43)-1,DAY(B43))</f>
        <v/>
      </c>
      <c r="B43" s="12" t="n">
        <v>43160</v>
      </c>
      <c r="C43" s="14">
        <f>(((VLOOKUP(B43,Data!$A:$AN,MATCH(yoy!$C$1,Data!$A$1:$AN$1,),)-VLOOKUP(A43,Data!$A:$AN,MATCH(yoy!$C$1,Data!$A$1:$AN$1,),))/VLOOKUP(A43,Data!$A:$AN,MATCH(yoy!$C$1,Data!$A$1:$AN$1,),))+1)^12-1</f>
        <v/>
      </c>
      <c r="D43" s="14">
        <f>(((VLOOKUP(B43,Data!$A:$AN,MATCH(yoy!$D$1,Data!$A$1:$AN$1,),)-VLOOKUP(A43,Data!$A:$AN,MATCH(yoy!$D$1,Data!$A$1:$AN$1,),))/VLOOKUP(A43,Data!$A:$AN,MATCH(yoy!$D$1,Data!$A$1:$AN$1,),))+1)^12-1</f>
        <v/>
      </c>
      <c r="E43" s="14">
        <f>(((VLOOKUP(B43,Data!$A:$AN,MATCH(yoy!$E$1,Data!$A$1:$AN$1,),)-VLOOKUP(A43,Data!$A:$AN,MATCH(yoy!$E$1,Data!$A$1:$AN$1,),))/VLOOKUP(A43,Data!$A:$AN,MATCH(yoy!$E$1,Data!$A$1:$AN$1,),))+1)^12-1</f>
        <v/>
      </c>
      <c r="F43" s="14">
        <f>(((VLOOKUP(B43,Data!$A:$AN,MATCH(yoy!$F$1,Data!$A$1:$AN$1,),)-VLOOKUP(A43,Data!$A:$AN,MATCH(yoy!$F$1,Data!$A$1:$AN$1,),))/VLOOKUP(A43,Data!$A:$AN,MATCH(yoy!$F$1,Data!$A$1:$AN$1,),))+1)^12-1</f>
        <v/>
      </c>
      <c r="G43" s="14">
        <f>(((VLOOKUP(B43,Data!$A:$AN,MATCH(yoy!$G$1,Data!$A$1:$AN$1,),)-VLOOKUP(A43,Data!$A:$AN,MATCH(yoy!$G$1,Data!$A$1:$AN$1,),))/VLOOKUP(A43,Data!$A:$AN,MATCH(yoy!$G$1,Data!$A$1:$AN$1,),))+1)^12-1</f>
        <v/>
      </c>
      <c r="H43" s="14">
        <f>(((VLOOKUP(B43,Data!$A:$AN,MATCH(yoy!$H$1,Data!$A$1:$AN$1,),)-VLOOKUP(A43,Data!$A:$AN,MATCH(yoy!$H$1,Data!$A$1:$AN$1,),))/VLOOKUP(A43,Data!$A:$AN,MATCH(yoy!$H$1,Data!$A$1:$AN$1,),))+1)^12-1</f>
        <v/>
      </c>
      <c r="I43" s="14">
        <f>(((VLOOKUP(B43,Data!$A:$AN,MATCH(yoy!$I$1,Data!$A$1:$AN$1,),)-VLOOKUP(A43,Data!$A:$AN,MATCH(yoy!$I$1,Data!$A$1:$AN$1,),))/VLOOKUP(A43,Data!$A:$AN,MATCH(yoy!$I$1,Data!$A$1:$AN$1,),))+1)^12-1</f>
        <v/>
      </c>
      <c r="J43" s="14">
        <f>(((VLOOKUP(B43,Data!$A:$AN,MATCH(yoy!$J$1,Data!$A$1:$AN$1,),)-VLOOKUP(A43,Data!$A:$AN,MATCH(yoy!$J$1,Data!$A$1:$AN$1,),))/VLOOKUP(A43,Data!$A:$AN,MATCH(yoy!$J$1,Data!$A$1:$AN$1,),))+1)^12-1</f>
        <v/>
      </c>
      <c r="K43" s="14">
        <f>(((VLOOKUP(B43,Data!$A:$AN,MATCH(yoy!$K$1,Data!$A$1:$AN$1,),)-VLOOKUP(A43,Data!$A:$AN,MATCH(yoy!$K$1,Data!$A$1:$AN$1,),))/VLOOKUP(A43,Data!$A:$AN,MATCH(yoy!$K$1,Data!$A$1:$AN$1,),))+1)^12-1</f>
        <v/>
      </c>
      <c r="L43" s="14">
        <f>(((VLOOKUP(B43,Data!$A:$AN,MATCH(yoy!$L$1,Data!$A$1:$AN$1,),)-VLOOKUP(A43,Data!$A:$AN,MATCH(yoy!$L$1,Data!$A$1:$AN$1,),))/VLOOKUP(A43,Data!$A:$AN,MATCH(yoy!$L$1,Data!$A$1:$AN$1,),))+1)^12-1</f>
        <v/>
      </c>
      <c r="M43" s="14">
        <f>(((VLOOKUP(B43,Data!$A:$AN,MATCH(yoy!$M$1,Data!$A$1:$AN$1,),)-VLOOKUP(A43,Data!$A:$AN,MATCH(yoy!$M$1,Data!$A$1:$AN$1,),))/VLOOKUP(A43,Data!$A:$AN,MATCH(yoy!$M$1,Data!$A$1:$AN$1,),))+1)^12-1</f>
        <v/>
      </c>
      <c r="N43" s="14">
        <f>(((VLOOKUP(B43,Data!$A:$AN,MATCH(yoy!$N$1,Data!$A$1:$AN$1,),)-VLOOKUP(A43,Data!$A:$AN,MATCH(yoy!$N$1,Data!$A$1:$AN$1,),))/VLOOKUP(A43,Data!$A:$AN,MATCH(yoy!$N$1,Data!$A$1:$AN$1,),))+1)^12-1</f>
        <v/>
      </c>
      <c r="O43" s="14">
        <f>(((VLOOKUP(B43,Data!$A:$AN,MATCH(yoy!$O$1,Data!$A$1:$AN$1,),)-VLOOKUP(A43,Data!$A:$AN,MATCH(yoy!$O$1,Data!$A$1:$AN$1,),))/VLOOKUP(A43,Data!$A:$AN,MATCH(yoy!$O$1,Data!$A$1:$AN$1,),))+1)^12-1</f>
        <v/>
      </c>
      <c r="P43" s="14">
        <f>(((VLOOKUP(B43,Data!$A:$AN,MATCH(yoy!$P$1,Data!$A$1:$AN$1,),)-VLOOKUP(A43,Data!$A:$AN,MATCH(yoy!$P$1,Data!$A$1:$AN$1,),))/VLOOKUP(A43,Data!$A:$AN,MATCH(yoy!$P$1,Data!$A$1:$AN$1,),))+1)^12-1</f>
        <v/>
      </c>
      <c r="Q43" s="14">
        <f>(((VLOOKUP(B43,Data!$A:$AN,MATCH(yoy!$Q$1,Data!$A$1:$AN$1,),)-VLOOKUP(A43,Data!$A:$AN,MATCH(yoy!$Q$1,Data!$A$1:$AN$1,),))/VLOOKUP(A43,Data!$A:$AN,MATCH(yoy!$Q$1,Data!$A$1:$AN$1,),))+1)^12-1</f>
        <v/>
      </c>
      <c r="R43" s="14">
        <f>(((VLOOKUP(B43,Data!$A:$AN,MATCH(yoy!$R$1,Data!$A$1:$AN$1,),)-VLOOKUP(A43,Data!$A:$AN,MATCH(yoy!$R$1,Data!$A$1:$AN$1,),))/VLOOKUP(A43,Data!$A:$AN,MATCH(yoy!$R$1,Data!$A$1:$AN$1,),))+1)^12-1</f>
        <v/>
      </c>
      <c r="S43" s="14">
        <f>(((VLOOKUP(B43,Data!$A:$AN,MATCH(yoy!$S$1,Data!$A$1:$AN$1,),)-VLOOKUP(A43,Data!$A:$AN,MATCH(yoy!$S$1,Data!$A$1:$AN$1,),))/VLOOKUP(A43,Data!$A:$AN,MATCH(yoy!$S$1,Data!$A$1:$AN$1,),))+1)^12-1</f>
        <v/>
      </c>
      <c r="T43" s="14">
        <f>(((VLOOKUP(B43,Data!$A:$AN,MATCH(yoy!$T$1,Data!$A$1:$AN$1,),)-VLOOKUP(A43,Data!$A:$AN,MATCH(yoy!$T$1,Data!$A$1:$AN$1,),))/VLOOKUP(A43,Data!$A:$AN,MATCH(yoy!$T$1,Data!$A$1:$AN$1,),))+1)^12-1</f>
        <v/>
      </c>
      <c r="U43" s="14">
        <f>(((VLOOKUP(B43,Data!$A:$AN,MATCH(yoy!$U$1,Data!$A$1:$AN$1,),)-VLOOKUP(A43,Data!$A:$AN,MATCH(yoy!$U$1,Data!$A$1:$AN$1,),))/VLOOKUP(A43,Data!$A:$AN,MATCH(yoy!$U$1,Data!$A$1:$AN$1,),))+1)^12-1</f>
        <v/>
      </c>
      <c r="V43" s="14">
        <f>(((VLOOKUP(B43,Data!$A:$AN,MATCH(yoy!$V$1,Data!$A$1:$AN$1,),)-VLOOKUP(A43,Data!$A:$AN,MATCH(yoy!$V$1,Data!$A$1:$AN$1,),))/VLOOKUP(A43,Data!$A:$AN,MATCH(yoy!$V$1,Data!$A$1:$AN$1,),))+1)^12-1</f>
        <v/>
      </c>
      <c r="W43" s="14">
        <f>(((VLOOKUP(B43,Data!$A:$AN,MATCH(yoy!$W$1,Data!$A$1:$AN$1,),)-VLOOKUP(A43,Data!$A:$AN,MATCH(yoy!$W$1,Data!$A$1:$AN$1,),))/VLOOKUP(A43,Data!$A:$AN,MATCH(yoy!$W$1,Data!$A$1:$AN$1,),))+1)^12-1</f>
        <v/>
      </c>
      <c r="X43" s="14">
        <f>(((VLOOKUP(B43,Data!$A:$AN,MATCH(yoy!$X$1,Data!$A$1:$AN$1,),)-VLOOKUP(A43,Data!$A:$AN,MATCH(yoy!$X$1,Data!$A$1:$AN$1,),))/VLOOKUP(A43,Data!$A:$AN,MATCH(yoy!$X$1,Data!$A$1:$AN$1,),))+1)^12-1</f>
        <v/>
      </c>
      <c r="Y43" s="14">
        <f>(((VLOOKUP(B43,Data!$A:$AN,MATCH(yoy!$Y$1,Data!$A$1:$AN$1,),)-VLOOKUP(A43,Data!$A:$AN,MATCH(yoy!$Y$1,Data!$A$1:$AN$1,),))/VLOOKUP(A43,Data!$A:$AN,MATCH(yoy!$Y$1,Data!$A$1:$AN$1,),))+1)^12-1</f>
        <v/>
      </c>
      <c r="Z43" s="14">
        <f>(((VLOOKUP(B43,Data!$A:$AN,MATCH(yoy!$Z$1,Data!$A$1:$AN$1,),)-VLOOKUP(A43,Data!$A:$AN,MATCH(yoy!$Z$1,Data!$A$1:$AN$1,),))/VLOOKUP(A43,Data!$A:$AN,MATCH(yoy!$Z$1,Data!$A$1:$AN$1,),))+1)^12-1</f>
        <v/>
      </c>
      <c r="AA43" s="14">
        <f>(((VLOOKUP(B43,Data!$A:$AN,MATCH(yoy!$AA$1,Data!$A$1:$AN$1,),)-VLOOKUP(A43,Data!$A:$AN,MATCH(yoy!$AA$1,Data!$A$1:$AN$1,),))/VLOOKUP(A43,Data!$A:$AN,MATCH(yoy!$AA$1,Data!$A$1:$AN$1,),))+1)^12-1</f>
        <v/>
      </c>
    </row>
    <row r="44">
      <c r="A44" s="20">
        <f>DATE(YEAR(B44),MONTH(B44)-1,DAY(B44))</f>
        <v/>
      </c>
      <c r="B44" s="12" t="n">
        <v>43191</v>
      </c>
      <c r="C44" s="14">
        <f>(((VLOOKUP(B44,Data!$A:$AN,MATCH(yoy!$C$1,Data!$A$1:$AN$1,),)-VLOOKUP(A44,Data!$A:$AN,MATCH(yoy!$C$1,Data!$A$1:$AN$1,),))/VLOOKUP(A44,Data!$A:$AN,MATCH(yoy!$C$1,Data!$A$1:$AN$1,),))+1)^12-1</f>
        <v/>
      </c>
      <c r="D44" s="14">
        <f>(((VLOOKUP(B44,Data!$A:$AN,MATCH(yoy!$D$1,Data!$A$1:$AN$1,),)-VLOOKUP(A44,Data!$A:$AN,MATCH(yoy!$D$1,Data!$A$1:$AN$1,),))/VLOOKUP(A44,Data!$A:$AN,MATCH(yoy!$D$1,Data!$A$1:$AN$1,),))+1)^12-1</f>
        <v/>
      </c>
      <c r="E44" s="14">
        <f>(((VLOOKUP(B44,Data!$A:$AN,MATCH(yoy!$E$1,Data!$A$1:$AN$1,),)-VLOOKUP(A44,Data!$A:$AN,MATCH(yoy!$E$1,Data!$A$1:$AN$1,),))/VLOOKUP(A44,Data!$A:$AN,MATCH(yoy!$E$1,Data!$A$1:$AN$1,),))+1)^12-1</f>
        <v/>
      </c>
      <c r="F44" s="14">
        <f>(((VLOOKUP(B44,Data!$A:$AN,MATCH(yoy!$F$1,Data!$A$1:$AN$1,),)-VLOOKUP(A44,Data!$A:$AN,MATCH(yoy!$F$1,Data!$A$1:$AN$1,),))/VLOOKUP(A44,Data!$A:$AN,MATCH(yoy!$F$1,Data!$A$1:$AN$1,),))+1)^12-1</f>
        <v/>
      </c>
      <c r="G44" s="14">
        <f>(((VLOOKUP(B44,Data!$A:$AN,MATCH(yoy!$G$1,Data!$A$1:$AN$1,),)-VLOOKUP(A44,Data!$A:$AN,MATCH(yoy!$G$1,Data!$A$1:$AN$1,),))/VLOOKUP(A44,Data!$A:$AN,MATCH(yoy!$G$1,Data!$A$1:$AN$1,),))+1)^12-1</f>
        <v/>
      </c>
      <c r="H44" s="14">
        <f>(((VLOOKUP(B44,Data!$A:$AN,MATCH(yoy!$H$1,Data!$A$1:$AN$1,),)-VLOOKUP(A44,Data!$A:$AN,MATCH(yoy!$H$1,Data!$A$1:$AN$1,),))/VLOOKUP(A44,Data!$A:$AN,MATCH(yoy!$H$1,Data!$A$1:$AN$1,),))+1)^12-1</f>
        <v/>
      </c>
      <c r="I44" s="14">
        <f>(((VLOOKUP(B44,Data!$A:$AN,MATCH(yoy!$I$1,Data!$A$1:$AN$1,),)-VLOOKUP(A44,Data!$A:$AN,MATCH(yoy!$I$1,Data!$A$1:$AN$1,),))/VLOOKUP(A44,Data!$A:$AN,MATCH(yoy!$I$1,Data!$A$1:$AN$1,),))+1)^12-1</f>
        <v/>
      </c>
      <c r="J44" s="14">
        <f>(((VLOOKUP(B44,Data!$A:$AN,MATCH(yoy!$J$1,Data!$A$1:$AN$1,),)-VLOOKUP(A44,Data!$A:$AN,MATCH(yoy!$J$1,Data!$A$1:$AN$1,),))/VLOOKUP(A44,Data!$A:$AN,MATCH(yoy!$J$1,Data!$A$1:$AN$1,),))+1)^12-1</f>
        <v/>
      </c>
      <c r="K44" s="14">
        <f>(((VLOOKUP(B44,Data!$A:$AN,MATCH(yoy!$K$1,Data!$A$1:$AN$1,),)-VLOOKUP(A44,Data!$A:$AN,MATCH(yoy!$K$1,Data!$A$1:$AN$1,),))/VLOOKUP(A44,Data!$A:$AN,MATCH(yoy!$K$1,Data!$A$1:$AN$1,),))+1)^12-1</f>
        <v/>
      </c>
      <c r="L44" s="14">
        <f>(((VLOOKUP(B44,Data!$A:$AN,MATCH(yoy!$L$1,Data!$A$1:$AN$1,),)-VLOOKUP(A44,Data!$A:$AN,MATCH(yoy!$L$1,Data!$A$1:$AN$1,),))/VLOOKUP(A44,Data!$A:$AN,MATCH(yoy!$L$1,Data!$A$1:$AN$1,),))+1)^12-1</f>
        <v/>
      </c>
      <c r="M44" s="14">
        <f>(((VLOOKUP(B44,Data!$A:$AN,MATCH(yoy!$M$1,Data!$A$1:$AN$1,),)-VLOOKUP(A44,Data!$A:$AN,MATCH(yoy!$M$1,Data!$A$1:$AN$1,),))/VLOOKUP(A44,Data!$A:$AN,MATCH(yoy!$M$1,Data!$A$1:$AN$1,),))+1)^12-1</f>
        <v/>
      </c>
      <c r="N44" s="14">
        <f>(((VLOOKUP(B44,Data!$A:$AN,MATCH(yoy!$N$1,Data!$A$1:$AN$1,),)-VLOOKUP(A44,Data!$A:$AN,MATCH(yoy!$N$1,Data!$A$1:$AN$1,),))/VLOOKUP(A44,Data!$A:$AN,MATCH(yoy!$N$1,Data!$A$1:$AN$1,),))+1)^12-1</f>
        <v/>
      </c>
      <c r="O44" s="14">
        <f>(((VLOOKUP(B44,Data!$A:$AN,MATCH(yoy!$O$1,Data!$A$1:$AN$1,),)-VLOOKUP(A44,Data!$A:$AN,MATCH(yoy!$O$1,Data!$A$1:$AN$1,),))/VLOOKUP(A44,Data!$A:$AN,MATCH(yoy!$O$1,Data!$A$1:$AN$1,),))+1)^12-1</f>
        <v/>
      </c>
      <c r="P44" s="14">
        <f>(((VLOOKUP(B44,Data!$A:$AN,MATCH(yoy!$P$1,Data!$A$1:$AN$1,),)-VLOOKUP(A44,Data!$A:$AN,MATCH(yoy!$P$1,Data!$A$1:$AN$1,),))/VLOOKUP(A44,Data!$A:$AN,MATCH(yoy!$P$1,Data!$A$1:$AN$1,),))+1)^12-1</f>
        <v/>
      </c>
      <c r="Q44" s="14">
        <f>(((VLOOKUP(B44,Data!$A:$AN,MATCH(yoy!$Q$1,Data!$A$1:$AN$1,),)-VLOOKUP(A44,Data!$A:$AN,MATCH(yoy!$Q$1,Data!$A$1:$AN$1,),))/VLOOKUP(A44,Data!$A:$AN,MATCH(yoy!$Q$1,Data!$A$1:$AN$1,),))+1)^12-1</f>
        <v/>
      </c>
      <c r="R44" s="14">
        <f>(((VLOOKUP(B44,Data!$A:$AN,MATCH(yoy!$R$1,Data!$A$1:$AN$1,),)-VLOOKUP(A44,Data!$A:$AN,MATCH(yoy!$R$1,Data!$A$1:$AN$1,),))/VLOOKUP(A44,Data!$A:$AN,MATCH(yoy!$R$1,Data!$A$1:$AN$1,),))+1)^12-1</f>
        <v/>
      </c>
      <c r="S44" s="14">
        <f>(((VLOOKUP(B44,Data!$A:$AN,MATCH(yoy!$S$1,Data!$A$1:$AN$1,),)-VLOOKUP(A44,Data!$A:$AN,MATCH(yoy!$S$1,Data!$A$1:$AN$1,),))/VLOOKUP(A44,Data!$A:$AN,MATCH(yoy!$S$1,Data!$A$1:$AN$1,),))+1)^12-1</f>
        <v/>
      </c>
      <c r="T44" s="14">
        <f>(((VLOOKUP(B44,Data!$A:$AN,MATCH(yoy!$T$1,Data!$A$1:$AN$1,),)-VLOOKUP(A44,Data!$A:$AN,MATCH(yoy!$T$1,Data!$A$1:$AN$1,),))/VLOOKUP(A44,Data!$A:$AN,MATCH(yoy!$T$1,Data!$A$1:$AN$1,),))+1)^12-1</f>
        <v/>
      </c>
      <c r="U44" s="14">
        <f>(((VLOOKUP(B44,Data!$A:$AN,MATCH(yoy!$U$1,Data!$A$1:$AN$1,),)-VLOOKUP(A44,Data!$A:$AN,MATCH(yoy!$U$1,Data!$A$1:$AN$1,),))/VLOOKUP(A44,Data!$A:$AN,MATCH(yoy!$U$1,Data!$A$1:$AN$1,),))+1)^12-1</f>
        <v/>
      </c>
      <c r="V44" s="14">
        <f>(((VLOOKUP(B44,Data!$A:$AN,MATCH(yoy!$V$1,Data!$A$1:$AN$1,),)-VLOOKUP(A44,Data!$A:$AN,MATCH(yoy!$V$1,Data!$A$1:$AN$1,),))/VLOOKUP(A44,Data!$A:$AN,MATCH(yoy!$V$1,Data!$A$1:$AN$1,),))+1)^12-1</f>
        <v/>
      </c>
      <c r="W44" s="14">
        <f>(((VLOOKUP(B44,Data!$A:$AN,MATCH(yoy!$W$1,Data!$A$1:$AN$1,),)-VLOOKUP(A44,Data!$A:$AN,MATCH(yoy!$W$1,Data!$A$1:$AN$1,),))/VLOOKUP(A44,Data!$A:$AN,MATCH(yoy!$W$1,Data!$A$1:$AN$1,),))+1)^12-1</f>
        <v/>
      </c>
      <c r="X44" s="14">
        <f>(((VLOOKUP(B44,Data!$A:$AN,MATCH(yoy!$X$1,Data!$A$1:$AN$1,),)-VLOOKUP(A44,Data!$A:$AN,MATCH(yoy!$X$1,Data!$A$1:$AN$1,),))/VLOOKUP(A44,Data!$A:$AN,MATCH(yoy!$X$1,Data!$A$1:$AN$1,),))+1)^12-1</f>
        <v/>
      </c>
      <c r="Y44" s="14">
        <f>(((VLOOKUP(B44,Data!$A:$AN,MATCH(yoy!$Y$1,Data!$A$1:$AN$1,),)-VLOOKUP(A44,Data!$A:$AN,MATCH(yoy!$Y$1,Data!$A$1:$AN$1,),))/VLOOKUP(A44,Data!$A:$AN,MATCH(yoy!$Y$1,Data!$A$1:$AN$1,),))+1)^12-1</f>
        <v/>
      </c>
      <c r="Z44" s="14">
        <f>(((VLOOKUP(B44,Data!$A:$AN,MATCH(yoy!$Z$1,Data!$A$1:$AN$1,),)-VLOOKUP(A44,Data!$A:$AN,MATCH(yoy!$Z$1,Data!$A$1:$AN$1,),))/VLOOKUP(A44,Data!$A:$AN,MATCH(yoy!$Z$1,Data!$A$1:$AN$1,),))+1)^12-1</f>
        <v/>
      </c>
      <c r="AA44" s="14">
        <f>(((VLOOKUP(B44,Data!$A:$AN,MATCH(yoy!$AA$1,Data!$A$1:$AN$1,),)-VLOOKUP(A44,Data!$A:$AN,MATCH(yoy!$AA$1,Data!$A$1:$AN$1,),))/VLOOKUP(A44,Data!$A:$AN,MATCH(yoy!$AA$1,Data!$A$1:$AN$1,),))+1)^12-1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(((VLOOKUP(B45,Data!$A:$AN,MATCH(yoy!$C$1,Data!$A$1:$AN$1,),)-VLOOKUP(A45,Data!$A:$AN,MATCH(yoy!$C$1,Data!$A$1:$AN$1,),))/VLOOKUP(A45,Data!$A:$AN,MATCH(yoy!$C$1,Data!$A$1:$AN$1,),))+1)^12-1</f>
        <v/>
      </c>
      <c r="D45" s="14">
        <f>(((VLOOKUP(B45,Data!$A:$AN,MATCH(yoy!$D$1,Data!$A$1:$AN$1,),)-VLOOKUP(A45,Data!$A:$AN,MATCH(yoy!$D$1,Data!$A$1:$AN$1,),))/VLOOKUP(A45,Data!$A:$AN,MATCH(yoy!$D$1,Data!$A$1:$AN$1,),))+1)^12-1</f>
        <v/>
      </c>
      <c r="E45" s="14">
        <f>(((VLOOKUP(B45,Data!$A:$AN,MATCH(yoy!$E$1,Data!$A$1:$AN$1,),)-VLOOKUP(A45,Data!$A:$AN,MATCH(yoy!$E$1,Data!$A$1:$AN$1,),))/VLOOKUP(A45,Data!$A:$AN,MATCH(yoy!$E$1,Data!$A$1:$AN$1,),))+1)^12-1</f>
        <v/>
      </c>
      <c r="F45" s="14">
        <f>(((VLOOKUP(B45,Data!$A:$AN,MATCH(yoy!$F$1,Data!$A$1:$AN$1,),)-VLOOKUP(A45,Data!$A:$AN,MATCH(yoy!$F$1,Data!$A$1:$AN$1,),))/VLOOKUP(A45,Data!$A:$AN,MATCH(yoy!$F$1,Data!$A$1:$AN$1,),))+1)^12-1</f>
        <v/>
      </c>
      <c r="G45" s="14">
        <f>(((VLOOKUP(B45,Data!$A:$AN,MATCH(yoy!$G$1,Data!$A$1:$AN$1,),)-VLOOKUP(A45,Data!$A:$AN,MATCH(yoy!$G$1,Data!$A$1:$AN$1,),))/VLOOKUP(A45,Data!$A:$AN,MATCH(yoy!$G$1,Data!$A$1:$AN$1,),))+1)^12-1</f>
        <v/>
      </c>
      <c r="H45" s="14">
        <f>(((VLOOKUP(B45,Data!$A:$AN,MATCH(yoy!$H$1,Data!$A$1:$AN$1,),)-VLOOKUP(A45,Data!$A:$AN,MATCH(yoy!$H$1,Data!$A$1:$AN$1,),))/VLOOKUP(A45,Data!$A:$AN,MATCH(yoy!$H$1,Data!$A$1:$AN$1,),))+1)^12-1</f>
        <v/>
      </c>
      <c r="I45" s="14">
        <f>(((VLOOKUP(B45,Data!$A:$AN,MATCH(yoy!$I$1,Data!$A$1:$AN$1,),)-VLOOKUP(A45,Data!$A:$AN,MATCH(yoy!$I$1,Data!$A$1:$AN$1,),))/VLOOKUP(A45,Data!$A:$AN,MATCH(yoy!$I$1,Data!$A$1:$AN$1,),))+1)^12-1</f>
        <v/>
      </c>
      <c r="J45" s="14">
        <f>(((VLOOKUP(B45,Data!$A:$AN,MATCH(yoy!$J$1,Data!$A$1:$AN$1,),)-VLOOKUP(A45,Data!$A:$AN,MATCH(yoy!$J$1,Data!$A$1:$AN$1,),))/VLOOKUP(A45,Data!$A:$AN,MATCH(yoy!$J$1,Data!$A$1:$AN$1,),))+1)^12-1</f>
        <v/>
      </c>
      <c r="K45" s="14">
        <f>(((VLOOKUP(B45,Data!$A:$AN,MATCH(yoy!$K$1,Data!$A$1:$AN$1,),)-VLOOKUP(A45,Data!$A:$AN,MATCH(yoy!$K$1,Data!$A$1:$AN$1,),))/VLOOKUP(A45,Data!$A:$AN,MATCH(yoy!$K$1,Data!$A$1:$AN$1,),))+1)^12-1</f>
        <v/>
      </c>
      <c r="L45" s="14">
        <f>(((VLOOKUP(B45,Data!$A:$AN,MATCH(yoy!$L$1,Data!$A$1:$AN$1,),)-VLOOKUP(A45,Data!$A:$AN,MATCH(yoy!$L$1,Data!$A$1:$AN$1,),))/VLOOKUP(A45,Data!$A:$AN,MATCH(yoy!$L$1,Data!$A$1:$AN$1,),))+1)^12-1</f>
        <v/>
      </c>
      <c r="M45" s="14">
        <f>(((VLOOKUP(B45,Data!$A:$AN,MATCH(yoy!$M$1,Data!$A$1:$AN$1,),)-VLOOKUP(A45,Data!$A:$AN,MATCH(yoy!$M$1,Data!$A$1:$AN$1,),))/VLOOKUP(A45,Data!$A:$AN,MATCH(yoy!$M$1,Data!$A$1:$AN$1,),))+1)^12-1</f>
        <v/>
      </c>
      <c r="N45" s="14">
        <f>(((VLOOKUP(B45,Data!$A:$AN,MATCH(yoy!$N$1,Data!$A$1:$AN$1,),)-VLOOKUP(A45,Data!$A:$AN,MATCH(yoy!$N$1,Data!$A$1:$AN$1,),))/VLOOKUP(A45,Data!$A:$AN,MATCH(yoy!$N$1,Data!$A$1:$AN$1,),))+1)^12-1</f>
        <v/>
      </c>
      <c r="O45" s="14">
        <f>(((VLOOKUP(B45,Data!$A:$AN,MATCH(yoy!$O$1,Data!$A$1:$AN$1,),)-VLOOKUP(A45,Data!$A:$AN,MATCH(yoy!$O$1,Data!$A$1:$AN$1,),))/VLOOKUP(A45,Data!$A:$AN,MATCH(yoy!$O$1,Data!$A$1:$AN$1,),))+1)^12-1</f>
        <v/>
      </c>
      <c r="P45" s="14">
        <f>(((VLOOKUP(B45,Data!$A:$AN,MATCH(yoy!$P$1,Data!$A$1:$AN$1,),)-VLOOKUP(A45,Data!$A:$AN,MATCH(yoy!$P$1,Data!$A$1:$AN$1,),))/VLOOKUP(A45,Data!$A:$AN,MATCH(yoy!$P$1,Data!$A$1:$AN$1,),))+1)^12-1</f>
        <v/>
      </c>
      <c r="Q45" s="14">
        <f>(((VLOOKUP(B45,Data!$A:$AN,MATCH(yoy!$Q$1,Data!$A$1:$AN$1,),)-VLOOKUP(A45,Data!$A:$AN,MATCH(yoy!$Q$1,Data!$A$1:$AN$1,),))/VLOOKUP(A45,Data!$A:$AN,MATCH(yoy!$Q$1,Data!$A$1:$AN$1,),))+1)^12-1</f>
        <v/>
      </c>
      <c r="R45" s="14">
        <f>(((VLOOKUP(B45,Data!$A:$AN,MATCH(yoy!$R$1,Data!$A$1:$AN$1,),)-VLOOKUP(A45,Data!$A:$AN,MATCH(yoy!$R$1,Data!$A$1:$AN$1,),))/VLOOKUP(A45,Data!$A:$AN,MATCH(yoy!$R$1,Data!$A$1:$AN$1,),))+1)^12-1</f>
        <v/>
      </c>
      <c r="S45" s="14">
        <f>(((VLOOKUP(B45,Data!$A:$AN,MATCH(yoy!$S$1,Data!$A$1:$AN$1,),)-VLOOKUP(A45,Data!$A:$AN,MATCH(yoy!$S$1,Data!$A$1:$AN$1,),))/VLOOKUP(A45,Data!$A:$AN,MATCH(yoy!$S$1,Data!$A$1:$AN$1,),))+1)^12-1</f>
        <v/>
      </c>
      <c r="T45" s="14">
        <f>(((VLOOKUP(B45,Data!$A:$AN,MATCH(yoy!$T$1,Data!$A$1:$AN$1,),)-VLOOKUP(A45,Data!$A:$AN,MATCH(yoy!$T$1,Data!$A$1:$AN$1,),))/VLOOKUP(A45,Data!$A:$AN,MATCH(yoy!$T$1,Data!$A$1:$AN$1,),))+1)^12-1</f>
        <v/>
      </c>
      <c r="U45" s="14">
        <f>(((VLOOKUP(B45,Data!$A:$AN,MATCH(yoy!$U$1,Data!$A$1:$AN$1,),)-VLOOKUP(A45,Data!$A:$AN,MATCH(yoy!$U$1,Data!$A$1:$AN$1,),))/VLOOKUP(A45,Data!$A:$AN,MATCH(yoy!$U$1,Data!$A$1:$AN$1,),))+1)^12-1</f>
        <v/>
      </c>
      <c r="V45" s="14">
        <f>(((VLOOKUP(B45,Data!$A:$AN,MATCH(yoy!$V$1,Data!$A$1:$AN$1,),)-VLOOKUP(A45,Data!$A:$AN,MATCH(yoy!$V$1,Data!$A$1:$AN$1,),))/VLOOKUP(A45,Data!$A:$AN,MATCH(yoy!$V$1,Data!$A$1:$AN$1,),))+1)^12-1</f>
        <v/>
      </c>
      <c r="W45" s="14">
        <f>(((VLOOKUP(B45,Data!$A:$AN,MATCH(yoy!$W$1,Data!$A$1:$AN$1,),)-VLOOKUP(A45,Data!$A:$AN,MATCH(yoy!$W$1,Data!$A$1:$AN$1,),))/VLOOKUP(A45,Data!$A:$AN,MATCH(yoy!$W$1,Data!$A$1:$AN$1,),))+1)^12-1</f>
        <v/>
      </c>
      <c r="X45" s="14">
        <f>(((VLOOKUP(B45,Data!$A:$AN,MATCH(yoy!$X$1,Data!$A$1:$AN$1,),)-VLOOKUP(A45,Data!$A:$AN,MATCH(yoy!$X$1,Data!$A$1:$AN$1,),))/VLOOKUP(A45,Data!$A:$AN,MATCH(yoy!$X$1,Data!$A$1:$AN$1,),))+1)^12-1</f>
        <v/>
      </c>
      <c r="Y45" s="14">
        <f>(((VLOOKUP(B45,Data!$A:$AN,MATCH(yoy!$Y$1,Data!$A$1:$AN$1,),)-VLOOKUP(A45,Data!$A:$AN,MATCH(yoy!$Y$1,Data!$A$1:$AN$1,),))/VLOOKUP(A45,Data!$A:$AN,MATCH(yoy!$Y$1,Data!$A$1:$AN$1,),))+1)^12-1</f>
        <v/>
      </c>
      <c r="Z45" s="14">
        <f>(((VLOOKUP(B45,Data!$A:$AN,MATCH(yoy!$Z$1,Data!$A$1:$AN$1,),)-VLOOKUP(A45,Data!$A:$AN,MATCH(yoy!$Z$1,Data!$A$1:$AN$1,),))/VLOOKUP(A45,Data!$A:$AN,MATCH(yoy!$Z$1,Data!$A$1:$AN$1,),))+1)^12-1</f>
        <v/>
      </c>
      <c r="AA45" s="14">
        <f>(((VLOOKUP(B45,Data!$A:$AN,MATCH(yoy!$AA$1,Data!$A$1:$AN$1,),)-VLOOKUP(A45,Data!$A:$AN,MATCH(yoy!$AA$1,Data!$A$1:$AN$1,),))/VLOOKUP(A45,Data!$A:$AN,MATCH(yoy!$AA$1,Data!$A$1:$AN$1,),))+1)^12-1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(((VLOOKUP(B46,Data!$A:$AN,MATCH(yoy!$C$1,Data!$A$1:$AN$1,),)-VLOOKUP(A46,Data!$A:$AN,MATCH(yoy!$C$1,Data!$A$1:$AN$1,),))/VLOOKUP(A46,Data!$A:$AN,MATCH(yoy!$C$1,Data!$A$1:$AN$1,),))+1)^12-1</f>
        <v/>
      </c>
      <c r="D46" s="14">
        <f>(((VLOOKUP(B46,Data!$A:$AN,MATCH(yoy!$D$1,Data!$A$1:$AN$1,),)-VLOOKUP(A46,Data!$A:$AN,MATCH(yoy!$D$1,Data!$A$1:$AN$1,),))/VLOOKUP(A46,Data!$A:$AN,MATCH(yoy!$D$1,Data!$A$1:$AN$1,),))+1)^12-1</f>
        <v/>
      </c>
      <c r="E46" s="14">
        <f>(((VLOOKUP(B46,Data!$A:$AN,MATCH(yoy!$E$1,Data!$A$1:$AN$1,),)-VLOOKUP(A46,Data!$A:$AN,MATCH(yoy!$E$1,Data!$A$1:$AN$1,),))/VLOOKUP(A46,Data!$A:$AN,MATCH(yoy!$E$1,Data!$A$1:$AN$1,),))+1)^12-1</f>
        <v/>
      </c>
      <c r="F46" s="14">
        <f>(((VLOOKUP(B46,Data!$A:$AN,MATCH(yoy!$F$1,Data!$A$1:$AN$1,),)-VLOOKUP(A46,Data!$A:$AN,MATCH(yoy!$F$1,Data!$A$1:$AN$1,),))/VLOOKUP(A46,Data!$A:$AN,MATCH(yoy!$F$1,Data!$A$1:$AN$1,),))+1)^12-1</f>
        <v/>
      </c>
      <c r="G46" s="14">
        <f>(((VLOOKUP(B46,Data!$A:$AN,MATCH(yoy!$G$1,Data!$A$1:$AN$1,),)-VLOOKUP(A46,Data!$A:$AN,MATCH(yoy!$G$1,Data!$A$1:$AN$1,),))/VLOOKUP(A46,Data!$A:$AN,MATCH(yoy!$G$1,Data!$A$1:$AN$1,),))+1)^12-1</f>
        <v/>
      </c>
      <c r="H46" s="14">
        <f>(((VLOOKUP(B46,Data!$A:$AN,MATCH(yoy!$H$1,Data!$A$1:$AN$1,),)-VLOOKUP(A46,Data!$A:$AN,MATCH(yoy!$H$1,Data!$A$1:$AN$1,),))/VLOOKUP(A46,Data!$A:$AN,MATCH(yoy!$H$1,Data!$A$1:$AN$1,),))+1)^12-1</f>
        <v/>
      </c>
      <c r="I46" s="14">
        <f>(((VLOOKUP(B46,Data!$A:$AN,MATCH(yoy!$I$1,Data!$A$1:$AN$1,),)-VLOOKUP(A46,Data!$A:$AN,MATCH(yoy!$I$1,Data!$A$1:$AN$1,),))/VLOOKUP(A46,Data!$A:$AN,MATCH(yoy!$I$1,Data!$A$1:$AN$1,),))+1)^12-1</f>
        <v/>
      </c>
      <c r="J46" s="14">
        <f>(((VLOOKUP(B46,Data!$A:$AN,MATCH(yoy!$J$1,Data!$A$1:$AN$1,),)-VLOOKUP(A46,Data!$A:$AN,MATCH(yoy!$J$1,Data!$A$1:$AN$1,),))/VLOOKUP(A46,Data!$A:$AN,MATCH(yoy!$J$1,Data!$A$1:$AN$1,),))+1)^12-1</f>
        <v/>
      </c>
      <c r="K46" s="14">
        <f>(((VLOOKUP(B46,Data!$A:$AN,MATCH(yoy!$K$1,Data!$A$1:$AN$1,),)-VLOOKUP(A46,Data!$A:$AN,MATCH(yoy!$K$1,Data!$A$1:$AN$1,),))/VLOOKUP(A46,Data!$A:$AN,MATCH(yoy!$K$1,Data!$A$1:$AN$1,),))+1)^12-1</f>
        <v/>
      </c>
      <c r="L46" s="14">
        <f>(((VLOOKUP(B46,Data!$A:$AN,MATCH(yoy!$L$1,Data!$A$1:$AN$1,),)-VLOOKUP(A46,Data!$A:$AN,MATCH(yoy!$L$1,Data!$A$1:$AN$1,),))/VLOOKUP(A46,Data!$A:$AN,MATCH(yoy!$L$1,Data!$A$1:$AN$1,),))+1)^12-1</f>
        <v/>
      </c>
      <c r="M46" s="14">
        <f>(((VLOOKUP(B46,Data!$A:$AN,MATCH(yoy!$M$1,Data!$A$1:$AN$1,),)-VLOOKUP(A46,Data!$A:$AN,MATCH(yoy!$M$1,Data!$A$1:$AN$1,),))/VLOOKUP(A46,Data!$A:$AN,MATCH(yoy!$M$1,Data!$A$1:$AN$1,),))+1)^12-1</f>
        <v/>
      </c>
      <c r="N46" s="14">
        <f>(((VLOOKUP(B46,Data!$A:$AN,MATCH(yoy!$N$1,Data!$A$1:$AN$1,),)-VLOOKUP(A46,Data!$A:$AN,MATCH(yoy!$N$1,Data!$A$1:$AN$1,),))/VLOOKUP(A46,Data!$A:$AN,MATCH(yoy!$N$1,Data!$A$1:$AN$1,),))+1)^12-1</f>
        <v/>
      </c>
      <c r="O46" s="14">
        <f>(((VLOOKUP(B46,Data!$A:$AN,MATCH(yoy!$O$1,Data!$A$1:$AN$1,),)-VLOOKUP(A46,Data!$A:$AN,MATCH(yoy!$O$1,Data!$A$1:$AN$1,),))/VLOOKUP(A46,Data!$A:$AN,MATCH(yoy!$O$1,Data!$A$1:$AN$1,),))+1)^12-1</f>
        <v/>
      </c>
      <c r="P46" s="14">
        <f>(((VLOOKUP(B46,Data!$A:$AN,MATCH(yoy!$P$1,Data!$A$1:$AN$1,),)-VLOOKUP(A46,Data!$A:$AN,MATCH(yoy!$P$1,Data!$A$1:$AN$1,),))/VLOOKUP(A46,Data!$A:$AN,MATCH(yoy!$P$1,Data!$A$1:$AN$1,),))+1)^12-1</f>
        <v/>
      </c>
      <c r="Q46" s="14">
        <f>(((VLOOKUP(B46,Data!$A:$AN,MATCH(yoy!$Q$1,Data!$A$1:$AN$1,),)-VLOOKUP(A46,Data!$A:$AN,MATCH(yoy!$Q$1,Data!$A$1:$AN$1,),))/VLOOKUP(A46,Data!$A:$AN,MATCH(yoy!$Q$1,Data!$A$1:$AN$1,),))+1)^12-1</f>
        <v/>
      </c>
      <c r="R46" s="14">
        <f>(((VLOOKUP(B46,Data!$A:$AN,MATCH(yoy!$R$1,Data!$A$1:$AN$1,),)-VLOOKUP(A46,Data!$A:$AN,MATCH(yoy!$R$1,Data!$A$1:$AN$1,),))/VLOOKUP(A46,Data!$A:$AN,MATCH(yoy!$R$1,Data!$A$1:$AN$1,),))+1)^12-1</f>
        <v/>
      </c>
      <c r="S46" s="14">
        <f>(((VLOOKUP(B46,Data!$A:$AN,MATCH(yoy!$S$1,Data!$A$1:$AN$1,),)-VLOOKUP(A46,Data!$A:$AN,MATCH(yoy!$S$1,Data!$A$1:$AN$1,),))/VLOOKUP(A46,Data!$A:$AN,MATCH(yoy!$S$1,Data!$A$1:$AN$1,),))+1)^12-1</f>
        <v/>
      </c>
      <c r="T46" s="14">
        <f>(((VLOOKUP(B46,Data!$A:$AN,MATCH(yoy!$T$1,Data!$A$1:$AN$1,),)-VLOOKUP(A46,Data!$A:$AN,MATCH(yoy!$T$1,Data!$A$1:$AN$1,),))/VLOOKUP(A46,Data!$A:$AN,MATCH(yoy!$T$1,Data!$A$1:$AN$1,),))+1)^12-1</f>
        <v/>
      </c>
      <c r="U46" s="14">
        <f>(((VLOOKUP(B46,Data!$A:$AN,MATCH(yoy!$U$1,Data!$A$1:$AN$1,),)-VLOOKUP(A46,Data!$A:$AN,MATCH(yoy!$U$1,Data!$A$1:$AN$1,),))/VLOOKUP(A46,Data!$A:$AN,MATCH(yoy!$U$1,Data!$A$1:$AN$1,),))+1)^12-1</f>
        <v/>
      </c>
      <c r="V46" s="14">
        <f>(((VLOOKUP(B46,Data!$A:$AN,MATCH(yoy!$V$1,Data!$A$1:$AN$1,),)-VLOOKUP(A46,Data!$A:$AN,MATCH(yoy!$V$1,Data!$A$1:$AN$1,),))/VLOOKUP(A46,Data!$A:$AN,MATCH(yoy!$V$1,Data!$A$1:$AN$1,),))+1)^12-1</f>
        <v/>
      </c>
      <c r="W46" s="14">
        <f>(((VLOOKUP(B46,Data!$A:$AN,MATCH(yoy!$W$1,Data!$A$1:$AN$1,),)-VLOOKUP(A46,Data!$A:$AN,MATCH(yoy!$W$1,Data!$A$1:$AN$1,),))/VLOOKUP(A46,Data!$A:$AN,MATCH(yoy!$W$1,Data!$A$1:$AN$1,),))+1)^12-1</f>
        <v/>
      </c>
      <c r="X46" s="14">
        <f>(((VLOOKUP(B46,Data!$A:$AN,MATCH(yoy!$X$1,Data!$A$1:$AN$1,),)-VLOOKUP(A46,Data!$A:$AN,MATCH(yoy!$X$1,Data!$A$1:$AN$1,),))/VLOOKUP(A46,Data!$A:$AN,MATCH(yoy!$X$1,Data!$A$1:$AN$1,),))+1)^12-1</f>
        <v/>
      </c>
      <c r="Y46" s="14">
        <f>(((VLOOKUP(B46,Data!$A:$AN,MATCH(yoy!$Y$1,Data!$A$1:$AN$1,),)-VLOOKUP(A46,Data!$A:$AN,MATCH(yoy!$Y$1,Data!$A$1:$AN$1,),))/VLOOKUP(A46,Data!$A:$AN,MATCH(yoy!$Y$1,Data!$A$1:$AN$1,),))+1)^12-1</f>
        <v/>
      </c>
      <c r="Z46" s="14">
        <f>(((VLOOKUP(B46,Data!$A:$AN,MATCH(yoy!$Z$1,Data!$A$1:$AN$1,),)-VLOOKUP(A46,Data!$A:$AN,MATCH(yoy!$Z$1,Data!$A$1:$AN$1,),))/VLOOKUP(A46,Data!$A:$AN,MATCH(yoy!$Z$1,Data!$A$1:$AN$1,),))+1)^12-1</f>
        <v/>
      </c>
      <c r="AA46" s="14">
        <f>(((VLOOKUP(B46,Data!$A:$AN,MATCH(yoy!$AA$1,Data!$A$1:$AN$1,),)-VLOOKUP(A46,Data!$A:$AN,MATCH(yoy!$AA$1,Data!$A$1:$AN$1,),))/VLOOKUP(A46,Data!$A:$AN,MATCH(yoy!$AA$1,Data!$A$1:$AN$1,),))+1)^12-1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(((VLOOKUP(B47,Data!$A:$AN,MATCH(yoy!$C$1,Data!$A$1:$AN$1,),)-VLOOKUP(A47,Data!$A:$AN,MATCH(yoy!$C$1,Data!$A$1:$AN$1,),))/VLOOKUP(A47,Data!$A:$AN,MATCH(yoy!$C$1,Data!$A$1:$AN$1,),))+1)^12-1</f>
        <v/>
      </c>
      <c r="D47" s="14">
        <f>(((VLOOKUP(B47,Data!$A:$AN,MATCH(yoy!$D$1,Data!$A$1:$AN$1,),)-VLOOKUP(A47,Data!$A:$AN,MATCH(yoy!$D$1,Data!$A$1:$AN$1,),))/VLOOKUP(A47,Data!$A:$AN,MATCH(yoy!$D$1,Data!$A$1:$AN$1,),))+1)^12-1</f>
        <v/>
      </c>
      <c r="E47" s="14">
        <f>(((VLOOKUP(B47,Data!$A:$AN,MATCH(yoy!$E$1,Data!$A$1:$AN$1,),)-VLOOKUP(A47,Data!$A:$AN,MATCH(yoy!$E$1,Data!$A$1:$AN$1,),))/VLOOKUP(A47,Data!$A:$AN,MATCH(yoy!$E$1,Data!$A$1:$AN$1,),))+1)^12-1</f>
        <v/>
      </c>
      <c r="F47" s="14">
        <f>(((VLOOKUP(B47,Data!$A:$AN,MATCH(yoy!$F$1,Data!$A$1:$AN$1,),)-VLOOKUP(A47,Data!$A:$AN,MATCH(yoy!$F$1,Data!$A$1:$AN$1,),))/VLOOKUP(A47,Data!$A:$AN,MATCH(yoy!$F$1,Data!$A$1:$AN$1,),))+1)^12-1</f>
        <v/>
      </c>
      <c r="G47" s="14">
        <f>(((VLOOKUP(B47,Data!$A:$AN,MATCH(yoy!$G$1,Data!$A$1:$AN$1,),)-VLOOKUP(A47,Data!$A:$AN,MATCH(yoy!$G$1,Data!$A$1:$AN$1,),))/VLOOKUP(A47,Data!$A:$AN,MATCH(yoy!$G$1,Data!$A$1:$AN$1,),))+1)^12-1</f>
        <v/>
      </c>
      <c r="H47" s="14">
        <f>(((VLOOKUP(B47,Data!$A:$AN,MATCH(yoy!$H$1,Data!$A$1:$AN$1,),)-VLOOKUP(A47,Data!$A:$AN,MATCH(yoy!$H$1,Data!$A$1:$AN$1,),))/VLOOKUP(A47,Data!$A:$AN,MATCH(yoy!$H$1,Data!$A$1:$AN$1,),))+1)^12-1</f>
        <v/>
      </c>
      <c r="I47" s="14">
        <f>(((VLOOKUP(B47,Data!$A:$AN,MATCH(yoy!$I$1,Data!$A$1:$AN$1,),)-VLOOKUP(A47,Data!$A:$AN,MATCH(yoy!$I$1,Data!$A$1:$AN$1,),))/VLOOKUP(A47,Data!$A:$AN,MATCH(yoy!$I$1,Data!$A$1:$AN$1,),))+1)^12-1</f>
        <v/>
      </c>
      <c r="J47" s="14">
        <f>(((VLOOKUP(B47,Data!$A:$AN,MATCH(yoy!$J$1,Data!$A$1:$AN$1,),)-VLOOKUP(A47,Data!$A:$AN,MATCH(yoy!$J$1,Data!$A$1:$AN$1,),))/VLOOKUP(A47,Data!$A:$AN,MATCH(yoy!$J$1,Data!$A$1:$AN$1,),))+1)^12-1</f>
        <v/>
      </c>
      <c r="K47" s="14">
        <f>(((VLOOKUP(B47,Data!$A:$AN,MATCH(yoy!$K$1,Data!$A$1:$AN$1,),)-VLOOKUP(A47,Data!$A:$AN,MATCH(yoy!$K$1,Data!$A$1:$AN$1,),))/VLOOKUP(A47,Data!$A:$AN,MATCH(yoy!$K$1,Data!$A$1:$AN$1,),))+1)^12-1</f>
        <v/>
      </c>
      <c r="L47" s="14">
        <f>(((VLOOKUP(B47,Data!$A:$AN,MATCH(yoy!$L$1,Data!$A$1:$AN$1,),)-VLOOKUP(A47,Data!$A:$AN,MATCH(yoy!$L$1,Data!$A$1:$AN$1,),))/VLOOKUP(A47,Data!$A:$AN,MATCH(yoy!$L$1,Data!$A$1:$AN$1,),))+1)^12-1</f>
        <v/>
      </c>
      <c r="M47" s="14">
        <f>(((VLOOKUP(B47,Data!$A:$AN,MATCH(yoy!$M$1,Data!$A$1:$AN$1,),)-VLOOKUP(A47,Data!$A:$AN,MATCH(yoy!$M$1,Data!$A$1:$AN$1,),))/VLOOKUP(A47,Data!$A:$AN,MATCH(yoy!$M$1,Data!$A$1:$AN$1,),))+1)^12-1</f>
        <v/>
      </c>
      <c r="N47" s="14">
        <f>(((VLOOKUP(B47,Data!$A:$AN,MATCH(yoy!$N$1,Data!$A$1:$AN$1,),)-VLOOKUP(A47,Data!$A:$AN,MATCH(yoy!$N$1,Data!$A$1:$AN$1,),))/VLOOKUP(A47,Data!$A:$AN,MATCH(yoy!$N$1,Data!$A$1:$AN$1,),))+1)^12-1</f>
        <v/>
      </c>
      <c r="O47" s="14">
        <f>(((VLOOKUP(B47,Data!$A:$AN,MATCH(yoy!$O$1,Data!$A$1:$AN$1,),)-VLOOKUP(A47,Data!$A:$AN,MATCH(yoy!$O$1,Data!$A$1:$AN$1,),))/VLOOKUP(A47,Data!$A:$AN,MATCH(yoy!$O$1,Data!$A$1:$AN$1,),))+1)^12-1</f>
        <v/>
      </c>
      <c r="P47" s="14">
        <f>(((VLOOKUP(B47,Data!$A:$AN,MATCH(yoy!$P$1,Data!$A$1:$AN$1,),)-VLOOKUP(A47,Data!$A:$AN,MATCH(yoy!$P$1,Data!$A$1:$AN$1,),))/VLOOKUP(A47,Data!$A:$AN,MATCH(yoy!$P$1,Data!$A$1:$AN$1,),))+1)^12-1</f>
        <v/>
      </c>
      <c r="Q47" s="14">
        <f>(((VLOOKUP(B47,Data!$A:$AN,MATCH(yoy!$Q$1,Data!$A$1:$AN$1,),)-VLOOKUP(A47,Data!$A:$AN,MATCH(yoy!$Q$1,Data!$A$1:$AN$1,),))/VLOOKUP(A47,Data!$A:$AN,MATCH(yoy!$Q$1,Data!$A$1:$AN$1,),))+1)^12-1</f>
        <v/>
      </c>
      <c r="R47" s="14">
        <f>(((VLOOKUP(B47,Data!$A:$AN,MATCH(yoy!$R$1,Data!$A$1:$AN$1,),)-VLOOKUP(A47,Data!$A:$AN,MATCH(yoy!$R$1,Data!$A$1:$AN$1,),))/VLOOKUP(A47,Data!$A:$AN,MATCH(yoy!$R$1,Data!$A$1:$AN$1,),))+1)^12-1</f>
        <v/>
      </c>
      <c r="S47" s="14">
        <f>(((VLOOKUP(B47,Data!$A:$AN,MATCH(yoy!$S$1,Data!$A$1:$AN$1,),)-VLOOKUP(A47,Data!$A:$AN,MATCH(yoy!$S$1,Data!$A$1:$AN$1,),))/VLOOKUP(A47,Data!$A:$AN,MATCH(yoy!$S$1,Data!$A$1:$AN$1,),))+1)^12-1</f>
        <v/>
      </c>
      <c r="T47" s="14">
        <f>(((VLOOKUP(B47,Data!$A:$AN,MATCH(yoy!$T$1,Data!$A$1:$AN$1,),)-VLOOKUP(A47,Data!$A:$AN,MATCH(yoy!$T$1,Data!$A$1:$AN$1,),))/VLOOKUP(A47,Data!$A:$AN,MATCH(yoy!$T$1,Data!$A$1:$AN$1,),))+1)^12-1</f>
        <v/>
      </c>
      <c r="U47" s="14">
        <f>(((VLOOKUP(B47,Data!$A:$AN,MATCH(yoy!$U$1,Data!$A$1:$AN$1,),)-VLOOKUP(A47,Data!$A:$AN,MATCH(yoy!$U$1,Data!$A$1:$AN$1,),))/VLOOKUP(A47,Data!$A:$AN,MATCH(yoy!$U$1,Data!$A$1:$AN$1,),))+1)^12-1</f>
        <v/>
      </c>
      <c r="V47" s="14">
        <f>(((VLOOKUP(B47,Data!$A:$AN,MATCH(yoy!$V$1,Data!$A$1:$AN$1,),)-VLOOKUP(A47,Data!$A:$AN,MATCH(yoy!$V$1,Data!$A$1:$AN$1,),))/VLOOKUP(A47,Data!$A:$AN,MATCH(yoy!$V$1,Data!$A$1:$AN$1,),))+1)^12-1</f>
        <v/>
      </c>
      <c r="W47" s="14">
        <f>(((VLOOKUP(B47,Data!$A:$AN,MATCH(yoy!$W$1,Data!$A$1:$AN$1,),)-VLOOKUP(A47,Data!$A:$AN,MATCH(yoy!$W$1,Data!$A$1:$AN$1,),))/VLOOKUP(A47,Data!$A:$AN,MATCH(yoy!$W$1,Data!$A$1:$AN$1,),))+1)^12-1</f>
        <v/>
      </c>
      <c r="X47" s="14">
        <f>(((VLOOKUP(B47,Data!$A:$AN,MATCH(yoy!$X$1,Data!$A$1:$AN$1,),)-VLOOKUP(A47,Data!$A:$AN,MATCH(yoy!$X$1,Data!$A$1:$AN$1,),))/VLOOKUP(A47,Data!$A:$AN,MATCH(yoy!$X$1,Data!$A$1:$AN$1,),))+1)^12-1</f>
        <v/>
      </c>
      <c r="Y47" s="14">
        <f>(((VLOOKUP(B47,Data!$A:$AN,MATCH(yoy!$Y$1,Data!$A$1:$AN$1,),)-VLOOKUP(A47,Data!$A:$AN,MATCH(yoy!$Y$1,Data!$A$1:$AN$1,),))/VLOOKUP(A47,Data!$A:$AN,MATCH(yoy!$Y$1,Data!$A$1:$AN$1,),))+1)^12-1</f>
        <v/>
      </c>
      <c r="Z47" s="14">
        <f>(((VLOOKUP(B47,Data!$A:$AN,MATCH(yoy!$Z$1,Data!$A$1:$AN$1,),)-VLOOKUP(A47,Data!$A:$AN,MATCH(yoy!$Z$1,Data!$A$1:$AN$1,),))/VLOOKUP(A47,Data!$A:$AN,MATCH(yoy!$Z$1,Data!$A$1:$AN$1,),))+1)^12-1</f>
        <v/>
      </c>
      <c r="AA47" s="14">
        <f>(((VLOOKUP(B47,Data!$A:$AN,MATCH(yoy!$AA$1,Data!$A$1:$AN$1,),)-VLOOKUP(A47,Data!$A:$AN,MATCH(yoy!$AA$1,Data!$A$1:$AN$1,),))/VLOOKUP(A47,Data!$A:$AN,MATCH(yoy!$AA$1,Data!$A$1:$AN$1,),))+1)^12-1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(((VLOOKUP(B48,Data!$A:$AN,MATCH(yoy!$C$1,Data!$A$1:$AN$1,),)-VLOOKUP(A48,Data!$A:$AN,MATCH(yoy!$C$1,Data!$A$1:$AN$1,),))/VLOOKUP(A48,Data!$A:$AN,MATCH(yoy!$C$1,Data!$A$1:$AN$1,),))+1)^12-1</f>
        <v/>
      </c>
      <c r="D48" s="14">
        <f>(((VLOOKUP(B48,Data!$A:$AN,MATCH(yoy!$D$1,Data!$A$1:$AN$1,),)-VLOOKUP(A48,Data!$A:$AN,MATCH(yoy!$D$1,Data!$A$1:$AN$1,),))/VLOOKUP(A48,Data!$A:$AN,MATCH(yoy!$D$1,Data!$A$1:$AN$1,),))+1)^12-1</f>
        <v/>
      </c>
      <c r="E48" s="14">
        <f>(((VLOOKUP(B48,Data!$A:$AN,MATCH(yoy!$E$1,Data!$A$1:$AN$1,),)-VLOOKUP(A48,Data!$A:$AN,MATCH(yoy!$E$1,Data!$A$1:$AN$1,),))/VLOOKUP(A48,Data!$A:$AN,MATCH(yoy!$E$1,Data!$A$1:$AN$1,),))+1)^12-1</f>
        <v/>
      </c>
      <c r="F48" s="14">
        <f>(((VLOOKUP(B48,Data!$A:$AN,MATCH(yoy!$F$1,Data!$A$1:$AN$1,),)-VLOOKUP(A48,Data!$A:$AN,MATCH(yoy!$F$1,Data!$A$1:$AN$1,),))/VLOOKUP(A48,Data!$A:$AN,MATCH(yoy!$F$1,Data!$A$1:$AN$1,),))+1)^12-1</f>
        <v/>
      </c>
      <c r="G48" s="14">
        <f>(((VLOOKUP(B48,Data!$A:$AN,MATCH(yoy!$G$1,Data!$A$1:$AN$1,),)-VLOOKUP(A48,Data!$A:$AN,MATCH(yoy!$G$1,Data!$A$1:$AN$1,),))/VLOOKUP(A48,Data!$A:$AN,MATCH(yoy!$G$1,Data!$A$1:$AN$1,),))+1)^12-1</f>
        <v/>
      </c>
      <c r="H48" s="14">
        <f>(((VLOOKUP(B48,Data!$A:$AN,MATCH(yoy!$H$1,Data!$A$1:$AN$1,),)-VLOOKUP(A48,Data!$A:$AN,MATCH(yoy!$H$1,Data!$A$1:$AN$1,),))/VLOOKUP(A48,Data!$A:$AN,MATCH(yoy!$H$1,Data!$A$1:$AN$1,),))+1)^12-1</f>
        <v/>
      </c>
      <c r="I48" s="14">
        <f>(((VLOOKUP(B48,Data!$A:$AN,MATCH(yoy!$I$1,Data!$A$1:$AN$1,),)-VLOOKUP(A48,Data!$A:$AN,MATCH(yoy!$I$1,Data!$A$1:$AN$1,),))/VLOOKUP(A48,Data!$A:$AN,MATCH(yoy!$I$1,Data!$A$1:$AN$1,),))+1)^12-1</f>
        <v/>
      </c>
      <c r="J48" s="14">
        <f>(((VLOOKUP(B48,Data!$A:$AN,MATCH(yoy!$J$1,Data!$A$1:$AN$1,),)-VLOOKUP(A48,Data!$A:$AN,MATCH(yoy!$J$1,Data!$A$1:$AN$1,),))/VLOOKUP(A48,Data!$A:$AN,MATCH(yoy!$J$1,Data!$A$1:$AN$1,),))+1)^12-1</f>
        <v/>
      </c>
      <c r="K48" s="14">
        <f>(((VLOOKUP(B48,Data!$A:$AN,MATCH(yoy!$K$1,Data!$A$1:$AN$1,),)-VLOOKUP(A48,Data!$A:$AN,MATCH(yoy!$K$1,Data!$A$1:$AN$1,),))/VLOOKUP(A48,Data!$A:$AN,MATCH(yoy!$K$1,Data!$A$1:$AN$1,),))+1)^12-1</f>
        <v/>
      </c>
      <c r="L48" s="14">
        <f>(((VLOOKUP(B48,Data!$A:$AN,MATCH(yoy!$L$1,Data!$A$1:$AN$1,),)-VLOOKUP(A48,Data!$A:$AN,MATCH(yoy!$L$1,Data!$A$1:$AN$1,),))/VLOOKUP(A48,Data!$A:$AN,MATCH(yoy!$L$1,Data!$A$1:$AN$1,),))+1)^12-1</f>
        <v/>
      </c>
      <c r="M48" s="14">
        <f>(((VLOOKUP(B48,Data!$A:$AN,MATCH(yoy!$M$1,Data!$A$1:$AN$1,),)-VLOOKUP(A48,Data!$A:$AN,MATCH(yoy!$M$1,Data!$A$1:$AN$1,),))/VLOOKUP(A48,Data!$A:$AN,MATCH(yoy!$M$1,Data!$A$1:$AN$1,),))+1)^12-1</f>
        <v/>
      </c>
      <c r="N48" s="14">
        <f>(((VLOOKUP(B48,Data!$A:$AN,MATCH(yoy!$N$1,Data!$A$1:$AN$1,),)-VLOOKUP(A48,Data!$A:$AN,MATCH(yoy!$N$1,Data!$A$1:$AN$1,),))/VLOOKUP(A48,Data!$A:$AN,MATCH(yoy!$N$1,Data!$A$1:$AN$1,),))+1)^12-1</f>
        <v/>
      </c>
      <c r="O48" s="14">
        <f>(((VLOOKUP(B48,Data!$A:$AN,MATCH(yoy!$O$1,Data!$A$1:$AN$1,),)-VLOOKUP(A48,Data!$A:$AN,MATCH(yoy!$O$1,Data!$A$1:$AN$1,),))/VLOOKUP(A48,Data!$A:$AN,MATCH(yoy!$O$1,Data!$A$1:$AN$1,),))+1)^12-1</f>
        <v/>
      </c>
      <c r="P48" s="14">
        <f>(((VLOOKUP(B48,Data!$A:$AN,MATCH(yoy!$P$1,Data!$A$1:$AN$1,),)-VLOOKUP(A48,Data!$A:$AN,MATCH(yoy!$P$1,Data!$A$1:$AN$1,),))/VLOOKUP(A48,Data!$A:$AN,MATCH(yoy!$P$1,Data!$A$1:$AN$1,),))+1)^12-1</f>
        <v/>
      </c>
      <c r="Q48" s="14">
        <f>(((VLOOKUP(B48,Data!$A:$AN,MATCH(yoy!$Q$1,Data!$A$1:$AN$1,),)-VLOOKUP(A48,Data!$A:$AN,MATCH(yoy!$Q$1,Data!$A$1:$AN$1,),))/VLOOKUP(A48,Data!$A:$AN,MATCH(yoy!$Q$1,Data!$A$1:$AN$1,),))+1)^12-1</f>
        <v/>
      </c>
      <c r="R48" s="14">
        <f>(((VLOOKUP(B48,Data!$A:$AN,MATCH(yoy!$R$1,Data!$A$1:$AN$1,),)-VLOOKUP(A48,Data!$A:$AN,MATCH(yoy!$R$1,Data!$A$1:$AN$1,),))/VLOOKUP(A48,Data!$A:$AN,MATCH(yoy!$R$1,Data!$A$1:$AN$1,),))+1)^12-1</f>
        <v/>
      </c>
      <c r="S48" s="14">
        <f>(((VLOOKUP(B48,Data!$A:$AN,MATCH(yoy!$S$1,Data!$A$1:$AN$1,),)-VLOOKUP(A48,Data!$A:$AN,MATCH(yoy!$S$1,Data!$A$1:$AN$1,),))/VLOOKUP(A48,Data!$A:$AN,MATCH(yoy!$S$1,Data!$A$1:$AN$1,),))+1)^12-1</f>
        <v/>
      </c>
      <c r="T48" s="14">
        <f>(((VLOOKUP(B48,Data!$A:$AN,MATCH(yoy!$T$1,Data!$A$1:$AN$1,),)-VLOOKUP(A48,Data!$A:$AN,MATCH(yoy!$T$1,Data!$A$1:$AN$1,),))/VLOOKUP(A48,Data!$A:$AN,MATCH(yoy!$T$1,Data!$A$1:$AN$1,),))+1)^12-1</f>
        <v/>
      </c>
      <c r="U48" s="14">
        <f>(((VLOOKUP(B48,Data!$A:$AN,MATCH(yoy!$U$1,Data!$A$1:$AN$1,),)-VLOOKUP(A48,Data!$A:$AN,MATCH(yoy!$U$1,Data!$A$1:$AN$1,),))/VLOOKUP(A48,Data!$A:$AN,MATCH(yoy!$U$1,Data!$A$1:$AN$1,),))+1)^12-1</f>
        <v/>
      </c>
      <c r="V48" s="14">
        <f>(((VLOOKUP(B48,Data!$A:$AN,MATCH(yoy!$V$1,Data!$A$1:$AN$1,),)-VLOOKUP(A48,Data!$A:$AN,MATCH(yoy!$V$1,Data!$A$1:$AN$1,),))/VLOOKUP(A48,Data!$A:$AN,MATCH(yoy!$V$1,Data!$A$1:$AN$1,),))+1)^12-1</f>
        <v/>
      </c>
      <c r="W48" s="14">
        <f>(((VLOOKUP(B48,Data!$A:$AN,MATCH(yoy!$W$1,Data!$A$1:$AN$1,),)-VLOOKUP(A48,Data!$A:$AN,MATCH(yoy!$W$1,Data!$A$1:$AN$1,),))/VLOOKUP(A48,Data!$A:$AN,MATCH(yoy!$W$1,Data!$A$1:$AN$1,),))+1)^12-1</f>
        <v/>
      </c>
      <c r="X48" s="14">
        <f>(((VLOOKUP(B48,Data!$A:$AN,MATCH(yoy!$X$1,Data!$A$1:$AN$1,),)-VLOOKUP(A48,Data!$A:$AN,MATCH(yoy!$X$1,Data!$A$1:$AN$1,),))/VLOOKUP(A48,Data!$A:$AN,MATCH(yoy!$X$1,Data!$A$1:$AN$1,),))+1)^12-1</f>
        <v/>
      </c>
      <c r="Y48" s="14">
        <f>(((VLOOKUP(B48,Data!$A:$AN,MATCH(yoy!$Y$1,Data!$A$1:$AN$1,),)-VLOOKUP(A48,Data!$A:$AN,MATCH(yoy!$Y$1,Data!$A$1:$AN$1,),))/VLOOKUP(A48,Data!$A:$AN,MATCH(yoy!$Y$1,Data!$A$1:$AN$1,),))+1)^12-1</f>
        <v/>
      </c>
      <c r="Z48" s="14">
        <f>(((VLOOKUP(B48,Data!$A:$AN,MATCH(yoy!$Z$1,Data!$A$1:$AN$1,),)-VLOOKUP(A48,Data!$A:$AN,MATCH(yoy!$Z$1,Data!$A$1:$AN$1,),))/VLOOKUP(A48,Data!$A:$AN,MATCH(yoy!$Z$1,Data!$A$1:$AN$1,),))+1)^12-1</f>
        <v/>
      </c>
      <c r="AA48" s="14">
        <f>(((VLOOKUP(B48,Data!$A:$AN,MATCH(yoy!$AA$1,Data!$A$1:$AN$1,),)-VLOOKUP(A48,Data!$A:$AN,MATCH(yoy!$AA$1,Data!$A$1:$AN$1,),))/VLOOKUP(A48,Data!$A:$AN,MATCH(yoy!$AA$1,Data!$A$1:$AN$1,),))+1)^12-1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(((VLOOKUP(B49,Data!$A:$AN,MATCH(yoy!$C$1,Data!$A$1:$AN$1,),)-VLOOKUP(A49,Data!$A:$AN,MATCH(yoy!$C$1,Data!$A$1:$AN$1,),))/VLOOKUP(A49,Data!$A:$AN,MATCH(yoy!$C$1,Data!$A$1:$AN$1,),))+1)^12-1</f>
        <v/>
      </c>
      <c r="D49" s="14">
        <f>(((VLOOKUP(B49,Data!$A:$AN,MATCH(yoy!$D$1,Data!$A$1:$AN$1,),)-VLOOKUP(A49,Data!$A:$AN,MATCH(yoy!$D$1,Data!$A$1:$AN$1,),))/VLOOKUP(A49,Data!$A:$AN,MATCH(yoy!$D$1,Data!$A$1:$AN$1,),))+1)^12-1</f>
        <v/>
      </c>
      <c r="E49" s="14">
        <f>(((VLOOKUP(B49,Data!$A:$AN,MATCH(yoy!$E$1,Data!$A$1:$AN$1,),)-VLOOKUP(A49,Data!$A:$AN,MATCH(yoy!$E$1,Data!$A$1:$AN$1,),))/VLOOKUP(A49,Data!$A:$AN,MATCH(yoy!$E$1,Data!$A$1:$AN$1,),))+1)^12-1</f>
        <v/>
      </c>
      <c r="F49" s="14">
        <f>(((VLOOKUP(B49,Data!$A:$AN,MATCH(yoy!$F$1,Data!$A$1:$AN$1,),)-VLOOKUP(A49,Data!$A:$AN,MATCH(yoy!$F$1,Data!$A$1:$AN$1,),))/VLOOKUP(A49,Data!$A:$AN,MATCH(yoy!$F$1,Data!$A$1:$AN$1,),))+1)^12-1</f>
        <v/>
      </c>
      <c r="G49" s="14">
        <f>(((VLOOKUP(B49,Data!$A:$AN,MATCH(yoy!$G$1,Data!$A$1:$AN$1,),)-VLOOKUP(A49,Data!$A:$AN,MATCH(yoy!$G$1,Data!$A$1:$AN$1,),))/VLOOKUP(A49,Data!$A:$AN,MATCH(yoy!$G$1,Data!$A$1:$AN$1,),))+1)^12-1</f>
        <v/>
      </c>
      <c r="H49" s="14">
        <f>(((VLOOKUP(B49,Data!$A:$AN,MATCH(yoy!$H$1,Data!$A$1:$AN$1,),)-VLOOKUP(A49,Data!$A:$AN,MATCH(yoy!$H$1,Data!$A$1:$AN$1,),))/VLOOKUP(A49,Data!$A:$AN,MATCH(yoy!$H$1,Data!$A$1:$AN$1,),))+1)^12-1</f>
        <v/>
      </c>
      <c r="I49" s="14">
        <f>(((VLOOKUP(B49,Data!$A:$AN,MATCH(yoy!$I$1,Data!$A$1:$AN$1,),)-VLOOKUP(A49,Data!$A:$AN,MATCH(yoy!$I$1,Data!$A$1:$AN$1,),))/VLOOKUP(A49,Data!$A:$AN,MATCH(yoy!$I$1,Data!$A$1:$AN$1,),))+1)^12-1</f>
        <v/>
      </c>
      <c r="J49" s="14">
        <f>(((VLOOKUP(B49,Data!$A:$AN,MATCH(yoy!$J$1,Data!$A$1:$AN$1,),)-VLOOKUP(A49,Data!$A:$AN,MATCH(yoy!$J$1,Data!$A$1:$AN$1,),))/VLOOKUP(A49,Data!$A:$AN,MATCH(yoy!$J$1,Data!$A$1:$AN$1,),))+1)^12-1</f>
        <v/>
      </c>
      <c r="K49" s="14">
        <f>(((VLOOKUP(B49,Data!$A:$AN,MATCH(yoy!$K$1,Data!$A$1:$AN$1,),)-VLOOKUP(A49,Data!$A:$AN,MATCH(yoy!$K$1,Data!$A$1:$AN$1,),))/VLOOKUP(A49,Data!$A:$AN,MATCH(yoy!$K$1,Data!$A$1:$AN$1,),))+1)^12-1</f>
        <v/>
      </c>
      <c r="L49" s="14">
        <f>(((VLOOKUP(B49,Data!$A:$AN,MATCH(yoy!$L$1,Data!$A$1:$AN$1,),)-VLOOKUP(A49,Data!$A:$AN,MATCH(yoy!$L$1,Data!$A$1:$AN$1,),))/VLOOKUP(A49,Data!$A:$AN,MATCH(yoy!$L$1,Data!$A$1:$AN$1,),))+1)^12-1</f>
        <v/>
      </c>
      <c r="M49" s="14">
        <f>(((VLOOKUP(B49,Data!$A:$AN,MATCH(yoy!$M$1,Data!$A$1:$AN$1,),)-VLOOKUP(A49,Data!$A:$AN,MATCH(yoy!$M$1,Data!$A$1:$AN$1,),))/VLOOKUP(A49,Data!$A:$AN,MATCH(yoy!$M$1,Data!$A$1:$AN$1,),))+1)^12-1</f>
        <v/>
      </c>
      <c r="N49" s="14">
        <f>(((VLOOKUP(B49,Data!$A:$AN,MATCH(yoy!$N$1,Data!$A$1:$AN$1,),)-VLOOKUP(A49,Data!$A:$AN,MATCH(yoy!$N$1,Data!$A$1:$AN$1,),))/VLOOKUP(A49,Data!$A:$AN,MATCH(yoy!$N$1,Data!$A$1:$AN$1,),))+1)^12-1</f>
        <v/>
      </c>
      <c r="O49" s="14">
        <f>(((VLOOKUP(B49,Data!$A:$AN,MATCH(yoy!$O$1,Data!$A$1:$AN$1,),)-VLOOKUP(A49,Data!$A:$AN,MATCH(yoy!$O$1,Data!$A$1:$AN$1,),))/VLOOKUP(A49,Data!$A:$AN,MATCH(yoy!$O$1,Data!$A$1:$AN$1,),))+1)^12-1</f>
        <v/>
      </c>
      <c r="P49" s="14">
        <f>(((VLOOKUP(B49,Data!$A:$AN,MATCH(yoy!$P$1,Data!$A$1:$AN$1,),)-VLOOKUP(A49,Data!$A:$AN,MATCH(yoy!$P$1,Data!$A$1:$AN$1,),))/VLOOKUP(A49,Data!$A:$AN,MATCH(yoy!$P$1,Data!$A$1:$AN$1,),))+1)^12-1</f>
        <v/>
      </c>
      <c r="Q49" s="14">
        <f>(((VLOOKUP(B49,Data!$A:$AN,MATCH(yoy!$Q$1,Data!$A$1:$AN$1,),)-VLOOKUP(A49,Data!$A:$AN,MATCH(yoy!$Q$1,Data!$A$1:$AN$1,),))/VLOOKUP(A49,Data!$A:$AN,MATCH(yoy!$Q$1,Data!$A$1:$AN$1,),))+1)^12-1</f>
        <v/>
      </c>
      <c r="R49" s="14">
        <f>(((VLOOKUP(B49,Data!$A:$AN,MATCH(yoy!$R$1,Data!$A$1:$AN$1,),)-VLOOKUP(A49,Data!$A:$AN,MATCH(yoy!$R$1,Data!$A$1:$AN$1,),))/VLOOKUP(A49,Data!$A:$AN,MATCH(yoy!$R$1,Data!$A$1:$AN$1,),))+1)^12-1</f>
        <v/>
      </c>
      <c r="S49" s="14">
        <f>(((VLOOKUP(B49,Data!$A:$AN,MATCH(yoy!$S$1,Data!$A$1:$AN$1,),)-VLOOKUP(A49,Data!$A:$AN,MATCH(yoy!$S$1,Data!$A$1:$AN$1,),))/VLOOKUP(A49,Data!$A:$AN,MATCH(yoy!$S$1,Data!$A$1:$AN$1,),))+1)^12-1</f>
        <v/>
      </c>
      <c r="T49" s="14">
        <f>(((VLOOKUP(B49,Data!$A:$AN,MATCH(yoy!$T$1,Data!$A$1:$AN$1,),)-VLOOKUP(A49,Data!$A:$AN,MATCH(yoy!$T$1,Data!$A$1:$AN$1,),))/VLOOKUP(A49,Data!$A:$AN,MATCH(yoy!$T$1,Data!$A$1:$AN$1,),))+1)^12-1</f>
        <v/>
      </c>
      <c r="U49" s="14">
        <f>(((VLOOKUP(B49,Data!$A:$AN,MATCH(yoy!$U$1,Data!$A$1:$AN$1,),)-VLOOKUP(A49,Data!$A:$AN,MATCH(yoy!$U$1,Data!$A$1:$AN$1,),))/VLOOKUP(A49,Data!$A:$AN,MATCH(yoy!$U$1,Data!$A$1:$AN$1,),))+1)^12-1</f>
        <v/>
      </c>
      <c r="V49" s="14">
        <f>(((VLOOKUP(B49,Data!$A:$AN,MATCH(yoy!$V$1,Data!$A$1:$AN$1,),)-VLOOKUP(A49,Data!$A:$AN,MATCH(yoy!$V$1,Data!$A$1:$AN$1,),))/VLOOKUP(A49,Data!$A:$AN,MATCH(yoy!$V$1,Data!$A$1:$AN$1,),))+1)^12-1</f>
        <v/>
      </c>
      <c r="W49" s="14">
        <f>(((VLOOKUP(B49,Data!$A:$AN,MATCH(yoy!$W$1,Data!$A$1:$AN$1,),)-VLOOKUP(A49,Data!$A:$AN,MATCH(yoy!$W$1,Data!$A$1:$AN$1,),))/VLOOKUP(A49,Data!$A:$AN,MATCH(yoy!$W$1,Data!$A$1:$AN$1,),))+1)^12-1</f>
        <v/>
      </c>
      <c r="X49" s="14">
        <f>(((VLOOKUP(B49,Data!$A:$AN,MATCH(yoy!$X$1,Data!$A$1:$AN$1,),)-VLOOKUP(A49,Data!$A:$AN,MATCH(yoy!$X$1,Data!$A$1:$AN$1,),))/VLOOKUP(A49,Data!$A:$AN,MATCH(yoy!$X$1,Data!$A$1:$AN$1,),))+1)^12-1</f>
        <v/>
      </c>
      <c r="Y49" s="14">
        <f>(((VLOOKUP(B49,Data!$A:$AN,MATCH(yoy!$Y$1,Data!$A$1:$AN$1,),)-VLOOKUP(A49,Data!$A:$AN,MATCH(yoy!$Y$1,Data!$A$1:$AN$1,),))/VLOOKUP(A49,Data!$A:$AN,MATCH(yoy!$Y$1,Data!$A$1:$AN$1,),))+1)^12-1</f>
        <v/>
      </c>
      <c r="Z49" s="14">
        <f>(((VLOOKUP(B49,Data!$A:$AN,MATCH(yoy!$Z$1,Data!$A$1:$AN$1,),)-VLOOKUP(A49,Data!$A:$AN,MATCH(yoy!$Z$1,Data!$A$1:$AN$1,),))/VLOOKUP(A49,Data!$A:$AN,MATCH(yoy!$Z$1,Data!$A$1:$AN$1,),))+1)^12-1</f>
        <v/>
      </c>
      <c r="AA49" s="14">
        <f>(((VLOOKUP(B49,Data!$A:$AN,MATCH(yoy!$AA$1,Data!$A$1:$AN$1,),)-VLOOKUP(A49,Data!$A:$AN,MATCH(yoy!$AA$1,Data!$A$1:$AN$1,),))/VLOOKUP(A49,Data!$A:$AN,MATCH(yoy!$AA$1,Data!$A$1:$AN$1,),))+1)^12-1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(((VLOOKUP(B50,Data!$A:$AN,MATCH(yoy!$C$1,Data!$A$1:$AN$1,),)-VLOOKUP(A50,Data!$A:$AN,MATCH(yoy!$C$1,Data!$A$1:$AN$1,),))/VLOOKUP(A50,Data!$A:$AN,MATCH(yoy!$C$1,Data!$A$1:$AN$1,),))+1)^12-1</f>
        <v/>
      </c>
      <c r="D50" s="14">
        <f>(((VLOOKUP(B50,Data!$A:$AN,MATCH(yoy!$D$1,Data!$A$1:$AN$1,),)-VLOOKUP(A50,Data!$A:$AN,MATCH(yoy!$D$1,Data!$A$1:$AN$1,),))/VLOOKUP(A50,Data!$A:$AN,MATCH(yoy!$D$1,Data!$A$1:$AN$1,),))+1)^12-1</f>
        <v/>
      </c>
      <c r="E50" s="14">
        <f>(((VLOOKUP(B50,Data!$A:$AN,MATCH(yoy!$E$1,Data!$A$1:$AN$1,),)-VLOOKUP(A50,Data!$A:$AN,MATCH(yoy!$E$1,Data!$A$1:$AN$1,),))/VLOOKUP(A50,Data!$A:$AN,MATCH(yoy!$E$1,Data!$A$1:$AN$1,),))+1)^12-1</f>
        <v/>
      </c>
      <c r="F50" s="14">
        <f>(((VLOOKUP(B50,Data!$A:$AN,MATCH(yoy!$F$1,Data!$A$1:$AN$1,),)-VLOOKUP(A50,Data!$A:$AN,MATCH(yoy!$F$1,Data!$A$1:$AN$1,),))/VLOOKUP(A50,Data!$A:$AN,MATCH(yoy!$F$1,Data!$A$1:$AN$1,),))+1)^12-1</f>
        <v/>
      </c>
      <c r="G50" s="14">
        <f>(((VLOOKUP(B50,Data!$A:$AN,MATCH(yoy!$G$1,Data!$A$1:$AN$1,),)-VLOOKUP(A50,Data!$A:$AN,MATCH(yoy!$G$1,Data!$A$1:$AN$1,),))/VLOOKUP(A50,Data!$A:$AN,MATCH(yoy!$G$1,Data!$A$1:$AN$1,),))+1)^12-1</f>
        <v/>
      </c>
      <c r="H50" s="14">
        <f>(((VLOOKUP(B50,Data!$A:$AN,MATCH(yoy!$H$1,Data!$A$1:$AN$1,),)-VLOOKUP(A50,Data!$A:$AN,MATCH(yoy!$H$1,Data!$A$1:$AN$1,),))/VLOOKUP(A50,Data!$A:$AN,MATCH(yoy!$H$1,Data!$A$1:$AN$1,),))+1)^12-1</f>
        <v/>
      </c>
      <c r="I50" s="14">
        <f>(((VLOOKUP(B50,Data!$A:$AN,MATCH(yoy!$I$1,Data!$A$1:$AN$1,),)-VLOOKUP(A50,Data!$A:$AN,MATCH(yoy!$I$1,Data!$A$1:$AN$1,),))/VLOOKUP(A50,Data!$A:$AN,MATCH(yoy!$I$1,Data!$A$1:$AN$1,),))+1)^12-1</f>
        <v/>
      </c>
      <c r="J50" s="14">
        <f>(((VLOOKUP(B50,Data!$A:$AN,MATCH(yoy!$J$1,Data!$A$1:$AN$1,),)-VLOOKUP(A50,Data!$A:$AN,MATCH(yoy!$J$1,Data!$A$1:$AN$1,),))/VLOOKUP(A50,Data!$A:$AN,MATCH(yoy!$J$1,Data!$A$1:$AN$1,),))+1)^12-1</f>
        <v/>
      </c>
      <c r="K50" s="14">
        <f>(((VLOOKUP(B50,Data!$A:$AN,MATCH(yoy!$K$1,Data!$A$1:$AN$1,),)-VLOOKUP(A50,Data!$A:$AN,MATCH(yoy!$K$1,Data!$A$1:$AN$1,),))/VLOOKUP(A50,Data!$A:$AN,MATCH(yoy!$K$1,Data!$A$1:$AN$1,),))+1)^12-1</f>
        <v/>
      </c>
      <c r="L50" s="14">
        <f>(((VLOOKUP(B50,Data!$A:$AN,MATCH(yoy!$L$1,Data!$A$1:$AN$1,),)-VLOOKUP(A50,Data!$A:$AN,MATCH(yoy!$L$1,Data!$A$1:$AN$1,),))/VLOOKUP(A50,Data!$A:$AN,MATCH(yoy!$L$1,Data!$A$1:$AN$1,),))+1)^12-1</f>
        <v/>
      </c>
      <c r="M50" s="14">
        <f>(((VLOOKUP(B50,Data!$A:$AN,MATCH(yoy!$M$1,Data!$A$1:$AN$1,),)-VLOOKUP(A50,Data!$A:$AN,MATCH(yoy!$M$1,Data!$A$1:$AN$1,),))/VLOOKUP(A50,Data!$A:$AN,MATCH(yoy!$M$1,Data!$A$1:$AN$1,),))+1)^12-1</f>
        <v/>
      </c>
      <c r="N50" s="14">
        <f>(((VLOOKUP(B50,Data!$A:$AN,MATCH(yoy!$N$1,Data!$A$1:$AN$1,),)-VLOOKUP(A50,Data!$A:$AN,MATCH(yoy!$N$1,Data!$A$1:$AN$1,),))/VLOOKUP(A50,Data!$A:$AN,MATCH(yoy!$N$1,Data!$A$1:$AN$1,),))+1)^12-1</f>
        <v/>
      </c>
      <c r="O50" s="14">
        <f>(((VLOOKUP(B50,Data!$A:$AN,MATCH(yoy!$O$1,Data!$A$1:$AN$1,),)-VLOOKUP(A50,Data!$A:$AN,MATCH(yoy!$O$1,Data!$A$1:$AN$1,),))/VLOOKUP(A50,Data!$A:$AN,MATCH(yoy!$O$1,Data!$A$1:$AN$1,),))+1)^12-1</f>
        <v/>
      </c>
      <c r="P50" s="14">
        <f>(((VLOOKUP(B50,Data!$A:$AN,MATCH(yoy!$P$1,Data!$A$1:$AN$1,),)-VLOOKUP(A50,Data!$A:$AN,MATCH(yoy!$P$1,Data!$A$1:$AN$1,),))/VLOOKUP(A50,Data!$A:$AN,MATCH(yoy!$P$1,Data!$A$1:$AN$1,),))+1)^12-1</f>
        <v/>
      </c>
      <c r="Q50" s="14">
        <f>(((VLOOKUP(B50,Data!$A:$AN,MATCH(yoy!$Q$1,Data!$A$1:$AN$1,),)-VLOOKUP(A50,Data!$A:$AN,MATCH(yoy!$Q$1,Data!$A$1:$AN$1,),))/VLOOKUP(A50,Data!$A:$AN,MATCH(yoy!$Q$1,Data!$A$1:$AN$1,),))+1)^12-1</f>
        <v/>
      </c>
      <c r="R50" s="14">
        <f>(((VLOOKUP(B50,Data!$A:$AN,MATCH(yoy!$R$1,Data!$A$1:$AN$1,),)-VLOOKUP(A50,Data!$A:$AN,MATCH(yoy!$R$1,Data!$A$1:$AN$1,),))/VLOOKUP(A50,Data!$A:$AN,MATCH(yoy!$R$1,Data!$A$1:$AN$1,),))+1)^12-1</f>
        <v/>
      </c>
      <c r="S50" s="14">
        <f>(((VLOOKUP(B50,Data!$A:$AN,MATCH(yoy!$S$1,Data!$A$1:$AN$1,),)-VLOOKUP(A50,Data!$A:$AN,MATCH(yoy!$S$1,Data!$A$1:$AN$1,),))/VLOOKUP(A50,Data!$A:$AN,MATCH(yoy!$S$1,Data!$A$1:$AN$1,),))+1)^12-1</f>
        <v/>
      </c>
      <c r="T50" s="14">
        <f>(((VLOOKUP(B50,Data!$A:$AN,MATCH(yoy!$T$1,Data!$A$1:$AN$1,),)-VLOOKUP(A50,Data!$A:$AN,MATCH(yoy!$T$1,Data!$A$1:$AN$1,),))/VLOOKUP(A50,Data!$A:$AN,MATCH(yoy!$T$1,Data!$A$1:$AN$1,),))+1)^12-1</f>
        <v/>
      </c>
      <c r="U50" s="14">
        <f>(((VLOOKUP(B50,Data!$A:$AN,MATCH(yoy!$U$1,Data!$A$1:$AN$1,),)-VLOOKUP(A50,Data!$A:$AN,MATCH(yoy!$U$1,Data!$A$1:$AN$1,),))/VLOOKUP(A50,Data!$A:$AN,MATCH(yoy!$U$1,Data!$A$1:$AN$1,),))+1)^12-1</f>
        <v/>
      </c>
      <c r="V50" s="14">
        <f>(((VLOOKUP(B50,Data!$A:$AN,MATCH(yoy!$V$1,Data!$A$1:$AN$1,),)-VLOOKUP(A50,Data!$A:$AN,MATCH(yoy!$V$1,Data!$A$1:$AN$1,),))/VLOOKUP(A50,Data!$A:$AN,MATCH(yoy!$V$1,Data!$A$1:$AN$1,),))+1)^12-1</f>
        <v/>
      </c>
      <c r="W50" s="14">
        <f>(((VLOOKUP(B50,Data!$A:$AN,MATCH(yoy!$W$1,Data!$A$1:$AN$1,),)-VLOOKUP(A50,Data!$A:$AN,MATCH(yoy!$W$1,Data!$A$1:$AN$1,),))/VLOOKUP(A50,Data!$A:$AN,MATCH(yoy!$W$1,Data!$A$1:$AN$1,),))+1)^12-1</f>
        <v/>
      </c>
      <c r="X50" s="14">
        <f>(((VLOOKUP(B50,Data!$A:$AN,MATCH(yoy!$X$1,Data!$A$1:$AN$1,),)-VLOOKUP(A50,Data!$A:$AN,MATCH(yoy!$X$1,Data!$A$1:$AN$1,),))/VLOOKUP(A50,Data!$A:$AN,MATCH(yoy!$X$1,Data!$A$1:$AN$1,),))+1)^12-1</f>
        <v/>
      </c>
      <c r="Y50" s="14">
        <f>(((VLOOKUP(B50,Data!$A:$AN,MATCH(yoy!$Y$1,Data!$A$1:$AN$1,),)-VLOOKUP(A50,Data!$A:$AN,MATCH(yoy!$Y$1,Data!$A$1:$AN$1,),))/VLOOKUP(A50,Data!$A:$AN,MATCH(yoy!$Y$1,Data!$A$1:$AN$1,),))+1)^12-1</f>
        <v/>
      </c>
      <c r="Z50" s="14">
        <f>(((VLOOKUP(B50,Data!$A:$AN,MATCH(yoy!$Z$1,Data!$A$1:$AN$1,),)-VLOOKUP(A50,Data!$A:$AN,MATCH(yoy!$Z$1,Data!$A$1:$AN$1,),))/VLOOKUP(A50,Data!$A:$AN,MATCH(yoy!$Z$1,Data!$A$1:$AN$1,),))+1)^12-1</f>
        <v/>
      </c>
      <c r="AA50" s="14">
        <f>(((VLOOKUP(B50,Data!$A:$AN,MATCH(yoy!$AA$1,Data!$A$1:$AN$1,),)-VLOOKUP(A50,Data!$A:$AN,MATCH(yoy!$AA$1,Data!$A$1:$AN$1,),))/VLOOKUP(A50,Data!$A:$AN,MATCH(yoy!$AA$1,Data!$A$1:$AN$1,),))+1)^12-1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(((VLOOKUP(B51,Data!$A:$AN,MATCH(yoy!$C$1,Data!$A$1:$AN$1,),)-VLOOKUP(A51,Data!$A:$AN,MATCH(yoy!$C$1,Data!$A$1:$AN$1,),))/VLOOKUP(A51,Data!$A:$AN,MATCH(yoy!$C$1,Data!$A$1:$AN$1,),))+1)^12-1</f>
        <v/>
      </c>
      <c r="D51" s="14">
        <f>(((VLOOKUP(B51,Data!$A:$AN,MATCH(yoy!$D$1,Data!$A$1:$AN$1,),)-VLOOKUP(A51,Data!$A:$AN,MATCH(yoy!$D$1,Data!$A$1:$AN$1,),))/VLOOKUP(A51,Data!$A:$AN,MATCH(yoy!$D$1,Data!$A$1:$AN$1,),))+1)^12-1</f>
        <v/>
      </c>
      <c r="E51" s="14">
        <f>(((VLOOKUP(B51,Data!$A:$AN,MATCH(yoy!$E$1,Data!$A$1:$AN$1,),)-VLOOKUP(A51,Data!$A:$AN,MATCH(yoy!$E$1,Data!$A$1:$AN$1,),))/VLOOKUP(A51,Data!$A:$AN,MATCH(yoy!$E$1,Data!$A$1:$AN$1,),))+1)^12-1</f>
        <v/>
      </c>
      <c r="F51" s="14">
        <f>(((VLOOKUP(B51,Data!$A:$AN,MATCH(yoy!$F$1,Data!$A$1:$AN$1,),)-VLOOKUP(A51,Data!$A:$AN,MATCH(yoy!$F$1,Data!$A$1:$AN$1,),))/VLOOKUP(A51,Data!$A:$AN,MATCH(yoy!$F$1,Data!$A$1:$AN$1,),))+1)^12-1</f>
        <v/>
      </c>
      <c r="G51" s="14">
        <f>(((VLOOKUP(B51,Data!$A:$AN,MATCH(yoy!$G$1,Data!$A$1:$AN$1,),)-VLOOKUP(A51,Data!$A:$AN,MATCH(yoy!$G$1,Data!$A$1:$AN$1,),))/VLOOKUP(A51,Data!$A:$AN,MATCH(yoy!$G$1,Data!$A$1:$AN$1,),))+1)^12-1</f>
        <v/>
      </c>
      <c r="H51" s="14">
        <f>(((VLOOKUP(B51,Data!$A:$AN,MATCH(yoy!$H$1,Data!$A$1:$AN$1,),)-VLOOKUP(A51,Data!$A:$AN,MATCH(yoy!$H$1,Data!$A$1:$AN$1,),))/VLOOKUP(A51,Data!$A:$AN,MATCH(yoy!$H$1,Data!$A$1:$AN$1,),))+1)^12-1</f>
        <v/>
      </c>
      <c r="I51" s="14">
        <f>(((VLOOKUP(B51,Data!$A:$AN,MATCH(yoy!$I$1,Data!$A$1:$AN$1,),)-VLOOKUP(A51,Data!$A:$AN,MATCH(yoy!$I$1,Data!$A$1:$AN$1,),))/VLOOKUP(A51,Data!$A:$AN,MATCH(yoy!$I$1,Data!$A$1:$AN$1,),))+1)^12-1</f>
        <v/>
      </c>
      <c r="J51" s="14">
        <f>(((VLOOKUP(B51,Data!$A:$AN,MATCH(yoy!$J$1,Data!$A$1:$AN$1,),)-VLOOKUP(A51,Data!$A:$AN,MATCH(yoy!$J$1,Data!$A$1:$AN$1,),))/VLOOKUP(A51,Data!$A:$AN,MATCH(yoy!$J$1,Data!$A$1:$AN$1,),))+1)^12-1</f>
        <v/>
      </c>
      <c r="K51" s="14">
        <f>(((VLOOKUP(B51,Data!$A:$AN,MATCH(yoy!$K$1,Data!$A$1:$AN$1,),)-VLOOKUP(A51,Data!$A:$AN,MATCH(yoy!$K$1,Data!$A$1:$AN$1,),))/VLOOKUP(A51,Data!$A:$AN,MATCH(yoy!$K$1,Data!$A$1:$AN$1,),))+1)^12-1</f>
        <v/>
      </c>
      <c r="L51" s="14">
        <f>(((VLOOKUP(B51,Data!$A:$AN,MATCH(yoy!$L$1,Data!$A$1:$AN$1,),)-VLOOKUP(A51,Data!$A:$AN,MATCH(yoy!$L$1,Data!$A$1:$AN$1,),))/VLOOKUP(A51,Data!$A:$AN,MATCH(yoy!$L$1,Data!$A$1:$AN$1,),))+1)^12-1</f>
        <v/>
      </c>
      <c r="M51" s="14">
        <f>(((VLOOKUP(B51,Data!$A:$AN,MATCH(yoy!$M$1,Data!$A$1:$AN$1,),)-VLOOKUP(A51,Data!$A:$AN,MATCH(yoy!$M$1,Data!$A$1:$AN$1,),))/VLOOKUP(A51,Data!$A:$AN,MATCH(yoy!$M$1,Data!$A$1:$AN$1,),))+1)^12-1</f>
        <v/>
      </c>
      <c r="N51" s="14">
        <f>(((VLOOKUP(B51,Data!$A:$AN,MATCH(yoy!$N$1,Data!$A$1:$AN$1,),)-VLOOKUP(A51,Data!$A:$AN,MATCH(yoy!$N$1,Data!$A$1:$AN$1,),))/VLOOKUP(A51,Data!$A:$AN,MATCH(yoy!$N$1,Data!$A$1:$AN$1,),))+1)^12-1</f>
        <v/>
      </c>
      <c r="O51" s="14">
        <f>(((VLOOKUP(B51,Data!$A:$AN,MATCH(yoy!$O$1,Data!$A$1:$AN$1,),)-VLOOKUP(A51,Data!$A:$AN,MATCH(yoy!$O$1,Data!$A$1:$AN$1,),))/VLOOKUP(A51,Data!$A:$AN,MATCH(yoy!$O$1,Data!$A$1:$AN$1,),))+1)^12-1</f>
        <v/>
      </c>
      <c r="P51" s="14">
        <f>(((VLOOKUP(B51,Data!$A:$AN,MATCH(yoy!$P$1,Data!$A$1:$AN$1,),)-VLOOKUP(A51,Data!$A:$AN,MATCH(yoy!$P$1,Data!$A$1:$AN$1,),))/VLOOKUP(A51,Data!$A:$AN,MATCH(yoy!$P$1,Data!$A$1:$AN$1,),))+1)^12-1</f>
        <v/>
      </c>
      <c r="Q51" s="14">
        <f>(((VLOOKUP(B51,Data!$A:$AN,MATCH(yoy!$Q$1,Data!$A$1:$AN$1,),)-VLOOKUP(A51,Data!$A:$AN,MATCH(yoy!$Q$1,Data!$A$1:$AN$1,),))/VLOOKUP(A51,Data!$A:$AN,MATCH(yoy!$Q$1,Data!$A$1:$AN$1,),))+1)^12-1</f>
        <v/>
      </c>
      <c r="R51" s="14">
        <f>(((VLOOKUP(B51,Data!$A:$AN,MATCH(yoy!$R$1,Data!$A$1:$AN$1,),)-VLOOKUP(A51,Data!$A:$AN,MATCH(yoy!$R$1,Data!$A$1:$AN$1,),))/VLOOKUP(A51,Data!$A:$AN,MATCH(yoy!$R$1,Data!$A$1:$AN$1,),))+1)^12-1</f>
        <v/>
      </c>
      <c r="S51" s="14">
        <f>(((VLOOKUP(B51,Data!$A:$AN,MATCH(yoy!$S$1,Data!$A$1:$AN$1,),)-VLOOKUP(A51,Data!$A:$AN,MATCH(yoy!$S$1,Data!$A$1:$AN$1,),))/VLOOKUP(A51,Data!$A:$AN,MATCH(yoy!$S$1,Data!$A$1:$AN$1,),))+1)^12-1</f>
        <v/>
      </c>
      <c r="T51" s="14">
        <f>(((VLOOKUP(B51,Data!$A:$AN,MATCH(yoy!$T$1,Data!$A$1:$AN$1,),)-VLOOKUP(A51,Data!$A:$AN,MATCH(yoy!$T$1,Data!$A$1:$AN$1,),))/VLOOKUP(A51,Data!$A:$AN,MATCH(yoy!$T$1,Data!$A$1:$AN$1,),))+1)^12-1</f>
        <v/>
      </c>
      <c r="U51" s="14">
        <f>(((VLOOKUP(B51,Data!$A:$AN,MATCH(yoy!$U$1,Data!$A$1:$AN$1,),)-VLOOKUP(A51,Data!$A:$AN,MATCH(yoy!$U$1,Data!$A$1:$AN$1,),))/VLOOKUP(A51,Data!$A:$AN,MATCH(yoy!$U$1,Data!$A$1:$AN$1,),))+1)^12-1</f>
        <v/>
      </c>
      <c r="V51" s="14">
        <f>(((VLOOKUP(B51,Data!$A:$AN,MATCH(yoy!$V$1,Data!$A$1:$AN$1,),)-VLOOKUP(A51,Data!$A:$AN,MATCH(yoy!$V$1,Data!$A$1:$AN$1,),))/VLOOKUP(A51,Data!$A:$AN,MATCH(yoy!$V$1,Data!$A$1:$AN$1,),))+1)^12-1</f>
        <v/>
      </c>
      <c r="W51" s="14">
        <f>(((VLOOKUP(B51,Data!$A:$AN,MATCH(yoy!$W$1,Data!$A$1:$AN$1,),)-VLOOKUP(A51,Data!$A:$AN,MATCH(yoy!$W$1,Data!$A$1:$AN$1,),))/VLOOKUP(A51,Data!$A:$AN,MATCH(yoy!$W$1,Data!$A$1:$AN$1,),))+1)^12-1</f>
        <v/>
      </c>
      <c r="X51" s="14">
        <f>(((VLOOKUP(B51,Data!$A:$AN,MATCH(yoy!$X$1,Data!$A$1:$AN$1,),)-VLOOKUP(A51,Data!$A:$AN,MATCH(yoy!$X$1,Data!$A$1:$AN$1,),))/VLOOKUP(A51,Data!$A:$AN,MATCH(yoy!$X$1,Data!$A$1:$AN$1,),))+1)^12-1</f>
        <v/>
      </c>
      <c r="Y51" s="14">
        <f>(((VLOOKUP(B51,Data!$A:$AN,MATCH(yoy!$Y$1,Data!$A$1:$AN$1,),)-VLOOKUP(A51,Data!$A:$AN,MATCH(yoy!$Y$1,Data!$A$1:$AN$1,),))/VLOOKUP(A51,Data!$A:$AN,MATCH(yoy!$Y$1,Data!$A$1:$AN$1,),))+1)^12-1</f>
        <v/>
      </c>
      <c r="Z51" s="14">
        <f>(((VLOOKUP(B51,Data!$A:$AN,MATCH(yoy!$Z$1,Data!$A$1:$AN$1,),)-VLOOKUP(A51,Data!$A:$AN,MATCH(yoy!$Z$1,Data!$A$1:$AN$1,),))/VLOOKUP(A51,Data!$A:$AN,MATCH(yoy!$Z$1,Data!$A$1:$AN$1,),))+1)^12-1</f>
        <v/>
      </c>
      <c r="AA51" s="14">
        <f>(((VLOOKUP(B51,Data!$A:$AN,MATCH(yoy!$AA$1,Data!$A$1:$AN$1,),)-VLOOKUP(A51,Data!$A:$AN,MATCH(yoy!$AA$1,Data!$A$1:$AN$1,),))/VLOOKUP(A51,Data!$A:$AN,MATCH(yoy!$AA$1,Data!$A$1:$AN$1,),))+1)^12-1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(((VLOOKUP(B52,Data!$A:$AN,MATCH(yoy!$C$1,Data!$A$1:$AN$1,),)-VLOOKUP(A52,Data!$A:$AN,MATCH(yoy!$C$1,Data!$A$1:$AN$1,),))/VLOOKUP(A52,Data!$A:$AN,MATCH(yoy!$C$1,Data!$A$1:$AN$1,),))+1)^12-1</f>
        <v/>
      </c>
      <c r="D52" s="14">
        <f>(((VLOOKUP(B52,Data!$A:$AN,MATCH(yoy!$D$1,Data!$A$1:$AN$1,),)-VLOOKUP(A52,Data!$A:$AN,MATCH(yoy!$D$1,Data!$A$1:$AN$1,),))/VLOOKUP(A52,Data!$A:$AN,MATCH(yoy!$D$1,Data!$A$1:$AN$1,),))+1)^12-1</f>
        <v/>
      </c>
      <c r="E52" s="14">
        <f>(((VLOOKUP(B52,Data!$A:$AN,MATCH(yoy!$E$1,Data!$A$1:$AN$1,),)-VLOOKUP(A52,Data!$A:$AN,MATCH(yoy!$E$1,Data!$A$1:$AN$1,),))/VLOOKUP(A52,Data!$A:$AN,MATCH(yoy!$E$1,Data!$A$1:$AN$1,),))+1)^12-1</f>
        <v/>
      </c>
      <c r="F52" s="14">
        <f>(((VLOOKUP(B52,Data!$A:$AN,MATCH(yoy!$F$1,Data!$A$1:$AN$1,),)-VLOOKUP(A52,Data!$A:$AN,MATCH(yoy!$F$1,Data!$A$1:$AN$1,),))/VLOOKUP(A52,Data!$A:$AN,MATCH(yoy!$F$1,Data!$A$1:$AN$1,),))+1)^12-1</f>
        <v/>
      </c>
      <c r="G52" s="14">
        <f>(((VLOOKUP(B52,Data!$A:$AN,MATCH(yoy!$G$1,Data!$A$1:$AN$1,),)-VLOOKUP(A52,Data!$A:$AN,MATCH(yoy!$G$1,Data!$A$1:$AN$1,),))/VLOOKUP(A52,Data!$A:$AN,MATCH(yoy!$G$1,Data!$A$1:$AN$1,),))+1)^12-1</f>
        <v/>
      </c>
      <c r="H52" s="14">
        <f>(((VLOOKUP(B52,Data!$A:$AN,MATCH(yoy!$H$1,Data!$A$1:$AN$1,),)-VLOOKUP(A52,Data!$A:$AN,MATCH(yoy!$H$1,Data!$A$1:$AN$1,),))/VLOOKUP(A52,Data!$A:$AN,MATCH(yoy!$H$1,Data!$A$1:$AN$1,),))+1)^12-1</f>
        <v/>
      </c>
      <c r="I52" s="14">
        <f>(((VLOOKUP(B52,Data!$A:$AN,MATCH(yoy!$I$1,Data!$A$1:$AN$1,),)-VLOOKUP(A52,Data!$A:$AN,MATCH(yoy!$I$1,Data!$A$1:$AN$1,),))/VLOOKUP(A52,Data!$A:$AN,MATCH(yoy!$I$1,Data!$A$1:$AN$1,),))+1)^12-1</f>
        <v/>
      </c>
      <c r="J52" s="14">
        <f>(((VLOOKUP(B52,Data!$A:$AN,MATCH(yoy!$J$1,Data!$A$1:$AN$1,),)-VLOOKUP(A52,Data!$A:$AN,MATCH(yoy!$J$1,Data!$A$1:$AN$1,),))/VLOOKUP(A52,Data!$A:$AN,MATCH(yoy!$J$1,Data!$A$1:$AN$1,),))+1)^12-1</f>
        <v/>
      </c>
      <c r="K52" s="14">
        <f>(((VLOOKUP(B52,Data!$A:$AN,MATCH(yoy!$K$1,Data!$A$1:$AN$1,),)-VLOOKUP(A52,Data!$A:$AN,MATCH(yoy!$K$1,Data!$A$1:$AN$1,),))/VLOOKUP(A52,Data!$A:$AN,MATCH(yoy!$K$1,Data!$A$1:$AN$1,),))+1)^12-1</f>
        <v/>
      </c>
      <c r="L52" s="14">
        <f>(((VLOOKUP(B52,Data!$A:$AN,MATCH(yoy!$L$1,Data!$A$1:$AN$1,),)-VLOOKUP(A52,Data!$A:$AN,MATCH(yoy!$L$1,Data!$A$1:$AN$1,),))/VLOOKUP(A52,Data!$A:$AN,MATCH(yoy!$L$1,Data!$A$1:$AN$1,),))+1)^12-1</f>
        <v/>
      </c>
      <c r="M52" s="14">
        <f>(((VLOOKUP(B52,Data!$A:$AN,MATCH(yoy!$M$1,Data!$A$1:$AN$1,),)-VLOOKUP(A52,Data!$A:$AN,MATCH(yoy!$M$1,Data!$A$1:$AN$1,),))/VLOOKUP(A52,Data!$A:$AN,MATCH(yoy!$M$1,Data!$A$1:$AN$1,),))+1)^12-1</f>
        <v/>
      </c>
      <c r="N52" s="14">
        <f>(((VLOOKUP(B52,Data!$A:$AN,MATCH(yoy!$N$1,Data!$A$1:$AN$1,),)-VLOOKUP(A52,Data!$A:$AN,MATCH(yoy!$N$1,Data!$A$1:$AN$1,),))/VLOOKUP(A52,Data!$A:$AN,MATCH(yoy!$N$1,Data!$A$1:$AN$1,),))+1)^12-1</f>
        <v/>
      </c>
      <c r="O52" s="14">
        <f>(((VLOOKUP(B52,Data!$A:$AN,MATCH(yoy!$O$1,Data!$A$1:$AN$1,),)-VLOOKUP(A52,Data!$A:$AN,MATCH(yoy!$O$1,Data!$A$1:$AN$1,),))/VLOOKUP(A52,Data!$A:$AN,MATCH(yoy!$O$1,Data!$A$1:$AN$1,),))+1)^12-1</f>
        <v/>
      </c>
      <c r="P52" s="14">
        <f>(((VLOOKUP(B52,Data!$A:$AN,MATCH(yoy!$P$1,Data!$A$1:$AN$1,),)-VLOOKUP(A52,Data!$A:$AN,MATCH(yoy!$P$1,Data!$A$1:$AN$1,),))/VLOOKUP(A52,Data!$A:$AN,MATCH(yoy!$P$1,Data!$A$1:$AN$1,),))+1)^12-1</f>
        <v/>
      </c>
      <c r="Q52" s="14">
        <f>(((VLOOKUP(B52,Data!$A:$AN,MATCH(yoy!$Q$1,Data!$A$1:$AN$1,),)-VLOOKUP(A52,Data!$A:$AN,MATCH(yoy!$Q$1,Data!$A$1:$AN$1,),))/VLOOKUP(A52,Data!$A:$AN,MATCH(yoy!$Q$1,Data!$A$1:$AN$1,),))+1)^12-1</f>
        <v/>
      </c>
      <c r="R52" s="14">
        <f>(((VLOOKUP(B52,Data!$A:$AN,MATCH(yoy!$R$1,Data!$A$1:$AN$1,),)-VLOOKUP(A52,Data!$A:$AN,MATCH(yoy!$R$1,Data!$A$1:$AN$1,),))/VLOOKUP(A52,Data!$A:$AN,MATCH(yoy!$R$1,Data!$A$1:$AN$1,),))+1)^12-1</f>
        <v/>
      </c>
      <c r="S52" s="14">
        <f>(((VLOOKUP(B52,Data!$A:$AN,MATCH(yoy!$S$1,Data!$A$1:$AN$1,),)-VLOOKUP(A52,Data!$A:$AN,MATCH(yoy!$S$1,Data!$A$1:$AN$1,),))/VLOOKUP(A52,Data!$A:$AN,MATCH(yoy!$S$1,Data!$A$1:$AN$1,),))+1)^12-1</f>
        <v/>
      </c>
      <c r="T52" s="14">
        <f>(((VLOOKUP(B52,Data!$A:$AN,MATCH(yoy!$T$1,Data!$A$1:$AN$1,),)-VLOOKUP(A52,Data!$A:$AN,MATCH(yoy!$T$1,Data!$A$1:$AN$1,),))/VLOOKUP(A52,Data!$A:$AN,MATCH(yoy!$T$1,Data!$A$1:$AN$1,),))+1)^12-1</f>
        <v/>
      </c>
      <c r="U52" s="14">
        <f>(((VLOOKUP(B52,Data!$A:$AN,MATCH(yoy!$U$1,Data!$A$1:$AN$1,),)-VLOOKUP(A52,Data!$A:$AN,MATCH(yoy!$U$1,Data!$A$1:$AN$1,),))/VLOOKUP(A52,Data!$A:$AN,MATCH(yoy!$U$1,Data!$A$1:$AN$1,),))+1)^12-1</f>
        <v/>
      </c>
      <c r="V52" s="14">
        <f>(((VLOOKUP(B52,Data!$A:$AN,MATCH(yoy!$V$1,Data!$A$1:$AN$1,),)-VLOOKUP(A52,Data!$A:$AN,MATCH(yoy!$V$1,Data!$A$1:$AN$1,),))/VLOOKUP(A52,Data!$A:$AN,MATCH(yoy!$V$1,Data!$A$1:$AN$1,),))+1)^12-1</f>
        <v/>
      </c>
      <c r="W52" s="14">
        <f>(((VLOOKUP(B52,Data!$A:$AN,MATCH(yoy!$W$1,Data!$A$1:$AN$1,),)-VLOOKUP(A52,Data!$A:$AN,MATCH(yoy!$W$1,Data!$A$1:$AN$1,),))/VLOOKUP(A52,Data!$A:$AN,MATCH(yoy!$W$1,Data!$A$1:$AN$1,),))+1)^12-1</f>
        <v/>
      </c>
      <c r="X52" s="14">
        <f>(((VLOOKUP(B52,Data!$A:$AN,MATCH(yoy!$X$1,Data!$A$1:$AN$1,),)-VLOOKUP(A52,Data!$A:$AN,MATCH(yoy!$X$1,Data!$A$1:$AN$1,),))/VLOOKUP(A52,Data!$A:$AN,MATCH(yoy!$X$1,Data!$A$1:$AN$1,),))+1)^12-1</f>
        <v/>
      </c>
      <c r="Y52" s="14">
        <f>(((VLOOKUP(B52,Data!$A:$AN,MATCH(yoy!$Y$1,Data!$A$1:$AN$1,),)-VLOOKUP(A52,Data!$A:$AN,MATCH(yoy!$Y$1,Data!$A$1:$AN$1,),))/VLOOKUP(A52,Data!$A:$AN,MATCH(yoy!$Y$1,Data!$A$1:$AN$1,),))+1)^12-1</f>
        <v/>
      </c>
      <c r="Z52" s="14">
        <f>(((VLOOKUP(B52,Data!$A:$AN,MATCH(yoy!$Z$1,Data!$A$1:$AN$1,),)-VLOOKUP(A52,Data!$A:$AN,MATCH(yoy!$Z$1,Data!$A$1:$AN$1,),))/VLOOKUP(A52,Data!$A:$AN,MATCH(yoy!$Z$1,Data!$A$1:$AN$1,),))+1)^12-1</f>
        <v/>
      </c>
      <c r="AA52" s="14">
        <f>(((VLOOKUP(B52,Data!$A:$AN,MATCH(yoy!$AA$1,Data!$A$1:$AN$1,),)-VLOOKUP(A52,Data!$A:$AN,MATCH(yoy!$AA$1,Data!$A$1:$AN$1,),))/VLOOKUP(A52,Data!$A:$AN,MATCH(yoy!$AA$1,Data!$A$1:$AN$1,),))+1)^12-1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(((VLOOKUP(B53,Data!$A:$AN,MATCH(yoy!$C$1,Data!$A$1:$AN$1,),)-VLOOKUP(A53,Data!$A:$AN,MATCH(yoy!$C$1,Data!$A$1:$AN$1,),))/VLOOKUP(A53,Data!$A:$AN,MATCH(yoy!$C$1,Data!$A$1:$AN$1,),))+1)^12-1</f>
        <v/>
      </c>
      <c r="D53" s="14">
        <f>(((VLOOKUP(B53,Data!$A:$AN,MATCH(yoy!$D$1,Data!$A$1:$AN$1,),)-VLOOKUP(A53,Data!$A:$AN,MATCH(yoy!$D$1,Data!$A$1:$AN$1,),))/VLOOKUP(A53,Data!$A:$AN,MATCH(yoy!$D$1,Data!$A$1:$AN$1,),))+1)^12-1</f>
        <v/>
      </c>
      <c r="E53" s="14" t="n"/>
      <c r="F53" s="14">
        <f>(((VLOOKUP(B53,Data!$A:$AN,MATCH(yoy!$F$1,Data!$A$1:$AN$1,),)-VLOOKUP(A53,Data!$A:$AN,MATCH(yoy!$F$1,Data!$A$1:$AN$1,),))/VLOOKUP(A53,Data!$A:$AN,MATCH(yoy!$F$1,Data!$A$1:$AN$1,),))+1)^12-1</f>
        <v/>
      </c>
      <c r="G53" s="14">
        <f>(((VLOOKUP(B53,Data!$A:$AN,MATCH(yoy!$G$1,Data!$A$1:$AN$1,),)-VLOOKUP(A53,Data!$A:$AN,MATCH(yoy!$G$1,Data!$A$1:$AN$1,),))/VLOOKUP(A53,Data!$A:$AN,MATCH(yoy!$G$1,Data!$A$1:$AN$1,),))+1)^12-1</f>
        <v/>
      </c>
      <c r="H53" s="14">
        <f>(((VLOOKUP(B53,Data!$A:$AN,MATCH(yoy!$H$1,Data!$A$1:$AN$1,),)-VLOOKUP(A53,Data!$A:$AN,MATCH(yoy!$H$1,Data!$A$1:$AN$1,),))/VLOOKUP(A53,Data!$A:$AN,MATCH(yoy!$H$1,Data!$A$1:$AN$1,),))+1)^12-1</f>
        <v/>
      </c>
      <c r="I53" s="14" t="n"/>
      <c r="J53" s="14" t="n"/>
      <c r="K53" s="14">
        <f>(((VLOOKUP(B53,Data!$A:$AN,MATCH(yoy!$K$1,Data!$A$1:$AN$1,),)-VLOOKUP(A53,Data!$A:$AN,MATCH(yoy!$K$1,Data!$A$1:$AN$1,),))/VLOOKUP(A53,Data!$A:$AN,MATCH(yoy!$K$1,Data!$A$1:$AN$1,),))+1)^12-1</f>
        <v/>
      </c>
      <c r="L53" s="14" t="n"/>
      <c r="M53" s="14" t="n"/>
      <c r="N53" s="14" t="n"/>
      <c r="O53" s="14" t="n"/>
      <c r="P53" s="14">
        <f>(((VLOOKUP(B53,Data!$A:$AN,MATCH(yoy!$P$1,Data!$A$1:$AN$1,),)-VLOOKUP(A53,Data!$A:$AN,MATCH(yoy!$P$1,Data!$A$1:$AN$1,),))/VLOOKUP(A53,Data!$A:$AN,MATCH(yoy!$P$1,Data!$A$1:$AN$1,),))+1)^12-1</f>
        <v/>
      </c>
      <c r="Q53" s="14">
        <f>(((VLOOKUP(B53,Data!$A:$AN,MATCH(yoy!$Q$1,Data!$A$1:$AN$1,),)-VLOOKUP(A53,Data!$A:$AN,MATCH(yoy!$Q$1,Data!$A$1:$AN$1,),))/VLOOKUP(A53,Data!$A:$AN,MATCH(yoy!$Q$1,Data!$A$1:$AN$1,),))+1)^12-1</f>
        <v/>
      </c>
      <c r="R53" s="14" t="n"/>
      <c r="S53" s="14">
        <f>(((VLOOKUP(B53,Data!$A:$AN,MATCH(yoy!$S$1,Data!$A$1:$AN$1,),)-VLOOKUP(A53,Data!$A:$AN,MATCH(yoy!$S$1,Data!$A$1:$AN$1,),))/VLOOKUP(A53,Data!$A:$AN,MATCH(yoy!$S$1,Data!$A$1:$AN$1,),))+1)^12-1</f>
        <v/>
      </c>
      <c r="T53" s="14" t="n"/>
      <c r="U53" s="14" t="n"/>
      <c r="V53" s="14">
        <f>(((VLOOKUP(B53,Data!$A:$AN,MATCH(yoy!$V$1,Data!$A$1:$AN$1,),)-VLOOKUP(A53,Data!$A:$AN,MATCH(yoy!$V$1,Data!$A$1:$AN$1,),))/VLOOKUP(A53,Data!$A:$AN,MATCH(yoy!$V$1,Data!$A$1:$AN$1,),))+1)^12-1</f>
        <v/>
      </c>
      <c r="W53" s="14" t="n"/>
      <c r="X53" s="14">
        <f>(((VLOOKUP(B53,Data!$A:$AN,MATCH(yoy!$X$1,Data!$A$1:$AN$1,),)-VLOOKUP(A53,Data!$A:$AN,MATCH(yoy!$X$1,Data!$A$1:$AN$1,),))/VLOOKUP(A53,Data!$A:$AN,MATCH(yoy!$X$1,Data!$A$1:$AN$1,),))+1)^12-1</f>
        <v/>
      </c>
      <c r="Y53" s="14" t="n"/>
      <c r="Z53" s="14">
        <f>(((VLOOKUP(B53,Data!$A:$AN,MATCH(yoy!$Z$1,Data!$A$1:$AN$1,),)-VLOOKUP(A53,Data!$A:$AN,MATCH(yoy!$Z$1,Data!$A$1:$AN$1,),))/VLOOKUP(A53,Data!$A:$AN,MATCH(yoy!$Z$1,Data!$A$1:$AN$1,),))+1)^12-1</f>
        <v/>
      </c>
      <c r="AA53" s="14" t="n"/>
    </row>
    <row r="54" customFormat="1" s="76">
      <c r="A54" s="20">
        <f>DATE(YEAR(B54),MONTH(B54)-1,DAY(B54))</f>
        <v/>
      </c>
      <c r="B54" s="12" t="n">
        <v>43497</v>
      </c>
      <c r="C54" s="14">
        <f>(((VLOOKUP(B54,Data!$A:$AN,MATCH(yoy!$C$1,Data!$A$1:$AN$1,),)-VLOOKUP(A54,Data!$A:$AN,MATCH(yoy!$C$1,Data!$A$1:$AN$1,),))/VLOOKUP(A54,Data!$A:$AN,MATCH(yoy!$C$1,Data!$A$1:$AN$1,),))+1)^12-1</f>
        <v/>
      </c>
      <c r="D54" s="14">
        <f>(((VLOOKUP(B54,Data!$A:$AN,MATCH(yoy!$D$1,Data!$A$1:$AN$1,),)-VLOOKUP(A54,Data!$A:$AN,MATCH(yoy!$D$1,Data!$A$1:$AN$1,),))/VLOOKUP(A54,Data!$A:$AN,MATCH(yoy!$D$1,Data!$A$1:$AN$1,),))+1)^12-1</f>
        <v/>
      </c>
      <c r="E54" s="14" t="n"/>
      <c r="F54" s="14">
        <f>(((VLOOKUP(B54,Data!$A:$AN,MATCH(yoy!$F$1,Data!$A$1:$AN$1,),)-VLOOKUP(A54,Data!$A:$AN,MATCH(yoy!$F$1,Data!$A$1:$AN$1,),))/VLOOKUP(A54,Data!$A:$AN,MATCH(yoy!$F$1,Data!$A$1:$AN$1,),))+1)^12-1</f>
        <v/>
      </c>
      <c r="G54" s="14">
        <f>(((VLOOKUP(B54,Data!$A:$AN,MATCH(yoy!$G$1,Data!$A$1:$AN$1,),)-VLOOKUP(A54,Data!$A:$AN,MATCH(yoy!$G$1,Data!$A$1:$AN$1,),))/VLOOKUP(A54,Data!$A:$AN,MATCH(yoy!$G$1,Data!$A$1:$AN$1,),))+1)^12-1</f>
        <v/>
      </c>
      <c r="H54" s="14">
        <f>(((VLOOKUP(B54,Data!$A:$AN,MATCH(yoy!$H$1,Data!$A$1:$AN$1,),)-VLOOKUP(A54,Data!$A:$AN,MATCH(yoy!$H$1,Data!$A$1:$AN$1,),))/VLOOKUP(A54,Data!$A:$AN,MATCH(yoy!$H$1,Data!$A$1:$AN$1,),))+1)^12-1</f>
        <v/>
      </c>
      <c r="I54" s="14" t="n"/>
      <c r="J54" s="14" t="n"/>
      <c r="K54" s="14">
        <f>(((VLOOKUP(B54,Data!$A:$AN,MATCH(yoy!$K$1,Data!$A$1:$AN$1,),)-VLOOKUP(A54,Data!$A:$AN,MATCH(yoy!$K$1,Data!$A$1:$AN$1,),))/VLOOKUP(A54,Data!$A:$AN,MATCH(yoy!$K$1,Data!$A$1:$AN$1,),))+1)^12-1</f>
        <v/>
      </c>
      <c r="L54" s="14" t="n"/>
      <c r="M54" s="14" t="n"/>
      <c r="N54" s="14" t="n"/>
      <c r="O54" s="14" t="n"/>
      <c r="P54" s="14">
        <f>(((VLOOKUP(B54,Data!$A:$AN,MATCH(yoy!$P$1,Data!$A$1:$AN$1,),)-VLOOKUP(A54,Data!$A:$AN,MATCH(yoy!$P$1,Data!$A$1:$AN$1,),))/VLOOKUP(A54,Data!$A:$AN,MATCH(yoy!$P$1,Data!$A$1:$AN$1,),))+1)^12-1</f>
        <v/>
      </c>
      <c r="Q54" s="14">
        <f>(((VLOOKUP(B54,Data!$A:$AN,MATCH(yoy!$Q$1,Data!$A$1:$AN$1,),)-VLOOKUP(A54,Data!$A:$AN,MATCH(yoy!$Q$1,Data!$A$1:$AN$1,),))/VLOOKUP(A54,Data!$A:$AN,MATCH(yoy!$Q$1,Data!$A$1:$AN$1,),))+1)^12-1</f>
        <v/>
      </c>
      <c r="R54" s="14" t="n"/>
      <c r="S54" s="14">
        <f>(((VLOOKUP(B54,Data!$A:$AN,MATCH(yoy!$S$1,Data!$A$1:$AN$1,),)-VLOOKUP(A54,Data!$A:$AN,MATCH(yoy!$S$1,Data!$A$1:$AN$1,),))/VLOOKUP(A54,Data!$A:$AN,MATCH(yoy!$S$1,Data!$A$1:$AN$1,),))+1)^12-1</f>
        <v/>
      </c>
      <c r="T54" s="14" t="n"/>
      <c r="U54" s="14" t="n"/>
      <c r="V54" s="14">
        <f>(((VLOOKUP(B54,Data!$A:$AN,MATCH(yoy!$V$1,Data!$A$1:$AN$1,),)-VLOOKUP(A54,Data!$A:$AN,MATCH(yoy!$V$1,Data!$A$1:$AN$1,),))/VLOOKUP(A54,Data!$A:$AN,MATCH(yoy!$V$1,Data!$A$1:$AN$1,),))+1)^12-1</f>
        <v/>
      </c>
      <c r="W54" s="14" t="n"/>
      <c r="X54" s="14">
        <f>(((VLOOKUP(B54,Data!$A:$AN,MATCH(yoy!$X$1,Data!$A$1:$AN$1,),)-VLOOKUP(A54,Data!$A:$AN,MATCH(yoy!$X$1,Data!$A$1:$AN$1,),))/VLOOKUP(A54,Data!$A:$AN,MATCH(yoy!$X$1,Data!$A$1:$AN$1,),))+1)^12-1</f>
        <v/>
      </c>
      <c r="Y54" s="14" t="n"/>
      <c r="Z54" s="14">
        <f>(((VLOOKUP(B54,Data!$A:$AN,MATCH(yoy!$Z$1,Data!$A$1:$AN$1,),)-VLOOKUP(A54,Data!$A:$AN,MATCH(yoy!$Z$1,Data!$A$1:$AN$1,),))/VLOOKUP(A54,Data!$A:$AN,MATCH(yoy!$Z$1,Data!$A$1:$AN$1,),))+1)^12-1</f>
        <v/>
      </c>
      <c r="AA54" s="14" t="n"/>
    </row>
    <row r="55" customFormat="1" s="76">
      <c r="A55" s="20">
        <f>DATE(YEAR(B55),MONTH(B55)-1,DAY(B55))</f>
        <v/>
      </c>
      <c r="B55" s="12" t="n">
        <v>43525</v>
      </c>
      <c r="C55" s="14">
        <f>(((VLOOKUP(B55,Data!$A:$AN,MATCH(yoy!$C$1,Data!$A$1:$AN$1,),)-VLOOKUP(A55,Data!$A:$AN,MATCH(yoy!$C$1,Data!$A$1:$AN$1,),))/VLOOKUP(A55,Data!$A:$AN,MATCH(yoy!$C$1,Data!$A$1:$AN$1,),))+1)^12-1</f>
        <v/>
      </c>
      <c r="D55" s="14">
        <f>(((VLOOKUP(B55,Data!$A:$AN,MATCH(yoy!$D$1,Data!$A$1:$AN$1,),)-VLOOKUP(A55,Data!$A:$AN,MATCH(yoy!$D$1,Data!$A$1:$AN$1,),))/VLOOKUP(A55,Data!$A:$AN,MATCH(yoy!$D$1,Data!$A$1:$AN$1,),))+1)^12-1</f>
        <v/>
      </c>
      <c r="E55" s="14" t="n"/>
      <c r="F55" s="14">
        <f>(((VLOOKUP(B55,Data!$A:$AN,MATCH(yoy!$F$1,Data!$A$1:$AN$1,),)-VLOOKUP(A55,Data!$A:$AN,MATCH(yoy!$F$1,Data!$A$1:$AN$1,),))/VLOOKUP(A55,Data!$A:$AN,MATCH(yoy!$F$1,Data!$A$1:$AN$1,),))+1)^12-1</f>
        <v/>
      </c>
      <c r="G55" s="14">
        <f>(((VLOOKUP(B55,Data!$A:$AN,MATCH(yoy!$G$1,Data!$A$1:$AN$1,),)-VLOOKUP(A55,Data!$A:$AN,MATCH(yoy!$G$1,Data!$A$1:$AN$1,),))/VLOOKUP(A55,Data!$A:$AN,MATCH(yoy!$G$1,Data!$A$1:$AN$1,),))+1)^12-1</f>
        <v/>
      </c>
      <c r="H55" s="14">
        <f>(((VLOOKUP(B55,Data!$A:$AN,MATCH(yoy!$H$1,Data!$A$1:$AN$1,),)-VLOOKUP(A55,Data!$A:$AN,MATCH(yoy!$H$1,Data!$A$1:$AN$1,),))/VLOOKUP(A55,Data!$A:$AN,MATCH(yoy!$H$1,Data!$A$1:$AN$1,),))+1)^12-1</f>
        <v/>
      </c>
      <c r="I55" s="14" t="n"/>
      <c r="J55" s="14" t="n"/>
      <c r="K55" s="14">
        <f>(((VLOOKUP(B55,Data!$A:$AN,MATCH(yoy!$K$1,Data!$A$1:$AN$1,),)-VLOOKUP(A55,Data!$A:$AN,MATCH(yoy!$K$1,Data!$A$1:$AN$1,),))/VLOOKUP(A55,Data!$A:$AN,MATCH(yoy!$K$1,Data!$A$1:$AN$1,),))+1)^12-1</f>
        <v/>
      </c>
      <c r="L55" s="14" t="n"/>
      <c r="M55" s="14" t="n"/>
      <c r="N55" s="14" t="n"/>
      <c r="O55" s="14" t="n"/>
      <c r="P55" s="14">
        <f>(((VLOOKUP(B55,Data!$A:$AN,MATCH(yoy!$P$1,Data!$A$1:$AN$1,),)-VLOOKUP(A55,Data!$A:$AN,MATCH(yoy!$P$1,Data!$A$1:$AN$1,),))/VLOOKUP(A55,Data!$A:$AN,MATCH(yoy!$P$1,Data!$A$1:$AN$1,),))+1)^12-1</f>
        <v/>
      </c>
      <c r="Q55" s="14">
        <f>(((VLOOKUP(B55,Data!$A:$AN,MATCH(yoy!$Q$1,Data!$A$1:$AN$1,),)-VLOOKUP(A55,Data!$A:$AN,MATCH(yoy!$Q$1,Data!$A$1:$AN$1,),))/VLOOKUP(A55,Data!$A:$AN,MATCH(yoy!$Q$1,Data!$A$1:$AN$1,),))+1)^12-1</f>
        <v/>
      </c>
      <c r="R55" s="14" t="n"/>
      <c r="S55" s="14">
        <f>(((VLOOKUP(B55,Data!$A:$AN,MATCH(yoy!$S$1,Data!$A$1:$AN$1,),)-VLOOKUP(A55,Data!$A:$AN,MATCH(yoy!$S$1,Data!$A$1:$AN$1,),))/VLOOKUP(A55,Data!$A:$AN,MATCH(yoy!$S$1,Data!$A$1:$AN$1,),))+1)^12-1</f>
        <v/>
      </c>
      <c r="T55" s="14" t="n"/>
      <c r="U55" s="14" t="n"/>
      <c r="V55" s="14">
        <f>(((VLOOKUP(B55,Data!$A:$AN,MATCH(yoy!$V$1,Data!$A$1:$AN$1,),)-VLOOKUP(A55,Data!$A:$AN,MATCH(yoy!$V$1,Data!$A$1:$AN$1,),))/VLOOKUP(A55,Data!$A:$AN,MATCH(yoy!$V$1,Data!$A$1:$AN$1,),))+1)^12-1</f>
        <v/>
      </c>
      <c r="W55" s="14" t="n"/>
      <c r="X55" s="14">
        <f>(((VLOOKUP(B55,Data!$A:$AN,MATCH(yoy!$X$1,Data!$A$1:$AN$1,),)-VLOOKUP(A55,Data!$A:$AN,MATCH(yoy!$X$1,Data!$A$1:$AN$1,),))/VLOOKUP(A55,Data!$A:$AN,MATCH(yoy!$X$1,Data!$A$1:$AN$1,),))+1)^12-1</f>
        <v/>
      </c>
      <c r="Y55" s="14" t="n"/>
      <c r="Z55" s="14">
        <f>(((VLOOKUP(B55,Data!$A:$AN,MATCH(yoy!$Z$1,Data!$A$1:$AN$1,),)-VLOOKUP(A55,Data!$A:$AN,MATCH(yoy!$Z$1,Data!$A$1:$AN$1,),))/VLOOKUP(A55,Data!$A:$AN,MATCH(yoy!$Z$1,Data!$A$1:$AN$1,),))+1)^12-1</f>
        <v/>
      </c>
      <c r="AA55" s="14" t="n"/>
    </row>
    <row r="56" customFormat="1" s="76">
      <c r="A56" s="20">
        <f>DATE(YEAR(B56),MONTH(B56)-1,DAY(B56))</f>
        <v/>
      </c>
      <c r="B56" s="12" t="n">
        <v>43556</v>
      </c>
      <c r="C56" s="14">
        <f>(((VLOOKUP(B56,Data!$A:$AN,MATCH(yoy!$C$1,Data!$A$1:$AN$1,),)-VLOOKUP(A56,Data!$A:$AN,MATCH(yoy!$C$1,Data!$A$1:$AN$1,),))/VLOOKUP(A56,Data!$A:$AN,MATCH(yoy!$C$1,Data!$A$1:$AN$1,),))+1)^12-1</f>
        <v/>
      </c>
      <c r="D56" s="14">
        <f>(((VLOOKUP(B56,Data!$A:$AN,MATCH(yoy!$D$1,Data!$A$1:$AN$1,),)-VLOOKUP(A56,Data!$A:$AN,MATCH(yoy!$D$1,Data!$A$1:$AN$1,),))/VLOOKUP(A56,Data!$A:$AN,MATCH(yoy!$D$1,Data!$A$1:$AN$1,),))+1)^12-1</f>
        <v/>
      </c>
      <c r="E56" s="14" t="n"/>
      <c r="F56" s="14">
        <f>(((VLOOKUP(B56,Data!$A:$AN,MATCH(yoy!$F$1,Data!$A$1:$AN$1,),)-VLOOKUP(A56,Data!$A:$AN,MATCH(yoy!$F$1,Data!$A$1:$AN$1,),))/VLOOKUP(A56,Data!$A:$AN,MATCH(yoy!$F$1,Data!$A$1:$AN$1,),))+1)^12-1</f>
        <v/>
      </c>
      <c r="G56" s="14">
        <f>(((VLOOKUP(B56,Data!$A:$AN,MATCH(yoy!$G$1,Data!$A$1:$AN$1,),)-VLOOKUP(A56,Data!$A:$AN,MATCH(yoy!$G$1,Data!$A$1:$AN$1,),))/VLOOKUP(A56,Data!$A:$AN,MATCH(yoy!$G$1,Data!$A$1:$AN$1,),))+1)^12-1</f>
        <v/>
      </c>
      <c r="H56" s="14">
        <f>(((VLOOKUP(B56,Data!$A:$AN,MATCH(yoy!$H$1,Data!$A$1:$AN$1,),)-VLOOKUP(A56,Data!$A:$AN,MATCH(yoy!$H$1,Data!$A$1:$AN$1,),))/VLOOKUP(A56,Data!$A:$AN,MATCH(yoy!$H$1,Data!$A$1:$AN$1,),))+1)^12-1</f>
        <v/>
      </c>
      <c r="I56" s="14" t="n"/>
      <c r="J56" s="14" t="n"/>
      <c r="K56" s="14">
        <f>(((VLOOKUP(B56,Data!$A:$AN,MATCH(yoy!$K$1,Data!$A$1:$AN$1,),)-VLOOKUP(A56,Data!$A:$AN,MATCH(yoy!$K$1,Data!$A$1:$AN$1,),))/VLOOKUP(A56,Data!$A:$AN,MATCH(yoy!$K$1,Data!$A$1:$AN$1,),))+1)^12-1</f>
        <v/>
      </c>
      <c r="L56" s="14" t="n"/>
      <c r="M56" s="14" t="n"/>
      <c r="N56" s="14" t="n"/>
      <c r="O56" s="14" t="n"/>
      <c r="P56" s="14">
        <f>(((VLOOKUP(B56,Data!$A:$AN,MATCH(yoy!$P$1,Data!$A$1:$AN$1,),)-VLOOKUP(A56,Data!$A:$AN,MATCH(yoy!$P$1,Data!$A$1:$AN$1,),))/VLOOKUP(A56,Data!$A:$AN,MATCH(yoy!$P$1,Data!$A$1:$AN$1,),))+1)^12-1</f>
        <v/>
      </c>
      <c r="Q56" s="14">
        <f>(((VLOOKUP(B56,Data!$A:$AN,MATCH(yoy!$Q$1,Data!$A$1:$AN$1,),)-VLOOKUP(A56,Data!$A:$AN,MATCH(yoy!$Q$1,Data!$A$1:$AN$1,),))/VLOOKUP(A56,Data!$A:$AN,MATCH(yoy!$Q$1,Data!$A$1:$AN$1,),))+1)^12-1</f>
        <v/>
      </c>
      <c r="R56" s="14" t="n"/>
      <c r="S56" s="14">
        <f>(((VLOOKUP(B56,Data!$A:$AN,MATCH(yoy!$S$1,Data!$A$1:$AN$1,),)-VLOOKUP(A56,Data!$A:$AN,MATCH(yoy!$S$1,Data!$A$1:$AN$1,),))/VLOOKUP(A56,Data!$A:$AN,MATCH(yoy!$S$1,Data!$A$1:$AN$1,),))+1)^12-1</f>
        <v/>
      </c>
      <c r="T56" s="14" t="n"/>
      <c r="U56" s="14" t="n"/>
      <c r="V56" s="14">
        <f>(((VLOOKUP(B56,Data!$A:$AN,MATCH(yoy!$V$1,Data!$A$1:$AN$1,),)-VLOOKUP(A56,Data!$A:$AN,MATCH(yoy!$V$1,Data!$A$1:$AN$1,),))/VLOOKUP(A56,Data!$A:$AN,MATCH(yoy!$V$1,Data!$A$1:$AN$1,),))+1)^12-1</f>
        <v/>
      </c>
      <c r="W56" s="14" t="n"/>
      <c r="X56" s="14">
        <f>(((VLOOKUP(B56,Data!$A:$AN,MATCH(yoy!$X$1,Data!$A$1:$AN$1,),)-VLOOKUP(A56,Data!$A:$AN,MATCH(yoy!$X$1,Data!$A$1:$AN$1,),))/VLOOKUP(A56,Data!$A:$AN,MATCH(yoy!$X$1,Data!$A$1:$AN$1,),))+1)^12-1</f>
        <v/>
      </c>
      <c r="Y56" s="14" t="n"/>
      <c r="Z56" s="14">
        <f>(((VLOOKUP(B56,Data!$A:$AN,MATCH(yoy!$Z$1,Data!$A$1:$AN$1,),)-VLOOKUP(A56,Data!$A:$AN,MATCH(yoy!$Z$1,Data!$A$1:$AN$1,),))/VLOOKUP(A56,Data!$A:$AN,MATCH(yoy!$Z$1,Data!$A$1:$AN$1,),))+1)^12-1</f>
        <v/>
      </c>
      <c r="AA56" s="14" t="n"/>
    </row>
    <row r="57" customFormat="1" s="76">
      <c r="A57" s="20">
        <f>DATE(YEAR(B57),MONTH(B57)-1,DAY(B57))</f>
        <v/>
      </c>
      <c r="B57" s="12" t="n">
        <v>43586</v>
      </c>
      <c r="C57" s="14">
        <f>(((VLOOKUP(B57,Data!$A:$AN,MATCH(yoy!$C$1,Data!$A$1:$AN$1,),)-VLOOKUP(A57,Data!$A:$AN,MATCH(yoy!$C$1,Data!$A$1:$AN$1,),))/VLOOKUP(A57,Data!$A:$AN,MATCH(yoy!$C$1,Data!$A$1:$AN$1,),))+1)^12-1</f>
        <v/>
      </c>
      <c r="D57" s="14">
        <f>(((VLOOKUP(B57,Data!$A:$AN,MATCH(yoy!$D$1,Data!$A$1:$AN$1,),)-VLOOKUP(A57,Data!$A:$AN,MATCH(yoy!$D$1,Data!$A$1:$AN$1,),))/VLOOKUP(A57,Data!$A:$AN,MATCH(yoy!$D$1,Data!$A$1:$AN$1,),))+1)^12-1</f>
        <v/>
      </c>
      <c r="E57" s="14" t="n"/>
      <c r="F57" s="14">
        <f>(((VLOOKUP(B57,Data!$A:$AN,MATCH(yoy!$F$1,Data!$A$1:$AN$1,),)-VLOOKUP(A57,Data!$A:$AN,MATCH(yoy!$F$1,Data!$A$1:$AN$1,),))/VLOOKUP(A57,Data!$A:$AN,MATCH(yoy!$F$1,Data!$A$1:$AN$1,),))+1)^12-1</f>
        <v/>
      </c>
      <c r="G57" s="14">
        <f>(((VLOOKUP(B57,Data!$A:$AN,MATCH(yoy!$G$1,Data!$A$1:$AN$1,),)-VLOOKUP(A57,Data!$A:$AN,MATCH(yoy!$G$1,Data!$A$1:$AN$1,),))/VLOOKUP(A57,Data!$A:$AN,MATCH(yoy!$G$1,Data!$A$1:$AN$1,),))+1)^12-1</f>
        <v/>
      </c>
      <c r="H57" s="14">
        <f>(((VLOOKUP(B57,Data!$A:$AN,MATCH(yoy!$H$1,Data!$A$1:$AN$1,),)-VLOOKUP(A57,Data!$A:$AN,MATCH(yoy!$H$1,Data!$A$1:$AN$1,),))/VLOOKUP(A57,Data!$A:$AN,MATCH(yoy!$H$1,Data!$A$1:$AN$1,),))+1)^12-1</f>
        <v/>
      </c>
      <c r="I57" s="14" t="n"/>
      <c r="J57" s="14" t="n"/>
      <c r="K57" s="14">
        <f>(((VLOOKUP(B57,Data!$A:$AN,MATCH(yoy!$K$1,Data!$A$1:$AN$1,),)-VLOOKUP(A57,Data!$A:$AN,MATCH(yoy!$K$1,Data!$A$1:$AN$1,),))/VLOOKUP(A57,Data!$A:$AN,MATCH(yoy!$K$1,Data!$A$1:$AN$1,),))+1)^12-1</f>
        <v/>
      </c>
      <c r="L57" s="14" t="n"/>
      <c r="M57" s="14" t="n"/>
      <c r="N57" s="14" t="n"/>
      <c r="O57" s="14" t="n"/>
      <c r="P57" s="14">
        <f>(((VLOOKUP(B57,Data!$A:$AN,MATCH(yoy!$P$1,Data!$A$1:$AN$1,),)-VLOOKUP(A57,Data!$A:$AN,MATCH(yoy!$P$1,Data!$A$1:$AN$1,),))/VLOOKUP(A57,Data!$A:$AN,MATCH(yoy!$P$1,Data!$A$1:$AN$1,),))+1)^12-1</f>
        <v/>
      </c>
      <c r="Q57" s="14">
        <f>(((VLOOKUP(B57,Data!$A:$AN,MATCH(yoy!$Q$1,Data!$A$1:$AN$1,),)-VLOOKUP(A57,Data!$A:$AN,MATCH(yoy!$Q$1,Data!$A$1:$AN$1,),))/VLOOKUP(A57,Data!$A:$AN,MATCH(yoy!$Q$1,Data!$A$1:$AN$1,),))+1)^12-1</f>
        <v/>
      </c>
      <c r="R57" s="14" t="n"/>
      <c r="S57" s="14">
        <f>(((VLOOKUP(B57,Data!$A:$AN,MATCH(yoy!$S$1,Data!$A$1:$AN$1,),)-VLOOKUP(A57,Data!$A:$AN,MATCH(yoy!$S$1,Data!$A$1:$AN$1,),))/VLOOKUP(A57,Data!$A:$AN,MATCH(yoy!$S$1,Data!$A$1:$AN$1,),))+1)^12-1</f>
        <v/>
      </c>
      <c r="T57" s="14" t="n"/>
      <c r="U57" s="14" t="n"/>
      <c r="V57" s="14">
        <f>(((VLOOKUP(B57,Data!$A:$AN,MATCH(yoy!$V$1,Data!$A$1:$AN$1,),)-VLOOKUP(A57,Data!$A:$AN,MATCH(yoy!$V$1,Data!$A$1:$AN$1,),))/VLOOKUP(A57,Data!$A:$AN,MATCH(yoy!$V$1,Data!$A$1:$AN$1,),))+1)^12-1</f>
        <v/>
      </c>
      <c r="W57" s="14" t="n"/>
      <c r="X57" s="14">
        <f>(((VLOOKUP(B57,Data!$A:$AN,MATCH(yoy!$X$1,Data!$A$1:$AN$1,),)-VLOOKUP(A57,Data!$A:$AN,MATCH(yoy!$X$1,Data!$A$1:$AN$1,),))/VLOOKUP(A57,Data!$A:$AN,MATCH(yoy!$X$1,Data!$A$1:$AN$1,),))+1)^12-1</f>
        <v/>
      </c>
      <c r="Y57" s="14" t="n"/>
      <c r="Z57" s="14">
        <f>(((VLOOKUP(B57,Data!$A:$AN,MATCH(yoy!$Z$1,Data!$A$1:$AN$1,),)-VLOOKUP(A57,Data!$A:$AN,MATCH(yoy!$Z$1,Data!$A$1:$AN$1,),))/VLOOKUP(A57,Data!$A:$AN,MATCH(yoy!$Z$1,Data!$A$1:$AN$1,),))+1)^12-1</f>
        <v/>
      </c>
      <c r="AA57" s="14" t="n"/>
    </row>
    <row r="58" customFormat="1" s="76">
      <c r="A58" s="20">
        <f>DATE(YEAR(B58),MONTH(B58)-1,DAY(B58))</f>
        <v/>
      </c>
      <c r="B58" s="12" t="n">
        <v>43617</v>
      </c>
      <c r="C58" s="14">
        <f>(((VLOOKUP(B58,Data!$A:$AN,MATCH(yoy!$C$1,Data!$A$1:$AN$1,),)-VLOOKUP(A58,Data!$A:$AN,MATCH(yoy!$C$1,Data!$A$1:$AN$1,),))/VLOOKUP(A58,Data!$A:$AN,MATCH(yoy!$C$1,Data!$A$1:$AN$1,),))+1)^12-1</f>
        <v/>
      </c>
      <c r="D58" s="14">
        <f>(((VLOOKUP(B58,Data!$A:$AN,MATCH(yoy!$D$1,Data!$A$1:$AN$1,),)-VLOOKUP(A58,Data!$A:$AN,MATCH(yoy!$D$1,Data!$A$1:$AN$1,),))/VLOOKUP(A58,Data!$A:$AN,MATCH(yoy!$D$1,Data!$A$1:$AN$1,),))+1)^12-1</f>
        <v/>
      </c>
      <c r="E58" s="14" t="n"/>
      <c r="F58" s="14">
        <f>(((VLOOKUP(B58,Data!$A:$AN,MATCH(yoy!$F$1,Data!$A$1:$AN$1,),)-VLOOKUP(A58,Data!$A:$AN,MATCH(yoy!$F$1,Data!$A$1:$AN$1,),))/VLOOKUP(A58,Data!$A:$AN,MATCH(yoy!$F$1,Data!$A$1:$AN$1,),))+1)^12-1</f>
        <v/>
      </c>
      <c r="G58" s="14">
        <f>(((VLOOKUP(B58,Data!$A:$AN,MATCH(yoy!$G$1,Data!$A$1:$AN$1,),)-VLOOKUP(A58,Data!$A:$AN,MATCH(yoy!$G$1,Data!$A$1:$AN$1,),))/VLOOKUP(A58,Data!$A:$AN,MATCH(yoy!$G$1,Data!$A$1:$AN$1,),))+1)^12-1</f>
        <v/>
      </c>
      <c r="H58" s="14">
        <f>(((VLOOKUP(B58,Data!$A:$AN,MATCH(yoy!$H$1,Data!$A$1:$AN$1,),)-VLOOKUP(A58,Data!$A:$AN,MATCH(yoy!$H$1,Data!$A$1:$AN$1,),))/VLOOKUP(A58,Data!$A:$AN,MATCH(yoy!$H$1,Data!$A$1:$AN$1,),))+1)^12-1</f>
        <v/>
      </c>
      <c r="I58" s="14" t="n"/>
      <c r="J58" s="14" t="n"/>
      <c r="K58" s="14">
        <f>(((VLOOKUP(B58,Data!$A:$AN,MATCH(yoy!$K$1,Data!$A$1:$AN$1,),)-VLOOKUP(A58,Data!$A:$AN,MATCH(yoy!$K$1,Data!$A$1:$AN$1,),))/VLOOKUP(A58,Data!$A:$AN,MATCH(yoy!$K$1,Data!$A$1:$AN$1,),))+1)^12-1</f>
        <v/>
      </c>
      <c r="L58" s="14" t="n"/>
      <c r="M58" s="14" t="n"/>
      <c r="N58" s="14" t="n"/>
      <c r="O58" s="14" t="n"/>
      <c r="P58" s="14">
        <f>(((VLOOKUP(B58,Data!$A:$AN,MATCH(yoy!$P$1,Data!$A$1:$AN$1,),)-VLOOKUP(A58,Data!$A:$AN,MATCH(yoy!$P$1,Data!$A$1:$AN$1,),))/VLOOKUP(A58,Data!$A:$AN,MATCH(yoy!$P$1,Data!$A$1:$AN$1,),))+1)^12-1</f>
        <v/>
      </c>
      <c r="Q58" s="14">
        <f>(((VLOOKUP(B58,Data!$A:$AN,MATCH(yoy!$Q$1,Data!$A$1:$AN$1,),)-VLOOKUP(A58,Data!$A:$AN,MATCH(yoy!$Q$1,Data!$A$1:$AN$1,),))/VLOOKUP(A58,Data!$A:$AN,MATCH(yoy!$Q$1,Data!$A$1:$AN$1,),))+1)^12-1</f>
        <v/>
      </c>
      <c r="R58" s="14" t="n"/>
      <c r="S58" s="14">
        <f>(((VLOOKUP(B58,Data!$A:$AN,MATCH(yoy!$S$1,Data!$A$1:$AN$1,),)-VLOOKUP(A58,Data!$A:$AN,MATCH(yoy!$S$1,Data!$A$1:$AN$1,),))/VLOOKUP(A58,Data!$A:$AN,MATCH(yoy!$S$1,Data!$A$1:$AN$1,),))+1)^12-1</f>
        <v/>
      </c>
      <c r="T58" s="14" t="n"/>
      <c r="U58" s="14" t="n"/>
      <c r="V58" s="14">
        <f>(((VLOOKUP(B58,Data!$A:$AN,MATCH(yoy!$V$1,Data!$A$1:$AN$1,),)-VLOOKUP(A58,Data!$A:$AN,MATCH(yoy!$V$1,Data!$A$1:$AN$1,),))/VLOOKUP(A58,Data!$A:$AN,MATCH(yoy!$V$1,Data!$A$1:$AN$1,),))+1)^12-1</f>
        <v/>
      </c>
      <c r="W58" s="14" t="n"/>
      <c r="X58" s="14">
        <f>(((VLOOKUP(B58,Data!$A:$AN,MATCH(yoy!$X$1,Data!$A$1:$AN$1,),)-VLOOKUP(A58,Data!$A:$AN,MATCH(yoy!$X$1,Data!$A$1:$AN$1,),))/VLOOKUP(A58,Data!$A:$AN,MATCH(yoy!$X$1,Data!$A$1:$AN$1,),))+1)^12-1</f>
        <v/>
      </c>
      <c r="Y58" s="14" t="n"/>
      <c r="Z58" s="14">
        <f>(((VLOOKUP(B58,Data!$A:$AN,MATCH(yoy!$Z$1,Data!$A$1:$AN$1,),)-VLOOKUP(A58,Data!$A:$AN,MATCH(yoy!$Z$1,Data!$A$1:$AN$1,),))/VLOOKUP(A58,Data!$A:$AN,MATCH(yoy!$Z$1,Data!$A$1:$AN$1,),))+1)^12-1</f>
        <v/>
      </c>
      <c r="AA58" s="14" t="n"/>
    </row>
    <row r="59" customFormat="1" s="76">
      <c r="A59" s="20">
        <f>DATE(YEAR(B59),MONTH(B59)-1,DAY(B59))</f>
        <v/>
      </c>
      <c r="B59" s="12" t="n">
        <v>43647</v>
      </c>
      <c r="C59" s="14">
        <f>(((VLOOKUP(B59,Data!$A:$AN,MATCH(yoy!$C$1,Data!$A$1:$AN$1,),)-VLOOKUP(A59,Data!$A:$AN,MATCH(yoy!$C$1,Data!$A$1:$AN$1,),))/VLOOKUP(A59,Data!$A:$AN,MATCH(yoy!$C$1,Data!$A$1:$AN$1,),))+1)^12-1</f>
        <v/>
      </c>
      <c r="D59" s="14">
        <f>(((VLOOKUP(B59,Data!$A:$AN,MATCH(yoy!$D$1,Data!$A$1:$AN$1,),)-VLOOKUP(A59,Data!$A:$AN,MATCH(yoy!$D$1,Data!$A$1:$AN$1,),))/VLOOKUP(A59,Data!$A:$AN,MATCH(yoy!$D$1,Data!$A$1:$AN$1,),))+1)^12-1</f>
        <v/>
      </c>
      <c r="E59" s="14" t="n"/>
      <c r="F59" s="14">
        <f>(((VLOOKUP(B59,Data!$A:$AN,MATCH(yoy!$F$1,Data!$A$1:$AN$1,),)-VLOOKUP(A59,Data!$A:$AN,MATCH(yoy!$F$1,Data!$A$1:$AN$1,),))/VLOOKUP(A59,Data!$A:$AN,MATCH(yoy!$F$1,Data!$A$1:$AN$1,),))+1)^12-1</f>
        <v/>
      </c>
      <c r="G59" s="14">
        <f>(((VLOOKUP(B59,Data!$A:$AN,MATCH(yoy!$G$1,Data!$A$1:$AN$1,),)-VLOOKUP(A59,Data!$A:$AN,MATCH(yoy!$G$1,Data!$A$1:$AN$1,),))/VLOOKUP(A59,Data!$A:$AN,MATCH(yoy!$G$1,Data!$A$1:$AN$1,),))+1)^12-1</f>
        <v/>
      </c>
      <c r="H59" s="14">
        <f>(((VLOOKUP(B59,Data!$A:$AN,MATCH(yoy!$H$1,Data!$A$1:$AN$1,),)-VLOOKUP(A59,Data!$A:$AN,MATCH(yoy!$H$1,Data!$A$1:$AN$1,),))/VLOOKUP(A59,Data!$A:$AN,MATCH(yoy!$H$1,Data!$A$1:$AN$1,),))+1)^12-1</f>
        <v/>
      </c>
      <c r="I59" s="14" t="n"/>
      <c r="J59" s="14" t="n"/>
      <c r="K59" s="14">
        <f>(((VLOOKUP(B59,Data!$A:$AN,MATCH(yoy!$K$1,Data!$A$1:$AN$1,),)-VLOOKUP(A59,Data!$A:$AN,MATCH(yoy!$K$1,Data!$A$1:$AN$1,),))/VLOOKUP(A59,Data!$A:$AN,MATCH(yoy!$K$1,Data!$A$1:$AN$1,),))+1)^12-1</f>
        <v/>
      </c>
      <c r="L59" s="14" t="n"/>
      <c r="M59" s="14" t="n"/>
      <c r="N59" s="14" t="n"/>
      <c r="O59" s="14" t="n"/>
      <c r="P59" s="14">
        <f>(((VLOOKUP(B59,Data!$A:$AN,MATCH(yoy!$P$1,Data!$A$1:$AN$1,),)-VLOOKUP(A59,Data!$A:$AN,MATCH(yoy!$P$1,Data!$A$1:$AN$1,),))/VLOOKUP(A59,Data!$A:$AN,MATCH(yoy!$P$1,Data!$A$1:$AN$1,),))+1)^12-1</f>
        <v/>
      </c>
      <c r="Q59" s="14">
        <f>(((VLOOKUP(B59,Data!$A:$AN,MATCH(yoy!$Q$1,Data!$A$1:$AN$1,),)-VLOOKUP(A59,Data!$A:$AN,MATCH(yoy!$Q$1,Data!$A$1:$AN$1,),))/VLOOKUP(A59,Data!$A:$AN,MATCH(yoy!$Q$1,Data!$A$1:$AN$1,),))+1)^12-1</f>
        <v/>
      </c>
      <c r="R59" s="14" t="n"/>
      <c r="S59" s="14">
        <f>(((VLOOKUP(B59,Data!$A:$AN,MATCH(yoy!$S$1,Data!$A$1:$AN$1,),)-VLOOKUP(A59,Data!$A:$AN,MATCH(yoy!$S$1,Data!$A$1:$AN$1,),))/VLOOKUP(A59,Data!$A:$AN,MATCH(yoy!$S$1,Data!$A$1:$AN$1,),))+1)^12-1</f>
        <v/>
      </c>
      <c r="T59" s="14" t="n"/>
      <c r="U59" s="14" t="n"/>
      <c r="V59" s="14">
        <f>(((VLOOKUP(B59,Data!$A:$AN,MATCH(yoy!$V$1,Data!$A$1:$AN$1,),)-VLOOKUP(A59,Data!$A:$AN,MATCH(yoy!$V$1,Data!$A$1:$AN$1,),))/VLOOKUP(A59,Data!$A:$AN,MATCH(yoy!$V$1,Data!$A$1:$AN$1,),))+1)^12-1</f>
        <v/>
      </c>
      <c r="W59" s="14" t="n"/>
      <c r="X59" s="14">
        <f>(((VLOOKUP(B59,Data!$A:$AN,MATCH(yoy!$X$1,Data!$A$1:$AN$1,),)-VLOOKUP(A59,Data!$A:$AN,MATCH(yoy!$X$1,Data!$A$1:$AN$1,),))/VLOOKUP(A59,Data!$A:$AN,MATCH(yoy!$X$1,Data!$A$1:$AN$1,),))+1)^12-1</f>
        <v/>
      </c>
      <c r="Y59" s="14" t="n"/>
      <c r="Z59" s="14">
        <f>(((VLOOKUP(B59,Data!$A:$AN,MATCH(yoy!$Z$1,Data!$A$1:$AN$1,),)-VLOOKUP(A59,Data!$A:$AN,MATCH(yoy!$Z$1,Data!$A$1:$AN$1,),))/VLOOKUP(A59,Data!$A:$AN,MATCH(yoy!$Z$1,Data!$A$1:$AN$1,),))+1)^12-1</f>
        <v/>
      </c>
      <c r="AA59" s="14" t="n"/>
    </row>
    <row r="60" customFormat="1" s="76">
      <c r="A60" s="20">
        <f>DATE(YEAR(B60),MONTH(B60)-1,DAY(B60))</f>
        <v/>
      </c>
      <c r="B60" s="12" t="n">
        <v>43678</v>
      </c>
      <c r="C60" s="14">
        <f>(((VLOOKUP(B60,Data!$A:$AN,MATCH(yoy!$C$1,Data!$A$1:$AN$1,),)-VLOOKUP(A60,Data!$A:$AN,MATCH(yoy!$C$1,Data!$A$1:$AN$1,),))/VLOOKUP(A60,Data!$A:$AN,MATCH(yoy!$C$1,Data!$A$1:$AN$1,),))+1)^12-1</f>
        <v/>
      </c>
      <c r="D60" s="14">
        <f>(((VLOOKUP(B60,Data!$A:$AN,MATCH(yoy!$D$1,Data!$A$1:$AN$1,),)-VLOOKUP(A60,Data!$A:$AN,MATCH(yoy!$D$1,Data!$A$1:$AN$1,),))/VLOOKUP(A60,Data!$A:$AN,MATCH(yoy!$D$1,Data!$A$1:$AN$1,),))+1)^12-1</f>
        <v/>
      </c>
      <c r="E60" s="14" t="n"/>
      <c r="F60" s="14">
        <f>(((VLOOKUP(B60,Data!$A:$AN,MATCH(yoy!$F$1,Data!$A$1:$AN$1,),)-VLOOKUP(A60,Data!$A:$AN,MATCH(yoy!$F$1,Data!$A$1:$AN$1,),))/VLOOKUP(A60,Data!$A:$AN,MATCH(yoy!$F$1,Data!$A$1:$AN$1,),))+1)^12-1</f>
        <v/>
      </c>
      <c r="G60" s="14">
        <f>(((VLOOKUP(B60,Data!$A:$AN,MATCH(yoy!$G$1,Data!$A$1:$AN$1,),)-VLOOKUP(A60,Data!$A:$AN,MATCH(yoy!$G$1,Data!$A$1:$AN$1,),))/VLOOKUP(A60,Data!$A:$AN,MATCH(yoy!$G$1,Data!$A$1:$AN$1,),))+1)^12-1</f>
        <v/>
      </c>
      <c r="H60" s="14">
        <f>(((VLOOKUP(B60,Data!$A:$AN,MATCH(yoy!$H$1,Data!$A$1:$AN$1,),)-VLOOKUP(A60,Data!$A:$AN,MATCH(yoy!$H$1,Data!$A$1:$AN$1,),))/VLOOKUP(A60,Data!$A:$AN,MATCH(yoy!$H$1,Data!$A$1:$AN$1,),))+1)^12-1</f>
        <v/>
      </c>
      <c r="I60" s="14" t="n"/>
      <c r="J60" s="14" t="n"/>
      <c r="K60" s="14">
        <f>(((VLOOKUP(B60,Data!$A:$AN,MATCH(yoy!$K$1,Data!$A$1:$AN$1,),)-VLOOKUP(A60,Data!$A:$AN,MATCH(yoy!$K$1,Data!$A$1:$AN$1,),))/VLOOKUP(A60,Data!$A:$AN,MATCH(yoy!$K$1,Data!$A$1:$AN$1,),))+1)^12-1</f>
        <v/>
      </c>
      <c r="L60" s="14" t="n"/>
      <c r="M60" s="14" t="n"/>
      <c r="N60" s="14" t="n"/>
      <c r="O60" s="14" t="n"/>
      <c r="P60" s="14">
        <f>(((VLOOKUP(B60,Data!$A:$AN,MATCH(yoy!$P$1,Data!$A$1:$AN$1,),)-VLOOKUP(A60,Data!$A:$AN,MATCH(yoy!$P$1,Data!$A$1:$AN$1,),))/VLOOKUP(A60,Data!$A:$AN,MATCH(yoy!$P$1,Data!$A$1:$AN$1,),))+1)^12-1</f>
        <v/>
      </c>
      <c r="Q60" s="14">
        <f>(((VLOOKUP(B60,Data!$A:$AN,MATCH(yoy!$Q$1,Data!$A$1:$AN$1,),)-VLOOKUP(A60,Data!$A:$AN,MATCH(yoy!$Q$1,Data!$A$1:$AN$1,),))/VLOOKUP(A60,Data!$A:$AN,MATCH(yoy!$Q$1,Data!$A$1:$AN$1,),))+1)^12-1</f>
        <v/>
      </c>
      <c r="R60" s="14" t="n"/>
      <c r="S60" s="14">
        <f>(((VLOOKUP(B60,Data!$A:$AN,MATCH(yoy!$S$1,Data!$A$1:$AN$1,),)-VLOOKUP(A60,Data!$A:$AN,MATCH(yoy!$S$1,Data!$A$1:$AN$1,),))/VLOOKUP(A60,Data!$A:$AN,MATCH(yoy!$S$1,Data!$A$1:$AN$1,),))+1)^12-1</f>
        <v/>
      </c>
      <c r="T60" s="14" t="n"/>
      <c r="U60" s="14" t="n"/>
      <c r="V60" s="14">
        <f>(((VLOOKUP(B60,Data!$A:$AN,MATCH(yoy!$V$1,Data!$A$1:$AN$1,),)-VLOOKUP(A60,Data!$A:$AN,MATCH(yoy!$V$1,Data!$A$1:$AN$1,),))/VLOOKUP(A60,Data!$A:$AN,MATCH(yoy!$V$1,Data!$A$1:$AN$1,),))+1)^12-1</f>
        <v/>
      </c>
      <c r="W60" s="14" t="n"/>
      <c r="X60" s="14">
        <f>(((VLOOKUP(B60,Data!$A:$AN,MATCH(yoy!$X$1,Data!$A$1:$AN$1,),)-VLOOKUP(A60,Data!$A:$AN,MATCH(yoy!$X$1,Data!$A$1:$AN$1,),))/VLOOKUP(A60,Data!$A:$AN,MATCH(yoy!$X$1,Data!$A$1:$AN$1,),))+1)^12-1</f>
        <v/>
      </c>
      <c r="Y60" s="14" t="n"/>
      <c r="Z60" s="14">
        <f>(((VLOOKUP(B60,Data!$A:$AN,MATCH(yoy!$Z$1,Data!$A$1:$AN$1,),)-VLOOKUP(A60,Data!$A:$AN,MATCH(yoy!$Z$1,Data!$A$1:$AN$1,),))/VLOOKUP(A60,Data!$A:$AN,MATCH(yoy!$Z$1,Data!$A$1:$AN$1,),))+1)^12-1</f>
        <v/>
      </c>
      <c r="AA60" s="14" t="n"/>
    </row>
    <row r="61" customFormat="1" s="76">
      <c r="A61" s="20">
        <f>DATE(YEAR(B61),MONTH(B61)-1,DAY(B61))</f>
        <v/>
      </c>
      <c r="B61" s="12" t="n">
        <v>43709</v>
      </c>
      <c r="C61" s="14">
        <f>(((VLOOKUP(B61,Data!$A:$AN,MATCH(yoy!$C$1,Data!$A$1:$AN$1,),)-VLOOKUP(A61,Data!$A:$AN,MATCH(yoy!$C$1,Data!$A$1:$AN$1,),))/VLOOKUP(A61,Data!$A:$AN,MATCH(yoy!$C$1,Data!$A$1:$AN$1,),))+1)^12-1</f>
        <v/>
      </c>
      <c r="D61" s="14">
        <f>(((VLOOKUP(B61,Data!$A:$AN,MATCH(yoy!$D$1,Data!$A$1:$AN$1,),)-VLOOKUP(A61,Data!$A:$AN,MATCH(yoy!$D$1,Data!$A$1:$AN$1,),))/VLOOKUP(A61,Data!$A:$AN,MATCH(yoy!$D$1,Data!$A$1:$AN$1,),))+1)^12-1</f>
        <v/>
      </c>
      <c r="E61" s="14" t="n"/>
      <c r="F61" s="14">
        <f>(((VLOOKUP(B61,Data!$A:$AN,MATCH(yoy!$F$1,Data!$A$1:$AN$1,),)-VLOOKUP(A61,Data!$A:$AN,MATCH(yoy!$F$1,Data!$A$1:$AN$1,),))/VLOOKUP(A61,Data!$A:$AN,MATCH(yoy!$F$1,Data!$A$1:$AN$1,),))+1)^12-1</f>
        <v/>
      </c>
      <c r="G61" s="14">
        <f>(((VLOOKUP(B61,Data!$A:$AN,MATCH(yoy!$G$1,Data!$A$1:$AN$1,),)-VLOOKUP(A61,Data!$A:$AN,MATCH(yoy!$G$1,Data!$A$1:$AN$1,),))/VLOOKUP(A61,Data!$A:$AN,MATCH(yoy!$G$1,Data!$A$1:$AN$1,),))+1)^12-1</f>
        <v/>
      </c>
      <c r="H61" s="14">
        <f>(((VLOOKUP(B61,Data!$A:$AN,MATCH(yoy!$H$1,Data!$A$1:$AN$1,),)-VLOOKUP(A61,Data!$A:$AN,MATCH(yoy!$H$1,Data!$A$1:$AN$1,),))/VLOOKUP(A61,Data!$A:$AN,MATCH(yoy!$H$1,Data!$A$1:$AN$1,),))+1)^12-1</f>
        <v/>
      </c>
      <c r="I61" s="14" t="n"/>
      <c r="J61" s="14" t="n"/>
      <c r="K61" s="14">
        <f>(((VLOOKUP(B61,Data!$A:$AN,MATCH(yoy!$K$1,Data!$A$1:$AN$1,),)-VLOOKUP(A61,Data!$A:$AN,MATCH(yoy!$K$1,Data!$A$1:$AN$1,),))/VLOOKUP(A61,Data!$A:$AN,MATCH(yoy!$K$1,Data!$A$1:$AN$1,),))+1)^12-1</f>
        <v/>
      </c>
      <c r="L61" s="14" t="n"/>
      <c r="M61" s="14" t="n"/>
      <c r="N61" s="14" t="n"/>
      <c r="O61" s="14" t="n"/>
      <c r="P61" s="14">
        <f>(((VLOOKUP(B61,Data!$A:$AN,MATCH(yoy!$P$1,Data!$A$1:$AN$1,),)-VLOOKUP(A61,Data!$A:$AN,MATCH(yoy!$P$1,Data!$A$1:$AN$1,),))/VLOOKUP(A61,Data!$A:$AN,MATCH(yoy!$P$1,Data!$A$1:$AN$1,),))+1)^12-1</f>
        <v/>
      </c>
      <c r="Q61" s="14">
        <f>(((VLOOKUP(B61,Data!$A:$AN,MATCH(yoy!$Q$1,Data!$A$1:$AN$1,),)-VLOOKUP(A61,Data!$A:$AN,MATCH(yoy!$Q$1,Data!$A$1:$AN$1,),))/VLOOKUP(A61,Data!$A:$AN,MATCH(yoy!$Q$1,Data!$A$1:$AN$1,),))+1)^12-1</f>
        <v/>
      </c>
      <c r="R61" s="14" t="n"/>
      <c r="S61" s="14">
        <f>(((VLOOKUP(B61,Data!$A:$AN,MATCH(yoy!$S$1,Data!$A$1:$AN$1,),)-VLOOKUP(A61,Data!$A:$AN,MATCH(yoy!$S$1,Data!$A$1:$AN$1,),))/VLOOKUP(A61,Data!$A:$AN,MATCH(yoy!$S$1,Data!$A$1:$AN$1,),))+1)^12-1</f>
        <v/>
      </c>
      <c r="T61" s="14" t="n"/>
      <c r="U61" s="14" t="n"/>
      <c r="V61" s="14">
        <f>(((VLOOKUP(B61,Data!$A:$AN,MATCH(yoy!$V$1,Data!$A$1:$AN$1,),)-VLOOKUP(A61,Data!$A:$AN,MATCH(yoy!$V$1,Data!$A$1:$AN$1,),))/VLOOKUP(A61,Data!$A:$AN,MATCH(yoy!$V$1,Data!$A$1:$AN$1,),))+1)^12-1</f>
        <v/>
      </c>
      <c r="W61" s="14" t="n"/>
      <c r="X61" s="14">
        <f>(((VLOOKUP(B61,Data!$A:$AN,MATCH(yoy!$X$1,Data!$A$1:$AN$1,),)-VLOOKUP(A61,Data!$A:$AN,MATCH(yoy!$X$1,Data!$A$1:$AN$1,),))/VLOOKUP(A61,Data!$A:$AN,MATCH(yoy!$X$1,Data!$A$1:$AN$1,),))+1)^12-1</f>
        <v/>
      </c>
      <c r="Y61" s="14" t="n"/>
      <c r="Z61" s="14">
        <f>(((VLOOKUP(B61,Data!$A:$AN,MATCH(yoy!$Z$1,Data!$A$1:$AN$1,),)-VLOOKUP(A61,Data!$A:$AN,MATCH(yoy!$Z$1,Data!$A$1:$AN$1,),))/VLOOKUP(A61,Data!$A:$AN,MATCH(yoy!$Z$1,Data!$A$1:$AN$1,),))+1)^12-1</f>
        <v/>
      </c>
      <c r="AA61" s="14" t="n"/>
    </row>
    <row r="62" customFormat="1" s="76">
      <c r="A62" s="20">
        <f>DATE(YEAR(B62),MONTH(B62)-1,DAY(B62))</f>
        <v/>
      </c>
      <c r="B62" s="12" t="n">
        <v>43739</v>
      </c>
      <c r="C62" s="14">
        <f>(((VLOOKUP(B62,Data!$A:$AN,MATCH(yoy!$C$1,Data!$A$1:$AN$1,),)-VLOOKUP(A62,Data!$A:$AN,MATCH(yoy!$C$1,Data!$A$1:$AN$1,),))/VLOOKUP(A62,Data!$A:$AN,MATCH(yoy!$C$1,Data!$A$1:$AN$1,),))+1)^12-1</f>
        <v/>
      </c>
      <c r="D62" s="14">
        <f>(((VLOOKUP(B62,Data!$A:$AN,MATCH(yoy!$D$1,Data!$A$1:$AN$1,),)-VLOOKUP(A62,Data!$A:$AN,MATCH(yoy!$D$1,Data!$A$1:$AN$1,),))/VLOOKUP(A62,Data!$A:$AN,MATCH(yoy!$D$1,Data!$A$1:$AN$1,),))+1)^12-1</f>
        <v/>
      </c>
      <c r="E62" s="14" t="n"/>
      <c r="F62" s="14">
        <f>(((VLOOKUP(B62,Data!$A:$AN,MATCH(yoy!$F$1,Data!$A$1:$AN$1,),)-VLOOKUP(A62,Data!$A:$AN,MATCH(yoy!$F$1,Data!$A$1:$AN$1,),))/VLOOKUP(A62,Data!$A:$AN,MATCH(yoy!$F$1,Data!$A$1:$AN$1,),))+1)^12-1</f>
        <v/>
      </c>
      <c r="G62" s="14">
        <f>(((VLOOKUP(B62,Data!$A:$AN,MATCH(yoy!$G$1,Data!$A$1:$AN$1,),)-VLOOKUP(A62,Data!$A:$AN,MATCH(yoy!$G$1,Data!$A$1:$AN$1,),))/VLOOKUP(A62,Data!$A:$AN,MATCH(yoy!$G$1,Data!$A$1:$AN$1,),))+1)^12-1</f>
        <v/>
      </c>
      <c r="H62" s="14">
        <f>(((VLOOKUP(B62,Data!$A:$AN,MATCH(yoy!$H$1,Data!$A$1:$AN$1,),)-VLOOKUP(A62,Data!$A:$AN,MATCH(yoy!$H$1,Data!$A$1:$AN$1,),))/VLOOKUP(A62,Data!$A:$AN,MATCH(yoy!$H$1,Data!$A$1:$AN$1,),))+1)^12-1</f>
        <v/>
      </c>
      <c r="I62" s="14" t="n"/>
      <c r="J62" s="14" t="n"/>
      <c r="K62" s="14">
        <f>(((VLOOKUP(B62,Data!$A:$AN,MATCH(yoy!$K$1,Data!$A$1:$AN$1,),)-VLOOKUP(A62,Data!$A:$AN,MATCH(yoy!$K$1,Data!$A$1:$AN$1,),))/VLOOKUP(A62,Data!$A:$AN,MATCH(yoy!$K$1,Data!$A$1:$AN$1,),))+1)^12-1</f>
        <v/>
      </c>
      <c r="L62" s="14" t="n"/>
      <c r="M62" s="14" t="n"/>
      <c r="N62" s="14" t="n"/>
      <c r="O62" s="14" t="n"/>
      <c r="P62" s="14">
        <f>(((VLOOKUP(B62,Data!$A:$AN,MATCH(yoy!$P$1,Data!$A$1:$AN$1,),)-VLOOKUP(A62,Data!$A:$AN,MATCH(yoy!$P$1,Data!$A$1:$AN$1,),))/VLOOKUP(A62,Data!$A:$AN,MATCH(yoy!$P$1,Data!$A$1:$AN$1,),))+1)^12-1</f>
        <v/>
      </c>
      <c r="Q62" s="14">
        <f>(((VLOOKUP(B62,Data!$A:$AN,MATCH(yoy!$Q$1,Data!$A$1:$AN$1,),)-VLOOKUP(A62,Data!$A:$AN,MATCH(yoy!$Q$1,Data!$A$1:$AN$1,),))/VLOOKUP(A62,Data!$A:$AN,MATCH(yoy!$Q$1,Data!$A$1:$AN$1,),))+1)^12-1</f>
        <v/>
      </c>
      <c r="R62" s="14" t="n"/>
      <c r="S62" s="14">
        <f>(((VLOOKUP(B62,Data!$A:$AN,MATCH(yoy!$S$1,Data!$A$1:$AN$1,),)-VLOOKUP(A62,Data!$A:$AN,MATCH(yoy!$S$1,Data!$A$1:$AN$1,),))/VLOOKUP(A62,Data!$A:$AN,MATCH(yoy!$S$1,Data!$A$1:$AN$1,),))+1)^12-1</f>
        <v/>
      </c>
      <c r="T62" s="14" t="n"/>
      <c r="U62" s="14" t="n"/>
      <c r="V62" s="14">
        <f>(((VLOOKUP(B62,Data!$A:$AN,MATCH(yoy!$V$1,Data!$A$1:$AN$1,),)-VLOOKUP(A62,Data!$A:$AN,MATCH(yoy!$V$1,Data!$A$1:$AN$1,),))/VLOOKUP(A62,Data!$A:$AN,MATCH(yoy!$V$1,Data!$A$1:$AN$1,),))+1)^12-1</f>
        <v/>
      </c>
      <c r="W62" s="14" t="n"/>
      <c r="X62" s="14">
        <f>(((VLOOKUP(B62,Data!$A:$AN,MATCH(yoy!$X$1,Data!$A$1:$AN$1,),)-VLOOKUP(A62,Data!$A:$AN,MATCH(yoy!$X$1,Data!$A$1:$AN$1,),))/VLOOKUP(A62,Data!$A:$AN,MATCH(yoy!$X$1,Data!$A$1:$AN$1,),))+1)^12-1</f>
        <v/>
      </c>
      <c r="Y62" s="14" t="n"/>
      <c r="Z62" s="14">
        <f>(((VLOOKUP(B62,Data!$A:$AN,MATCH(yoy!$Z$1,Data!$A$1:$AN$1,),)-VLOOKUP(A62,Data!$A:$AN,MATCH(yoy!$Z$1,Data!$A$1:$AN$1,),))/VLOOKUP(A62,Data!$A:$AN,MATCH(yoy!$Z$1,Data!$A$1:$AN$1,),))+1)^12-1</f>
        <v/>
      </c>
      <c r="AA62" s="14" t="n"/>
    </row>
    <row r="63" customFormat="1" s="76">
      <c r="A63" s="20">
        <f>DATE(YEAR(B63),MONTH(B63)-1,DAY(B63))</f>
        <v/>
      </c>
      <c r="B63" s="12" t="n">
        <v>43770</v>
      </c>
      <c r="C63" s="14">
        <f>(((VLOOKUP(B63,Data!$A:$AN,MATCH(yoy!$C$1,Data!$A$1:$AN$1,),)-VLOOKUP(A63,Data!$A:$AN,MATCH(yoy!$C$1,Data!$A$1:$AN$1,),))/VLOOKUP(A63,Data!$A:$AN,MATCH(yoy!$C$1,Data!$A$1:$AN$1,),))+1)^12-1</f>
        <v/>
      </c>
      <c r="D63" s="14">
        <f>(((VLOOKUP(B63,Data!$A:$AN,MATCH(yoy!$D$1,Data!$A$1:$AN$1,),)-VLOOKUP(A63,Data!$A:$AN,MATCH(yoy!$D$1,Data!$A$1:$AN$1,),))/VLOOKUP(A63,Data!$A:$AN,MATCH(yoy!$D$1,Data!$A$1:$AN$1,),))+1)^12-1</f>
        <v/>
      </c>
      <c r="E63" s="14" t="n"/>
      <c r="F63" s="14">
        <f>(((VLOOKUP(B63,Data!$A:$AN,MATCH(yoy!$F$1,Data!$A$1:$AN$1,),)-VLOOKUP(A63,Data!$A:$AN,MATCH(yoy!$F$1,Data!$A$1:$AN$1,),))/VLOOKUP(A63,Data!$A:$AN,MATCH(yoy!$F$1,Data!$A$1:$AN$1,),))+1)^12-1</f>
        <v/>
      </c>
      <c r="G63" s="14">
        <f>(((VLOOKUP(B63,Data!$A:$AN,MATCH(yoy!$G$1,Data!$A$1:$AN$1,),)-VLOOKUP(A63,Data!$A:$AN,MATCH(yoy!$G$1,Data!$A$1:$AN$1,),))/VLOOKUP(A63,Data!$A:$AN,MATCH(yoy!$G$1,Data!$A$1:$AN$1,),))+1)^12-1</f>
        <v/>
      </c>
      <c r="H63" s="14">
        <f>(((VLOOKUP(B63,Data!$A:$AN,MATCH(yoy!$H$1,Data!$A$1:$AN$1,),)-VLOOKUP(A63,Data!$A:$AN,MATCH(yoy!$H$1,Data!$A$1:$AN$1,),))/VLOOKUP(A63,Data!$A:$AN,MATCH(yoy!$H$1,Data!$A$1:$AN$1,),))+1)^12-1</f>
        <v/>
      </c>
      <c r="I63" s="14" t="n"/>
      <c r="J63" s="14" t="n"/>
      <c r="K63" s="14">
        <f>(((VLOOKUP(B63,Data!$A:$AN,MATCH(yoy!$K$1,Data!$A$1:$AN$1,),)-VLOOKUP(A63,Data!$A:$AN,MATCH(yoy!$K$1,Data!$A$1:$AN$1,),))/VLOOKUP(A63,Data!$A:$AN,MATCH(yoy!$K$1,Data!$A$1:$AN$1,),))+1)^12-1</f>
        <v/>
      </c>
      <c r="L63" s="14" t="n"/>
      <c r="M63" s="14" t="n"/>
      <c r="N63" s="14" t="n"/>
      <c r="O63" s="14" t="n"/>
      <c r="P63" s="14">
        <f>(((VLOOKUP(B63,Data!$A:$AN,MATCH(yoy!$P$1,Data!$A$1:$AN$1,),)-VLOOKUP(A63,Data!$A:$AN,MATCH(yoy!$P$1,Data!$A$1:$AN$1,),))/VLOOKUP(A63,Data!$A:$AN,MATCH(yoy!$P$1,Data!$A$1:$AN$1,),))+1)^12-1</f>
        <v/>
      </c>
      <c r="Q63" s="14">
        <f>(((VLOOKUP(B63,Data!$A:$AN,MATCH(yoy!$Q$1,Data!$A$1:$AN$1,),)-VLOOKUP(A63,Data!$A:$AN,MATCH(yoy!$Q$1,Data!$A$1:$AN$1,),))/VLOOKUP(A63,Data!$A:$AN,MATCH(yoy!$Q$1,Data!$A$1:$AN$1,),))+1)^12-1</f>
        <v/>
      </c>
      <c r="R63" s="14" t="n"/>
      <c r="S63" s="14">
        <f>(((VLOOKUP(B63,Data!$A:$AN,MATCH(yoy!$S$1,Data!$A$1:$AN$1,),)-VLOOKUP(A63,Data!$A:$AN,MATCH(yoy!$S$1,Data!$A$1:$AN$1,),))/VLOOKUP(A63,Data!$A:$AN,MATCH(yoy!$S$1,Data!$A$1:$AN$1,),))+1)^12-1</f>
        <v/>
      </c>
      <c r="T63" s="14" t="n"/>
      <c r="U63" s="14" t="n"/>
      <c r="V63" s="14">
        <f>(((VLOOKUP(B63,Data!$A:$AN,MATCH(yoy!$V$1,Data!$A$1:$AN$1,),)-VLOOKUP(A63,Data!$A:$AN,MATCH(yoy!$V$1,Data!$A$1:$AN$1,),))/VLOOKUP(A63,Data!$A:$AN,MATCH(yoy!$V$1,Data!$A$1:$AN$1,),))+1)^12-1</f>
        <v/>
      </c>
      <c r="W63" s="14" t="n"/>
      <c r="X63" s="14">
        <f>(((VLOOKUP(B63,Data!$A:$AN,MATCH(yoy!$X$1,Data!$A$1:$AN$1,),)-VLOOKUP(A63,Data!$A:$AN,MATCH(yoy!$X$1,Data!$A$1:$AN$1,),))/VLOOKUP(A63,Data!$A:$AN,MATCH(yoy!$X$1,Data!$A$1:$AN$1,),))+1)^12-1</f>
        <v/>
      </c>
      <c r="Y63" s="14" t="n"/>
      <c r="Z63" s="14">
        <f>(((VLOOKUP(B63,Data!$A:$AN,MATCH(yoy!$Z$1,Data!$A$1:$AN$1,),)-VLOOKUP(A63,Data!$A:$AN,MATCH(yoy!$Z$1,Data!$A$1:$AN$1,),))/VLOOKUP(A63,Data!$A:$AN,MATCH(yoy!$Z$1,Data!$A$1:$AN$1,),))+1)^12-1</f>
        <v/>
      </c>
      <c r="AA63" s="14" t="n"/>
    </row>
    <row r="64" customFormat="1" s="76">
      <c r="A64" s="20">
        <f>DATE(YEAR(B64),MONTH(B64)-1,DAY(B64))</f>
        <v/>
      </c>
      <c r="B64" s="12" t="n">
        <v>43800</v>
      </c>
      <c r="C64" s="14">
        <f>(((VLOOKUP(B64,Data!$A:$AN,MATCH(yoy!$C$1,Data!$A$1:$AN$1,),)-VLOOKUP(A64,Data!$A:$AN,MATCH(yoy!$C$1,Data!$A$1:$AN$1,),))/VLOOKUP(A64,Data!$A:$AN,MATCH(yoy!$C$1,Data!$A$1:$AN$1,),))+1)^12-1</f>
        <v/>
      </c>
      <c r="D64" s="14">
        <f>(((VLOOKUP(B64,Data!$A:$AN,MATCH(yoy!$D$1,Data!$A$1:$AN$1,),)-VLOOKUP(A64,Data!$A:$AN,MATCH(yoy!$D$1,Data!$A$1:$AN$1,),))/VLOOKUP(A64,Data!$A:$AN,MATCH(yoy!$D$1,Data!$A$1:$AN$1,),))+1)^12-1</f>
        <v/>
      </c>
      <c r="E64" s="14" t="n"/>
      <c r="F64" s="14">
        <f>(((VLOOKUP(B64,Data!$A:$AN,MATCH(yoy!$F$1,Data!$A$1:$AN$1,),)-VLOOKUP(A64,Data!$A:$AN,MATCH(yoy!$F$1,Data!$A$1:$AN$1,),))/VLOOKUP(A64,Data!$A:$AN,MATCH(yoy!$F$1,Data!$A$1:$AN$1,),))+1)^12-1</f>
        <v/>
      </c>
      <c r="G64" s="14">
        <f>(((VLOOKUP(B64,Data!$A:$AN,MATCH(yoy!$G$1,Data!$A$1:$AN$1,),)-VLOOKUP(A64,Data!$A:$AN,MATCH(yoy!$G$1,Data!$A$1:$AN$1,),))/VLOOKUP(A64,Data!$A:$AN,MATCH(yoy!$G$1,Data!$A$1:$AN$1,),))+1)^12-1</f>
        <v/>
      </c>
      <c r="H64" s="14">
        <f>(((VLOOKUP(B64,Data!$A:$AN,MATCH(yoy!$H$1,Data!$A$1:$AN$1,),)-VLOOKUP(A64,Data!$A:$AN,MATCH(yoy!$H$1,Data!$A$1:$AN$1,),))/VLOOKUP(A64,Data!$A:$AN,MATCH(yoy!$H$1,Data!$A$1:$AN$1,),))+1)^12-1</f>
        <v/>
      </c>
      <c r="I64" s="14" t="n"/>
      <c r="J64" s="14" t="n"/>
      <c r="K64" s="14">
        <f>(((VLOOKUP(B64,Data!$A:$AN,MATCH(yoy!$K$1,Data!$A$1:$AN$1,),)-VLOOKUP(A64,Data!$A:$AN,MATCH(yoy!$K$1,Data!$A$1:$AN$1,),))/VLOOKUP(A64,Data!$A:$AN,MATCH(yoy!$K$1,Data!$A$1:$AN$1,),))+1)^12-1</f>
        <v/>
      </c>
      <c r="L64" s="14" t="n"/>
      <c r="M64" s="14" t="n"/>
      <c r="N64" s="14" t="n"/>
      <c r="O64" s="14" t="n"/>
      <c r="P64" s="14">
        <f>(((VLOOKUP(B64,Data!$A:$AN,MATCH(yoy!$P$1,Data!$A$1:$AN$1,),)-VLOOKUP(A64,Data!$A:$AN,MATCH(yoy!$P$1,Data!$A$1:$AN$1,),))/VLOOKUP(A64,Data!$A:$AN,MATCH(yoy!$P$1,Data!$A$1:$AN$1,),))+1)^12-1</f>
        <v/>
      </c>
      <c r="Q64" s="14">
        <f>(((VLOOKUP(B64,Data!$A:$AN,MATCH(yoy!$Q$1,Data!$A$1:$AN$1,),)-VLOOKUP(A64,Data!$A:$AN,MATCH(yoy!$Q$1,Data!$A$1:$AN$1,),))/VLOOKUP(A64,Data!$A:$AN,MATCH(yoy!$Q$1,Data!$A$1:$AN$1,),))+1)^12-1</f>
        <v/>
      </c>
      <c r="R64" s="14" t="n"/>
      <c r="S64" s="14">
        <f>(((VLOOKUP(B64,Data!$A:$AN,MATCH(yoy!$S$1,Data!$A$1:$AN$1,),)-VLOOKUP(A64,Data!$A:$AN,MATCH(yoy!$S$1,Data!$A$1:$AN$1,),))/VLOOKUP(A64,Data!$A:$AN,MATCH(yoy!$S$1,Data!$A$1:$AN$1,),))+1)^12-1</f>
        <v/>
      </c>
      <c r="T64" s="14" t="n"/>
      <c r="U64" s="14" t="n"/>
      <c r="V64" s="14">
        <f>(((VLOOKUP(B64,Data!$A:$AN,MATCH(yoy!$V$1,Data!$A$1:$AN$1,),)-VLOOKUP(A64,Data!$A:$AN,MATCH(yoy!$V$1,Data!$A$1:$AN$1,),))/VLOOKUP(A64,Data!$A:$AN,MATCH(yoy!$V$1,Data!$A$1:$AN$1,),))+1)^12-1</f>
        <v/>
      </c>
      <c r="W64" s="14" t="n"/>
      <c r="X64" s="14">
        <f>(((VLOOKUP(B64,Data!$A:$AN,MATCH(yoy!$X$1,Data!$A$1:$AN$1,),)-VLOOKUP(A64,Data!$A:$AN,MATCH(yoy!$X$1,Data!$A$1:$AN$1,),))/VLOOKUP(A64,Data!$A:$AN,MATCH(yoy!$X$1,Data!$A$1:$AN$1,),))+1)^12-1</f>
        <v/>
      </c>
      <c r="Y64" s="14" t="n"/>
      <c r="Z64" s="14">
        <f>(((VLOOKUP(B64,Data!$A:$AN,MATCH(yoy!$Z$1,Data!$A$1:$AN$1,),)-VLOOKUP(A64,Data!$A:$AN,MATCH(yoy!$Z$1,Data!$A$1:$AN$1,),))/VLOOKUP(A64,Data!$A:$AN,MATCH(yoy!$Z$1,Data!$A$1:$AN$1,),))+1)^12-1</f>
        <v/>
      </c>
      <c r="AA64" s="14" t="n"/>
    </row>
    <row r="65" customFormat="1" s="76">
      <c r="A65" s="20">
        <f>DATE(YEAR(B65),MONTH(B65)-1,DAY(B65))</f>
        <v/>
      </c>
      <c r="B65" s="12" t="n">
        <v>43831</v>
      </c>
      <c r="C65" s="14">
        <f>(((VLOOKUP(B65,Data!$A:$AN,MATCH(yoy!$C$1,Data!$A$1:$AN$1,),)-VLOOKUP(A65,Data!$A:$AN,MATCH(yoy!$C$1,Data!$A$1:$AN$1,),))/VLOOKUP(A65,Data!$A:$AN,MATCH(yoy!$C$1,Data!$A$1:$AN$1,),))+1)^12-1</f>
        <v/>
      </c>
      <c r="D65" s="14">
        <f>(((VLOOKUP(B65,Data!$A:$AN,MATCH(yoy!$D$1,Data!$A$1:$AN$1,),)-VLOOKUP(A65,Data!$A:$AN,MATCH(yoy!$D$1,Data!$A$1:$AN$1,),))/VLOOKUP(A65,Data!$A:$AN,MATCH(yoy!$D$1,Data!$A$1:$AN$1,),))+1)^12-1</f>
        <v/>
      </c>
      <c r="E65" s="14" t="n"/>
      <c r="F65" s="14">
        <f>(((VLOOKUP(B65,Data!$A:$AN,MATCH(yoy!$F$1,Data!$A$1:$AN$1,),)-VLOOKUP(A65,Data!$A:$AN,MATCH(yoy!$F$1,Data!$A$1:$AN$1,),))/VLOOKUP(A65,Data!$A:$AN,MATCH(yoy!$F$1,Data!$A$1:$AN$1,),))+1)^12-1</f>
        <v/>
      </c>
      <c r="G65" s="14">
        <f>(((VLOOKUP(B65,Data!$A:$AN,MATCH(yoy!$G$1,Data!$A$1:$AN$1,),)-VLOOKUP(A65,Data!$A:$AN,MATCH(yoy!$G$1,Data!$A$1:$AN$1,),))/VLOOKUP(A65,Data!$A:$AN,MATCH(yoy!$G$1,Data!$A$1:$AN$1,),))+1)^12-1</f>
        <v/>
      </c>
      <c r="H65" s="14">
        <f>(((VLOOKUP(B65,Data!$A:$AN,MATCH(yoy!$H$1,Data!$A$1:$AN$1,),)-VLOOKUP(A65,Data!$A:$AN,MATCH(yoy!$H$1,Data!$A$1:$AN$1,),))/VLOOKUP(A65,Data!$A:$AN,MATCH(yoy!$H$1,Data!$A$1:$AN$1,),))+1)^12-1</f>
        <v/>
      </c>
      <c r="I65" s="14" t="n"/>
      <c r="J65" s="14" t="n"/>
      <c r="K65" s="14">
        <f>(((VLOOKUP(B65,Data!$A:$AN,MATCH(yoy!$K$1,Data!$A$1:$AN$1,),)-VLOOKUP(A65,Data!$A:$AN,MATCH(yoy!$K$1,Data!$A$1:$AN$1,),))/VLOOKUP(A65,Data!$A:$AN,MATCH(yoy!$K$1,Data!$A$1:$AN$1,),))+1)^12-1</f>
        <v/>
      </c>
      <c r="L65" s="14" t="n"/>
      <c r="M65" s="14" t="n"/>
      <c r="N65" s="14" t="n"/>
      <c r="O65" s="14" t="n"/>
      <c r="P65" s="14">
        <f>(((VLOOKUP(B65,Data!$A:$AN,MATCH(yoy!$P$1,Data!$A$1:$AN$1,),)-VLOOKUP(A65,Data!$A:$AN,MATCH(yoy!$P$1,Data!$A$1:$AN$1,),))/VLOOKUP(A65,Data!$A:$AN,MATCH(yoy!$P$1,Data!$A$1:$AN$1,),))+1)^12-1</f>
        <v/>
      </c>
      <c r="Q65" s="14">
        <f>(((VLOOKUP(B65,Data!$A:$AN,MATCH(yoy!$Q$1,Data!$A$1:$AN$1,),)-VLOOKUP(A65,Data!$A:$AN,MATCH(yoy!$Q$1,Data!$A$1:$AN$1,),))/VLOOKUP(A65,Data!$A:$AN,MATCH(yoy!$Q$1,Data!$A$1:$AN$1,),))+1)^12-1</f>
        <v/>
      </c>
      <c r="R65" s="14" t="n"/>
      <c r="S65" s="14">
        <f>(((VLOOKUP(B65,Data!$A:$AN,MATCH(yoy!$S$1,Data!$A$1:$AN$1,),)-VLOOKUP(A65,Data!$A:$AN,MATCH(yoy!$S$1,Data!$A$1:$AN$1,),))/VLOOKUP(A65,Data!$A:$AN,MATCH(yoy!$S$1,Data!$A$1:$AN$1,),))+1)^12-1</f>
        <v/>
      </c>
      <c r="T65" s="14" t="n"/>
      <c r="U65" s="14" t="n"/>
      <c r="V65" s="14">
        <f>(((VLOOKUP(B65,Data!$A:$AN,MATCH(yoy!$V$1,Data!$A$1:$AN$1,),)-VLOOKUP(A65,Data!$A:$AN,MATCH(yoy!$V$1,Data!$A$1:$AN$1,),))/VLOOKUP(A65,Data!$A:$AN,MATCH(yoy!$V$1,Data!$A$1:$AN$1,),))+1)^12-1</f>
        <v/>
      </c>
      <c r="W65" s="14" t="n"/>
      <c r="X65" s="14">
        <f>(((VLOOKUP(B65,Data!$A:$AN,MATCH(yoy!$X$1,Data!$A$1:$AN$1,),)-VLOOKUP(A65,Data!$A:$AN,MATCH(yoy!$X$1,Data!$A$1:$AN$1,),))/VLOOKUP(A65,Data!$A:$AN,MATCH(yoy!$X$1,Data!$A$1:$AN$1,),))+1)^12-1</f>
        <v/>
      </c>
      <c r="Y65" s="14" t="n"/>
      <c r="Z65" s="14">
        <f>(((VLOOKUP(B65,Data!$A:$AN,MATCH(yoy!$Z$1,Data!$A$1:$AN$1,),)-VLOOKUP(A65,Data!$A:$AN,MATCH(yoy!$Z$1,Data!$A$1:$AN$1,),))/VLOOKUP(A65,Data!$A:$AN,MATCH(yoy!$Z$1,Data!$A$1:$AN$1,),))+1)^12-1</f>
        <v/>
      </c>
      <c r="AA65" s="14" t="n"/>
    </row>
    <row r="66" customFormat="1" s="76">
      <c r="A66" s="20">
        <f>DATE(YEAR(B66),MONTH(B66)-1,DAY(B66))</f>
        <v/>
      </c>
      <c r="B66" s="12" t="n">
        <v>43862</v>
      </c>
      <c r="C66" s="14">
        <f>(((VLOOKUP(B66,Data!$A:$AN,MATCH(yoy!$C$1,Data!$A$1:$AN$1,),)-VLOOKUP(A66,Data!$A:$AN,MATCH(yoy!$C$1,Data!$A$1:$AN$1,),))/VLOOKUP(A66,Data!$A:$AN,MATCH(yoy!$C$1,Data!$A$1:$AN$1,),))+1)^12-1</f>
        <v/>
      </c>
      <c r="D66" s="14">
        <f>(((VLOOKUP(B66,Data!$A:$AN,MATCH(yoy!$D$1,Data!$A$1:$AN$1,),)-VLOOKUP(A66,Data!$A:$AN,MATCH(yoy!$D$1,Data!$A$1:$AN$1,),))/VLOOKUP(A66,Data!$A:$AN,MATCH(yoy!$D$1,Data!$A$1:$AN$1,),))+1)^12-1</f>
        <v/>
      </c>
      <c r="E66" s="14" t="n"/>
      <c r="F66" s="14">
        <f>(((VLOOKUP(B66,Data!$A:$AN,MATCH(yoy!$F$1,Data!$A$1:$AN$1,),)-VLOOKUP(A66,Data!$A:$AN,MATCH(yoy!$F$1,Data!$A$1:$AN$1,),))/VLOOKUP(A66,Data!$A:$AN,MATCH(yoy!$F$1,Data!$A$1:$AN$1,),))+1)^12-1</f>
        <v/>
      </c>
      <c r="G66" s="14">
        <f>(((VLOOKUP(B66,Data!$A:$AN,MATCH(yoy!$G$1,Data!$A$1:$AN$1,),)-VLOOKUP(A66,Data!$A:$AN,MATCH(yoy!$G$1,Data!$A$1:$AN$1,),))/VLOOKUP(A66,Data!$A:$AN,MATCH(yoy!$G$1,Data!$A$1:$AN$1,),))+1)^12-1</f>
        <v/>
      </c>
      <c r="H66" s="14">
        <f>(((VLOOKUP(B66,Data!$A:$AN,MATCH(yoy!$H$1,Data!$A$1:$AN$1,),)-VLOOKUP(A66,Data!$A:$AN,MATCH(yoy!$H$1,Data!$A$1:$AN$1,),))/VLOOKUP(A66,Data!$A:$AN,MATCH(yoy!$H$1,Data!$A$1:$AN$1,),))+1)^12-1</f>
        <v/>
      </c>
      <c r="I66" s="14" t="n"/>
      <c r="J66" s="14" t="n"/>
      <c r="K66" s="14">
        <f>(((VLOOKUP(B66,Data!$A:$AN,MATCH(yoy!$K$1,Data!$A$1:$AN$1,),)-VLOOKUP(A66,Data!$A:$AN,MATCH(yoy!$K$1,Data!$A$1:$AN$1,),))/VLOOKUP(A66,Data!$A:$AN,MATCH(yoy!$K$1,Data!$A$1:$AN$1,),))+1)^12-1</f>
        <v/>
      </c>
      <c r="L66" s="14" t="n"/>
      <c r="M66" s="14" t="n"/>
      <c r="N66" s="14" t="n"/>
      <c r="O66" s="14" t="n"/>
      <c r="P66" s="14">
        <f>(((VLOOKUP(B66,Data!$A:$AN,MATCH(yoy!$P$1,Data!$A$1:$AN$1,),)-VLOOKUP(A66,Data!$A:$AN,MATCH(yoy!$P$1,Data!$A$1:$AN$1,),))/VLOOKUP(A66,Data!$A:$AN,MATCH(yoy!$P$1,Data!$A$1:$AN$1,),))+1)^12-1</f>
        <v/>
      </c>
      <c r="Q66" s="14">
        <f>(((VLOOKUP(B66,Data!$A:$AN,MATCH(yoy!$Q$1,Data!$A$1:$AN$1,),)-VLOOKUP(A66,Data!$A:$AN,MATCH(yoy!$Q$1,Data!$A$1:$AN$1,),))/VLOOKUP(A66,Data!$A:$AN,MATCH(yoy!$Q$1,Data!$A$1:$AN$1,),))+1)^12-1</f>
        <v/>
      </c>
      <c r="R66" s="14" t="n"/>
      <c r="S66" s="14">
        <f>(((VLOOKUP(B66,Data!$A:$AN,MATCH(yoy!$S$1,Data!$A$1:$AN$1,),)-VLOOKUP(A66,Data!$A:$AN,MATCH(yoy!$S$1,Data!$A$1:$AN$1,),))/VLOOKUP(A66,Data!$A:$AN,MATCH(yoy!$S$1,Data!$A$1:$AN$1,),))+1)^12-1</f>
        <v/>
      </c>
      <c r="T66" s="14" t="n"/>
      <c r="U66" s="14" t="n"/>
      <c r="V66" s="14">
        <f>(((VLOOKUP(B66,Data!$A:$AN,MATCH(yoy!$V$1,Data!$A$1:$AN$1,),)-VLOOKUP(A66,Data!$A:$AN,MATCH(yoy!$V$1,Data!$A$1:$AN$1,),))/VLOOKUP(A66,Data!$A:$AN,MATCH(yoy!$V$1,Data!$A$1:$AN$1,),))+1)^12-1</f>
        <v/>
      </c>
      <c r="W66" s="14" t="n"/>
      <c r="X66" s="14">
        <f>(((VLOOKUP(B66,Data!$A:$AN,MATCH(yoy!$X$1,Data!$A$1:$AN$1,),)-VLOOKUP(A66,Data!$A:$AN,MATCH(yoy!$X$1,Data!$A$1:$AN$1,),))/VLOOKUP(A66,Data!$A:$AN,MATCH(yoy!$X$1,Data!$A$1:$AN$1,),))+1)^12-1</f>
        <v/>
      </c>
      <c r="Y66" s="14" t="n"/>
      <c r="Z66" s="14">
        <f>(((VLOOKUP(B66,Data!$A:$AN,MATCH(yoy!$Z$1,Data!$A$1:$AN$1,),)-VLOOKUP(A66,Data!$A:$AN,MATCH(yoy!$Z$1,Data!$A$1:$AN$1,),))/VLOOKUP(A66,Data!$A:$AN,MATCH(yoy!$Z$1,Data!$A$1:$AN$1,),))+1)^12-1</f>
        <v/>
      </c>
      <c r="AA66" s="14" t="n"/>
    </row>
    <row r="67" customFormat="1" s="76">
      <c r="A67" s="20">
        <f>DATE(YEAR(B67),MONTH(B67)-1,DAY(B67))</f>
        <v/>
      </c>
      <c r="B67" s="12" t="n">
        <v>43891</v>
      </c>
      <c r="C67" s="14">
        <f>(((VLOOKUP(B67,Data!$A:$AN,MATCH(yoy!$C$1,Data!$A$1:$AN$1,),)-VLOOKUP(A67,Data!$A:$AN,MATCH(yoy!$C$1,Data!$A$1:$AN$1,),))/VLOOKUP(A67,Data!$A:$AN,MATCH(yoy!$C$1,Data!$A$1:$AN$1,),))+1)^12-1</f>
        <v/>
      </c>
      <c r="D67" s="14">
        <f>(((VLOOKUP(B67,Data!$A:$AN,MATCH(yoy!$D$1,Data!$A$1:$AN$1,),)-VLOOKUP(A67,Data!$A:$AN,MATCH(yoy!$D$1,Data!$A$1:$AN$1,),))/VLOOKUP(A67,Data!$A:$AN,MATCH(yoy!$D$1,Data!$A$1:$AN$1,),))+1)^12-1</f>
        <v/>
      </c>
      <c r="E67" s="14" t="n"/>
      <c r="F67" s="14">
        <f>(((VLOOKUP(B67,Data!$A:$AN,MATCH(yoy!$F$1,Data!$A$1:$AN$1,),)-VLOOKUP(A67,Data!$A:$AN,MATCH(yoy!$F$1,Data!$A$1:$AN$1,),))/VLOOKUP(A67,Data!$A:$AN,MATCH(yoy!$F$1,Data!$A$1:$AN$1,),))+1)^12-1</f>
        <v/>
      </c>
      <c r="G67" s="14">
        <f>(((VLOOKUP(B67,Data!$A:$AN,MATCH(yoy!$G$1,Data!$A$1:$AN$1,),)-VLOOKUP(A67,Data!$A:$AN,MATCH(yoy!$G$1,Data!$A$1:$AN$1,),))/VLOOKUP(A67,Data!$A:$AN,MATCH(yoy!$G$1,Data!$A$1:$AN$1,),))+1)^12-1</f>
        <v/>
      </c>
      <c r="H67" s="14">
        <f>(((VLOOKUP(B67,Data!$A:$AN,MATCH(yoy!$H$1,Data!$A$1:$AN$1,),)-VLOOKUP(A67,Data!$A:$AN,MATCH(yoy!$H$1,Data!$A$1:$AN$1,),))/VLOOKUP(A67,Data!$A:$AN,MATCH(yoy!$H$1,Data!$A$1:$AN$1,),))+1)^12-1</f>
        <v/>
      </c>
      <c r="I67" s="14" t="n"/>
      <c r="J67" s="14" t="n"/>
      <c r="K67" s="14">
        <f>(((VLOOKUP(B67,Data!$A:$AN,MATCH(yoy!$K$1,Data!$A$1:$AN$1,),)-VLOOKUP(A67,Data!$A:$AN,MATCH(yoy!$K$1,Data!$A$1:$AN$1,),))/VLOOKUP(A67,Data!$A:$AN,MATCH(yoy!$K$1,Data!$A$1:$AN$1,),))+1)^12-1</f>
        <v/>
      </c>
      <c r="L67" s="14" t="n"/>
      <c r="M67" s="14" t="n"/>
      <c r="N67" s="14" t="n"/>
      <c r="O67" s="14" t="n"/>
      <c r="P67" s="14">
        <f>(((VLOOKUP(B67,Data!$A:$AN,MATCH(yoy!$P$1,Data!$A$1:$AN$1,),)-VLOOKUP(A67,Data!$A:$AN,MATCH(yoy!$P$1,Data!$A$1:$AN$1,),))/VLOOKUP(A67,Data!$A:$AN,MATCH(yoy!$P$1,Data!$A$1:$AN$1,),))+1)^12-1</f>
        <v/>
      </c>
      <c r="Q67" s="14">
        <f>(((VLOOKUP(B67,Data!$A:$AN,MATCH(yoy!$Q$1,Data!$A$1:$AN$1,),)-VLOOKUP(A67,Data!$A:$AN,MATCH(yoy!$Q$1,Data!$A$1:$AN$1,),))/VLOOKUP(A67,Data!$A:$AN,MATCH(yoy!$Q$1,Data!$A$1:$AN$1,),))+1)^12-1</f>
        <v/>
      </c>
      <c r="R67" s="14" t="n"/>
      <c r="S67" s="14">
        <f>(((VLOOKUP(B67,Data!$A:$AN,MATCH(yoy!$S$1,Data!$A$1:$AN$1,),)-VLOOKUP(A67,Data!$A:$AN,MATCH(yoy!$S$1,Data!$A$1:$AN$1,),))/VLOOKUP(A67,Data!$A:$AN,MATCH(yoy!$S$1,Data!$A$1:$AN$1,),))+1)^12-1</f>
        <v/>
      </c>
      <c r="T67" s="14" t="n"/>
      <c r="U67" s="14" t="n"/>
      <c r="V67" s="14">
        <f>(((VLOOKUP(B67,Data!$A:$AN,MATCH(yoy!$V$1,Data!$A$1:$AN$1,),)-VLOOKUP(A67,Data!$A:$AN,MATCH(yoy!$V$1,Data!$A$1:$AN$1,),))/VLOOKUP(A67,Data!$A:$AN,MATCH(yoy!$V$1,Data!$A$1:$AN$1,),))+1)^12-1</f>
        <v/>
      </c>
      <c r="W67" s="14" t="n"/>
      <c r="X67" s="14">
        <f>(((VLOOKUP(B67,Data!$A:$AN,MATCH(yoy!$X$1,Data!$A$1:$AN$1,),)-VLOOKUP(A67,Data!$A:$AN,MATCH(yoy!$X$1,Data!$A$1:$AN$1,),))/VLOOKUP(A67,Data!$A:$AN,MATCH(yoy!$X$1,Data!$A$1:$AN$1,),))+1)^12-1</f>
        <v/>
      </c>
      <c r="Y67" s="14" t="n"/>
      <c r="Z67" s="14">
        <f>(((VLOOKUP(B67,Data!$A:$AN,MATCH(yoy!$Z$1,Data!$A$1:$AN$1,),)-VLOOKUP(A67,Data!$A:$AN,MATCH(yoy!$Z$1,Data!$A$1:$AN$1,),))/VLOOKUP(A67,Data!$A:$AN,MATCH(yoy!$Z$1,Data!$A$1:$AN$1,),))+1)^12-1</f>
        <v/>
      </c>
      <c r="AA67" s="14" t="n"/>
    </row>
    <row r="68" customFormat="1" s="76">
      <c r="A68" s="20">
        <f>DATE(YEAR(B68),MONTH(B68)-1,DAY(B68))</f>
        <v/>
      </c>
      <c r="B68" s="12" t="n">
        <v>43922</v>
      </c>
      <c r="C68" s="14">
        <f>(((VLOOKUP(B68,Data!$A:$AN,MATCH(yoy!$C$1,Data!$A$1:$AN$1,),)-VLOOKUP(A68,Data!$A:$AN,MATCH(yoy!$C$1,Data!$A$1:$AN$1,),))/VLOOKUP(A68,Data!$A:$AN,MATCH(yoy!$C$1,Data!$A$1:$AN$1,),))+1)^12-1</f>
        <v/>
      </c>
      <c r="D68" s="14">
        <f>(((VLOOKUP(B68,Data!$A:$AN,MATCH(yoy!$D$1,Data!$A$1:$AN$1,),)-VLOOKUP(A68,Data!$A:$AN,MATCH(yoy!$D$1,Data!$A$1:$AN$1,),))/VLOOKUP(A68,Data!$A:$AN,MATCH(yoy!$D$1,Data!$A$1:$AN$1,),))+1)^12-1</f>
        <v/>
      </c>
      <c r="E68" s="14" t="n"/>
      <c r="F68" s="14">
        <f>(((VLOOKUP(B68,Data!$A:$AN,MATCH(yoy!$F$1,Data!$A$1:$AN$1,),)-VLOOKUP(A68,Data!$A:$AN,MATCH(yoy!$F$1,Data!$A$1:$AN$1,),))/VLOOKUP(A68,Data!$A:$AN,MATCH(yoy!$F$1,Data!$A$1:$AN$1,),))+1)^12-1</f>
        <v/>
      </c>
      <c r="G68" s="14">
        <f>(((VLOOKUP(B68,Data!$A:$AN,MATCH(yoy!$G$1,Data!$A$1:$AN$1,),)-VLOOKUP(A68,Data!$A:$AN,MATCH(yoy!$G$1,Data!$A$1:$AN$1,),))/VLOOKUP(A68,Data!$A:$AN,MATCH(yoy!$G$1,Data!$A$1:$AN$1,),))+1)^12-1</f>
        <v/>
      </c>
      <c r="H68" s="14">
        <f>(((VLOOKUP(B68,Data!$A:$AN,MATCH(yoy!$H$1,Data!$A$1:$AN$1,),)-VLOOKUP(A68,Data!$A:$AN,MATCH(yoy!$H$1,Data!$A$1:$AN$1,),))/VLOOKUP(A68,Data!$A:$AN,MATCH(yoy!$H$1,Data!$A$1:$AN$1,),))+1)^12-1</f>
        <v/>
      </c>
      <c r="I68" s="14" t="n"/>
      <c r="J68" s="14" t="n"/>
      <c r="K68" s="14">
        <f>(((VLOOKUP(B68,Data!$A:$AN,MATCH(yoy!$K$1,Data!$A$1:$AN$1,),)-VLOOKUP(A68,Data!$A:$AN,MATCH(yoy!$K$1,Data!$A$1:$AN$1,),))/VLOOKUP(A68,Data!$A:$AN,MATCH(yoy!$K$1,Data!$A$1:$AN$1,),))+1)^12-1</f>
        <v/>
      </c>
      <c r="L68" s="14" t="n"/>
      <c r="M68" s="14" t="n"/>
      <c r="N68" s="14" t="n"/>
      <c r="O68" s="14" t="n"/>
      <c r="P68" s="14">
        <f>(((VLOOKUP(B68,Data!$A:$AN,MATCH(yoy!$P$1,Data!$A$1:$AN$1,),)-VLOOKUP(A68,Data!$A:$AN,MATCH(yoy!$P$1,Data!$A$1:$AN$1,),))/VLOOKUP(A68,Data!$A:$AN,MATCH(yoy!$P$1,Data!$A$1:$AN$1,),))+1)^12-1</f>
        <v/>
      </c>
      <c r="Q68" s="14">
        <f>(((VLOOKUP(B68,Data!$A:$AN,MATCH(yoy!$Q$1,Data!$A$1:$AN$1,),)-VLOOKUP(A68,Data!$A:$AN,MATCH(yoy!$Q$1,Data!$A$1:$AN$1,),))/VLOOKUP(A68,Data!$A:$AN,MATCH(yoy!$Q$1,Data!$A$1:$AN$1,),))+1)^12-1</f>
        <v/>
      </c>
      <c r="R68" s="14" t="n"/>
      <c r="S68" s="14">
        <f>(((VLOOKUP(B68,Data!$A:$AN,MATCH(yoy!$S$1,Data!$A$1:$AN$1,),)-VLOOKUP(A68,Data!$A:$AN,MATCH(yoy!$S$1,Data!$A$1:$AN$1,),))/VLOOKUP(A68,Data!$A:$AN,MATCH(yoy!$S$1,Data!$A$1:$AN$1,),))+1)^12-1</f>
        <v/>
      </c>
      <c r="T68" s="14" t="n"/>
      <c r="U68" s="14" t="n"/>
      <c r="V68" s="14">
        <f>(((VLOOKUP(B68,Data!$A:$AN,MATCH(yoy!$V$1,Data!$A$1:$AN$1,),)-VLOOKUP(A68,Data!$A:$AN,MATCH(yoy!$V$1,Data!$A$1:$AN$1,),))/VLOOKUP(A68,Data!$A:$AN,MATCH(yoy!$V$1,Data!$A$1:$AN$1,),))+1)^12-1</f>
        <v/>
      </c>
      <c r="W68" s="14" t="n"/>
      <c r="X68" s="14">
        <f>(((VLOOKUP(B68,Data!$A:$AN,MATCH(yoy!$X$1,Data!$A$1:$AN$1,),)-VLOOKUP(A68,Data!$A:$AN,MATCH(yoy!$X$1,Data!$A$1:$AN$1,),))/VLOOKUP(A68,Data!$A:$AN,MATCH(yoy!$X$1,Data!$A$1:$AN$1,),))+1)^12-1</f>
        <v/>
      </c>
      <c r="Y68" s="14" t="n"/>
      <c r="Z68" s="14">
        <f>(((VLOOKUP(B68,Data!$A:$AN,MATCH(yoy!$Z$1,Data!$A$1:$AN$1,),)-VLOOKUP(A68,Data!$A:$AN,MATCH(yoy!$Z$1,Data!$A$1:$AN$1,),))/VLOOKUP(A68,Data!$A:$AN,MATCH(yoy!$Z$1,Data!$A$1:$AN$1,),))+1)^12-1</f>
        <v/>
      </c>
      <c r="AA68" s="14" t="n"/>
    </row>
    <row r="69" customFormat="1" s="76">
      <c r="A69" s="20">
        <f>DATE(YEAR(B69),MONTH(B69)-1,DAY(B69))</f>
        <v/>
      </c>
      <c r="B69" s="12" t="n">
        <v>43952</v>
      </c>
      <c r="C69" s="14">
        <f>(((VLOOKUP(B69,Data!$A:$AN,MATCH(yoy!$C$1,Data!$A$1:$AN$1,),)-VLOOKUP(A69,Data!$A:$AN,MATCH(yoy!$C$1,Data!$A$1:$AN$1,),))/VLOOKUP(A69,Data!$A:$AN,MATCH(yoy!$C$1,Data!$A$1:$AN$1,),))+1)^12-1</f>
        <v/>
      </c>
      <c r="D69" s="14">
        <f>(((VLOOKUP(B69,Data!$A:$AN,MATCH(yoy!$D$1,Data!$A$1:$AN$1,),)-VLOOKUP(A69,Data!$A:$AN,MATCH(yoy!$D$1,Data!$A$1:$AN$1,),))/VLOOKUP(A69,Data!$A:$AN,MATCH(yoy!$D$1,Data!$A$1:$AN$1,),))+1)^12-1</f>
        <v/>
      </c>
      <c r="E69" s="14" t="n"/>
      <c r="F69" s="14">
        <f>(((VLOOKUP(B69,Data!$A:$AN,MATCH(yoy!$F$1,Data!$A$1:$AN$1,),)-VLOOKUP(A69,Data!$A:$AN,MATCH(yoy!$F$1,Data!$A$1:$AN$1,),))/VLOOKUP(A69,Data!$A:$AN,MATCH(yoy!$F$1,Data!$A$1:$AN$1,),))+1)^12-1</f>
        <v/>
      </c>
      <c r="G69" s="14">
        <f>(((VLOOKUP(B69,Data!$A:$AN,MATCH(yoy!$G$1,Data!$A$1:$AN$1,),)-VLOOKUP(A69,Data!$A:$AN,MATCH(yoy!$G$1,Data!$A$1:$AN$1,),))/VLOOKUP(A69,Data!$A:$AN,MATCH(yoy!$G$1,Data!$A$1:$AN$1,),))+1)^12-1</f>
        <v/>
      </c>
      <c r="H69" s="14">
        <f>(((VLOOKUP(B69,Data!$A:$AN,MATCH(yoy!$H$1,Data!$A$1:$AN$1,),)-VLOOKUP(A69,Data!$A:$AN,MATCH(yoy!$H$1,Data!$A$1:$AN$1,),))/VLOOKUP(A69,Data!$A:$AN,MATCH(yoy!$H$1,Data!$A$1:$AN$1,),))+1)^12-1</f>
        <v/>
      </c>
      <c r="I69" s="14" t="n"/>
      <c r="J69" s="14" t="n"/>
      <c r="K69" s="14">
        <f>(((VLOOKUP(B69,Data!$A:$AN,MATCH(yoy!$K$1,Data!$A$1:$AN$1,),)-VLOOKUP(A69,Data!$A:$AN,MATCH(yoy!$K$1,Data!$A$1:$AN$1,),))/VLOOKUP(A69,Data!$A:$AN,MATCH(yoy!$K$1,Data!$A$1:$AN$1,),))+1)^12-1</f>
        <v/>
      </c>
      <c r="L69" s="14" t="n"/>
      <c r="M69" s="14" t="n"/>
      <c r="N69" s="14" t="n"/>
      <c r="O69" s="14" t="n"/>
      <c r="P69" s="14">
        <f>(((VLOOKUP(B69,Data!$A:$AN,MATCH(yoy!$P$1,Data!$A$1:$AN$1,),)-VLOOKUP(A69,Data!$A:$AN,MATCH(yoy!$P$1,Data!$A$1:$AN$1,),))/VLOOKUP(A69,Data!$A:$AN,MATCH(yoy!$P$1,Data!$A$1:$AN$1,),))+1)^12-1</f>
        <v/>
      </c>
      <c r="Q69" s="14">
        <f>(((VLOOKUP(B69,Data!$A:$AN,MATCH(yoy!$Q$1,Data!$A$1:$AN$1,),)-VLOOKUP(A69,Data!$A:$AN,MATCH(yoy!$Q$1,Data!$A$1:$AN$1,),))/VLOOKUP(A69,Data!$A:$AN,MATCH(yoy!$Q$1,Data!$A$1:$AN$1,),))+1)^12-1</f>
        <v/>
      </c>
      <c r="R69" s="14" t="n"/>
      <c r="S69" s="14">
        <f>(((VLOOKUP(B69,Data!$A:$AN,MATCH(yoy!$S$1,Data!$A$1:$AN$1,),)-VLOOKUP(A69,Data!$A:$AN,MATCH(yoy!$S$1,Data!$A$1:$AN$1,),))/VLOOKUP(A69,Data!$A:$AN,MATCH(yoy!$S$1,Data!$A$1:$AN$1,),))+1)^12-1</f>
        <v/>
      </c>
      <c r="T69" s="14" t="n"/>
      <c r="U69" s="14" t="n"/>
      <c r="V69" s="14">
        <f>(((VLOOKUP(B69,Data!$A:$AN,MATCH(yoy!$V$1,Data!$A$1:$AN$1,),)-VLOOKUP(A69,Data!$A:$AN,MATCH(yoy!$V$1,Data!$A$1:$AN$1,),))/VLOOKUP(A69,Data!$A:$AN,MATCH(yoy!$V$1,Data!$A$1:$AN$1,),))+1)^12-1</f>
        <v/>
      </c>
      <c r="W69" s="14" t="n"/>
      <c r="X69" s="14">
        <f>(((VLOOKUP(B69,Data!$A:$AN,MATCH(yoy!$X$1,Data!$A$1:$AN$1,),)-VLOOKUP(A69,Data!$A:$AN,MATCH(yoy!$X$1,Data!$A$1:$AN$1,),))/VLOOKUP(A69,Data!$A:$AN,MATCH(yoy!$X$1,Data!$A$1:$AN$1,),))+1)^12-1</f>
        <v/>
      </c>
      <c r="Y69" s="14" t="n"/>
      <c r="Z69" s="14">
        <f>(((VLOOKUP(B69,Data!$A:$AN,MATCH(yoy!$Z$1,Data!$A$1:$AN$1,),)-VLOOKUP(A69,Data!$A:$AN,MATCH(yoy!$Z$1,Data!$A$1:$AN$1,),))/VLOOKUP(A69,Data!$A:$AN,MATCH(yoy!$Z$1,Data!$A$1:$AN$1,),))+1)^12-1</f>
        <v/>
      </c>
      <c r="AA69" s="14" t="n"/>
    </row>
    <row r="70" customFormat="1" s="76">
      <c r="A70" s="20">
        <f>DATE(YEAR(B70),MONTH(B70)-1,DAY(B70))</f>
        <v/>
      </c>
      <c r="B70" s="12" t="n">
        <v>43983</v>
      </c>
      <c r="C70" s="14">
        <f>(((VLOOKUP(B70,Data!$A:$AN,MATCH(yoy!$C$1,Data!$A$1:$AN$1,),)-VLOOKUP(A70,Data!$A:$AN,MATCH(yoy!$C$1,Data!$A$1:$AN$1,),))/VLOOKUP(A70,Data!$A:$AN,MATCH(yoy!$C$1,Data!$A$1:$AN$1,),))+1)^12-1</f>
        <v/>
      </c>
      <c r="D70" s="14">
        <f>(((VLOOKUP(B70,Data!$A:$AN,MATCH(yoy!$D$1,Data!$A$1:$AN$1,),)-VLOOKUP(A70,Data!$A:$AN,MATCH(yoy!$D$1,Data!$A$1:$AN$1,),))/VLOOKUP(A70,Data!$A:$AN,MATCH(yoy!$D$1,Data!$A$1:$AN$1,),))+1)^12-1</f>
        <v/>
      </c>
      <c r="E70" s="14" t="n"/>
      <c r="F70" s="14">
        <f>(((VLOOKUP(B70,Data!$A:$AN,MATCH(yoy!$F$1,Data!$A$1:$AN$1,),)-VLOOKUP(A70,Data!$A:$AN,MATCH(yoy!$F$1,Data!$A$1:$AN$1,),))/VLOOKUP(A70,Data!$A:$AN,MATCH(yoy!$F$1,Data!$A$1:$AN$1,),))+1)^12-1</f>
        <v/>
      </c>
      <c r="G70" s="14">
        <f>(((VLOOKUP(B70,Data!$A:$AN,MATCH(yoy!$G$1,Data!$A$1:$AN$1,),)-VLOOKUP(A70,Data!$A:$AN,MATCH(yoy!$G$1,Data!$A$1:$AN$1,),))/VLOOKUP(A70,Data!$A:$AN,MATCH(yoy!$G$1,Data!$A$1:$AN$1,),))+1)^12-1</f>
        <v/>
      </c>
      <c r="H70" s="14">
        <f>(((VLOOKUP(B70,Data!$A:$AN,MATCH(yoy!$H$1,Data!$A$1:$AN$1,),)-VLOOKUP(A70,Data!$A:$AN,MATCH(yoy!$H$1,Data!$A$1:$AN$1,),))/VLOOKUP(A70,Data!$A:$AN,MATCH(yoy!$H$1,Data!$A$1:$AN$1,),))+1)^12-1</f>
        <v/>
      </c>
      <c r="I70" s="14" t="n"/>
      <c r="J70" s="14" t="n"/>
      <c r="K70" s="14">
        <f>(((VLOOKUP(B70,Data!$A:$AN,MATCH(yoy!$K$1,Data!$A$1:$AN$1,),)-VLOOKUP(A70,Data!$A:$AN,MATCH(yoy!$K$1,Data!$A$1:$AN$1,),))/VLOOKUP(A70,Data!$A:$AN,MATCH(yoy!$K$1,Data!$A$1:$AN$1,),))+1)^12-1</f>
        <v/>
      </c>
      <c r="L70" s="14" t="n"/>
      <c r="M70" s="14" t="n"/>
      <c r="N70" s="14" t="n"/>
      <c r="O70" s="14" t="n"/>
      <c r="P70" s="14">
        <f>(((VLOOKUP(B70,Data!$A:$AN,MATCH(yoy!$P$1,Data!$A$1:$AN$1,),)-VLOOKUP(A70,Data!$A:$AN,MATCH(yoy!$P$1,Data!$A$1:$AN$1,),))/VLOOKUP(A70,Data!$A:$AN,MATCH(yoy!$P$1,Data!$A$1:$AN$1,),))+1)^12-1</f>
        <v/>
      </c>
      <c r="Q70" s="14">
        <f>(((VLOOKUP(B70,Data!$A:$AN,MATCH(yoy!$Q$1,Data!$A$1:$AN$1,),)-VLOOKUP(A70,Data!$A:$AN,MATCH(yoy!$Q$1,Data!$A$1:$AN$1,),))/VLOOKUP(A70,Data!$A:$AN,MATCH(yoy!$Q$1,Data!$A$1:$AN$1,),))+1)^12-1</f>
        <v/>
      </c>
      <c r="R70" s="14" t="n"/>
      <c r="S70" s="14">
        <f>(((VLOOKUP(B70,Data!$A:$AN,MATCH(yoy!$S$1,Data!$A$1:$AN$1,),)-VLOOKUP(A70,Data!$A:$AN,MATCH(yoy!$S$1,Data!$A$1:$AN$1,),))/VLOOKUP(A70,Data!$A:$AN,MATCH(yoy!$S$1,Data!$A$1:$AN$1,),))+1)^12-1</f>
        <v/>
      </c>
      <c r="T70" s="14" t="n"/>
      <c r="U70" s="14" t="n"/>
      <c r="V70" s="14">
        <f>(((VLOOKUP(B70,Data!$A:$AN,MATCH(yoy!$V$1,Data!$A$1:$AN$1,),)-VLOOKUP(A70,Data!$A:$AN,MATCH(yoy!$V$1,Data!$A$1:$AN$1,),))/VLOOKUP(A70,Data!$A:$AN,MATCH(yoy!$V$1,Data!$A$1:$AN$1,),))+1)^12-1</f>
        <v/>
      </c>
      <c r="W70" s="14" t="n"/>
      <c r="X70" s="14">
        <f>(((VLOOKUP(B70,Data!$A:$AN,MATCH(yoy!$X$1,Data!$A$1:$AN$1,),)-VLOOKUP(A70,Data!$A:$AN,MATCH(yoy!$X$1,Data!$A$1:$AN$1,),))/VLOOKUP(A70,Data!$A:$AN,MATCH(yoy!$X$1,Data!$A$1:$AN$1,),))+1)^12-1</f>
        <v/>
      </c>
      <c r="Y70" s="14" t="n"/>
      <c r="Z70" s="14">
        <f>(((VLOOKUP(B70,Data!$A:$AN,MATCH(yoy!$Z$1,Data!$A$1:$AN$1,),)-VLOOKUP(A70,Data!$A:$AN,MATCH(yoy!$Z$1,Data!$A$1:$AN$1,),))/VLOOKUP(A70,Data!$A:$AN,MATCH(yoy!$Z$1,Data!$A$1:$AN$1,),))+1)^12-1</f>
        <v/>
      </c>
      <c r="AA70" s="14" t="n"/>
    </row>
    <row r="71" customFormat="1" s="76">
      <c r="A71" s="20">
        <f>DATE(YEAR(B71),MONTH(B71)-1,DAY(B71))</f>
        <v/>
      </c>
      <c r="B71" s="12" t="n">
        <v>44013</v>
      </c>
      <c r="C71" s="14">
        <f>(((VLOOKUP(B71,Data!$A:$AN,MATCH(yoy!$C$1,Data!$A$1:$AN$1,),)-VLOOKUP(A71,Data!$A:$AN,MATCH(yoy!$C$1,Data!$A$1:$AN$1,),))/VLOOKUP(A71,Data!$A:$AN,MATCH(yoy!$C$1,Data!$A$1:$AN$1,),))+1)^12-1</f>
        <v/>
      </c>
      <c r="D71" s="14">
        <f>(((VLOOKUP(B71,Data!$A:$AN,MATCH(yoy!$D$1,Data!$A$1:$AN$1,),)-VLOOKUP(A71,Data!$A:$AN,MATCH(yoy!$D$1,Data!$A$1:$AN$1,),))/VLOOKUP(A71,Data!$A:$AN,MATCH(yoy!$D$1,Data!$A$1:$AN$1,),))+1)^12-1</f>
        <v/>
      </c>
      <c r="E71" s="14" t="n"/>
      <c r="F71" s="14">
        <f>(((VLOOKUP(B71,Data!$A:$AN,MATCH(yoy!$F$1,Data!$A$1:$AN$1,),)-VLOOKUP(A71,Data!$A:$AN,MATCH(yoy!$F$1,Data!$A$1:$AN$1,),))/VLOOKUP(A71,Data!$A:$AN,MATCH(yoy!$F$1,Data!$A$1:$AN$1,),))+1)^12-1</f>
        <v/>
      </c>
      <c r="G71" s="14">
        <f>(((VLOOKUP(B71,Data!$A:$AN,MATCH(yoy!$G$1,Data!$A$1:$AN$1,),)-VLOOKUP(A71,Data!$A:$AN,MATCH(yoy!$G$1,Data!$A$1:$AN$1,),))/VLOOKUP(A71,Data!$A:$AN,MATCH(yoy!$G$1,Data!$A$1:$AN$1,),))+1)^12-1</f>
        <v/>
      </c>
      <c r="H71" s="14">
        <f>(((VLOOKUP(B71,Data!$A:$AN,MATCH(yoy!$H$1,Data!$A$1:$AN$1,),)-VLOOKUP(A71,Data!$A:$AN,MATCH(yoy!$H$1,Data!$A$1:$AN$1,),))/VLOOKUP(A71,Data!$A:$AN,MATCH(yoy!$H$1,Data!$A$1:$AN$1,),))+1)^12-1</f>
        <v/>
      </c>
      <c r="I71" s="14" t="n"/>
      <c r="J71" s="14" t="n"/>
      <c r="K71" s="14">
        <f>(((VLOOKUP(B71,Data!$A:$AN,MATCH(yoy!$K$1,Data!$A$1:$AN$1,),)-VLOOKUP(A71,Data!$A:$AN,MATCH(yoy!$K$1,Data!$A$1:$AN$1,),))/VLOOKUP(A71,Data!$A:$AN,MATCH(yoy!$K$1,Data!$A$1:$AN$1,),))+1)^12-1</f>
        <v/>
      </c>
      <c r="L71" s="14" t="n"/>
      <c r="M71" s="14" t="n"/>
      <c r="N71" s="14" t="n"/>
      <c r="O71" s="14" t="n"/>
      <c r="P71" s="14">
        <f>(((VLOOKUP(B71,Data!$A:$AN,MATCH(yoy!$P$1,Data!$A$1:$AN$1,),)-VLOOKUP(A71,Data!$A:$AN,MATCH(yoy!$P$1,Data!$A$1:$AN$1,),))/VLOOKUP(A71,Data!$A:$AN,MATCH(yoy!$P$1,Data!$A$1:$AN$1,),))+1)^12-1</f>
        <v/>
      </c>
      <c r="Q71" s="14">
        <f>(((VLOOKUP(B71,Data!$A:$AN,MATCH(yoy!$Q$1,Data!$A$1:$AN$1,),)-VLOOKUP(A71,Data!$A:$AN,MATCH(yoy!$Q$1,Data!$A$1:$AN$1,),))/VLOOKUP(A71,Data!$A:$AN,MATCH(yoy!$Q$1,Data!$A$1:$AN$1,),))+1)^12-1</f>
        <v/>
      </c>
      <c r="R71" s="14" t="n"/>
      <c r="S71" s="14">
        <f>(((VLOOKUP(B71,Data!$A:$AN,MATCH(yoy!$S$1,Data!$A$1:$AN$1,),)-VLOOKUP(A71,Data!$A:$AN,MATCH(yoy!$S$1,Data!$A$1:$AN$1,),))/VLOOKUP(A71,Data!$A:$AN,MATCH(yoy!$S$1,Data!$A$1:$AN$1,),))+1)^12-1</f>
        <v/>
      </c>
      <c r="T71" s="14" t="n"/>
      <c r="U71" s="14" t="n"/>
      <c r="V71" s="14">
        <f>(((VLOOKUP(B71,Data!$A:$AN,MATCH(yoy!$V$1,Data!$A$1:$AN$1,),)-VLOOKUP(A71,Data!$A:$AN,MATCH(yoy!$V$1,Data!$A$1:$AN$1,),))/VLOOKUP(A71,Data!$A:$AN,MATCH(yoy!$V$1,Data!$A$1:$AN$1,),))+1)^12-1</f>
        <v/>
      </c>
      <c r="W71" s="14" t="n"/>
      <c r="X71" s="14">
        <f>(((VLOOKUP(B71,Data!$A:$AN,MATCH(yoy!$X$1,Data!$A$1:$AN$1,),)-VLOOKUP(A71,Data!$A:$AN,MATCH(yoy!$X$1,Data!$A$1:$AN$1,),))/VLOOKUP(A71,Data!$A:$AN,MATCH(yoy!$X$1,Data!$A$1:$AN$1,),))+1)^12-1</f>
        <v/>
      </c>
      <c r="Y71" s="14" t="n"/>
      <c r="Z71" s="14">
        <f>(((VLOOKUP(B71,Data!$A:$AN,MATCH(yoy!$Z$1,Data!$A$1:$AN$1,),)-VLOOKUP(A71,Data!$A:$AN,MATCH(yoy!$Z$1,Data!$A$1:$AN$1,),))/VLOOKUP(A71,Data!$A:$AN,MATCH(yoy!$Z$1,Data!$A$1:$AN$1,),))+1)^12-1</f>
        <v/>
      </c>
      <c r="AA71" s="14" t="n"/>
    </row>
    <row r="72" customFormat="1" s="76">
      <c r="A72" s="20">
        <f>DATE(YEAR(B72),MONTH(B72)-1,DAY(B72))</f>
        <v/>
      </c>
      <c r="B72" s="12" t="n">
        <v>44044</v>
      </c>
      <c r="C72" s="14">
        <f>(((VLOOKUP(B72,Data!$A:$AN,MATCH(yoy!$C$1,Data!$A$1:$AN$1,),)-VLOOKUP(A72,Data!$A:$AN,MATCH(yoy!$C$1,Data!$A$1:$AN$1,),))/VLOOKUP(A72,Data!$A:$AN,MATCH(yoy!$C$1,Data!$A$1:$AN$1,),))+1)^12-1</f>
        <v/>
      </c>
      <c r="D72" s="14">
        <f>(((VLOOKUP(B72,Data!$A:$AN,MATCH(yoy!$D$1,Data!$A$1:$AN$1,),)-VLOOKUP(A72,Data!$A:$AN,MATCH(yoy!$D$1,Data!$A$1:$AN$1,),))/VLOOKUP(A72,Data!$A:$AN,MATCH(yoy!$D$1,Data!$A$1:$AN$1,),))+1)^12-1</f>
        <v/>
      </c>
      <c r="E72" s="14" t="n"/>
      <c r="F72" s="14">
        <f>(((VLOOKUP(B72,Data!$A:$AN,MATCH(yoy!$F$1,Data!$A$1:$AN$1,),)-VLOOKUP(A72,Data!$A:$AN,MATCH(yoy!$F$1,Data!$A$1:$AN$1,),))/VLOOKUP(A72,Data!$A:$AN,MATCH(yoy!$F$1,Data!$A$1:$AN$1,),))+1)^12-1</f>
        <v/>
      </c>
      <c r="G72" s="14">
        <f>(((VLOOKUP(B72,Data!$A:$AN,MATCH(yoy!$G$1,Data!$A$1:$AN$1,),)-VLOOKUP(A72,Data!$A:$AN,MATCH(yoy!$G$1,Data!$A$1:$AN$1,),))/VLOOKUP(A72,Data!$A:$AN,MATCH(yoy!$G$1,Data!$A$1:$AN$1,),))+1)^12-1</f>
        <v/>
      </c>
      <c r="H72" s="14">
        <f>(((VLOOKUP(B72,Data!$A:$AN,MATCH(yoy!$H$1,Data!$A$1:$AN$1,),)-VLOOKUP(A72,Data!$A:$AN,MATCH(yoy!$H$1,Data!$A$1:$AN$1,),))/VLOOKUP(A72,Data!$A:$AN,MATCH(yoy!$H$1,Data!$A$1:$AN$1,),))+1)^12-1</f>
        <v/>
      </c>
      <c r="I72" s="14" t="n"/>
      <c r="J72" s="14" t="n"/>
      <c r="K72" s="14">
        <f>(((VLOOKUP(B72,Data!$A:$AN,MATCH(yoy!$K$1,Data!$A$1:$AN$1,),)-VLOOKUP(A72,Data!$A:$AN,MATCH(yoy!$K$1,Data!$A$1:$AN$1,),))/VLOOKUP(A72,Data!$A:$AN,MATCH(yoy!$K$1,Data!$A$1:$AN$1,),))+1)^12-1</f>
        <v/>
      </c>
      <c r="L72" s="14" t="n"/>
      <c r="M72" s="14" t="n"/>
      <c r="N72" s="14" t="n"/>
      <c r="O72" s="14" t="n"/>
      <c r="P72" s="14">
        <f>(((VLOOKUP(B72,Data!$A:$AN,MATCH(yoy!$P$1,Data!$A$1:$AN$1,),)-VLOOKUP(A72,Data!$A:$AN,MATCH(yoy!$P$1,Data!$A$1:$AN$1,),))/VLOOKUP(A72,Data!$A:$AN,MATCH(yoy!$P$1,Data!$A$1:$AN$1,),))+1)^12-1</f>
        <v/>
      </c>
      <c r="Q72" s="14">
        <f>(((VLOOKUP(B72,Data!$A:$AN,MATCH(yoy!$Q$1,Data!$A$1:$AN$1,),)-VLOOKUP(A72,Data!$A:$AN,MATCH(yoy!$Q$1,Data!$A$1:$AN$1,),))/VLOOKUP(A72,Data!$A:$AN,MATCH(yoy!$Q$1,Data!$A$1:$AN$1,),))+1)^12-1</f>
        <v/>
      </c>
      <c r="R72" s="14" t="n"/>
      <c r="S72" s="14">
        <f>(((VLOOKUP(B72,Data!$A:$AN,MATCH(yoy!$S$1,Data!$A$1:$AN$1,),)-VLOOKUP(A72,Data!$A:$AN,MATCH(yoy!$S$1,Data!$A$1:$AN$1,),))/VLOOKUP(A72,Data!$A:$AN,MATCH(yoy!$S$1,Data!$A$1:$AN$1,),))+1)^12-1</f>
        <v/>
      </c>
      <c r="T72" s="14" t="n"/>
      <c r="U72" s="14" t="n"/>
      <c r="V72" s="14">
        <f>(((VLOOKUP(B72,Data!$A:$AN,MATCH(yoy!$V$1,Data!$A$1:$AN$1,),)-VLOOKUP(A72,Data!$A:$AN,MATCH(yoy!$V$1,Data!$A$1:$AN$1,),))/VLOOKUP(A72,Data!$A:$AN,MATCH(yoy!$V$1,Data!$A$1:$AN$1,),))+1)^12-1</f>
        <v/>
      </c>
      <c r="W72" s="14" t="n"/>
      <c r="X72" s="14">
        <f>(((VLOOKUP(B72,Data!$A:$AN,MATCH(yoy!$X$1,Data!$A$1:$AN$1,),)-VLOOKUP(A72,Data!$A:$AN,MATCH(yoy!$X$1,Data!$A$1:$AN$1,),))/VLOOKUP(A72,Data!$A:$AN,MATCH(yoy!$X$1,Data!$A$1:$AN$1,),))+1)^12-1</f>
        <v/>
      </c>
      <c r="Y72" s="14" t="n"/>
      <c r="Z72" s="14">
        <f>(((VLOOKUP(B72,Data!$A:$AN,MATCH(yoy!$Z$1,Data!$A$1:$AN$1,),)-VLOOKUP(A72,Data!$A:$AN,MATCH(yoy!$Z$1,Data!$A$1:$AN$1,),))/VLOOKUP(A72,Data!$A:$AN,MATCH(yoy!$Z$1,Data!$A$1:$AN$1,),))+1)^12-1</f>
        <v/>
      </c>
      <c r="AA72" s="14" t="n"/>
    </row>
    <row r="73" customFormat="1" s="76">
      <c r="A73" s="20">
        <f>DATE(YEAR(B73),MONTH(B73)-1,DAY(B73))</f>
        <v/>
      </c>
      <c r="B73" s="12" t="n">
        <v>44075</v>
      </c>
      <c r="C73" s="14">
        <f>(((VLOOKUP(B73,Data!$A:$AN,MATCH(yoy!$C$1,Data!$A$1:$AN$1,),)-VLOOKUP(A73,Data!$A:$AN,MATCH(yoy!$C$1,Data!$A$1:$AN$1,),))/VLOOKUP(A73,Data!$A:$AN,MATCH(yoy!$C$1,Data!$A$1:$AN$1,),))+1)^12-1</f>
        <v/>
      </c>
      <c r="D73" s="14">
        <f>(((VLOOKUP(B73,Data!$A:$AN,MATCH(yoy!$D$1,Data!$A$1:$AN$1,),)-VLOOKUP(A73,Data!$A:$AN,MATCH(yoy!$D$1,Data!$A$1:$AN$1,),))/VLOOKUP(A73,Data!$A:$AN,MATCH(yoy!$D$1,Data!$A$1:$AN$1,),))+1)^12-1</f>
        <v/>
      </c>
      <c r="E73" s="14" t="n"/>
      <c r="F73" s="14">
        <f>(((VLOOKUP(B73,Data!$A:$AN,MATCH(yoy!$F$1,Data!$A$1:$AN$1,),)-VLOOKUP(A73,Data!$A:$AN,MATCH(yoy!$F$1,Data!$A$1:$AN$1,),))/VLOOKUP(A73,Data!$A:$AN,MATCH(yoy!$F$1,Data!$A$1:$AN$1,),))+1)^12-1</f>
        <v/>
      </c>
      <c r="G73" s="14">
        <f>(((VLOOKUP(B73,Data!$A:$AN,MATCH(yoy!$G$1,Data!$A$1:$AN$1,),)-VLOOKUP(A73,Data!$A:$AN,MATCH(yoy!$G$1,Data!$A$1:$AN$1,),))/VLOOKUP(A73,Data!$A:$AN,MATCH(yoy!$G$1,Data!$A$1:$AN$1,),))+1)^12-1</f>
        <v/>
      </c>
      <c r="H73" s="14">
        <f>(((VLOOKUP(B73,Data!$A:$AN,MATCH(yoy!$H$1,Data!$A$1:$AN$1,),)-VLOOKUP(A73,Data!$A:$AN,MATCH(yoy!$H$1,Data!$A$1:$AN$1,),))/VLOOKUP(A73,Data!$A:$AN,MATCH(yoy!$H$1,Data!$A$1:$AN$1,),))+1)^12-1</f>
        <v/>
      </c>
      <c r="I73" s="14" t="n"/>
      <c r="J73" s="14" t="n"/>
      <c r="K73" s="14">
        <f>(((VLOOKUP(B73,Data!$A:$AN,MATCH(yoy!$K$1,Data!$A$1:$AN$1,),)-VLOOKUP(A73,Data!$A:$AN,MATCH(yoy!$K$1,Data!$A$1:$AN$1,),))/VLOOKUP(A73,Data!$A:$AN,MATCH(yoy!$K$1,Data!$A$1:$AN$1,),))+1)^12-1</f>
        <v/>
      </c>
      <c r="L73" s="14" t="n"/>
      <c r="M73" s="14" t="n"/>
      <c r="N73" s="14" t="n"/>
      <c r="O73" s="14" t="n"/>
      <c r="P73" s="14">
        <f>(((VLOOKUP(B73,Data!$A:$AN,MATCH(yoy!$P$1,Data!$A$1:$AN$1,),)-VLOOKUP(A73,Data!$A:$AN,MATCH(yoy!$P$1,Data!$A$1:$AN$1,),))/VLOOKUP(A73,Data!$A:$AN,MATCH(yoy!$P$1,Data!$A$1:$AN$1,),))+1)^12-1</f>
        <v/>
      </c>
      <c r="Q73" s="14">
        <f>(((VLOOKUP(B73,Data!$A:$AN,MATCH(yoy!$Q$1,Data!$A$1:$AN$1,),)-VLOOKUP(A73,Data!$A:$AN,MATCH(yoy!$Q$1,Data!$A$1:$AN$1,),))/VLOOKUP(A73,Data!$A:$AN,MATCH(yoy!$Q$1,Data!$A$1:$AN$1,),))+1)^12-1</f>
        <v/>
      </c>
      <c r="R73" s="14" t="n"/>
      <c r="S73" s="14">
        <f>(((VLOOKUP(B73,Data!$A:$AN,MATCH(yoy!$S$1,Data!$A$1:$AN$1,),)-VLOOKUP(A73,Data!$A:$AN,MATCH(yoy!$S$1,Data!$A$1:$AN$1,),))/VLOOKUP(A73,Data!$A:$AN,MATCH(yoy!$S$1,Data!$A$1:$AN$1,),))+1)^12-1</f>
        <v/>
      </c>
      <c r="T73" s="14" t="n"/>
      <c r="U73" s="14" t="n"/>
      <c r="V73" s="14">
        <f>(((VLOOKUP(B73,Data!$A:$AN,MATCH(yoy!$V$1,Data!$A$1:$AN$1,),)-VLOOKUP(A73,Data!$A:$AN,MATCH(yoy!$V$1,Data!$A$1:$AN$1,),))/VLOOKUP(A73,Data!$A:$AN,MATCH(yoy!$V$1,Data!$A$1:$AN$1,),))+1)^12-1</f>
        <v/>
      </c>
      <c r="W73" s="14" t="n"/>
      <c r="X73" s="14">
        <f>(((VLOOKUP(B73,Data!$A:$AN,MATCH(yoy!$X$1,Data!$A$1:$AN$1,),)-VLOOKUP(A73,Data!$A:$AN,MATCH(yoy!$X$1,Data!$A$1:$AN$1,),))/VLOOKUP(A73,Data!$A:$AN,MATCH(yoy!$X$1,Data!$A$1:$AN$1,),))+1)^12-1</f>
        <v/>
      </c>
      <c r="Y73" s="14" t="n"/>
      <c r="Z73" s="14">
        <f>(((VLOOKUP(B73,Data!$A:$AN,MATCH(yoy!$Z$1,Data!$A$1:$AN$1,),)-VLOOKUP(A73,Data!$A:$AN,MATCH(yoy!$Z$1,Data!$A$1:$AN$1,),))/VLOOKUP(A73,Data!$A:$AN,MATCH(yoy!$Z$1,Data!$A$1:$AN$1,),))+1)^12-1</f>
        <v/>
      </c>
      <c r="AA73" s="14" t="n"/>
    </row>
    <row r="74" customFormat="1" s="76">
      <c r="A74" s="20">
        <f>DATE(YEAR(B74),MONTH(B74)-1,DAY(B74))</f>
        <v/>
      </c>
      <c r="B74" s="12" t="n">
        <v>44105</v>
      </c>
      <c r="C74" s="14">
        <f>(((VLOOKUP(B74,Data!$A:$AN,MATCH(yoy!$C$1,Data!$A$1:$AN$1,),)-VLOOKUP(A74,Data!$A:$AN,MATCH(yoy!$C$1,Data!$A$1:$AN$1,),))/VLOOKUP(A74,Data!$A:$AN,MATCH(yoy!$C$1,Data!$A$1:$AN$1,),))+1)^12-1</f>
        <v/>
      </c>
      <c r="D74" s="14">
        <f>(((VLOOKUP(B74,Data!$A:$AN,MATCH(yoy!$D$1,Data!$A$1:$AN$1,),)-VLOOKUP(A74,Data!$A:$AN,MATCH(yoy!$D$1,Data!$A$1:$AN$1,),))/VLOOKUP(A74,Data!$A:$AN,MATCH(yoy!$D$1,Data!$A$1:$AN$1,),))+1)^12-1</f>
        <v/>
      </c>
      <c r="E74" s="14" t="n"/>
      <c r="F74" s="14">
        <f>(((VLOOKUP(B74,Data!$A:$AN,MATCH(yoy!$F$1,Data!$A$1:$AN$1,),)-VLOOKUP(A74,Data!$A:$AN,MATCH(yoy!$F$1,Data!$A$1:$AN$1,),))/VLOOKUP(A74,Data!$A:$AN,MATCH(yoy!$F$1,Data!$A$1:$AN$1,),))+1)^12-1</f>
        <v/>
      </c>
      <c r="G74" s="14">
        <f>(((VLOOKUP(B74,Data!$A:$AN,MATCH(yoy!$G$1,Data!$A$1:$AN$1,),)-VLOOKUP(A74,Data!$A:$AN,MATCH(yoy!$G$1,Data!$A$1:$AN$1,),))/VLOOKUP(A74,Data!$A:$AN,MATCH(yoy!$G$1,Data!$A$1:$AN$1,),))+1)^12-1</f>
        <v/>
      </c>
      <c r="H74" s="14">
        <f>(((VLOOKUP(B74,Data!$A:$AN,MATCH(yoy!$H$1,Data!$A$1:$AN$1,),)-VLOOKUP(A74,Data!$A:$AN,MATCH(yoy!$H$1,Data!$A$1:$AN$1,),))/VLOOKUP(A74,Data!$A:$AN,MATCH(yoy!$H$1,Data!$A$1:$AN$1,),))+1)^12-1</f>
        <v/>
      </c>
      <c r="I74" s="14" t="n"/>
      <c r="J74" s="14" t="n"/>
      <c r="K74" s="14">
        <f>(((VLOOKUP(B74,Data!$A:$AN,MATCH(yoy!$K$1,Data!$A$1:$AN$1,),)-VLOOKUP(A74,Data!$A:$AN,MATCH(yoy!$K$1,Data!$A$1:$AN$1,),))/VLOOKUP(A74,Data!$A:$AN,MATCH(yoy!$K$1,Data!$A$1:$AN$1,),))+1)^12-1</f>
        <v/>
      </c>
      <c r="L74" s="14" t="n"/>
      <c r="M74" s="14" t="n"/>
      <c r="N74" s="14" t="n"/>
      <c r="O74" s="14" t="n"/>
      <c r="P74" s="14">
        <f>(((VLOOKUP(B74,Data!$A:$AN,MATCH(yoy!$P$1,Data!$A$1:$AN$1,),)-VLOOKUP(A74,Data!$A:$AN,MATCH(yoy!$P$1,Data!$A$1:$AN$1,),))/VLOOKUP(A74,Data!$A:$AN,MATCH(yoy!$P$1,Data!$A$1:$AN$1,),))+1)^12-1</f>
        <v/>
      </c>
      <c r="Q74" s="14">
        <f>(((VLOOKUP(B74,Data!$A:$AN,MATCH(yoy!$Q$1,Data!$A$1:$AN$1,),)-VLOOKUP(A74,Data!$A:$AN,MATCH(yoy!$Q$1,Data!$A$1:$AN$1,),))/VLOOKUP(A74,Data!$A:$AN,MATCH(yoy!$Q$1,Data!$A$1:$AN$1,),))+1)^12-1</f>
        <v/>
      </c>
      <c r="R74" s="14" t="n"/>
      <c r="S74" s="14">
        <f>(((VLOOKUP(B74,Data!$A:$AN,MATCH(yoy!$S$1,Data!$A$1:$AN$1,),)-VLOOKUP(A74,Data!$A:$AN,MATCH(yoy!$S$1,Data!$A$1:$AN$1,),))/VLOOKUP(A74,Data!$A:$AN,MATCH(yoy!$S$1,Data!$A$1:$AN$1,),))+1)^12-1</f>
        <v/>
      </c>
      <c r="T74" s="14" t="n"/>
      <c r="U74" s="14" t="n"/>
      <c r="V74" s="14">
        <f>(((VLOOKUP(B74,Data!$A:$AN,MATCH(yoy!$V$1,Data!$A$1:$AN$1,),)-VLOOKUP(A74,Data!$A:$AN,MATCH(yoy!$V$1,Data!$A$1:$AN$1,),))/VLOOKUP(A74,Data!$A:$AN,MATCH(yoy!$V$1,Data!$A$1:$AN$1,),))+1)^12-1</f>
        <v/>
      </c>
      <c r="W74" s="14" t="n"/>
      <c r="X74" s="14">
        <f>(((VLOOKUP(B74,Data!$A:$AN,MATCH(yoy!$X$1,Data!$A$1:$AN$1,),)-VLOOKUP(A74,Data!$A:$AN,MATCH(yoy!$X$1,Data!$A$1:$AN$1,),))/VLOOKUP(A74,Data!$A:$AN,MATCH(yoy!$X$1,Data!$A$1:$AN$1,),))+1)^12-1</f>
        <v/>
      </c>
      <c r="Y74" s="14" t="n"/>
      <c r="Z74" s="14">
        <f>(((VLOOKUP(B74,Data!$A:$AN,MATCH(yoy!$Z$1,Data!$A$1:$AN$1,),)-VLOOKUP(A74,Data!$A:$AN,MATCH(yoy!$Z$1,Data!$A$1:$AN$1,),))/VLOOKUP(A74,Data!$A:$AN,MATCH(yoy!$Z$1,Data!$A$1:$AN$1,),))+1)^12-1</f>
        <v/>
      </c>
      <c r="AA74" s="14" t="n"/>
    </row>
    <row r="75" customFormat="1" s="76">
      <c r="A75" s="20">
        <f>DATE(YEAR(B75),MONTH(B75)-1,DAY(B75))</f>
        <v/>
      </c>
      <c r="B75" s="12" t="n">
        <v>44136</v>
      </c>
      <c r="C75" s="14">
        <f>(((VLOOKUP(B75,Data!$A:$AN,MATCH(yoy!$C$1,Data!$A$1:$AN$1,),)-VLOOKUP(A75,Data!$A:$AN,MATCH(yoy!$C$1,Data!$A$1:$AN$1,),))/VLOOKUP(A75,Data!$A:$AN,MATCH(yoy!$C$1,Data!$A$1:$AN$1,),))+1)^12-1</f>
        <v/>
      </c>
      <c r="D75" s="14">
        <f>(((VLOOKUP(B75,Data!$A:$AN,MATCH(yoy!$D$1,Data!$A$1:$AN$1,),)-VLOOKUP(A75,Data!$A:$AN,MATCH(yoy!$D$1,Data!$A$1:$AN$1,),))/VLOOKUP(A75,Data!$A:$AN,MATCH(yoy!$D$1,Data!$A$1:$AN$1,),))+1)^12-1</f>
        <v/>
      </c>
      <c r="E75" s="14" t="n"/>
      <c r="F75" s="14">
        <f>(((VLOOKUP(B75,Data!$A:$AN,MATCH(yoy!$F$1,Data!$A$1:$AN$1,),)-VLOOKUP(A75,Data!$A:$AN,MATCH(yoy!$F$1,Data!$A$1:$AN$1,),))/VLOOKUP(A75,Data!$A:$AN,MATCH(yoy!$F$1,Data!$A$1:$AN$1,),))+1)^12-1</f>
        <v/>
      </c>
      <c r="G75" s="14">
        <f>(((VLOOKUP(B75,Data!$A:$AN,MATCH(yoy!$G$1,Data!$A$1:$AN$1,),)-VLOOKUP(A75,Data!$A:$AN,MATCH(yoy!$G$1,Data!$A$1:$AN$1,),))/VLOOKUP(A75,Data!$A:$AN,MATCH(yoy!$G$1,Data!$A$1:$AN$1,),))+1)^12-1</f>
        <v/>
      </c>
      <c r="H75" s="14">
        <f>(((VLOOKUP(B75,Data!$A:$AN,MATCH(yoy!$H$1,Data!$A$1:$AN$1,),)-VLOOKUP(A75,Data!$A:$AN,MATCH(yoy!$H$1,Data!$A$1:$AN$1,),))/VLOOKUP(A75,Data!$A:$AN,MATCH(yoy!$H$1,Data!$A$1:$AN$1,),))+1)^12-1</f>
        <v/>
      </c>
      <c r="I75" s="14" t="n"/>
      <c r="J75" s="14" t="n"/>
      <c r="K75" s="14">
        <f>(((VLOOKUP(B75,Data!$A:$AN,MATCH(yoy!$K$1,Data!$A$1:$AN$1,),)-VLOOKUP(A75,Data!$A:$AN,MATCH(yoy!$K$1,Data!$A$1:$AN$1,),))/VLOOKUP(A75,Data!$A:$AN,MATCH(yoy!$K$1,Data!$A$1:$AN$1,),))+1)^12-1</f>
        <v/>
      </c>
      <c r="L75" s="14" t="n"/>
      <c r="M75" s="14" t="n"/>
      <c r="N75" s="14" t="n"/>
      <c r="O75" s="14" t="n"/>
      <c r="P75" s="14">
        <f>(((VLOOKUP(B75,Data!$A:$AN,MATCH(yoy!$P$1,Data!$A$1:$AN$1,),)-VLOOKUP(A75,Data!$A:$AN,MATCH(yoy!$P$1,Data!$A$1:$AN$1,),))/VLOOKUP(A75,Data!$A:$AN,MATCH(yoy!$P$1,Data!$A$1:$AN$1,),))+1)^12-1</f>
        <v/>
      </c>
      <c r="Q75" s="14">
        <f>(((VLOOKUP(B75,Data!$A:$AN,MATCH(yoy!$Q$1,Data!$A$1:$AN$1,),)-VLOOKUP(A75,Data!$A:$AN,MATCH(yoy!$Q$1,Data!$A$1:$AN$1,),))/VLOOKUP(A75,Data!$A:$AN,MATCH(yoy!$Q$1,Data!$A$1:$AN$1,),))+1)^12-1</f>
        <v/>
      </c>
      <c r="R75" s="14" t="n"/>
      <c r="S75" s="14">
        <f>(((VLOOKUP(B75,Data!$A:$AN,MATCH(yoy!$S$1,Data!$A$1:$AN$1,),)-VLOOKUP(A75,Data!$A:$AN,MATCH(yoy!$S$1,Data!$A$1:$AN$1,),))/VLOOKUP(A75,Data!$A:$AN,MATCH(yoy!$S$1,Data!$A$1:$AN$1,),))+1)^12-1</f>
        <v/>
      </c>
      <c r="T75" s="14" t="n"/>
      <c r="U75" s="14" t="n"/>
      <c r="V75" s="14">
        <f>(((VLOOKUP(B75,Data!$A:$AN,MATCH(yoy!$V$1,Data!$A$1:$AN$1,),)-VLOOKUP(A75,Data!$A:$AN,MATCH(yoy!$V$1,Data!$A$1:$AN$1,),))/VLOOKUP(A75,Data!$A:$AN,MATCH(yoy!$V$1,Data!$A$1:$AN$1,),))+1)^12-1</f>
        <v/>
      </c>
      <c r="W75" s="14" t="n"/>
      <c r="X75" s="14">
        <f>(((VLOOKUP(B75,Data!$A:$AN,MATCH(yoy!$X$1,Data!$A$1:$AN$1,),)-VLOOKUP(A75,Data!$A:$AN,MATCH(yoy!$X$1,Data!$A$1:$AN$1,),))/VLOOKUP(A75,Data!$A:$AN,MATCH(yoy!$X$1,Data!$A$1:$AN$1,),))+1)^12-1</f>
        <v/>
      </c>
      <c r="Y75" s="14" t="n"/>
      <c r="Z75" s="14">
        <f>(((VLOOKUP(B75,Data!$A:$AN,MATCH(yoy!$Z$1,Data!$A$1:$AN$1,),)-VLOOKUP(A75,Data!$A:$AN,MATCH(yoy!$Z$1,Data!$A$1:$AN$1,),))/VLOOKUP(A75,Data!$A:$AN,MATCH(yoy!$Z$1,Data!$A$1:$AN$1,),))+1)^12-1</f>
        <v/>
      </c>
      <c r="AA75" s="14" t="n"/>
    </row>
    <row r="76" customFormat="1" s="76">
      <c r="A76" s="20">
        <f>DATE(YEAR(B76),MONTH(B76)-1,DAY(B76))</f>
        <v/>
      </c>
      <c r="B76" s="12" t="n">
        <v>44166</v>
      </c>
      <c r="C76" s="14">
        <f>(((VLOOKUP(B76,Data!$A:$AN,MATCH(yoy!$C$1,Data!$A$1:$AN$1,),)-VLOOKUP(A76,Data!$A:$AN,MATCH(yoy!$C$1,Data!$A$1:$AN$1,),))/VLOOKUP(A76,Data!$A:$AN,MATCH(yoy!$C$1,Data!$A$1:$AN$1,),))+1)^12-1</f>
        <v/>
      </c>
      <c r="D76" s="14">
        <f>(((VLOOKUP(B76,Data!$A:$AN,MATCH(yoy!$D$1,Data!$A$1:$AN$1,),)-VLOOKUP(A76,Data!$A:$AN,MATCH(yoy!$D$1,Data!$A$1:$AN$1,),))/VLOOKUP(A76,Data!$A:$AN,MATCH(yoy!$D$1,Data!$A$1:$AN$1,),))+1)^12-1</f>
        <v/>
      </c>
      <c r="E76" s="14" t="n"/>
      <c r="F76" s="14">
        <f>(((VLOOKUP(B76,Data!$A:$AN,MATCH(yoy!$F$1,Data!$A$1:$AN$1,),)-VLOOKUP(A76,Data!$A:$AN,MATCH(yoy!$F$1,Data!$A$1:$AN$1,),))/VLOOKUP(A76,Data!$A:$AN,MATCH(yoy!$F$1,Data!$A$1:$AN$1,),))+1)^12-1</f>
        <v/>
      </c>
      <c r="G76" s="14">
        <f>(((VLOOKUP(B76,Data!$A:$AN,MATCH(yoy!$G$1,Data!$A$1:$AN$1,),)-VLOOKUP(A76,Data!$A:$AN,MATCH(yoy!$G$1,Data!$A$1:$AN$1,),))/VLOOKUP(A76,Data!$A:$AN,MATCH(yoy!$G$1,Data!$A$1:$AN$1,),))+1)^12-1</f>
        <v/>
      </c>
      <c r="H76" s="14">
        <f>(((VLOOKUP(B76,Data!$A:$AN,MATCH(yoy!$H$1,Data!$A$1:$AN$1,),)-VLOOKUP(A76,Data!$A:$AN,MATCH(yoy!$H$1,Data!$A$1:$AN$1,),))/VLOOKUP(A76,Data!$A:$AN,MATCH(yoy!$H$1,Data!$A$1:$AN$1,),))+1)^12-1</f>
        <v/>
      </c>
      <c r="I76" s="14" t="n"/>
      <c r="J76" s="14" t="n"/>
      <c r="K76" s="14">
        <f>(((VLOOKUP(B76,Data!$A:$AN,MATCH(yoy!$K$1,Data!$A$1:$AN$1,),)-VLOOKUP(A76,Data!$A:$AN,MATCH(yoy!$K$1,Data!$A$1:$AN$1,),))/VLOOKUP(A76,Data!$A:$AN,MATCH(yoy!$K$1,Data!$A$1:$AN$1,),))+1)^12-1</f>
        <v/>
      </c>
      <c r="L76" s="14" t="n"/>
      <c r="M76" s="14" t="n"/>
      <c r="N76" s="14" t="n"/>
      <c r="O76" s="14" t="n"/>
      <c r="P76" s="14">
        <f>(((VLOOKUP(B76,Data!$A:$AN,MATCH(yoy!$P$1,Data!$A$1:$AN$1,),)-VLOOKUP(A76,Data!$A:$AN,MATCH(yoy!$P$1,Data!$A$1:$AN$1,),))/VLOOKUP(A76,Data!$A:$AN,MATCH(yoy!$P$1,Data!$A$1:$AN$1,),))+1)^12-1</f>
        <v/>
      </c>
      <c r="Q76" s="14">
        <f>(((VLOOKUP(B76,Data!$A:$AN,MATCH(yoy!$Q$1,Data!$A$1:$AN$1,),)-VLOOKUP(A76,Data!$A:$AN,MATCH(yoy!$Q$1,Data!$A$1:$AN$1,),))/VLOOKUP(A76,Data!$A:$AN,MATCH(yoy!$Q$1,Data!$A$1:$AN$1,),))+1)^12-1</f>
        <v/>
      </c>
      <c r="R76" s="14" t="n"/>
      <c r="S76" s="14">
        <f>(((VLOOKUP(B76,Data!$A:$AN,MATCH(yoy!$S$1,Data!$A$1:$AN$1,),)-VLOOKUP(A76,Data!$A:$AN,MATCH(yoy!$S$1,Data!$A$1:$AN$1,),))/VLOOKUP(A76,Data!$A:$AN,MATCH(yoy!$S$1,Data!$A$1:$AN$1,),))+1)^12-1</f>
        <v/>
      </c>
      <c r="T76" s="14" t="n"/>
      <c r="U76" s="14" t="n"/>
      <c r="V76" s="14">
        <f>(((VLOOKUP(B76,Data!$A:$AN,MATCH(yoy!$V$1,Data!$A$1:$AN$1,),)-VLOOKUP(A76,Data!$A:$AN,MATCH(yoy!$V$1,Data!$A$1:$AN$1,),))/VLOOKUP(A76,Data!$A:$AN,MATCH(yoy!$V$1,Data!$A$1:$AN$1,),))+1)^12-1</f>
        <v/>
      </c>
      <c r="W76" s="14" t="n"/>
      <c r="X76" s="14">
        <f>(((VLOOKUP(B76,Data!$A:$AN,MATCH(yoy!$X$1,Data!$A$1:$AN$1,),)-VLOOKUP(A76,Data!$A:$AN,MATCH(yoy!$X$1,Data!$A$1:$AN$1,),))/VLOOKUP(A76,Data!$A:$AN,MATCH(yoy!$X$1,Data!$A$1:$AN$1,),))+1)^12-1</f>
        <v/>
      </c>
      <c r="Y76" s="14" t="n"/>
      <c r="Z76" s="14">
        <f>(((VLOOKUP(B76,Data!$A:$AN,MATCH(yoy!$Z$1,Data!$A$1:$AN$1,),)-VLOOKUP(A76,Data!$A:$AN,MATCH(yoy!$Z$1,Data!$A$1:$AN$1,),))/VLOOKUP(A76,Data!$A:$AN,MATCH(yoy!$Z$1,Data!$A$1:$AN$1,),))+1)^12-1</f>
        <v/>
      </c>
      <c r="AA76" s="14" t="n"/>
    </row>
    <row r="77" customFormat="1" s="76">
      <c r="A77" s="20">
        <f>DATE(YEAR(B77),MONTH(B77)-1,DAY(B77))</f>
        <v/>
      </c>
      <c r="B77" s="12" t="n">
        <v>44197</v>
      </c>
      <c r="C77" s="14">
        <f>(((VLOOKUP(B77,Data!$A:$AN,MATCH(yoy!$C$1,Data!$A$1:$AN$1,),)-VLOOKUP(A77,Data!$A:$AN,MATCH(yoy!$C$1,Data!$A$1:$AN$1,),))/VLOOKUP(A77,Data!$A:$AN,MATCH(yoy!$C$1,Data!$A$1:$AN$1,),))+1)^12-1</f>
        <v/>
      </c>
      <c r="D77" s="14">
        <f>(((VLOOKUP(B77,Data!$A:$AN,MATCH(yoy!$D$1,Data!$A$1:$AN$1,),)-VLOOKUP(A77,Data!$A:$AN,MATCH(yoy!$D$1,Data!$A$1:$AN$1,),))/VLOOKUP(A77,Data!$A:$AN,MATCH(yoy!$D$1,Data!$A$1:$AN$1,),))+1)^12-1</f>
        <v/>
      </c>
      <c r="E77" s="14" t="n"/>
      <c r="F77" s="14">
        <f>(((VLOOKUP(B77,Data!$A:$AN,MATCH(yoy!$F$1,Data!$A$1:$AN$1,),)-VLOOKUP(A77,Data!$A:$AN,MATCH(yoy!$F$1,Data!$A$1:$AN$1,),))/VLOOKUP(A77,Data!$A:$AN,MATCH(yoy!$F$1,Data!$A$1:$AN$1,),))+1)^12-1</f>
        <v/>
      </c>
      <c r="G77" s="14">
        <f>(((VLOOKUP(B77,Data!$A:$AN,MATCH(yoy!$G$1,Data!$A$1:$AN$1,),)-VLOOKUP(A77,Data!$A:$AN,MATCH(yoy!$G$1,Data!$A$1:$AN$1,),))/VLOOKUP(A77,Data!$A:$AN,MATCH(yoy!$G$1,Data!$A$1:$AN$1,),))+1)^12-1</f>
        <v/>
      </c>
      <c r="H77" s="14">
        <f>(((VLOOKUP(B77,Data!$A:$AN,MATCH(yoy!$H$1,Data!$A$1:$AN$1,),)-VLOOKUP(A77,Data!$A:$AN,MATCH(yoy!$H$1,Data!$A$1:$AN$1,),))/VLOOKUP(A77,Data!$A:$AN,MATCH(yoy!$H$1,Data!$A$1:$AN$1,),))+1)^12-1</f>
        <v/>
      </c>
      <c r="I77" s="14" t="n"/>
      <c r="J77" s="14" t="n"/>
      <c r="K77" s="14">
        <f>(((VLOOKUP(B77,Data!$A:$AN,MATCH(yoy!$K$1,Data!$A$1:$AN$1,),)-VLOOKUP(A77,Data!$A:$AN,MATCH(yoy!$K$1,Data!$A$1:$AN$1,),))/VLOOKUP(A77,Data!$A:$AN,MATCH(yoy!$K$1,Data!$A$1:$AN$1,),))+1)^12-1</f>
        <v/>
      </c>
      <c r="L77" s="14" t="n"/>
      <c r="M77" s="14" t="n"/>
      <c r="N77" s="14" t="n"/>
      <c r="O77" s="14" t="n"/>
      <c r="P77" s="14">
        <f>(((VLOOKUP(B77,Data!$A:$AN,MATCH(yoy!$P$1,Data!$A$1:$AN$1,),)-VLOOKUP(A77,Data!$A:$AN,MATCH(yoy!$P$1,Data!$A$1:$AN$1,),))/VLOOKUP(A77,Data!$A:$AN,MATCH(yoy!$P$1,Data!$A$1:$AN$1,),))+1)^12-1</f>
        <v/>
      </c>
      <c r="Q77" s="14">
        <f>(((VLOOKUP(B77,Data!$A:$AN,MATCH(yoy!$Q$1,Data!$A$1:$AN$1,),)-VLOOKUP(A77,Data!$A:$AN,MATCH(yoy!$Q$1,Data!$A$1:$AN$1,),))/VLOOKUP(A77,Data!$A:$AN,MATCH(yoy!$Q$1,Data!$A$1:$AN$1,),))+1)^12-1</f>
        <v/>
      </c>
      <c r="R77" s="14" t="n"/>
      <c r="S77" s="14">
        <f>(((VLOOKUP(B77,Data!$A:$AN,MATCH(yoy!$S$1,Data!$A$1:$AN$1,),)-VLOOKUP(A77,Data!$A:$AN,MATCH(yoy!$S$1,Data!$A$1:$AN$1,),))/VLOOKUP(A77,Data!$A:$AN,MATCH(yoy!$S$1,Data!$A$1:$AN$1,),))+1)^12-1</f>
        <v/>
      </c>
      <c r="T77" s="14" t="n"/>
      <c r="U77" s="14" t="n"/>
      <c r="V77" s="14">
        <f>(((VLOOKUP(B77,Data!$A:$AN,MATCH(yoy!$V$1,Data!$A$1:$AN$1,),)-VLOOKUP(A77,Data!$A:$AN,MATCH(yoy!$V$1,Data!$A$1:$AN$1,),))/VLOOKUP(A77,Data!$A:$AN,MATCH(yoy!$V$1,Data!$A$1:$AN$1,),))+1)^12-1</f>
        <v/>
      </c>
      <c r="W77" s="14" t="n"/>
      <c r="X77" s="14">
        <f>(((VLOOKUP(B77,Data!$A:$AN,MATCH(yoy!$X$1,Data!$A$1:$AN$1,),)-VLOOKUP(A77,Data!$A:$AN,MATCH(yoy!$X$1,Data!$A$1:$AN$1,),))/VLOOKUP(A77,Data!$A:$AN,MATCH(yoy!$X$1,Data!$A$1:$AN$1,),))+1)^12-1</f>
        <v/>
      </c>
      <c r="Y77" s="14" t="n"/>
      <c r="Z77" s="14">
        <f>(((VLOOKUP(B77,Data!$A:$AN,MATCH(yoy!$Z$1,Data!$A$1:$AN$1,),)-VLOOKUP(A77,Data!$A:$AN,MATCH(yoy!$Z$1,Data!$A$1:$AN$1,),))/VLOOKUP(A77,Data!$A:$AN,MATCH(yoy!$Z$1,Data!$A$1:$AN$1,),))+1)^12-1</f>
        <v/>
      </c>
      <c r="AA77" s="14" t="n"/>
    </row>
    <row r="78" customFormat="1" s="76">
      <c r="A78" s="20">
        <f>DATE(YEAR(B78),MONTH(B78)-1,DAY(B78))</f>
        <v/>
      </c>
      <c r="B78" s="12" t="n">
        <v>44228</v>
      </c>
      <c r="C78" s="14">
        <f>(((VLOOKUP(B78,Data!$A:$AN,MATCH(yoy!$C$1,Data!$A$1:$AN$1,),)-VLOOKUP(A78,Data!$A:$AN,MATCH(yoy!$C$1,Data!$A$1:$AN$1,),))/VLOOKUP(A78,Data!$A:$AN,MATCH(yoy!$C$1,Data!$A$1:$AN$1,),))+1)^12-1</f>
        <v/>
      </c>
      <c r="D78" s="14">
        <f>(((VLOOKUP(B78,Data!$A:$AN,MATCH(yoy!$D$1,Data!$A$1:$AN$1,),)-VLOOKUP(A78,Data!$A:$AN,MATCH(yoy!$D$1,Data!$A$1:$AN$1,),))/VLOOKUP(A78,Data!$A:$AN,MATCH(yoy!$D$1,Data!$A$1:$AN$1,),))+1)^12-1</f>
        <v/>
      </c>
      <c r="E78" s="14" t="n"/>
      <c r="F78" s="14">
        <f>(((VLOOKUP(B78,Data!$A:$AN,MATCH(yoy!$F$1,Data!$A$1:$AN$1,),)-VLOOKUP(A78,Data!$A:$AN,MATCH(yoy!$F$1,Data!$A$1:$AN$1,),))/VLOOKUP(A78,Data!$A:$AN,MATCH(yoy!$F$1,Data!$A$1:$AN$1,),))+1)^12-1</f>
        <v/>
      </c>
      <c r="G78" s="14">
        <f>(((VLOOKUP(B78,Data!$A:$AN,MATCH(yoy!$G$1,Data!$A$1:$AN$1,),)-VLOOKUP(A78,Data!$A:$AN,MATCH(yoy!$G$1,Data!$A$1:$AN$1,),))/VLOOKUP(A78,Data!$A:$AN,MATCH(yoy!$G$1,Data!$A$1:$AN$1,),))+1)^12-1</f>
        <v/>
      </c>
      <c r="H78" s="14">
        <f>(((VLOOKUP(B78,Data!$A:$AN,MATCH(yoy!$H$1,Data!$A$1:$AN$1,),)-VLOOKUP(A78,Data!$A:$AN,MATCH(yoy!$H$1,Data!$A$1:$AN$1,),))/VLOOKUP(A78,Data!$A:$AN,MATCH(yoy!$H$1,Data!$A$1:$AN$1,),))+1)^12-1</f>
        <v/>
      </c>
      <c r="I78" s="14" t="n"/>
      <c r="J78" s="14" t="n"/>
      <c r="K78" s="14">
        <f>(((VLOOKUP(B78,Data!$A:$AN,MATCH(yoy!$K$1,Data!$A$1:$AN$1,),)-VLOOKUP(A78,Data!$A:$AN,MATCH(yoy!$K$1,Data!$A$1:$AN$1,),))/VLOOKUP(A78,Data!$A:$AN,MATCH(yoy!$K$1,Data!$A$1:$AN$1,),))+1)^12-1</f>
        <v/>
      </c>
      <c r="L78" s="14" t="n"/>
      <c r="M78" s="14" t="n"/>
      <c r="N78" s="14" t="n"/>
      <c r="O78" s="14" t="n"/>
      <c r="P78" s="14">
        <f>(((VLOOKUP(B78,Data!$A:$AN,MATCH(yoy!$P$1,Data!$A$1:$AN$1,),)-VLOOKUP(A78,Data!$A:$AN,MATCH(yoy!$P$1,Data!$A$1:$AN$1,),))/VLOOKUP(A78,Data!$A:$AN,MATCH(yoy!$P$1,Data!$A$1:$AN$1,),))+1)^12-1</f>
        <v/>
      </c>
      <c r="Q78" s="14">
        <f>(((VLOOKUP(B78,Data!$A:$AN,MATCH(yoy!$Q$1,Data!$A$1:$AN$1,),)-VLOOKUP(A78,Data!$A:$AN,MATCH(yoy!$Q$1,Data!$A$1:$AN$1,),))/VLOOKUP(A78,Data!$A:$AN,MATCH(yoy!$Q$1,Data!$A$1:$AN$1,),))+1)^12-1</f>
        <v/>
      </c>
      <c r="R78" s="14" t="n"/>
      <c r="S78" s="14">
        <f>(((VLOOKUP(B78,Data!$A:$AN,MATCH(yoy!$S$1,Data!$A$1:$AN$1,),)-VLOOKUP(A78,Data!$A:$AN,MATCH(yoy!$S$1,Data!$A$1:$AN$1,),))/VLOOKUP(A78,Data!$A:$AN,MATCH(yoy!$S$1,Data!$A$1:$AN$1,),))+1)^12-1</f>
        <v/>
      </c>
      <c r="T78" s="14" t="n"/>
      <c r="U78" s="14" t="n"/>
      <c r="V78" s="14">
        <f>(((VLOOKUP(B78,Data!$A:$AN,MATCH(yoy!$V$1,Data!$A$1:$AN$1,),)-VLOOKUP(A78,Data!$A:$AN,MATCH(yoy!$V$1,Data!$A$1:$AN$1,),))/VLOOKUP(A78,Data!$A:$AN,MATCH(yoy!$V$1,Data!$A$1:$AN$1,),))+1)^12-1</f>
        <v/>
      </c>
      <c r="W78" s="14" t="n"/>
      <c r="X78" s="14">
        <f>(((VLOOKUP(B78,Data!$A:$AN,MATCH(yoy!$X$1,Data!$A$1:$AN$1,),)-VLOOKUP(A78,Data!$A:$AN,MATCH(yoy!$X$1,Data!$A$1:$AN$1,),))/VLOOKUP(A78,Data!$A:$AN,MATCH(yoy!$X$1,Data!$A$1:$AN$1,),))+1)^12-1</f>
        <v/>
      </c>
      <c r="Y78" s="14" t="n"/>
      <c r="Z78" s="14">
        <f>(((VLOOKUP(B78,Data!$A:$AN,MATCH(yoy!$Z$1,Data!$A$1:$AN$1,),)-VLOOKUP(A78,Data!$A:$AN,MATCH(yoy!$Z$1,Data!$A$1:$AN$1,),))/VLOOKUP(A78,Data!$A:$AN,MATCH(yoy!$Z$1,Data!$A$1:$AN$1,),))+1)^12-1</f>
        <v/>
      </c>
      <c r="AA78" s="14" t="n"/>
    </row>
    <row r="79" customFormat="1" s="76">
      <c r="A79" s="20">
        <f>DATE(YEAR(B79),MONTH(B79)-1,DAY(B79))</f>
        <v/>
      </c>
      <c r="B79" s="12" t="n">
        <v>44256</v>
      </c>
      <c r="C79" s="14">
        <f>(((VLOOKUP(B79,Data!$A:$AN,MATCH(yoy!$C$1,Data!$A$1:$AN$1,),)-VLOOKUP(A79,Data!$A:$AN,MATCH(yoy!$C$1,Data!$A$1:$AN$1,),))/VLOOKUP(A79,Data!$A:$AN,MATCH(yoy!$C$1,Data!$A$1:$AN$1,),))+1)^12-1</f>
        <v/>
      </c>
      <c r="D79" s="14">
        <f>(((VLOOKUP(B79,Data!$A:$AN,MATCH(yoy!$D$1,Data!$A$1:$AN$1,),)-VLOOKUP(A79,Data!$A:$AN,MATCH(yoy!$D$1,Data!$A$1:$AN$1,),))/VLOOKUP(A79,Data!$A:$AN,MATCH(yoy!$D$1,Data!$A$1:$AN$1,),))+1)^12-1</f>
        <v/>
      </c>
      <c r="E79" s="14" t="n"/>
      <c r="F79" s="14">
        <f>(((VLOOKUP(B79,Data!$A:$AN,MATCH(yoy!$F$1,Data!$A$1:$AN$1,),)-VLOOKUP(A79,Data!$A:$AN,MATCH(yoy!$F$1,Data!$A$1:$AN$1,),))/VLOOKUP(A79,Data!$A:$AN,MATCH(yoy!$F$1,Data!$A$1:$AN$1,),))+1)^12-1</f>
        <v/>
      </c>
      <c r="G79" s="14">
        <f>(((VLOOKUP(B79,Data!$A:$AN,MATCH(yoy!$G$1,Data!$A$1:$AN$1,),)-VLOOKUP(A79,Data!$A:$AN,MATCH(yoy!$G$1,Data!$A$1:$AN$1,),))/VLOOKUP(A79,Data!$A:$AN,MATCH(yoy!$G$1,Data!$A$1:$AN$1,),))+1)^12-1</f>
        <v/>
      </c>
      <c r="H79" s="14">
        <f>(((VLOOKUP(B79,Data!$A:$AN,MATCH(yoy!$H$1,Data!$A$1:$AN$1,),)-VLOOKUP(A79,Data!$A:$AN,MATCH(yoy!$H$1,Data!$A$1:$AN$1,),))/VLOOKUP(A79,Data!$A:$AN,MATCH(yoy!$H$1,Data!$A$1:$AN$1,),))+1)^12-1</f>
        <v/>
      </c>
      <c r="I79" s="14" t="n"/>
      <c r="J79" s="14" t="n"/>
      <c r="K79" s="14">
        <f>(((VLOOKUP(B79,Data!$A:$AN,MATCH(yoy!$K$1,Data!$A$1:$AN$1,),)-VLOOKUP(A79,Data!$A:$AN,MATCH(yoy!$K$1,Data!$A$1:$AN$1,),))/VLOOKUP(A79,Data!$A:$AN,MATCH(yoy!$K$1,Data!$A$1:$AN$1,),))+1)^12-1</f>
        <v/>
      </c>
      <c r="L79" s="14" t="n"/>
      <c r="M79" s="14" t="n"/>
      <c r="N79" s="14" t="n"/>
      <c r="O79" s="14" t="n"/>
      <c r="P79" s="14">
        <f>(((VLOOKUP(B79,Data!$A:$AN,MATCH(yoy!$P$1,Data!$A$1:$AN$1,),)-VLOOKUP(A79,Data!$A:$AN,MATCH(yoy!$P$1,Data!$A$1:$AN$1,),))/VLOOKUP(A79,Data!$A:$AN,MATCH(yoy!$P$1,Data!$A$1:$AN$1,),))+1)^12-1</f>
        <v/>
      </c>
      <c r="Q79" s="14">
        <f>(((VLOOKUP(B79,Data!$A:$AN,MATCH(yoy!$Q$1,Data!$A$1:$AN$1,),)-VLOOKUP(A79,Data!$A:$AN,MATCH(yoy!$Q$1,Data!$A$1:$AN$1,),))/VLOOKUP(A79,Data!$A:$AN,MATCH(yoy!$Q$1,Data!$A$1:$AN$1,),))+1)^12-1</f>
        <v/>
      </c>
      <c r="R79" s="14" t="n"/>
      <c r="S79" s="14">
        <f>(((VLOOKUP(B79,Data!$A:$AN,MATCH(yoy!$S$1,Data!$A$1:$AN$1,),)-VLOOKUP(A79,Data!$A:$AN,MATCH(yoy!$S$1,Data!$A$1:$AN$1,),))/VLOOKUP(A79,Data!$A:$AN,MATCH(yoy!$S$1,Data!$A$1:$AN$1,),))+1)^12-1</f>
        <v/>
      </c>
      <c r="T79" s="14" t="n"/>
      <c r="U79" s="14" t="n"/>
      <c r="V79" s="14">
        <f>(((VLOOKUP(B79,Data!$A:$AN,MATCH(yoy!$V$1,Data!$A$1:$AN$1,),)-VLOOKUP(A79,Data!$A:$AN,MATCH(yoy!$V$1,Data!$A$1:$AN$1,),))/VLOOKUP(A79,Data!$A:$AN,MATCH(yoy!$V$1,Data!$A$1:$AN$1,),))+1)^12-1</f>
        <v/>
      </c>
      <c r="W79" s="14" t="n"/>
      <c r="X79" s="14">
        <f>(((VLOOKUP(B79,Data!$A:$AN,MATCH(yoy!$X$1,Data!$A$1:$AN$1,),)-VLOOKUP(A79,Data!$A:$AN,MATCH(yoy!$X$1,Data!$A$1:$AN$1,),))/VLOOKUP(A79,Data!$A:$AN,MATCH(yoy!$X$1,Data!$A$1:$AN$1,),))+1)^12-1</f>
        <v/>
      </c>
      <c r="Y79" s="14" t="n"/>
      <c r="Z79" s="14">
        <f>(((VLOOKUP(B79,Data!$A:$AN,MATCH(yoy!$Z$1,Data!$A$1:$AN$1,),)-VLOOKUP(A79,Data!$A:$AN,MATCH(yoy!$Z$1,Data!$A$1:$AN$1,),))/VLOOKUP(A79,Data!$A:$AN,MATCH(yoy!$Z$1,Data!$A$1:$AN$1,),))+1)^12-1</f>
        <v/>
      </c>
      <c r="AA79" s="14" t="n"/>
    </row>
    <row r="80" customFormat="1" s="76">
      <c r="A80" s="20">
        <f>DATE(YEAR(B80),MONTH(B80)-1,DAY(B80))</f>
        <v/>
      </c>
      <c r="B80" s="12" t="n">
        <v>44287</v>
      </c>
      <c r="C80" s="14">
        <f>(((VLOOKUP(B80,Data!$A:$AN,MATCH(yoy!$C$1,Data!$A$1:$AN$1,),)-VLOOKUP(A80,Data!$A:$AN,MATCH(yoy!$C$1,Data!$A$1:$AN$1,),))/VLOOKUP(A80,Data!$A:$AN,MATCH(yoy!$C$1,Data!$A$1:$AN$1,),))+1)^12-1</f>
        <v/>
      </c>
      <c r="D80" s="14">
        <f>(((VLOOKUP(B80,Data!$A:$AN,MATCH(yoy!$D$1,Data!$A$1:$AN$1,),)-VLOOKUP(A80,Data!$A:$AN,MATCH(yoy!$D$1,Data!$A$1:$AN$1,),))/VLOOKUP(A80,Data!$A:$AN,MATCH(yoy!$D$1,Data!$A$1:$AN$1,),))+1)^12-1</f>
        <v/>
      </c>
      <c r="E80" s="14" t="n"/>
      <c r="F80" s="14">
        <f>(((VLOOKUP(B80,Data!$A:$AN,MATCH(yoy!$F$1,Data!$A$1:$AN$1,),)-VLOOKUP(A80,Data!$A:$AN,MATCH(yoy!$F$1,Data!$A$1:$AN$1,),))/VLOOKUP(A80,Data!$A:$AN,MATCH(yoy!$F$1,Data!$A$1:$AN$1,),))+1)^12-1</f>
        <v/>
      </c>
      <c r="G80" s="14">
        <f>(((VLOOKUP(B80,Data!$A:$AN,MATCH(yoy!$G$1,Data!$A$1:$AN$1,),)-VLOOKUP(A80,Data!$A:$AN,MATCH(yoy!$G$1,Data!$A$1:$AN$1,),))/VLOOKUP(A80,Data!$A:$AN,MATCH(yoy!$G$1,Data!$A$1:$AN$1,),))+1)^12-1</f>
        <v/>
      </c>
      <c r="H80" s="14">
        <f>(((VLOOKUP(B80,Data!$A:$AN,MATCH(yoy!$H$1,Data!$A$1:$AN$1,),)-VLOOKUP(A80,Data!$A:$AN,MATCH(yoy!$H$1,Data!$A$1:$AN$1,),))/VLOOKUP(A80,Data!$A:$AN,MATCH(yoy!$H$1,Data!$A$1:$AN$1,),))+1)^12-1</f>
        <v/>
      </c>
      <c r="I80" s="14" t="n"/>
      <c r="J80" s="14" t="n"/>
      <c r="K80" s="14">
        <f>(((VLOOKUP(B80,Data!$A:$AN,MATCH(yoy!$K$1,Data!$A$1:$AN$1,),)-VLOOKUP(A80,Data!$A:$AN,MATCH(yoy!$K$1,Data!$A$1:$AN$1,),))/VLOOKUP(A80,Data!$A:$AN,MATCH(yoy!$K$1,Data!$A$1:$AN$1,),))+1)^12-1</f>
        <v/>
      </c>
      <c r="L80" s="14" t="n"/>
      <c r="M80" s="14" t="n"/>
      <c r="N80" s="14" t="n"/>
      <c r="O80" s="14" t="n"/>
      <c r="P80" s="14">
        <f>(((VLOOKUP(B80,Data!$A:$AN,MATCH(yoy!$P$1,Data!$A$1:$AN$1,),)-VLOOKUP(A80,Data!$A:$AN,MATCH(yoy!$P$1,Data!$A$1:$AN$1,),))/VLOOKUP(A80,Data!$A:$AN,MATCH(yoy!$P$1,Data!$A$1:$AN$1,),))+1)^12-1</f>
        <v/>
      </c>
      <c r="Q80" s="14">
        <f>(((VLOOKUP(B80,Data!$A:$AN,MATCH(yoy!$Q$1,Data!$A$1:$AN$1,),)-VLOOKUP(A80,Data!$A:$AN,MATCH(yoy!$Q$1,Data!$A$1:$AN$1,),))/VLOOKUP(A80,Data!$A:$AN,MATCH(yoy!$Q$1,Data!$A$1:$AN$1,),))+1)^12-1</f>
        <v/>
      </c>
      <c r="R80" s="14" t="n"/>
      <c r="S80" s="14">
        <f>(((VLOOKUP(B80,Data!$A:$AN,MATCH(yoy!$S$1,Data!$A$1:$AN$1,),)-VLOOKUP(A80,Data!$A:$AN,MATCH(yoy!$S$1,Data!$A$1:$AN$1,),))/VLOOKUP(A80,Data!$A:$AN,MATCH(yoy!$S$1,Data!$A$1:$AN$1,),))+1)^12-1</f>
        <v/>
      </c>
      <c r="T80" s="14" t="n"/>
      <c r="U80" s="14" t="n"/>
      <c r="V80" s="14">
        <f>(((VLOOKUP(B80,Data!$A:$AN,MATCH(yoy!$V$1,Data!$A$1:$AN$1,),)-VLOOKUP(A80,Data!$A:$AN,MATCH(yoy!$V$1,Data!$A$1:$AN$1,),))/VLOOKUP(A80,Data!$A:$AN,MATCH(yoy!$V$1,Data!$A$1:$AN$1,),))+1)^12-1</f>
        <v/>
      </c>
      <c r="W80" s="14" t="n"/>
      <c r="X80" s="14">
        <f>(((VLOOKUP(B80,Data!$A:$AN,MATCH(yoy!$X$1,Data!$A$1:$AN$1,),)-VLOOKUP(A80,Data!$A:$AN,MATCH(yoy!$X$1,Data!$A$1:$AN$1,),))/VLOOKUP(A80,Data!$A:$AN,MATCH(yoy!$X$1,Data!$A$1:$AN$1,),))+1)^12-1</f>
        <v/>
      </c>
      <c r="Y80" s="14" t="n"/>
      <c r="Z80" s="14">
        <f>(((VLOOKUP(B80,Data!$A:$AN,MATCH(yoy!$Z$1,Data!$A$1:$AN$1,),)-VLOOKUP(A80,Data!$A:$AN,MATCH(yoy!$Z$1,Data!$A$1:$AN$1,),))/VLOOKUP(A80,Data!$A:$AN,MATCH(yoy!$Z$1,Data!$A$1:$AN$1,),))+1)^12-1</f>
        <v/>
      </c>
      <c r="AA80" s="14" t="n"/>
    </row>
    <row r="81" customFormat="1" s="76">
      <c r="A81" s="20">
        <f>DATE(YEAR(B81),MONTH(B81)-1,DAY(B81))</f>
        <v/>
      </c>
      <c r="B81" s="12" t="n">
        <v>44317</v>
      </c>
      <c r="C81" s="14">
        <f>(((VLOOKUP(B81,Data!$A:$AN,MATCH(yoy!$C$1,Data!$A$1:$AN$1,),)-VLOOKUP(A81,Data!$A:$AN,MATCH(yoy!$C$1,Data!$A$1:$AN$1,),))/VLOOKUP(A81,Data!$A:$AN,MATCH(yoy!$C$1,Data!$A$1:$AN$1,),))+1)^12-1</f>
        <v/>
      </c>
      <c r="D81" s="14">
        <f>(((VLOOKUP(B81,Data!$A:$AN,MATCH(yoy!$D$1,Data!$A$1:$AN$1,),)-VLOOKUP(A81,Data!$A:$AN,MATCH(yoy!$D$1,Data!$A$1:$AN$1,),))/VLOOKUP(A81,Data!$A:$AN,MATCH(yoy!$D$1,Data!$A$1:$AN$1,),))+1)^12-1</f>
        <v/>
      </c>
      <c r="E81" s="14" t="n"/>
      <c r="F81" s="14">
        <f>(((VLOOKUP(B81,Data!$A:$AN,MATCH(yoy!$F$1,Data!$A$1:$AN$1,),)-VLOOKUP(A81,Data!$A:$AN,MATCH(yoy!$F$1,Data!$A$1:$AN$1,),))/VLOOKUP(A81,Data!$A:$AN,MATCH(yoy!$F$1,Data!$A$1:$AN$1,),))+1)^12-1</f>
        <v/>
      </c>
      <c r="G81" s="14">
        <f>(((VLOOKUP(B81,Data!$A:$AN,MATCH(yoy!$G$1,Data!$A$1:$AN$1,),)-VLOOKUP(A81,Data!$A:$AN,MATCH(yoy!$G$1,Data!$A$1:$AN$1,),))/VLOOKUP(A81,Data!$A:$AN,MATCH(yoy!$G$1,Data!$A$1:$AN$1,),))+1)^12-1</f>
        <v/>
      </c>
      <c r="H81" s="14">
        <f>(((VLOOKUP(B81,Data!$A:$AN,MATCH(yoy!$H$1,Data!$A$1:$AN$1,),)-VLOOKUP(A81,Data!$A:$AN,MATCH(yoy!$H$1,Data!$A$1:$AN$1,),))/VLOOKUP(A81,Data!$A:$AN,MATCH(yoy!$H$1,Data!$A$1:$AN$1,),))+1)^12-1</f>
        <v/>
      </c>
      <c r="I81" s="14" t="n"/>
      <c r="J81" s="14" t="n"/>
      <c r="K81" s="14">
        <f>(((VLOOKUP(B81,Data!$A:$AN,MATCH(yoy!$K$1,Data!$A$1:$AN$1,),)-VLOOKUP(A81,Data!$A:$AN,MATCH(yoy!$K$1,Data!$A$1:$AN$1,),))/VLOOKUP(A81,Data!$A:$AN,MATCH(yoy!$K$1,Data!$A$1:$AN$1,),))+1)^12-1</f>
        <v/>
      </c>
      <c r="L81" s="14" t="n"/>
      <c r="M81" s="14" t="n"/>
      <c r="N81" s="14" t="n"/>
      <c r="O81" s="14" t="n"/>
      <c r="P81" s="14">
        <f>(((VLOOKUP(B81,Data!$A:$AN,MATCH(yoy!$P$1,Data!$A$1:$AN$1,),)-VLOOKUP(A81,Data!$A:$AN,MATCH(yoy!$P$1,Data!$A$1:$AN$1,),))/VLOOKUP(A81,Data!$A:$AN,MATCH(yoy!$P$1,Data!$A$1:$AN$1,),))+1)^12-1</f>
        <v/>
      </c>
      <c r="Q81" s="14">
        <f>(((VLOOKUP(B81,Data!$A:$AN,MATCH(yoy!$Q$1,Data!$A$1:$AN$1,),)-VLOOKUP(A81,Data!$A:$AN,MATCH(yoy!$Q$1,Data!$A$1:$AN$1,),))/VLOOKUP(A81,Data!$A:$AN,MATCH(yoy!$Q$1,Data!$A$1:$AN$1,),))+1)^12-1</f>
        <v/>
      </c>
      <c r="R81" s="14" t="n"/>
      <c r="S81" s="14">
        <f>(((VLOOKUP(B81,Data!$A:$AN,MATCH(yoy!$S$1,Data!$A$1:$AN$1,),)-VLOOKUP(A81,Data!$A:$AN,MATCH(yoy!$S$1,Data!$A$1:$AN$1,),))/VLOOKUP(A81,Data!$A:$AN,MATCH(yoy!$S$1,Data!$A$1:$AN$1,),))+1)^12-1</f>
        <v/>
      </c>
      <c r="T81" s="14" t="n"/>
      <c r="U81" s="14" t="n"/>
      <c r="V81" s="14">
        <f>(((VLOOKUP(B81,Data!$A:$AN,MATCH(yoy!$V$1,Data!$A$1:$AN$1,),)-VLOOKUP(A81,Data!$A:$AN,MATCH(yoy!$V$1,Data!$A$1:$AN$1,),))/VLOOKUP(A81,Data!$A:$AN,MATCH(yoy!$V$1,Data!$A$1:$AN$1,),))+1)^12-1</f>
        <v/>
      </c>
      <c r="W81" s="14" t="n"/>
      <c r="X81" s="14">
        <f>(((VLOOKUP(B81,Data!$A:$AN,MATCH(yoy!$X$1,Data!$A$1:$AN$1,),)-VLOOKUP(A81,Data!$A:$AN,MATCH(yoy!$X$1,Data!$A$1:$AN$1,),))/VLOOKUP(A81,Data!$A:$AN,MATCH(yoy!$X$1,Data!$A$1:$AN$1,),))+1)^12-1</f>
        <v/>
      </c>
      <c r="Y81" s="14" t="n"/>
      <c r="Z81" s="14">
        <f>(((VLOOKUP(B81,Data!$A:$AN,MATCH(yoy!$Z$1,Data!$A$1:$AN$1,),)-VLOOKUP(A81,Data!$A:$AN,MATCH(yoy!$Z$1,Data!$A$1:$AN$1,),))/VLOOKUP(A81,Data!$A:$AN,MATCH(yoy!$Z$1,Data!$A$1:$AN$1,),))+1)^12-1</f>
        <v/>
      </c>
      <c r="AA81" s="14" t="n"/>
    </row>
    <row r="82" customFormat="1" s="76">
      <c r="A82" s="20">
        <f>DATE(YEAR(B82),MONTH(B82)-1,DAY(B82))</f>
        <v/>
      </c>
      <c r="B82" s="12" t="n">
        <v>44348</v>
      </c>
      <c r="C82" s="14">
        <f>(((VLOOKUP(B82,Data!$A:$AN,MATCH(yoy!$C$1,Data!$A$1:$AN$1,),)-VLOOKUP(A82,Data!$A:$AN,MATCH(yoy!$C$1,Data!$A$1:$AN$1,),))/VLOOKUP(A82,Data!$A:$AN,MATCH(yoy!$C$1,Data!$A$1:$AN$1,),))+1)^12-1</f>
        <v/>
      </c>
      <c r="D82" s="14">
        <f>(((VLOOKUP(B82,Data!$A:$AN,MATCH(yoy!$D$1,Data!$A$1:$AN$1,),)-VLOOKUP(A82,Data!$A:$AN,MATCH(yoy!$D$1,Data!$A$1:$AN$1,),))/VLOOKUP(A82,Data!$A:$AN,MATCH(yoy!$D$1,Data!$A$1:$AN$1,),))+1)^12-1</f>
        <v/>
      </c>
      <c r="E82" s="14" t="n"/>
      <c r="F82" s="14">
        <f>(((VLOOKUP(B82,Data!$A:$AN,MATCH(yoy!$F$1,Data!$A$1:$AN$1,),)-VLOOKUP(A82,Data!$A:$AN,MATCH(yoy!$F$1,Data!$A$1:$AN$1,),))/VLOOKUP(A82,Data!$A:$AN,MATCH(yoy!$F$1,Data!$A$1:$AN$1,),))+1)^12-1</f>
        <v/>
      </c>
      <c r="G82" s="14">
        <f>(((VLOOKUP(B82,Data!$A:$AN,MATCH(yoy!$G$1,Data!$A$1:$AN$1,),)-VLOOKUP(A82,Data!$A:$AN,MATCH(yoy!$G$1,Data!$A$1:$AN$1,),))/VLOOKUP(A82,Data!$A:$AN,MATCH(yoy!$G$1,Data!$A$1:$AN$1,),))+1)^12-1</f>
        <v/>
      </c>
      <c r="H82" s="14">
        <f>(((VLOOKUP(B82,Data!$A:$AN,MATCH(yoy!$H$1,Data!$A$1:$AN$1,),)-VLOOKUP(A82,Data!$A:$AN,MATCH(yoy!$H$1,Data!$A$1:$AN$1,),))/VLOOKUP(A82,Data!$A:$AN,MATCH(yoy!$H$1,Data!$A$1:$AN$1,),))+1)^12-1</f>
        <v/>
      </c>
      <c r="I82" s="14" t="n"/>
      <c r="J82" s="14" t="n"/>
      <c r="K82" s="14">
        <f>(((VLOOKUP(B82,Data!$A:$AN,MATCH(yoy!$K$1,Data!$A$1:$AN$1,),)-VLOOKUP(A82,Data!$A:$AN,MATCH(yoy!$K$1,Data!$A$1:$AN$1,),))/VLOOKUP(A82,Data!$A:$AN,MATCH(yoy!$K$1,Data!$A$1:$AN$1,),))+1)^12-1</f>
        <v/>
      </c>
      <c r="L82" s="14" t="n"/>
      <c r="M82" s="14" t="n"/>
      <c r="N82" s="14" t="n"/>
      <c r="O82" s="14" t="n"/>
      <c r="P82" s="14">
        <f>(((VLOOKUP(B82,Data!$A:$AN,MATCH(yoy!$P$1,Data!$A$1:$AN$1,),)-VLOOKUP(A82,Data!$A:$AN,MATCH(yoy!$P$1,Data!$A$1:$AN$1,),))/VLOOKUP(A82,Data!$A:$AN,MATCH(yoy!$P$1,Data!$A$1:$AN$1,),))+1)^12-1</f>
        <v/>
      </c>
      <c r="Q82" s="14">
        <f>(((VLOOKUP(B82,Data!$A:$AN,MATCH(yoy!$Q$1,Data!$A$1:$AN$1,),)-VLOOKUP(A82,Data!$A:$AN,MATCH(yoy!$Q$1,Data!$A$1:$AN$1,),))/VLOOKUP(A82,Data!$A:$AN,MATCH(yoy!$Q$1,Data!$A$1:$AN$1,),))+1)^12-1</f>
        <v/>
      </c>
      <c r="R82" s="14" t="n"/>
      <c r="S82" s="14">
        <f>(((VLOOKUP(B82,Data!$A:$AN,MATCH(yoy!$S$1,Data!$A$1:$AN$1,),)-VLOOKUP(A82,Data!$A:$AN,MATCH(yoy!$S$1,Data!$A$1:$AN$1,),))/VLOOKUP(A82,Data!$A:$AN,MATCH(yoy!$S$1,Data!$A$1:$AN$1,),))+1)^12-1</f>
        <v/>
      </c>
      <c r="T82" s="14" t="n"/>
      <c r="U82" s="14" t="n"/>
      <c r="V82" s="14">
        <f>(((VLOOKUP(B82,Data!$A:$AN,MATCH(yoy!$V$1,Data!$A$1:$AN$1,),)-VLOOKUP(A82,Data!$A:$AN,MATCH(yoy!$V$1,Data!$A$1:$AN$1,),))/VLOOKUP(A82,Data!$A:$AN,MATCH(yoy!$V$1,Data!$A$1:$AN$1,),))+1)^12-1</f>
        <v/>
      </c>
      <c r="W82" s="14" t="n"/>
      <c r="X82" s="14">
        <f>(((VLOOKUP(B82,Data!$A:$AN,MATCH(yoy!$X$1,Data!$A$1:$AN$1,),)-VLOOKUP(A82,Data!$A:$AN,MATCH(yoy!$X$1,Data!$A$1:$AN$1,),))/VLOOKUP(A82,Data!$A:$AN,MATCH(yoy!$X$1,Data!$A$1:$AN$1,),))+1)^12-1</f>
        <v/>
      </c>
      <c r="Y82" s="14" t="n"/>
      <c r="Z82" s="14">
        <f>(((VLOOKUP(B82,Data!$A:$AN,MATCH(yoy!$Z$1,Data!$A$1:$AN$1,),)-VLOOKUP(A82,Data!$A:$AN,MATCH(yoy!$Z$1,Data!$A$1:$AN$1,),))/VLOOKUP(A82,Data!$A:$AN,MATCH(yoy!$Z$1,Data!$A$1:$AN$1,),))+1)^12-1</f>
        <v/>
      </c>
      <c r="AA82" s="14" t="n"/>
    </row>
    <row r="83" customFormat="1" s="76">
      <c r="A83" s="20">
        <f>DATE(YEAR(B83),MONTH(B83)-1,DAY(B83))</f>
        <v/>
      </c>
      <c r="B83" s="12" t="n">
        <v>44378</v>
      </c>
      <c r="C83" s="14">
        <f>(((VLOOKUP(B83,Data!$A:$AN,MATCH(yoy!$C$1,Data!$A$1:$AN$1,),)-VLOOKUP(A83,Data!$A:$AN,MATCH(yoy!$C$1,Data!$A$1:$AN$1,),))/VLOOKUP(A83,Data!$A:$AN,MATCH(yoy!$C$1,Data!$A$1:$AN$1,),))+1)^12-1</f>
        <v/>
      </c>
      <c r="D83" s="14">
        <f>(((VLOOKUP(B83,Data!$A:$AN,MATCH(yoy!$D$1,Data!$A$1:$AN$1,),)-VLOOKUP(A83,Data!$A:$AN,MATCH(yoy!$D$1,Data!$A$1:$AN$1,),))/VLOOKUP(A83,Data!$A:$AN,MATCH(yoy!$D$1,Data!$A$1:$AN$1,),))+1)^12-1</f>
        <v/>
      </c>
      <c r="E83" s="14" t="n"/>
      <c r="F83" s="14">
        <f>(((VLOOKUP(B83,Data!$A:$AN,MATCH(yoy!$F$1,Data!$A$1:$AN$1,),)-VLOOKUP(A83,Data!$A:$AN,MATCH(yoy!$F$1,Data!$A$1:$AN$1,),))/VLOOKUP(A83,Data!$A:$AN,MATCH(yoy!$F$1,Data!$A$1:$AN$1,),))+1)^12-1</f>
        <v/>
      </c>
      <c r="G83" s="14">
        <f>(((VLOOKUP(B83,Data!$A:$AN,MATCH(yoy!$G$1,Data!$A$1:$AN$1,),)-VLOOKUP(A83,Data!$A:$AN,MATCH(yoy!$G$1,Data!$A$1:$AN$1,),))/VLOOKUP(A83,Data!$A:$AN,MATCH(yoy!$G$1,Data!$A$1:$AN$1,),))+1)^12-1</f>
        <v/>
      </c>
      <c r="H83" s="14">
        <f>(((VLOOKUP(B83,Data!$A:$AN,MATCH(yoy!$H$1,Data!$A$1:$AN$1,),)-VLOOKUP(A83,Data!$A:$AN,MATCH(yoy!$H$1,Data!$A$1:$AN$1,),))/VLOOKUP(A83,Data!$A:$AN,MATCH(yoy!$H$1,Data!$A$1:$AN$1,),))+1)^12-1</f>
        <v/>
      </c>
      <c r="I83" s="14" t="n"/>
      <c r="J83" s="14" t="n"/>
      <c r="K83" s="14">
        <f>(((VLOOKUP(B83,Data!$A:$AN,MATCH(yoy!$K$1,Data!$A$1:$AN$1,),)-VLOOKUP(A83,Data!$A:$AN,MATCH(yoy!$K$1,Data!$A$1:$AN$1,),))/VLOOKUP(A83,Data!$A:$AN,MATCH(yoy!$K$1,Data!$A$1:$AN$1,),))+1)^12-1</f>
        <v/>
      </c>
      <c r="L83" s="14" t="n"/>
      <c r="M83" s="14" t="n"/>
      <c r="N83" s="14" t="n"/>
      <c r="O83" s="14" t="n"/>
      <c r="P83" s="14">
        <f>(((VLOOKUP(B83,Data!$A:$AN,MATCH(yoy!$P$1,Data!$A$1:$AN$1,),)-VLOOKUP(A83,Data!$A:$AN,MATCH(yoy!$P$1,Data!$A$1:$AN$1,),))/VLOOKUP(A83,Data!$A:$AN,MATCH(yoy!$P$1,Data!$A$1:$AN$1,),))+1)^12-1</f>
        <v/>
      </c>
      <c r="Q83" s="14">
        <f>(((VLOOKUP(B83,Data!$A:$AN,MATCH(yoy!$Q$1,Data!$A$1:$AN$1,),)-VLOOKUP(A83,Data!$A:$AN,MATCH(yoy!$Q$1,Data!$A$1:$AN$1,),))/VLOOKUP(A83,Data!$A:$AN,MATCH(yoy!$Q$1,Data!$A$1:$AN$1,),))+1)^12-1</f>
        <v/>
      </c>
      <c r="R83" s="14" t="n"/>
      <c r="S83" s="14">
        <f>(((VLOOKUP(B83,Data!$A:$AN,MATCH(yoy!$S$1,Data!$A$1:$AN$1,),)-VLOOKUP(A83,Data!$A:$AN,MATCH(yoy!$S$1,Data!$A$1:$AN$1,),))/VLOOKUP(A83,Data!$A:$AN,MATCH(yoy!$S$1,Data!$A$1:$AN$1,),))+1)^12-1</f>
        <v/>
      </c>
      <c r="T83" s="14" t="n"/>
      <c r="U83" s="14" t="n"/>
      <c r="V83" s="14">
        <f>(((VLOOKUP(B83,Data!$A:$AN,MATCH(yoy!$V$1,Data!$A$1:$AN$1,),)-VLOOKUP(A83,Data!$A:$AN,MATCH(yoy!$V$1,Data!$A$1:$AN$1,),))/VLOOKUP(A83,Data!$A:$AN,MATCH(yoy!$V$1,Data!$A$1:$AN$1,),))+1)^12-1</f>
        <v/>
      </c>
      <c r="W83" s="14" t="n"/>
      <c r="X83" s="14">
        <f>(((VLOOKUP(B83,Data!$A:$AN,MATCH(yoy!$X$1,Data!$A$1:$AN$1,),)-VLOOKUP(A83,Data!$A:$AN,MATCH(yoy!$X$1,Data!$A$1:$AN$1,),))/VLOOKUP(A83,Data!$A:$AN,MATCH(yoy!$X$1,Data!$A$1:$AN$1,),))+1)^12-1</f>
        <v/>
      </c>
      <c r="Y83" s="14" t="n"/>
      <c r="Z83" s="14">
        <f>(((VLOOKUP(B83,Data!$A:$AN,MATCH(yoy!$Z$1,Data!$A$1:$AN$1,),)-VLOOKUP(A83,Data!$A:$AN,MATCH(yoy!$Z$1,Data!$A$1:$AN$1,),))/VLOOKUP(A83,Data!$A:$AN,MATCH(yoy!$Z$1,Data!$A$1:$AN$1,),))+1)^12-1</f>
        <v/>
      </c>
      <c r="AA83" s="14" t="n"/>
    </row>
    <row r="84" customFormat="1" s="76">
      <c r="A84" s="20">
        <f>DATE(YEAR(B84),MONTH(B84)-1,DAY(B84))</f>
        <v/>
      </c>
      <c r="B84" s="12" t="n">
        <v>44409</v>
      </c>
      <c r="C84" s="14">
        <f>(((VLOOKUP(B84,Data!$A:$AN,MATCH(yoy!$C$1,Data!$A$1:$AN$1,),)-VLOOKUP(A84,Data!$A:$AN,MATCH(yoy!$C$1,Data!$A$1:$AN$1,),))/VLOOKUP(A84,Data!$A:$AN,MATCH(yoy!$C$1,Data!$A$1:$AN$1,),))+1)^12-1</f>
        <v/>
      </c>
      <c r="D84" s="14">
        <f>(((VLOOKUP(B84,Data!$A:$AN,MATCH(yoy!$D$1,Data!$A$1:$AN$1,),)-VLOOKUP(A84,Data!$A:$AN,MATCH(yoy!$D$1,Data!$A$1:$AN$1,),))/VLOOKUP(A84,Data!$A:$AN,MATCH(yoy!$D$1,Data!$A$1:$AN$1,),))+1)^12-1</f>
        <v/>
      </c>
      <c r="E84" s="14" t="n"/>
      <c r="F84" s="14">
        <f>(((VLOOKUP(B84,Data!$A:$AN,MATCH(yoy!$F$1,Data!$A$1:$AN$1,),)-VLOOKUP(A84,Data!$A:$AN,MATCH(yoy!$F$1,Data!$A$1:$AN$1,),))/VLOOKUP(A84,Data!$A:$AN,MATCH(yoy!$F$1,Data!$A$1:$AN$1,),))+1)^12-1</f>
        <v/>
      </c>
      <c r="G84" s="14">
        <f>(((VLOOKUP(B84,Data!$A:$AN,MATCH(yoy!$G$1,Data!$A$1:$AN$1,),)-VLOOKUP(A84,Data!$A:$AN,MATCH(yoy!$G$1,Data!$A$1:$AN$1,),))/VLOOKUP(A84,Data!$A:$AN,MATCH(yoy!$G$1,Data!$A$1:$AN$1,),))+1)^12-1</f>
        <v/>
      </c>
      <c r="H84" s="14">
        <f>(((VLOOKUP(B84,Data!$A:$AN,MATCH(yoy!$H$1,Data!$A$1:$AN$1,),)-VLOOKUP(A84,Data!$A:$AN,MATCH(yoy!$H$1,Data!$A$1:$AN$1,),))/VLOOKUP(A84,Data!$A:$AN,MATCH(yoy!$H$1,Data!$A$1:$AN$1,),))+1)^12-1</f>
        <v/>
      </c>
      <c r="I84" s="14" t="n"/>
      <c r="J84" s="14" t="n"/>
      <c r="K84" s="14">
        <f>(((VLOOKUP(B84,Data!$A:$AN,MATCH(yoy!$K$1,Data!$A$1:$AN$1,),)-VLOOKUP(A84,Data!$A:$AN,MATCH(yoy!$K$1,Data!$A$1:$AN$1,),))/VLOOKUP(A84,Data!$A:$AN,MATCH(yoy!$K$1,Data!$A$1:$AN$1,),))+1)^12-1</f>
        <v/>
      </c>
      <c r="L84" s="14" t="n"/>
      <c r="M84" s="14" t="n"/>
      <c r="N84" s="14" t="n"/>
      <c r="O84" s="14" t="n"/>
      <c r="P84" s="14">
        <f>(((VLOOKUP(B84,Data!$A:$AN,MATCH(yoy!$P$1,Data!$A$1:$AN$1,),)-VLOOKUP(A84,Data!$A:$AN,MATCH(yoy!$P$1,Data!$A$1:$AN$1,),))/VLOOKUP(A84,Data!$A:$AN,MATCH(yoy!$P$1,Data!$A$1:$AN$1,),))+1)^12-1</f>
        <v/>
      </c>
      <c r="Q84" s="14">
        <f>(((VLOOKUP(B84,Data!$A:$AN,MATCH(yoy!$Q$1,Data!$A$1:$AN$1,),)-VLOOKUP(A84,Data!$A:$AN,MATCH(yoy!$Q$1,Data!$A$1:$AN$1,),))/VLOOKUP(A84,Data!$A:$AN,MATCH(yoy!$Q$1,Data!$A$1:$AN$1,),))+1)^12-1</f>
        <v/>
      </c>
      <c r="R84" s="14" t="n"/>
      <c r="S84" s="14">
        <f>(((VLOOKUP(B84,Data!$A:$AN,MATCH(yoy!$S$1,Data!$A$1:$AN$1,),)-VLOOKUP(A84,Data!$A:$AN,MATCH(yoy!$S$1,Data!$A$1:$AN$1,),))/VLOOKUP(A84,Data!$A:$AN,MATCH(yoy!$S$1,Data!$A$1:$AN$1,),))+1)^12-1</f>
        <v/>
      </c>
      <c r="T84" s="14" t="n"/>
      <c r="U84" s="14" t="n"/>
      <c r="V84" s="14">
        <f>(((VLOOKUP(B84,Data!$A:$AN,MATCH(yoy!$V$1,Data!$A$1:$AN$1,),)-VLOOKUP(A84,Data!$A:$AN,MATCH(yoy!$V$1,Data!$A$1:$AN$1,),))/VLOOKUP(A84,Data!$A:$AN,MATCH(yoy!$V$1,Data!$A$1:$AN$1,),))+1)^12-1</f>
        <v/>
      </c>
      <c r="W84" s="14" t="n"/>
      <c r="X84" s="14">
        <f>(((VLOOKUP(B84,Data!$A:$AN,MATCH(yoy!$X$1,Data!$A$1:$AN$1,),)-VLOOKUP(A84,Data!$A:$AN,MATCH(yoy!$X$1,Data!$A$1:$AN$1,),))/VLOOKUP(A84,Data!$A:$AN,MATCH(yoy!$X$1,Data!$A$1:$AN$1,),))+1)^12-1</f>
        <v/>
      </c>
      <c r="Y84" s="14" t="n"/>
      <c r="Z84" s="14">
        <f>(((VLOOKUP(B84,Data!$A:$AN,MATCH(yoy!$Z$1,Data!$A$1:$AN$1,),)-VLOOKUP(A84,Data!$A:$AN,MATCH(yoy!$Z$1,Data!$A$1:$AN$1,),))/VLOOKUP(A84,Data!$A:$AN,MATCH(yoy!$Z$1,Data!$A$1:$AN$1,),))+1)^12-1</f>
        <v/>
      </c>
      <c r="AA84" s="14" t="n"/>
    </row>
    <row r="85" customFormat="1" s="76">
      <c r="A85" s="20">
        <f>DATE(YEAR(B85),MONTH(B85)-1,DAY(B85))</f>
        <v/>
      </c>
      <c r="B85" s="12" t="n">
        <v>44440</v>
      </c>
      <c r="C85" s="14">
        <f>(((VLOOKUP(B85,Data!$A:$AN,MATCH(yoy!$C$1,Data!$A$1:$AN$1,),)-VLOOKUP(A85,Data!$A:$AN,MATCH(yoy!$C$1,Data!$A$1:$AN$1,),))/VLOOKUP(A85,Data!$A:$AN,MATCH(yoy!$C$1,Data!$A$1:$AN$1,),))+1)^12-1</f>
        <v/>
      </c>
      <c r="D85" s="14">
        <f>(((VLOOKUP(B85,Data!$A:$AN,MATCH(yoy!$D$1,Data!$A$1:$AN$1,),)-VLOOKUP(A85,Data!$A:$AN,MATCH(yoy!$D$1,Data!$A$1:$AN$1,),))/VLOOKUP(A85,Data!$A:$AN,MATCH(yoy!$D$1,Data!$A$1:$AN$1,),))+1)^12-1</f>
        <v/>
      </c>
      <c r="E85" s="14" t="n"/>
      <c r="F85" s="14">
        <f>(((VLOOKUP(B85,Data!$A:$AN,MATCH(yoy!$F$1,Data!$A$1:$AN$1,),)-VLOOKUP(A85,Data!$A:$AN,MATCH(yoy!$F$1,Data!$A$1:$AN$1,),))/VLOOKUP(A85,Data!$A:$AN,MATCH(yoy!$F$1,Data!$A$1:$AN$1,),))+1)^12-1</f>
        <v/>
      </c>
      <c r="G85" s="14">
        <f>(((VLOOKUP(B85,Data!$A:$AN,MATCH(yoy!$G$1,Data!$A$1:$AN$1,),)-VLOOKUP(A85,Data!$A:$AN,MATCH(yoy!$G$1,Data!$A$1:$AN$1,),))/VLOOKUP(A85,Data!$A:$AN,MATCH(yoy!$G$1,Data!$A$1:$AN$1,),))+1)^12-1</f>
        <v/>
      </c>
      <c r="H85" s="14">
        <f>(((VLOOKUP(B85,Data!$A:$AN,MATCH(yoy!$H$1,Data!$A$1:$AN$1,),)-VLOOKUP(A85,Data!$A:$AN,MATCH(yoy!$H$1,Data!$A$1:$AN$1,),))/VLOOKUP(A85,Data!$A:$AN,MATCH(yoy!$H$1,Data!$A$1:$AN$1,),))+1)^12-1</f>
        <v/>
      </c>
      <c r="I85" s="14" t="n"/>
      <c r="J85" s="14" t="n"/>
      <c r="K85" s="14">
        <f>(((VLOOKUP(B85,Data!$A:$AN,MATCH(yoy!$K$1,Data!$A$1:$AN$1,),)-VLOOKUP(A85,Data!$A:$AN,MATCH(yoy!$K$1,Data!$A$1:$AN$1,),))/VLOOKUP(A85,Data!$A:$AN,MATCH(yoy!$K$1,Data!$A$1:$AN$1,),))+1)^12-1</f>
        <v/>
      </c>
      <c r="L85" s="14" t="n"/>
      <c r="M85" s="14" t="n"/>
      <c r="N85" s="14" t="n"/>
      <c r="O85" s="14" t="n"/>
      <c r="P85" s="14">
        <f>(((VLOOKUP(B85,Data!$A:$AN,MATCH(yoy!$P$1,Data!$A$1:$AN$1,),)-VLOOKUP(A85,Data!$A:$AN,MATCH(yoy!$P$1,Data!$A$1:$AN$1,),))/VLOOKUP(A85,Data!$A:$AN,MATCH(yoy!$P$1,Data!$A$1:$AN$1,),))+1)^12-1</f>
        <v/>
      </c>
      <c r="Q85" s="14">
        <f>(((VLOOKUP(B85,Data!$A:$AN,MATCH(yoy!$Q$1,Data!$A$1:$AN$1,),)-VLOOKUP(A85,Data!$A:$AN,MATCH(yoy!$Q$1,Data!$A$1:$AN$1,),))/VLOOKUP(A85,Data!$A:$AN,MATCH(yoy!$Q$1,Data!$A$1:$AN$1,),))+1)^12-1</f>
        <v/>
      </c>
      <c r="R85" s="14" t="n"/>
      <c r="S85" s="14">
        <f>(((VLOOKUP(B85,Data!$A:$AN,MATCH(yoy!$S$1,Data!$A$1:$AN$1,),)-VLOOKUP(A85,Data!$A:$AN,MATCH(yoy!$S$1,Data!$A$1:$AN$1,),))/VLOOKUP(A85,Data!$A:$AN,MATCH(yoy!$S$1,Data!$A$1:$AN$1,),))+1)^12-1</f>
        <v/>
      </c>
      <c r="T85" s="14" t="n"/>
      <c r="U85" s="14" t="n"/>
      <c r="V85" s="14">
        <f>(((VLOOKUP(B85,Data!$A:$AN,MATCH(yoy!$V$1,Data!$A$1:$AN$1,),)-VLOOKUP(A85,Data!$A:$AN,MATCH(yoy!$V$1,Data!$A$1:$AN$1,),))/VLOOKUP(A85,Data!$A:$AN,MATCH(yoy!$V$1,Data!$A$1:$AN$1,),))+1)^12-1</f>
        <v/>
      </c>
      <c r="W85" s="14" t="n"/>
      <c r="X85" s="14">
        <f>(((VLOOKUP(B85,Data!$A:$AN,MATCH(yoy!$X$1,Data!$A$1:$AN$1,),)-VLOOKUP(A85,Data!$A:$AN,MATCH(yoy!$X$1,Data!$A$1:$AN$1,),))/VLOOKUP(A85,Data!$A:$AN,MATCH(yoy!$X$1,Data!$A$1:$AN$1,),))+1)^12-1</f>
        <v/>
      </c>
      <c r="Y85" s="14" t="n"/>
      <c r="Z85" s="14">
        <f>(((VLOOKUP(B85,Data!$A:$AN,MATCH(yoy!$Z$1,Data!$A$1:$AN$1,),)-VLOOKUP(A85,Data!$A:$AN,MATCH(yoy!$Z$1,Data!$A$1:$AN$1,),))/VLOOKUP(A85,Data!$A:$AN,MATCH(yoy!$Z$1,Data!$A$1:$AN$1,),))+1)^12-1</f>
        <v/>
      </c>
      <c r="AA85" s="14" t="n"/>
    </row>
    <row r="86" customFormat="1" s="76">
      <c r="A86" s="20">
        <f>DATE(YEAR(B86),MONTH(B86)-1,DAY(B86))</f>
        <v/>
      </c>
      <c r="B86" s="12" t="n">
        <v>44470</v>
      </c>
      <c r="C86" s="14" t="n"/>
      <c r="D86" s="14">
        <f>(((VLOOKUP(B86,Data!$A:$AN,MATCH(yoy!$D$1,Data!$A$1:$AN$1,),)-VLOOKUP(A86,Data!$A:$AN,MATCH(yoy!$D$1,Data!$A$1:$AN$1,),))/VLOOKUP(A86,Data!$A:$AN,MATCH(yoy!$D$1,Data!$A$1:$AN$1,),))+1)^12-1</f>
        <v/>
      </c>
      <c r="E86" s="14" t="n"/>
      <c r="F86" s="14">
        <f>(((VLOOKUP(B86,Data!$A:$AN,MATCH(yoy!$F$1,Data!$A$1:$AN$1,),)-VLOOKUP(A86,Data!$A:$AN,MATCH(yoy!$F$1,Data!$A$1:$AN$1,),))/VLOOKUP(A86,Data!$A:$AN,MATCH(yoy!$F$1,Data!$A$1:$AN$1,),))+1)^12-1</f>
        <v/>
      </c>
      <c r="G86" s="14">
        <f>(((VLOOKUP(B86,Data!$A:$AN,MATCH(yoy!$G$1,Data!$A$1:$AN$1,),)-VLOOKUP(A86,Data!$A:$AN,MATCH(yoy!$G$1,Data!$A$1:$AN$1,),))/VLOOKUP(A86,Data!$A:$AN,MATCH(yoy!$G$1,Data!$A$1:$AN$1,),))+1)^12-1</f>
        <v/>
      </c>
      <c r="H86" s="14">
        <f>(((VLOOKUP(B86,Data!$A:$AN,MATCH(yoy!$H$1,Data!$A$1:$AN$1,),)-VLOOKUP(A86,Data!$A:$AN,MATCH(yoy!$H$1,Data!$A$1:$AN$1,),))/VLOOKUP(A86,Data!$A:$AN,MATCH(yoy!$H$1,Data!$A$1:$AN$1,),))+1)^12-1</f>
        <v/>
      </c>
      <c r="I86" s="14" t="n"/>
      <c r="J86" s="14" t="n"/>
      <c r="K86" s="14">
        <f>(((VLOOKUP(B86,Data!$A:$AN,MATCH(yoy!$K$1,Data!$A$1:$AN$1,),)-VLOOKUP(A86,Data!$A:$AN,MATCH(yoy!$K$1,Data!$A$1:$AN$1,),))/VLOOKUP(A86,Data!$A:$AN,MATCH(yoy!$K$1,Data!$A$1:$AN$1,),))+1)^12-1</f>
        <v/>
      </c>
      <c r="L86" s="14" t="n"/>
      <c r="M86" s="14" t="n"/>
      <c r="N86" s="14" t="n"/>
      <c r="O86" s="14" t="n"/>
      <c r="P86" s="14" t="n"/>
      <c r="Q86" s="14">
        <f>(((VLOOKUP(B86,Data!$A:$AN,MATCH(yoy!$Q$1,Data!$A$1:$AN$1,),)-VLOOKUP(A86,Data!$A:$AN,MATCH(yoy!$Q$1,Data!$A$1:$AN$1,),))/VLOOKUP(A86,Data!$A:$AN,MATCH(yoy!$Q$1,Data!$A$1:$AN$1,),))+1)^12-1</f>
        <v/>
      </c>
      <c r="R86" s="14" t="n"/>
      <c r="S86" s="14" t="n"/>
      <c r="T86" s="14" t="n"/>
      <c r="U86" s="14" t="n"/>
      <c r="V86" s="14" t="n"/>
      <c r="W86" s="14" t="n"/>
      <c r="X86" s="14">
        <f>(((VLOOKUP(B86,Data!$A:$AN,MATCH(yoy!$X$1,Data!$A$1:$AN$1,),)-VLOOKUP(A86,Data!$A:$AN,MATCH(yoy!$X$1,Data!$A$1:$AN$1,),))/VLOOKUP(A86,Data!$A:$AN,MATCH(yoy!$X$1,Data!$A$1:$AN$1,),))+1)^12-1</f>
        <v/>
      </c>
      <c r="Y86" s="14" t="n"/>
      <c r="Z86" s="14">
        <f>(((VLOOKUP(B86,Data!$A:$AN,MATCH(yoy!$Z$1,Data!$A$1:$AN$1,),)-VLOOKUP(A86,Data!$A:$AN,MATCH(yoy!$Z$1,Data!$A$1:$AN$1,),))/VLOOKUP(A86,Data!$A:$AN,MATCH(yoy!$Z$1,Data!$A$1:$AN$1,),))+1)^12-1</f>
        <v/>
      </c>
      <c r="AA86" s="14" t="n"/>
    </row>
    <row r="87" customFormat="1" s="76"/>
    <row r="88" customFormat="1" s="76"/>
    <row r="89" customFormat="1" s="76"/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5"/>
  <sheetViews>
    <sheetView zoomScale="140" zoomScaleNormal="140" workbookViewId="0">
      <pane ySplit="5" topLeftCell="A689" activePane="bottomLeft" state="frozen"/>
      <selection pane="bottomLeft" activeCell="Q708" sqref="Q708"/>
    </sheetView>
  </sheetViews>
  <sheetFormatPr baseColWidth="10" defaultColWidth="9.1640625" defaultRowHeight="15"/>
  <cols>
    <col width="12" customWidth="1" style="76" min="1" max="1"/>
    <col width="14.33203125" customWidth="1" style="76" min="2" max="2"/>
    <col width="11.1640625" customWidth="1" style="16" min="3" max="4"/>
    <col width="9.1640625" customWidth="1" style="76" min="5" max="5"/>
    <col width="20.33203125" customWidth="1" style="76" min="6" max="6"/>
    <col width="14.6640625" customWidth="1" style="76" min="7" max="7"/>
    <col width="9.1640625" customWidth="1" style="76" min="8" max="14"/>
    <col width="9.1640625" customWidth="1" style="76" min="15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MIN(D469:D736)</f>
        <v/>
      </c>
    </row>
    <row r="4" ht="16" customHeight="1" s="88" thickBot="1">
      <c r="F4" s="76" t="inlineStr">
        <is>
          <t>Maximum last 20 years</t>
        </is>
      </c>
      <c r="G4" s="37">
        <f>MAX(D469:D737)</f>
        <v/>
      </c>
    </row>
    <row r="5" ht="32" customHeight="1" s="88">
      <c r="A5" s="62" t="inlineStr">
        <is>
          <t>Date</t>
        </is>
      </c>
      <c r="B5" s="63" t="inlineStr">
        <is>
          <t>Country</t>
        </is>
      </c>
      <c r="C5" s="50" t="inlineStr">
        <is>
          <t>yoy</t>
        </is>
      </c>
      <c r="D5" s="51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4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4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4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4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4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4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4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4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4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4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4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4">
        <f>IF(B6&gt;0,(Table2[[#This Row],[Country]]-B6)/B6,0)</f>
        <v/>
      </c>
      <c r="D18" s="64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4">
        <f>IF(B7&gt;0,(Table2[[#This Row],[Country]]-B7)/B7,0)</f>
        <v/>
      </c>
      <c r="D19" s="64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4">
        <f>IF(B8&gt;0,(Table2[[#This Row],[Country]]-B8)/B8,0)</f>
        <v/>
      </c>
      <c r="D20" s="64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4">
        <f>IF(B9&gt;0,(Table2[[#This Row],[Country]]-B9)/B9,0)</f>
        <v/>
      </c>
      <c r="D21" s="64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4">
        <f>IF(B10&gt;0,(Table2[[#This Row],[Country]]-B10)/B10,0)</f>
        <v/>
      </c>
      <c r="D22" s="64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4">
        <f>IF(B11&gt;0,(Table2[[#This Row],[Country]]-B11)/B11,0)</f>
        <v/>
      </c>
      <c r="D23" s="64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4">
        <f>IF(B12&gt;0,(Table2[[#This Row],[Country]]-B12)/B12,0)</f>
        <v/>
      </c>
      <c r="D24" s="64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4">
        <f>IF(B13&gt;0,(Table2[[#This Row],[Country]]-B13)/B13,0)</f>
        <v/>
      </c>
      <c r="D25" s="64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4">
        <f>IF(B14&gt;0,(Table2[[#This Row],[Country]]-B14)/B14,0)</f>
        <v/>
      </c>
      <c r="D26" s="64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4">
        <f>IF(B15&gt;0,(Table2[[#This Row],[Country]]-B15)/B15,0)</f>
        <v/>
      </c>
      <c r="D27" s="64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4">
        <f>IF(B16&gt;0,(Table2[[#This Row],[Country]]-B16)/B16,0)</f>
        <v/>
      </c>
      <c r="D28" s="64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4">
        <f>IF(B17&gt;0,(Table2[[#This Row],[Country]]-B17)/B17,0)</f>
        <v/>
      </c>
      <c r="D29" s="64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4">
        <f>IF(B18&gt;0,(Table2[[#This Row],[Country]]-B18)/B18,0)</f>
        <v/>
      </c>
      <c r="D30" s="64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4">
        <f>IF(B19&gt;0,(Table2[[#This Row],[Country]]-B19)/B19,0)</f>
        <v/>
      </c>
      <c r="D31" s="64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4">
        <f>IF(B20&gt;0,(Table2[[#This Row],[Country]]-B20)/B20,0)</f>
        <v/>
      </c>
      <c r="D32" s="64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4">
        <f>IF(B21&gt;0,(Table2[[#This Row],[Country]]-B21)/B21,0)</f>
        <v/>
      </c>
      <c r="D33" s="64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4">
        <f>IF(B22&gt;0,(Table2[[#This Row],[Country]]-B22)/B22,0)</f>
        <v/>
      </c>
      <c r="D34" s="64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4">
        <f>IF(B23&gt;0,(Table2[[#This Row],[Country]]-B23)/B23,0)</f>
        <v/>
      </c>
      <c r="D35" s="64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4">
        <f>IF(B24&gt;0,(Table2[[#This Row],[Country]]-B24)/B24,0)</f>
        <v/>
      </c>
      <c r="D36" s="64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4">
        <f>IF(B25&gt;0,(Table2[[#This Row],[Country]]-B25)/B25,0)</f>
        <v/>
      </c>
      <c r="D37" s="64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4">
        <f>IF(B26&gt;0,(Table2[[#This Row],[Country]]-B26)/B26,0)</f>
        <v/>
      </c>
      <c r="D38" s="64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4">
        <f>IF(B27&gt;0,(Table2[[#This Row],[Country]]-B27)/B27,0)</f>
        <v/>
      </c>
      <c r="D39" s="64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4">
        <f>IF(B28&gt;0,(Table2[[#This Row],[Country]]-B28)/B28,0)</f>
        <v/>
      </c>
      <c r="D40" s="64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4">
        <f>IF(B29&gt;0,(Table2[[#This Row],[Country]]-B29)/B29,0)</f>
        <v/>
      </c>
      <c r="D41" s="64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4">
        <f>IF(B30&gt;0,(Table2[[#This Row],[Country]]-B30)/B30,0)</f>
        <v/>
      </c>
      <c r="D42" s="64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4">
        <f>IF(B31&gt;0,(Table2[[#This Row],[Country]]-B31)/B31,0)</f>
        <v/>
      </c>
      <c r="D43" s="64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4">
        <f>IF(B32&gt;0,(Table2[[#This Row],[Country]]-B32)/B32,0)</f>
        <v/>
      </c>
      <c r="D44" s="64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4">
        <f>IF(B33&gt;0,(Table2[[#This Row],[Country]]-B33)/B33,0)</f>
        <v/>
      </c>
      <c r="D45" s="64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4">
        <f>IF(B34&gt;0,(Table2[[#This Row],[Country]]-B34)/B34,0)</f>
        <v/>
      </c>
      <c r="D46" s="64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4">
        <f>IF(B35&gt;0,(Table2[[#This Row],[Country]]-B35)/B35,0)</f>
        <v/>
      </c>
      <c r="D47" s="64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4">
        <f>IF(B36&gt;0,(Table2[[#This Row],[Country]]-B36)/B36,0)</f>
        <v/>
      </c>
      <c r="D48" s="64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4">
        <f>IF(B37&gt;0,(Table2[[#This Row],[Country]]-B37)/B37,0)</f>
        <v/>
      </c>
      <c r="D49" s="64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4">
        <f>IF(B38&gt;0,(Table2[[#This Row],[Country]]-B38)/B38,0)</f>
        <v/>
      </c>
      <c r="D50" s="64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4">
        <f>IF(B39&gt;0,(Table2[[#This Row],[Country]]-B39)/B39,0)</f>
        <v/>
      </c>
      <c r="D51" s="64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4">
        <f>IF(B40&gt;0,(Table2[[#This Row],[Country]]-B40)/B40,0)</f>
        <v/>
      </c>
      <c r="D52" s="64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4">
        <f>IF(B41&gt;0,(Table2[[#This Row],[Country]]-B41)/B41,0)</f>
        <v/>
      </c>
      <c r="D53" s="64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4">
        <f>IF(B42&gt;0,(Table2[[#This Row],[Country]]-B42)/B42,0)</f>
        <v/>
      </c>
      <c r="D54" s="64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4">
        <f>IF(B43&gt;0,(Table2[[#This Row],[Country]]-B43)/B43,0)</f>
        <v/>
      </c>
      <c r="D55" s="64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4">
        <f>IF(B44&gt;0,(Table2[[#This Row],[Country]]-B44)/B44,0)</f>
        <v/>
      </c>
      <c r="D56" s="64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4">
        <f>IF(B45&gt;0,(Table2[[#This Row],[Country]]-B45)/B45,0)</f>
        <v/>
      </c>
      <c r="D57" s="64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4">
        <f>IF(B46&gt;0,(Table2[[#This Row],[Country]]-B46)/B46,0)</f>
        <v/>
      </c>
      <c r="D58" s="64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4">
        <f>IF(B47&gt;0,(Table2[[#This Row],[Country]]-B47)/B47,0)</f>
        <v/>
      </c>
      <c r="D59" s="64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4">
        <f>IF(B48&gt;0,(Table2[[#This Row],[Country]]-B48)/B48,0)</f>
        <v/>
      </c>
      <c r="D60" s="64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4">
        <f>IF(B49&gt;0,(Table2[[#This Row],[Country]]-B49)/B49,0)</f>
        <v/>
      </c>
      <c r="D61" s="64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4">
        <f>IF(B50&gt;0,(Table2[[#This Row],[Country]]-B50)/B50,0)</f>
        <v/>
      </c>
      <c r="D62" s="64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4">
        <f>IF(B51&gt;0,(Table2[[#This Row],[Country]]-B51)/B51,0)</f>
        <v/>
      </c>
      <c r="D63" s="64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4">
        <f>IF(B52&gt;0,(Table2[[#This Row],[Country]]-B52)/B52,0)</f>
        <v/>
      </c>
      <c r="D64" s="64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4">
        <f>IF(B53&gt;0,(Table2[[#This Row],[Country]]-B53)/B53,0)</f>
        <v/>
      </c>
      <c r="D65" s="64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4">
        <f>IF(B54&gt;0,(Table2[[#This Row],[Country]]-B54)/B54,0)</f>
        <v/>
      </c>
      <c r="D66" s="64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4">
        <f>IF(B55&gt;0,(Table2[[#This Row],[Country]]-B55)/B55,0)</f>
        <v/>
      </c>
      <c r="D67" s="64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4">
        <f>IF(B56&gt;0,(Table2[[#This Row],[Country]]-B56)/B56,0)</f>
        <v/>
      </c>
      <c r="D68" s="64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4">
        <f>IF(B57&gt;0,(Table2[[#This Row],[Country]]-B57)/B57,0)</f>
        <v/>
      </c>
      <c r="D69" s="64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4">
        <f>IF(B58&gt;0,(Table2[[#This Row],[Country]]-B58)/B58,0)</f>
        <v/>
      </c>
      <c r="D70" s="64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4">
        <f>IF(B59&gt;0,(Table2[[#This Row],[Country]]-B59)/B59,0)</f>
        <v/>
      </c>
      <c r="D71" s="64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4">
        <f>IF(B60&gt;0,(Table2[[#This Row],[Country]]-B60)/B60,0)</f>
        <v/>
      </c>
      <c r="D72" s="64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4">
        <f>IF(B61&gt;0,(Table2[[#This Row],[Country]]-B61)/B61,0)</f>
        <v/>
      </c>
      <c r="D73" s="64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4">
        <f>IF(B62&gt;0,(Table2[[#This Row],[Country]]-B62)/B62,0)</f>
        <v/>
      </c>
      <c r="D74" s="64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4">
        <f>IF(B63&gt;0,(Table2[[#This Row],[Country]]-B63)/B63,0)</f>
        <v/>
      </c>
      <c r="D75" s="64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4">
        <f>IF(B64&gt;0,(Table2[[#This Row],[Country]]-B64)/B64,0)</f>
        <v/>
      </c>
      <c r="D76" s="64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4">
        <f>IF(B65&gt;0,(Table2[[#This Row],[Country]]-B65)/B65,0)</f>
        <v/>
      </c>
      <c r="D77" s="64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4">
        <f>IF(B66&gt;0,(Table2[[#This Row],[Country]]-B66)/B66,0)</f>
        <v/>
      </c>
      <c r="D78" s="64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4">
        <f>IF(B67&gt;0,(Table2[[#This Row],[Country]]-B67)/B67,0)</f>
        <v/>
      </c>
      <c r="D79" s="64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4">
        <f>IF(B68&gt;0,(Table2[[#This Row],[Country]]-B68)/B68,0)</f>
        <v/>
      </c>
      <c r="D80" s="64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4">
        <f>IF(B69&gt;0,(Table2[[#This Row],[Country]]-B69)/B69,0)</f>
        <v/>
      </c>
      <c r="D81" s="64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4">
        <f>IF(B70&gt;0,(Table2[[#This Row],[Country]]-B70)/B70,0)</f>
        <v/>
      </c>
      <c r="D82" s="64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4">
        <f>IF(B71&gt;0,(Table2[[#This Row],[Country]]-B71)/B71,0)</f>
        <v/>
      </c>
      <c r="D83" s="64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4">
        <f>IF(B72&gt;0,(Table2[[#This Row],[Country]]-B72)/B72,0)</f>
        <v/>
      </c>
      <c r="D84" s="64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4">
        <f>IF(B73&gt;0,(Table2[[#This Row],[Country]]-B73)/B73,0)</f>
        <v/>
      </c>
      <c r="D85" s="64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4">
        <f>IF(B74&gt;0,(Table2[[#This Row],[Country]]-B74)/B74,0)</f>
        <v/>
      </c>
      <c r="D86" s="64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4">
        <f>IF(B75&gt;0,(Table2[[#This Row],[Country]]-B75)/B75,0)</f>
        <v/>
      </c>
      <c r="D87" s="64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4">
        <f>IF(B76&gt;0,(Table2[[#This Row],[Country]]-B76)/B76,0)</f>
        <v/>
      </c>
      <c r="D88" s="64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4">
        <f>IF(B77&gt;0,(Table2[[#This Row],[Country]]-B77)/B77,0)</f>
        <v/>
      </c>
      <c r="D89" s="64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4">
        <f>IF(B78&gt;0,(Table2[[#This Row],[Country]]-B78)/B78,0)</f>
        <v/>
      </c>
      <c r="D90" s="64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4">
        <f>IF(B79&gt;0,(Table2[[#This Row],[Country]]-B79)/B79,0)</f>
        <v/>
      </c>
      <c r="D91" s="64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4">
        <f>IF(B80&gt;0,(Table2[[#This Row],[Country]]-B80)/B80,0)</f>
        <v/>
      </c>
      <c r="D92" s="64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4">
        <f>IF(B81&gt;0,(Table2[[#This Row],[Country]]-B81)/B81,0)</f>
        <v/>
      </c>
      <c r="D93" s="64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4">
        <f>IF(B82&gt;0,(Table2[[#This Row],[Country]]-B82)/B82,0)</f>
        <v/>
      </c>
      <c r="D94" s="64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4">
        <f>IF(B83&gt;0,(Table2[[#This Row],[Country]]-B83)/B83,0)</f>
        <v/>
      </c>
      <c r="D95" s="64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4">
        <f>IF(B84&gt;0,(Table2[[#This Row],[Country]]-B84)/B84,0)</f>
        <v/>
      </c>
      <c r="D96" s="64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4">
        <f>IF(B85&gt;0,(Table2[[#This Row],[Country]]-B85)/B85,0)</f>
        <v/>
      </c>
      <c r="D97" s="64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4">
        <f>IF(B86&gt;0,(Table2[[#This Row],[Country]]-B86)/B86,0)</f>
        <v/>
      </c>
      <c r="D98" s="64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4">
        <f>IF(B87&gt;0,(Table2[[#This Row],[Country]]-B87)/B87,0)</f>
        <v/>
      </c>
      <c r="D99" s="64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4">
        <f>IF(B88&gt;0,(Table2[[#This Row],[Country]]-B88)/B88,0)</f>
        <v/>
      </c>
      <c r="D100" s="64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4">
        <f>IF(B89&gt;0,(Table2[[#This Row],[Country]]-B89)/B89,0)</f>
        <v/>
      </c>
      <c r="D101" s="64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4">
        <f>IF(B90&gt;0,(Table2[[#This Row],[Country]]-B90)/B90,0)</f>
        <v/>
      </c>
      <c r="D102" s="64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4">
        <f>IF(B91&gt;0,(Table2[[#This Row],[Country]]-B91)/B91,0)</f>
        <v/>
      </c>
      <c r="D103" s="64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4">
        <f>IF(B92&gt;0,(Table2[[#This Row],[Country]]-B92)/B92,0)</f>
        <v/>
      </c>
      <c r="D104" s="64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4">
        <f>IF(B93&gt;0,(Table2[[#This Row],[Country]]-B93)/B93,0)</f>
        <v/>
      </c>
      <c r="D105" s="64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4">
        <f>IF(B94&gt;0,(Table2[[#This Row],[Country]]-B94)/B94,0)</f>
        <v/>
      </c>
      <c r="D106" s="64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4">
        <f>IF(B95&gt;0,(Table2[[#This Row],[Country]]-B95)/B95,0)</f>
        <v/>
      </c>
      <c r="D107" s="64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4">
        <f>IF(B96&gt;0,(Table2[[#This Row],[Country]]-B96)/B96,0)</f>
        <v/>
      </c>
      <c r="D108" s="64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4">
        <f>IF(B97&gt;0,(Table2[[#This Row],[Country]]-B97)/B97,0)</f>
        <v/>
      </c>
      <c r="D109" s="64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4">
        <f>IF(B98&gt;0,(Table2[[#This Row],[Country]]-B98)/B98,0)</f>
        <v/>
      </c>
      <c r="D110" s="64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4">
        <f>IF(B99&gt;0,(Table2[[#This Row],[Country]]-B99)/B99,0)</f>
        <v/>
      </c>
      <c r="D111" s="64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4">
        <f>IF(B100&gt;0,(Table2[[#This Row],[Country]]-B100)/B100,0)</f>
        <v/>
      </c>
      <c r="D112" s="64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4">
        <f>IF(B101&gt;0,(Table2[[#This Row],[Country]]-B101)/B101,0)</f>
        <v/>
      </c>
      <c r="D113" s="64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4">
        <f>IF(B102&gt;0,(Table2[[#This Row],[Country]]-B102)/B102,0)</f>
        <v/>
      </c>
      <c r="D114" s="64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4">
        <f>IF(B103&gt;0,(Table2[[#This Row],[Country]]-B103)/B103,0)</f>
        <v/>
      </c>
      <c r="D115" s="64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4">
        <f>IF(B104&gt;0,(Table2[[#This Row],[Country]]-B104)/B104,0)</f>
        <v/>
      </c>
      <c r="D116" s="64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4">
        <f>IF(B105&gt;0,(Table2[[#This Row],[Country]]-B105)/B105,0)</f>
        <v/>
      </c>
      <c r="D117" s="64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4">
        <f>IF(B106&gt;0,(Table2[[#This Row],[Country]]-B106)/B106,0)</f>
        <v/>
      </c>
      <c r="D118" s="64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4">
        <f>IF(B107&gt;0,(Table2[[#This Row],[Country]]-B107)/B107,0)</f>
        <v/>
      </c>
      <c r="D119" s="64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4">
        <f>IF(B108&gt;0,(Table2[[#This Row],[Country]]-B108)/B108,0)</f>
        <v/>
      </c>
      <c r="D120" s="64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4">
        <f>IF(B109&gt;0,(Table2[[#This Row],[Country]]-B109)/B109,0)</f>
        <v/>
      </c>
      <c r="D121" s="64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4">
        <f>IF(B110&gt;0,(Table2[[#This Row],[Country]]-B110)/B110,0)</f>
        <v/>
      </c>
      <c r="D122" s="64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4">
        <f>IF(B111&gt;0,(Table2[[#This Row],[Country]]-B111)/B111,0)</f>
        <v/>
      </c>
      <c r="D123" s="64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4">
        <f>IF(B112&gt;0,(Table2[[#This Row],[Country]]-B112)/B112,0)</f>
        <v/>
      </c>
      <c r="D124" s="64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4">
        <f>IF(B113&gt;0,(Table2[[#This Row],[Country]]-B113)/B113,0)</f>
        <v/>
      </c>
      <c r="D125" s="64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4">
        <f>IF(B114&gt;0,(Table2[[#This Row],[Country]]-B114)/B114,0)</f>
        <v/>
      </c>
      <c r="D126" s="64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4">
        <f>IF(B115&gt;0,(Table2[[#This Row],[Country]]-B115)/B115,0)</f>
        <v/>
      </c>
      <c r="D127" s="64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4">
        <f>IF(B116&gt;0,(Table2[[#This Row],[Country]]-B116)/B116,0)</f>
        <v/>
      </c>
      <c r="D128" s="64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4">
        <f>IF(B117&gt;0,(Table2[[#This Row],[Country]]-B117)/B117,0)</f>
        <v/>
      </c>
      <c r="D129" s="64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4">
        <f>IF(B118&gt;0,(Table2[[#This Row],[Country]]-B118)/B118,0)</f>
        <v/>
      </c>
      <c r="D130" s="64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4">
        <f>IF(B119&gt;0,(Table2[[#This Row],[Country]]-B119)/B119,0)</f>
        <v/>
      </c>
      <c r="D131" s="64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4">
        <f>IF(B120&gt;0,(Table2[[#This Row],[Country]]-B120)/B120,0)</f>
        <v/>
      </c>
      <c r="D132" s="64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4">
        <f>IF(B121&gt;0,(Table2[[#This Row],[Country]]-B121)/B121,0)</f>
        <v/>
      </c>
      <c r="D133" s="64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4">
        <f>IF(B122&gt;0,(Table2[[#This Row],[Country]]-B122)/B122,0)</f>
        <v/>
      </c>
      <c r="D134" s="64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4">
        <f>IF(B123&gt;0,(Table2[[#This Row],[Country]]-B123)/B123,0)</f>
        <v/>
      </c>
      <c r="D135" s="64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4">
        <f>IF(B124&gt;0,(Table2[[#This Row],[Country]]-B124)/B124,0)</f>
        <v/>
      </c>
      <c r="D136" s="64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4">
        <f>IF(B125&gt;0,(Table2[[#This Row],[Country]]-B125)/B125,0)</f>
        <v/>
      </c>
      <c r="D137" s="64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4">
        <f>IF(B126&gt;0,(Table2[[#This Row],[Country]]-B126)/B126,0)</f>
        <v/>
      </c>
      <c r="D138" s="64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4">
        <f>IF(B127&gt;0,(Table2[[#This Row],[Country]]-B127)/B127,0)</f>
        <v/>
      </c>
      <c r="D139" s="64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4">
        <f>IF(B128&gt;0,(Table2[[#This Row],[Country]]-B128)/B128,0)</f>
        <v/>
      </c>
      <c r="D140" s="64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4">
        <f>IF(B129&gt;0,(Table2[[#This Row],[Country]]-B129)/B129,0)</f>
        <v/>
      </c>
      <c r="D141" s="64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4">
        <f>IF(B130&gt;0,(Table2[[#This Row],[Country]]-B130)/B130,0)</f>
        <v/>
      </c>
      <c r="D142" s="64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4">
        <f>IF(B131&gt;0,(Table2[[#This Row],[Country]]-B131)/B131,0)</f>
        <v/>
      </c>
      <c r="D143" s="64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4">
        <f>IF(B132&gt;0,(Table2[[#This Row],[Country]]-B132)/B132,0)</f>
        <v/>
      </c>
      <c r="D144" s="64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4">
        <f>IF(B133&gt;0,(Table2[[#This Row],[Country]]-B133)/B133,0)</f>
        <v/>
      </c>
      <c r="D145" s="64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4">
        <f>IF(B134&gt;0,(Table2[[#This Row],[Country]]-B134)/B134,0)</f>
        <v/>
      </c>
      <c r="D146" s="64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4">
        <f>IF(B135&gt;0,(Table2[[#This Row],[Country]]-B135)/B135,0)</f>
        <v/>
      </c>
      <c r="D147" s="64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4">
        <f>IF(B136&gt;0,(Table2[[#This Row],[Country]]-B136)/B136,0)</f>
        <v/>
      </c>
      <c r="D148" s="64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4">
        <f>IF(B137&gt;0,(Table2[[#This Row],[Country]]-B137)/B137,0)</f>
        <v/>
      </c>
      <c r="D149" s="64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4">
        <f>IF(B138&gt;0,(Table2[[#This Row],[Country]]-B138)/B138,0)</f>
        <v/>
      </c>
      <c r="D150" s="64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4">
        <f>IF(B139&gt;0,(Table2[[#This Row],[Country]]-B139)/B139,0)</f>
        <v/>
      </c>
      <c r="D151" s="64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4">
        <f>IF(B140&gt;0,(Table2[[#This Row],[Country]]-B140)/B140,0)</f>
        <v/>
      </c>
      <c r="D152" s="64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4">
        <f>IF(B141&gt;0,(Table2[[#This Row],[Country]]-B141)/B141,0)</f>
        <v/>
      </c>
      <c r="D153" s="64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4">
        <f>IF(B142&gt;0,(Table2[[#This Row],[Country]]-B142)/B142,0)</f>
        <v/>
      </c>
      <c r="D154" s="64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4">
        <f>IF(B143&gt;0,(Table2[[#This Row],[Country]]-B143)/B143,0)</f>
        <v/>
      </c>
      <c r="D155" s="64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4">
        <f>IF(B144&gt;0,(Table2[[#This Row],[Country]]-B144)/B144,0)</f>
        <v/>
      </c>
      <c r="D156" s="64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4">
        <f>IF(B145&gt;0,(Table2[[#This Row],[Country]]-B145)/B145,0)</f>
        <v/>
      </c>
      <c r="D157" s="64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4">
        <f>IF(B146&gt;0,(Table2[[#This Row],[Country]]-B146)/B146,0)</f>
        <v/>
      </c>
      <c r="D158" s="64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4">
        <f>IF(B147&gt;0,(Table2[[#This Row],[Country]]-B147)/B147,0)</f>
        <v/>
      </c>
      <c r="D159" s="64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4">
        <f>IF(B148&gt;0,(Table2[[#This Row],[Country]]-B148)/B148,0)</f>
        <v/>
      </c>
      <c r="D160" s="64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4">
        <f>IF(B149&gt;0,(Table2[[#This Row],[Country]]-B149)/B149,0)</f>
        <v/>
      </c>
      <c r="D161" s="64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4">
        <f>IF(B150&gt;0,(Table2[[#This Row],[Country]]-B150)/B150,0)</f>
        <v/>
      </c>
      <c r="D162" s="64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4">
        <f>IF(B151&gt;0,(Table2[[#This Row],[Country]]-B151)/B151,0)</f>
        <v/>
      </c>
      <c r="D163" s="64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4">
        <f>IF(B152&gt;0,(Table2[[#This Row],[Country]]-B152)/B152,0)</f>
        <v/>
      </c>
      <c r="D164" s="64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4">
        <f>IF(B153&gt;0,(Table2[[#This Row],[Country]]-B153)/B153,0)</f>
        <v/>
      </c>
      <c r="D165" s="64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4">
        <f>IF(B154&gt;0,(Table2[[#This Row],[Country]]-B154)/B154,0)</f>
        <v/>
      </c>
      <c r="D166" s="64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4">
        <f>IF(B155&gt;0,(Table2[[#This Row],[Country]]-B155)/B155,0)</f>
        <v/>
      </c>
      <c r="D167" s="64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4">
        <f>IF(B156&gt;0,(Table2[[#This Row],[Country]]-B156)/B156,0)</f>
        <v/>
      </c>
      <c r="D168" s="64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4">
        <f>IF(B157&gt;0,(Table2[[#This Row],[Country]]-B157)/B157,0)</f>
        <v/>
      </c>
      <c r="D169" s="64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4">
        <f>IF(B158&gt;0,(Table2[[#This Row],[Country]]-B158)/B158,0)</f>
        <v/>
      </c>
      <c r="D170" s="64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4">
        <f>IF(B159&gt;0,(Table2[[#This Row],[Country]]-B159)/B159,0)</f>
        <v/>
      </c>
      <c r="D171" s="64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4">
        <f>IF(B160&gt;0,(Table2[[#This Row],[Country]]-B160)/B160,0)</f>
        <v/>
      </c>
      <c r="D172" s="64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4">
        <f>IF(B161&gt;0,(Table2[[#This Row],[Country]]-B161)/B161,0)</f>
        <v/>
      </c>
      <c r="D173" s="64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4">
        <f>IF(B162&gt;0,(Table2[[#This Row],[Country]]-B162)/B162,0)</f>
        <v/>
      </c>
      <c r="D174" s="64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4">
        <f>IF(B163&gt;0,(Table2[[#This Row],[Country]]-B163)/B163,0)</f>
        <v/>
      </c>
      <c r="D175" s="64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4">
        <f>IF(B164&gt;0,(Table2[[#This Row],[Country]]-B164)/B164,0)</f>
        <v/>
      </c>
      <c r="D176" s="64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4">
        <f>IF(B165&gt;0,(Table2[[#This Row],[Country]]-B165)/B165,0)</f>
        <v/>
      </c>
      <c r="D177" s="64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4">
        <f>IF(B166&gt;0,(Table2[[#This Row],[Country]]-B166)/B166,0)</f>
        <v/>
      </c>
      <c r="D178" s="64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4">
        <f>IF(B167&gt;0,(Table2[[#This Row],[Country]]-B167)/B167,0)</f>
        <v/>
      </c>
      <c r="D179" s="64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4">
        <f>IF(B168&gt;0,(Table2[[#This Row],[Country]]-B168)/B168,0)</f>
        <v/>
      </c>
      <c r="D180" s="64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4">
        <f>IF(B169&gt;0,(Table2[[#This Row],[Country]]-B169)/B169,0)</f>
        <v/>
      </c>
      <c r="D181" s="64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4">
        <f>IF(B170&gt;0,(Table2[[#This Row],[Country]]-B170)/B170,0)</f>
        <v/>
      </c>
      <c r="D182" s="64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4">
        <f>IF(B171&gt;0,(Table2[[#This Row],[Country]]-B171)/B171,0)</f>
        <v/>
      </c>
      <c r="D183" s="64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4">
        <f>IF(B172&gt;0,(Table2[[#This Row],[Country]]-B172)/B172,0)</f>
        <v/>
      </c>
      <c r="D184" s="64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4">
        <f>IF(B173&gt;0,(Table2[[#This Row],[Country]]-B173)/B173,0)</f>
        <v/>
      </c>
      <c r="D185" s="64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4">
        <f>IF(B174&gt;0,(Table2[[#This Row],[Country]]-B174)/B174,0)</f>
        <v/>
      </c>
      <c r="D186" s="64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4">
        <f>IF(B175&gt;0,(Table2[[#This Row],[Country]]-B175)/B175,0)</f>
        <v/>
      </c>
      <c r="D187" s="64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4">
        <f>IF(B176&gt;0,(Table2[[#This Row],[Country]]-B176)/B176,0)</f>
        <v/>
      </c>
      <c r="D188" s="64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4">
        <f>IF(B177&gt;0,(Table2[[#This Row],[Country]]-B177)/B177,0)</f>
        <v/>
      </c>
      <c r="D189" s="64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4">
        <f>IF(B178&gt;0,(Table2[[#This Row],[Country]]-B178)/B178,0)</f>
        <v/>
      </c>
      <c r="D190" s="64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4">
        <f>IF(B179&gt;0,(Table2[[#This Row],[Country]]-B179)/B179,0)</f>
        <v/>
      </c>
      <c r="D191" s="64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4">
        <f>IF(B180&gt;0,(Table2[[#This Row],[Country]]-B180)/B180,0)</f>
        <v/>
      </c>
      <c r="D192" s="64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4">
        <f>IF(B181&gt;0,(Table2[[#This Row],[Country]]-B181)/B181,0)</f>
        <v/>
      </c>
      <c r="D193" s="64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4">
        <f>IF(B182&gt;0,(Table2[[#This Row],[Country]]-B182)/B182,0)</f>
        <v/>
      </c>
      <c r="D194" s="64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4">
        <f>IF(B183&gt;0,(Table2[[#This Row],[Country]]-B183)/B183,0)</f>
        <v/>
      </c>
      <c r="D195" s="64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4">
        <f>IF(B184&gt;0,(Table2[[#This Row],[Country]]-B184)/B184,0)</f>
        <v/>
      </c>
      <c r="D196" s="64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4">
        <f>IF(B185&gt;0,(Table2[[#This Row],[Country]]-B185)/B185,0)</f>
        <v/>
      </c>
      <c r="D197" s="64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4">
        <f>IF(B186&gt;0,(Table2[[#This Row],[Country]]-B186)/B186,0)</f>
        <v/>
      </c>
      <c r="D198" s="64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4">
        <f>IF(B187&gt;0,(Table2[[#This Row],[Country]]-B187)/B187,0)</f>
        <v/>
      </c>
      <c r="D199" s="64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4">
        <f>IF(B188&gt;0,(Table2[[#This Row],[Country]]-B188)/B188,0)</f>
        <v/>
      </c>
      <c r="D200" s="64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4">
        <f>IF(B189&gt;0,(Table2[[#This Row],[Country]]-B189)/B189,0)</f>
        <v/>
      </c>
      <c r="D201" s="64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4">
        <f>IF(B190&gt;0,(Table2[[#This Row],[Country]]-B190)/B190,0)</f>
        <v/>
      </c>
      <c r="D202" s="64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4">
        <f>IF(B191&gt;0,(Table2[[#This Row],[Country]]-B191)/B191,0)</f>
        <v/>
      </c>
      <c r="D203" s="64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4">
        <f>IF(B192&gt;0,(Table2[[#This Row],[Country]]-B192)/B192,0)</f>
        <v/>
      </c>
      <c r="D204" s="64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4">
        <f>IF(B193&gt;0,(Table2[[#This Row],[Country]]-B193)/B193,0)</f>
        <v/>
      </c>
      <c r="D205" s="64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4">
        <f>IF(B194&gt;0,(Table2[[#This Row],[Country]]-B194)/B194,0)</f>
        <v/>
      </c>
      <c r="D206" s="64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4">
        <f>IF(B195&gt;0,(Table2[[#This Row],[Country]]-B195)/B195,0)</f>
        <v/>
      </c>
      <c r="D207" s="64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4">
        <f>IF(B196&gt;0,(Table2[[#This Row],[Country]]-B196)/B196,0)</f>
        <v/>
      </c>
      <c r="D208" s="64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4">
        <f>IF(B197&gt;0,(Table2[[#This Row],[Country]]-B197)/B197,0)</f>
        <v/>
      </c>
      <c r="D209" s="64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4">
        <f>IF(B198&gt;0,(Table2[[#This Row],[Country]]-B198)/B198,0)</f>
        <v/>
      </c>
      <c r="D210" s="64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4">
        <f>IF(B199&gt;0,(Table2[[#This Row],[Country]]-B199)/B199,0)</f>
        <v/>
      </c>
      <c r="D211" s="64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4">
        <f>IF(B200&gt;0,(Table2[[#This Row],[Country]]-B200)/B200,0)</f>
        <v/>
      </c>
      <c r="D212" s="64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4">
        <f>IF(B201&gt;0,(Table2[[#This Row],[Country]]-B201)/B201,0)</f>
        <v/>
      </c>
      <c r="D213" s="64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4">
        <f>IF(B202&gt;0,(Table2[[#This Row],[Country]]-B202)/B202,0)</f>
        <v/>
      </c>
      <c r="D214" s="64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4">
        <f>IF(B203&gt;0,(Table2[[#This Row],[Country]]-B203)/B203,0)</f>
        <v/>
      </c>
      <c r="D215" s="64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4">
        <f>IF(B204&gt;0,(Table2[[#This Row],[Country]]-B204)/B204,0)</f>
        <v/>
      </c>
      <c r="D216" s="64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4">
        <f>IF(B205&gt;0,(Table2[[#This Row],[Country]]-B205)/B205,0)</f>
        <v/>
      </c>
      <c r="D217" s="64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4">
        <f>IF(B206&gt;0,(Table2[[#This Row],[Country]]-B206)/B206,0)</f>
        <v/>
      </c>
      <c r="D218" s="64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4">
        <f>IF(B207&gt;0,(Table2[[#This Row],[Country]]-B207)/B207,0)</f>
        <v/>
      </c>
      <c r="D219" s="64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4">
        <f>IF(B208&gt;0,(Table2[[#This Row],[Country]]-B208)/B208,0)</f>
        <v/>
      </c>
      <c r="D220" s="64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4">
        <f>IF(B209&gt;0,(Table2[[#This Row],[Country]]-B209)/B209,0)</f>
        <v/>
      </c>
      <c r="D221" s="64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4">
        <f>IF(B210&gt;0,(Table2[[#This Row],[Country]]-B210)/B210,0)</f>
        <v/>
      </c>
      <c r="D222" s="64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4">
        <f>IF(B211&gt;0,(Table2[[#This Row],[Country]]-B211)/B211,0)</f>
        <v/>
      </c>
      <c r="D223" s="64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4">
        <f>IF(B212&gt;0,(Table2[[#This Row],[Country]]-B212)/B212,0)</f>
        <v/>
      </c>
      <c r="D224" s="64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4">
        <f>IF(B213&gt;0,(Table2[[#This Row],[Country]]-B213)/B213,0)</f>
        <v/>
      </c>
      <c r="D225" s="64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4">
        <f>IF(B214&gt;0,(Table2[[#This Row],[Country]]-B214)/B214,0)</f>
        <v/>
      </c>
      <c r="D226" s="64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4">
        <f>IF(B215&gt;0,(Table2[[#This Row],[Country]]-B215)/B215,0)</f>
        <v/>
      </c>
      <c r="D227" s="64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4">
        <f>IF(B216&gt;0,(Table2[[#This Row],[Country]]-B216)/B216,0)</f>
        <v/>
      </c>
      <c r="D228" s="64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4">
        <f>IF(B217&gt;0,(Table2[[#This Row],[Country]]-B217)/B217,0)</f>
        <v/>
      </c>
      <c r="D229" s="64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4">
        <f>IF(B218&gt;0,(Table2[[#This Row],[Country]]-B218)/B218,0)</f>
        <v/>
      </c>
      <c r="D230" s="64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4">
        <f>IF(B219&gt;0,(Table2[[#This Row],[Country]]-B219)/B219,0)</f>
        <v/>
      </c>
      <c r="D231" s="64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4">
        <f>IF(B220&gt;0,(Table2[[#This Row],[Country]]-B220)/B220,0)</f>
        <v/>
      </c>
      <c r="D232" s="64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4">
        <f>IF(B221&gt;0,(Table2[[#This Row],[Country]]-B221)/B221,0)</f>
        <v/>
      </c>
      <c r="D233" s="64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4">
        <f>IF(B222&gt;0,(Table2[[#This Row],[Country]]-B222)/B222,0)</f>
        <v/>
      </c>
      <c r="D234" s="64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4">
        <f>IF(B223&gt;0,(Table2[[#This Row],[Country]]-B223)/B223,0)</f>
        <v/>
      </c>
      <c r="D235" s="64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4">
        <f>IF(B224&gt;0,(Table2[[#This Row],[Country]]-B224)/B224,0)</f>
        <v/>
      </c>
      <c r="D236" s="64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4">
        <f>IF(B225&gt;0,(Table2[[#This Row],[Country]]-B225)/B225,0)</f>
        <v/>
      </c>
      <c r="D237" s="64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4">
        <f>IF(B226&gt;0,(Table2[[#This Row],[Country]]-B226)/B226,0)</f>
        <v/>
      </c>
      <c r="D238" s="64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4">
        <f>IF(B227&gt;0,(Table2[[#This Row],[Country]]-B227)/B227,0)</f>
        <v/>
      </c>
      <c r="D239" s="64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4">
        <f>IF(B228&gt;0,(Table2[[#This Row],[Country]]-B228)/B228,0)</f>
        <v/>
      </c>
      <c r="D240" s="64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4">
        <f>IF(B229&gt;0,(Table2[[#This Row],[Country]]-B229)/B229,0)</f>
        <v/>
      </c>
      <c r="D241" s="64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4">
        <f>IF(B230&gt;0,(Table2[[#This Row],[Country]]-B230)/B230,0)</f>
        <v/>
      </c>
      <c r="D242" s="64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4">
        <f>IF(B231&gt;0,(Table2[[#This Row],[Country]]-B231)/B231,0)</f>
        <v/>
      </c>
      <c r="D243" s="64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4">
        <f>IF(B232&gt;0,(Table2[[#This Row],[Country]]-B232)/B232,0)</f>
        <v/>
      </c>
      <c r="D244" s="64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4">
        <f>IF(B233&gt;0,(Table2[[#This Row],[Country]]-B233)/B233,0)</f>
        <v/>
      </c>
      <c r="D245" s="64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4">
        <f>IF(B234&gt;0,(Table2[[#This Row],[Country]]-B234)/B234,0)</f>
        <v/>
      </c>
      <c r="D246" s="64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4">
        <f>IF(B235&gt;0,(Table2[[#This Row],[Country]]-B235)/B235,0)</f>
        <v/>
      </c>
      <c r="D247" s="64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4">
        <f>IF(B236&gt;0,(Table2[[#This Row],[Country]]-B236)/B236,0)</f>
        <v/>
      </c>
      <c r="D248" s="64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4">
        <f>IF(B237&gt;0,(Table2[[#This Row],[Country]]-B237)/B237,0)</f>
        <v/>
      </c>
      <c r="D249" s="64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4">
        <f>IF(B238&gt;0,(Table2[[#This Row],[Country]]-B238)/B238,0)</f>
        <v/>
      </c>
      <c r="D250" s="64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4">
        <f>IF(B239&gt;0,(Table2[[#This Row],[Country]]-B239)/B239,0)</f>
        <v/>
      </c>
      <c r="D251" s="64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4">
        <f>IF(B240&gt;0,(Table2[[#This Row],[Country]]-B240)/B240,0)</f>
        <v/>
      </c>
      <c r="D252" s="64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4">
        <f>IF(B241&gt;0,(Table2[[#This Row],[Country]]-B241)/B241,0)</f>
        <v/>
      </c>
      <c r="D253" s="64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4">
        <f>IF(B242&gt;0,(Table2[[#This Row],[Country]]-B242)/B242,0)</f>
        <v/>
      </c>
      <c r="D254" s="64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4">
        <f>IF(B243&gt;0,(Table2[[#This Row],[Country]]-B243)/B243,0)</f>
        <v/>
      </c>
      <c r="D255" s="64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4">
        <f>IF(B244&gt;0,(Table2[[#This Row],[Country]]-B244)/B244,0)</f>
        <v/>
      </c>
      <c r="D256" s="64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4">
        <f>IF(B245&gt;0,(Table2[[#This Row],[Country]]-B245)/B245,0)</f>
        <v/>
      </c>
      <c r="D257" s="64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4">
        <f>IF(B246&gt;0,(Table2[[#This Row],[Country]]-B246)/B246,0)</f>
        <v/>
      </c>
      <c r="D258" s="64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4">
        <f>IF(B247&gt;0,(Table2[[#This Row],[Country]]-B247)/B247,0)</f>
        <v/>
      </c>
      <c r="D259" s="64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4">
        <f>IF(B248&gt;0,(Table2[[#This Row],[Country]]-B248)/B248,0)</f>
        <v/>
      </c>
      <c r="D260" s="64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4">
        <f>IF(B249&gt;0,(Table2[[#This Row],[Country]]-B249)/B249,0)</f>
        <v/>
      </c>
      <c r="D261" s="64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4">
        <f>IF(B250&gt;0,(Table2[[#This Row],[Country]]-B250)/B250,0)</f>
        <v/>
      </c>
      <c r="D262" s="64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4">
        <f>IF(B251&gt;0,(Table2[[#This Row],[Country]]-B251)/B251,0)</f>
        <v/>
      </c>
      <c r="D263" s="64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4">
        <f>IF(B252&gt;0,(Table2[[#This Row],[Country]]-B252)/B252,0)</f>
        <v/>
      </c>
      <c r="D264" s="64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4">
        <f>IF(B253&gt;0,(Table2[[#This Row],[Country]]-B253)/B253,0)</f>
        <v/>
      </c>
      <c r="D265" s="64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4">
        <f>IF(B254&gt;0,(Table2[[#This Row],[Country]]-B254)/B254,0)</f>
        <v/>
      </c>
      <c r="D266" s="64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4">
        <f>IF(B255&gt;0,(Table2[[#This Row],[Country]]-B255)/B255,0)</f>
        <v/>
      </c>
      <c r="D267" s="64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4">
        <f>IF(B256&gt;0,(Table2[[#This Row],[Country]]-B256)/B256,0)</f>
        <v/>
      </c>
      <c r="D268" s="64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4">
        <f>IF(B257&gt;0,(Table2[[#This Row],[Country]]-B257)/B257,0)</f>
        <v/>
      </c>
      <c r="D269" s="64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4">
        <f>IF(B258&gt;0,(Table2[[#This Row],[Country]]-B258)/B258,0)</f>
        <v/>
      </c>
      <c r="D270" s="64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4">
        <f>IF(B259&gt;0,(Table2[[#This Row],[Country]]-B259)/B259,0)</f>
        <v/>
      </c>
      <c r="D271" s="64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4">
        <f>IF(B260&gt;0,(Table2[[#This Row],[Country]]-B260)/B260,0)</f>
        <v/>
      </c>
      <c r="D272" s="64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4">
        <f>IF(B261&gt;0,(Table2[[#This Row],[Country]]-B261)/B261,0)</f>
        <v/>
      </c>
      <c r="D273" s="64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4">
        <f>IF(B262&gt;0,(Table2[[#This Row],[Country]]-B262)/B262,0)</f>
        <v/>
      </c>
      <c r="D274" s="64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4">
        <f>IF(B263&gt;0,(Table2[[#This Row],[Country]]-B263)/B263,0)</f>
        <v/>
      </c>
      <c r="D275" s="64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4">
        <f>IF(B264&gt;0,(Table2[[#This Row],[Country]]-B264)/B264,0)</f>
        <v/>
      </c>
      <c r="D276" s="64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4">
        <f>IF(B265&gt;0,(Table2[[#This Row],[Country]]-B265)/B265,0)</f>
        <v/>
      </c>
      <c r="D277" s="64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4">
        <f>IF(B266&gt;0,(Table2[[#This Row],[Country]]-B266)/B266,0)</f>
        <v/>
      </c>
      <c r="D278" s="64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4">
        <f>IF(B267&gt;0,(Table2[[#This Row],[Country]]-B267)/B267,0)</f>
        <v/>
      </c>
      <c r="D279" s="64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4">
        <f>IF(B268&gt;0,(Table2[[#This Row],[Country]]-B268)/B268,0)</f>
        <v/>
      </c>
      <c r="D280" s="64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4">
        <f>IF(B269&gt;0,(Table2[[#This Row],[Country]]-B269)/B269,0)</f>
        <v/>
      </c>
      <c r="D281" s="64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4">
        <f>IF(B270&gt;0,(Table2[[#This Row],[Country]]-B270)/B270,0)</f>
        <v/>
      </c>
      <c r="D282" s="64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4">
        <f>IF(B271&gt;0,(Table2[[#This Row],[Country]]-B271)/B271,0)</f>
        <v/>
      </c>
      <c r="D283" s="64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4">
        <f>IF(B272&gt;0,(Table2[[#This Row],[Country]]-B272)/B272,0)</f>
        <v/>
      </c>
      <c r="D284" s="64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4">
        <f>IF(B273&gt;0,(Table2[[#This Row],[Country]]-B273)/B273,0)</f>
        <v/>
      </c>
      <c r="D285" s="64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4">
        <f>IF(B274&gt;0,(Table2[[#This Row],[Country]]-B274)/B274,0)</f>
        <v/>
      </c>
      <c r="D286" s="64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4">
        <f>IF(B275&gt;0,(Table2[[#This Row],[Country]]-B275)/B275,0)</f>
        <v/>
      </c>
      <c r="D287" s="64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4">
        <f>IF(B276&gt;0,(Table2[[#This Row],[Country]]-B276)/B276,0)</f>
        <v/>
      </c>
      <c r="D288" s="64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4">
        <f>IF(B277&gt;0,(Table2[[#This Row],[Country]]-B277)/B277,0)</f>
        <v/>
      </c>
      <c r="D289" s="64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4">
        <f>IF(B278&gt;0,(Table2[[#This Row],[Country]]-B278)/B278,0)</f>
        <v/>
      </c>
      <c r="D290" s="64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4">
        <f>IF(B279&gt;0,(Table2[[#This Row],[Country]]-B279)/B279,0)</f>
        <v/>
      </c>
      <c r="D291" s="64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4">
        <f>IF(B280&gt;0,(Table2[[#This Row],[Country]]-B280)/B280,0)</f>
        <v/>
      </c>
      <c r="D292" s="64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4">
        <f>IF(B281&gt;0,(Table2[[#This Row],[Country]]-B281)/B281,0)</f>
        <v/>
      </c>
      <c r="D293" s="64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4">
        <f>IF(B282&gt;0,(Table2[[#This Row],[Country]]-B282)/B282,0)</f>
        <v/>
      </c>
      <c r="D294" s="64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4">
        <f>IF(B283&gt;0,(Table2[[#This Row],[Country]]-B283)/B283,0)</f>
        <v/>
      </c>
      <c r="D295" s="64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4">
        <f>IF(B284&gt;0,(Table2[[#This Row],[Country]]-B284)/B284,0)</f>
        <v/>
      </c>
      <c r="D296" s="64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4">
        <f>IF(B285&gt;0,(Table2[[#This Row],[Country]]-B285)/B285,0)</f>
        <v/>
      </c>
      <c r="D297" s="64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4">
        <f>IF(B286&gt;0,(Table2[[#This Row],[Country]]-B286)/B286,0)</f>
        <v/>
      </c>
      <c r="D298" s="64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4">
        <f>IF(B287&gt;0,(Table2[[#This Row],[Country]]-B287)/B287,0)</f>
        <v/>
      </c>
      <c r="D299" s="64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4">
        <f>IF(B288&gt;0,(Table2[[#This Row],[Country]]-B288)/B288,0)</f>
        <v/>
      </c>
      <c r="D300" s="64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4">
        <f>IF(B289&gt;0,(Table2[[#This Row],[Country]]-B289)/B289,0)</f>
        <v/>
      </c>
      <c r="D301" s="64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4">
        <f>IF(B290&gt;0,(Table2[[#This Row],[Country]]-B290)/B290,0)</f>
        <v/>
      </c>
      <c r="D302" s="64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4">
        <f>IF(B291&gt;0,(Table2[[#This Row],[Country]]-B291)/B291,0)</f>
        <v/>
      </c>
      <c r="D303" s="64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4">
        <f>IF(B292&gt;0,(Table2[[#This Row],[Country]]-B292)/B292,0)</f>
        <v/>
      </c>
      <c r="D304" s="64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4">
        <f>IF(B293&gt;0,(Table2[[#This Row],[Country]]-B293)/B293,0)</f>
        <v/>
      </c>
      <c r="D305" s="64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4">
        <f>IF(B294&gt;0,(Table2[[#This Row],[Country]]-B294)/B294,0)</f>
        <v/>
      </c>
      <c r="D306" s="64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4">
        <f>IF(B295&gt;0,(Table2[[#This Row],[Country]]-B295)/B295,0)</f>
        <v/>
      </c>
      <c r="D307" s="64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4">
        <f>IF(B296&gt;0,(Table2[[#This Row],[Country]]-B296)/B296,0)</f>
        <v/>
      </c>
      <c r="D308" s="64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4">
        <f>IF(B297&gt;0,(Table2[[#This Row],[Country]]-B297)/B297,0)</f>
        <v/>
      </c>
      <c r="D309" s="64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4">
        <f>IF(B298&gt;0,(Table2[[#This Row],[Country]]-B298)/B298,0)</f>
        <v/>
      </c>
      <c r="D310" s="64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4">
        <f>IF(B299&gt;0,(Table2[[#This Row],[Country]]-B299)/B299,0)</f>
        <v/>
      </c>
      <c r="D311" s="64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4">
        <f>IF(B300&gt;0,(Table2[[#This Row],[Country]]-B300)/B300,0)</f>
        <v/>
      </c>
      <c r="D312" s="64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4">
        <f>IF(B301&gt;0,(Table2[[#This Row],[Country]]-B301)/B301,0)</f>
        <v/>
      </c>
      <c r="D313" s="64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4">
        <f>IF(B302&gt;0,(Table2[[#This Row],[Country]]-B302)/B302,0)</f>
        <v/>
      </c>
      <c r="D314" s="64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4">
        <f>IF(B303&gt;0,(Table2[[#This Row],[Country]]-B303)/B303,0)</f>
        <v/>
      </c>
      <c r="D315" s="64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4">
        <f>IF(B304&gt;0,(Table2[[#This Row],[Country]]-B304)/B304,0)</f>
        <v/>
      </c>
      <c r="D316" s="64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4">
        <f>IF(B305&gt;0,(Table2[[#This Row],[Country]]-B305)/B305,0)</f>
        <v/>
      </c>
      <c r="D317" s="64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4">
        <f>IF(B306&gt;0,(Table2[[#This Row],[Country]]-B306)/B306,0)</f>
        <v/>
      </c>
      <c r="D318" s="64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4">
        <f>IF(B307&gt;0,(Table2[[#This Row],[Country]]-B307)/B307,0)</f>
        <v/>
      </c>
      <c r="D319" s="64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4">
        <f>IF(B308&gt;0,(Table2[[#This Row],[Country]]-B308)/B308,0)</f>
        <v/>
      </c>
      <c r="D320" s="64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4">
        <f>IF(B309&gt;0,(Table2[[#This Row],[Country]]-B309)/B309,0)</f>
        <v/>
      </c>
      <c r="D321" s="64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4">
        <f>IF(B310&gt;0,(Table2[[#This Row],[Country]]-B310)/B310,0)</f>
        <v/>
      </c>
      <c r="D322" s="64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4">
        <f>IF(B311&gt;0,(Table2[[#This Row],[Country]]-B311)/B311,0)</f>
        <v/>
      </c>
      <c r="D323" s="64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4">
        <f>IF(B312&gt;0,(Table2[[#This Row],[Country]]-B312)/B312,0)</f>
        <v/>
      </c>
      <c r="D324" s="64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4">
        <f>IF(B313&gt;0,(Table2[[#This Row],[Country]]-B313)/B313,0)</f>
        <v/>
      </c>
      <c r="D325" s="64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4">
        <f>IF(B314&gt;0,(Table2[[#This Row],[Country]]-B314)/B314,0)</f>
        <v/>
      </c>
      <c r="D326" s="64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4">
        <f>IF(B315&gt;0,(Table2[[#This Row],[Country]]-B315)/B315,0)</f>
        <v/>
      </c>
      <c r="D327" s="64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4">
        <f>IF(B316&gt;0,(Table2[[#This Row],[Country]]-B316)/B316,0)</f>
        <v/>
      </c>
      <c r="D328" s="64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4">
        <f>IF(B317&gt;0,(Table2[[#This Row],[Country]]-B317)/B317,0)</f>
        <v/>
      </c>
      <c r="D329" s="64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4">
        <f>IF(B318&gt;0,(Table2[[#This Row],[Country]]-B318)/B318,0)</f>
        <v/>
      </c>
      <c r="D330" s="64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4">
        <f>IF(B319&gt;0,(Table2[[#This Row],[Country]]-B319)/B319,0)</f>
        <v/>
      </c>
      <c r="D331" s="64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4">
        <f>IF(B320&gt;0,(Table2[[#This Row],[Country]]-B320)/B320,0)</f>
        <v/>
      </c>
      <c r="D332" s="64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4">
        <f>IF(B321&gt;0,(Table2[[#This Row],[Country]]-B321)/B321,0)</f>
        <v/>
      </c>
      <c r="D333" s="64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4">
        <f>IF(B322&gt;0,(Table2[[#This Row],[Country]]-B322)/B322,0)</f>
        <v/>
      </c>
      <c r="D334" s="64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4">
        <f>IF(B323&gt;0,(Table2[[#This Row],[Country]]-B323)/B323,0)</f>
        <v/>
      </c>
      <c r="D335" s="64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4">
        <f>IF(B324&gt;0,(Table2[[#This Row],[Country]]-B324)/B324,0)</f>
        <v/>
      </c>
      <c r="D336" s="64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4">
        <f>IF(B325&gt;0,(Table2[[#This Row],[Country]]-B325)/B325,0)</f>
        <v/>
      </c>
      <c r="D337" s="64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4">
        <f>IF(B326&gt;0,(Table2[[#This Row],[Country]]-B326)/B326,0)</f>
        <v/>
      </c>
      <c r="D338" s="64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4">
        <f>IF(B327&gt;0,(Table2[[#This Row],[Country]]-B327)/B327,0)</f>
        <v/>
      </c>
      <c r="D339" s="64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4">
        <f>IF(B328&gt;0,(Table2[[#This Row],[Country]]-B328)/B328,0)</f>
        <v/>
      </c>
      <c r="D340" s="64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4">
        <f>IF(B329&gt;0,(Table2[[#This Row],[Country]]-B329)/B329,0)</f>
        <v/>
      </c>
      <c r="D341" s="64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4">
        <f>IF(B330&gt;0,(Table2[[#This Row],[Country]]-B330)/B330,0)</f>
        <v/>
      </c>
      <c r="D342" s="64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4">
        <f>IF(B331&gt;0,(Table2[[#This Row],[Country]]-B331)/B331,0)</f>
        <v/>
      </c>
      <c r="D343" s="64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4">
        <f>IF(B332&gt;0,(Table2[[#This Row],[Country]]-B332)/B332,0)</f>
        <v/>
      </c>
      <c r="D344" s="64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4">
        <f>IF(B333&gt;0,(Table2[[#This Row],[Country]]-B333)/B333,0)</f>
        <v/>
      </c>
      <c r="D345" s="64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4">
        <f>IF(B334&gt;0,(Table2[[#This Row],[Country]]-B334)/B334,0)</f>
        <v/>
      </c>
      <c r="D346" s="64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4">
        <f>IF(B335&gt;0,(Table2[[#This Row],[Country]]-B335)/B335,0)</f>
        <v/>
      </c>
      <c r="D347" s="64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4">
        <f>IF(B336&gt;0,(Table2[[#This Row],[Country]]-B336)/B336,0)</f>
        <v/>
      </c>
      <c r="D348" s="64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4">
        <f>IF(B337&gt;0,(Table2[[#This Row],[Country]]-B337)/B337,0)</f>
        <v/>
      </c>
      <c r="D349" s="64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4">
        <f>IF(B338&gt;0,(Table2[[#This Row],[Country]]-B338)/B338,0)</f>
        <v/>
      </c>
      <c r="D350" s="64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4">
        <f>IF(B339&gt;0,(Table2[[#This Row],[Country]]-B339)/B339,0)</f>
        <v/>
      </c>
      <c r="D351" s="64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4">
        <f>IF(B340&gt;0,(Table2[[#This Row],[Country]]-B340)/B340,0)</f>
        <v/>
      </c>
      <c r="D352" s="64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4">
        <f>IF(B341&gt;0,(Table2[[#This Row],[Country]]-B341)/B341,0)</f>
        <v/>
      </c>
      <c r="D353" s="64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4">
        <f>IF(B342&gt;0,(Table2[[#This Row],[Country]]-B342)/B342,0)</f>
        <v/>
      </c>
      <c r="D354" s="64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4">
        <f>IF(B343&gt;0,(Table2[[#This Row],[Country]]-B343)/B343,0)</f>
        <v/>
      </c>
      <c r="D355" s="64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4">
        <f>IF(B344&gt;0,(Table2[[#This Row],[Country]]-B344)/B344,0)</f>
        <v/>
      </c>
      <c r="D356" s="64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4">
        <f>IF(B345&gt;0,(Table2[[#This Row],[Country]]-B345)/B345,0)</f>
        <v/>
      </c>
      <c r="D357" s="64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4">
        <f>IF(B346&gt;0,(Table2[[#This Row],[Country]]-B346)/B346,0)</f>
        <v/>
      </c>
      <c r="D358" s="64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4">
        <f>IF(B347&gt;0,(Table2[[#This Row],[Country]]-B347)/B347,0)</f>
        <v/>
      </c>
      <c r="D359" s="64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4">
        <f>IF(B348&gt;0,(Table2[[#This Row],[Country]]-B348)/B348,0)</f>
        <v/>
      </c>
      <c r="D360" s="64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4">
        <f>IF(B349&gt;0,(Table2[[#This Row],[Country]]-B349)/B349,0)</f>
        <v/>
      </c>
      <c r="D361" s="64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4">
        <f>IF(B350&gt;0,(Table2[[#This Row],[Country]]-B350)/B350,0)</f>
        <v/>
      </c>
      <c r="D362" s="64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4">
        <f>IF(B351&gt;0,(Table2[[#This Row],[Country]]-B351)/B351,0)</f>
        <v/>
      </c>
      <c r="D363" s="64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4">
        <f>IF(B352&gt;0,(Table2[[#This Row],[Country]]-B352)/B352,0)</f>
        <v/>
      </c>
      <c r="D364" s="64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4">
        <f>IF(B353&gt;0,(Table2[[#This Row],[Country]]-B353)/B353,0)</f>
        <v/>
      </c>
      <c r="D365" s="64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4">
        <f>IF(B354&gt;0,(Table2[[#This Row],[Country]]-B354)/B354,0)</f>
        <v/>
      </c>
      <c r="D366" s="64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4">
        <f>IF(B355&gt;0,(Table2[[#This Row],[Country]]-B355)/B355,0)</f>
        <v/>
      </c>
      <c r="D367" s="64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4">
        <f>IF(B356&gt;0,(Table2[[#This Row],[Country]]-B356)/B356,0)</f>
        <v/>
      </c>
      <c r="D368" s="64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4">
        <f>IF(B357&gt;0,(Table2[[#This Row],[Country]]-B357)/B357,0)</f>
        <v/>
      </c>
      <c r="D369" s="64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4">
        <f>IF(B358&gt;0,(Table2[[#This Row],[Country]]-B358)/B358,0)</f>
        <v/>
      </c>
      <c r="D370" s="64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4">
        <f>IF(B359&gt;0,(Table2[[#This Row],[Country]]-B359)/B359,0)</f>
        <v/>
      </c>
      <c r="D371" s="64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4">
        <f>IF(B360&gt;0,(Table2[[#This Row],[Country]]-B360)/B360,0)</f>
        <v/>
      </c>
      <c r="D372" s="64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4">
        <f>IF(B361&gt;0,(Table2[[#This Row],[Country]]-B361)/B361,0)</f>
        <v/>
      </c>
      <c r="D373" s="64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4">
        <f>IF(B362&gt;0,(Table2[[#This Row],[Country]]-B362)/B362,0)</f>
        <v/>
      </c>
      <c r="D374" s="64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4">
        <f>IF(B363&gt;0,(Table2[[#This Row],[Country]]-B363)/B363,0)</f>
        <v/>
      </c>
      <c r="D375" s="64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4">
        <f>IF(B364&gt;0,(Table2[[#This Row],[Country]]-B364)/B364,0)</f>
        <v/>
      </c>
      <c r="D376" s="64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4">
        <f>IF(B365&gt;0,(Table2[[#This Row],[Country]]-B365)/B365,0)</f>
        <v/>
      </c>
      <c r="D377" s="64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4">
        <f>IF(B366&gt;0,(Table2[[#This Row],[Country]]-B366)/B366,0)</f>
        <v/>
      </c>
      <c r="D378" s="64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4">
        <f>IF(B367&gt;0,(Table2[[#This Row],[Country]]-B367)/B367,0)</f>
        <v/>
      </c>
      <c r="D379" s="64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4">
        <f>IF(B368&gt;0,(Table2[[#This Row],[Country]]-B368)/B368,0)</f>
        <v/>
      </c>
      <c r="D380" s="64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4">
        <f>IF(B369&gt;0,(Table2[[#This Row],[Country]]-B369)/B369,0)</f>
        <v/>
      </c>
      <c r="D381" s="64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4">
        <f>IF(B370&gt;0,(Table2[[#This Row],[Country]]-B370)/B370,0)</f>
        <v/>
      </c>
      <c r="D382" s="64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4">
        <f>IF(B371&gt;0,(Table2[[#This Row],[Country]]-B371)/B371,0)</f>
        <v/>
      </c>
      <c r="D383" s="64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4">
        <f>IF(B372&gt;0,(Table2[[#This Row],[Country]]-B372)/B372,0)</f>
        <v/>
      </c>
      <c r="D384" s="64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4">
        <f>IF(B373&gt;0,(Table2[[#This Row],[Country]]-B373)/B373,0)</f>
        <v/>
      </c>
      <c r="D385" s="64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4">
        <f>IF(B374&gt;0,(Table2[[#This Row],[Country]]-B374)/B374,0)</f>
        <v/>
      </c>
      <c r="D386" s="64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4">
        <f>IF(B375&gt;0,(Table2[[#This Row],[Country]]-B375)/B375,0)</f>
        <v/>
      </c>
      <c r="D387" s="64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4">
        <f>IF(B376&gt;0,(Table2[[#This Row],[Country]]-B376)/B376,0)</f>
        <v/>
      </c>
      <c r="D388" s="64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4">
        <f>IF(B377&gt;0,(Table2[[#This Row],[Country]]-B377)/B377,0)</f>
        <v/>
      </c>
      <c r="D389" s="64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4">
        <f>IF(B378&gt;0,(Table2[[#This Row],[Country]]-B378)/B378,0)</f>
        <v/>
      </c>
      <c r="D390" s="64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4">
        <f>IF(B379&gt;0,(Table2[[#This Row],[Country]]-B379)/B379,0)</f>
        <v/>
      </c>
      <c r="D391" s="64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4">
        <f>IF(B380&gt;0,(Table2[[#This Row],[Country]]-B380)/B380,0)</f>
        <v/>
      </c>
      <c r="D392" s="64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4">
        <f>IF(B381&gt;0,(Table2[[#This Row],[Country]]-B381)/B381,0)</f>
        <v/>
      </c>
      <c r="D393" s="64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4">
        <f>IF(B382&gt;0,(Table2[[#This Row],[Country]]-B382)/B382,0)</f>
        <v/>
      </c>
      <c r="D394" s="64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4">
        <f>IF(B383&gt;0,(Table2[[#This Row],[Country]]-B383)/B383,0)</f>
        <v/>
      </c>
      <c r="D395" s="64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4">
        <f>IF(B384&gt;0,(Table2[[#This Row],[Country]]-B384)/B384,0)</f>
        <v/>
      </c>
      <c r="D396" s="64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4">
        <f>IF(B385&gt;0,(Table2[[#This Row],[Country]]-B385)/B385,0)</f>
        <v/>
      </c>
      <c r="D397" s="64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4">
        <f>IF(B386&gt;0,(Table2[[#This Row],[Country]]-B386)/B386,0)</f>
        <v/>
      </c>
      <c r="D398" s="64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4">
        <f>IF(B387&gt;0,(Table2[[#This Row],[Country]]-B387)/B387,0)</f>
        <v/>
      </c>
      <c r="D399" s="64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4">
        <f>IF(B388&gt;0,(Table2[[#This Row],[Country]]-B388)/B388,0)</f>
        <v/>
      </c>
      <c r="D400" s="64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4">
        <f>IF(B389&gt;0,(Table2[[#This Row],[Country]]-B389)/B389,0)</f>
        <v/>
      </c>
      <c r="D401" s="64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4">
        <f>IF(B390&gt;0,(Table2[[#This Row],[Country]]-B390)/B390,0)</f>
        <v/>
      </c>
      <c r="D402" s="64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4">
        <f>IF(B391&gt;0,(Table2[[#This Row],[Country]]-B391)/B391,0)</f>
        <v/>
      </c>
      <c r="D403" s="64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4">
        <f>IF(B392&gt;0,(Table2[[#This Row],[Country]]-B392)/B392,0)</f>
        <v/>
      </c>
      <c r="D404" s="64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4">
        <f>IF(B393&gt;0,(Table2[[#This Row],[Country]]-B393)/B393,0)</f>
        <v/>
      </c>
      <c r="D405" s="64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4">
        <f>IF(B394&gt;0,(Table2[[#This Row],[Country]]-B394)/B394,0)</f>
        <v/>
      </c>
      <c r="D406" s="64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4">
        <f>IF(B395&gt;0,(Table2[[#This Row],[Country]]-B395)/B395,0)</f>
        <v/>
      </c>
      <c r="D407" s="64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4">
        <f>IF(B396&gt;0,(Table2[[#This Row],[Country]]-B396)/B396,0)</f>
        <v/>
      </c>
      <c r="D408" s="64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4">
        <f>IF(B397&gt;0,(Table2[[#This Row],[Country]]-B397)/B397,0)</f>
        <v/>
      </c>
      <c r="D409" s="64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4">
        <f>IF(B398&gt;0,(Table2[[#This Row],[Country]]-B398)/B398,0)</f>
        <v/>
      </c>
      <c r="D410" s="64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4">
        <f>IF(B399&gt;0,(Table2[[#This Row],[Country]]-B399)/B399,0)</f>
        <v/>
      </c>
      <c r="D411" s="64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4">
        <f>IF(B400&gt;0,(Table2[[#This Row],[Country]]-B400)/B400,0)</f>
        <v/>
      </c>
      <c r="D412" s="64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4">
        <f>IF(B401&gt;0,(Table2[[#This Row],[Country]]-B401)/B401,0)</f>
        <v/>
      </c>
      <c r="D413" s="64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4">
        <f>IF(B402&gt;0,(Table2[[#This Row],[Country]]-B402)/B402,0)</f>
        <v/>
      </c>
      <c r="D414" s="64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4">
        <f>IF(B403&gt;0,(Table2[[#This Row],[Country]]-B403)/B403,0)</f>
        <v/>
      </c>
      <c r="D415" s="64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4">
        <f>IF(B404&gt;0,(Table2[[#This Row],[Country]]-B404)/B404,0)</f>
        <v/>
      </c>
      <c r="D416" s="64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4">
        <f>IF(B405&gt;0,(Table2[[#This Row],[Country]]-B405)/B405,0)</f>
        <v/>
      </c>
      <c r="D417" s="64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4">
        <f>IF(B406&gt;0,(Table2[[#This Row],[Country]]-B406)/B406,0)</f>
        <v/>
      </c>
      <c r="D418" s="64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4">
        <f>IF(B407&gt;0,(Table2[[#This Row],[Country]]-B407)/B407,0)</f>
        <v/>
      </c>
      <c r="D419" s="64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4">
        <f>IF(B408&gt;0,(Table2[[#This Row],[Country]]-B408)/B408,0)</f>
        <v/>
      </c>
      <c r="D420" s="64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4">
        <f>IF(B409&gt;0,(Table2[[#This Row],[Country]]-B409)/B409,0)</f>
        <v/>
      </c>
      <c r="D421" s="64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4">
        <f>IF(B410&gt;0,(Table2[[#This Row],[Country]]-B410)/B410,0)</f>
        <v/>
      </c>
      <c r="D422" s="64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4">
        <f>IF(B411&gt;0,(Table2[[#This Row],[Country]]-B411)/B411,0)</f>
        <v/>
      </c>
      <c r="D423" s="64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4">
        <f>IF(B412&gt;0,(Table2[[#This Row],[Country]]-B412)/B412,0)</f>
        <v/>
      </c>
      <c r="D424" s="64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4">
        <f>IF(B413&gt;0,(Table2[[#This Row],[Country]]-B413)/B413,0)</f>
        <v/>
      </c>
      <c r="D425" s="64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4">
        <f>IF(B414&gt;0,(Table2[[#This Row],[Country]]-B414)/B414,0)</f>
        <v/>
      </c>
      <c r="D426" s="64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4">
        <f>IF(B415&gt;0,(Table2[[#This Row],[Country]]-B415)/B415,0)</f>
        <v/>
      </c>
      <c r="D427" s="64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4">
        <f>IF(B416&gt;0,(Table2[[#This Row],[Country]]-B416)/B416,0)</f>
        <v/>
      </c>
      <c r="D428" s="64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4">
        <f>IF(B417&gt;0,(Table2[[#This Row],[Country]]-B417)/B417,0)</f>
        <v/>
      </c>
      <c r="D429" s="64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4">
        <f>IF(B418&gt;0,(Table2[[#This Row],[Country]]-B418)/B418,0)</f>
        <v/>
      </c>
      <c r="D430" s="64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4">
        <f>IF(B419&gt;0,(Table2[[#This Row],[Country]]-B419)/B419,0)</f>
        <v/>
      </c>
      <c r="D431" s="64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4">
        <f>IF(B420&gt;0,(Table2[[#This Row],[Country]]-B420)/B420,0)</f>
        <v/>
      </c>
      <c r="D432" s="64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4">
        <f>IF(B421&gt;0,(Table2[[#This Row],[Country]]-B421)/B421,0)</f>
        <v/>
      </c>
      <c r="D433" s="64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4">
        <f>IF(B422&gt;0,(Table2[[#This Row],[Country]]-B422)/B422,0)</f>
        <v/>
      </c>
      <c r="D434" s="64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4">
        <f>IF(B423&gt;0,(Table2[[#This Row],[Country]]-B423)/B423,0)</f>
        <v/>
      </c>
      <c r="D435" s="64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4">
        <f>IF(B424&gt;0,(Table2[[#This Row],[Country]]-B424)/B424,0)</f>
        <v/>
      </c>
      <c r="D436" s="64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4">
        <f>IF(B425&gt;0,(Table2[[#This Row],[Country]]-B425)/B425,0)</f>
        <v/>
      </c>
      <c r="D437" s="64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4">
        <f>IF(B426&gt;0,(Table2[[#This Row],[Country]]-B426)/B426,0)</f>
        <v/>
      </c>
      <c r="D438" s="64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4">
        <f>IF(B427&gt;0,(Table2[[#This Row],[Country]]-B427)/B427,0)</f>
        <v/>
      </c>
      <c r="D439" s="64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4">
        <f>IF(B428&gt;0,(Table2[[#This Row],[Country]]-B428)/B428,0)</f>
        <v/>
      </c>
      <c r="D440" s="64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4">
        <f>IF(B429&gt;0,(Table2[[#This Row],[Country]]-B429)/B429,0)</f>
        <v/>
      </c>
      <c r="D441" s="64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4">
        <f>IF(B430&gt;0,(Table2[[#This Row],[Country]]-B430)/B430,0)</f>
        <v/>
      </c>
      <c r="D442" s="64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4">
        <f>IF(B431&gt;0,(Table2[[#This Row],[Country]]-B431)/B431,0)</f>
        <v/>
      </c>
      <c r="D443" s="64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4">
        <f>IF(B432&gt;0,(Table2[[#This Row],[Country]]-B432)/B432,0)</f>
        <v/>
      </c>
      <c r="D444" s="64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4">
        <f>IF(B433&gt;0,(Table2[[#This Row],[Country]]-B433)/B433,0)</f>
        <v/>
      </c>
      <c r="D445" s="64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4">
        <f>IF(B434&gt;0,(Table2[[#This Row],[Country]]-B434)/B434,0)</f>
        <v/>
      </c>
      <c r="D446" s="64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4">
        <f>IF(B435&gt;0,(Table2[[#This Row],[Country]]-B435)/B435,0)</f>
        <v/>
      </c>
      <c r="D447" s="64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4">
        <f>IF(B436&gt;0,(Table2[[#This Row],[Country]]-B436)/B436,0)</f>
        <v/>
      </c>
      <c r="D448" s="64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4">
        <f>IF(B437&gt;0,(Table2[[#This Row],[Country]]-B437)/B437,0)</f>
        <v/>
      </c>
      <c r="D449" s="64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4">
        <f>IF(B438&gt;0,(Table2[[#This Row],[Country]]-B438)/B438,0)</f>
        <v/>
      </c>
      <c r="D450" s="64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4">
        <f>IF(B439&gt;0,(Table2[[#This Row],[Country]]-B439)/B439,0)</f>
        <v/>
      </c>
      <c r="D451" s="64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4">
        <f>IF(B440&gt;0,(Table2[[#This Row],[Country]]-B440)/B440,0)</f>
        <v/>
      </c>
      <c r="D452" s="64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4">
        <f>IF(B441&gt;0,(Table2[[#This Row],[Country]]-B441)/B441,0)</f>
        <v/>
      </c>
      <c r="D453" s="64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4">
        <f>IF(B442&gt;0,(Table2[[#This Row],[Country]]-B442)/B442,0)</f>
        <v/>
      </c>
      <c r="D454" s="64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4">
        <f>IF(B443&gt;0,(Table2[[#This Row],[Country]]-B443)/B443,0)</f>
        <v/>
      </c>
      <c r="D455" s="64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4">
        <f>IF(B444&gt;0,(Table2[[#This Row],[Country]]-B444)/B444,0)</f>
        <v/>
      </c>
      <c r="D456" s="64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4">
        <f>IF(B445&gt;0,(Table2[[#This Row],[Country]]-B445)/B445,0)</f>
        <v/>
      </c>
      <c r="D457" s="64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4">
        <f>IF(B446&gt;0,(Table2[[#This Row],[Country]]-B446)/B446,0)</f>
        <v/>
      </c>
      <c r="D458" s="64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4">
        <f>IF(B447&gt;0,(Table2[[#This Row],[Country]]-B447)/B447,0)</f>
        <v/>
      </c>
      <c r="D459" s="64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4">
        <f>IF(B448&gt;0,(Table2[[#This Row],[Country]]-B448)/B448,0)</f>
        <v/>
      </c>
      <c r="D460" s="64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4">
        <f>IF(B449&gt;0,(Table2[[#This Row],[Country]]-B449)/B449,0)</f>
        <v/>
      </c>
      <c r="D461" s="64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4">
        <f>IF(B450&gt;0,(Table2[[#This Row],[Country]]-B450)/B450,0)</f>
        <v/>
      </c>
      <c r="D462" s="64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4">
        <f>IF(B451&gt;0,(Table2[[#This Row],[Country]]-B451)/B451,0)</f>
        <v/>
      </c>
      <c r="D463" s="64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4">
        <f>IF(B452&gt;0,(Table2[[#This Row],[Country]]-B452)/B452,0)</f>
        <v/>
      </c>
      <c r="D464" s="64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4">
        <f>IF(B453&gt;0,(Table2[[#This Row],[Country]]-B453)/B453,0)</f>
        <v/>
      </c>
      <c r="D465" s="64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4">
        <f>IF(B454&gt;0,(Table2[[#This Row],[Country]]-B454)/B454,0)</f>
        <v/>
      </c>
      <c r="D466" s="64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4">
        <f>IF(B455&gt;0,(Table2[[#This Row],[Country]]-B455)/B455,0)</f>
        <v/>
      </c>
      <c r="D467" s="64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4">
        <f>IF(B456&gt;0,(Table2[[#This Row],[Country]]-B456)/B456,0)</f>
        <v/>
      </c>
      <c r="D468" s="64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4">
        <f>IF(B457&gt;0,(Table2[[#This Row],[Country]]-B457)/B457,0)</f>
        <v/>
      </c>
      <c r="D469" s="64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4">
        <f>IF(B458&gt;0,(Table2[[#This Row],[Country]]-B458)/B458,0)</f>
        <v/>
      </c>
      <c r="D470" s="64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4">
        <f>IF(B459&gt;0,(Table2[[#This Row],[Country]]-B459)/B459,0)</f>
        <v/>
      </c>
      <c r="D471" s="64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4">
        <f>IF(B460&gt;0,(Table2[[#This Row],[Country]]-B460)/B460,0)</f>
        <v/>
      </c>
      <c r="D472" s="64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4">
        <f>IF(B461&gt;0,(Table2[[#This Row],[Country]]-B461)/B461,0)</f>
        <v/>
      </c>
      <c r="D473" s="64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4">
        <f>IF(B462&gt;0,(Table2[[#This Row],[Country]]-B462)/B462,0)</f>
        <v/>
      </c>
      <c r="D474" s="64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4">
        <f>IF(B463&gt;0,(Table2[[#This Row],[Country]]-B463)/B463,0)</f>
        <v/>
      </c>
      <c r="D475" s="64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4">
        <f>IF(B464&gt;0,(Table2[[#This Row],[Country]]-B464)/B464,0)</f>
        <v/>
      </c>
      <c r="D476" s="64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4">
        <f>IF(B465&gt;0,(Table2[[#This Row],[Country]]-B465)/B465,0)</f>
        <v/>
      </c>
      <c r="D477" s="64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4">
        <f>IF(B466&gt;0,(Table2[[#This Row],[Country]]-B466)/B466,0)</f>
        <v/>
      </c>
      <c r="D478" s="64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4">
        <f>IF(B467&gt;0,(Table2[[#This Row],[Country]]-B467)/B467,0)</f>
        <v/>
      </c>
      <c r="D479" s="64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4">
        <f>IF(B468&gt;0,(Table2[[#This Row],[Country]]-B468)/B468,0)</f>
        <v/>
      </c>
      <c r="D480" s="64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4">
        <f>IF(B469&gt;0,(Table2[[#This Row],[Country]]-B469)/B469,0)</f>
        <v/>
      </c>
      <c r="D481" s="64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4">
        <f>IF(B470&gt;0,(Table2[[#This Row],[Country]]-B470)/B470,0)</f>
        <v/>
      </c>
      <c r="D482" s="64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4">
        <f>IF(B471&gt;0,(Table2[[#This Row],[Country]]-B471)/B471,0)</f>
        <v/>
      </c>
      <c r="D483" s="64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4">
        <f>IF(B472&gt;0,(Table2[[#This Row],[Country]]-B472)/B472,0)</f>
        <v/>
      </c>
      <c r="D484" s="64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4">
        <f>IF(B473&gt;0,(Table2[[#This Row],[Country]]-B473)/B473,0)</f>
        <v/>
      </c>
      <c r="D485" s="64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4">
        <f>IF(B474&gt;0,(Table2[[#This Row],[Country]]-B474)/B474,0)</f>
        <v/>
      </c>
      <c r="D486" s="64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4">
        <f>IF(B475&gt;0,(Table2[[#This Row],[Country]]-B475)/B475,0)</f>
        <v/>
      </c>
      <c r="D487" s="64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4">
        <f>IF(B476&gt;0,(Table2[[#This Row],[Country]]-B476)/B476,0)</f>
        <v/>
      </c>
      <c r="D488" s="64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4">
        <f>IF(B477&gt;0,(Table2[[#This Row],[Country]]-B477)/B477,0)</f>
        <v/>
      </c>
      <c r="D489" s="64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4">
        <f>IF(B478&gt;0,(Table2[[#This Row],[Country]]-B478)/B478,0)</f>
        <v/>
      </c>
      <c r="D490" s="64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4">
        <f>IF(B479&gt;0,(Table2[[#This Row],[Country]]-B479)/B479,0)</f>
        <v/>
      </c>
      <c r="D491" s="64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4">
        <f>IF(B480&gt;0,(Table2[[#This Row],[Country]]-B480)/B480,0)</f>
        <v/>
      </c>
      <c r="D492" s="64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4">
        <f>IF(B481&gt;0,(Table2[[#This Row],[Country]]-B481)/B481,0)</f>
        <v/>
      </c>
      <c r="D493" s="64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4">
        <f>IF(B482&gt;0,(Table2[[#This Row],[Country]]-B482)/B482,0)</f>
        <v/>
      </c>
      <c r="D494" s="64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4">
        <f>IF(B483&gt;0,(Table2[[#This Row],[Country]]-B483)/B483,0)</f>
        <v/>
      </c>
      <c r="D495" s="64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4">
        <f>IF(B484&gt;0,(Table2[[#This Row],[Country]]-B484)/B484,0)</f>
        <v/>
      </c>
      <c r="D496" s="64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4">
        <f>IF(B485&gt;0,(Table2[[#This Row],[Country]]-B485)/B485,0)</f>
        <v/>
      </c>
      <c r="D497" s="64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4">
        <f>IF(B486&gt;0,(Table2[[#This Row],[Country]]-B486)/B486,0)</f>
        <v/>
      </c>
      <c r="D498" s="64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4">
        <f>IF(B487&gt;0,(Table2[[#This Row],[Country]]-B487)/B487,0)</f>
        <v/>
      </c>
      <c r="D499" s="64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4">
        <f>IF(B488&gt;0,(Table2[[#This Row],[Country]]-B488)/B488,0)</f>
        <v/>
      </c>
      <c r="D500" s="64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4">
        <f>IF(B489&gt;0,(Table2[[#This Row],[Country]]-B489)/B489,0)</f>
        <v/>
      </c>
      <c r="D501" s="64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4">
        <f>IF(B490&gt;0,(Table2[[#This Row],[Country]]-B490)/B490,0)</f>
        <v/>
      </c>
      <c r="D502" s="64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4">
        <f>IF(B491&gt;0,(Table2[[#This Row],[Country]]-B491)/B491,0)</f>
        <v/>
      </c>
      <c r="D503" s="64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4">
        <f>IF(B492&gt;0,(Table2[[#This Row],[Country]]-B492)/B492,0)</f>
        <v/>
      </c>
      <c r="D504" s="64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4">
        <f>IF(B493&gt;0,(Table2[[#This Row],[Country]]-B493)/B493,0)</f>
        <v/>
      </c>
      <c r="D505" s="64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4">
        <f>IF(B494&gt;0,(Table2[[#This Row],[Country]]-B494)/B494,0)</f>
        <v/>
      </c>
      <c r="D506" s="64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4">
        <f>IF(B495&gt;0,(Table2[[#This Row],[Country]]-B495)/B495,0)</f>
        <v/>
      </c>
      <c r="D507" s="64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4">
        <f>IF(B496&gt;0,(Table2[[#This Row],[Country]]-B496)/B496,0)</f>
        <v/>
      </c>
      <c r="D508" s="64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4">
        <f>IF(B497&gt;0,(Table2[[#This Row],[Country]]-B497)/B497,0)</f>
        <v/>
      </c>
      <c r="D509" s="64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4">
        <f>IF(B498&gt;0,(Table2[[#This Row],[Country]]-B498)/B498,0)</f>
        <v/>
      </c>
      <c r="D510" s="64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4">
        <f>IF(B499&gt;0,(Table2[[#This Row],[Country]]-B499)/B499,0)</f>
        <v/>
      </c>
      <c r="D511" s="64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4">
        <f>IF(B500&gt;0,(Table2[[#This Row],[Country]]-B500)/B500,0)</f>
        <v/>
      </c>
      <c r="D512" s="64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4">
        <f>IF(B501&gt;0,(Table2[[#This Row],[Country]]-B501)/B501,0)</f>
        <v/>
      </c>
      <c r="D513" s="64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4">
        <f>IF(B502&gt;0,(Table2[[#This Row],[Country]]-B502)/B502,0)</f>
        <v/>
      </c>
      <c r="D514" s="64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4">
        <f>IF(B503&gt;0,(Table2[[#This Row],[Country]]-B503)/B503,0)</f>
        <v/>
      </c>
      <c r="D515" s="64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4">
        <f>IF(B504&gt;0,(Table2[[#This Row],[Country]]-B504)/B504,0)</f>
        <v/>
      </c>
      <c r="D516" s="64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4">
        <f>IF(B505&gt;0,(Table2[[#This Row],[Country]]-B505)/B505,0)</f>
        <v/>
      </c>
      <c r="D517" s="64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4">
        <f>IF(B506&gt;0,(Table2[[#This Row],[Country]]-B506)/B506,0)</f>
        <v/>
      </c>
      <c r="D518" s="64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4">
        <f>IF(B507&gt;0,(Table2[[#This Row],[Country]]-B507)/B507,0)</f>
        <v/>
      </c>
      <c r="D519" s="64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4">
        <f>IF(B508&gt;0,(Table2[[#This Row],[Country]]-B508)/B508,0)</f>
        <v/>
      </c>
      <c r="D520" s="64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4">
        <f>IF(B509&gt;0,(Table2[[#This Row],[Country]]-B509)/B509,0)</f>
        <v/>
      </c>
      <c r="D521" s="64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4">
        <f>IF(B510&gt;0,(Table2[[#This Row],[Country]]-B510)/B510,0)</f>
        <v/>
      </c>
      <c r="D522" s="64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4">
        <f>IF(B511&gt;0,(Table2[[#This Row],[Country]]-B511)/B511,0)</f>
        <v/>
      </c>
      <c r="D523" s="64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4">
        <f>IF(B512&gt;0,(Table2[[#This Row],[Country]]-B512)/B512,0)</f>
        <v/>
      </c>
      <c r="D524" s="64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4">
        <f>IF(B513&gt;0,(Table2[[#This Row],[Country]]-B513)/B513,0)</f>
        <v/>
      </c>
      <c r="D525" s="64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4">
        <f>IF(B514&gt;0,(Table2[[#This Row],[Country]]-B514)/B514,0)</f>
        <v/>
      </c>
      <c r="D526" s="64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4">
        <f>IF(B515&gt;0,(Table2[[#This Row],[Country]]-B515)/B515,0)</f>
        <v/>
      </c>
      <c r="D527" s="64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4">
        <f>IF(B516&gt;0,(Table2[[#This Row],[Country]]-B516)/B516,0)</f>
        <v/>
      </c>
      <c r="D528" s="64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4">
        <f>IF(B517&gt;0,(Table2[[#This Row],[Country]]-B517)/B517,0)</f>
        <v/>
      </c>
      <c r="D529" s="64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4">
        <f>IF(B518&gt;0,(Table2[[#This Row],[Country]]-B518)/B518,0)</f>
        <v/>
      </c>
      <c r="D530" s="64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4">
        <f>IF(B519&gt;0,(Table2[[#This Row],[Country]]-B519)/B519,0)</f>
        <v/>
      </c>
      <c r="D531" s="64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4">
        <f>IF(B520&gt;0,(Table2[[#This Row],[Country]]-B520)/B520,0)</f>
        <v/>
      </c>
      <c r="D532" s="64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4">
        <f>IF(B521&gt;0,(Table2[[#This Row],[Country]]-B521)/B521,0)</f>
        <v/>
      </c>
      <c r="D533" s="64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4">
        <f>IF(B522&gt;0,(Table2[[#This Row],[Country]]-B522)/B522,0)</f>
        <v/>
      </c>
      <c r="D534" s="64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4">
        <f>IF(B523&gt;0,(Table2[[#This Row],[Country]]-B523)/B523,0)</f>
        <v/>
      </c>
      <c r="D535" s="64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4">
        <f>IF(B524&gt;0,(Table2[[#This Row],[Country]]-B524)/B524,0)</f>
        <v/>
      </c>
      <c r="D536" s="64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4">
        <f>IF(B525&gt;0,(Table2[[#This Row],[Country]]-B525)/B525,0)</f>
        <v/>
      </c>
      <c r="D537" s="64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4">
        <f>IF(B526&gt;0,(Table2[[#This Row],[Country]]-B526)/B526,0)</f>
        <v/>
      </c>
      <c r="D538" s="64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4">
        <f>IF(B527&gt;0,(Table2[[#This Row],[Country]]-B527)/B527,0)</f>
        <v/>
      </c>
      <c r="D539" s="64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4">
        <f>IF(B528&gt;0,(Table2[[#This Row],[Country]]-B528)/B528,0)</f>
        <v/>
      </c>
      <c r="D540" s="64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4">
        <f>IF(B529&gt;0,(Table2[[#This Row],[Country]]-B529)/B529,0)</f>
        <v/>
      </c>
      <c r="D541" s="64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4">
        <f>IF(B530&gt;0,(Table2[[#This Row],[Country]]-B530)/B530,0)</f>
        <v/>
      </c>
      <c r="D542" s="64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4">
        <f>IF(B531&gt;0,(Table2[[#This Row],[Country]]-B531)/B531,0)</f>
        <v/>
      </c>
      <c r="D543" s="64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4">
        <f>IF(B532&gt;0,(Table2[[#This Row],[Country]]-B532)/B532,0)</f>
        <v/>
      </c>
      <c r="D544" s="64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4">
        <f>IF(B533&gt;0,(Table2[[#This Row],[Country]]-B533)/B533,0)</f>
        <v/>
      </c>
      <c r="D545" s="64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4">
        <f>IF(B534&gt;0,(Table2[[#This Row],[Country]]-B534)/B534,0)</f>
        <v/>
      </c>
      <c r="D546" s="64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4">
        <f>IF(B535&gt;0,(Table2[[#This Row],[Country]]-B535)/B535,0)</f>
        <v/>
      </c>
      <c r="D547" s="64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4">
        <f>IF(B536&gt;0,(Table2[[#This Row],[Country]]-B536)/B536,0)</f>
        <v/>
      </c>
      <c r="D548" s="64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4">
        <f>IF(B537&gt;0,(Table2[[#This Row],[Country]]-B537)/B537,0)</f>
        <v/>
      </c>
      <c r="D549" s="64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4">
        <f>IF(B538&gt;0,(Table2[[#This Row],[Country]]-B538)/B538,0)</f>
        <v/>
      </c>
      <c r="D550" s="64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4">
        <f>IF(B539&gt;0,(Table2[[#This Row],[Country]]-B539)/B539,0)</f>
        <v/>
      </c>
      <c r="D551" s="64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4">
        <f>IF(B540&gt;0,(Table2[[#This Row],[Country]]-B540)/B540,0)</f>
        <v/>
      </c>
      <c r="D552" s="64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4">
        <f>IF(B541&gt;0,(Table2[[#This Row],[Country]]-B541)/B541,0)</f>
        <v/>
      </c>
      <c r="D553" s="64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4">
        <f>IF(B542&gt;0,(Table2[[#This Row],[Country]]-B542)/B542,0)</f>
        <v/>
      </c>
      <c r="D554" s="64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4">
        <f>IF(B543&gt;0,(Table2[[#This Row],[Country]]-B543)/B543,0)</f>
        <v/>
      </c>
      <c r="D555" s="64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4">
        <f>IF(B544&gt;0,(Table2[[#This Row],[Country]]-B544)/B544,0)</f>
        <v/>
      </c>
      <c r="D556" s="64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4">
        <f>IF(B545&gt;0,(Table2[[#This Row],[Country]]-B545)/B545,0)</f>
        <v/>
      </c>
      <c r="D557" s="64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4">
        <f>IF(B546&gt;0,(Table2[[#This Row],[Country]]-B546)/B546,0)</f>
        <v/>
      </c>
      <c r="D558" s="64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4">
        <f>IF(B547&gt;0,(Table2[[#This Row],[Country]]-B547)/B547,0)</f>
        <v/>
      </c>
      <c r="D559" s="64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4">
        <f>IF(B548&gt;0,(Table2[[#This Row],[Country]]-B548)/B548,0)</f>
        <v/>
      </c>
      <c r="D560" s="64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4">
        <f>IF(B549&gt;0,(Table2[[#This Row],[Country]]-B549)/B549,0)</f>
        <v/>
      </c>
      <c r="D561" s="64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4">
        <f>IF(B550&gt;0,(Table2[[#This Row],[Country]]-B550)/B550,0)</f>
        <v/>
      </c>
      <c r="D562" s="64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4">
        <f>IF(B551&gt;0,(Table2[[#This Row],[Country]]-B551)/B551,0)</f>
        <v/>
      </c>
      <c r="D563" s="64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4">
        <f>IF(B552&gt;0,(Table2[[#This Row],[Country]]-B552)/B552,0)</f>
        <v/>
      </c>
      <c r="D564" s="64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4">
        <f>IF(B553&gt;0,(Table2[[#This Row],[Country]]-B553)/B553,0)</f>
        <v/>
      </c>
      <c r="D565" s="64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4">
        <f>IF(B554&gt;0,(Table2[[#This Row],[Country]]-B554)/B554,0)</f>
        <v/>
      </c>
      <c r="D566" s="64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4">
        <f>IF(B555&gt;0,(Table2[[#This Row],[Country]]-B555)/B555,0)</f>
        <v/>
      </c>
      <c r="D567" s="64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4">
        <f>IF(B556&gt;0,(Table2[[#This Row],[Country]]-B556)/B556,0)</f>
        <v/>
      </c>
      <c r="D568" s="64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4">
        <f>IF(B557&gt;0,(Table2[[#This Row],[Country]]-B557)/B557,0)</f>
        <v/>
      </c>
      <c r="D569" s="64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4">
        <f>IF(B558&gt;0,(Table2[[#This Row],[Country]]-B558)/B558,0)</f>
        <v/>
      </c>
      <c r="D570" s="64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4">
        <f>IF(B559&gt;0,(Table2[[#This Row],[Country]]-B559)/B559,0)</f>
        <v/>
      </c>
      <c r="D571" s="64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4">
        <f>IF(B560&gt;0,(Table2[[#This Row],[Country]]-B560)/B560,0)</f>
        <v/>
      </c>
      <c r="D572" s="64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4">
        <f>IF(B561&gt;0,(Table2[[#This Row],[Country]]-B561)/B561,0)</f>
        <v/>
      </c>
      <c r="D573" s="64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4">
        <f>IF(B562&gt;0,(Table2[[#This Row],[Country]]-B562)/B562,0)</f>
        <v/>
      </c>
      <c r="D574" s="64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4">
        <f>IF(B563&gt;0,(Table2[[#This Row],[Country]]-B563)/B563,0)</f>
        <v/>
      </c>
      <c r="D575" s="64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4">
        <f>IF(B564&gt;0,(Table2[[#This Row],[Country]]-B564)/B564,0)</f>
        <v/>
      </c>
      <c r="D576" s="64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4">
        <f>IF(B565&gt;0,(Table2[[#This Row],[Country]]-B565)/B565,0)</f>
        <v/>
      </c>
      <c r="D577" s="64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4">
        <f>IF(B566&gt;0,(Table2[[#This Row],[Country]]-B566)/B566,0)</f>
        <v/>
      </c>
      <c r="D578" s="64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4">
        <f>IF(B567&gt;0,(Table2[[#This Row],[Country]]-B567)/B567,0)</f>
        <v/>
      </c>
      <c r="D579" s="64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4">
        <f>IF(B568&gt;0,(Table2[[#This Row],[Country]]-B568)/B568,0)</f>
        <v/>
      </c>
      <c r="D580" s="64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4">
        <f>IF(B569&gt;0,(Table2[[#This Row],[Country]]-B569)/B569,0)</f>
        <v/>
      </c>
      <c r="D581" s="64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4">
        <f>IF(B570&gt;0,(Table2[[#This Row],[Country]]-B570)/B570,0)</f>
        <v/>
      </c>
      <c r="D582" s="64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4">
        <f>IF(B571&gt;0,(Table2[[#This Row],[Country]]-B571)/B571,0)</f>
        <v/>
      </c>
      <c r="D583" s="64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4">
        <f>IF(B572&gt;0,(Table2[[#This Row],[Country]]-B572)/B572,0)</f>
        <v/>
      </c>
      <c r="D584" s="64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4">
        <f>IF(B573&gt;0,(Table2[[#This Row],[Country]]-B573)/B573,0)</f>
        <v/>
      </c>
      <c r="D585" s="64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4">
        <f>IF(B574&gt;0,(Table2[[#This Row],[Country]]-B574)/B574,0)</f>
        <v/>
      </c>
      <c r="D586" s="64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4">
        <f>IF(B575&gt;0,(Table2[[#This Row],[Country]]-B575)/B575,0)</f>
        <v/>
      </c>
      <c r="D587" s="64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4">
        <f>IF(B576&gt;0,(Table2[[#This Row],[Country]]-B576)/B576,0)</f>
        <v/>
      </c>
      <c r="D588" s="64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4">
        <f>IF(B577&gt;0,(Table2[[#This Row],[Country]]-B577)/B577,0)</f>
        <v/>
      </c>
      <c r="D589" s="64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4">
        <f>IF(B578&gt;0,(Table2[[#This Row],[Country]]-B578)/B578,0)</f>
        <v/>
      </c>
      <c r="D590" s="64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4">
        <f>IF(B579&gt;0,(Table2[[#This Row],[Country]]-B579)/B579,0)</f>
        <v/>
      </c>
      <c r="D591" s="64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4">
        <f>IF(B580&gt;0,(Table2[[#This Row],[Country]]-B580)/B580,0)</f>
        <v/>
      </c>
      <c r="D592" s="64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4">
        <f>IF(B581&gt;0,(Table2[[#This Row],[Country]]-B581)/B581,0)</f>
        <v/>
      </c>
      <c r="D593" s="64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4">
        <f>IF(B582&gt;0,(Table2[[#This Row],[Country]]-B582)/B582,0)</f>
        <v/>
      </c>
      <c r="D594" s="64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4">
        <f>IF(B583&gt;0,(Table2[[#This Row],[Country]]-B583)/B583,0)</f>
        <v/>
      </c>
      <c r="D595" s="64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4">
        <f>IF(B584&gt;0,(Table2[[#This Row],[Country]]-B584)/B584,0)</f>
        <v/>
      </c>
      <c r="D596" s="64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4">
        <f>IF(B585&gt;0,(Table2[[#This Row],[Country]]-B585)/B585,0)</f>
        <v/>
      </c>
      <c r="D597" s="64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4">
        <f>IF(B586&gt;0,(Table2[[#This Row],[Country]]-B586)/B586,0)</f>
        <v/>
      </c>
      <c r="D598" s="64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4">
        <f>IF(B587&gt;0,(Table2[[#This Row],[Country]]-B587)/B587,0)</f>
        <v/>
      </c>
      <c r="D599" s="64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4">
        <f>IF(B588&gt;0,(Table2[[#This Row],[Country]]-B588)/B588,0)</f>
        <v/>
      </c>
      <c r="D600" s="64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4">
        <f>IF(B589&gt;0,(Table2[[#This Row],[Country]]-B589)/B589,0)</f>
        <v/>
      </c>
      <c r="D601" s="64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4">
        <f>IF(B590&gt;0,(Table2[[#This Row],[Country]]-B590)/B590,0)</f>
        <v/>
      </c>
      <c r="D602" s="64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4">
        <f>IF(B591&gt;0,(Table2[[#This Row],[Country]]-B591)/B591,0)</f>
        <v/>
      </c>
      <c r="D603" s="64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4">
        <f>IF(B592&gt;0,(Table2[[#This Row],[Country]]-B592)/B592,0)</f>
        <v/>
      </c>
      <c r="D604" s="64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4">
        <f>IF(B593&gt;0,(Table2[[#This Row],[Country]]-B593)/B593,0)</f>
        <v/>
      </c>
      <c r="D605" s="64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4">
        <f>IF(B594&gt;0,(Table2[[#This Row],[Country]]-B594)/B594,0)</f>
        <v/>
      </c>
      <c r="D606" s="64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4">
        <f>IF(B595&gt;0,(Table2[[#This Row],[Country]]-B595)/B595,0)</f>
        <v/>
      </c>
      <c r="D607" s="64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4">
        <f>IF(B596&gt;0,(Table2[[#This Row],[Country]]-B596)/B596,0)</f>
        <v/>
      </c>
      <c r="D608" s="64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4">
        <f>IF(B597&gt;0,(Table2[[#This Row],[Country]]-B597)/B597,0)</f>
        <v/>
      </c>
      <c r="D609" s="64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4">
        <f>IF(B598&gt;0,(Table2[[#This Row],[Country]]-B598)/B598,0)</f>
        <v/>
      </c>
      <c r="D610" s="64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4">
        <f>IF(B599&gt;0,(Table2[[#This Row],[Country]]-B599)/B599,0)</f>
        <v/>
      </c>
      <c r="D611" s="64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4">
        <f>IF(B600&gt;0,(Table2[[#This Row],[Country]]-B600)/B600,0)</f>
        <v/>
      </c>
      <c r="D612" s="64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4">
        <f>IF(B601&gt;0,(Table2[[#This Row],[Country]]-B601)/B601,0)</f>
        <v/>
      </c>
      <c r="D613" s="64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4">
        <f>IF(B602&gt;0,(Table2[[#This Row],[Country]]-B602)/B602,0)</f>
        <v/>
      </c>
      <c r="D614" s="64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4">
        <f>IF(B603&gt;0,(Table2[[#This Row],[Country]]-B603)/B603,0)</f>
        <v/>
      </c>
      <c r="D615" s="64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4">
        <f>IF(B604&gt;0,(Table2[[#This Row],[Country]]-B604)/B604,0)</f>
        <v/>
      </c>
      <c r="D616" s="64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4">
        <f>IF(B605&gt;0,(Table2[[#This Row],[Country]]-B605)/B605,0)</f>
        <v/>
      </c>
      <c r="D617" s="64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4">
        <f>IF(B606&gt;0,(Table2[[#This Row],[Country]]-B606)/B606,0)</f>
        <v/>
      </c>
      <c r="D618" s="64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4">
        <f>IF(B607&gt;0,(Table2[[#This Row],[Country]]-B607)/B607,0)</f>
        <v/>
      </c>
      <c r="D619" s="64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4">
        <f>IF(B608&gt;0,(Table2[[#This Row],[Country]]-B608)/B608,0)</f>
        <v/>
      </c>
      <c r="D620" s="64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4">
        <f>IF(B609&gt;0,(Table2[[#This Row],[Country]]-B609)/B609,0)</f>
        <v/>
      </c>
      <c r="D621" s="64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4">
        <f>IF(B610&gt;0,(Table2[[#This Row],[Country]]-B610)/B610,0)</f>
        <v/>
      </c>
      <c r="D622" s="64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4">
        <f>IF(B611&gt;0,(Table2[[#This Row],[Country]]-B611)/B611,0)</f>
        <v/>
      </c>
      <c r="D623" s="64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4">
        <f>IF(B612&gt;0,(Table2[[#This Row],[Country]]-B612)/B612,0)</f>
        <v/>
      </c>
      <c r="D624" s="64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4">
        <f>IF(B613&gt;0,(Table2[[#This Row],[Country]]-B613)/B613,0)</f>
        <v/>
      </c>
      <c r="D625" s="64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4">
        <f>IF(B614&gt;0,(Table2[[#This Row],[Country]]-B614)/B614,0)</f>
        <v/>
      </c>
      <c r="D626" s="64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4">
        <f>IF(B615&gt;0,(Table2[[#This Row],[Country]]-B615)/B615,0)</f>
        <v/>
      </c>
      <c r="D627" s="64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4">
        <f>IF(B616&gt;0,(Table2[[#This Row],[Country]]-B616)/B616,0)</f>
        <v/>
      </c>
      <c r="D628" s="64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4">
        <f>IF(B617&gt;0,(Table2[[#This Row],[Country]]-B617)/B617,0)</f>
        <v/>
      </c>
      <c r="D629" s="64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4">
        <f>IF(B618&gt;0,(Table2[[#This Row],[Country]]-B618)/B618,0)</f>
        <v/>
      </c>
      <c r="D630" s="64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4">
        <f>IF(B619&gt;0,(Table2[[#This Row],[Country]]-B619)/B619,0)</f>
        <v/>
      </c>
      <c r="D631" s="64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4">
        <f>IF(B620&gt;0,(Table2[[#This Row],[Country]]-B620)/B620,0)</f>
        <v/>
      </c>
      <c r="D632" s="64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4">
        <f>IF(B621&gt;0,(Table2[[#This Row],[Country]]-B621)/B621,0)</f>
        <v/>
      </c>
      <c r="D633" s="64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4">
        <f>IF(B622&gt;0,(Table2[[#This Row],[Country]]-B622)/B622,0)</f>
        <v/>
      </c>
      <c r="D634" s="64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4">
        <f>IF(B623&gt;0,(Table2[[#This Row],[Country]]-B623)/B623,0)</f>
        <v/>
      </c>
      <c r="D635" s="64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4">
        <f>IF(B624&gt;0,(Table2[[#This Row],[Country]]-B624)/B624,0)</f>
        <v/>
      </c>
      <c r="D636" s="64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4">
        <f>IF(B625&gt;0,(Table2[[#This Row],[Country]]-B625)/B625,0)</f>
        <v/>
      </c>
      <c r="D637" s="64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4">
        <f>IF(B626&gt;0,(Table2[[#This Row],[Country]]-B626)/B626,0)</f>
        <v/>
      </c>
      <c r="D638" s="64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4">
        <f>IF(B627&gt;0,(Table2[[#This Row],[Country]]-B627)/B627,0)</f>
        <v/>
      </c>
      <c r="D639" s="64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4">
        <f>IF(B628&gt;0,(Table2[[#This Row],[Country]]-B628)/B628,0)</f>
        <v/>
      </c>
      <c r="D640" s="64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4">
        <f>IF(B629&gt;0,(Table2[[#This Row],[Country]]-B629)/B629,0)</f>
        <v/>
      </c>
      <c r="D641" s="64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4">
        <f>IF(B630&gt;0,(Table2[[#This Row],[Country]]-B630)/B630,0)</f>
        <v/>
      </c>
      <c r="D642" s="64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4">
        <f>IF(B631&gt;0,(Table2[[#This Row],[Country]]-B631)/B631,0)</f>
        <v/>
      </c>
      <c r="D643" s="64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4">
        <f>IF(B632&gt;0,(Table2[[#This Row],[Country]]-B632)/B632,0)</f>
        <v/>
      </c>
      <c r="D644" s="64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4">
        <f>IF(B633&gt;0,(Table2[[#This Row],[Country]]-B633)/B633,0)</f>
        <v/>
      </c>
      <c r="D645" s="64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4">
        <f>IF(B634&gt;0,(Table2[[#This Row],[Country]]-B634)/B634,0)</f>
        <v/>
      </c>
      <c r="D646" s="64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4">
        <f>IF(B635&gt;0,(Table2[[#This Row],[Country]]-B635)/B635,0)</f>
        <v/>
      </c>
      <c r="D647" s="64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4">
        <f>IF(B636&gt;0,(Table2[[#This Row],[Country]]-B636)/B636,0)</f>
        <v/>
      </c>
      <c r="D648" s="64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4">
        <f>IF(B637&gt;0,(Table2[[#This Row],[Country]]-B637)/B637,0)</f>
        <v/>
      </c>
      <c r="D649" s="64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4">
        <f>IF(B638&gt;0,(Table2[[#This Row],[Country]]-B638)/B638,0)</f>
        <v/>
      </c>
      <c r="D650" s="64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4">
        <f>IF(B639&gt;0,(Table2[[#This Row],[Country]]-B639)/B639,0)</f>
        <v/>
      </c>
      <c r="D651" s="64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4">
        <f>IF(B640&gt;0,(Table2[[#This Row],[Country]]-B640)/B640,0)</f>
        <v/>
      </c>
      <c r="D652" s="64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4">
        <f>IF(B641&gt;0,(Table2[[#This Row],[Country]]-B641)/B641,0)</f>
        <v/>
      </c>
      <c r="D653" s="64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4">
        <f>IF(B642&gt;0,(Table2[[#This Row],[Country]]-B642)/B642,0)</f>
        <v/>
      </c>
      <c r="D654" s="64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4">
        <f>IF(B643&gt;0,(Table2[[#This Row],[Country]]-B643)/B643,0)</f>
        <v/>
      </c>
      <c r="D655" s="64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4">
        <f>IF(B644&gt;0,(Table2[[#This Row],[Country]]-B644)/B644,0)</f>
        <v/>
      </c>
      <c r="D656" s="64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4">
        <f>IF(B645&gt;0,(Table2[[#This Row],[Country]]-B645)/B645,0)</f>
        <v/>
      </c>
      <c r="D657" s="64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4">
        <f>IF(B646&gt;0,(Table2[[#This Row],[Country]]-B646)/B646,0)</f>
        <v/>
      </c>
      <c r="D658" s="64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4">
        <f>IF(B647&gt;0,(Table2[[#This Row],[Country]]-B647)/B647,0)</f>
        <v/>
      </c>
      <c r="D659" s="64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4">
        <f>IF(B648&gt;0,(Table2[[#This Row],[Country]]-B648)/B648,0)</f>
        <v/>
      </c>
      <c r="D660" s="64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4">
        <f>IF(B649&gt;0,(Table2[[#This Row],[Country]]-B649)/B649,0)</f>
        <v/>
      </c>
      <c r="D661" s="64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4">
        <f>IF(B650&gt;0,(Table2[[#This Row],[Country]]-B650)/B650,0)</f>
        <v/>
      </c>
      <c r="D662" s="64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4">
        <f>IF(B651&gt;0,(Table2[[#This Row],[Country]]-B651)/B651,0)</f>
        <v/>
      </c>
      <c r="D663" s="64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4">
        <f>IF(B652&gt;0,(Table2[[#This Row],[Country]]-B652)/B652,0)</f>
        <v/>
      </c>
      <c r="D664" s="64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4">
        <f>IF(B653&gt;0,(Table2[[#This Row],[Country]]-B653)/B653,0)</f>
        <v/>
      </c>
      <c r="D665" s="64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4">
        <f>IF(B654&gt;0,(Table2[[#This Row],[Country]]-B654)/B654,0)</f>
        <v/>
      </c>
      <c r="D666" s="64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4">
        <f>IF(B655&gt;0,(Table2[[#This Row],[Country]]-B655)/B655,0)</f>
        <v/>
      </c>
      <c r="D667" s="64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4">
        <f>IF(B656&gt;0,(Table2[[#This Row],[Country]]-B656)/B656,0)</f>
        <v/>
      </c>
      <c r="D668" s="64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4">
        <f>IF(B657&gt;0,(Table2[[#This Row],[Country]]-B657)/B657,0)</f>
        <v/>
      </c>
      <c r="D669" s="64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4">
        <f>IF(B658&gt;0,(Table2[[#This Row],[Country]]-B658)/B658,0)</f>
        <v/>
      </c>
      <c r="D670" s="64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4">
        <f>IF(B659&gt;0,(Table2[[#This Row],[Country]]-B659)/B659,0)</f>
        <v/>
      </c>
      <c r="D671" s="64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4">
        <f>IF(B660&gt;0,(Table2[[#This Row],[Country]]-B660)/B660,0)</f>
        <v/>
      </c>
      <c r="D672" s="64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4">
        <f>IF(B661&gt;0,(Table2[[#This Row],[Country]]-B661)/B661,0)</f>
        <v/>
      </c>
      <c r="D673" s="64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4">
        <f>IF(B662&gt;0,(Table2[[#This Row],[Country]]-B662)/B662,0)</f>
        <v/>
      </c>
      <c r="D674" s="64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4">
        <f>IF(B663&gt;0,(Table2[[#This Row],[Country]]-B663)/B663,0)</f>
        <v/>
      </c>
      <c r="D675" s="64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4">
        <f>IF(B664&gt;0,(Table2[[#This Row],[Country]]-B664)/B664,0)</f>
        <v/>
      </c>
      <c r="D676" s="64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4">
        <f>IF(B665&gt;0,(Table2[[#This Row],[Country]]-B665)/B665,0)</f>
        <v/>
      </c>
      <c r="D677" s="64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4">
        <f>IF(B666&gt;0,(Table2[[#This Row],[Country]]-B666)/B666,0)</f>
        <v/>
      </c>
      <c r="D678" s="64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4">
        <f>IF(B667&gt;0,(Table2[[#This Row],[Country]]-B667)/B667,0)</f>
        <v/>
      </c>
      <c r="D679" s="64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4">
        <f>IF(B668&gt;0,(Table2[[#This Row],[Country]]-B668)/B668,0)</f>
        <v/>
      </c>
      <c r="D680" s="64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4">
        <f>IF(B669&gt;0,(Table2[[#This Row],[Country]]-B669)/B669,0)</f>
        <v/>
      </c>
      <c r="D681" s="64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4">
        <f>IF(B670&gt;0,(Table2[[#This Row],[Country]]-B670)/B670,0)</f>
        <v/>
      </c>
      <c r="D682" s="64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4">
        <f>IF(B671&gt;0,(Table2[[#This Row],[Country]]-B671)/B671,0)</f>
        <v/>
      </c>
      <c r="D683" s="64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4">
        <f>IF(B672&gt;0,(Table2[[#This Row],[Country]]-B672)/B672,0)</f>
        <v/>
      </c>
      <c r="D684" s="64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4">
        <f>IF(B673&gt;0,(Table2[[#This Row],[Country]]-B673)/B673,0)</f>
        <v/>
      </c>
      <c r="D685" s="64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4">
        <f>IF(B674&gt;0,(Table2[[#This Row],[Country]]-B674)/B674,0)</f>
        <v/>
      </c>
      <c r="D686" s="64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4">
        <f>IF(B675&gt;0,(Table2[[#This Row],[Country]]-B675)/B675,0)</f>
        <v/>
      </c>
      <c r="D687" s="64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4">
        <f>IF(B676&gt;0,(Table2[[#This Row],[Country]]-B676)/B676,0)</f>
        <v/>
      </c>
      <c r="D688" s="64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4">
        <f>IF(B677&gt;0,(Table2[[#This Row],[Country]]-B677)/B677,0)</f>
        <v/>
      </c>
      <c r="D689" s="64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4">
        <f>IF(B678&gt;0,(Table2[[#This Row],[Country]]-B678)/B678,0)</f>
        <v/>
      </c>
      <c r="D690" s="64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4">
        <f>IF(B679&gt;0,(Table2[[#This Row],[Country]]-B679)/B679,0)</f>
        <v/>
      </c>
      <c r="D691" s="64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4">
        <f>IF(B680&gt;0,(Table2[[#This Row],[Country]]-B680)/B680,0)</f>
        <v/>
      </c>
      <c r="D692" s="64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4">
        <f>IF(B681&gt;0,(Table2[[#This Row],[Country]]-B681)/B681,0)</f>
        <v/>
      </c>
      <c r="D693" s="64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4">
        <f>IF(B682&gt;0,(Table2[[#This Row],[Country]]-B682)/B682,0)</f>
        <v/>
      </c>
      <c r="D694" s="64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4">
        <f>IF(B683&gt;0,(Table2[[#This Row],[Country]]-B683)/B683,0)</f>
        <v/>
      </c>
      <c r="D695" s="64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4">
        <f>IF(B684&gt;0,(Table2[[#This Row],[Country]]-B684)/B684,0)</f>
        <v/>
      </c>
      <c r="D696" s="64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4">
        <f>IF(B685&gt;0,(Table2[[#This Row],[Country]]-B685)/B685,0)</f>
        <v/>
      </c>
      <c r="D697" s="64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4">
        <f>IF(B686&gt;0,(Table2[[#This Row],[Country]]-B686)/B686,0)</f>
        <v/>
      </c>
      <c r="D698" s="64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4">
        <f>IF(B687&gt;0,(Table2[[#This Row],[Country]]-B687)/B687,0)</f>
        <v/>
      </c>
      <c r="D699" s="64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4">
        <f>IF(B688&gt;0,(Table2[[#This Row],[Country]]-B688)/B688,0)</f>
        <v/>
      </c>
      <c r="D700" s="64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4">
        <f>IF(B689&gt;0,(Table2[[#This Row],[Country]]-B689)/B689,0)</f>
        <v/>
      </c>
      <c r="D701" s="64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4">
        <f>IF(B690&gt;0,(Table2[[#This Row],[Country]]-B690)/B690,0)</f>
        <v/>
      </c>
      <c r="D702" s="64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4">
        <f>IF(B691&gt;0,(Table2[[#This Row],[Country]]-B691)/B691,0)</f>
        <v/>
      </c>
      <c r="D703" s="64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4">
        <f>IF(B692&gt;0,(Table2[[#This Row],[Country]]-B692)/B692,0)</f>
        <v/>
      </c>
      <c r="D704" s="64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4">
        <f>IF(B693&gt;0,(Table2[[#This Row],[Country]]-B693)/B693,0)</f>
        <v/>
      </c>
      <c r="D705" s="64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4">
        <f>IF(B694&gt;0,(Table2[[#This Row],[Country]]-B694)/B694,0)</f>
        <v/>
      </c>
      <c r="D706" s="64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4">
        <f>IF(B695&gt;0,(Table2[[#This Row],[Country]]-B695)/B695,0)</f>
        <v/>
      </c>
      <c r="D707" s="64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4">
        <f>IF(B696&gt;0,(Table2[[#This Row],[Country]]-B696)/B696,0)</f>
        <v/>
      </c>
      <c r="D708" s="64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4">
        <f>IF(B697&gt;0,(Table2[[#This Row],[Country]]-B697)/B697,0)</f>
        <v/>
      </c>
      <c r="D709" s="64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4">
        <f>IF(B698&gt;0,(Table2[[#This Row],[Country]]-B698)/B698,0)</f>
        <v/>
      </c>
      <c r="D710" s="64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4">
        <f>IF(B699&gt;0,(Table2[[#This Row],[Country]]-B699)/B699,0)</f>
        <v/>
      </c>
      <c r="D711" s="64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4">
        <f>IF(B700&gt;0,(Table2[[#This Row],[Country]]-B700)/B700,0)</f>
        <v/>
      </c>
      <c r="D712" s="64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4">
        <f>IF(B701&gt;0,(Table2[[#This Row],[Country]]-B701)/B701,0)</f>
        <v/>
      </c>
      <c r="D713" s="64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4">
        <f>IF(B702&gt;0,(Table2[[#This Row],[Country]]-B702)/B702,0)</f>
        <v/>
      </c>
      <c r="D714" s="64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4">
        <f>IF(B703&gt;0,(Table2[[#This Row],[Country]]-B703)/B703,0)</f>
        <v/>
      </c>
      <c r="D715" s="64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4">
        <f>IF(B704&gt;0,(Table2[[#This Row],[Country]]-B704)/B704,0)</f>
        <v/>
      </c>
      <c r="D716" s="64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4">
        <f>IF(B705&gt;0,(Table2[[#This Row],[Country]]-B705)/B705,0)</f>
        <v/>
      </c>
      <c r="D717" s="64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4">
        <f>IF(B706&gt;0,(Table2[[#This Row],[Country]]-B706)/B706,0)</f>
        <v/>
      </c>
      <c r="D718" s="64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4">
        <f>IF(B707&gt;0,(Table2[[#This Row],[Country]]-B707)/B707,0)</f>
        <v/>
      </c>
      <c r="D719" s="64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4">
        <f>IF(B708&gt;0,(Table2[[#This Row],[Country]]-B708)/B708,0)</f>
        <v/>
      </c>
      <c r="D720" s="64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4">
        <f>IF(B709&gt;0,(Table2[[#This Row],[Country]]-B709)/B709,0)</f>
        <v/>
      </c>
      <c r="D721" s="64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4">
        <f>IF(B710&gt;0,(Table2[[#This Row],[Country]]-B710)/B710,0)</f>
        <v/>
      </c>
      <c r="D722" s="64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4">
        <f>IF(B711&gt;0,(Table2[[#This Row],[Country]]-B711)/B711,0)</f>
        <v/>
      </c>
      <c r="D723" s="64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4">
        <f>IF(B712&gt;0,(Table2[[#This Row],[Country]]-B712)/B712,0)</f>
        <v/>
      </c>
      <c r="D724" s="64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4">
        <f>IF(B713&gt;0,(Table2[[#This Row],[Country]]-B713)/B713,0)</f>
        <v/>
      </c>
      <c r="D725" s="64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4">
        <f>IF(B714&gt;0,(Table2[[#This Row],[Country]]-B714)/B714,0)</f>
        <v/>
      </c>
      <c r="D726" s="64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4">
        <f>IF(B715&gt;0,(Table2[[#This Row],[Country]]-B715)/B715,0)</f>
        <v/>
      </c>
      <c r="D727" s="64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4">
        <f>IF(B716&gt;0,(Table2[[#This Row],[Country]]-B716)/B716,0)</f>
        <v/>
      </c>
      <c r="D728" s="64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4">
        <f>IF(B717&gt;0,(Table2[[#This Row],[Country]]-B717)/B717,0)</f>
        <v/>
      </c>
      <c r="D729" s="64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4">
        <f>IF(B718&gt;0,(Table2[[#This Row],[Country]]-B718)/B718,0)</f>
        <v/>
      </c>
      <c r="D730" s="64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4">
        <f>IF(B719&gt;0,(Table2[[#This Row],[Country]]-B719)/B719,0)</f>
        <v/>
      </c>
      <c r="D731" s="64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4">
        <f>IF(B720&gt;0,(Table2[[#This Row],[Country]]-B720)/B720,0)</f>
        <v/>
      </c>
      <c r="D732" s="64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4">
        <f>IF(B721&gt;0,(Table2[[#This Row],[Country]]-B721)/B721,0)</f>
        <v/>
      </c>
      <c r="D733" s="64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4">
        <f>IF(B722&gt;0,(Table2[[#This Row],[Country]]-B722)/B722,0)</f>
        <v/>
      </c>
      <c r="D734" s="64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4">
        <f>IF(B723&gt;0,(Table2[[#This Row],[Country]]-B723)/B723,0)</f>
        <v/>
      </c>
      <c r="D735" s="64">
        <f>IF(Table2[[#This Row],[Country]]&gt;0,(((Table2[[#This Row],[Country]]-B734)/B734)+1)^12-1,"")</f>
        <v/>
      </c>
    </row>
  </sheetData>
  <conditionalFormatting sqref="D7:D7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2022-01-09T12:34:57Z</dcterms:modified>
  <cp:lastModifiedBy>Mark Mukherjee</cp:lastModifiedBy>
</cp:coreProperties>
</file>