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36040" yWindow="2640" windowWidth="36040" windowHeight="2616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  <numFmt numFmtId="170" formatCode="dd-mm-YYYY"/>
    <numFmt numFmtId="171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2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9" fillId="10" borderId="1" applyAlignment="1" pivotButton="0" quotePrefix="0" xfId="0">
      <alignment horizontal="center"/>
    </xf>
    <xf numFmtId="0" fontId="0" fillId="2" borderId="0" pivotButton="0" quotePrefix="0" xfId="0"/>
    <xf numFmtId="0" fontId="1" fillId="2" borderId="0" pivotButton="0" quotePrefix="0" xfId="1"/>
    <xf numFmtId="168" fontId="0" fillId="0" borderId="0" pivotButton="0" quotePrefix="0" xfId="0"/>
    <xf numFmtId="169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1"/>
    <xf numFmtId="0" fontId="12" fillId="2" borderId="0" applyAlignment="1" pivotButton="0" quotePrefix="0" xfId="0">
      <alignment wrapText="1"/>
    </xf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170" fontId="0" fillId="0" borderId="0" pivotButton="0" quotePrefix="0" xfId="0"/>
    <xf numFmtId="170" fontId="0" fillId="0" borderId="0" pivotButton="0" quotePrefix="0" xfId="0"/>
    <xf numFmtId="171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Velocity!$A$12:$A$265</f>
              <numCache>
                <formatCode>dd\-mm\-yyyy</formatCode>
                <ptCount val="254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  <pt idx="252">
                  <v>44562</v>
                </pt>
                <pt idx="253">
                  <v>44652</v>
                </pt>
              </numCache>
            </numRef>
          </cat>
          <val>
            <numRef>
              <f>Velocity!$B$12:$B$265</f>
              <numCache>
                <formatCode>0.000</formatCode>
                <ptCount val="254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2.133</v>
                </pt>
                <pt idx="168">
                  <v>2.085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</v>
                </pt>
                <pt idx="180">
                  <v>1.95</v>
                </pt>
                <pt idx="181">
                  <v>1.94</v>
                </pt>
                <pt idx="182">
                  <v>1.949</v>
                </pt>
                <pt idx="183">
                  <v>1.958</v>
                </pt>
                <pt idx="184">
                  <v>1.985</v>
                </pt>
                <pt idx="185">
                  <v>1.995</v>
                </pt>
                <pt idx="186">
                  <v>2</v>
                </pt>
                <pt idx="187">
                  <v>2.001</v>
                </pt>
                <pt idx="188">
                  <v>2.016</v>
                </pt>
                <pt idx="189">
                  <v>2.017</v>
                </pt>
                <pt idx="190">
                  <v>2.006</v>
                </pt>
                <pt idx="191">
                  <v>1.997</v>
                </pt>
                <pt idx="192">
                  <v>1.993</v>
                </pt>
                <pt idx="193">
                  <v>1.986</v>
                </pt>
                <pt idx="194">
                  <v>1.977</v>
                </pt>
                <pt idx="195">
                  <v>1.977</v>
                </pt>
                <pt idx="196">
                  <v>1.939</v>
                </pt>
                <pt idx="197">
                  <v>1.927</v>
                </pt>
                <pt idx="198">
                  <v>1.908</v>
                </pt>
                <pt idx="199">
                  <v>1.813</v>
                </pt>
                <pt idx="200">
                  <v>1.735</v>
                </pt>
                <pt idx="201">
                  <v>1.709</v>
                </pt>
                <pt idx="202">
                  <v>1.711</v>
                </pt>
                <pt idx="203">
                  <v>1.726</v>
                </pt>
                <pt idx="204">
                  <v>1.739</v>
                </pt>
                <pt idx="205">
                  <v>1.746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1.648</v>
                </pt>
                <pt idx="212">
                  <v>1.642</v>
                </pt>
                <pt idx="213">
                  <v>1.631</v>
                </pt>
                <pt idx="214">
                  <v>1.612</v>
                </pt>
                <pt idx="215">
                  <v>1.586</v>
                </pt>
                <pt idx="216">
                  <v>1.583</v>
                </pt>
                <pt idx="217">
                  <v>1.571</v>
                </pt>
                <pt idx="218">
                  <v>1.568</v>
                </pt>
                <pt idx="219">
                  <v>1.56</v>
                </pt>
                <pt idx="220">
                  <v>1.538</v>
                </pt>
                <pt idx="221">
                  <v>1.542</v>
                </pt>
                <pt idx="222">
                  <v>1.547</v>
                </pt>
                <pt idx="223">
                  <v>1.537</v>
                </pt>
                <pt idx="224">
                  <v>1.521</v>
                </pt>
                <pt idx="225">
                  <v>1.521</v>
                </pt>
                <pt idx="226">
                  <v>1.512</v>
                </pt>
                <pt idx="227">
                  <v>1.493</v>
                </pt>
                <pt idx="228">
                  <v>1.469</v>
                </pt>
                <pt idx="229">
                  <v>1.458</v>
                </pt>
                <pt idx="230">
                  <v>1.448</v>
                </pt>
                <pt idx="231">
                  <v>1.441</v>
                </pt>
                <pt idx="232">
                  <v>1.434</v>
                </pt>
                <pt idx="233">
                  <v>1.427</v>
                </pt>
                <pt idx="234">
                  <v>1.431</v>
                </pt>
                <pt idx="235">
                  <v>1.44</v>
                </pt>
                <pt idx="236">
                  <v>1.449</v>
                </pt>
                <pt idx="237">
                  <v>1.458</v>
                </pt>
                <pt idx="238">
                  <v>1.459</v>
                </pt>
                <pt idx="239">
                  <v>1.458</v>
                </pt>
                <pt idx="240">
                  <v>1.452</v>
                </pt>
                <pt idx="241">
                  <v>1.453</v>
                </pt>
                <pt idx="242">
                  <v>1.443</v>
                </pt>
                <pt idx="243">
                  <v>1.425</v>
                </pt>
                <pt idx="244">
                  <v>1.379</v>
                </pt>
                <pt idx="245">
                  <v>1.112</v>
                </pt>
                <pt idx="246">
                  <v>1.161</v>
                </pt>
                <pt idx="247">
                  <v>1.146</v>
                </pt>
                <pt idx="248">
                  <v>1.138</v>
                </pt>
                <pt idx="249">
                  <v>1.134</v>
                </pt>
                <pt idx="250">
                  <v>1.131</v>
                </pt>
                <pt idx="251">
                  <v>1.142</v>
                </pt>
                <pt idx="252">
                  <v>1.14</v>
                </pt>
                <pt idx="253">
                  <v>1.165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Monthly'!$A$6:$A$771</f>
              <numCache>
                <formatCode>yyyy\-mm\-dd</formatCode>
                <ptCount val="76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</numCache>
            </numRef>
          </cat>
          <val>
            <numRef>
              <f>'US M1 Real Monthly'!$B$6:$B$771</f>
              <numCache>
                <formatCode>0.0</formatCode>
                <ptCount val="766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966.4</v>
                </pt>
                <pt idx="637">
                  <v>966.6</v>
                </pt>
                <pt idx="638">
                  <v>973.7</v>
                </pt>
                <pt idx="639">
                  <v>976.2</v>
                </pt>
                <pt idx="640">
                  <v>986.5</v>
                </pt>
                <pt idx="641">
                  <v>995.7</v>
                </pt>
                <pt idx="642">
                  <v>1012.7</v>
                </pt>
                <pt idx="643">
                  <v>1023.9</v>
                </pt>
                <pt idx="644">
                  <v>1033.1</v>
                </pt>
                <pt idx="645">
                  <v>1044.8</v>
                </pt>
                <pt idx="646">
                  <v>1055.7</v>
                </pt>
                <pt idx="647">
                  <v>1064.2</v>
                </pt>
                <pt idx="648">
                  <v>1068.5</v>
                </pt>
                <pt idx="649">
                  <v>1060.6</v>
                </pt>
                <pt idx="650">
                  <v>1066.6</v>
                </pt>
                <pt idx="651">
                  <v>1081.6</v>
                </pt>
                <pt idx="652">
                  <v>1090.1</v>
                </pt>
                <pt idx="653">
                  <v>1087.7</v>
                </pt>
                <pt idx="654">
                  <v>1092.5</v>
                </pt>
                <pt idx="655">
                  <v>1094.8</v>
                </pt>
                <pt idx="656">
                  <v>1106.8</v>
                </pt>
                <pt idx="657">
                  <v>1122.8</v>
                </pt>
                <pt idx="658">
                  <v>1125.4</v>
                </pt>
                <pt idx="659">
                  <v>1135.1</v>
                </pt>
                <pt idx="660">
                  <v>1147.1</v>
                </pt>
                <pt idx="661">
                  <v>1156.8</v>
                </pt>
                <pt idx="662">
                  <v>1165.7</v>
                </pt>
                <pt idx="663">
                  <v>1172.8</v>
                </pt>
                <pt idx="664">
                  <v>1178.2</v>
                </pt>
                <pt idx="665">
                  <v>1191.7</v>
                </pt>
                <pt idx="666">
                  <v>1197.1</v>
                </pt>
                <pt idx="667">
                  <v>1180.9</v>
                </pt>
                <pt idx="668">
                  <v>1206.5</v>
                </pt>
                <pt idx="669">
                  <v>1209.1</v>
                </pt>
                <pt idx="670">
                  <v>1219</v>
                </pt>
                <pt idx="671">
                  <v>1244.8</v>
                </pt>
                <pt idx="672">
                  <v>1253</v>
                </pt>
                <pt idx="673">
                  <v>1277</v>
                </pt>
                <pt idx="674">
                  <v>1270.6</v>
                </pt>
                <pt idx="675">
                  <v>1269.7</v>
                </pt>
                <pt idx="676">
                  <v>1258.2</v>
                </pt>
                <pt idx="677">
                  <v>1271.1</v>
                </pt>
                <pt idx="678">
                  <v>1277.5</v>
                </pt>
                <pt idx="679">
                  <v>1272.5</v>
                </pt>
                <pt idx="680">
                  <v>1283</v>
                </pt>
                <pt idx="681">
                  <v>1269.8</v>
                </pt>
                <pt idx="682">
                  <v>1295</v>
                </pt>
                <pt idx="683">
                  <v>1302.1</v>
                </pt>
                <pt idx="684">
                  <v>1303.1</v>
                </pt>
                <pt idx="685">
                  <v>1318.3</v>
                </pt>
                <pt idx="686">
                  <v>1324.8</v>
                </pt>
                <pt idx="687">
                  <v>1338.3</v>
                </pt>
                <pt idx="688">
                  <v>1351.5</v>
                </pt>
                <pt idx="689">
                  <v>1351.3</v>
                </pt>
                <pt idx="690">
                  <v>1351.9</v>
                </pt>
                <pt idx="691">
                  <v>1379.9</v>
                </pt>
                <pt idx="692">
                  <v>1379.8</v>
                </pt>
                <pt idx="693">
                  <v>1378.9</v>
                </pt>
                <pt idx="694">
                  <v>1386.2</v>
                </pt>
                <pt idx="695">
                  <v>1376.9</v>
                </pt>
                <pt idx="696">
                  <v>1392</v>
                </pt>
                <pt idx="697">
                  <v>1394.5</v>
                </pt>
                <pt idx="698">
                  <v>1414.8</v>
                </pt>
                <pt idx="699">
                  <v>1413.3</v>
                </pt>
                <pt idx="700">
                  <v>1441</v>
                </pt>
                <pt idx="701">
                  <v>1443.7</v>
                </pt>
                <pt idx="702">
                  <v>1452.9</v>
                </pt>
                <pt idx="703">
                  <v>1463.3</v>
                </pt>
                <pt idx="704">
                  <v>1449.1</v>
                </pt>
                <pt idx="705">
                  <v>1462.3</v>
                </pt>
                <pt idx="706">
                  <v>1468.4</v>
                </pt>
                <pt idx="707">
                  <v>1457</v>
                </pt>
                <pt idx="708">
                  <v>1469.9</v>
                </pt>
                <pt idx="709">
                  <v>1450.9</v>
                </pt>
                <pt idx="710">
                  <v>1467.8</v>
                </pt>
                <pt idx="711">
                  <v>1461.2</v>
                </pt>
                <pt idx="712">
                  <v>1455.8</v>
                </pt>
                <pt idx="713">
                  <v>1454.4</v>
                </pt>
                <pt idx="714">
                  <v>1463.3</v>
                </pt>
                <pt idx="715">
                  <v>1467</v>
                </pt>
                <pt idx="716">
                  <v>1467.6</v>
                </pt>
                <pt idx="717">
                  <v>1474.4</v>
                </pt>
                <pt idx="718">
                  <v>1466.7</v>
                </pt>
                <pt idx="719">
                  <v>1490.2</v>
                </pt>
                <pt idx="720">
                  <v>1487.2</v>
                </pt>
                <pt idx="721">
                  <v>1486.5</v>
                </pt>
                <pt idx="722">
                  <v>1468.3</v>
                </pt>
                <pt idx="723">
                  <v>1479.4</v>
                </pt>
                <pt idx="724">
                  <v>1481.7</v>
                </pt>
                <pt idx="725">
                  <v>1497.6</v>
                </pt>
                <pt idx="726">
                  <v>1507.2</v>
                </pt>
                <pt idx="727">
                  <v>1506.3</v>
                </pt>
                <pt idx="728">
                  <v>1519.9</v>
                </pt>
                <pt idx="729">
                  <v>1529.4</v>
                </pt>
                <pt idx="730">
                  <v>1534.3</v>
                </pt>
                <pt idx="731">
                  <v>1551.6</v>
                </pt>
                <pt idx="732">
                  <v>1543.8</v>
                </pt>
                <pt idx="733">
                  <v>1545.5</v>
                </pt>
                <pt idx="734">
                  <v>1650.8</v>
                </pt>
                <pt idx="735">
                  <v>1866.4</v>
                </pt>
                <pt idx="736">
                  <v>6342.4</v>
                </pt>
                <pt idx="737">
                  <v>6439.5</v>
                </pt>
                <pt idx="738">
                  <v>6484</v>
                </pt>
                <pt idx="739">
                  <v>6509.2</v>
                </pt>
                <pt idx="740">
                  <v>6595.8</v>
                </pt>
                <pt idx="741">
                  <v>6669.9</v>
                </pt>
                <pt idx="742">
                  <v>6760.8</v>
                </pt>
                <pt idx="743">
                  <v>6818.4</v>
                </pt>
                <pt idx="744">
                  <v>6905.8</v>
                </pt>
                <pt idx="745">
                  <v>6974.7</v>
                </pt>
                <pt idx="746">
                  <v>7033.7</v>
                </pt>
                <pt idx="747">
                  <v>7096.2</v>
                </pt>
                <pt idx="748">
                  <v>7170.4</v>
                </pt>
                <pt idx="749">
                  <v>7130.2</v>
                </pt>
                <pt idx="750">
                  <v>7163.4</v>
                </pt>
                <pt idx="751">
                  <v>7230.7</v>
                </pt>
                <pt idx="752">
                  <v>7256.7</v>
                </pt>
                <pt idx="753">
                  <v>7253.9</v>
                </pt>
                <pt idx="754">
                  <v>7281.2</v>
                </pt>
                <pt idx="755">
                  <v>7293.4</v>
                </pt>
                <pt idx="756">
                  <v>7301.6</v>
                </pt>
                <pt idx="757">
                  <v>7270.4</v>
                </pt>
                <pt idx="758">
                  <v>7194.5</v>
                </pt>
                <pt idx="759">
                  <v>7141.6</v>
                </pt>
                <pt idx="760">
                  <v>7074.7</v>
                </pt>
                <pt idx="761">
                  <v>6956.7</v>
                </pt>
                <pt idx="762">
                  <v>6948.2</v>
                </pt>
                <pt idx="763">
                  <v>6918.6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Monthly'!$A$18:$A$772</f>
              <numCache>
                <formatCode>yyyy\-mm\-dd</formatCode>
                <ptCount val="755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</numCache>
            </numRef>
          </cat>
          <val>
            <numRef>
              <f>'US M1 Real Monthly'!$C$18:$C$772</f>
              <numCache>
                <formatCode>0.0%</formatCode>
                <ptCount val="755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0.1577812387684197</v>
                </pt>
                <pt idx="625">
                  <v>0.1468913146654011</v>
                </pt>
                <pt idx="626">
                  <v>0.145125249911796</v>
                </pt>
                <pt idx="627">
                  <v>0.1532191376255169</v>
                </pt>
                <pt idx="628">
                  <v>0.1421789973370383</v>
                </pt>
                <pt idx="629">
                  <v>0.1400274788184109</v>
                </pt>
                <pt idx="630">
                  <v>0.1435185185185185</v>
                </pt>
                <pt idx="631">
                  <v>0.09437793929029495</v>
                </pt>
                <pt idx="632">
                  <v>0.1042112013681059</v>
                </pt>
                <pt idx="633">
                  <v>0.1130286566528176</v>
                </pt>
                <pt idx="634">
                  <v>0.09911504424778766</v>
                </pt>
                <pt idx="635">
                  <v>0.1165669919210996</v>
                </pt>
                <pt idx="636">
                  <v>0.1056498344370861</v>
                </pt>
                <pt idx="637">
                  <v>0.0972480860749016</v>
                </pt>
                <pt idx="638">
                  <v>0.09540926363356256</v>
                </pt>
                <pt idx="639">
                  <v>0.1079696783446014</v>
                </pt>
                <pt idx="640">
                  <v>0.1050177394830207</v>
                </pt>
                <pt idx="641">
                  <v>0.0923973084262328</v>
                </pt>
                <pt idx="642">
                  <v>0.07879924953095679</v>
                </pt>
                <pt idx="643">
                  <v>0.0692450434612755</v>
                </pt>
                <pt idx="644">
                  <v>0.07133868938147328</v>
                </pt>
                <pt idx="645">
                  <v>0.07465543644716692</v>
                </pt>
                <pt idx="646">
                  <v>0.06602254428341389</v>
                </pt>
                <pt idx="647">
                  <v>0.06662281526028929</v>
                </pt>
                <pt idx="648">
                  <v>0.07356106691623764</v>
                </pt>
                <pt idx="649">
                  <v>0.09070337544785975</v>
                </pt>
                <pt idx="650">
                  <v>0.09291205700356286</v>
                </pt>
                <pt idx="651">
                  <v>0.08431952662721899</v>
                </pt>
                <pt idx="652">
                  <v>0.08081827355288519</v>
                </pt>
                <pt idx="653">
                  <v>0.09561459961386411</v>
                </pt>
                <pt idx="654">
                  <v>0.09574370709382142</v>
                </pt>
                <pt idx="655">
                  <v>0.07864450127877251</v>
                </pt>
                <pt idx="656">
                  <v>0.0900795084929527</v>
                </pt>
                <pt idx="657">
                  <v>0.07686141788386174</v>
                </pt>
                <pt idx="658">
                  <v>0.0831704282921627</v>
                </pt>
                <pt idx="659">
                  <v>0.09664346753589997</v>
                </pt>
                <pt idx="660">
                  <v>0.09231976288030695</v>
                </pt>
                <pt idx="661">
                  <v>0.1039073305670817</v>
                </pt>
                <pt idx="662">
                  <v>0.0899888479025477</v>
                </pt>
                <pt idx="663">
                  <v>0.08262278308321973</v>
                </pt>
                <pt idx="664">
                  <v>0.0679001867255135</v>
                </pt>
                <pt idx="665">
                  <v>0.06662750692288316</v>
                </pt>
                <pt idx="666">
                  <v>0.067162308913207</v>
                </pt>
                <pt idx="667">
                  <v>0.07756795664323812</v>
                </pt>
                <pt idx="668">
                  <v>0.06340654786572732</v>
                </pt>
                <pt idx="669">
                  <v>0.05020263005541316</v>
                </pt>
                <pt idx="670">
                  <v>0.06234618539786711</v>
                </pt>
                <pt idx="671">
                  <v>0.04603149100257066</v>
                </pt>
                <pt idx="672">
                  <v>0.03998403830806058</v>
                </pt>
                <pt idx="673">
                  <v>0.03234142521534844</v>
                </pt>
                <pt idx="674">
                  <v>0.04265701243507009</v>
                </pt>
                <pt idx="675">
                  <v>0.05402851067181216</v>
                </pt>
                <pt idx="676">
                  <v>0.07415355269432519</v>
                </pt>
                <pt idx="677">
                  <v>0.06309495712375113</v>
                </pt>
                <pt idx="678">
                  <v>0.05823874755381612</v>
                </pt>
                <pt idx="679">
                  <v>0.08440078585461697</v>
                </pt>
                <pt idx="680">
                  <v>0.07544816835541696</v>
                </pt>
                <pt idx="681">
                  <v>0.0859190423688771</v>
                </pt>
                <pt idx="682">
                  <v>0.07042471042471046</v>
                </pt>
                <pt idx="683">
                  <v>0.05744566469549204</v>
                </pt>
                <pt idx="684">
                  <v>0.06822193231524833</v>
                </pt>
                <pt idx="685">
                  <v>0.05780171432906019</v>
                </pt>
                <pt idx="686">
                  <v>0.06793478260869565</v>
                </pt>
                <pt idx="687">
                  <v>0.05604124635731899</v>
                </pt>
                <pt idx="688">
                  <v>0.06622271550129485</v>
                </pt>
                <pt idx="689">
                  <v>0.06837859838673876</v>
                </pt>
                <pt idx="690">
                  <v>0.0747096678748428</v>
                </pt>
                <pt idx="691">
                  <v>0.06043916225813455</v>
                </pt>
                <pt idx="692">
                  <v>0.05022467024206403</v>
                </pt>
                <pt idx="693">
                  <v>0.06048299369062286</v>
                </pt>
                <pt idx="694">
                  <v>0.05929880248160441</v>
                </pt>
                <pt idx="695">
                  <v>0.05817415934345262</v>
                </pt>
                <pt idx="696">
                  <v>0.05596264367816099</v>
                </pt>
                <pt idx="697">
                  <v>0.04044460380064546</v>
                </pt>
                <pt idx="698">
                  <v>0.03746112524738479</v>
                </pt>
                <pt idx="699">
                  <v>0.03389230878086754</v>
                </pt>
                <pt idx="700">
                  <v>0.01027064538514917</v>
                </pt>
                <pt idx="701">
                  <v>0.007411512086998715</v>
                </pt>
                <pt idx="702">
                  <v>0.007158097597907539</v>
                </pt>
                <pt idx="703">
                  <v>0.002528531401626492</v>
                </pt>
                <pt idx="704">
                  <v>0.01276654475191498</v>
                </pt>
                <pt idx="705">
                  <v>0.008274635847637378</v>
                </pt>
                <pt idx="706">
                  <v>-0.001157722691364782</v>
                </pt>
                <pt idx="707">
                  <v>0.02278654770075501</v>
                </pt>
                <pt idx="708">
                  <v>0.01176950812980472</v>
                </pt>
                <pt idx="709">
                  <v>0.02453649458956503</v>
                </pt>
                <pt idx="710">
                  <v>0.0003406458645592043</v>
                </pt>
                <pt idx="711">
                  <v>0.01245551601423491</v>
                </pt>
                <pt idx="712">
                  <v>0.01779090534414074</v>
                </pt>
                <pt idx="713">
                  <v>0.02970297029702958</v>
                </pt>
                <pt idx="714">
                  <v>0.03000068338686537</v>
                </pt>
                <pt idx="715">
                  <v>0.0267893660531697</v>
                </pt>
                <pt idx="716">
                  <v>0.03563641319160547</v>
                </pt>
                <pt idx="717">
                  <v>0.03730330982094411</v>
                </pt>
                <pt idx="718">
                  <v>0.04608986159405461</v>
                </pt>
                <pt idx="719">
                  <v>0.04120252315125477</v>
                </pt>
                <pt idx="720">
                  <v>0.03805809575040338</v>
                </pt>
                <pt idx="721">
                  <v>0.03969054826774302</v>
                </pt>
                <pt idx="722">
                  <v>0.1242934005312266</v>
                </pt>
                <pt idx="723">
                  <v>0.2615925375152088</v>
                </pt>
                <pt idx="724">
                  <v>3.28048862792738</v>
                </pt>
                <pt idx="725">
                  <v>3.299879807692307</v>
                </pt>
                <pt idx="726">
                  <v>3.302016985138004</v>
                </pt>
                <pt idx="727">
                  <v>3.321317134700922</v>
                </pt>
                <pt idx="728">
                  <v>3.339627607079413</v>
                </pt>
                <pt idx="729">
                  <v>3.361122008630836</v>
                </pt>
                <pt idx="730">
                  <v>3.406439418627387</v>
                </pt>
                <pt idx="731">
                  <v>3.394431554524362</v>
                </pt>
                <pt idx="732">
                  <v>3.473247830029797</v>
                </pt>
                <pt idx="733">
                  <v>3.512908443869298</v>
                </pt>
                <pt idx="734">
                  <v>3.260782650835958</v>
                </pt>
                <pt idx="735">
                  <v>2.802078868409772</v>
                </pt>
                <pt idx="736">
                  <v>0.1305499495459132</v>
                </pt>
                <pt idx="737">
                  <v>0.1072598804254988</v>
                </pt>
                <pt idx="738">
                  <v>0.1047809993830968</v>
                </pt>
                <pt idx="739">
                  <v>0.1108431143612118</v>
                </pt>
                <pt idx="740">
                  <v>0.1002001273537705</v>
                </pt>
                <pt idx="741">
                  <v>0.08755753459572108</v>
                </pt>
                <pt idx="742">
                  <v>0.07697313927345871</v>
                </pt>
                <pt idx="743">
                  <v>0.06966443740466972</v>
                </pt>
                <pt idx="744">
                  <v>0.05731414173593214</v>
                </pt>
                <pt idx="745">
                  <v>0.04239608872066179</v>
                </pt>
                <pt idx="746">
                  <v>0.02286136741686455</v>
                </pt>
                <pt idx="747">
                  <v>0.006397790366675199</v>
                </pt>
                <pt idx="748">
                  <v>-0.01334653575811668</v>
                </pt>
                <pt idx="749">
                  <v>-0.02433311828560209</v>
                </pt>
                <pt idx="750">
                  <v>-0.03004160035737218</v>
                </pt>
                <pt idx="751">
                  <v>-0.04316317922192865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  <max val="44743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Monthly'!$A$6:$A$778</f>
              <numCache>
                <formatCode>yyyy\-mm\-dd</formatCode>
                <ptCount val="773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</numCache>
            </numRef>
          </cat>
          <val>
            <numRef>
              <f>'US M2 Real Monthly'!$B$6:$B$778</f>
              <numCache>
                <formatCode>0.0</formatCode>
                <ptCount val="773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2801.5</v>
                </pt>
                <pt idx="503">
                  <v>2820.7</v>
                </pt>
                <pt idx="504">
                  <v>2833.5</v>
                </pt>
                <pt idx="505">
                  <v>2848.9</v>
                </pt>
                <pt idx="506">
                  <v>2880.2</v>
                </pt>
                <pt idx="507">
                  <v>2911.5</v>
                </pt>
                <pt idx="508">
                  <v>2895.1</v>
                </pt>
                <pt idx="509">
                  <v>2911.4</v>
                </pt>
                <pt idx="510">
                  <v>2933.1</v>
                </pt>
                <pt idx="511">
                  <v>2952.2</v>
                </pt>
                <pt idx="512">
                  <v>3003</v>
                </pt>
                <pt idx="513">
                  <v>3005.1</v>
                </pt>
                <pt idx="514">
                  <v>3031.4</v>
                </pt>
                <pt idx="515">
                  <v>3063</v>
                </pt>
                <pt idx="516">
                  <v>3069.3</v>
                </pt>
                <pt idx="517">
                  <v>3080.6</v>
                </pt>
                <pt idx="518">
                  <v>3078.5</v>
                </pt>
                <pt idx="519">
                  <v>3064.9</v>
                </pt>
                <pt idx="520">
                  <v>3076</v>
                </pt>
                <pt idx="521">
                  <v>3088.3</v>
                </pt>
                <pt idx="522">
                  <v>3105.1</v>
                </pt>
                <pt idx="523">
                  <v>3120</v>
                </pt>
                <pt idx="524">
                  <v>3128.3</v>
                </pt>
                <pt idx="525">
                  <v>3145.9</v>
                </pt>
                <pt idx="526">
                  <v>3168.4</v>
                </pt>
                <pt idx="527">
                  <v>3174.9</v>
                </pt>
                <pt idx="528">
                  <v>3178.9</v>
                </pt>
                <pt idx="529">
                  <v>3181.2</v>
                </pt>
                <pt idx="530">
                  <v>3187.3</v>
                </pt>
                <pt idx="531">
                  <v>3219.9</v>
                </pt>
                <pt idx="532">
                  <v>3258.2</v>
                </pt>
                <pt idx="533">
                  <v>3274.7</v>
                </pt>
                <pt idx="534">
                  <v>3289.4</v>
                </pt>
                <pt idx="535">
                  <v>3306.7</v>
                </pt>
                <pt idx="536">
                  <v>3280.8</v>
                </pt>
                <pt idx="537">
                  <v>3279.4</v>
                </pt>
                <pt idx="538">
                  <v>3280.6</v>
                </pt>
                <pt idx="539">
                  <v>3270.8</v>
                </pt>
                <pt idx="540">
                  <v>3261.1</v>
                </pt>
                <pt idx="541">
                  <v>3274.9</v>
                </pt>
                <pt idx="542">
                  <v>3287.1</v>
                </pt>
                <pt idx="543">
                  <v>3303.7</v>
                </pt>
                <pt idx="544">
                  <v>3330.6</v>
                </pt>
                <pt idx="545">
                  <v>3319.5</v>
                </pt>
                <pt idx="546">
                  <v>3323.3</v>
                </pt>
                <pt idx="547">
                  <v>3335.4</v>
                </pt>
                <pt idx="548">
                  <v>3343.2</v>
                </pt>
                <pt idx="549">
                  <v>3340.3</v>
                </pt>
                <pt idx="550">
                  <v>3338.4</v>
                </pt>
                <pt idx="551">
                  <v>3348.1</v>
                </pt>
                <pt idx="552">
                  <v>3353.1</v>
                </pt>
                <pt idx="553">
                  <v>3343.5</v>
                </pt>
                <pt idx="554">
                  <v>3336</v>
                </pt>
                <pt idx="555">
                  <v>3332.9</v>
                </pt>
                <pt idx="556">
                  <v>3343.6</v>
                </pt>
                <pt idx="557">
                  <v>3358.7</v>
                </pt>
                <pt idx="558">
                  <v>3354.2</v>
                </pt>
                <pt idx="559">
                  <v>3350.4</v>
                </pt>
                <pt idx="560">
                  <v>3322.1</v>
                </pt>
                <pt idx="561">
                  <v>3334.3</v>
                </pt>
                <pt idx="562">
                  <v>3359.4</v>
                </pt>
                <pt idx="563">
                  <v>3373</v>
                </pt>
                <pt idx="564">
                  <v>3374</v>
                </pt>
                <pt idx="565">
                  <v>3384.5</v>
                </pt>
                <pt idx="566">
                  <v>3386.5</v>
                </pt>
                <pt idx="567">
                  <v>3388.2</v>
                </pt>
                <pt idx="568">
                  <v>3381.5</v>
                </pt>
                <pt idx="569">
                  <v>3391.9</v>
                </pt>
                <pt idx="570">
                  <v>3393.9</v>
                </pt>
                <pt idx="571">
                  <v>3394.1</v>
                </pt>
                <pt idx="572">
                  <v>3424.2</v>
                </pt>
                <pt idx="573">
                  <v>3463.7</v>
                </pt>
                <pt idx="574">
                  <v>3479.4</v>
                </pt>
                <pt idx="575">
                  <v>3481.8</v>
                </pt>
                <pt idx="576">
                  <v>3494.7</v>
                </pt>
                <pt idx="577">
                  <v>3488.9</v>
                </pt>
                <pt idx="578">
                  <v>3487.3</v>
                </pt>
                <pt idx="579">
                  <v>3512</v>
                </pt>
                <pt idx="580">
                  <v>3504.3</v>
                </pt>
                <pt idx="581">
                  <v>3512.3</v>
                </pt>
                <pt idx="582">
                  <v>3520.7</v>
                </pt>
                <pt idx="583">
                  <v>3556.2</v>
                </pt>
                <pt idx="584">
                  <v>3549.9</v>
                </pt>
                <pt idx="585">
                  <v>3545.7</v>
                </pt>
                <pt idx="586">
                  <v>3529.7</v>
                </pt>
                <pt idx="587">
                  <v>3533.6</v>
                </pt>
                <pt idx="588">
                  <v>3537.4</v>
                </pt>
                <pt idx="589">
                  <v>3568.9</v>
                </pt>
                <pt idx="590">
                  <v>3586.9</v>
                </pt>
                <pt idx="591">
                  <v>3598.7</v>
                </pt>
                <pt idx="592">
                  <v>3583.1</v>
                </pt>
                <pt idx="593">
                  <v>3554.1</v>
                </pt>
                <pt idx="594">
                  <v>3550.2</v>
                </pt>
                <pt idx="595">
                  <v>3562.2</v>
                </pt>
                <pt idx="596">
                  <v>3590.8</v>
                </pt>
                <pt idx="597">
                  <v>3670.7</v>
                </pt>
                <pt idx="598">
                  <v>3760.6</v>
                </pt>
                <pt idx="599">
                  <v>3875.2</v>
                </pt>
                <pt idx="600">
                  <v>3903.9</v>
                </pt>
                <pt idx="601">
                  <v>3903.6</v>
                </pt>
                <pt idx="602">
                  <v>3938.6</v>
                </pt>
                <pt idx="603">
                  <v>3936.3</v>
                </pt>
                <pt idx="604">
                  <v>3957.7</v>
                </pt>
                <pt idx="605">
                  <v>3929.7</v>
                </pt>
                <pt idx="606">
                  <v>3933</v>
                </pt>
                <pt idx="607">
                  <v>3919.8</v>
                </pt>
                <pt idx="608">
                  <v>3911.9</v>
                </pt>
                <pt idx="609">
                  <v>3912.6</v>
                </pt>
                <pt idx="610">
                  <v>3913.2</v>
                </pt>
                <pt idx="611">
                  <v>3909</v>
                </pt>
                <pt idx="612">
                  <v>3889</v>
                </pt>
                <pt idx="613">
                  <v>3915.4</v>
                </pt>
                <pt idx="614">
                  <v>3912.8</v>
                </pt>
                <pt idx="615">
                  <v>3926</v>
                </pt>
                <pt idx="616">
                  <v>3953.2</v>
                </pt>
                <pt idx="617">
                  <v>3963.6</v>
                </pt>
                <pt idx="618">
                  <v>3960.8</v>
                </pt>
                <pt idx="619">
                  <v>3978.1</v>
                </pt>
                <pt idx="620">
                  <v>3985.8</v>
                </pt>
                <pt idx="621">
                  <v>3994.5</v>
                </pt>
                <pt idx="622">
                  <v>3993.8</v>
                </pt>
                <pt idx="623">
                  <v>3992.3</v>
                </pt>
                <pt idx="624">
                  <v>3989</v>
                </pt>
                <pt idx="625">
                  <v>4004.9</v>
                </pt>
                <pt idx="626">
                  <v>4009.7</v>
                </pt>
                <pt idx="627">
                  <v>4018.4</v>
                </pt>
                <pt idx="628">
                  <v>4037</v>
                </pt>
                <pt idx="629">
                  <v>4070.6</v>
                </pt>
                <pt idx="630">
                  <v>4133.5</v>
                </pt>
                <pt idx="631">
                  <v>4204.9</v>
                </pt>
                <pt idx="632">
                  <v>4205</v>
                </pt>
                <pt idx="633">
                  <v>4217</v>
                </pt>
                <pt idx="634">
                  <v>4231.5</v>
                </pt>
                <pt idx="635">
                  <v>4251.4</v>
                </pt>
                <pt idx="636">
                  <v>4272</v>
                </pt>
                <pt idx="637">
                  <v>4285.8</v>
                </pt>
                <pt idx="638">
                  <v>4296.5</v>
                </pt>
                <pt idx="639">
                  <v>4312.9</v>
                </pt>
                <pt idx="640">
                  <v>4341</v>
                </pt>
                <pt idx="641">
                  <v>4375.6</v>
                </pt>
                <pt idx="642">
                  <v>4397.3</v>
                </pt>
                <pt idx="643">
                  <v>4402.1</v>
                </pt>
                <pt idx="644">
                  <v>4415.6</v>
                </pt>
                <pt idx="645">
                  <v>4432.5</v>
                </pt>
                <pt idx="646">
                  <v>4470.3</v>
                </pt>
                <pt idx="647">
                  <v>4523.7</v>
                </pt>
                <pt idx="648">
                  <v>4523.3</v>
                </pt>
                <pt idx="649">
                  <v>4499.9</v>
                </pt>
                <pt idx="650">
                  <v>4541.9</v>
                </pt>
                <pt idx="651">
                  <v>4566.9</v>
                </pt>
                <pt idx="652">
                  <v>4583.2</v>
                </pt>
                <pt idx="653">
                  <v>4596.7</v>
                </pt>
                <pt idx="654">
                  <v>4607.5</v>
                </pt>
                <pt idx="655">
                  <v>4621.9</v>
                </pt>
                <pt idx="656">
                  <v>4642.1</v>
                </pt>
                <pt idx="657">
                  <v>4689</v>
                </pt>
                <pt idx="658">
                  <v>4685.6</v>
                </pt>
                <pt idx="659">
                  <v>4698.7</v>
                </pt>
                <pt idx="660">
                  <v>4708.7</v>
                </pt>
                <pt idx="661">
                  <v>4738.3</v>
                </pt>
                <pt idx="662">
                  <v>4745.3</v>
                </pt>
                <pt idx="663">
                  <v>4760.4</v>
                </pt>
                <pt idx="664">
                  <v>4780.7</v>
                </pt>
                <pt idx="665">
                  <v>4797.3</v>
                </pt>
                <pt idx="666">
                  <v>4816.8</v>
                </pt>
                <pt idx="667">
                  <v>4830</v>
                </pt>
                <pt idx="668">
                  <v>4843.8</v>
                </pt>
                <pt idx="669">
                  <v>4870.2</v>
                </pt>
                <pt idx="670">
                  <v>4896.8</v>
                </pt>
                <pt idx="671">
                  <v>4944.5</v>
                </pt>
                <pt idx="672">
                  <v>5003.3</v>
                </pt>
                <pt idx="673">
                  <v>5041.1</v>
                </pt>
                <pt idx="674">
                  <v>5034.2</v>
                </pt>
                <pt idx="675">
                  <v>5049.2</v>
                </pt>
                <pt idx="676">
                  <v>5046.5</v>
                </pt>
                <pt idx="677">
                  <v>5051.7</v>
                </pt>
                <pt idx="678">
                  <v>5065.8</v>
                </pt>
                <pt idx="679">
                  <v>5087.3</v>
                </pt>
                <pt idx="680">
                  <v>5121.9</v>
                </pt>
                <pt idx="681">
                  <v>5130.5</v>
                </pt>
                <pt idx="682">
                  <v>5161.8</v>
                </pt>
                <pt idx="683">
                  <v>5191.8</v>
                </pt>
                <pt idx="684">
                  <v>5247.2</v>
                </pt>
                <pt idx="685">
                  <v>5286</v>
                </pt>
                <pt idx="686">
                  <v>5296.4</v>
                </pt>
                <pt idx="687">
                  <v>5313.3</v>
                </pt>
                <pt idx="688">
                  <v>5328.8</v>
                </pt>
                <pt idx="689">
                  <v>5341.7</v>
                </pt>
                <pt idx="690">
                  <v>5369.4</v>
                </pt>
                <pt idx="691">
                  <v>5395.3</v>
                </pt>
                <pt idx="692">
                  <v>5406</v>
                </pt>
                <pt idx="693">
                  <v>5421.3</v>
                </pt>
                <pt idx="694">
                  <v>5444.2</v>
                </pt>
                <pt idx="695">
                  <v>5444.2</v>
                </pt>
                <pt idx="696">
                  <v>5452.3</v>
                </pt>
                <pt idx="697">
                  <v>5471.8</v>
                </pt>
                <pt idx="698">
                  <v>5502.7</v>
                </pt>
                <pt idx="699">
                  <v>5521.4</v>
                </pt>
                <pt idx="700">
                  <v>5547</v>
                </pt>
                <pt idx="701">
                  <v>5553.2</v>
                </pt>
                <pt idx="702">
                  <v>5576.8</v>
                </pt>
                <pt idx="703">
                  <v>5579.3</v>
                </pt>
                <pt idx="704">
                  <v>5568.2</v>
                </pt>
                <pt idx="705">
                  <v>5586.4</v>
                </pt>
                <pt idx="706">
                  <v>5582.3</v>
                </pt>
                <pt idx="707">
                  <v>5590</v>
                </pt>
                <pt idx="708">
                  <v>5575.3</v>
                </pt>
                <pt idx="709">
                  <v>5576.6</v>
                </pt>
                <pt idx="710">
                  <v>5595.6</v>
                </pt>
                <pt idx="711">
                  <v>5591.8</v>
                </pt>
                <pt idx="712">
                  <v>5599</v>
                </pt>
                <pt idx="713">
                  <v>5615.9</v>
                </pt>
                <pt idx="714">
                  <v>5625</v>
                </pt>
                <pt idx="715">
                  <v>5635.5</v>
                </pt>
                <pt idx="716">
                  <v>5635.4</v>
                </pt>
                <pt idx="717">
                  <v>5627</v>
                </pt>
                <pt idx="718">
                  <v>5636.7</v>
                </pt>
                <pt idx="719">
                  <v>5685.5</v>
                </pt>
                <pt idx="720">
                  <v>5715.8</v>
                </pt>
                <pt idx="721">
                  <v>5717.2</v>
                </pt>
                <pt idx="722">
                  <v>5706.7</v>
                </pt>
                <pt idx="723">
                  <v>5698.7</v>
                </pt>
                <pt idx="724">
                  <v>5730.9</v>
                </pt>
                <pt idx="725">
                  <v>5778</v>
                </pt>
                <pt idx="726">
                  <v>5796.7</v>
                </pt>
                <pt idx="727">
                  <v>5824</v>
                </pt>
                <pt idx="728">
                  <v>5847.6</v>
                </pt>
                <pt idx="729">
                  <v>5885.7</v>
                </pt>
                <pt idx="730">
                  <v>5915.7</v>
                </pt>
                <pt idx="731">
                  <v>5931.6</v>
                </pt>
                <pt idx="732">
                  <v>5954</v>
                </pt>
                <pt idx="733">
                  <v>5968.4</v>
                </pt>
                <pt idx="734">
                  <v>6193.2</v>
                </pt>
                <pt idx="735">
                  <v>6639.2</v>
                </pt>
                <pt idx="736">
                  <v>6968.4</v>
                </pt>
                <pt idx="737">
                  <v>7048.3</v>
                </pt>
                <pt idx="738">
                  <v>7069.5</v>
                </pt>
                <pt idx="739">
                  <v>7072</v>
                </pt>
                <pt idx="740">
                  <v>7139.1</v>
                </pt>
                <pt idx="741">
                  <v>7196.3</v>
                </pt>
                <pt idx="742">
                  <v>7275.9</v>
                </pt>
                <pt idx="743">
                  <v>7311.7</v>
                </pt>
                <pt idx="744">
                  <v>7388.5</v>
                </pt>
                <pt idx="745">
                  <v>7448.5</v>
                </pt>
                <pt idx="746">
                  <v>7491.2</v>
                </pt>
                <pt idx="747">
                  <v>7539.7</v>
                </pt>
                <pt idx="748">
                  <v>7601.9</v>
                </pt>
                <pt idx="749">
                  <v>7551.1</v>
                </pt>
                <pt idx="750">
                  <v>7576.1</v>
                </pt>
                <pt idx="751">
                  <v>7636</v>
                </pt>
                <pt idx="752">
                  <v>7655.5</v>
                </pt>
                <pt idx="753">
                  <v>7644.5</v>
                </pt>
                <pt idx="754">
                  <v>7665.2</v>
                </pt>
                <pt idx="755">
                  <v>7671.6</v>
                </pt>
                <pt idx="756">
                  <v>7679.1</v>
                </pt>
                <pt idx="757">
                  <v>7639</v>
                </pt>
                <pt idx="758">
                  <v>7556.2</v>
                </pt>
                <pt idx="759">
                  <v>7502</v>
                </pt>
                <pt idx="760">
                  <v>7439.6</v>
                </pt>
                <pt idx="761">
                  <v>7336.7</v>
                </pt>
                <pt idx="762">
                  <v>7352.4</v>
                </pt>
                <pt idx="763">
                  <v>7344.4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Monthly'!$A$6:$A$774</f>
              <numCache>
                <formatCode>yyyy\-mm\-dd</formatCode>
                <ptCount val="76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</numCache>
            </numRef>
          </cat>
          <val>
            <numRef>
              <f>'US M2 Real Monthly'!$C$6:$C$774</f>
              <numCache>
                <formatCode>General</formatCode>
                <ptCount val="769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0.02326685660018987</v>
                </pt>
                <pt idx="503">
                  <formatCode>0.0%</formatCode>
                  <v>0.02660503712330758</v>
                </pt>
                <pt idx="504">
                  <formatCode>0.0%</formatCode>
                  <v>0.02804586024236274</v>
                </pt>
                <pt idx="505">
                  <formatCode>0.0%</formatCode>
                  <v>0.03498510499164433</v>
                </pt>
                <pt idx="506">
                  <formatCode>0.0%</formatCode>
                  <v>0.04563441640951164</v>
                </pt>
                <pt idx="507">
                  <formatCode>0.0%</formatCode>
                  <v>0.04399741824440613</v>
                </pt>
                <pt idx="508">
                  <formatCode>0.0%</formatCode>
                  <v>0.04260299625468154</v>
                </pt>
                <pt idx="509">
                  <formatCode>0.0%</formatCode>
                  <v>0.05062971383205232</v>
                </pt>
                <pt idx="510">
                  <formatCode>0.0%</formatCode>
                  <v>0.05765902206836871</v>
                </pt>
                <pt idx="511">
                  <formatCode>0.0%</formatCode>
                  <v>0.05832586485033153</v>
                </pt>
                <pt idx="512">
                  <formatCode>0.0%</formatCode>
                  <v>0.07418800972957508</v>
                </pt>
                <pt idx="513">
                  <formatCode>0.0%</formatCode>
                  <v>0.07324999999999997</v>
                </pt>
                <pt idx="514">
                  <formatCode>0.0%</formatCode>
                  <v>0.08206318043905055</v>
                </pt>
                <pt idx="515">
                  <formatCode>0.0%</formatCode>
                  <v>0.0859006629560039</v>
                </pt>
                <pt idx="516">
                  <formatCode>0.0%</formatCode>
                  <v>0.08321863419798842</v>
                </pt>
                <pt idx="517">
                  <formatCode>0.0%</formatCode>
                  <v>0.08132963599985953</v>
                </pt>
                <pt idx="518">
                  <formatCode>0.0%</formatCode>
                  <v>0.06884938545934317</v>
                </pt>
                <pt idx="519">
                  <formatCode>0.0%</formatCode>
                  <v>0.05268761806628888</v>
                </pt>
                <pt idx="520">
                  <formatCode>0.0%</formatCode>
                  <v>0.06248488825947294</v>
                </pt>
                <pt idx="521">
                  <formatCode>0.0%</formatCode>
                  <v>0.06076114584048914</v>
                </pt>
                <pt idx="522">
                  <formatCode>0.0%</formatCode>
                  <v>0.05864102826361188</v>
                </pt>
                <pt idx="523">
                  <formatCode>0.0%</formatCode>
                  <v>0.05683896754962407</v>
                </pt>
                <pt idx="524">
                  <formatCode>0.0%</formatCode>
                  <v>0.04172494172494179</v>
                </pt>
                <pt idx="525">
                  <formatCode>0.0%</formatCode>
                  <v>0.04685368207380792</v>
                </pt>
                <pt idx="526">
                  <formatCode>0.0%</formatCode>
                  <v>0.04519363990235534</v>
                </pt>
                <pt idx="527">
                  <formatCode>0.0%</formatCode>
                  <v>0.03653281096963764</v>
                </pt>
                <pt idx="528">
                  <formatCode>0.0%</formatCode>
                  <v>0.03570846772879806</v>
                </pt>
                <pt idx="529">
                  <formatCode>0.0%</formatCode>
                  <v>0.03265597610855026</v>
                </pt>
                <pt idx="530">
                  <formatCode>0.0%</formatCode>
                  <v>0.03534188728276764</v>
                </pt>
                <pt idx="531">
                  <formatCode>0.0%</formatCode>
                  <v>0.05057261248327841</v>
                </pt>
                <pt idx="532">
                  <formatCode>0.0%</formatCode>
                  <v>0.05923276983094922</v>
                </pt>
                <pt idx="533">
                  <formatCode>0.0%</formatCode>
                  <v>0.06035683061878691</v>
                </pt>
                <pt idx="534">
                  <formatCode>0.0%</formatCode>
                  <v>0.05935396605584367</v>
                </pt>
                <pt idx="535">
                  <formatCode>0.0%</formatCode>
                  <v>0.05983974358974353</v>
                </pt>
                <pt idx="536">
                  <formatCode>0.0%</formatCode>
                  <v>0.04874852156123134</v>
                </pt>
                <pt idx="537">
                  <formatCode>0.0%</formatCode>
                  <v>0.04243618678279665</v>
                </pt>
                <pt idx="538">
                  <formatCode>0.0%</formatCode>
                  <v>0.0354121954298699</v>
                </pt>
                <pt idx="539">
                  <formatCode>0.0%</formatCode>
                  <v>0.0302056757693156</v>
                </pt>
                <pt idx="540">
                  <formatCode>0.0%</formatCode>
                  <v>0.02585800119538199</v>
                </pt>
                <pt idx="541">
                  <formatCode>0.0%</formatCode>
                  <v>0.02945429397711564</v>
                </pt>
                <pt idx="542">
                  <formatCode>0.0%</formatCode>
                  <v>0.03131176858155797</v>
                </pt>
                <pt idx="543">
                  <formatCode>0.0%</formatCode>
                  <v>0.02602565297058906</v>
                </pt>
                <pt idx="544">
                  <formatCode>0.0%</formatCode>
                  <v>0.02222085814253271</v>
                </pt>
                <pt idx="545">
                  <formatCode>0.0%</formatCode>
                  <v>0.01368064250160326</v>
                </pt>
                <pt idx="546">
                  <formatCode>0.0%</formatCode>
                  <v>0.01030583085061108</v>
                </pt>
                <pt idx="547">
                  <formatCode>0.0%</formatCode>
                  <v>0.008679347990443727</v>
                </pt>
                <pt idx="548">
                  <formatCode>0.0%</formatCode>
                  <v>0.01901975128017545</v>
                </pt>
                <pt idx="549">
                  <formatCode>0.0%</formatCode>
                  <v>0.0185704702079649</v>
                </pt>
                <pt idx="550">
                  <formatCode>0.0%</formatCode>
                  <v>0.01761872828141199</v>
                </pt>
                <pt idx="551">
                  <formatCode>0.0%</formatCode>
                  <v>0.0236333618686559</v>
                </pt>
                <pt idx="552">
                  <formatCode>0.0%</formatCode>
                  <v>0.02821133973199227</v>
                </pt>
                <pt idx="553">
                  <formatCode>0.0%</formatCode>
                  <v>0.02094720449479371</v>
                </pt>
                <pt idx="554">
                  <formatCode>0.0%</formatCode>
                  <v>0.01487633476316513</v>
                </pt>
                <pt idx="555">
                  <formatCode>0.0%</formatCode>
                  <v>0.008838574931137898</v>
                </pt>
                <pt idx="556">
                  <formatCode>0.0%</formatCode>
                  <v>0.0039032006245121</v>
                </pt>
                <pt idx="557">
                  <formatCode>0.0%</formatCode>
                  <v>0.01180900738062956</v>
                </pt>
                <pt idx="558">
                  <formatCode>0.0%</formatCode>
                  <v>0.009297986940691371</v>
                </pt>
                <pt idx="559">
                  <formatCode>0.0%</formatCode>
                  <v>0.004497211728728188</v>
                </pt>
                <pt idx="560">
                  <formatCode>0.0%</formatCode>
                  <v>-0.006311318497248118</v>
                </pt>
                <pt idx="561">
                  <formatCode>0.0%</formatCode>
                  <v>-0.001796245846181481</v>
                </pt>
                <pt idx="562">
                  <formatCode>0.0%</formatCode>
                  <v>0.006290438533429188</v>
                </pt>
                <pt idx="563">
                  <formatCode>0.0%</formatCode>
                  <v>0.007437053851438157</v>
                </pt>
                <pt idx="564">
                  <formatCode>0.0%</formatCode>
                  <v>0.006233038084160953</v>
                </pt>
                <pt idx="565">
                  <formatCode>0.0%</formatCode>
                  <v>0.01226259907282787</v>
                </pt>
                <pt idx="566">
                  <formatCode>0.0%</formatCode>
                  <v>0.0151378896882494</v>
                </pt>
                <pt idx="567">
                  <formatCode>0.0%</formatCode>
                  <v>0.01659215698040737</v>
                </pt>
                <pt idx="568">
                  <formatCode>0.0%</formatCode>
                  <v>0.01133508792917816</v>
                </pt>
                <pt idx="569">
                  <formatCode>0.0%</formatCode>
                  <v>0.009884776848185391</v>
                </pt>
                <pt idx="570">
                  <formatCode>0.0%</formatCode>
                  <v>0.01183590722079789</v>
                </pt>
                <pt idx="571">
                  <formatCode>0.0%</formatCode>
                  <v>0.01304321872015276</v>
                </pt>
                <pt idx="572">
                  <formatCode>0.0%</formatCode>
                  <v>0.03073357213810539</v>
                </pt>
                <pt idx="573">
                  <formatCode>0.0%</formatCode>
                  <v>0.03880874546381538</v>
                </pt>
                <pt idx="574">
                  <formatCode>0.0%</formatCode>
                  <v>0.03572066440435792</v>
                </pt>
                <pt idx="575">
                  <formatCode>0.0%</formatCode>
                  <v>0.03225615179365555</v>
                </pt>
                <pt idx="576">
                  <formatCode>0.0%</formatCode>
                  <v>0.03577356253704796</v>
                </pt>
                <pt idx="577">
                  <formatCode>0.0%</formatCode>
                  <v>0.03084650613089085</v>
                </pt>
                <pt idx="578">
                  <formatCode>0.0%</formatCode>
                  <v>0.02976524435257646</v>
                </pt>
                <pt idx="579">
                  <formatCode>0.0%</formatCode>
                  <v>0.03653857505460132</v>
                </pt>
                <pt idx="580">
                  <formatCode>0.0%</formatCode>
                  <v>0.03631524471388443</v>
                </pt>
                <pt idx="581">
                  <formatCode>0.0%</formatCode>
                  <v>0.03549632949084586</v>
                </pt>
                <pt idx="582">
                  <formatCode>0.0%</formatCode>
                  <v>0.03736114794189567</v>
                </pt>
                <pt idx="583">
                  <formatCode>0.0%</formatCode>
                  <v>0.04775934710232459</v>
                </pt>
                <pt idx="584">
                  <formatCode>0.0%</formatCode>
                  <v>0.03670930436306299</v>
                </pt>
                <pt idx="585">
                  <formatCode>0.0%</formatCode>
                  <v>0.02367410572509166</v>
                </pt>
                <pt idx="586">
                  <formatCode>0.0%</formatCode>
                  <v>0.01445651549117656</v>
                </pt>
                <pt idx="587">
                  <formatCode>0.0%</formatCode>
                  <v>0.01487736228387608</v>
                </pt>
                <pt idx="588">
                  <formatCode>0.0%</formatCode>
                  <v>0.01221850230348822</v>
                </pt>
                <pt idx="589">
                  <formatCode>0.0%</formatCode>
                  <v>0.02292986328069019</v>
                </pt>
                <pt idx="590">
                  <formatCode>0.0%</formatCode>
                  <v>0.02856077767900666</v>
                </pt>
                <pt idx="591">
                  <formatCode>0.0%</formatCode>
                  <v>0.02468678815489744</v>
                </pt>
                <pt idx="592">
                  <formatCode>0.0%</formatCode>
                  <v>0.02248665924721049</v>
                </pt>
                <pt idx="593">
                  <formatCode>0.0%</formatCode>
                  <v>0.01190103351080481</v>
                </pt>
                <pt idx="594">
                  <formatCode>0.0%</formatCode>
                  <v>0.008379015536683047</v>
                </pt>
                <pt idx="595">
                  <formatCode>0.0%</formatCode>
                  <v>0.001687194196051966</v>
                </pt>
                <pt idx="596">
                  <formatCode>0.0%</formatCode>
                  <v>0.01152145130848759</v>
                </pt>
                <pt idx="597">
                  <formatCode>0.0%</formatCode>
                  <v>0.03525396959697662</v>
                </pt>
                <pt idx="598">
                  <formatCode>0.0%</formatCode>
                  <v>0.0654163243335128</v>
                </pt>
                <pt idx="599">
                  <formatCode>0.0%</formatCode>
                  <v>0.09667194928684625</v>
                </pt>
                <pt idx="600">
                  <formatCode>0.0%</formatCode>
                  <v>0.1036071691072539</v>
                </pt>
                <pt idx="601">
                  <formatCode>0.0%</formatCode>
                  <v>0.09378239793773986</v>
                </pt>
                <pt idx="602">
                  <formatCode>0.0%</formatCode>
                  <v>0.09805124201957116</v>
                </pt>
                <pt idx="603">
                  <formatCode>0.0%</formatCode>
                  <v>0.09381165420846427</v>
                </pt>
                <pt idx="604">
                  <formatCode>0.0%</formatCode>
                  <v>0.1045463425525383</v>
                </pt>
                <pt idx="605">
                  <formatCode>0.0%</formatCode>
                  <v>0.1056807630623786</v>
                </pt>
                <pt idx="606">
                  <formatCode>0.0%</formatCode>
                  <v>0.1078249112726044</v>
                </pt>
                <pt idx="607">
                  <formatCode>0.0%</formatCode>
                  <v>0.1003874010442986</v>
                </pt>
                <pt idx="608">
                  <formatCode>0.0%</formatCode>
                  <v>0.08942296981174108</v>
                </pt>
                <pt idx="609">
                  <formatCode>0.0%</formatCode>
                  <v>0.06590023701201408</v>
                </pt>
                <pt idx="610">
                  <formatCode>0.0%</formatCode>
                  <v>0.04057863106951016</v>
                </pt>
                <pt idx="611">
                  <formatCode>0.0%</formatCode>
                  <v>0.008722130470685431</v>
                </pt>
                <pt idx="612">
                  <formatCode>0.0%</formatCode>
                  <v>-0.003816696124388455</v>
                </pt>
                <pt idx="613">
                  <formatCode>0.0%</formatCode>
                  <v>0.003022850701916227</v>
                </pt>
                <pt idx="614">
                  <formatCode>0.0%</formatCode>
                  <v>-0.006550550957192842</v>
                </pt>
                <pt idx="615">
                  <formatCode>0.0%</formatCode>
                  <v>-0.002616670477351874</v>
                </pt>
                <pt idx="616">
                  <formatCode>0.0%</formatCode>
                  <v>-0.001137024029107815</v>
                </pt>
                <pt idx="617">
                  <formatCode>0.0%</formatCode>
                  <v>0.008626612718528156</v>
                </pt>
                <pt idx="618">
                  <formatCode>0.0%</formatCode>
                  <v>0.007068395626748076</v>
                </pt>
                <pt idx="619">
                  <formatCode>0.0%</formatCode>
                  <v>0.01487320781672527</v>
                </pt>
                <pt idx="620">
                  <formatCode>0.0%</formatCode>
                  <v>0.0188910759477492</v>
                </pt>
                <pt idx="621">
                  <formatCode>0.0%</formatCode>
                  <v>0.02093237233553139</v>
                </pt>
                <pt idx="622">
                  <formatCode>0.0%</formatCode>
                  <v>0.02059695389962189</v>
                </pt>
                <pt idx="623">
                  <formatCode>0.0%</formatCode>
                  <v>0.02130979790227685</v>
                </pt>
                <pt idx="624">
                  <formatCode>0.0%</formatCode>
                  <v>0.02571355104139882</v>
                </pt>
                <pt idx="625">
                  <formatCode>0.0%</formatCode>
                  <v>0.02285845635184145</v>
                </pt>
                <pt idx="626">
                  <formatCode>0.0%</formatCode>
                  <v>0.02476487425884268</v>
                </pt>
                <pt idx="627">
                  <formatCode>0.0%</formatCode>
                  <v>0.02353540499235866</v>
                </pt>
                <pt idx="628">
                  <formatCode>0.0%</formatCode>
                  <v>0.02119801679651932</v>
                </pt>
                <pt idx="629">
                  <formatCode>0.0%</formatCode>
                  <v>0.02699566051064689</v>
                </pt>
                <pt idx="630">
                  <formatCode>0.0%</formatCode>
                  <v>0.04360230256513831</v>
                </pt>
                <pt idx="631">
                  <formatCode>0.0%</formatCode>
                  <v>0.05701214147457322</v>
                </pt>
                <pt idx="632">
                  <formatCode>0.0%</formatCode>
                  <v>0.05499523307742481</v>
                </pt>
                <pt idx="633">
                  <formatCode>0.0%</formatCode>
                  <v>0.055701589685818</v>
                </pt>
                <pt idx="634">
                  <formatCode>0.0%</formatCode>
                  <v>0.05951725174019726</v>
                </pt>
                <pt idx="635">
                  <formatCode>0.0%</formatCode>
                  <v>0.06489993236981174</v>
                </pt>
                <pt idx="636">
                  <formatCode>0.0%</formatCode>
                  <v>0.07094509902231136</v>
                </pt>
                <pt idx="637">
                  <formatCode>0.0%</formatCode>
                  <v>0.07013907962745639</v>
                </pt>
                <pt idx="638">
                  <formatCode>0.0%</formatCode>
                  <v>0.0715265481208071</v>
                </pt>
                <pt idx="639">
                  <formatCode>0.0%</formatCode>
                  <v>0.07328787577145121</v>
                </pt>
                <pt idx="640">
                  <formatCode>0.0%</formatCode>
                  <v>0.07530344315085459</v>
                </pt>
                <pt idx="641">
                  <formatCode>0.0%</formatCode>
                  <v>0.07492752911118765</v>
                </pt>
                <pt idx="642">
                  <formatCode>0.0%</formatCode>
                  <v>0.06382000725777191</v>
                </pt>
                <pt idx="643">
                  <formatCode>0.0%</formatCode>
                  <v>0.046897667007539</v>
                </pt>
                <pt idx="644">
                  <formatCode>0.0%</formatCode>
                  <v>0.05008323424494658</v>
                </pt>
                <pt idx="645">
                  <formatCode>0.0%</formatCode>
                  <v>0.05110267963006877</v>
                </pt>
                <pt idx="646">
                  <formatCode>0.0%</formatCode>
                  <v>0.05643388869195325</v>
                </pt>
                <pt idx="647">
                  <formatCode>0.0%</formatCode>
                  <v>0.06404948957990314</v>
                </pt>
                <pt idx="648">
                  <formatCode>0.0%</formatCode>
                  <v>0.05882490636704124</v>
                </pt>
                <pt idx="649">
                  <formatCode>0.0%</formatCode>
                  <v>0.04995566755331547</v>
                </pt>
                <pt idx="650">
                  <formatCode>0.0%</formatCode>
                  <v>0.0571162574188292</v>
                </pt>
                <pt idx="651">
                  <formatCode>0.0%</formatCode>
                  <v>0.05889308817732848</v>
                </pt>
                <pt idx="652">
                  <formatCode>0.0%</formatCode>
                  <v>0.05579359594563461</v>
                </pt>
                <pt idx="653">
                  <formatCode>0.0%</formatCode>
                  <v>0.05053021299935996</v>
                </pt>
                <pt idx="654">
                  <formatCode>0.0%</formatCode>
                  <v>0.04780206035521793</v>
                </pt>
                <pt idx="655">
                  <formatCode>0.0%</formatCode>
                  <v>0.04993071488607693</v>
                </pt>
                <pt idx="656">
                  <formatCode>0.0%</formatCode>
                  <v>0.05129540719268049</v>
                </pt>
                <pt idx="657">
                  <formatCode>0.0%</formatCode>
                  <v>0.05786802030456853</v>
                </pt>
                <pt idx="658">
                  <formatCode>0.0%</formatCode>
                  <v>0.04816231572825094</v>
                </pt>
                <pt idx="659">
                  <formatCode>0.0%</formatCode>
                  <v>0.03868514711408803</v>
                </pt>
                <pt idx="660">
                  <formatCode>0.0%</formatCode>
                  <v>0.04098777441248638</v>
                </pt>
                <pt idx="661">
                  <formatCode>0.0%</formatCode>
                  <v>0.05297895508789097</v>
                </pt>
                <pt idx="662">
                  <formatCode>0.0%</formatCode>
                  <v>0.04478302032189185</v>
                </pt>
                <pt idx="663">
                  <formatCode>0.0%</formatCode>
                  <v>0.0423700978782106</v>
                </pt>
                <pt idx="664">
                  <formatCode>0.0%</formatCode>
                  <v>0.04309216268109618</v>
                </pt>
                <pt idx="665">
                  <formatCode>0.0%</formatCode>
                  <v>0.04364000261056853</v>
                </pt>
                <pt idx="666">
                  <formatCode>0.0%</formatCode>
                  <v>0.04542593597395555</v>
                </pt>
                <pt idx="667">
                  <formatCode>0.0%</formatCode>
                  <v>0.04502477336160462</v>
                </pt>
                <pt idx="668">
                  <formatCode>0.0%</formatCode>
                  <v>0.04345016264190771</v>
                </pt>
                <pt idx="669">
                  <formatCode>0.0%</formatCode>
                  <v>0.03864363403710808</v>
                </pt>
                <pt idx="670">
                  <formatCode>0.0%</formatCode>
                  <v>0.04507427010414884</v>
                </pt>
                <pt idx="671">
                  <formatCode>0.0%</formatCode>
                  <v>0.05231234171153727</v>
                </pt>
                <pt idx="672">
                  <formatCode>0.0%</formatCode>
                  <v>0.06256503918278938</v>
                </pt>
                <pt idx="673">
                  <formatCode>0.0%</formatCode>
                  <v>0.06390477597450565</v>
                </pt>
                <pt idx="674">
                  <formatCode>0.0%</formatCode>
                  <v>0.06088129306893129</v>
                </pt>
                <pt idx="675">
                  <formatCode>0.0%</formatCode>
                  <v>0.06066717082598105</v>
                </pt>
                <pt idx="676">
                  <formatCode>0.0%</formatCode>
                  <v>0.05559855251323032</v>
                </pt>
                <pt idx="677">
                  <formatCode>0.0%</formatCode>
                  <v>0.05302982927896934</v>
                </pt>
                <pt idx="678">
                  <formatCode>0.0%</formatCode>
                  <v>0.05169407075236671</v>
                </pt>
                <pt idx="679">
                  <formatCode>0.0%</formatCode>
                  <v>0.05327122153209114</v>
                </pt>
                <pt idx="680">
                  <formatCode>0.0%</formatCode>
                  <v>0.05741360089186165</v>
                </pt>
                <pt idx="681">
                  <formatCode>0.0%</formatCode>
                  <v>0.05344749702270958</v>
                </pt>
                <pt idx="682">
                  <formatCode>0.0%</formatCode>
                  <v>0.05411697435059631</v>
                </pt>
                <pt idx="683">
                  <formatCode>0.0%</formatCode>
                  <v>0.05001516836889477</v>
                </pt>
                <pt idx="684">
                  <formatCode>0.0%</formatCode>
                  <v>0.04874782643455312</v>
                </pt>
                <pt idx="685">
                  <formatCode>0.0%</formatCode>
                  <v>0.0485806669179345</v>
                </pt>
                <pt idx="686">
                  <formatCode>0.0%</formatCode>
                  <v>0.05208374716936153</v>
                </pt>
                <pt idx="687">
                  <formatCode>0.0%</formatCode>
                  <v>0.05230531569357529</v>
                </pt>
                <pt idx="688">
                  <formatCode>0.0%</formatCode>
                  <v>0.05593976022986231</v>
                </pt>
                <pt idx="689">
                  <formatCode>0.0%</formatCode>
                  <v>0.057406417641586</v>
                </pt>
                <pt idx="690">
                  <formatCode>0.0%</formatCode>
                  <v>0.05993130403884864</v>
                </pt>
                <pt idx="691">
                  <formatCode>0.0%</formatCode>
                  <v>0.06054292060621547</v>
                </pt>
                <pt idx="692">
                  <formatCode>0.0%</formatCode>
                  <v>0.05546769753411827</v>
                </pt>
                <pt idx="693">
                  <formatCode>0.0%</formatCode>
                  <v>0.05668063541565153</v>
                </pt>
                <pt idx="694">
                  <formatCode>0.0%</formatCode>
                  <v>0.05470959742725399</v>
                </pt>
                <pt idx="695">
                  <formatCode>0.0%</formatCode>
                  <v>0.04861512384914666</v>
                </pt>
                <pt idx="696">
                  <formatCode>0.0%</formatCode>
                  <v>0.03908751334044831</v>
                </pt>
                <pt idx="697">
                  <formatCode>0.0%</formatCode>
                  <v>0.03514945138100647</v>
                </pt>
                <pt idx="698">
                  <formatCode>0.0%</formatCode>
                  <v>0.03895098557510766</v>
                </pt>
                <pt idx="699">
                  <formatCode>0.0%</formatCode>
                  <v>0.03916586678711901</v>
                </pt>
                <pt idx="700">
                  <formatCode>0.0%</formatCode>
                  <v>0.04094730520942798</v>
                </pt>
                <pt idx="701">
                  <formatCode>0.0%</formatCode>
                  <v>0.03959413669805493</v>
                </pt>
                <pt idx="702">
                  <formatCode>0.0%</formatCode>
                  <v>0.03862628971579703</v>
                </pt>
                <pt idx="703">
                  <formatCode>0.0%</formatCode>
                  <v>0.03410375697366226</v>
                </pt>
                <pt idx="704">
                  <formatCode>0.0%</formatCode>
                  <v>0.03000369959304473</v>
                </pt>
                <pt idx="705">
                  <formatCode>0.0%</formatCode>
                  <v>0.03045395015955572</v>
                </pt>
                <pt idx="706">
                  <formatCode>0.0%</formatCode>
                  <v>0.02536644502406237</v>
                </pt>
                <pt idx="707">
                  <formatCode>0.0%</formatCode>
                  <v>0.02678079423974141</v>
                </pt>
                <pt idx="708">
                  <formatCode>0.0%</formatCode>
                  <v>0.02255928690644315</v>
                </pt>
                <pt idx="709">
                  <formatCode>0.0%</formatCode>
                  <v>0.01915274681092148</v>
                </pt>
                <pt idx="710">
                  <formatCode>0.0%</formatCode>
                  <v>0.01688262125865494</v>
                </pt>
                <pt idx="711">
                  <formatCode>0.0%</formatCode>
                  <v>0.01275038939399438</v>
                </pt>
                <pt idx="712">
                  <formatCode>0.0%</formatCode>
                  <v>0.009374436632413918</v>
                </pt>
                <pt idx="713">
                  <formatCode>0.0%</formatCode>
                  <v>0.01129078729381254</v>
                </pt>
                <pt idx="714">
                  <formatCode>0.0%</formatCode>
                  <v>0.008642949361641051</v>
                </pt>
                <pt idx="715">
                  <formatCode>0.0%</formatCode>
                  <v>0.01007294821931063</v>
                </pt>
                <pt idx="716">
                  <formatCode>0.0%</formatCode>
                  <v>0.0120685320211199</v>
                </pt>
                <pt idx="717">
                  <formatCode>0.0%</formatCode>
                  <v>0.007267650007160312</v>
                </pt>
                <pt idx="718">
                  <formatCode>0.0%</formatCode>
                  <v>0.009745087150457632</v>
                </pt>
                <pt idx="719">
                  <formatCode>0.0%</formatCode>
                  <v>0.01708407871198569</v>
                </pt>
                <pt idx="720">
                  <formatCode>0.0%</formatCode>
                  <v>0.02520043764461105</v>
                </pt>
                <pt idx="721">
                  <formatCode>0.0%</formatCode>
                  <v>0.02521249506867974</v>
                </pt>
                <pt idx="722">
                  <formatCode>0.0%</formatCode>
                  <v>0.01985488598184278</v>
                </pt>
                <pt idx="723">
                  <formatCode>0.0%</formatCode>
                  <v>0.01911727887263487</v>
                </pt>
                <pt idx="724">
                  <formatCode>0.0%</formatCode>
                  <v>0.02355777817467399</v>
                </pt>
                <pt idx="725">
                  <formatCode>0.0%</formatCode>
                  <v>0.02886447408251578</v>
                </pt>
                <pt idx="726">
                  <formatCode>0.0%</formatCode>
                  <v>0.03052444444444441</v>
                </pt>
                <pt idx="727">
                  <formatCode>0.0%</formatCode>
                  <v>0.03344867358708189</v>
                </pt>
                <pt idx="728">
                  <formatCode>0.0%</formatCode>
                  <v>0.03765482485715313</v>
                </pt>
                <pt idx="729">
                  <formatCode>0.0%</formatCode>
                  <v>0.04597476452816773</v>
                </pt>
                <pt idx="730">
                  <formatCode>0.0%</formatCode>
                  <v>0.04949704614402044</v>
                </pt>
                <pt idx="731">
                  <formatCode>0.0%</formatCode>
                  <v>0.04328555096297605</v>
                </pt>
                <pt idx="732">
                  <formatCode>0.0%</formatCode>
                  <v>0.04167395640155355</v>
                </pt>
                <pt idx="733">
                  <formatCode>0.0%</formatCode>
                  <v>0.0439375918281676</v>
                </pt>
                <pt idx="734">
                  <formatCode>0.0%</formatCode>
                  <v>0.08525067026477649</v>
                </pt>
                <pt idx="735">
                  <formatCode>0.0%</formatCode>
                  <v>0.1650376401635461</v>
                </pt>
                <pt idx="736">
                  <formatCode>0.0%</formatCode>
                  <v>0.2159346699471287</v>
                </pt>
                <pt idx="737">
                  <formatCode>0.0%</formatCode>
                  <v>0.2198511595707858</v>
                </pt>
                <pt idx="738">
                  <formatCode>0.0%</formatCode>
                  <v>0.2195732054444771</v>
                </pt>
                <pt idx="739">
                  <formatCode>0.0%</formatCode>
                  <v>0.2142857142857143</v>
                </pt>
                <pt idx="740">
                  <formatCode>0.0%</formatCode>
                  <v>0.220859839934332</v>
                </pt>
                <pt idx="741">
                  <formatCode>0.0%</formatCode>
                  <v>0.2226752977555772</v>
                </pt>
                <pt idx="742">
                  <formatCode>0.0%</formatCode>
                  <v>0.2299305238602363</v>
                </pt>
                <pt idx="743">
                  <formatCode>0.0%</formatCode>
                  <v>0.2326690943421673</v>
                </pt>
                <pt idx="744">
                  <formatCode>0.0%</formatCode>
                  <v>0.2409304669129997</v>
                </pt>
                <pt idx="745">
                  <formatCode>0.0%</formatCode>
                  <v>0.247989410897393</v>
                </pt>
                <pt idx="746">
                  <formatCode>0.0%</formatCode>
                  <v>0.2095847058063683</v>
                </pt>
                <pt idx="747">
                  <formatCode>0.0%</formatCode>
                  <v>0.1356338113025666</v>
                </pt>
                <pt idx="748">
                  <formatCode>0.0%</formatCode>
                  <v>0.0909103954996843</v>
                </pt>
                <pt idx="749">
                  <formatCode>0.0%</formatCode>
                  <v>0.07133635060936683</v>
                </pt>
                <pt idx="750">
                  <formatCode>0.0%</formatCode>
                  <v>0.07165994766249387</v>
                </pt>
                <pt idx="751">
                  <formatCode>0.0%</formatCode>
                  <v>0.07975113122171945</v>
                </pt>
                <pt idx="752">
                  <formatCode>0.0%</formatCode>
                  <v>0.07233404770909493</v>
                </pt>
                <pt idx="753">
                  <formatCode>0.0%</formatCode>
                  <v>0.06228200603087695</v>
                </pt>
                <pt idx="754">
                  <formatCode>0.0%</formatCode>
                  <v>0.05350540826564414</v>
                </pt>
                <pt idx="755">
                  <formatCode>0.0%</formatCode>
                  <v>0.04922247904044211</v>
                </pt>
                <pt idx="756">
                  <formatCode>0.0%</formatCode>
                  <v>0.0393313933816066</v>
                </pt>
                <pt idx="757">
                  <formatCode>0.0%</formatCode>
                  <v>0.02557561925219843</v>
                </pt>
                <pt idx="758">
                  <formatCode>0.0%</formatCode>
                  <v>0.008676847501067919</v>
                </pt>
                <pt idx="759">
                  <formatCode>0.0%</formatCode>
                  <v>-0.005000198946907678</v>
                </pt>
                <pt idx="760">
                  <formatCode>0.0%</formatCode>
                  <v>-0.02134992567647552</v>
                </pt>
                <pt idx="761">
                  <formatCode>0.0%</formatCode>
                  <v>-0.02839321423368788</v>
                </pt>
                <pt idx="762">
                  <formatCode>0.0%</formatCode>
                  <v>-0.02952706537664507</v>
                </pt>
                <pt idx="763">
                  <formatCode>0.0%</formatCode>
                  <v>-0.03818753273965432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3642.1</v>
                </pt>
                <pt idx="2245">
                  <v>3670.6</v>
                </pt>
                <pt idx="2246">
                  <v>3663</v>
                </pt>
                <pt idx="2247">
                  <v>3636.4</v>
                </pt>
                <pt idx="2248">
                  <v>3622.6</v>
                </pt>
                <pt idx="2249">
                  <v>3607.4</v>
                </pt>
                <pt idx="2250">
                  <v>3611.8</v>
                </pt>
                <pt idx="2251">
                  <v>3624.3</v>
                </pt>
                <pt idx="2252">
                  <v>3655.3</v>
                </pt>
                <pt idx="2253">
                  <v>3670.8</v>
                </pt>
                <pt idx="2254">
                  <v>3660.6</v>
                </pt>
                <pt idx="2255">
                  <v>3657.7</v>
                </pt>
                <pt idx="2256">
                  <v>3659.2</v>
                </pt>
                <pt idx="2257">
                  <v>3660.9</v>
                </pt>
                <pt idx="2258">
                  <v>3647</v>
                </pt>
                <pt idx="2259">
                  <v>3669.8</v>
                </pt>
                <pt idx="2260">
                  <v>3669.5</v>
                </pt>
                <pt idx="2261">
                  <v>3637.2</v>
                </pt>
                <pt idx="2262">
                  <v>3655.2</v>
                </pt>
                <pt idx="2263">
                  <v>3666.8</v>
                </pt>
                <pt idx="2264">
                  <v>3664.2</v>
                </pt>
                <pt idx="2265">
                  <v>3672.2</v>
                </pt>
                <pt idx="2266">
                  <v>3654.6</v>
                </pt>
                <pt idx="2267">
                  <v>3651.1</v>
                </pt>
                <pt idx="2268">
                  <v>3655.1</v>
                </pt>
                <pt idx="2269">
                  <v>3673.2</v>
                </pt>
                <pt idx="2270">
                  <v>3682.1</v>
                </pt>
                <pt idx="2271">
                  <v>3681.5</v>
                </pt>
                <pt idx="2272">
                  <v>3677.6</v>
                </pt>
                <pt idx="2273">
                  <v>3681.9</v>
                </pt>
                <pt idx="2274">
                  <v>3661.4</v>
                </pt>
                <pt idx="2275">
                  <v>3677</v>
                </pt>
                <pt idx="2276">
                  <v>3676</v>
                </pt>
                <pt idx="2277">
                  <v>3695.2</v>
                </pt>
                <pt idx="2278">
                  <v>3779.6</v>
                </pt>
                <pt idx="2279">
                  <v>3710.1</v>
                </pt>
                <pt idx="2280">
                  <v>3691.7</v>
                </pt>
                <pt idx="2281">
                  <v>3704.6</v>
                </pt>
                <pt idx="2282">
                  <v>3693.1</v>
                </pt>
                <pt idx="2283">
                  <v>3708.5</v>
                </pt>
                <pt idx="2284">
                  <v>3723.5</v>
                </pt>
                <pt idx="2285">
                  <v>3744.5</v>
                </pt>
                <pt idx="2286">
                  <v>3729.1</v>
                </pt>
                <pt idx="2287">
                  <v>3689.6</v>
                </pt>
                <pt idx="2288">
                  <v>3687.3</v>
                </pt>
                <pt idx="2289">
                  <v>3688.2</v>
                </pt>
                <pt idx="2290">
                  <v>3692.6</v>
                </pt>
                <pt idx="2291">
                  <v>3780.5</v>
                </pt>
                <pt idx="2292">
                  <v>3769.8</v>
                </pt>
                <pt idx="2293">
                  <v>3712.9</v>
                </pt>
                <pt idx="2294">
                  <v>3760.7</v>
                </pt>
                <pt idx="2295">
                  <v>3744.6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3747.3</v>
                </pt>
                <pt idx="2310">
                  <v>3797.5</v>
                </pt>
                <pt idx="2311">
                  <v>3790.6</v>
                </pt>
                <pt idx="2312">
                  <v>3814</v>
                </pt>
                <pt idx="2313">
                  <v>3766.3</v>
                </pt>
                <pt idx="2314">
                  <v>3773.5</v>
                </pt>
                <pt idx="2315">
                  <v>3782.7</v>
                </pt>
                <pt idx="2316">
                  <v>3810.8</v>
                </pt>
                <pt idx="2317">
                  <v>3877</v>
                </pt>
                <pt idx="2318">
                  <v>3840.5</v>
                </pt>
                <pt idx="2319">
                  <v>3833.5</v>
                </pt>
                <pt idx="2320">
                  <v>3830.7</v>
                </pt>
                <pt idx="2321">
                  <v>3819.5</v>
                </pt>
                <pt idx="2322">
                  <v>3838.3</v>
                </pt>
                <pt idx="2323">
                  <v>3857.4</v>
                </pt>
                <pt idx="2324">
                  <v>3876.3</v>
                </pt>
                <pt idx="2325">
                  <v>3873.6</v>
                </pt>
                <pt idx="2326">
                  <v>3876</v>
                </pt>
                <pt idx="2327">
                  <v>3862</v>
                </pt>
                <pt idx="2328">
                  <v>3833.2</v>
                </pt>
                <pt idx="2329">
                  <v>3845.8</v>
                </pt>
                <pt idx="2330">
                  <v>3878.9</v>
                </pt>
                <pt idx="2331">
                  <v>3896.9</v>
                </pt>
                <pt idx="2332">
                  <v>3896.8</v>
                </pt>
                <pt idx="2333">
                  <v>3912</v>
                </pt>
                <pt idx="2334">
                  <v>3929.1</v>
                </pt>
                <pt idx="2335">
                  <v>3894.7</v>
                </pt>
                <pt idx="2336">
                  <v>3931.6</v>
                </pt>
                <pt idx="2337">
                  <v>3929.9</v>
                </pt>
                <pt idx="2338">
                  <v>3935.3</v>
                </pt>
                <pt idx="2339">
                  <v>3956.2</v>
                </pt>
                <pt idx="2340">
                  <v>3956.4</v>
                </pt>
                <pt idx="2341">
                  <v>3928.9</v>
                </pt>
                <pt idx="2342">
                  <v>3963.3</v>
                </pt>
                <pt idx="2343">
                  <v>3954.6</v>
                </pt>
                <pt idx="2344">
                  <v>3979.3</v>
                </pt>
                <pt idx="2345">
                  <v>3992.9</v>
                </pt>
                <pt idx="2346">
                  <v>3999.9</v>
                </pt>
                <pt idx="2347">
                  <v>3964.4</v>
                </pt>
                <pt idx="2348">
                  <v>3948.9</v>
                </pt>
                <pt idx="2349">
                  <v>3950.6</v>
                </pt>
                <pt idx="2350">
                  <v>3978.9</v>
                </pt>
                <pt idx="2351">
                  <v>3963.1</v>
                </pt>
                <pt idx="2352">
                  <v>4082.2</v>
                </pt>
                <pt idx="2353">
                  <v>4013.7</v>
                </pt>
                <pt idx="2354">
                  <v>3984.5</v>
                </pt>
                <pt idx="2355">
                  <v>3972.3</v>
                </pt>
                <pt idx="2356">
                  <v>4029.1</v>
                </pt>
                <pt idx="2357">
                  <v>4064.6</v>
                </pt>
                <pt idx="2358">
                  <v>4127.7</v>
                </pt>
                <pt idx="2359">
                  <v>4314.5</v>
                </pt>
                <pt idx="2360">
                  <v>4514</v>
                </pt>
                <pt idx="2361">
                  <v>4592.2</v>
                </pt>
                <pt idx="2362">
                  <v>4717.8</v>
                </pt>
                <pt idx="2363">
                  <v>4851.2</v>
                </pt>
                <pt idx="2364">
                  <v>4899.4</v>
                </pt>
                <pt idx="2365">
                  <v>15982.2</v>
                </pt>
                <pt idx="2366">
                  <v>16201.5</v>
                </pt>
                <pt idx="2367">
                  <v>16292.5</v>
                </pt>
                <pt idx="2368">
                  <v>16319.8</v>
                </pt>
                <pt idx="2369">
                  <v>16364</v>
                </pt>
                <pt idx="2370">
                  <v>16467.2</v>
                </pt>
                <pt idx="2371">
                  <v>16554.6</v>
                </pt>
                <pt idx="2372">
                  <v>16654.9</v>
                </pt>
                <pt idx="2373">
                  <v>16656.6</v>
                </pt>
                <pt idx="2374">
                  <v>16763.2</v>
                </pt>
                <pt idx="2375">
                  <v>16836.7</v>
                </pt>
                <pt idx="2376">
                  <v>16781.8</v>
                </pt>
                <pt idx="2377">
                  <v>16753.2</v>
                </pt>
                <pt idx="2378">
                  <v>16734.6</v>
                </pt>
                <pt idx="2379">
                  <v>16888.9</v>
                </pt>
                <pt idx="2380">
                  <v>16938.6</v>
                </pt>
                <pt idx="2381">
                  <v>16880.5</v>
                </pt>
                <pt idx="2382">
                  <v>16962.7</v>
                </pt>
                <pt idx="2383">
                  <v>17087.6</v>
                </pt>
                <pt idx="2384">
                  <v>17214.6</v>
                </pt>
                <pt idx="2385">
                  <v>17237.7</v>
                </pt>
                <pt idx="2386">
                  <v>17174.9</v>
                </pt>
                <pt idx="2387">
                  <v>17224.2</v>
                </pt>
                <pt idx="2388">
                  <v>17331.8</v>
                </pt>
                <pt idx="2389">
                  <v>17350.6</v>
                </pt>
                <pt idx="2390">
                  <v>17376.1</v>
                </pt>
                <pt idx="2391">
                  <v>17431.2</v>
                </pt>
                <pt idx="2392">
                  <v>17593.4</v>
                </pt>
                <pt idx="2393">
                  <v>17638.4</v>
                </pt>
                <pt idx="2394">
                  <v>17657.9</v>
                </pt>
                <pt idx="2395">
                  <v>17547.6</v>
                </pt>
                <pt idx="2396">
                  <v>17777.4</v>
                </pt>
                <pt idx="2397">
                  <v>17853.5</v>
                </pt>
                <pt idx="2398">
                  <v>17762.7</v>
                </pt>
                <pt idx="2399">
                  <v>17659.7</v>
                </pt>
                <pt idx="2400">
                  <v>17769.8</v>
                </pt>
                <pt idx="2401">
                  <v>18142.4</v>
                </pt>
                <pt idx="2402">
                  <v>18151.4</v>
                </pt>
                <pt idx="2403">
                  <v>18108.2</v>
                </pt>
                <pt idx="2404">
                  <v>18105.1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'!$A$7:$A$783</f>
              <numCache>
                <formatCode>m/d/yy</formatCode>
                <ptCount val="777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</numCache>
            </numRef>
          </cat>
          <val>
            <numRef>
              <f>'US M2 '!$D$7:$D$783</f>
              <numCache>
                <formatCode>0.00%</formatCode>
                <ptCount val="777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0.1025792132973868</v>
                </pt>
                <pt idx="743">
                  <v>0.167057114593423</v>
                </pt>
                <pt idx="744">
                  <v>0.1612108593226533</v>
                </pt>
                <pt idx="745">
                  <v>0.1559996076372514</v>
                </pt>
                <pt idx="746">
                  <v>0.1666771969823426</v>
                </pt>
                <pt idx="747">
                  <v>0.2002249179828617</v>
                </pt>
                <pt idx="748">
                  <v>0.02466389976162242</v>
                </pt>
                <pt idx="749">
                  <v>0.09836737604061341</v>
                </pt>
                <pt idx="750">
                  <v>0.1440799220995239</v>
                </pt>
                <pt idx="751">
                  <v>0.08298547440538417</v>
                </pt>
                <pt idx="752">
                  <v>0.09012434127845648</v>
                </pt>
                <pt idx="753">
                  <v>0.1230702854530041</v>
                </pt>
                <pt idx="754">
                  <v>0.08201466379778077</v>
                </pt>
                <pt idx="755">
                  <v>0.09291258702073724</v>
                </pt>
                <pt idx="756">
                  <v>0.03308280476087222</v>
                </pt>
                <pt idx="757">
                  <v>0.01738360577840736</v>
                </pt>
                <pt idx="758">
                  <v>-0.04549958984343927</v>
                </pt>
                <pt idx="759">
                  <v>0.01613240158438778</v>
                </pt>
                <pt idx="760">
                  <v>-0.009476904860759694</v>
                </pt>
                <pt idx="761">
                  <v>0.02368019630394436</v>
                </pt>
                <pt idx="762">
                  <v>0.0009954053848582056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'!$A$7:$A$770</f>
              <numCache>
                <formatCode>m/d/yy</formatCode>
                <ptCount val="764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</numCache>
            </numRef>
          </cat>
          <val>
            <numRef>
              <f>'US M2 '!$B$7:$B$770</f>
              <numCache>
                <formatCode>0.0</formatCode>
                <ptCount val="764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4880.3</v>
                </pt>
                <pt idx="502">
                  <v>4925</v>
                </pt>
                <pt idx="503">
                  <v>4975.7</v>
                </pt>
                <pt idx="504">
                  <v>5014.1</v>
                </pt>
                <pt idx="505">
                  <v>5072</v>
                </pt>
                <pt idx="506">
                  <v>5135.9</v>
                </pt>
                <pt idx="507">
                  <v>5133</v>
                </pt>
                <pt idx="508">
                  <v>5173.5</v>
                </pt>
                <pt idx="509">
                  <v>5203.4</v>
                </pt>
                <pt idx="510">
                  <v>5237.2</v>
                </pt>
                <pt idx="511">
                  <v>5348.4</v>
                </pt>
                <pt idx="512">
                  <v>5337.1</v>
                </pt>
                <pt idx="513">
                  <v>5380.8</v>
                </pt>
                <pt idx="514">
                  <v>5433.8</v>
                </pt>
                <pt idx="515">
                  <v>5454.1</v>
                </pt>
                <pt idx="516">
                  <v>5483.4</v>
                </pt>
                <pt idx="517">
                  <v>5495.2</v>
                </pt>
                <pt idx="518">
                  <v>5495.4</v>
                </pt>
                <pt idx="519">
                  <v>5521.5</v>
                </pt>
                <pt idx="520">
                  <v>5546.5</v>
                </pt>
                <pt idx="521">
                  <v>5589.1</v>
                </pt>
                <pt idx="522">
                  <v>5631.6</v>
                </pt>
                <pt idx="523">
                  <v>5656</v>
                </pt>
                <pt idx="524">
                  <v>5700.4</v>
                </pt>
                <pt idx="525">
                  <v>5750.6</v>
                </pt>
                <pt idx="526">
                  <v>5772</v>
                </pt>
                <pt idx="527">
                  <v>5804.6</v>
                </pt>
                <pt idx="528">
                  <v>5840.7</v>
                </pt>
                <pt idx="529">
                  <v>5861.4</v>
                </pt>
                <pt idx="530">
                  <v>5898.8</v>
                </pt>
                <pt idx="531">
                  <v>5959.3</v>
                </pt>
                <pt idx="532">
                  <v>5996</v>
                </pt>
                <pt idx="533">
                  <v>6042.7</v>
                </pt>
                <pt idx="534">
                  <v>6100.8</v>
                </pt>
                <pt idx="535">
                  <v>6072.8</v>
                </pt>
                <pt idx="536">
                  <v>6063.6</v>
                </pt>
                <pt idx="537">
                  <v>6069.1</v>
                </pt>
                <pt idx="538">
                  <v>6067.3</v>
                </pt>
                <pt idx="539">
                  <v>6075.5</v>
                </pt>
                <pt idx="540">
                  <v>6114.3</v>
                </pt>
                <pt idx="541">
                  <v>6150.1</v>
                </pt>
                <pt idx="542">
                  <v>6191.2</v>
                </pt>
                <pt idx="543">
                  <v>6268.1</v>
                </pt>
                <pt idx="544">
                  <v>6270.5</v>
                </pt>
                <pt idx="545">
                  <v>6284.3</v>
                </pt>
                <pt idx="546">
                  <v>6310.6</v>
                </pt>
                <pt idx="547">
                  <v>6345.3</v>
                </pt>
                <pt idx="548">
                  <v>6373.3</v>
                </pt>
                <pt idx="549">
                  <v>6399.8</v>
                </pt>
                <pt idx="550">
                  <v>6418.3</v>
                </pt>
                <pt idx="551">
                  <v>6424.5</v>
                </pt>
                <pt idx="552">
                  <v>6432.8</v>
                </pt>
                <pt idx="553">
                  <v>6441.9</v>
                </pt>
                <pt idx="554">
                  <v>6455.9</v>
                </pt>
                <pt idx="555">
                  <v>6473.3</v>
                </pt>
                <pt idx="556">
                  <v>6505.8</v>
                </pt>
                <pt idx="557">
                  <v>6537.4</v>
                </pt>
                <pt idx="558">
                  <v>6570.2</v>
                </pt>
                <pt idx="559">
                  <v>6604.3</v>
                </pt>
                <pt idx="560">
                  <v>6638.6</v>
                </pt>
                <pt idx="561">
                  <v>6655</v>
                </pt>
                <pt idx="562">
                  <v>6681.9</v>
                </pt>
                <pt idx="563">
                  <v>6724.3</v>
                </pt>
                <pt idx="564">
                  <v>6748.6</v>
                </pt>
                <pt idx="565">
                  <v>6762.9</v>
                </pt>
                <pt idx="566">
                  <v>6800.1</v>
                </pt>
                <pt idx="567">
                  <v>6806.9</v>
                </pt>
                <pt idx="568">
                  <v>6844.9</v>
                </pt>
                <pt idx="569">
                  <v>6886.3</v>
                </pt>
                <pt idx="570">
                  <v>6917.1</v>
                </pt>
                <pt idx="571">
                  <v>6944.2</v>
                </pt>
                <pt idx="572">
                  <v>6993.3</v>
                </pt>
                <pt idx="573">
                  <v>7028.4</v>
                </pt>
                <pt idx="574">
                  <v>7071.6</v>
                </pt>
                <pt idx="575">
                  <v>7109.6</v>
                </pt>
                <pt idx="576">
                  <v>7125.3</v>
                </pt>
                <pt idx="577">
                  <v>7159.1</v>
                </pt>
                <pt idx="578">
                  <v>7231.3</v>
                </pt>
                <pt idx="579">
                  <v>7245.4</v>
                </pt>
                <pt idx="580">
                  <v>7278.6</v>
                </pt>
                <pt idx="581">
                  <v>7309</v>
                </pt>
                <pt idx="582">
                  <v>7385.1</v>
                </pt>
                <pt idx="583">
                  <v>7403.2</v>
                </pt>
                <pt idx="584">
                  <v>7417.2</v>
                </pt>
                <pt idx="585">
                  <v>7441.8</v>
                </pt>
                <pt idx="586">
                  <v>7471.6</v>
                </pt>
                <pt idx="587">
                  <v>7505.5</v>
                </pt>
                <pt idx="588">
                  <v>7590.6</v>
                </pt>
                <pt idx="589">
                  <v>7656.2</v>
                </pt>
                <pt idx="590">
                  <v>7699.2</v>
                </pt>
                <pt idx="591">
                  <v>7711.2</v>
                </pt>
                <pt idx="592">
                  <v>7728.9</v>
                </pt>
                <pt idx="593">
                  <v>7775.4</v>
                </pt>
                <pt idx="594">
                  <v>7790.2</v>
                </pt>
                <pt idx="595">
                  <v>7859.5</v>
                </pt>
                <pt idx="596">
                  <v>7965.3</v>
                </pt>
                <pt idx="597">
                  <v>8015.8</v>
                </pt>
                <pt idx="598">
                  <v>8192.1</v>
                </pt>
                <pt idx="599">
                  <v>8273.700000000001</v>
                </pt>
                <pt idx="600">
                  <v>8303.1</v>
                </pt>
                <pt idx="601">
                  <v>8369.299999999999</v>
                </pt>
                <pt idx="602">
                  <v>8372.9</v>
                </pt>
                <pt idx="603">
                  <v>8430.700000000001</v>
                </pt>
                <pt idx="604">
                  <v>8440.5</v>
                </pt>
                <pt idx="605">
                  <v>8445.1</v>
                </pt>
                <pt idx="606">
                  <v>8445</v>
                </pt>
                <pt idx="607">
                  <v>8444.200000000001</v>
                </pt>
                <pt idx="608">
                  <v>8471.1</v>
                </pt>
                <pt idx="609">
                  <v>8500.799999999999</v>
                </pt>
                <pt idx="610">
                  <v>8496</v>
                </pt>
                <pt idx="611">
                  <v>8458.1</v>
                </pt>
                <pt idx="612">
                  <v>8507.4</v>
                </pt>
                <pt idx="613">
                  <v>8504.5</v>
                </pt>
                <pt idx="614">
                  <v>8535.200000000001</v>
                </pt>
                <pt idx="615">
                  <v>8589.9</v>
                </pt>
                <pt idx="616">
                  <v>8609</v>
                </pt>
                <pt idx="617">
                  <v>8618.799999999999</v>
                </pt>
                <pt idx="618">
                  <v>8669.1</v>
                </pt>
                <pt idx="619">
                  <v>8700.1</v>
                </pt>
                <pt idx="620">
                  <v>8749.4</v>
                </pt>
                <pt idx="621">
                  <v>8770</v>
                </pt>
                <pt idx="622">
                  <v>8801.799999999999</v>
                </pt>
                <pt idx="623">
                  <v>8823.1</v>
                </pt>
                <pt idx="624">
                  <v>8886.9</v>
                </pt>
                <pt idx="625">
                  <v>8943.5</v>
                </pt>
                <pt idx="626">
                  <v>9004.9</v>
                </pt>
                <pt idx="627">
                  <v>9075.5</v>
                </pt>
                <pt idx="628">
                  <v>9151</v>
                </pt>
                <pt idx="629">
                  <v>9316.6</v>
                </pt>
                <pt idx="630">
                  <v>9507.6</v>
                </pt>
                <pt idx="631">
                  <v>9528.299999999999</v>
                </pt>
                <pt idx="632">
                  <v>9562.1</v>
                </pt>
                <pt idx="633">
                  <v>9612.6</v>
                </pt>
                <pt idx="634">
                  <v>9660.1</v>
                </pt>
                <pt idx="635">
                  <v>9733.299999999999</v>
                </pt>
                <pt idx="636">
                  <v>9785.700000000001</v>
                </pt>
                <pt idx="637">
                  <v>9830.6</v>
                </pt>
                <pt idx="638">
                  <v>9884.6</v>
                </pt>
                <pt idx="639">
                  <v>9928.4</v>
                </pt>
                <pt idx="640">
                  <v>9999.299999999999</v>
                </pt>
                <pt idx="641">
                  <v>10051.8</v>
                </pt>
                <pt idx="642">
                  <v>10121.3</v>
                </pt>
                <pt idx="643">
                  <v>10200.8</v>
                </pt>
                <pt idx="644">
                  <v>10267.3</v>
                </pt>
                <pt idx="645">
                  <v>10337.6</v>
                </pt>
                <pt idx="646">
                  <v>10459.7</v>
                </pt>
                <pt idx="647">
                  <v>10479.5</v>
                </pt>
                <pt idx="648">
                  <v>10482</v>
                </pt>
                <pt idx="649">
                  <v>10550</v>
                </pt>
                <pt idx="650">
                  <v>10585.9</v>
                </pt>
                <pt idx="651">
                  <v>10628.2</v>
                </pt>
                <pt idx="652">
                  <v>10684.9</v>
                </pt>
                <pt idx="653">
                  <v>10730.8</v>
                </pt>
                <pt idx="654">
                  <v>10790.2</v>
                </pt>
                <pt idx="655">
                  <v>10841.3</v>
                </pt>
                <pt idx="656">
                  <v>10956.7</v>
                </pt>
                <pt idx="657">
                  <v>10969</v>
                </pt>
                <pt idx="658">
                  <v>11028.8</v>
                </pt>
                <pt idx="659">
                  <v>11078.9</v>
                </pt>
                <pt idx="660">
                  <v>11161</v>
                </pt>
                <pt idx="661">
                  <v>11200.2</v>
                </pt>
                <pt idx="662">
                  <v>11256.9</v>
                </pt>
                <pt idx="663">
                  <v>11326.3</v>
                </pt>
                <pt idx="664">
                  <v>11380.7</v>
                </pt>
                <pt idx="665">
                  <v>11439.9</v>
                </pt>
                <pt idx="666">
                  <v>11469.4</v>
                </pt>
                <pt idx="667">
                  <v>11502.8</v>
                </pt>
                <pt idx="668">
                  <v>11563.4</v>
                </pt>
                <pt idx="669">
                  <v>11604.7</v>
                </pt>
                <pt idx="670">
                  <v>11681.5</v>
                </pt>
                <pt idx="671">
                  <v>11745.2</v>
                </pt>
                <pt idx="672">
                  <v>11863.9</v>
                </pt>
                <pt idx="673">
                  <v>11879.6</v>
                </pt>
                <pt idx="674">
                  <v>11927.4</v>
                </pt>
                <pt idx="675">
                  <v>11960.3</v>
                </pt>
                <pt idx="676">
                  <v>12005.8</v>
                </pt>
                <pt idx="677">
                  <v>12058.4</v>
                </pt>
                <pt idx="678">
                  <v>12109.5</v>
                </pt>
                <pt idx="679">
                  <v>12164.5</v>
                </pt>
                <pt idx="680">
                  <v>12196.8</v>
                </pt>
                <pt idx="681">
                  <v>12286</v>
                </pt>
                <pt idx="682">
                  <v>12344</v>
                </pt>
                <pt idx="683">
                  <v>12470</v>
                </pt>
                <pt idx="684">
                  <v>12545.6</v>
                </pt>
                <pt idx="685">
                  <v>12609.7</v>
                </pt>
                <pt idx="686">
                  <v>12698.4</v>
                </pt>
                <pt idx="687">
                  <v>12765.6</v>
                </pt>
                <pt idx="688">
                  <v>12831.9</v>
                </pt>
                <pt idx="689">
                  <v>12892</v>
                </pt>
                <pt idx="690">
                  <v>12978.2</v>
                </pt>
                <pt idx="691">
                  <v>13037.9</v>
                </pt>
                <pt idx="692">
                  <v>13105.4</v>
                </pt>
                <pt idx="693">
                  <v>13176.5</v>
                </pt>
                <pt idx="694">
                  <v>13209.6</v>
                </pt>
                <pt idx="695">
                  <v>13282.7</v>
                </pt>
                <pt idx="696">
                  <v>13351.4</v>
                </pt>
                <pt idx="697">
                  <v>13420.6</v>
                </pt>
                <pt idx="698">
                  <v>13482.9</v>
                </pt>
                <pt idx="699">
                  <v>13534.8</v>
                </pt>
                <pt idx="700">
                  <v>13558.9</v>
                </pt>
                <pt idx="701">
                  <v>13621</v>
                </pt>
                <pt idx="702">
                  <v>13679.6</v>
                </pt>
                <pt idx="703">
                  <v>13722.1</v>
                </pt>
                <pt idx="704">
                  <v>13777.4</v>
                </pt>
                <pt idx="705">
                  <v>13804.1</v>
                </pt>
                <pt idx="706">
                  <v>13852.3</v>
                </pt>
                <pt idx="707">
                  <v>13868.2</v>
                </pt>
                <pt idx="708">
                  <v>13910.2</v>
                </pt>
                <pt idx="709">
                  <v>13965.5</v>
                </pt>
                <pt idx="710">
                  <v>13987.7</v>
                </pt>
                <pt idx="711">
                  <v>14041.2</v>
                </pt>
                <pt idx="712">
                  <v>14102.6</v>
                </pt>
                <pt idx="713">
                  <v>14137</v>
                </pt>
                <pt idx="714">
                  <v>14187.4</v>
                </pt>
                <pt idx="715">
                  <v>14214.6</v>
                </pt>
                <pt idx="716">
                  <v>14228.5</v>
                </pt>
                <pt idx="717">
                  <v>14241.6</v>
                </pt>
                <pt idx="718">
                  <v>14358.8</v>
                </pt>
                <pt idx="719">
                  <v>14430.8</v>
                </pt>
                <pt idx="720">
                  <v>14472.3</v>
                </pt>
                <pt idx="721">
                  <v>14510.7</v>
                </pt>
                <pt idx="722">
                  <v>14541</v>
                </pt>
                <pt idx="723">
                  <v>14632.5</v>
                </pt>
                <pt idx="724">
                  <v>14754.8</v>
                </pt>
                <pt idx="725">
                  <v>14833.8</v>
                </pt>
                <pt idx="726">
                  <v>14919.8</v>
                </pt>
                <pt idx="727">
                  <v>15004.8</v>
                </pt>
                <pt idx="728">
                  <v>15144.2</v>
                </pt>
                <pt idx="729">
                  <v>15249.9</v>
                </pt>
                <pt idx="730">
                  <v>15319.1</v>
                </pt>
                <pt idx="731">
                  <v>15401.8</v>
                </pt>
                <pt idx="732">
                  <v>15458.7</v>
                </pt>
                <pt idx="733">
                  <v>15988.6</v>
                </pt>
                <pt idx="734">
                  <v>17002.5</v>
                </pt>
                <pt idx="735">
                  <v>17835.2</v>
                </pt>
                <pt idx="736">
                  <v>18129.3</v>
                </pt>
                <pt idx="737">
                  <v>18277.8</v>
                </pt>
                <pt idx="738">
                  <v>18357.4</v>
                </pt>
                <pt idx="739">
                  <v>18575.2</v>
                </pt>
                <pt idx="740">
                  <v>18735.7</v>
                </pt>
                <pt idx="741">
                  <v>18969.8</v>
                </pt>
                <pt idx="742">
                  <v>19124.8</v>
                </pt>
                <pt idx="743">
                  <v>19372.6</v>
                </pt>
                <pt idx="744">
                  <v>19615.4</v>
                </pt>
                <pt idx="745">
                  <v>19853.8</v>
                </pt>
                <pt idx="746">
                  <v>20110.5</v>
                </pt>
                <pt idx="747">
                  <v>20418.7</v>
                </pt>
                <pt idx="748">
                  <v>20460.2</v>
                </pt>
                <pt idx="749">
                  <v>20620.8</v>
                </pt>
                <pt idx="750">
                  <v>20853.4</v>
                </pt>
                <pt idx="751">
                  <v>20992.4</v>
                </pt>
                <pt idx="752">
                  <v>21143.9</v>
                </pt>
                <pt idx="753">
                  <v>21349.4</v>
                </pt>
                <pt idx="754">
                  <v>21490.1</v>
                </pt>
                <pt idx="755">
                  <v>21649.8</v>
                </pt>
                <pt idx="756">
                  <v>21708.6</v>
                </pt>
                <pt idx="757">
                  <v>21739.8</v>
                </pt>
                <pt idx="758">
                  <v>21655.6</v>
                </pt>
                <pt idx="759">
                  <v>21684.5</v>
                </pt>
                <pt idx="760">
                  <v>21667.3</v>
                </pt>
                <pt idx="761">
                  <v>21709.6</v>
                </pt>
                <pt idx="762">
                  <v>21711.4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ax val="44743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'!$A$7:$A$782</f>
              <numCache>
                <formatCode>m/d/yy</formatCode>
                <ptCount val="776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</numCache>
            </numRef>
          </cat>
          <val>
            <numRef>
              <f>'US M2 '!$D$7:$D$782</f>
              <numCache>
                <formatCode>0.00%</formatCode>
                <ptCount val="776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0.02295375792372534</v>
                </pt>
                <pt idx="648">
                  <v>0.0028664911382279</v>
                </pt>
                <pt idx="649">
                  <v>0.0806863132137825</v>
                </pt>
                <pt idx="650">
                  <v>0.04160709529165518</v>
                </pt>
                <pt idx="651">
                  <v>0.04901856578011743</v>
                </pt>
                <pt idx="652">
                  <v>0.06593058516445138</v>
                </pt>
                <pt idx="653">
                  <v>0.05278493960064279</v>
                </pt>
                <pt idx="654">
                  <v>0.06848573286871895</v>
                </pt>
                <pt idx="655">
                  <v>0.05833318433311852</v>
                </pt>
                <pt idx="656">
                  <v>0.135483686035023</v>
                </pt>
                <pt idx="657">
                  <v>0.01355469677311749</v>
                </pt>
                <pt idx="658">
                  <v>0.06741842745692028</v>
                </pt>
                <pt idx="659">
                  <v>0.05589461421377906</v>
                </pt>
                <pt idx="660">
                  <v>0.09264124222675973</v>
                </pt>
                <pt idx="661">
                  <v>0.04297052869086304</v>
                </pt>
                <pt idx="662">
                  <v>0.06246923302828278</v>
                </pt>
                <pt idx="663">
                  <v>0.07654213001233789</v>
                </pt>
                <pt idx="664">
                  <v>0.05918293826963561</v>
                </pt>
                <pt idx="665">
                  <v>0.06423866725641858</v>
                </pt>
                <pt idx="666">
                  <v>0.03138699854919458</v>
                </pt>
                <pt idx="667">
                  <v>0.0355103274008457</v>
                </pt>
                <pt idx="668">
                  <v>0.06508375987360471</v>
                </pt>
                <pt idx="669">
                  <v>0.04371139515924405</v>
                </pt>
                <pt idx="670">
                  <v>0.08237149675335353</v>
                </pt>
                <pt idx="671">
                  <v>0.06743548865529347</v>
                </pt>
                <pt idx="672">
                  <v>0.1282484133287967</v>
                </pt>
                <pt idx="673">
                  <v>0.01599619973551025</v>
                </pt>
                <pt idx="674">
                  <v>0.04936746948041004</v>
                </pt>
                <pt idx="675">
                  <v>0.03360706484172171</v>
                </pt>
                <pt idx="676">
                  <v>0.04661841974185799</v>
                </pt>
                <pt idx="677">
                  <v>0.05386014749510171</v>
                </pt>
                <pt idx="678">
                  <v>0.05205466099069955</v>
                </pt>
                <pt idx="679">
                  <v>0.05588498558636323</v>
                </pt>
                <pt idx="680">
                  <v>0.03233268116629118</v>
                </pt>
                <pt idx="681">
                  <v>0.09137827056058989</v>
                </pt>
                <pt idx="682">
                  <v>0.05814412464389918</v>
                </pt>
                <pt idx="683">
                  <v>0.1296046853828794</v>
                </pt>
                <pt idx="684">
                  <v>0.07522609632832511</v>
                </pt>
                <pt idx="685">
                  <v>0.06306498458336063</v>
                </pt>
                <pt idx="686">
                  <v>0.08775474703221531</v>
                </pt>
                <pt idx="687">
                  <v>0.06538541110621354</v>
                </pt>
                <pt idx="688">
                  <v>0.06413520961005648</v>
                </pt>
                <pt idx="689">
                  <v>0.05767433117039666</v>
                </pt>
                <pt idx="690">
                  <v>0.08325321966956167</v>
                </pt>
                <pt idx="691">
                  <v>0.05661846949542615</v>
                </pt>
                <pt idx="692">
                  <v>0.06392649098306591</v>
                </pt>
                <pt idx="693">
                  <v>0.06708109382328509</v>
                </pt>
                <pt idx="694">
                  <v>0.03056456820702347</v>
                </pt>
                <pt idx="695">
                  <v>0.06846515468376069</v>
                </pt>
                <pt idx="696">
                  <v>0.06386205984211069</v>
                </pt>
                <pt idx="697">
                  <v>0.06399969052111687</v>
                </pt>
                <pt idx="698">
                  <v>0.05714989792520742</v>
                </pt>
                <pt idx="699">
                  <v>0.04718243994179905</v>
                </pt>
                <pt idx="700">
                  <v>0.02157764373081528</v>
                </pt>
                <pt idx="701">
                  <v>0.05636601912473505</v>
                </pt>
                <pt idx="702">
                  <v>0.05286543233054641</v>
                </pt>
                <pt idx="703">
                  <v>0.03792548772803106</v>
                </pt>
                <pt idx="704">
                  <v>0.04944637240665495</v>
                </pt>
                <pt idx="705">
                  <v>0.02350495913820239</v>
                </pt>
                <pt idx="706">
                  <v>0.04271471185477305</v>
                </pt>
                <pt idx="707">
                  <v>0.01386117445201518</v>
                </pt>
                <pt idx="708">
                  <v>0.03695363217378356</v>
                </pt>
                <pt idx="709">
                  <v>0.04876305082170895</v>
                </pt>
                <pt idx="710">
                  <v>0.01924324327679749</v>
                </pt>
                <pt idx="711">
                  <v>0.04687539795779827</v>
                </pt>
                <pt idx="712">
                  <v>0.053754762828915</v>
                </pt>
                <pt idx="713">
                  <v>0.02966711021863944</v>
                </pt>
                <pt idx="714">
                  <v>0.0436302650521474</v>
                </pt>
                <pt idx="715">
                  <v>0.02325047838668381</v>
                </pt>
                <pt idx="716">
                  <v>0.01179773096146919</v>
                </pt>
                <pt idx="717">
                  <v>0.01110436618930843</v>
                </pt>
                <pt idx="718">
                  <v>0.1033475936038371</v>
                </pt>
                <pt idx="719">
                  <v>0.06185969444102435</v>
                </pt>
                <pt idx="720">
                  <v>0.03506062005418475</v>
                </pt>
                <pt idx="721">
                  <v>0.03230892596440271</v>
                </pt>
                <pt idx="722">
                  <v>0.02534715852451241</v>
                </pt>
                <pt idx="723">
                  <v>0.07817957454328828</v>
                </pt>
                <pt idx="724">
                  <v>0.1050388102056972</v>
                </pt>
                <pt idx="725">
                  <v>0.06617650108723416</v>
                </pt>
                <pt idx="726">
                  <v>0.07183266043156933</v>
                </pt>
                <pt idx="727">
                  <v>0.07054891396411089</v>
                </pt>
                <pt idx="728">
                  <v>0.1173609893894672</v>
                </pt>
                <pt idx="729">
                  <v>0.08704597593751351</v>
                </pt>
                <pt idx="730">
                  <v>0.05583259193000423</v>
                </pt>
                <pt idx="731">
                  <v>0.06674039415373967</v>
                </pt>
                <pt idx="732">
                  <v>0.04524446032372564</v>
                </pt>
                <pt idx="733">
                  <v>0.4984754126052957</v>
                </pt>
                <pt idx="734">
                  <v>1.091356890703144</v>
                </pt>
                <pt idx="735">
                  <v>0.7749347949741336</v>
                </pt>
                <pt idx="736">
                  <v>0.2168488116839209</v>
                </pt>
                <pt idx="737">
                  <v>0.1028453658535091</v>
                </pt>
                <pt idx="738">
                  <v>0.0535302329530416</v>
                </pt>
                <pt idx="739">
                  <v>0.1520409827039657</v>
                </pt>
                <pt idx="740">
                  <v>0.1087588591086874</v>
                </pt>
                <pt idx="741">
                  <v>0.1606838460631184</v>
                </pt>
                <pt idx="742">
                  <v>0.1025792132973868</v>
                </pt>
                <pt idx="743">
                  <v>0.167057114593423</v>
                </pt>
                <pt idx="744">
                  <v>0.1612108593226533</v>
                </pt>
                <pt idx="745">
                  <v>0.1559996076372514</v>
                </pt>
                <pt idx="746">
                  <v>0.1666771969823426</v>
                </pt>
                <pt idx="747">
                  <v>0.2002249179828617</v>
                </pt>
                <pt idx="748">
                  <v>0.02466389976162242</v>
                </pt>
                <pt idx="749">
                  <v>0.09836737604061341</v>
                </pt>
                <pt idx="750">
                  <v>0.1440799220995239</v>
                </pt>
                <pt idx="751">
                  <v>0.08298547440538417</v>
                </pt>
                <pt idx="752">
                  <v>0.09012434127845648</v>
                </pt>
                <pt idx="753">
                  <v>0.1230702854530041</v>
                </pt>
                <pt idx="754">
                  <v>0.08201466379778077</v>
                </pt>
                <pt idx="755">
                  <v>0.09291258702073724</v>
                </pt>
                <pt idx="756">
                  <v>0.03308280476087222</v>
                </pt>
                <pt idx="757">
                  <v>0.01738360577840736</v>
                </pt>
                <pt idx="758">
                  <v>-0.04549958984343927</v>
                </pt>
                <pt idx="759">
                  <v>0.01613240158438778</v>
                </pt>
                <pt idx="760">
                  <v>-0.009476904860759694</v>
                </pt>
                <pt idx="761">
                  <v>0.02368019630394436</v>
                </pt>
                <pt idx="762">
                  <v>0.0009954053848582056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Country!$A$474:$A$749</f>
              <numCache>
                <formatCode>m/d/yy</formatCode>
                <ptCount val="276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</numCache>
            </numRef>
          </cat>
          <val>
            <numRef>
              <f>Country!$B$474:$B$749</f>
              <numCache>
                <formatCode>0.00</formatCode>
                <ptCount val="276"/>
                <pt idx="0">
                  <v>38.73935</v>
                </pt>
                <pt idx="1">
                  <v>38.84894</v>
                </pt>
                <pt idx="2">
                  <v>39.10464</v>
                </pt>
                <pt idx="3">
                  <v>39.56873</v>
                </pt>
                <pt idx="4">
                  <v>39.46745</v>
                </pt>
                <pt idx="5">
                  <v>39.61605</v>
                </pt>
                <pt idx="6">
                  <v>39.76217</v>
                </pt>
                <pt idx="7">
                  <v>39.99546</v>
                </pt>
                <pt idx="8">
                  <v>40.29185</v>
                </pt>
                <pt idx="9">
                  <v>40.42468</v>
                </pt>
                <pt idx="10">
                  <v>40.51683</v>
                </pt>
                <pt idx="11">
                  <v>40.88794</v>
                </pt>
                <pt idx="12">
                  <v>41.30886</v>
                </pt>
                <pt idx="13">
                  <v>41.62766</v>
                </pt>
                <pt idx="14">
                  <v>42.10835</v>
                </pt>
                <pt idx="15">
                  <v>42.63885</v>
                </pt>
                <pt idx="16">
                  <v>42.61478</v>
                </pt>
                <pt idx="17">
                  <v>42.95102</v>
                </pt>
                <pt idx="18">
                  <v>43.19925</v>
                </pt>
                <pt idx="19">
                  <v>43.47986</v>
                </pt>
                <pt idx="20">
                  <v>44.40306</v>
                </pt>
                <pt idx="21">
                  <v>44.30924</v>
                </pt>
                <pt idx="22">
                  <v>44.67205</v>
                </pt>
                <pt idx="23">
                  <v>45.11206</v>
                </pt>
                <pt idx="24">
                  <v>45.28059</v>
                </pt>
                <pt idx="25">
                  <v>45.52384</v>
                </pt>
                <pt idx="26">
                  <v>45.62181</v>
                </pt>
                <pt idx="27">
                  <v>45.62347</v>
                </pt>
                <pt idx="28">
                  <v>45.84015</v>
                </pt>
                <pt idx="29">
                  <v>46.04771</v>
                </pt>
                <pt idx="30">
                  <v>46.40138</v>
                </pt>
                <pt idx="31">
                  <v>46.75422</v>
                </pt>
                <pt idx="32">
                  <v>46.95679</v>
                </pt>
                <pt idx="33">
                  <v>47.3254</v>
                </pt>
                <pt idx="34">
                  <v>47.74217</v>
                </pt>
                <pt idx="35">
                  <v>47.91983</v>
                </pt>
                <pt idx="36">
                  <v>48.19048</v>
                </pt>
                <pt idx="37">
                  <v>48.49019</v>
                </pt>
                <pt idx="38">
                  <v>48.66204</v>
                </pt>
                <pt idx="39">
                  <v>48.97254</v>
                </pt>
                <pt idx="40">
                  <v>49.47482</v>
                </pt>
                <pt idx="41">
                  <v>49.77951</v>
                </pt>
                <pt idx="42">
                  <v>50.16722</v>
                </pt>
                <pt idx="43">
                  <v>50.64957</v>
                </pt>
                <pt idx="44">
                  <v>50.41711</v>
                </pt>
                <pt idx="45">
                  <v>50.34073</v>
                </pt>
                <pt idx="46">
                  <v>50.38639</v>
                </pt>
                <pt idx="47">
                  <v>50.37145</v>
                </pt>
                <pt idx="48">
                  <v>50.43953</v>
                </pt>
                <pt idx="49">
                  <v>50.76165</v>
                </pt>
                <pt idx="50">
                  <v>51.05886</v>
                </pt>
                <pt idx="51">
                  <v>51.40008</v>
                </pt>
                <pt idx="52">
                  <v>52.03852</v>
                </pt>
                <pt idx="53">
                  <v>52.05844</v>
                </pt>
                <pt idx="54">
                  <v>52.17301</v>
                </pt>
                <pt idx="55">
                  <v>52.39136</v>
                </pt>
                <pt idx="56">
                  <v>52.67944</v>
                </pt>
                <pt idx="57">
                  <v>52.9119</v>
                </pt>
                <pt idx="58">
                  <v>53.1319</v>
                </pt>
                <pt idx="59">
                  <v>53.2855</v>
                </pt>
                <pt idx="60">
                  <v>53.33697</v>
                </pt>
                <pt idx="61">
                  <v>53.40588</v>
                </pt>
                <pt idx="62">
                  <v>53.48143</v>
                </pt>
                <pt idx="63">
                  <v>53.59766</v>
                </pt>
                <pt idx="64">
                  <v>53.74211</v>
                </pt>
                <pt idx="65">
                  <v>54.01193</v>
                </pt>
                <pt idx="66">
                  <v>54.27428</v>
                </pt>
                <pt idx="67">
                  <v>54.54659</v>
                </pt>
                <pt idx="68">
                  <v>54.82969</v>
                </pt>
                <pt idx="69">
                  <v>55.11445</v>
                </pt>
                <pt idx="70">
                  <v>55.25061</v>
                </pt>
                <pt idx="71">
                  <v>55.47393</v>
                </pt>
                <pt idx="72">
                  <v>55.82594</v>
                </pt>
                <pt idx="73">
                  <v>56.02768</v>
                </pt>
                <pt idx="74">
                  <v>56.1464</v>
                </pt>
                <pt idx="75">
                  <v>56.45524</v>
                </pt>
                <pt idx="76">
                  <v>56.5117</v>
                </pt>
                <pt idx="77">
                  <v>56.82718</v>
                </pt>
                <pt idx="78">
                  <v>57.17089</v>
                </pt>
                <pt idx="79">
                  <v>57.42659</v>
                </pt>
                <pt idx="80">
                  <v>57.65158</v>
                </pt>
                <pt idx="81">
                  <v>58.05921</v>
                </pt>
                <pt idx="82">
                  <v>58.35062</v>
                </pt>
                <pt idx="83">
                  <v>58.70927</v>
                </pt>
                <pt idx="84">
                  <v>59.02475</v>
                </pt>
                <pt idx="85">
                  <v>59.15509</v>
                </pt>
                <pt idx="86">
                  <v>59.4357</v>
                </pt>
                <pt idx="87">
                  <v>60.03512</v>
                </pt>
                <pt idx="88">
                  <v>60.15218</v>
                </pt>
                <pt idx="89">
                  <v>60.42781</v>
                </pt>
                <pt idx="90">
                  <v>60.68019</v>
                </pt>
                <pt idx="91">
                  <v>61.31199</v>
                </pt>
                <pt idx="92">
                  <v>61.46225</v>
                </pt>
                <pt idx="93">
                  <v>61.57848</v>
                </pt>
                <pt idx="94">
                  <v>61.78271</v>
                </pt>
                <pt idx="95">
                  <v>62.03012</v>
                </pt>
                <pt idx="96">
                  <v>62.31156</v>
                </pt>
                <pt idx="97">
                  <v>63.01807</v>
                </pt>
                <pt idx="98">
                  <v>63.56269</v>
                </pt>
                <pt idx="99">
                  <v>63.91968</v>
                </pt>
                <pt idx="100">
                  <v>64.0193</v>
                </pt>
                <pt idx="101">
                  <v>64.16625000000001</v>
                </pt>
                <pt idx="102">
                  <v>64.5523</v>
                </pt>
                <pt idx="103">
                  <v>64.67516999999999</v>
                </pt>
                <pt idx="104">
                  <v>65.25051000000001</v>
                </pt>
                <pt idx="105">
                  <v>66.12888</v>
                </pt>
                <pt idx="106">
                  <v>66.54813</v>
                </pt>
                <pt idx="107">
                  <v>68.01179999999999</v>
                </pt>
                <pt idx="108">
                  <v>68.68925</v>
                </pt>
                <pt idx="109">
                  <v>68.93333</v>
                </pt>
                <pt idx="110">
                  <v>69.48293</v>
                </pt>
                <pt idx="111">
                  <v>69.51282</v>
                </pt>
                <pt idx="112">
                  <v>69.99267999999999</v>
                </pt>
                <pt idx="113">
                  <v>70.07404</v>
                </pt>
                <pt idx="114">
                  <v>70.11223</v>
                </pt>
                <pt idx="115">
                  <v>70.1114</v>
                </pt>
                <pt idx="116">
                  <v>70.10476</v>
                </pt>
                <pt idx="117">
                  <v>70.32809</v>
                </pt>
                <pt idx="118">
                  <v>70.57465999999999</v>
                </pt>
                <pt idx="119">
                  <v>70.53480999999999</v>
                </pt>
                <pt idx="120">
                  <v>70.22016000000001</v>
                </pt>
                <pt idx="121">
                  <v>70.62945999999999</v>
                </pt>
                <pt idx="122">
                  <v>70.60538</v>
                </pt>
                <pt idx="123">
                  <v>70.86024999999999</v>
                </pt>
                <pt idx="124">
                  <v>71.31438</v>
                </pt>
                <pt idx="125">
                  <v>71.47295</v>
                </pt>
                <pt idx="126">
                  <v>71.55431</v>
                </pt>
                <pt idx="127">
                  <v>71.97190999999999</v>
                </pt>
                <pt idx="128">
                  <v>72.22927</v>
                </pt>
                <pt idx="129">
                  <v>72.63857</v>
                </pt>
                <pt idx="130">
                  <v>72.80959</v>
                </pt>
                <pt idx="131">
                  <v>73.07359</v>
                </pt>
                <pt idx="132">
                  <v>73.25042999999999</v>
                </pt>
                <pt idx="133">
                  <v>73.78010999999999</v>
                </pt>
                <pt idx="134">
                  <v>74.25001</v>
                </pt>
                <pt idx="135">
                  <v>74.75976</v>
                </pt>
                <pt idx="136">
                  <v>75.34589</v>
                </pt>
                <pt idx="137">
                  <v>75.97269</v>
                </pt>
                <pt idx="138">
                  <v>77.34753000000001</v>
                </pt>
                <pt idx="139">
                  <v>78.93324</v>
                </pt>
                <pt idx="140">
                  <v>79.10509</v>
                </pt>
                <pt idx="141">
                  <v>79.3857</v>
                </pt>
                <pt idx="142">
                  <v>79.80495000000001</v>
                </pt>
                <pt idx="143">
                  <v>80.19929999999999</v>
                </pt>
                <pt idx="144">
                  <v>80.80701999999999</v>
                </pt>
                <pt idx="145">
                  <v>81.24205000000001</v>
                </pt>
                <pt idx="146">
                  <v>81.61481000000001</v>
                </pt>
                <pt idx="147">
                  <v>82.06313</v>
                </pt>
                <pt idx="148">
                  <v>82.42677</v>
                </pt>
                <pt idx="149">
                  <v>83.01539</v>
                </pt>
                <pt idx="150">
                  <v>83.45125</v>
                </pt>
                <pt idx="151">
                  <v>84.02824</v>
                </pt>
                <pt idx="152">
                  <v>84.68826</v>
                </pt>
                <pt idx="153">
                  <v>85.24036</v>
                </pt>
                <pt idx="154">
                  <v>85.82398999999999</v>
                </pt>
                <pt idx="155">
                  <v>86.83768000000001</v>
                </pt>
                <pt idx="156">
                  <v>87.00206</v>
                </pt>
                <pt idx="157">
                  <v>87.02282</v>
                </pt>
                <pt idx="158">
                  <v>87.58736</v>
                </pt>
                <pt idx="159">
                  <v>87.88540999999999</v>
                </pt>
                <pt idx="160">
                  <v>88.23659000000001</v>
                </pt>
                <pt idx="161">
                  <v>88.70732</v>
                </pt>
                <pt idx="162">
                  <v>89.08839</v>
                </pt>
                <pt idx="163">
                  <v>89.58154</v>
                </pt>
                <pt idx="164">
                  <v>90.00577</v>
                </pt>
                <pt idx="165">
                  <v>90.96384</v>
                </pt>
                <pt idx="166">
                  <v>91.06595</v>
                </pt>
                <pt idx="167">
                  <v>91.56242</v>
                </pt>
                <pt idx="168">
                  <v>91.97836</v>
                </pt>
                <pt idx="169">
                  <v>92.65996</v>
                </pt>
                <pt idx="170">
                  <v>92.9854</v>
                </pt>
                <pt idx="171">
                  <v>93.45613</v>
                </pt>
                <pt idx="172">
                  <v>94.03230000000001</v>
                </pt>
                <pt idx="173">
                  <v>94.48393</v>
                </pt>
                <pt idx="174">
                  <v>94.97542</v>
                </pt>
                <pt idx="175">
                  <v>95.22033</v>
                </pt>
                <pt idx="176">
                  <v>95.49762</v>
                </pt>
                <pt idx="177">
                  <v>96.00073</v>
                </pt>
                <pt idx="178">
                  <v>96.34361</v>
                </pt>
                <pt idx="179">
                  <v>96.98121</v>
                </pt>
                <pt idx="180">
                  <v>97.51006</v>
                </pt>
                <pt idx="181">
                  <v>98.49551</v>
                </pt>
                <pt idx="182">
                  <v>98.62586</v>
                </pt>
                <pt idx="183">
                  <v>99.02271</v>
                </pt>
                <pt idx="184">
                  <v>99.29585</v>
                </pt>
                <pt idx="185">
                  <v>99.67359</v>
                </pt>
                <pt idx="186">
                  <v>100.1103</v>
                </pt>
                <pt idx="187">
                  <v>100.5345</v>
                </pt>
                <pt idx="188">
                  <v>100.9911</v>
                </pt>
                <pt idx="189">
                  <v>101.2593</v>
                </pt>
                <pt idx="190">
                  <v>101.9998</v>
                </pt>
                <pt idx="191">
                  <v>102.4814</v>
                </pt>
                <pt idx="192">
                  <v>103.5274</v>
                </pt>
                <pt idx="193">
                  <v>104.1551</v>
                </pt>
                <pt idx="194">
                  <v>104.6872</v>
                </pt>
                <pt idx="195">
                  <v>105.4236</v>
                </pt>
                <pt idx="196">
                  <v>105.9815</v>
                </pt>
                <pt idx="197">
                  <v>106.532</v>
                </pt>
                <pt idx="198">
                  <v>107.0309</v>
                </pt>
                <pt idx="199">
                  <v>107.7466</v>
                </pt>
                <pt idx="200">
                  <v>108.2422</v>
                </pt>
                <pt idx="201">
                  <v>108.8026</v>
                </pt>
                <pt idx="202">
                  <v>109.3929</v>
                </pt>
                <pt idx="203">
                  <v>109.6677</v>
                </pt>
                <pt idx="204">
                  <v>110.2746</v>
                </pt>
                <pt idx="205">
                  <v>110.8449</v>
                </pt>
                <pt idx="206">
                  <v>111.4194</v>
                </pt>
                <pt idx="207">
                  <v>111.9366</v>
                </pt>
                <pt idx="208">
                  <v>112.3675</v>
                </pt>
                <pt idx="209">
                  <v>112.5676</v>
                </pt>
                <pt idx="210">
                  <v>113.0832</v>
                </pt>
                <pt idx="211">
                  <v>113.5697</v>
                </pt>
                <pt idx="212">
                  <v>113.9225</v>
                </pt>
                <pt idx="213">
                  <v>114.3816</v>
                </pt>
                <pt idx="214">
                  <v>114.6033</v>
                </pt>
                <pt idx="215">
                  <v>115.0034</v>
                </pt>
                <pt idx="216">
                  <v>115.1355</v>
                </pt>
                <pt idx="217">
                  <v>115.4841</v>
                </pt>
                <pt idx="218">
                  <v>115.9433</v>
                </pt>
                <pt idx="219">
                  <v>116.1276</v>
                </pt>
                <pt idx="220">
                  <v>116.5717</v>
                </pt>
                <pt idx="221">
                  <v>117.0815</v>
                </pt>
                <pt idx="222">
                  <v>117.3671</v>
                </pt>
                <pt idx="223">
                  <v>117.7855</v>
                </pt>
                <pt idx="224">
                  <v>118.0113</v>
                </pt>
                <pt idx="225">
                  <v>118.1267</v>
                </pt>
                <pt idx="226">
                  <v>118.2355</v>
                </pt>
                <pt idx="227">
                  <v>119.2085</v>
                </pt>
                <pt idx="228">
                  <v>119.8062</v>
                </pt>
                <pt idx="229">
                  <v>120.1508</v>
                </pt>
                <pt idx="230">
                  <v>120.4696</v>
                </pt>
                <pt idx="231">
                  <v>120.7211</v>
                </pt>
                <pt idx="232">
                  <v>121.4808</v>
                </pt>
                <pt idx="233">
                  <v>122.4961</v>
                </pt>
                <pt idx="234">
                  <v>123.152</v>
                </pt>
                <pt idx="235">
                  <v>123.866</v>
                </pt>
                <pt idx="236">
                  <v>124.5716</v>
                </pt>
                <pt idx="237">
                  <v>125.729</v>
                </pt>
                <pt idx="238">
                  <v>126.6065</v>
                </pt>
                <pt idx="239">
                  <v>127.181</v>
                </pt>
                <pt idx="240">
                  <v>127.8676</v>
                </pt>
                <pt idx="241">
                  <v>128.34</v>
                </pt>
                <pt idx="242">
                  <v>132.7393</v>
                </pt>
                <pt idx="243">
                  <v>141.1568</v>
                </pt>
                <pt idx="244">
                  <v>148.07</v>
                </pt>
                <pt idx="245">
                  <v>150.5116</v>
                </pt>
                <pt idx="246">
                  <v>151.7445</v>
                </pt>
                <pt idx="247">
                  <v>152.4053</v>
                </pt>
                <pt idx="248">
                  <v>154.2135</v>
                </pt>
                <pt idx="249">
                  <v>155.546</v>
                </pt>
                <pt idx="250">
                  <v>157.4895</v>
                </pt>
                <pt idx="251">
                  <v>158.7755</v>
                </pt>
                <pt idx="252">
                  <v>160.8328</v>
                </pt>
                <pt idx="253">
                  <v>162.8502</v>
                </pt>
                <pt idx="254">
                  <v>164.8286</v>
                </pt>
                <pt idx="255">
                  <v>166.9606</v>
                </pt>
                <pt idx="256">
                  <v>169.5193</v>
                </pt>
                <pt idx="257">
                  <v>169.8639</v>
                </pt>
                <pt idx="258">
                  <v>171.1972</v>
                </pt>
                <pt idx="259">
                  <v>173.1283</v>
                </pt>
                <pt idx="260">
                  <v>174.2822</v>
                </pt>
                <pt idx="261">
                  <v>175.5392</v>
                </pt>
                <pt idx="262">
                  <v>177.2453</v>
                </pt>
                <pt idx="263">
                  <v>178.4134</v>
                </pt>
                <pt idx="264">
                  <v>179.7376</v>
                </pt>
                <pt idx="265">
                  <v>180.2266</v>
                </pt>
                <pt idx="266">
                  <v>180.4864</v>
                </pt>
                <pt idx="267">
                  <v>179.7866</v>
                </pt>
                <pt idx="268">
                  <v>180.0265</v>
                </pt>
                <pt idx="269">
                  <v>179.8845</v>
                </pt>
                <pt idx="270">
                  <v>180.2324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Country!$A$474:$A$748</f>
              <numCache>
                <formatCode>m/d/yy</formatCode>
                <ptCount val="275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</numCache>
            </numRef>
          </cat>
          <val>
            <numRef>
              <f>Country!$D$474:$D$748</f>
              <numCache>
                <formatCode>0.0%</formatCode>
                <ptCount val="275"/>
                <pt idx="0">
                  <v>0.07545264394510021</v>
                </pt>
                <pt idx="1">
                  <v>0.03448006971267392</v>
                </pt>
                <pt idx="2">
                  <v>0.08190573565026438</v>
                </pt>
                <pt idx="3">
                  <v>0.1520884720759033</v>
                </pt>
                <pt idx="4">
                  <v>-0.03028642988864338</v>
                </pt>
                <pt idx="5">
                  <v>0.04612900673683917</v>
                </pt>
                <pt idx="6">
                  <v>0.04516986561501168</v>
                </pt>
                <pt idx="7">
                  <v>0.07272257443694952</v>
                </pt>
                <pt idx="8">
                  <v>0.09264264933054189</v>
                </pt>
                <pt idx="9">
                  <v>0.04028560064407505</v>
                </pt>
                <pt idx="10">
                  <v>0.02770015423477967</v>
                </pt>
                <pt idx="11">
                  <v>0.1156224812891615</v>
                </pt>
                <pt idx="12">
                  <v>0.130773836206143</v>
                </pt>
                <pt idx="13">
                  <v>0.09664349236337011</v>
                </pt>
                <pt idx="14">
                  <v>0.1477167084686761</v>
                </pt>
                <pt idx="15">
                  <v>0.1621096467879515</v>
                </pt>
                <pt idx="16">
                  <v>-0.006753111202559059</v>
                </pt>
                <pt idx="17">
                  <v>0.098901520145394</v>
                </pt>
                <pt idx="18">
                  <v>0.07159998805546941</v>
                </pt>
                <pt idx="19">
                  <v>0.08079458844428888</v>
                </pt>
                <pt idx="20">
                  <v>0.2867588319186953</v>
                </pt>
                <pt idx="21">
                  <v>-0.02506242300557826</v>
                </pt>
                <pt idx="22">
                  <v>0.1028056447819652</v>
                </pt>
                <pt idx="23">
                  <v>0.1248155666050841</v>
                </pt>
                <pt idx="24">
                  <v>0.04576237807190298</v>
                </pt>
                <pt idx="25">
                  <v>0.06640392582981081</v>
                </pt>
                <pt idx="26">
                  <v>0.02613258381901384</v>
                </pt>
                <pt idx="27">
                  <v>0.0004367206593780537</v>
                </pt>
                <pt idx="28">
                  <v>0.0585042330674046</v>
                </pt>
                <pt idx="29">
                  <v>0.05570866212152925</v>
                </pt>
                <pt idx="30">
                  <v>0.09616092499707141</v>
                </pt>
                <pt idx="31">
                  <v>0.09516367442081797</v>
                </pt>
                <pt idx="32">
                  <v>0.05324889963436741</v>
                </pt>
                <pt idx="33">
                  <v>0.0983751873393679</v>
                </pt>
                <pt idx="34">
                  <v>0.1109495521867887</v>
                </pt>
                <pt idx="35">
                  <v>0.04558023652117416</v>
                </pt>
                <pt idx="36">
                  <v>0.06992121983966038</v>
                </pt>
                <pt idx="37">
                  <v>0.07723785052081533</v>
                </pt>
                <pt idx="38">
                  <v>0.04336702428987937</v>
                </pt>
                <pt idx="39">
                  <v>0.07931402142594846</v>
                </pt>
                <pt idx="40">
                  <v>0.1302619782925134</v>
                </pt>
                <pt idx="41">
                  <v>0.07645711930776544</v>
                </pt>
                <pt idx="42">
                  <v>0.09757199330335431</v>
                </pt>
                <pt idx="43">
                  <v>0.1216793567528838</v>
                </pt>
                <pt idx="44">
                  <v>-0.05370571346547326</v>
                </pt>
                <pt idx="45">
                  <v>-0.01802882773134651</v>
                </pt>
                <pt idx="46">
                  <v>0.01093868994693703</v>
                </pt>
                <pt idx="47">
                  <v>-0.003552306870847177</v>
                </pt>
                <pt idx="48">
                  <v>0.01633981903180204</v>
                </pt>
                <pt idx="49">
                  <v>0.07938502981186257</v>
                </pt>
                <pt idx="50">
                  <v>0.07256742817663486</v>
                </pt>
                <pt idx="51">
                  <v>0.08320877905821522</v>
                </pt>
                <pt idx="52">
                  <v>0.1596680685580425</v>
                </pt>
                <pt idx="53">
                  <v>0.004603203719054205</v>
                </pt>
                <pt idx="54">
                  <v>0.02673157841804308</v>
                </pt>
                <pt idx="55">
                  <v>0.05139365067706758</v>
                </pt>
                <pt idx="56">
                  <v>0.06801592593621297</v>
                </pt>
                <pt idx="57">
                  <v>0.05425698217464014</v>
                </pt>
                <pt idx="58">
                  <v>0.05105121267439161</v>
                </pt>
                <pt idx="59">
                  <v>0.03524796282289766</v>
                </pt>
                <pt idx="60">
                  <v>0.01165292373065041</v>
                </pt>
                <pt idx="61">
                  <v>0.01561433572609205</v>
                </pt>
                <pt idx="62">
                  <v>0.01710836295041007</v>
                </pt>
                <pt idx="63">
                  <v>0.02639332887305934</v>
                </pt>
                <pt idx="64">
                  <v>0.03282468523220072</v>
                </pt>
                <pt idx="65">
                  <v>0.06193953975943978</v>
                </pt>
                <pt idx="66">
                  <v>0.05986974842217996</v>
                </pt>
                <pt idx="67">
                  <v>0.06189705979728877</v>
                </pt>
                <pt idx="68">
                  <v>0.06408964513486448</v>
                </pt>
                <pt idx="69">
                  <v>0.0641338267611915</v>
                </pt>
                <pt idx="70">
                  <v>0.03005210254709834</v>
                </pt>
                <pt idx="71">
                  <v>0.04959628026894314</v>
                </pt>
                <pt idx="72">
                  <v>0.07886057713838435</v>
                </pt>
                <pt idx="73">
                  <v>0.04423715219957924</v>
                </pt>
                <pt idx="74">
                  <v>0.02572587205662669</v>
                </pt>
                <pt idx="75">
                  <v>0.06804145975469833</v>
                </pt>
                <pt idx="76">
                  <v>0.0120672434565976</v>
                </pt>
                <pt idx="77">
                  <v>0.06908637914104054</v>
                </pt>
                <pt idx="78">
                  <v>0.07504384235216244</v>
                </pt>
                <pt idx="79">
                  <v>0.05501080085189392</v>
                </pt>
                <pt idx="80">
                  <v>0.04804088703333353</v>
                </pt>
                <pt idx="81">
                  <v>0.08822549721367912</v>
                </pt>
                <pt idx="82">
                  <v>0.06192105920609703</v>
                </pt>
                <pt idx="83">
                  <v>0.07630278566808024</v>
                </pt>
                <pt idx="84">
                  <v>0.06642351196228691</v>
                </pt>
                <pt idx="85">
                  <v>0.02682292862795177</v>
                </pt>
                <pt idx="86">
                  <v>0.05843245933014662</v>
                </pt>
                <pt idx="87">
                  <v>0.1279660110250791</v>
                </pt>
                <pt idx="88">
                  <v>0.02365087091423934</v>
                </pt>
                <pt idx="89">
                  <v>0.05639370169742763</v>
                </pt>
                <pt idx="90">
                  <v>0.05128610295699709</v>
                </pt>
                <pt idx="91">
                  <v>0.132352812581751</v>
                </pt>
                <pt idx="92">
                  <v>0.02980859155352622</v>
                </pt>
                <pt idx="93">
                  <v>0.02293047596689091</v>
                </pt>
                <pt idx="94">
                  <v>0.04053303556328003</v>
                </pt>
                <pt idx="95">
                  <v>0.04912686394743382</v>
                </pt>
                <pt idx="96">
                  <v>0.05582522595137518</v>
                </pt>
                <pt idx="97">
                  <v>0.144873991332052</v>
                </pt>
                <pt idx="98">
                  <v>0.1087816810709996</v>
                </pt>
                <pt idx="99">
                  <v>0.06951747240747763</v>
                </pt>
                <pt idx="100">
                  <v>0.01886336971178593</v>
                </pt>
                <pt idx="101">
                  <v>0.0278952383290485</v>
                </pt>
                <pt idx="102">
                  <v>0.07463440679153655</v>
                </pt>
                <pt idx="103">
                  <v>0.02308165580814925</v>
                </pt>
                <pt idx="104">
                  <v>0.1121310816021979</v>
                </pt>
                <pt idx="105">
                  <v>0.1740513212299253</v>
                </pt>
                <pt idx="106">
                  <v>0.07878840136821297</v>
                </pt>
                <pt idx="107">
                  <v>0.2983176242087322</v>
                </pt>
                <pt idx="108">
                  <v>0.1262999505367512</v>
                </pt>
                <pt idx="109">
                  <v>0.04348404003217166</v>
                </pt>
                <pt idx="110">
                  <v>0.09998403205676665</v>
                </pt>
                <pt idx="111">
                  <v>0.005174362200979443</v>
                </pt>
                <pt idx="112">
                  <v>0.08605691703776541</v>
                </pt>
                <pt idx="113">
                  <v>0.01403841225482849</v>
                </pt>
                <pt idx="114">
                  <v>0.006559578700005675</v>
                </pt>
                <pt idx="115">
                  <v>-0.0001420487057814945</v>
                </pt>
                <pt idx="116">
                  <v>-0.00113588530476072</v>
                </pt>
                <pt idx="117">
                  <v>0.03890489252982987</v>
                </pt>
                <pt idx="118">
                  <v>0.0428927804031034</v>
                </pt>
                <pt idx="119">
                  <v>-0.006754799881281581</v>
                </pt>
                <pt idx="120">
                  <v>-0.05223696438690173</v>
                </pt>
                <pt idx="121">
                  <v>0.07223222125331619</v>
                </pt>
                <pt idx="122">
                  <v>-0.004083547790964426</v>
                </pt>
                <pt idx="123">
                  <v>0.04418782620211537</v>
                </pt>
                <pt idx="124">
                  <v>0.07967530368488074</v>
                </pt>
                <pt idx="125">
                  <v>0.02701115837440482</v>
                </pt>
                <pt idx="126">
                  <v>0.01374584128696799</v>
                </pt>
                <pt idx="127">
                  <v>0.07232581312622299</v>
                </pt>
                <pt idx="128">
                  <v>0.04376413212846719</v>
                </pt>
                <pt idx="129">
                  <v>0.07016002227264395</v>
                </pt>
                <pt idx="130">
                  <v>0.02862149537659731</v>
                </pt>
                <pt idx="131">
                  <v>0.04438903532185812</v>
                </pt>
                <pt idx="132">
                  <v>0.02942997986927653</v>
                </pt>
                <pt idx="133">
                  <v>0.09030860365757132</v>
                </pt>
                <pt idx="134">
                  <v>0.07916193233109325</v>
                </pt>
                <pt idx="135">
                  <v>0.08556687865201162</v>
                </pt>
                <pt idx="136">
                  <v>0.09824699736426279</v>
                </pt>
                <pt idx="137">
                  <v>0.104524212876945</v>
                </pt>
                <pt idx="138">
                  <v>0.2401303829213861</v>
                </pt>
                <pt idx="139">
                  <v>0.2757387952748886</v>
                </pt>
                <pt idx="140">
                  <v>0.02644099761805396</v>
                </pt>
                <pt idx="141">
                  <v>0.04340808030584364</v>
                </pt>
                <pt idx="142">
                  <v>0.06524772309457294</v>
                </pt>
                <pt idx="143">
                  <v>0.06093548142717631</v>
                </pt>
                <pt idx="144">
                  <v>0.09481858685358424</v>
                </pt>
                <pt idx="145">
                  <v>0.06655041358124336</v>
                </pt>
                <pt idx="146">
                  <v>0.05647008657607411</v>
                </pt>
                <pt idx="147">
                  <v>0.06794587680933839</v>
                </pt>
                <pt idx="148">
                  <v>0.0544899646778203</v>
                </pt>
                <pt idx="149">
                  <v>0.08914065349003941</v>
                </pt>
                <pt idx="150">
                  <v>0.06485581046617139</v>
                </pt>
                <pt idx="151">
                  <v>0.0861981305677213</v>
                </pt>
                <pt idx="152">
                  <v>0.09843740459323591</v>
                </pt>
                <pt idx="153">
                  <v>0.08109730085470579</v>
                </pt>
                <pt idx="154">
                  <v>0.08532826173262387</v>
                </pt>
                <pt idx="155">
                  <v>0.1513149138651317</v>
                </pt>
                <pt idx="156">
                  <v>0.02295348034154432</v>
                </pt>
                <pt idx="157">
                  <v>0.002867141317868693</v>
                </pt>
                <pt idx="158">
                  <v>0.0806856990492868</v>
                </pt>
                <pt idx="159">
                  <v>0.0416076517256585</v>
                </pt>
                <pt idx="160">
                  <v>0.04901861320510004</v>
                </pt>
                <pt idx="161">
                  <v>0.06593055712099716</v>
                </pt>
                <pt idx="162">
                  <v>0.05278532255807411</v>
                </pt>
                <pt idx="163">
                  <v>0.06848631513752301</v>
                </pt>
                <pt idx="164">
                  <v>0.05833200548013595</v>
                </pt>
                <pt idx="165">
                  <v>0.1354844934008212</v>
                </pt>
                <pt idx="166">
                  <v>0.01355388500109855</v>
                </pt>
                <pt idx="167">
                  <v>0.06741888173905397</v>
                </pt>
                <pt idx="168">
                  <v>0.0558951367012448</v>
                </pt>
                <pt idx="169">
                  <v>0.09264066599054477</v>
                </pt>
                <pt idx="170">
                  <v>0.04297011152286001</v>
                </pt>
                <pt idx="171">
                  <v>0.06246920825321167</v>
                </pt>
                <pt idx="172">
                  <v>0.07654252849826304</v>
                </pt>
                <pt idx="173">
                  <v>0.05918222266966455</v>
                </pt>
                <pt idx="174">
                  <v>0.064239276765933</v>
                </pt>
                <pt idx="175">
                  <v>0.03138666927000733</v>
                </pt>
                <pt idx="176">
                  <v>0.03551022420722294</v>
                </pt>
                <pt idx="177">
                  <v>0.06508396746652845</v>
                </pt>
                <pt idx="178">
                  <v>0.04371171492258741</v>
                </pt>
                <pt idx="179">
                  <v>0.08237112135414248</v>
                </pt>
                <pt idx="180">
                  <v>0.06743614311520818</v>
                </pt>
                <pt idx="181">
                  <v>0.1282468125263363</v>
                </pt>
                <pt idx="182">
                  <v>0.01599703183196177</v>
                </pt>
                <pt idx="183">
                  <v>0.04936857368645042</v>
                </pt>
                <pt idx="184">
                  <v>0.03360709497176217</v>
                </pt>
                <pt idx="185">
                  <v>0.0466176037505992</v>
                </pt>
                <pt idx="186">
                  <v>0.05386248424457052</v>
                </pt>
                <pt idx="187">
                  <v>0.05204983883140701</v>
                </pt>
                <pt idx="188">
                  <v>0.05588291552333624</v>
                </pt>
                <pt idx="189">
                  <v>0.03233777378155311</v>
                </pt>
                <pt idx="190">
                  <v>0.09137196312565909</v>
                </pt>
                <pt idx="191">
                  <v>0.05815369725395048</v>
                </pt>
                <pt idx="192">
                  <v>0.1295958560733177</v>
                </pt>
                <pt idx="193">
                  <v>0.07523352278631945</v>
                </pt>
                <pt idx="194">
                  <v>0.06305694074629331</v>
                </pt>
                <pt idx="195">
                  <v>0.0877550262861424</v>
                </pt>
                <pt idx="196">
                  <v>0.06538513979542171</v>
                </pt>
                <pt idx="197">
                  <v>0.06414356047196756</v>
                </pt>
                <pt idx="198">
                  <v>0.05766750843489477</v>
                </pt>
                <pt idx="199">
                  <v>0.08326015235614914</v>
                </pt>
                <pt idx="200">
                  <v>0.05661417229514631</v>
                </pt>
                <pt idx="201">
                  <v>0.06392730692986848</v>
                </pt>
                <pt idx="202">
                  <v>0.06708335142901767</v>
                </pt>
                <pt idx="203">
                  <v>0.03056454432990874</v>
                </pt>
                <pt idx="204">
                  <v>0.06846689191638022</v>
                </pt>
                <pt idx="205">
                  <v>0.06385563290076868</v>
                </pt>
                <pt idx="206">
                  <v>0.06399893711258042</v>
                </pt>
                <pt idx="207">
                  <v>0.05714741271297008</v>
                </pt>
                <pt idx="208">
                  <v>0.04718469657372837</v>
                </pt>
                <pt idx="209">
                  <v>0.02157970941760867</v>
                </pt>
                <pt idx="210">
                  <v>0.05637032549891208</v>
                </pt>
                <pt idx="211">
                  <v>0.05286495029203131</v>
                </pt>
                <pt idx="212">
                  <v>0.03792109708163882</v>
                </pt>
                <pt idx="213">
                  <v>0.04944558497906915</v>
                </pt>
                <pt idx="214">
                  <v>0.02350854403490166</v>
                </pt>
                <pt idx="215">
                  <v>0.04270794413110779</v>
                </pt>
                <pt idx="216">
                  <v>0.01387135655295046</v>
                </pt>
                <pt idx="217">
                  <v>0.03694402527512497</v>
                </pt>
                <pt idx="218">
                  <v>0.04877314142950917</v>
                </pt>
                <pt idx="219">
                  <v>0.01924249205200113</v>
                </pt>
                <pt idx="220">
                  <v>0.04686854857122946</v>
                </pt>
                <pt idx="221">
                  <v>0.05376015772241316</v>
                </pt>
                <pt idx="222">
                  <v>0.02966784895994135</v>
                </pt>
                <pt idx="223">
                  <v>0.04362739923322634</v>
                </pt>
                <pt idx="224">
                  <v>0.02324863991875659</v>
                </pt>
                <pt idx="225">
                  <v>0.01179778714554947</v>
                </pt>
                <pt idx="226">
                  <v>0.01110870097249106</v>
                </pt>
                <pt idx="227">
                  <v>0.1033466281132798</v>
                </pt>
                <pt idx="228">
                  <v>0.06185408546935234</v>
                </pt>
                <pt idx="229">
                  <v>0.03506704136326788</v>
                </pt>
                <pt idx="230">
                  <v>0.03230877334485793</v>
                </pt>
                <pt idx="231">
                  <v>0.02534162487210745</v>
                </pt>
                <pt idx="232">
                  <v>0.07818555893989987</v>
                </pt>
                <pt idx="233">
                  <v>0.1050334496578442</v>
                </pt>
                <pt idx="234">
                  <v>0.06617989078075026</v>
                </pt>
                <pt idx="235">
                  <v>0.07183448885708699</v>
                </pt>
                <pt idx="236">
                  <v>0.07054062564349484</v>
                </pt>
                <pt idx="237">
                  <v>0.1173700476333621</v>
                </pt>
                <pt idx="238">
                  <v>0.08704243952980106</v>
                </pt>
                <pt idx="239">
                  <v>0.05583192397032488</v>
                </pt>
                <pt idx="240">
                  <v>0.06674186688457762</v>
                </pt>
                <pt idx="241">
                  <v>0.0452453733141871</v>
                </pt>
                <pt idx="242">
                  <v>0.4984762267862901</v>
                </pt>
                <pt idx="243">
                  <v>1.091353157009971</v>
                </pt>
                <pt idx="244">
                  <v>0.7749383114010144</v>
                </pt>
                <pt idx="245">
                  <v>0.2168435750664655</v>
                </pt>
                <pt idx="246">
                  <v>0.1028484512513703</v>
                </pt>
                <pt idx="247">
                  <v>0.05352618487633842</v>
                </pt>
                <pt idx="248">
                  <v>0.1520408671645102</v>
                </pt>
                <pt idx="249">
                  <v>0.1087597213880902</v>
                </pt>
                <pt idx="250">
                  <v>0.16068155363046</v>
                </pt>
                <pt idx="251">
                  <v>0.1025102055305533</v>
                </pt>
                <pt idx="252">
                  <v>0.167061131022999</v>
                </pt>
                <pt idx="253">
                  <v>0.1613525597201628</v>
                </pt>
                <pt idx="254">
                  <v>0.1559293299802371</v>
                </pt>
                <pt idx="255">
                  <v>0.1667481543323752</v>
                </pt>
                <pt idx="256">
                  <v>0.200222718702622</v>
                </pt>
                <pt idx="257">
                  <v>0.02466827117862969</v>
                </pt>
                <pt idx="258">
                  <v>0.09836527755034763</v>
                </pt>
                <pt idx="259">
                  <v>0.1440812994402809</v>
                </pt>
                <pt idx="260">
                  <v>0.0829779815461662</v>
                </pt>
                <pt idx="261">
                  <v>0.09006645583850426</v>
                </pt>
                <pt idx="262">
                  <v>0.1230713721505203</v>
                </pt>
                <pt idx="263">
                  <v>0.08201405168013798</v>
                </pt>
                <pt idx="264">
                  <v>0.09279229712041159</v>
                </pt>
                <pt idx="265">
                  <v>0.03314057207359555</v>
                </pt>
                <pt idx="266">
                  <v>0.0174360310098467</v>
                </pt>
                <pt idx="267">
                  <v>-0.04554810957494615</v>
                </pt>
                <pt idx="268">
                  <v>0.01613035513346928</v>
                </pt>
                <pt idx="269">
                  <v>-0.009424318217375216</v>
                </pt>
                <pt idx="270">
                  <v>0.02345669200641587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Relationship Type="http://schemas.openxmlformats.org/officeDocument/2006/relationships/chart" Target="/xl/charts/chart9.xml" Id="rId3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/Relationships>
</file>

<file path=xl/drawings/drawing1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12</col>
      <colOff>451555</colOff>
      <row>265</row>
      <rowOff>141111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232833</colOff>
      <row>716</row>
      <rowOff>70557</rowOff>
    </from>
    <to>
      <col>16</col>
      <colOff>232833</colOff>
      <row>742</row>
      <rowOff>150989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16</col>
      <colOff>169332</colOff>
      <row>775</row>
      <rowOff>112889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369326</colOff>
      <row>723</row>
      <rowOff>186765</rowOff>
    </from>
    <to>
      <col>14</col>
      <colOff>164353</colOff>
      <row>744</row>
      <rowOff>184158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136526</rowOff>
    </from>
    <to>
      <col>14</col>
      <colOff>149412</colOff>
      <row>770</row>
      <rowOff>29883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17</col>
      <colOff>372534</colOff>
      <row>2415</row>
      <rowOff>118533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4</col>
      <colOff>265113</colOff>
      <row>761</row>
      <rowOff>177797</rowOff>
    </from>
    <to>
      <col>13</col>
      <colOff>284163</colOff>
      <row>780</row>
      <rowOff>125410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236537</colOff>
      <row>742</row>
      <rowOff>106360</rowOff>
    </from>
    <to>
      <col>13</col>
      <colOff>322263</colOff>
      <row>760</row>
      <rowOff>173035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436563</colOff>
      <row>761</row>
      <rowOff>190499</rowOff>
    </from>
    <to>
      <col>22</col>
      <colOff>455613</colOff>
      <row>780</row>
      <rowOff>138112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367392</colOff>
      <row>713</row>
      <rowOff>154213</rowOff>
    </from>
    <to>
      <col>12</col>
      <colOff>290286</colOff>
      <row>734</row>
      <rowOff>61458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365124</colOff>
      <row>735</row>
      <rowOff>4307</rowOff>
    </from>
    <to>
      <col>12</col>
      <colOff>290285</colOff>
      <row>754</row>
      <rowOff>36285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5" headerRowCount="1" totalsRowShown="0" headerRowCellStyle="Normal 3" dataCellStyle="Normal 3">
  <autoFilter ref="A11:B265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9" headerRowCount="1" totalsRowShown="0" headerRowDxfId="33" dataDxfId="31" headerRowBorderDxfId="32">
  <autoFilter ref="A5:C769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9" headerRowCount="1" totalsRowShown="0" headerRowDxfId="27" dataDxfId="26" tableBorderDxfId="25">
  <autoFilter ref="A5:C769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9" headerRowCount="1" totalsRowShown="0" headerRowDxfId="12" dataDxfId="10" headerRowBorderDxfId="11" dataCellStyle="Normal 2">
  <autoFilter ref="A5:D769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44" headerRowCount="1" totalsRowShown="0" headerRowDxfId="5" headerRowBorderDxfId="4">
  <autoFilter ref="A5:D744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zoomScale="150" zoomScaleNormal="150" workbookViewId="0">
      <selection activeCell="AB17" sqref="AB17"/>
    </sheetView>
  </sheetViews>
  <sheetFormatPr baseColWidth="10" defaultColWidth="9.1640625" defaultRowHeight="15"/>
  <cols>
    <col width="9.1640625" customWidth="1" style="77" min="1" max="1"/>
    <col width="12.83203125" customWidth="1" style="77" min="2" max="10"/>
    <col width="3.33203125" customWidth="1" style="77" min="11" max="13"/>
    <col width="21.33203125" customWidth="1" style="77" min="14" max="14"/>
    <col width="15.6640625" customWidth="1" style="77" min="15" max="15"/>
    <col width="16.83203125" customWidth="1" style="77" min="16" max="16"/>
    <col width="23" customWidth="1" style="77" min="17" max="17"/>
    <col width="9.1640625" customWidth="1" style="77" min="18" max="40"/>
    <col width="9.1640625" customWidth="1" style="77" min="41" max="16384"/>
  </cols>
  <sheetData>
    <row r="1">
      <c r="B1" s="83" t="n"/>
    </row>
    <row r="2" ht="16" customHeight="1" s="67" thickBot="1">
      <c r="B2" s="84" t="n"/>
      <c r="C2" s="84" t="n"/>
      <c r="D2" s="84" t="n"/>
      <c r="E2" s="84" t="n"/>
      <c r="F2" s="84" t="n"/>
      <c r="G2" s="84" t="n"/>
      <c r="H2" s="84" t="n"/>
      <c r="I2" s="84" t="n"/>
      <c r="J2" s="84" t="n"/>
    </row>
    <row r="3" ht="16" customHeight="1" s="67" thickBot="1">
      <c r="B3" s="85" t="inlineStr">
        <is>
          <t>Money Supply</t>
        </is>
      </c>
      <c r="C3" s="86" t="n"/>
      <c r="D3" s="86" t="n"/>
      <c r="E3" s="86" t="n"/>
      <c r="F3" s="86" t="n"/>
      <c r="G3" s="86" t="n"/>
      <c r="H3" s="86" t="n"/>
      <c r="I3" s="86" t="n"/>
      <c r="J3" s="87" t="n"/>
    </row>
    <row r="5">
      <c r="B5" s="80" t="inlineStr">
        <is>
          <t>Definition</t>
        </is>
      </c>
      <c r="C5" s="81" t="n"/>
      <c r="D5" s="81" t="n"/>
      <c r="E5" s="81" t="n"/>
      <c r="F5" s="81" t="n"/>
      <c r="G5" s="81" t="n"/>
      <c r="H5" s="81" t="n"/>
      <c r="I5" s="81" t="n"/>
      <c r="J5" s="82" t="n"/>
    </row>
    <row r="7" ht="100.5" customHeight="1" s="67">
      <c r="B7" s="88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78" t="n"/>
    </row>
    <row r="9">
      <c r="B9" s="42" t="n"/>
      <c r="C9" s="42" t="n"/>
      <c r="D9" s="42" t="n"/>
      <c r="E9" s="42" t="n"/>
    </row>
    <row r="10">
      <c r="B10" s="80" t="inlineStr">
        <is>
          <t>Process / TO DO LIST</t>
        </is>
      </c>
      <c r="C10" s="81" t="n"/>
      <c r="D10" s="81" t="n"/>
      <c r="E10" s="81" t="n"/>
      <c r="F10" s="81" t="n"/>
      <c r="G10" s="81" t="n"/>
      <c r="H10" s="81" t="n"/>
      <c r="I10" s="81" t="n"/>
      <c r="J10" s="82" t="n"/>
    </row>
    <row r="11" ht="16" customHeight="1" s="67"/>
    <row r="12" ht="16" customHeight="1" s="67">
      <c r="B12" s="80" t="inlineStr">
        <is>
          <t>TO DO LIST</t>
        </is>
      </c>
      <c r="C12" s="81" t="n"/>
      <c r="D12" s="81" t="n"/>
      <c r="E12" s="81" t="n"/>
      <c r="F12" s="82" t="n"/>
      <c r="G12" s="80" t="inlineStr">
        <is>
          <t>Comments</t>
        </is>
      </c>
      <c r="H12" s="81" t="n"/>
      <c r="I12" s="81" t="n"/>
      <c r="J12" s="82" t="n"/>
    </row>
    <row r="14" ht="19.5" customHeight="1" s="67">
      <c r="B14" s="1" t="inlineStr">
        <is>
          <t>https://fred.stlouisfed.org/series/M2REAL</t>
        </is>
      </c>
      <c r="G14" s="77" t="inlineStr">
        <is>
          <t>U.S.</t>
        </is>
      </c>
    </row>
    <row r="15" ht="16" customHeight="1" s="67" thickBot="1">
      <c r="B15" s="78" t="inlineStr">
        <is>
          <t>https://fred.stlouisfed.org/series/M1REAL</t>
        </is>
      </c>
      <c r="G15" s="76" t="inlineStr">
        <is>
          <t>U.S.</t>
        </is>
      </c>
    </row>
    <row r="16" ht="18" customHeight="1" s="67">
      <c r="B16" s="78" t="inlineStr">
        <is>
          <t>https://fred.stlouisfed.org/series/M1</t>
        </is>
      </c>
      <c r="G16" s="76" t="inlineStr">
        <is>
          <t xml:space="preserve">U.S. </t>
        </is>
      </c>
      <c r="Z16" s="43" t="inlineStr">
        <is>
          <t>DGORDER</t>
        </is>
      </c>
      <c r="AA16" s="77" t="inlineStr">
        <is>
          <t>Durable Goods New Orders</t>
        </is>
      </c>
    </row>
    <row r="17" ht="18" customHeight="1" s="67">
      <c r="B17" s="78" t="inlineStr">
        <is>
          <t>https://fred.stlouisfed.org/series/M2</t>
        </is>
      </c>
      <c r="G17" s="79" t="inlineStr">
        <is>
          <t>U.S. discontinued</t>
        </is>
      </c>
      <c r="Z17" s="44" t="inlineStr">
        <is>
          <t>ADXTNO</t>
        </is>
      </c>
      <c r="AA17" s="77" t="inlineStr">
        <is>
          <t>New Orders ex Transport</t>
        </is>
      </c>
    </row>
    <row r="18" ht="33.75" customHeight="1" s="67">
      <c r="B18" s="78" t="inlineStr">
        <is>
          <t>https://fred.stlouisfed.org/series/M2SL</t>
        </is>
      </c>
      <c r="G18" s="79" t="inlineStr">
        <is>
          <t>U.S.</t>
        </is>
      </c>
      <c r="Z18" s="45" t="inlineStr">
        <is>
          <t>NEWORDER</t>
        </is>
      </c>
      <c r="AA18" s="77" t="inlineStr">
        <is>
          <t>New Orders Nondefense Ex Aircraft &amp; Parts = Core</t>
        </is>
      </c>
    </row>
    <row r="19" ht="18" customHeight="1" s="67">
      <c r="B19" s="78" t="inlineStr">
        <is>
          <t>https://tradingeconomics.com/country-list/money-supply-m2?continent=g20</t>
        </is>
      </c>
      <c r="G19" s="79" t="inlineStr">
        <is>
          <t>Quick Country View</t>
        </is>
      </c>
      <c r="Z19" s="44" t="inlineStr">
        <is>
          <t>AMTUNO</t>
        </is>
      </c>
      <c r="AA19" s="77" t="inlineStr">
        <is>
          <t>New Orders - Manufacturing</t>
        </is>
      </c>
    </row>
    <row r="20" ht="18" customHeight="1" s="67">
      <c r="B20" s="78" t="inlineStr">
        <is>
          <t>https://data.oecd.org/money/broad-money-m3.htm</t>
        </is>
      </c>
      <c r="G20" s="77" t="inlineStr">
        <is>
          <t>Table</t>
        </is>
      </c>
      <c r="Z20" s="45" t="inlineStr">
        <is>
          <t>A36SNO</t>
        </is>
      </c>
      <c r="AA20" s="77" t="inlineStr">
        <is>
          <t>New Orders - Transportation Equipment</t>
        </is>
      </c>
    </row>
    <row r="21" ht="18" customHeight="1" s="67">
      <c r="B21" s="78" t="n"/>
      <c r="G21" s="77" t="inlineStr">
        <is>
          <t>Monthly</t>
        </is>
      </c>
      <c r="Z21" s="45" t="inlineStr">
        <is>
          <t>A32SNO</t>
        </is>
      </c>
      <c r="AA21" s="77" t="inlineStr">
        <is>
          <t>New Orders - Fabricated Metal Products</t>
        </is>
      </c>
    </row>
    <row r="22" ht="18" customHeight="1" s="67">
      <c r="B22" s="78" t="n"/>
      <c r="G22" s="77" t="inlineStr">
        <is>
          <t>from beginning</t>
        </is>
      </c>
      <c r="Z22" s="45" t="inlineStr">
        <is>
          <t>A33SNO</t>
        </is>
      </c>
      <c r="AA22" s="77" t="inlineStr">
        <is>
          <t>New Orders - Machinery</t>
        </is>
      </c>
    </row>
    <row r="23" ht="18" customHeight="1" s="67">
      <c r="B23" s="78" t="n"/>
      <c r="G23" s="77" t="inlineStr">
        <is>
          <t>download Select data only</t>
        </is>
      </c>
      <c r="Z23" s="45" t="inlineStr">
        <is>
          <t>A34SNO</t>
        </is>
      </c>
      <c r="AA23" s="77" t="inlineStr">
        <is>
          <t>New Orders - Computers</t>
        </is>
      </c>
    </row>
    <row r="24" ht="18" customHeight="1" s="67">
      <c r="B24" s="78" t="n"/>
      <c r="G24" s="79" t="inlineStr">
        <is>
          <t>Data</t>
        </is>
      </c>
      <c r="Z24" s="45" t="inlineStr">
        <is>
          <t>A31SNO</t>
        </is>
      </c>
      <c r="AA24" s="77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77" t="inlineStr">
        <is>
          <t>New Orders - Electrical Equipment</t>
        </is>
      </c>
    </row>
    <row r="35" ht="16" customHeight="1" s="67"/>
    <row r="39">
      <c r="B39" s="40" t="n"/>
    </row>
    <row r="40">
      <c r="B40" s="76" t="n"/>
    </row>
    <row r="41">
      <c r="B41" s="41" t="n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93"/>
  <sheetViews>
    <sheetView zoomScale="170" zoomScaleNormal="170" workbookViewId="0">
      <pane ySplit="1" topLeftCell="A3079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90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90" t="n">
        <v>21582</v>
      </c>
      <c r="B3" t="n">
        <v>480.7</v>
      </c>
      <c r="C3" t="n">
        <v>992.1</v>
      </c>
      <c r="E3" t="n">
        <v>287.7</v>
      </c>
    </row>
    <row r="4">
      <c r="A4" s="90" t="n">
        <v>21610</v>
      </c>
      <c r="B4" t="n">
        <v>482.2</v>
      </c>
      <c r="C4" t="n">
        <v>998.3</v>
      </c>
      <c r="E4" t="n">
        <v>289.2</v>
      </c>
    </row>
    <row r="5">
      <c r="A5" s="90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90" t="n">
        <v>21671</v>
      </c>
      <c r="B6" t="n">
        <v>484.5</v>
      </c>
      <c r="C6" t="n">
        <v>1006.2</v>
      </c>
      <c r="E6" t="n">
        <v>292.2</v>
      </c>
    </row>
    <row r="7">
      <c r="A7" s="90" t="n">
        <v>21702</v>
      </c>
      <c r="B7" t="n">
        <v>485.1</v>
      </c>
      <c r="C7" t="n">
        <v>1010.3</v>
      </c>
      <c r="E7" t="n">
        <v>294.1</v>
      </c>
    </row>
    <row r="8">
      <c r="A8" s="90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90" t="n">
        <v>21763</v>
      </c>
      <c r="B9" t="n">
        <v>486.3</v>
      </c>
      <c r="C9" t="n">
        <v>1015.8</v>
      </c>
      <c r="E9" t="n">
        <v>296.4</v>
      </c>
    </row>
    <row r="10">
      <c r="A10" s="90" t="n">
        <v>21794</v>
      </c>
      <c r="B10" t="n">
        <v>482.1</v>
      </c>
      <c r="C10" t="n">
        <v>1014.4</v>
      </c>
      <c r="E10" t="n">
        <v>296.7</v>
      </c>
    </row>
    <row r="11">
      <c r="A11" s="90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90" t="n">
        <v>21855</v>
      </c>
      <c r="B12" t="n">
        <v>478.4</v>
      </c>
      <c r="C12" t="n">
        <v>1012.3</v>
      </c>
      <c r="E12" t="n">
        <v>297.1</v>
      </c>
    </row>
    <row r="13">
      <c r="A13" s="90" t="n">
        <v>21885</v>
      </c>
      <c r="B13" t="n">
        <v>475.7</v>
      </c>
      <c r="C13" t="n">
        <v>1012.6</v>
      </c>
      <c r="E13" t="n">
        <v>297.8</v>
      </c>
    </row>
    <row r="14">
      <c r="A14" s="90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90" t="n">
        <v>21947</v>
      </c>
      <c r="B15" t="n">
        <v>475.7</v>
      </c>
      <c r="C15" t="n">
        <v>1014.6</v>
      </c>
      <c r="E15" t="n">
        <v>298.4</v>
      </c>
    </row>
    <row r="16">
      <c r="A16" s="90" t="n">
        <v>21976</v>
      </c>
      <c r="B16" t="n">
        <v>475.3</v>
      </c>
      <c r="C16" t="n">
        <v>1017.7</v>
      </c>
      <c r="E16" t="n">
        <v>299.3</v>
      </c>
    </row>
    <row r="17">
      <c r="A17" s="90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90" t="n">
        <v>22037</v>
      </c>
      <c r="B18" t="n">
        <v>472.1</v>
      </c>
      <c r="C18" t="n">
        <v>1017.6</v>
      </c>
      <c r="E18" t="n">
        <v>300.9</v>
      </c>
    </row>
    <row r="19">
      <c r="A19" s="90" t="n">
        <v>22068</v>
      </c>
      <c r="B19" t="n">
        <v>471.5</v>
      </c>
      <c r="C19" t="n">
        <v>1020.9</v>
      </c>
      <c r="E19" t="n">
        <v>302.3</v>
      </c>
    </row>
    <row r="20">
      <c r="A20" s="90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90" t="n">
        <v>22129</v>
      </c>
      <c r="B21" t="n">
        <v>477.2</v>
      </c>
      <c r="C21" t="n">
        <v>1036.5</v>
      </c>
      <c r="E21" t="n">
        <v>306.9</v>
      </c>
    </row>
    <row r="22">
      <c r="A22" s="90" t="n">
        <v>22160</v>
      </c>
      <c r="B22" t="n">
        <v>476.9</v>
      </c>
      <c r="C22" t="n">
        <v>1041.5</v>
      </c>
      <c r="E22" t="n">
        <v>308.4</v>
      </c>
    </row>
    <row r="23">
      <c r="A23" s="90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90" t="n">
        <v>22221</v>
      </c>
      <c r="B24" t="n">
        <v>473.1</v>
      </c>
      <c r="C24" t="n">
        <v>1044</v>
      </c>
      <c r="E24" t="n">
        <v>310.9</v>
      </c>
    </row>
    <row r="25">
      <c r="A25" s="90" t="n">
        <v>22251</v>
      </c>
      <c r="B25" t="n">
        <v>472</v>
      </c>
      <c r="C25" t="n">
        <v>1048</v>
      </c>
      <c r="E25" t="n">
        <v>312.4</v>
      </c>
    </row>
    <row r="26">
      <c r="A26" s="90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90" t="n">
        <v>22313</v>
      </c>
      <c r="B27" t="n">
        <v>474.5</v>
      </c>
      <c r="C27" t="n">
        <v>1060.7</v>
      </c>
      <c r="E27" t="n">
        <v>316.5</v>
      </c>
    </row>
    <row r="28">
      <c r="A28" s="90" t="n">
        <v>22341</v>
      </c>
      <c r="B28" t="n">
        <v>475.5</v>
      </c>
      <c r="C28" t="n">
        <v>1066.7</v>
      </c>
      <c r="E28" t="n">
        <v>318.3</v>
      </c>
    </row>
    <row r="29">
      <c r="A29" s="90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90" t="n">
        <v>22402</v>
      </c>
      <c r="B30" t="n">
        <v>478.2</v>
      </c>
      <c r="C30" t="n">
        <v>1079.8</v>
      </c>
      <c r="E30" t="n">
        <v>322.2</v>
      </c>
    </row>
    <row r="31">
      <c r="A31" s="90" t="n">
        <v>22433</v>
      </c>
      <c r="B31" t="n">
        <v>478.9</v>
      </c>
      <c r="C31" t="n">
        <v>1086.8</v>
      </c>
      <c r="E31" t="n">
        <v>324.3</v>
      </c>
    </row>
    <row r="32">
      <c r="A32" s="90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90" t="n">
        <v>22494</v>
      </c>
      <c r="B33" t="n">
        <v>479.3</v>
      </c>
      <c r="C33" t="n">
        <v>1094.2</v>
      </c>
      <c r="E33" t="n">
        <v>327.6</v>
      </c>
    </row>
    <row r="34">
      <c r="A34" s="90" t="n">
        <v>22525</v>
      </c>
      <c r="B34" t="n">
        <v>479.7</v>
      </c>
      <c r="C34" t="n">
        <v>1099.1</v>
      </c>
      <c r="E34" t="n">
        <v>329.5</v>
      </c>
    </row>
    <row r="35">
      <c r="A35" s="90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90" t="n">
        <v>22586</v>
      </c>
      <c r="B36" t="n">
        <v>483</v>
      </c>
      <c r="C36" t="n">
        <v>1112.1</v>
      </c>
      <c r="E36" t="n">
        <v>333.4</v>
      </c>
    </row>
    <row r="37">
      <c r="A37" s="90" t="n">
        <v>22616</v>
      </c>
      <c r="B37" t="n">
        <v>483.8</v>
      </c>
      <c r="C37" t="n">
        <v>1118</v>
      </c>
      <c r="E37" t="n">
        <v>335.5</v>
      </c>
    </row>
    <row r="38">
      <c r="A38" s="90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90" t="n">
        <v>22678</v>
      </c>
      <c r="B39" t="n">
        <v>483.9</v>
      </c>
      <c r="C39" t="n">
        <v>1129.5</v>
      </c>
      <c r="E39" t="n">
        <v>340.1</v>
      </c>
    </row>
    <row r="40">
      <c r="A40" s="90" t="n">
        <v>22706</v>
      </c>
      <c r="B40" t="n">
        <v>483.9</v>
      </c>
      <c r="C40" t="n">
        <v>1137.2</v>
      </c>
      <c r="E40" t="n">
        <v>343.1</v>
      </c>
    </row>
    <row r="41">
      <c r="A41" s="90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90" t="n">
        <v>22767</v>
      </c>
      <c r="B42" t="n">
        <v>485.4</v>
      </c>
      <c r="C42" t="n">
        <v>1149.1</v>
      </c>
      <c r="E42" t="n">
        <v>347.5</v>
      </c>
    </row>
    <row r="43">
      <c r="A43" s="90" t="n">
        <v>22798</v>
      </c>
      <c r="B43" t="n">
        <v>485.3</v>
      </c>
      <c r="C43" t="n">
        <v>1156.2</v>
      </c>
      <c r="E43" t="n">
        <v>349.3</v>
      </c>
    </row>
    <row r="44">
      <c r="A44" s="90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90" t="n">
        <v>22859</v>
      </c>
      <c r="B45" t="n">
        <v>484.1</v>
      </c>
      <c r="C45" t="n">
        <v>1165.1</v>
      </c>
      <c r="E45" t="n">
        <v>352.8</v>
      </c>
    </row>
    <row r="46">
      <c r="A46" s="90" t="n">
        <v>22890</v>
      </c>
      <c r="B46" t="n">
        <v>480.9</v>
      </c>
      <c r="C46" t="n">
        <v>1166.7</v>
      </c>
      <c r="E46" t="n">
        <v>354.9</v>
      </c>
    </row>
    <row r="47">
      <c r="A47" s="90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90" t="n">
        <v>22951</v>
      </c>
      <c r="B48" t="n">
        <v>484.9</v>
      </c>
      <c r="C48" t="n">
        <v>1184.3</v>
      </c>
      <c r="E48" t="n">
        <v>359.8</v>
      </c>
    </row>
    <row r="49">
      <c r="A49" s="90" t="n">
        <v>22981</v>
      </c>
      <c r="B49" t="n">
        <v>486.5</v>
      </c>
      <c r="C49" t="n">
        <v>1193.9</v>
      </c>
      <c r="E49" t="n">
        <v>362.7</v>
      </c>
    </row>
    <row r="50">
      <c r="A50" s="90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90" t="n">
        <v>23043</v>
      </c>
      <c r="B51" t="n">
        <v>488.5</v>
      </c>
      <c r="C51" t="n">
        <v>1207</v>
      </c>
      <c r="E51" t="n">
        <v>367.9</v>
      </c>
    </row>
    <row r="52">
      <c r="A52" s="90" t="n">
        <v>23071</v>
      </c>
      <c r="B52" t="n">
        <v>489</v>
      </c>
      <c r="C52" t="n">
        <v>1215</v>
      </c>
      <c r="E52" t="n">
        <v>370.7</v>
      </c>
    </row>
    <row r="53">
      <c r="A53" s="90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90" t="n">
        <v>23132</v>
      </c>
      <c r="B54" t="n">
        <v>493</v>
      </c>
      <c r="C54" t="n">
        <v>1232.7</v>
      </c>
      <c r="E54" t="n">
        <v>376.1</v>
      </c>
    </row>
    <row r="55">
      <c r="A55" s="90" t="n">
        <v>23163</v>
      </c>
      <c r="B55" t="n">
        <v>491.3</v>
      </c>
      <c r="C55" t="n">
        <v>1236.2</v>
      </c>
      <c r="E55" t="n">
        <v>378.4</v>
      </c>
    </row>
    <row r="56">
      <c r="A56" s="90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90" t="n">
        <v>23224</v>
      </c>
      <c r="B57" t="n">
        <v>493.7</v>
      </c>
      <c r="C57" t="n">
        <v>1247.5</v>
      </c>
      <c r="E57" t="n">
        <v>383.6</v>
      </c>
    </row>
    <row r="58">
      <c r="A58" s="90" t="n">
        <v>23255</v>
      </c>
      <c r="B58" t="n">
        <v>494.8</v>
      </c>
      <c r="C58" t="n">
        <v>1256.5</v>
      </c>
      <c r="E58" t="n">
        <v>386</v>
      </c>
    </row>
    <row r="59">
      <c r="A59" s="90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90" t="n">
        <v>23316</v>
      </c>
      <c r="B60" t="n">
        <v>499</v>
      </c>
      <c r="C60" t="n">
        <v>1271.9</v>
      </c>
      <c r="E60" t="n">
        <v>391.5</v>
      </c>
    </row>
    <row r="61">
      <c r="A61" s="90" t="n">
        <v>23346</v>
      </c>
      <c r="B61" t="n">
        <v>496.4</v>
      </c>
      <c r="C61" t="n">
        <v>1273.3</v>
      </c>
      <c r="E61" t="n">
        <v>393.2</v>
      </c>
    </row>
    <row r="62">
      <c r="A62" s="90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90" t="n">
        <v>23408</v>
      </c>
      <c r="B63" t="n">
        <v>499.2</v>
      </c>
      <c r="C63" t="n">
        <v>1286.3</v>
      </c>
      <c r="E63" t="n">
        <v>397.6</v>
      </c>
    </row>
    <row r="64">
      <c r="A64" s="90" t="n">
        <v>23437</v>
      </c>
      <c r="B64" t="n">
        <v>499.4</v>
      </c>
      <c r="C64" t="n">
        <v>1292.2</v>
      </c>
      <c r="E64" t="n">
        <v>399.8</v>
      </c>
    </row>
    <row r="65">
      <c r="A65" s="90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90" t="n">
        <v>23498</v>
      </c>
      <c r="B66" t="n">
        <v>501.3</v>
      </c>
      <c r="C66" t="n">
        <v>1304.7</v>
      </c>
      <c r="E66" t="n">
        <v>404.2</v>
      </c>
    </row>
    <row r="67">
      <c r="A67" s="90" t="n">
        <v>23529</v>
      </c>
      <c r="B67" t="n">
        <v>501.8</v>
      </c>
      <c r="C67" t="n">
        <v>1312.8</v>
      </c>
      <c r="E67" t="n">
        <v>407.1</v>
      </c>
    </row>
    <row r="68">
      <c r="A68" s="90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90" t="n">
        <v>23590</v>
      </c>
      <c r="B69" t="n">
        <v>508.2</v>
      </c>
      <c r="C69" t="n">
        <v>1331.4</v>
      </c>
      <c r="E69" t="n">
        <v>413.4</v>
      </c>
    </row>
    <row r="70">
      <c r="A70" s="90" t="n">
        <v>23621</v>
      </c>
      <c r="B70" t="n">
        <v>510.6</v>
      </c>
      <c r="C70" t="n">
        <v>1341.4</v>
      </c>
      <c r="E70" t="n">
        <v>416.9</v>
      </c>
    </row>
    <row r="71">
      <c r="A71" s="90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90" t="n">
        <v>23682</v>
      </c>
      <c r="B72" t="n">
        <v>512.7</v>
      </c>
      <c r="C72" t="n">
        <v>1352.1</v>
      </c>
      <c r="E72" t="n">
        <v>422</v>
      </c>
    </row>
    <row r="73">
      <c r="A73" s="90" t="n">
        <v>23712</v>
      </c>
      <c r="B73" t="n">
        <v>513</v>
      </c>
      <c r="C73" t="n">
        <v>1359</v>
      </c>
      <c r="E73" t="n">
        <v>424.7</v>
      </c>
    </row>
    <row r="74">
      <c r="A74" s="90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90" t="n">
        <v>23774</v>
      </c>
      <c r="B75" t="n">
        <v>514.4</v>
      </c>
      <c r="C75" t="n">
        <v>1376</v>
      </c>
      <c r="E75" t="n">
        <v>430.4</v>
      </c>
    </row>
    <row r="76">
      <c r="A76" s="90" t="n">
        <v>23802</v>
      </c>
      <c r="B76" t="n">
        <v>515.8</v>
      </c>
      <c r="C76" t="n">
        <v>1383.6</v>
      </c>
      <c r="E76" t="n">
        <v>433.2</v>
      </c>
    </row>
    <row r="77">
      <c r="A77" s="90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90" t="n">
        <v>23863</v>
      </c>
      <c r="B78" t="n">
        <v>513.7</v>
      </c>
      <c r="C78" t="n">
        <v>1388.5</v>
      </c>
      <c r="E78" t="n">
        <v>437.1</v>
      </c>
    </row>
    <row r="79">
      <c r="A79" s="90" t="n">
        <v>23894</v>
      </c>
      <c r="B79" t="n">
        <v>513.1</v>
      </c>
      <c r="C79" t="n">
        <v>1392.3</v>
      </c>
      <c r="E79" t="n">
        <v>440.1</v>
      </c>
    </row>
    <row r="80">
      <c r="A80" s="90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90" t="n">
        <v>23955</v>
      </c>
      <c r="B81" t="n">
        <v>518.9</v>
      </c>
      <c r="C81" t="n">
        <v>1413</v>
      </c>
      <c r="E81" t="n">
        <v>445.8</v>
      </c>
    </row>
    <row r="82">
      <c r="A82" s="90" t="n">
        <v>23986</v>
      </c>
      <c r="B82" t="n">
        <v>521.2</v>
      </c>
      <c r="C82" t="n">
        <v>1421.6</v>
      </c>
      <c r="E82" t="n">
        <v>449.5</v>
      </c>
    </row>
    <row r="83">
      <c r="A83" s="90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90" t="n">
        <v>24047</v>
      </c>
      <c r="B84" t="n">
        <v>525</v>
      </c>
      <c r="C84" t="n">
        <v>1435.3</v>
      </c>
      <c r="E84" t="n">
        <v>455.7</v>
      </c>
    </row>
    <row r="85">
      <c r="A85" s="90" t="n">
        <v>24077</v>
      </c>
      <c r="B85" t="n">
        <v>526.8</v>
      </c>
      <c r="C85" t="n">
        <v>1441.8</v>
      </c>
      <c r="E85" t="n">
        <v>459.2</v>
      </c>
    </row>
    <row r="86">
      <c r="A86" s="90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90" t="n">
        <v>24139</v>
      </c>
      <c r="B87" t="n">
        <v>528.7</v>
      </c>
      <c r="C87" t="n">
        <v>1448.3</v>
      </c>
      <c r="E87" t="n">
        <v>464.6</v>
      </c>
    </row>
    <row r="88">
      <c r="A88" s="90" t="n">
        <v>24167</v>
      </c>
      <c r="B88" t="n">
        <v>529.8</v>
      </c>
      <c r="C88" t="n">
        <v>1451.8</v>
      </c>
      <c r="E88" t="n">
        <v>467.2</v>
      </c>
    </row>
    <row r="89">
      <c r="A89" s="90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90" t="n">
        <v>24228</v>
      </c>
      <c r="B90" t="n">
        <v>529.5</v>
      </c>
      <c r="C90" t="n">
        <v>1453.2</v>
      </c>
      <c r="E90" t="n">
        <v>470.1</v>
      </c>
    </row>
    <row r="91">
      <c r="A91" s="90" t="n">
        <v>24259</v>
      </c>
      <c r="B91" t="n">
        <v>530</v>
      </c>
      <c r="C91" t="n">
        <v>1455.2</v>
      </c>
      <c r="E91" t="n">
        <v>471.2</v>
      </c>
    </row>
    <row r="92">
      <c r="A92" s="90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90" t="n">
        <v>24320</v>
      </c>
      <c r="B93" t="n">
        <v>523.1</v>
      </c>
      <c r="C93" t="n">
        <v>1447.5</v>
      </c>
      <c r="E93" t="n">
        <v>472.6</v>
      </c>
    </row>
    <row r="94">
      <c r="A94" s="90" t="n">
        <v>24351</v>
      </c>
      <c r="B94" t="n">
        <v>525.2</v>
      </c>
      <c r="C94" t="n">
        <v>1451.6</v>
      </c>
      <c r="E94" t="n">
        <v>475.4</v>
      </c>
    </row>
    <row r="95">
      <c r="A95" s="90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90" t="n">
        <v>24412</v>
      </c>
      <c r="B96" t="n">
        <v>521.3</v>
      </c>
      <c r="C96" t="n">
        <v>1451.6</v>
      </c>
      <c r="E96" t="n">
        <v>477.3</v>
      </c>
    </row>
    <row r="97">
      <c r="A97" s="90" t="n">
        <v>24442</v>
      </c>
      <c r="B97" t="n">
        <v>522.5</v>
      </c>
      <c r="C97" t="n">
        <v>1458.7</v>
      </c>
      <c r="E97" t="n">
        <v>480.2</v>
      </c>
    </row>
    <row r="98">
      <c r="A98" s="90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90" t="n">
        <v>24504</v>
      </c>
      <c r="B99" t="n">
        <v>524.2</v>
      </c>
      <c r="C99" t="n">
        <v>1470</v>
      </c>
      <c r="E99" t="n">
        <v>485.1</v>
      </c>
    </row>
    <row r="100">
      <c r="A100" s="90" t="n">
        <v>24532</v>
      </c>
      <c r="B100" t="n">
        <v>529.7</v>
      </c>
      <c r="C100" t="n">
        <v>1483.9</v>
      </c>
      <c r="E100" t="n">
        <v>489.7</v>
      </c>
    </row>
    <row r="101">
      <c r="A101" s="90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90" t="n">
        <v>24593</v>
      </c>
      <c r="B102" t="n">
        <v>530.8</v>
      </c>
      <c r="C102" t="n">
        <v>1502.1</v>
      </c>
      <c r="E102" t="n">
        <v>497.2</v>
      </c>
    </row>
    <row r="103">
      <c r="A103" s="90" t="n">
        <v>24624</v>
      </c>
      <c r="B103" t="n">
        <v>531.5</v>
      </c>
      <c r="C103" t="n">
        <v>1507.5</v>
      </c>
      <c r="E103" t="n">
        <v>502</v>
      </c>
    </row>
    <row r="104">
      <c r="A104" s="90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90" t="n">
        <v>24685</v>
      </c>
      <c r="B105" t="n">
        <v>536.4</v>
      </c>
      <c r="C105" t="n">
        <v>1524.8</v>
      </c>
      <c r="E105" t="n">
        <v>510.8</v>
      </c>
    </row>
    <row r="106">
      <c r="A106" s="90" t="n">
        <v>24716</v>
      </c>
      <c r="B106" t="n">
        <v>537.8</v>
      </c>
      <c r="C106" t="n">
        <v>1531.8</v>
      </c>
      <c r="E106" t="n">
        <v>514.7</v>
      </c>
    </row>
    <row r="107">
      <c r="A107" s="90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90" t="n">
        <v>24777</v>
      </c>
      <c r="B108" t="n">
        <v>538.1</v>
      </c>
      <c r="C108" t="n">
        <v>1537.5</v>
      </c>
      <c r="E108" t="n">
        <v>521.2</v>
      </c>
    </row>
    <row r="109">
      <c r="A109" s="90" t="n">
        <v>24807</v>
      </c>
      <c r="B109" t="n">
        <v>539.1</v>
      </c>
      <c r="C109" t="n">
        <v>1543.5</v>
      </c>
      <c r="E109" t="n">
        <v>524.8</v>
      </c>
    </row>
    <row r="110">
      <c r="A110" s="90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90" t="n">
        <v>24869</v>
      </c>
      <c r="B111" t="n">
        <v>540.1</v>
      </c>
      <c r="C111" t="n">
        <v>1550.9</v>
      </c>
      <c r="E111" t="n">
        <v>530.4</v>
      </c>
    </row>
    <row r="112">
      <c r="A112" s="90" t="n">
        <v>24898</v>
      </c>
      <c r="B112" t="n">
        <v>540.8</v>
      </c>
      <c r="C112" t="n">
        <v>1554.5</v>
      </c>
      <c r="E112" t="n">
        <v>533.2</v>
      </c>
    </row>
    <row r="113">
      <c r="A113" s="90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90" t="n">
        <v>24959</v>
      </c>
      <c r="B114" t="n">
        <v>544.9</v>
      </c>
      <c r="C114" t="n">
        <v>1562</v>
      </c>
      <c r="E114" t="n">
        <v>538.9</v>
      </c>
    </row>
    <row r="115">
      <c r="A115" s="90" t="n">
        <v>24990</v>
      </c>
      <c r="B115" t="n">
        <v>545.8</v>
      </c>
      <c r="C115" t="n">
        <v>1563.7</v>
      </c>
      <c r="E115" t="n">
        <v>542.6</v>
      </c>
    </row>
    <row r="116">
      <c r="A116" s="90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90" t="n">
        <v>25051</v>
      </c>
      <c r="B117" t="n">
        <v>548</v>
      </c>
      <c r="C117" t="n">
        <v>1569.7</v>
      </c>
      <c r="E117" t="n">
        <v>549.4</v>
      </c>
    </row>
    <row r="118">
      <c r="A118" s="90" t="n">
        <v>25082</v>
      </c>
      <c r="B118" t="n">
        <v>549</v>
      </c>
      <c r="C118" t="n">
        <v>1577.2</v>
      </c>
      <c r="E118" t="n">
        <v>553.6</v>
      </c>
    </row>
    <row r="119">
      <c r="A119" s="90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90" t="n">
        <v>25143</v>
      </c>
      <c r="B120" t="n">
        <v>553.7</v>
      </c>
      <c r="C120" t="n">
        <v>1588.7</v>
      </c>
      <c r="E120" t="n">
        <v>562.4</v>
      </c>
    </row>
    <row r="121">
      <c r="A121" s="90" t="n">
        <v>25173</v>
      </c>
      <c r="B121" t="n">
        <v>554.5</v>
      </c>
      <c r="C121" t="n">
        <v>1592.1</v>
      </c>
      <c r="E121" t="n">
        <v>566.8</v>
      </c>
    </row>
    <row r="122">
      <c r="A122" s="90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90" t="n">
        <v>25235</v>
      </c>
      <c r="B123" t="n">
        <v>556.7</v>
      </c>
      <c r="C123" t="n">
        <v>1597.5</v>
      </c>
      <c r="E123" t="n">
        <v>571.9</v>
      </c>
    </row>
    <row r="124">
      <c r="A124" s="90" t="n">
        <v>25263</v>
      </c>
      <c r="B124" t="n">
        <v>554</v>
      </c>
      <c r="C124" t="n">
        <v>1591.1</v>
      </c>
      <c r="E124" t="n">
        <v>574.4</v>
      </c>
    </row>
    <row r="125">
      <c r="A125" s="90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90" t="n">
        <v>25324</v>
      </c>
      <c r="B126" t="n">
        <v>551.6</v>
      </c>
      <c r="C126" t="n">
        <v>1583.8</v>
      </c>
      <c r="E126" t="n">
        <v>576.5</v>
      </c>
    </row>
    <row r="127">
      <c r="A127" s="90" t="n">
        <v>25355</v>
      </c>
      <c r="B127" t="n">
        <v>550</v>
      </c>
      <c r="C127" t="n">
        <v>1580.6</v>
      </c>
      <c r="E127" t="n">
        <v>578.5</v>
      </c>
    </row>
    <row r="128">
      <c r="A128" s="90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90" t="n">
        <v>25416</v>
      </c>
      <c r="B129" t="n">
        <v>546.6</v>
      </c>
      <c r="C129" t="n">
        <v>1572.1</v>
      </c>
      <c r="E129" t="n">
        <v>580.1</v>
      </c>
    </row>
    <row r="130">
      <c r="A130" s="90" t="n">
        <v>25447</v>
      </c>
      <c r="B130" t="n">
        <v>544.7</v>
      </c>
      <c r="C130" t="n">
        <v>1569</v>
      </c>
      <c r="E130" t="n">
        <v>582.1</v>
      </c>
    </row>
    <row r="131">
      <c r="A131" s="90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90" t="n">
        <v>25508</v>
      </c>
      <c r="B132" t="n">
        <v>542.9</v>
      </c>
      <c r="C132" t="n">
        <v>1561.1</v>
      </c>
      <c r="E132" t="n">
        <v>585.4</v>
      </c>
    </row>
    <row r="133">
      <c r="A133" s="90" t="n">
        <v>25538</v>
      </c>
      <c r="B133" t="n">
        <v>540.8</v>
      </c>
      <c r="C133" t="n">
        <v>1559.4</v>
      </c>
      <c r="E133" t="n">
        <v>587.9</v>
      </c>
    </row>
    <row r="134">
      <c r="A134" s="90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90" t="n">
        <v>25600</v>
      </c>
      <c r="B135" t="n">
        <v>538.1</v>
      </c>
      <c r="C135" t="n">
        <v>1538.8</v>
      </c>
      <c r="E135" t="n">
        <v>586.3</v>
      </c>
    </row>
    <row r="136">
      <c r="A136" s="90" t="n">
        <v>25628</v>
      </c>
      <c r="B136" t="n">
        <v>537.1</v>
      </c>
      <c r="C136" t="n">
        <v>1533.4</v>
      </c>
      <c r="E136" t="n">
        <v>587.3</v>
      </c>
    </row>
    <row r="137">
      <c r="A137" s="90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90" t="n">
        <v>25689</v>
      </c>
      <c r="B138" t="n">
        <v>536.8</v>
      </c>
      <c r="C138" t="n">
        <v>1532.4</v>
      </c>
      <c r="E138" t="n">
        <v>591.5</v>
      </c>
    </row>
    <row r="139">
      <c r="A139" s="90" t="n">
        <v>25720</v>
      </c>
      <c r="B139" t="n">
        <v>535.1</v>
      </c>
      <c r="C139" t="n">
        <v>1534</v>
      </c>
      <c r="E139" t="n">
        <v>595.2</v>
      </c>
    </row>
    <row r="140">
      <c r="A140" s="90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90" t="n">
        <v>25781</v>
      </c>
      <c r="B141" t="n">
        <v>538.2</v>
      </c>
      <c r="C141" t="n">
        <v>1551</v>
      </c>
      <c r="E141" t="n">
        <v>604.9</v>
      </c>
    </row>
    <row r="142">
      <c r="A142" s="90" t="n">
        <v>25812</v>
      </c>
      <c r="B142" t="n">
        <v>540.3</v>
      </c>
      <c r="C142" t="n">
        <v>1559.2</v>
      </c>
      <c r="E142" t="n">
        <v>611.2</v>
      </c>
    </row>
    <row r="143">
      <c r="A143" s="90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90" t="n">
        <v>25873</v>
      </c>
      <c r="B144" t="n">
        <v>539.6</v>
      </c>
      <c r="C144" t="n">
        <v>1568.4</v>
      </c>
      <c r="E144" t="n">
        <v>621.1</v>
      </c>
    </row>
    <row r="145">
      <c r="A145" s="90" t="n">
        <v>25903</v>
      </c>
      <c r="B145" t="n">
        <v>538.7</v>
      </c>
      <c r="C145" t="n">
        <v>1574.1</v>
      </c>
      <c r="E145" t="n">
        <v>626.5</v>
      </c>
    </row>
    <row r="146">
      <c r="A146" s="90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90" t="n">
        <v>25965</v>
      </c>
      <c r="B147" t="n">
        <v>544.9</v>
      </c>
      <c r="C147" t="n">
        <v>1606.5</v>
      </c>
      <c r="E147" t="n">
        <v>641</v>
      </c>
    </row>
    <row r="148">
      <c r="A148" s="90" t="n">
        <v>25993</v>
      </c>
      <c r="B148" t="n">
        <v>547</v>
      </c>
      <c r="C148" t="n">
        <v>1624.7</v>
      </c>
      <c r="E148" t="n">
        <v>649.9</v>
      </c>
    </row>
    <row r="149">
      <c r="A149" s="90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90" t="n">
        <v>26054</v>
      </c>
      <c r="B150" t="n">
        <v>550.9</v>
      </c>
      <c r="C150" t="n">
        <v>1654.3</v>
      </c>
      <c r="E150" t="n">
        <v>666.7</v>
      </c>
    </row>
    <row r="151">
      <c r="A151" s="90" t="n">
        <v>26085</v>
      </c>
      <c r="B151" t="n">
        <v>551.9</v>
      </c>
      <c r="C151" t="n">
        <v>1661.7</v>
      </c>
      <c r="E151" t="n">
        <v>673</v>
      </c>
    </row>
    <row r="152">
      <c r="A152" s="90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90" t="n">
        <v>26146</v>
      </c>
      <c r="B153" t="n">
        <v>554.3</v>
      </c>
      <c r="C153" t="n">
        <v>1684.3</v>
      </c>
      <c r="E153" t="n">
        <v>685.5</v>
      </c>
    </row>
    <row r="154">
      <c r="A154" s="90" t="n">
        <v>26177</v>
      </c>
      <c r="B154" t="n">
        <v>555.1</v>
      </c>
      <c r="C154" t="n">
        <v>1697.3</v>
      </c>
      <c r="E154" t="n">
        <v>692.5</v>
      </c>
    </row>
    <row r="155">
      <c r="A155" s="90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90" t="n">
        <v>26238</v>
      </c>
      <c r="B156" t="n">
        <v>555.6</v>
      </c>
      <c r="C156" t="n">
        <v>1718.5</v>
      </c>
      <c r="E156" t="n">
        <v>704.6</v>
      </c>
    </row>
    <row r="157">
      <c r="A157" s="90" t="n">
        <v>26268</v>
      </c>
      <c r="B157" t="n">
        <v>555.5</v>
      </c>
      <c r="C157" t="n">
        <v>1728.2</v>
      </c>
      <c r="E157" t="n">
        <v>710.3</v>
      </c>
    </row>
    <row r="158">
      <c r="A158" s="90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90" t="n">
        <v>26330</v>
      </c>
      <c r="B159" t="n">
        <v>561.1</v>
      </c>
      <c r="C159" t="n">
        <v>1752.9</v>
      </c>
      <c r="E159" t="n">
        <v>725.7</v>
      </c>
    </row>
    <row r="160">
      <c r="A160" s="90" t="n">
        <v>26359</v>
      </c>
      <c r="B160" t="n">
        <v>565.9</v>
      </c>
      <c r="C160" t="n">
        <v>1771.7</v>
      </c>
      <c r="E160" t="n">
        <v>733.5</v>
      </c>
    </row>
    <row r="161">
      <c r="A161" s="90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90" t="n">
        <v>26420</v>
      </c>
      <c r="B162" t="n">
        <v>567.1</v>
      </c>
      <c r="C162" t="n">
        <v>1786.8</v>
      </c>
      <c r="E162" t="n">
        <v>743.3</v>
      </c>
    </row>
    <row r="163">
      <c r="A163" s="90" t="n">
        <v>26451</v>
      </c>
      <c r="B163" t="n">
        <v>567.4</v>
      </c>
      <c r="C163" t="n">
        <v>1797.8</v>
      </c>
      <c r="E163" t="n">
        <v>749.7</v>
      </c>
    </row>
    <row r="164">
      <c r="A164" s="90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90" t="n">
        <v>26512</v>
      </c>
      <c r="B165" t="n">
        <v>574.9</v>
      </c>
      <c r="C165" t="n">
        <v>1834.6</v>
      </c>
      <c r="E165" t="n">
        <v>768.7</v>
      </c>
    </row>
    <row r="166">
      <c r="A166" s="90" t="n">
        <v>26543</v>
      </c>
      <c r="B166" t="n">
        <v>577.7</v>
      </c>
      <c r="C166" t="n">
        <v>1848.7</v>
      </c>
      <c r="E166" t="n">
        <v>778.3</v>
      </c>
    </row>
    <row r="167">
      <c r="A167" s="90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90" t="n">
        <v>26604</v>
      </c>
      <c r="B168" t="n">
        <v>581.1</v>
      </c>
      <c r="C168" t="n">
        <v>1872.4</v>
      </c>
      <c r="E168" t="n">
        <v>793.9</v>
      </c>
    </row>
    <row r="169">
      <c r="A169" s="90" t="n">
        <v>26634</v>
      </c>
      <c r="B169" t="n">
        <v>586.4</v>
      </c>
      <c r="C169" t="n">
        <v>1887.8</v>
      </c>
      <c r="E169" t="n">
        <v>802.3</v>
      </c>
    </row>
    <row r="170">
      <c r="A170" s="90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90" t="n">
        <v>26696</v>
      </c>
      <c r="B171" t="n">
        <v>586.5</v>
      </c>
      <c r="C171" t="n">
        <v>1893.3</v>
      </c>
      <c r="E171" t="n">
        <v>814.1</v>
      </c>
    </row>
    <row r="172">
      <c r="A172" s="90" t="n">
        <v>26724</v>
      </c>
      <c r="B172" t="n">
        <v>580</v>
      </c>
      <c r="C172" t="n">
        <v>1878.6</v>
      </c>
      <c r="E172" t="n">
        <v>815.3</v>
      </c>
    </row>
    <row r="173">
      <c r="A173" s="90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90" t="n">
        <v>26785</v>
      </c>
      <c r="B174" t="n">
        <v>580.6</v>
      </c>
      <c r="C174" t="n">
        <v>1883.4</v>
      </c>
      <c r="E174" t="n">
        <v>826.8</v>
      </c>
    </row>
    <row r="175">
      <c r="A175" s="90" t="n">
        <v>26816</v>
      </c>
      <c r="B175" t="n">
        <v>580.8</v>
      </c>
      <c r="C175" t="n">
        <v>1885.3</v>
      </c>
      <c r="E175" t="n">
        <v>833.3</v>
      </c>
    </row>
    <row r="176">
      <c r="A176" s="90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90" t="n">
        <v>26877</v>
      </c>
      <c r="B177" t="n">
        <v>572.7</v>
      </c>
      <c r="C177" t="n">
        <v>1864</v>
      </c>
      <c r="E177" t="n">
        <v>838.8</v>
      </c>
    </row>
    <row r="178">
      <c r="A178" s="90" t="n">
        <v>26908</v>
      </c>
      <c r="B178" t="n">
        <v>570.6</v>
      </c>
      <c r="C178" t="n">
        <v>1856.9</v>
      </c>
      <c r="E178" t="n">
        <v>839.3</v>
      </c>
    </row>
    <row r="179">
      <c r="A179" s="90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90" t="n">
        <v>26969</v>
      </c>
      <c r="B180" t="n">
        <v>568.6</v>
      </c>
      <c r="C180" t="n">
        <v>1849.5</v>
      </c>
      <c r="E180" t="n">
        <v>848.9</v>
      </c>
    </row>
    <row r="181">
      <c r="A181" s="90" t="n">
        <v>26999</v>
      </c>
      <c r="B181" t="n">
        <v>567.8</v>
      </c>
      <c r="C181" t="n">
        <v>1847.7</v>
      </c>
      <c r="E181" t="n">
        <v>855.5</v>
      </c>
    </row>
    <row r="182">
      <c r="A182" s="90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90" t="n">
        <v>27061</v>
      </c>
      <c r="B183" t="n">
        <v>560.9</v>
      </c>
      <c r="C183" t="n">
        <v>1827.1</v>
      </c>
      <c r="E183" t="n">
        <v>864.2</v>
      </c>
    </row>
    <row r="184">
      <c r="A184" s="90" t="n">
        <v>27089</v>
      </c>
      <c r="B184" t="n">
        <v>557.9</v>
      </c>
      <c r="C184" t="n">
        <v>1820.3</v>
      </c>
      <c r="E184" t="n">
        <v>870.1</v>
      </c>
    </row>
    <row r="185">
      <c r="A185" s="90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90" t="n">
        <v>27150</v>
      </c>
      <c r="B186" t="n">
        <v>550.6</v>
      </c>
      <c r="C186" t="n">
        <v>1799.6</v>
      </c>
      <c r="E186" t="n">
        <v>874.6</v>
      </c>
    </row>
    <row r="187">
      <c r="A187" s="90" t="n">
        <v>27181</v>
      </c>
      <c r="B187" t="n">
        <v>548</v>
      </c>
      <c r="C187" t="n">
        <v>1791.4</v>
      </c>
      <c r="E187" t="n">
        <v>877.8</v>
      </c>
    </row>
    <row r="188">
      <c r="A188" s="90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90" t="n">
        <v>27242</v>
      </c>
      <c r="B189" t="n">
        <v>541.3</v>
      </c>
      <c r="C189" t="n">
        <v>1771.7</v>
      </c>
      <c r="E189" t="n">
        <v>884.1</v>
      </c>
    </row>
    <row r="190">
      <c r="A190" s="90" t="n">
        <v>27273</v>
      </c>
      <c r="B190" t="n">
        <v>535.6</v>
      </c>
      <c r="C190" t="n">
        <v>1754.7</v>
      </c>
      <c r="E190" t="n">
        <v>887.9</v>
      </c>
    </row>
    <row r="191">
      <c r="A191" s="90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90" t="n">
        <v>27334</v>
      </c>
      <c r="B192" t="n">
        <v>531.5</v>
      </c>
      <c r="C192" t="n">
        <v>1744.9</v>
      </c>
      <c r="E192" t="n">
        <v>898.6</v>
      </c>
    </row>
    <row r="193">
      <c r="A193" s="90" t="n">
        <v>27364</v>
      </c>
      <c r="B193" t="n">
        <v>528.3</v>
      </c>
      <c r="C193" t="n">
        <v>1738.2</v>
      </c>
      <c r="E193" t="n">
        <v>902.1</v>
      </c>
    </row>
    <row r="194">
      <c r="A194" s="90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90" t="n">
        <v>27400</v>
      </c>
      <c r="D195" t="n">
        <v>273.4</v>
      </c>
    </row>
    <row r="196">
      <c r="A196" s="90" t="n">
        <v>27407</v>
      </c>
      <c r="D196" t="n">
        <v>273.7</v>
      </c>
    </row>
    <row r="197">
      <c r="A197" s="90" t="n">
        <v>27414</v>
      </c>
      <c r="D197" t="n">
        <v>273.8</v>
      </c>
    </row>
    <row r="198">
      <c r="A198" s="90" t="n">
        <v>27421</v>
      </c>
      <c r="D198" t="n">
        <v>273.7</v>
      </c>
    </row>
    <row r="199">
      <c r="A199" s="90" t="n">
        <v>27426</v>
      </c>
      <c r="B199" t="n">
        <v>522.8</v>
      </c>
      <c r="C199" t="n">
        <v>1737.8</v>
      </c>
      <c r="E199" t="n">
        <v>914.1</v>
      </c>
    </row>
    <row r="200">
      <c r="A200" s="90" t="n">
        <v>27428</v>
      </c>
      <c r="D200" t="n">
        <v>275.2</v>
      </c>
    </row>
    <row r="201">
      <c r="A201" s="90" t="n">
        <v>27435</v>
      </c>
      <c r="D201" t="n">
        <v>274.5</v>
      </c>
    </row>
    <row r="202">
      <c r="A202" s="90" t="n">
        <v>27442</v>
      </c>
      <c r="D202" t="n">
        <v>274.6</v>
      </c>
    </row>
    <row r="203">
      <c r="A203" s="90" t="n">
        <v>27449</v>
      </c>
      <c r="D203" t="n">
        <v>274.2</v>
      </c>
    </row>
    <row r="204">
      <c r="A204" s="90" t="n">
        <v>27454</v>
      </c>
      <c r="B204" t="n">
        <v>523.5</v>
      </c>
      <c r="C204" t="n">
        <v>1751.9</v>
      </c>
      <c r="E204" t="n">
        <v>925</v>
      </c>
    </row>
    <row r="205">
      <c r="A205" s="90" t="n">
        <v>27456</v>
      </c>
      <c r="D205" t="n">
        <v>275.4</v>
      </c>
    </row>
    <row r="206">
      <c r="A206" s="90" t="n">
        <v>27463</v>
      </c>
      <c r="D206" t="n">
        <v>276.9</v>
      </c>
    </row>
    <row r="207">
      <c r="A207" s="90" t="n">
        <v>27470</v>
      </c>
      <c r="D207" t="n">
        <v>276.3</v>
      </c>
    </row>
    <row r="208">
      <c r="A208" s="90" t="n">
        <v>27477</v>
      </c>
      <c r="D208" t="n">
        <v>277.6</v>
      </c>
    </row>
    <row r="209">
      <c r="A209" s="90" t="n">
        <v>27484</v>
      </c>
      <c r="D209" t="n">
        <v>273.4</v>
      </c>
    </row>
    <row r="210">
      <c r="A210" s="90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90" t="n">
        <v>27491</v>
      </c>
      <c r="D211" t="n">
        <v>275.2</v>
      </c>
    </row>
    <row r="212">
      <c r="A212" s="90" t="n">
        <v>27498</v>
      </c>
      <c r="D212" t="n">
        <v>276.1</v>
      </c>
    </row>
    <row r="213">
      <c r="A213" s="90" t="n">
        <v>27505</v>
      </c>
      <c r="D213" t="n">
        <v>276.7</v>
      </c>
    </row>
    <row r="214">
      <c r="A214" s="90" t="n">
        <v>27512</v>
      </c>
      <c r="D214" t="n">
        <v>276.8</v>
      </c>
    </row>
    <row r="215">
      <c r="A215" s="90" t="n">
        <v>27515</v>
      </c>
      <c r="B215" t="n">
        <v>525.8</v>
      </c>
      <c r="C215" t="n">
        <v>1785.1</v>
      </c>
      <c r="E215" t="n">
        <v>947.9</v>
      </c>
    </row>
    <row r="216">
      <c r="A216" s="90" t="n">
        <v>27519</v>
      </c>
      <c r="D216" t="n">
        <v>277.4</v>
      </c>
    </row>
    <row r="217">
      <c r="A217" s="90" t="n">
        <v>27526</v>
      </c>
      <c r="D217" t="n">
        <v>278.1</v>
      </c>
    </row>
    <row r="218">
      <c r="A218" s="90" t="n">
        <v>27533</v>
      </c>
      <c r="D218" t="n">
        <v>279.3</v>
      </c>
    </row>
    <row r="219">
      <c r="A219" s="90" t="n">
        <v>27540</v>
      </c>
      <c r="D219" t="n">
        <v>280.4</v>
      </c>
    </row>
    <row r="220">
      <c r="A220" s="90" t="n">
        <v>27546</v>
      </c>
      <c r="B220" t="n">
        <v>527.9</v>
      </c>
      <c r="C220" t="n">
        <v>1800</v>
      </c>
      <c r="E220" t="n">
        <v>963</v>
      </c>
    </row>
    <row r="221">
      <c r="A221" s="90" t="n">
        <v>27547</v>
      </c>
      <c r="D221" t="n">
        <v>280.7</v>
      </c>
    </row>
    <row r="222">
      <c r="A222" s="90" t="n">
        <v>27554</v>
      </c>
      <c r="D222" t="n">
        <v>281.5</v>
      </c>
    </row>
    <row r="223">
      <c r="A223" s="90" t="n">
        <v>27561</v>
      </c>
      <c r="D223" t="n">
        <v>282.2</v>
      </c>
    </row>
    <row r="224">
      <c r="A224" s="90" t="n">
        <v>27568</v>
      </c>
      <c r="D224" t="n">
        <v>283.2</v>
      </c>
    </row>
    <row r="225">
      <c r="A225" s="90" t="n">
        <v>27575</v>
      </c>
      <c r="D225" t="n">
        <v>283.3</v>
      </c>
    </row>
    <row r="226">
      <c r="A226" s="90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90" t="n">
        <v>27582</v>
      </c>
      <c r="D227" t="n">
        <v>283.3</v>
      </c>
    </row>
    <row r="228">
      <c r="A228" s="90" t="n">
        <v>27589</v>
      </c>
      <c r="D228" t="n">
        <v>283.7</v>
      </c>
    </row>
    <row r="229">
      <c r="A229" s="90" t="n">
        <v>27596</v>
      </c>
      <c r="D229" t="n">
        <v>283.9</v>
      </c>
    </row>
    <row r="230">
      <c r="A230" s="90" t="n">
        <v>27603</v>
      </c>
      <c r="D230" t="n">
        <v>283.7</v>
      </c>
    </row>
    <row r="231">
      <c r="A231" s="90" t="n">
        <v>27607</v>
      </c>
      <c r="B231" t="n">
        <v>524.2</v>
      </c>
      <c r="C231" t="n">
        <v>1813.8</v>
      </c>
      <c r="E231" t="n">
        <v>983.1</v>
      </c>
    </row>
    <row r="232">
      <c r="A232" s="90" t="n">
        <v>27610</v>
      </c>
      <c r="D232" t="n">
        <v>283.7</v>
      </c>
    </row>
    <row r="233">
      <c r="A233" s="90" t="n">
        <v>27617</v>
      </c>
      <c r="D233" t="n">
        <v>283.1</v>
      </c>
    </row>
    <row r="234">
      <c r="A234" s="90" t="n">
        <v>27624</v>
      </c>
      <c r="D234" t="n">
        <v>283.5</v>
      </c>
    </row>
    <row r="235">
      <c r="A235" s="90" t="n">
        <v>27631</v>
      </c>
      <c r="D235" t="n">
        <v>284.7</v>
      </c>
    </row>
    <row r="236">
      <c r="A236" s="90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90" t="n">
        <v>27645</v>
      </c>
      <c r="D237" t="n">
        <v>285.6</v>
      </c>
    </row>
    <row r="238">
      <c r="A238" s="90" t="n">
        <v>27652</v>
      </c>
      <c r="D238" t="n">
        <v>285.3</v>
      </c>
    </row>
    <row r="239">
      <c r="A239" s="90" t="n">
        <v>27659</v>
      </c>
      <c r="D239" t="n">
        <v>285.8</v>
      </c>
    </row>
    <row r="240">
      <c r="A240" s="90" t="n">
        <v>27666</v>
      </c>
      <c r="D240" t="n">
        <v>286.1</v>
      </c>
    </row>
    <row r="241">
      <c r="A241" s="90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90" t="n">
        <v>27673</v>
      </c>
      <c r="D242" t="n">
        <v>284.5</v>
      </c>
    </row>
    <row r="243">
      <c r="A243" s="90" t="n">
        <v>27680</v>
      </c>
      <c r="D243" t="n">
        <v>285.5</v>
      </c>
    </row>
    <row r="244">
      <c r="A244" s="90" t="n">
        <v>27687</v>
      </c>
      <c r="D244" t="n">
        <v>286.2</v>
      </c>
    </row>
    <row r="245">
      <c r="A245" s="90" t="n">
        <v>27694</v>
      </c>
      <c r="D245" t="n">
        <v>284.9</v>
      </c>
    </row>
    <row r="246">
      <c r="A246" s="90" t="n">
        <v>27699</v>
      </c>
      <c r="B246" t="n">
        <v>518.6</v>
      </c>
      <c r="C246" t="n">
        <v>1820.8</v>
      </c>
      <c r="E246" t="n">
        <v>1006.9</v>
      </c>
    </row>
    <row r="247">
      <c r="A247" s="90" t="n">
        <v>27701</v>
      </c>
      <c r="D247" t="n">
        <v>285.9</v>
      </c>
    </row>
    <row r="248">
      <c r="A248" s="90" t="n">
        <v>27708</v>
      </c>
      <c r="D248" t="n">
        <v>286.8</v>
      </c>
    </row>
    <row r="249">
      <c r="A249" s="90" t="n">
        <v>27715</v>
      </c>
      <c r="D249" t="n">
        <v>286.3</v>
      </c>
    </row>
    <row r="250">
      <c r="A250" s="90" t="n">
        <v>27722</v>
      </c>
      <c r="D250" t="n">
        <v>287.5</v>
      </c>
    </row>
    <row r="251">
      <c r="A251" s="90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90" t="n">
        <v>27736</v>
      </c>
      <c r="D252" t="n">
        <v>286.8</v>
      </c>
    </row>
    <row r="253">
      <c r="A253" s="90" t="n">
        <v>27743</v>
      </c>
      <c r="D253" t="n">
        <v>287.1</v>
      </c>
    </row>
    <row r="254">
      <c r="A254" s="90" t="n">
        <v>27750</v>
      </c>
      <c r="D254" t="n">
        <v>287.4</v>
      </c>
    </row>
    <row r="255">
      <c r="A255" s="90" t="n">
        <v>27757</v>
      </c>
      <c r="D255" t="n">
        <v>287.2</v>
      </c>
    </row>
    <row r="256">
      <c r="A256" s="90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90" t="n">
        <v>27764</v>
      </c>
      <c r="D257" t="n">
        <v>287.3</v>
      </c>
    </row>
    <row r="258">
      <c r="A258" s="90" t="n">
        <v>27771</v>
      </c>
      <c r="D258" t="n">
        <v>287.9</v>
      </c>
    </row>
    <row r="259">
      <c r="A259" s="90" t="n">
        <v>27778</v>
      </c>
      <c r="D259" t="n">
        <v>288.4</v>
      </c>
    </row>
    <row r="260">
      <c r="A260" s="90" t="n">
        <v>27785</v>
      </c>
      <c r="D260" t="n">
        <v>289.1</v>
      </c>
    </row>
    <row r="261">
      <c r="A261" s="90" t="n">
        <v>27791</v>
      </c>
      <c r="B261" t="n">
        <v>520.2</v>
      </c>
      <c r="C261" t="n">
        <v>1861</v>
      </c>
      <c r="E261" t="n">
        <v>1040.3</v>
      </c>
    </row>
    <row r="262">
      <c r="A262" s="90" t="n">
        <v>27792</v>
      </c>
      <c r="D262" t="n">
        <v>290.2</v>
      </c>
    </row>
    <row r="263">
      <c r="A263" s="90" t="n">
        <v>27799</v>
      </c>
      <c r="D263" t="n">
        <v>290.3</v>
      </c>
    </row>
    <row r="264">
      <c r="A264" s="90" t="n">
        <v>27806</v>
      </c>
      <c r="D264" t="n">
        <v>291.2</v>
      </c>
    </row>
    <row r="265">
      <c r="A265" s="90" t="n">
        <v>27813</v>
      </c>
      <c r="D265" t="n">
        <v>290.7</v>
      </c>
    </row>
    <row r="266">
      <c r="A266" s="90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90" t="n">
        <v>27827</v>
      </c>
      <c r="D267" t="n">
        <v>291.1</v>
      </c>
    </row>
    <row r="268">
      <c r="A268" s="90" t="n">
        <v>27834</v>
      </c>
      <c r="D268" t="n">
        <v>292.8</v>
      </c>
    </row>
    <row r="269">
      <c r="A269" s="90" t="n">
        <v>27841</v>
      </c>
      <c r="D269" t="n">
        <v>292.8</v>
      </c>
    </row>
    <row r="270">
      <c r="A270" s="90" t="n">
        <v>27848</v>
      </c>
      <c r="D270" t="n">
        <v>294.2</v>
      </c>
    </row>
    <row r="271">
      <c r="A271" s="90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90" t="n">
        <v>27855</v>
      </c>
      <c r="D272" t="n">
        <v>293</v>
      </c>
    </row>
    <row r="273">
      <c r="A273" s="90" t="n">
        <v>27862</v>
      </c>
      <c r="D273" t="n">
        <v>294.5</v>
      </c>
    </row>
    <row r="274">
      <c r="A274" s="90" t="n">
        <v>27869</v>
      </c>
      <c r="D274" t="n">
        <v>294.9</v>
      </c>
    </row>
    <row r="275">
      <c r="A275" s="90" t="n">
        <v>27876</v>
      </c>
      <c r="D275" t="n">
        <v>295.4</v>
      </c>
    </row>
    <row r="276">
      <c r="A276" s="90" t="n">
        <v>27881</v>
      </c>
      <c r="B276" t="n">
        <v>524.6</v>
      </c>
      <c r="C276" t="n">
        <v>1900.9</v>
      </c>
      <c r="E276" t="n">
        <v>1072.1</v>
      </c>
    </row>
    <row r="277">
      <c r="A277" s="90" t="n">
        <v>27883</v>
      </c>
      <c r="D277" t="n">
        <v>294.9</v>
      </c>
    </row>
    <row r="278">
      <c r="A278" s="90" t="n">
        <v>27890</v>
      </c>
      <c r="D278" t="n">
        <v>296.3</v>
      </c>
    </row>
    <row r="279">
      <c r="A279" s="90" t="n">
        <v>27897</v>
      </c>
      <c r="D279" t="n">
        <v>295.3</v>
      </c>
    </row>
    <row r="280">
      <c r="A280" s="90" t="n">
        <v>27904</v>
      </c>
      <c r="D280" t="n">
        <v>295.5</v>
      </c>
    </row>
    <row r="281">
      <c r="A281" s="90" t="n">
        <v>27911</v>
      </c>
      <c r="D281" t="n">
        <v>296.4</v>
      </c>
    </row>
    <row r="282">
      <c r="A282" s="90" t="n">
        <v>27912</v>
      </c>
      <c r="B282" t="n">
        <v>522.4</v>
      </c>
      <c r="C282" t="n">
        <v>1900.5</v>
      </c>
      <c r="E282" t="n">
        <v>1077.6</v>
      </c>
    </row>
    <row r="283">
      <c r="A283" s="90" t="n">
        <v>27918</v>
      </c>
      <c r="D283" t="n">
        <v>295.5</v>
      </c>
    </row>
    <row r="284">
      <c r="A284" s="90" t="n">
        <v>27925</v>
      </c>
      <c r="D284" t="n">
        <v>296.7</v>
      </c>
    </row>
    <row r="285">
      <c r="A285" s="90" t="n">
        <v>27932</v>
      </c>
      <c r="D285" t="n">
        <v>296.1</v>
      </c>
    </row>
    <row r="286">
      <c r="A286" s="90" t="n">
        <v>27939</v>
      </c>
      <c r="D286" t="n">
        <v>296.1</v>
      </c>
    </row>
    <row r="287">
      <c r="A287" s="90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90" t="n">
        <v>27946</v>
      </c>
      <c r="D288" t="n">
        <v>296.1</v>
      </c>
    </row>
    <row r="289">
      <c r="A289" s="90" t="n">
        <v>27953</v>
      </c>
      <c r="D289" t="n">
        <v>296.6</v>
      </c>
    </row>
    <row r="290">
      <c r="A290" s="90" t="n">
        <v>27960</v>
      </c>
      <c r="D290" t="n">
        <v>297.2</v>
      </c>
    </row>
    <row r="291">
      <c r="A291" s="90" t="n">
        <v>27967</v>
      </c>
      <c r="D291" t="n">
        <v>297.5</v>
      </c>
    </row>
    <row r="292">
      <c r="A292" s="90" t="n">
        <v>27973</v>
      </c>
      <c r="B292" t="n">
        <v>521.8</v>
      </c>
      <c r="C292" t="n">
        <v>1917.5</v>
      </c>
      <c r="E292" t="n">
        <v>1098.7</v>
      </c>
    </row>
    <row r="293">
      <c r="A293" s="90" t="n">
        <v>27974</v>
      </c>
      <c r="D293" t="n">
        <v>297.7</v>
      </c>
    </row>
    <row r="294">
      <c r="A294" s="90" t="n">
        <v>27981</v>
      </c>
      <c r="D294" t="n">
        <v>298.5</v>
      </c>
    </row>
    <row r="295">
      <c r="A295" s="90" t="n">
        <v>27988</v>
      </c>
      <c r="D295" t="n">
        <v>299.6</v>
      </c>
    </row>
    <row r="296">
      <c r="A296" s="90" t="n">
        <v>27995</v>
      </c>
      <c r="D296" t="n">
        <v>299</v>
      </c>
    </row>
    <row r="297">
      <c r="A297" s="90" t="n">
        <v>28002</v>
      </c>
      <c r="D297" t="n">
        <v>299</v>
      </c>
    </row>
    <row r="298">
      <c r="A298" s="90" t="n">
        <v>28004</v>
      </c>
      <c r="B298" t="n">
        <v>520.1</v>
      </c>
      <c r="C298" t="n">
        <v>1928.5</v>
      </c>
      <c r="E298" t="n">
        <v>1110.8</v>
      </c>
    </row>
    <row r="299">
      <c r="A299" s="90" t="n">
        <v>28009</v>
      </c>
      <c r="D299" t="n">
        <v>298.2</v>
      </c>
    </row>
    <row r="300">
      <c r="A300" s="90" t="n">
        <v>28016</v>
      </c>
      <c r="D300" t="n">
        <v>299.7</v>
      </c>
    </row>
    <row r="301">
      <c r="A301" s="90" t="n">
        <v>28023</v>
      </c>
      <c r="D301" t="n">
        <v>300.1</v>
      </c>
    </row>
    <row r="302">
      <c r="A302" s="90" t="n">
        <v>28030</v>
      </c>
      <c r="D302" t="n">
        <v>299.3</v>
      </c>
    </row>
    <row r="303">
      <c r="A303" s="90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90" t="n">
        <v>28037</v>
      </c>
      <c r="D304" t="n">
        <v>300.7</v>
      </c>
    </row>
    <row r="305">
      <c r="A305" s="90" t="n">
        <v>28044</v>
      </c>
      <c r="D305" t="n">
        <v>302.1</v>
      </c>
    </row>
    <row r="306">
      <c r="A306" s="90" t="n">
        <v>28051</v>
      </c>
      <c r="D306" t="n">
        <v>300.1</v>
      </c>
    </row>
    <row r="307">
      <c r="A307" s="90" t="n">
        <v>28058</v>
      </c>
      <c r="D307" t="n">
        <v>302.7</v>
      </c>
    </row>
    <row r="308">
      <c r="A308" s="90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90" t="n">
        <v>28072</v>
      </c>
      <c r="D309" t="n">
        <v>302.2</v>
      </c>
    </row>
    <row r="310">
      <c r="A310" s="90" t="n">
        <v>28079</v>
      </c>
      <c r="D310" t="n">
        <v>304.3</v>
      </c>
    </row>
    <row r="311">
      <c r="A311" s="90" t="n">
        <v>28086</v>
      </c>
      <c r="D311" t="n">
        <v>303.8</v>
      </c>
    </row>
    <row r="312">
      <c r="A312" s="90" t="n">
        <v>28093</v>
      </c>
      <c r="D312" t="n">
        <v>303.6</v>
      </c>
    </row>
    <row r="313">
      <c r="A313" s="90" t="n">
        <v>28095</v>
      </c>
      <c r="B313" t="n">
        <v>524.3</v>
      </c>
      <c r="C313" t="n">
        <v>1972.6</v>
      </c>
      <c r="E313" t="n">
        <v>1152</v>
      </c>
    </row>
    <row r="314">
      <c r="A314" s="90" t="n">
        <v>28100</v>
      </c>
      <c r="D314" t="n">
        <v>305.3</v>
      </c>
    </row>
    <row r="315">
      <c r="A315" s="90" t="n">
        <v>28107</v>
      </c>
      <c r="D315" t="n">
        <v>305.8</v>
      </c>
    </row>
    <row r="316">
      <c r="A316" s="90" t="n">
        <v>28114</v>
      </c>
      <c r="D316" t="n">
        <v>306.4</v>
      </c>
    </row>
    <row r="317">
      <c r="A317" s="90" t="n">
        <v>28121</v>
      </c>
      <c r="D317" t="n">
        <v>306.6</v>
      </c>
    </row>
    <row r="318">
      <c r="A318" s="90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90" t="n">
        <v>28128</v>
      </c>
      <c r="D319" t="n">
        <v>306.9</v>
      </c>
    </row>
    <row r="320">
      <c r="A320" s="90" t="n">
        <v>28135</v>
      </c>
      <c r="D320" t="n">
        <v>307.7</v>
      </c>
    </row>
    <row r="321">
      <c r="A321" s="90" t="n">
        <v>28142</v>
      </c>
      <c r="D321" t="n">
        <v>308</v>
      </c>
    </row>
    <row r="322">
      <c r="A322" s="90" t="n">
        <v>28149</v>
      </c>
      <c r="D322" t="n">
        <v>308.9</v>
      </c>
    </row>
    <row r="323">
      <c r="A323" s="90" t="n">
        <v>28156</v>
      </c>
      <c r="D323" t="n">
        <v>309.5</v>
      </c>
    </row>
    <row r="324">
      <c r="A324" s="90" t="n">
        <v>28157</v>
      </c>
      <c r="B324" t="n">
        <v>525.3</v>
      </c>
      <c r="C324" t="n">
        <v>1985.8</v>
      </c>
      <c r="E324" t="n">
        <v>1177.6</v>
      </c>
    </row>
    <row r="325">
      <c r="A325" s="90" t="n">
        <v>28163</v>
      </c>
      <c r="D325" t="n">
        <v>310.3</v>
      </c>
    </row>
    <row r="326">
      <c r="A326" s="90" t="n">
        <v>28170</v>
      </c>
      <c r="D326" t="n">
        <v>311.3</v>
      </c>
    </row>
    <row r="327">
      <c r="A327" s="90" t="n">
        <v>28177</v>
      </c>
      <c r="D327" t="n">
        <v>311.7</v>
      </c>
    </row>
    <row r="328">
      <c r="A328" s="90" t="n">
        <v>28184</v>
      </c>
      <c r="D328" t="n">
        <v>312.3</v>
      </c>
    </row>
    <row r="329">
      <c r="A329" s="90" t="n">
        <v>28185</v>
      </c>
      <c r="B329" t="n">
        <v>526.7</v>
      </c>
      <c r="C329" t="n">
        <v>1994.1</v>
      </c>
      <c r="E329" t="n">
        <v>1188.5</v>
      </c>
    </row>
    <row r="330">
      <c r="A330" s="90" t="n">
        <v>28191</v>
      </c>
      <c r="D330" t="n">
        <v>312.7</v>
      </c>
    </row>
    <row r="331">
      <c r="A331" s="90" t="n">
        <v>28198</v>
      </c>
      <c r="D331" t="n">
        <v>313.8</v>
      </c>
    </row>
    <row r="332">
      <c r="A332" s="90" t="n">
        <v>28205</v>
      </c>
      <c r="D332" t="n">
        <v>314.5</v>
      </c>
    </row>
    <row r="333">
      <c r="A333" s="90" t="n">
        <v>28212</v>
      </c>
      <c r="D333" t="n">
        <v>313.9</v>
      </c>
    </row>
    <row r="334">
      <c r="A334" s="90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90" t="n">
        <v>28219</v>
      </c>
      <c r="D335" t="n">
        <v>315.6</v>
      </c>
    </row>
    <row r="336">
      <c r="A336" s="90" t="n">
        <v>28226</v>
      </c>
      <c r="D336" t="n">
        <v>315.8</v>
      </c>
    </row>
    <row r="337">
      <c r="A337" s="90" t="n">
        <v>28233</v>
      </c>
      <c r="D337" t="n">
        <v>315.7</v>
      </c>
    </row>
    <row r="338">
      <c r="A338" s="90" t="n">
        <v>28240</v>
      </c>
      <c r="D338" t="n">
        <v>316.1</v>
      </c>
    </row>
    <row r="339">
      <c r="A339" s="90" t="n">
        <v>28246</v>
      </c>
      <c r="B339" t="n">
        <v>526.9</v>
      </c>
      <c r="C339" t="n">
        <v>2008.3</v>
      </c>
      <c r="E339" t="n">
        <v>1209</v>
      </c>
    </row>
    <row r="340">
      <c r="A340" s="90" t="n">
        <v>28247</v>
      </c>
      <c r="D340" t="n">
        <v>316.6</v>
      </c>
    </row>
    <row r="341">
      <c r="A341" s="90" t="n">
        <v>28254</v>
      </c>
      <c r="D341" t="n">
        <v>316.7</v>
      </c>
    </row>
    <row r="342">
      <c r="A342" s="90" t="n">
        <v>28261</v>
      </c>
      <c r="D342" t="n">
        <v>317.6</v>
      </c>
    </row>
    <row r="343">
      <c r="A343" s="90" t="n">
        <v>28268</v>
      </c>
      <c r="D343" t="n">
        <v>317.4</v>
      </c>
    </row>
    <row r="344">
      <c r="A344" s="90" t="n">
        <v>28275</v>
      </c>
      <c r="D344" t="n">
        <v>316.8</v>
      </c>
    </row>
    <row r="345">
      <c r="A345" s="90" t="n">
        <v>28277</v>
      </c>
      <c r="B345" t="n">
        <v>526.9</v>
      </c>
      <c r="C345" t="n">
        <v>2012.9</v>
      </c>
      <c r="E345" t="n">
        <v>1217.8</v>
      </c>
    </row>
    <row r="346">
      <c r="A346" s="90" t="n">
        <v>28282</v>
      </c>
      <c r="D346" t="n">
        <v>317.6</v>
      </c>
    </row>
    <row r="347">
      <c r="A347" s="90" t="n">
        <v>28289</v>
      </c>
      <c r="D347" t="n">
        <v>317.8</v>
      </c>
    </row>
    <row r="348">
      <c r="A348" s="90" t="n">
        <v>28296</v>
      </c>
      <c r="D348" t="n">
        <v>319.4</v>
      </c>
    </row>
    <row r="349">
      <c r="A349" s="90" t="n">
        <v>28303</v>
      </c>
      <c r="D349" t="n">
        <v>319.4</v>
      </c>
    </row>
    <row r="350">
      <c r="A350" s="90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90" t="n">
        <v>28310</v>
      </c>
      <c r="D351" t="n">
        <v>319.5</v>
      </c>
    </row>
    <row r="352">
      <c r="A352" s="90" t="n">
        <v>28317</v>
      </c>
      <c r="D352" t="n">
        <v>319.3</v>
      </c>
    </row>
    <row r="353">
      <c r="A353" s="90" t="n">
        <v>28324</v>
      </c>
      <c r="D353" t="n">
        <v>320.2</v>
      </c>
    </row>
    <row r="354">
      <c r="A354" s="90" t="n">
        <v>28331</v>
      </c>
      <c r="D354" t="n">
        <v>320.1</v>
      </c>
    </row>
    <row r="355">
      <c r="A355" s="90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90" t="n">
        <v>28345</v>
      </c>
      <c r="D356" t="n">
        <v>321.4</v>
      </c>
    </row>
    <row r="357">
      <c r="A357" s="90" t="n">
        <v>28352</v>
      </c>
      <c r="D357" t="n">
        <v>321.2</v>
      </c>
    </row>
    <row r="358">
      <c r="A358" s="90" t="n">
        <v>28359</v>
      </c>
      <c r="D358" t="n">
        <v>322.4</v>
      </c>
    </row>
    <row r="359">
      <c r="A359" s="90" t="n">
        <v>28366</v>
      </c>
      <c r="D359" t="n">
        <v>323.4</v>
      </c>
    </row>
    <row r="360">
      <c r="A360" s="90" t="n">
        <v>28369</v>
      </c>
      <c r="B360" t="n">
        <v>529.4</v>
      </c>
      <c r="C360" t="n">
        <v>2033</v>
      </c>
      <c r="E360" t="n">
        <v>1246.2</v>
      </c>
    </row>
    <row r="361">
      <c r="A361" s="90" t="n">
        <v>28373</v>
      </c>
      <c r="D361" t="n">
        <v>324.6</v>
      </c>
    </row>
    <row r="362">
      <c r="A362" s="90" t="n">
        <v>28380</v>
      </c>
      <c r="D362" t="n">
        <v>323.3</v>
      </c>
    </row>
    <row r="363">
      <c r="A363" s="90" t="n">
        <v>28387</v>
      </c>
      <c r="D363" t="n">
        <v>324.2</v>
      </c>
    </row>
    <row r="364">
      <c r="A364" s="90" t="n">
        <v>28394</v>
      </c>
      <c r="D364" t="n">
        <v>324.5</v>
      </c>
    </row>
    <row r="365">
      <c r="A365" s="90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90" t="n">
        <v>28401</v>
      </c>
      <c r="D366" t="n">
        <v>325.6</v>
      </c>
    </row>
    <row r="367">
      <c r="A367" s="90" t="n">
        <v>28408</v>
      </c>
      <c r="D367" t="n">
        <v>326.1</v>
      </c>
    </row>
    <row r="368">
      <c r="A368" s="90" t="n">
        <v>28415</v>
      </c>
      <c r="D368" t="n">
        <v>325.6</v>
      </c>
    </row>
    <row r="369">
      <c r="A369" s="90" t="n">
        <v>28422</v>
      </c>
      <c r="D369" t="n">
        <v>327.5</v>
      </c>
    </row>
    <row r="370">
      <c r="A370" s="90" t="n">
        <v>28429</v>
      </c>
      <c r="D370" t="n">
        <v>327</v>
      </c>
    </row>
    <row r="371">
      <c r="A371" s="90" t="n">
        <v>28430</v>
      </c>
      <c r="B371" t="n">
        <v>530</v>
      </c>
      <c r="C371" t="n">
        <v>2036.1</v>
      </c>
      <c r="E371" t="n">
        <v>1262.4</v>
      </c>
    </row>
    <row r="372">
      <c r="A372" s="90" t="n">
        <v>28436</v>
      </c>
      <c r="D372" t="n">
        <v>328.2</v>
      </c>
    </row>
    <row r="373">
      <c r="A373" s="90" t="n">
        <v>28443</v>
      </c>
      <c r="D373" t="n">
        <v>328.6</v>
      </c>
    </row>
    <row r="374">
      <c r="A374" s="90" t="n">
        <v>28450</v>
      </c>
      <c r="D374" t="n">
        <v>329</v>
      </c>
    </row>
    <row r="375">
      <c r="A375" s="90" t="n">
        <v>28457</v>
      </c>
      <c r="D375" t="n">
        <v>328.7</v>
      </c>
    </row>
    <row r="376">
      <c r="A376" s="90" t="n">
        <v>28460</v>
      </c>
      <c r="B376" t="n">
        <v>531.1</v>
      </c>
      <c r="C376" t="n">
        <v>2039</v>
      </c>
      <c r="E376" t="n">
        <v>1270.3</v>
      </c>
    </row>
    <row r="377">
      <c r="A377" s="90" t="n">
        <v>28464</v>
      </c>
      <c r="D377" t="n">
        <v>330</v>
      </c>
    </row>
    <row r="378">
      <c r="A378" s="90" t="n">
        <v>28471</v>
      </c>
      <c r="D378" t="n">
        <v>330.2</v>
      </c>
    </row>
    <row r="379">
      <c r="A379" s="90" t="n">
        <v>28478</v>
      </c>
      <c r="D379" t="n">
        <v>331</v>
      </c>
    </row>
    <row r="380">
      <c r="A380" s="90" t="n">
        <v>28485</v>
      </c>
      <c r="D380" t="n">
        <v>330.7</v>
      </c>
    </row>
    <row r="381">
      <c r="A381" s="90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90" t="n">
        <v>28492</v>
      </c>
      <c r="D382" t="n">
        <v>332.5</v>
      </c>
    </row>
    <row r="383">
      <c r="A383" s="90" t="n">
        <v>28499</v>
      </c>
      <c r="D383" t="n">
        <v>334</v>
      </c>
    </row>
    <row r="384">
      <c r="A384" s="90" t="n">
        <v>28506</v>
      </c>
      <c r="D384" t="n">
        <v>334.5</v>
      </c>
    </row>
    <row r="385">
      <c r="A385" s="90" t="n">
        <v>28513</v>
      </c>
      <c r="D385" t="n">
        <v>335.9</v>
      </c>
    </row>
    <row r="386">
      <c r="A386" s="90" t="n">
        <v>28520</v>
      </c>
      <c r="D386" t="n">
        <v>334.4</v>
      </c>
    </row>
    <row r="387">
      <c r="A387" s="90" t="n">
        <v>28522</v>
      </c>
      <c r="B387" t="n">
        <v>532.2</v>
      </c>
      <c r="C387" t="n">
        <v>2040.5</v>
      </c>
      <c r="E387" t="n">
        <v>1285.5</v>
      </c>
    </row>
    <row r="388">
      <c r="A388" s="90" t="n">
        <v>28527</v>
      </c>
      <c r="D388" t="n">
        <v>333.8</v>
      </c>
    </row>
    <row r="389">
      <c r="A389" s="90" t="n">
        <v>28534</v>
      </c>
      <c r="D389" t="n">
        <v>335.1</v>
      </c>
    </row>
    <row r="390">
      <c r="A390" s="90" t="n">
        <v>28541</v>
      </c>
      <c r="D390" t="n">
        <v>335.5</v>
      </c>
    </row>
    <row r="391">
      <c r="A391" s="90" t="n">
        <v>28548</v>
      </c>
      <c r="D391" t="n">
        <v>336.1</v>
      </c>
    </row>
    <row r="392">
      <c r="A392" s="90" t="n">
        <v>28550</v>
      </c>
      <c r="B392" t="n">
        <v>531.5</v>
      </c>
      <c r="C392" t="n">
        <v>2038.2</v>
      </c>
      <c r="E392" t="n">
        <v>1292.2</v>
      </c>
    </row>
    <row r="393">
      <c r="A393" s="90" t="n">
        <v>28555</v>
      </c>
      <c r="D393" t="n">
        <v>336.8</v>
      </c>
    </row>
    <row r="394">
      <c r="A394" s="90" t="n">
        <v>28562</v>
      </c>
      <c r="D394" t="n">
        <v>336.2</v>
      </c>
    </row>
    <row r="395">
      <c r="A395" s="90" t="n">
        <v>28569</v>
      </c>
      <c r="D395" t="n">
        <v>336.7</v>
      </c>
    </row>
    <row r="396">
      <c r="A396" s="90" t="n">
        <v>28576</v>
      </c>
      <c r="D396" t="n">
        <v>336.7</v>
      </c>
    </row>
    <row r="397">
      <c r="A397" s="90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90" t="n">
        <v>28583</v>
      </c>
      <c r="D398" t="n">
        <v>338.6</v>
      </c>
    </row>
    <row r="399">
      <c r="A399" s="90" t="n">
        <v>28590</v>
      </c>
      <c r="D399" t="n">
        <v>338.3</v>
      </c>
    </row>
    <row r="400">
      <c r="A400" s="90" t="n">
        <v>28597</v>
      </c>
      <c r="D400" t="n">
        <v>337.6</v>
      </c>
    </row>
    <row r="401">
      <c r="A401" s="90" t="n">
        <v>28604</v>
      </c>
      <c r="D401" t="n">
        <v>340.6</v>
      </c>
    </row>
    <row r="402">
      <c r="A402" s="90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90" t="n">
        <v>28618</v>
      </c>
      <c r="D403" t="n">
        <v>342.6</v>
      </c>
    </row>
    <row r="404">
      <c r="A404" s="90" t="n">
        <v>28625</v>
      </c>
      <c r="D404" t="n">
        <v>344.1</v>
      </c>
    </row>
    <row r="405">
      <c r="A405" s="90" t="n">
        <v>28632</v>
      </c>
      <c r="D405" t="n">
        <v>345.1</v>
      </c>
    </row>
    <row r="406">
      <c r="A406" s="90" t="n">
        <v>28639</v>
      </c>
      <c r="D406" t="n">
        <v>346.7</v>
      </c>
    </row>
    <row r="407">
      <c r="A407" s="90" t="n">
        <v>28642</v>
      </c>
      <c r="B407" t="n">
        <v>533.7</v>
      </c>
      <c r="C407" t="n">
        <v>2028.5</v>
      </c>
      <c r="E407" t="n">
        <v>1318.5</v>
      </c>
    </row>
    <row r="408">
      <c r="A408" s="90" t="n">
        <v>28646</v>
      </c>
      <c r="D408" t="n">
        <v>346.6</v>
      </c>
    </row>
    <row r="409">
      <c r="A409" s="90" t="n">
        <v>28653</v>
      </c>
      <c r="D409" t="n">
        <v>346.8</v>
      </c>
    </row>
    <row r="410">
      <c r="A410" s="90" t="n">
        <v>28660</v>
      </c>
      <c r="D410" t="n">
        <v>345.8</v>
      </c>
    </row>
    <row r="411">
      <c r="A411" s="90" t="n">
        <v>28667</v>
      </c>
      <c r="D411" t="n">
        <v>346.5</v>
      </c>
    </row>
    <row r="412">
      <c r="A412" s="90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90" t="n">
        <v>28674</v>
      </c>
      <c r="D413" t="n">
        <v>348.1</v>
      </c>
    </row>
    <row r="414">
      <c r="A414" s="90" t="n">
        <v>28681</v>
      </c>
      <c r="D414" t="n">
        <v>347.7</v>
      </c>
    </row>
    <row r="415">
      <c r="A415" s="90" t="n">
        <v>28688</v>
      </c>
      <c r="D415" t="n">
        <v>346.2</v>
      </c>
    </row>
    <row r="416">
      <c r="A416" s="90" t="n">
        <v>28695</v>
      </c>
      <c r="D416" t="n">
        <v>348.2</v>
      </c>
    </row>
    <row r="417">
      <c r="A417" s="90" t="n">
        <v>28702</v>
      </c>
      <c r="D417" t="n">
        <v>348.6</v>
      </c>
    </row>
    <row r="418">
      <c r="A418" s="90" t="n">
        <v>28703</v>
      </c>
      <c r="B418" t="n">
        <v>530.5</v>
      </c>
      <c r="C418" t="n">
        <v>2023.5</v>
      </c>
      <c r="E418" t="n">
        <v>1333.5</v>
      </c>
    </row>
    <row r="419">
      <c r="A419" s="90" t="n">
        <v>28709</v>
      </c>
      <c r="D419" t="n">
        <v>348.4</v>
      </c>
    </row>
    <row r="420">
      <c r="A420" s="90" t="n">
        <v>28716</v>
      </c>
      <c r="D420" t="n">
        <v>349.7</v>
      </c>
    </row>
    <row r="421">
      <c r="A421" s="90" t="n">
        <v>28723</v>
      </c>
      <c r="D421" t="n">
        <v>349.7</v>
      </c>
    </row>
    <row r="422">
      <c r="A422" s="90" t="n">
        <v>28730</v>
      </c>
      <c r="D422" t="n">
        <v>349.3</v>
      </c>
    </row>
    <row r="423">
      <c r="A423" s="90" t="n">
        <v>28734</v>
      </c>
      <c r="B423" t="n">
        <v>529.6</v>
      </c>
      <c r="C423" t="n">
        <v>2022.6</v>
      </c>
      <c r="E423" t="n">
        <v>1345</v>
      </c>
    </row>
    <row r="424">
      <c r="A424" s="90" t="n">
        <v>28737</v>
      </c>
      <c r="D424" t="n">
        <v>352.7</v>
      </c>
    </row>
    <row r="425">
      <c r="A425" s="90" t="n">
        <v>28744</v>
      </c>
      <c r="D425" t="n">
        <v>351.6</v>
      </c>
    </row>
    <row r="426">
      <c r="A426" s="90" t="n">
        <v>28751</v>
      </c>
      <c r="D426" t="n">
        <v>351.5</v>
      </c>
    </row>
    <row r="427">
      <c r="A427" s="90" t="n">
        <v>28758</v>
      </c>
      <c r="D427" t="n">
        <v>352.8</v>
      </c>
    </row>
    <row r="428">
      <c r="A428" s="90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90" t="n">
        <v>28765</v>
      </c>
      <c r="D429" t="n">
        <v>352.9</v>
      </c>
    </row>
    <row r="430">
      <c r="A430" s="90" t="n">
        <v>28772</v>
      </c>
      <c r="D430" t="n">
        <v>353</v>
      </c>
    </row>
    <row r="431">
      <c r="A431" s="90" t="n">
        <v>28779</v>
      </c>
      <c r="D431" t="n">
        <v>354.3</v>
      </c>
    </row>
    <row r="432">
      <c r="A432" s="90" t="n">
        <v>28786</v>
      </c>
      <c r="D432" t="n">
        <v>353.1</v>
      </c>
    </row>
    <row r="433">
      <c r="A433" s="90" t="n">
        <v>28793</v>
      </c>
      <c r="D433" t="n">
        <v>353.3</v>
      </c>
    </row>
    <row r="434">
      <c r="A434" s="90" t="n">
        <v>28795</v>
      </c>
      <c r="B434" t="n">
        <v>526.5</v>
      </c>
      <c r="C434" t="n">
        <v>2013.5</v>
      </c>
      <c r="E434" t="n">
        <v>1359.1</v>
      </c>
    </row>
    <row r="435">
      <c r="A435" s="90" t="n">
        <v>28800</v>
      </c>
      <c r="D435" t="n">
        <v>355.1</v>
      </c>
    </row>
    <row r="436">
      <c r="A436" s="90" t="n">
        <v>28807</v>
      </c>
      <c r="D436" t="n">
        <v>355.2</v>
      </c>
    </row>
    <row r="437">
      <c r="A437" s="90" t="n">
        <v>28814</v>
      </c>
      <c r="D437" t="n">
        <v>355.8</v>
      </c>
    </row>
    <row r="438">
      <c r="A438" s="90" t="n">
        <v>28821</v>
      </c>
      <c r="D438" t="n">
        <v>355.3</v>
      </c>
    </row>
    <row r="439">
      <c r="A439" s="90" t="n">
        <v>28825</v>
      </c>
      <c r="B439" t="n">
        <v>526.2</v>
      </c>
      <c r="C439" t="n">
        <v>2011.8</v>
      </c>
      <c r="E439" t="n">
        <v>1366</v>
      </c>
    </row>
    <row r="440">
      <c r="A440" s="90" t="n">
        <v>28828</v>
      </c>
      <c r="D440" t="n">
        <v>357.1</v>
      </c>
    </row>
    <row r="441">
      <c r="A441" s="90" t="n">
        <v>28835</v>
      </c>
      <c r="D441" t="n">
        <v>356.8</v>
      </c>
    </row>
    <row r="442">
      <c r="A442" s="90" t="n">
        <v>28842</v>
      </c>
      <c r="D442" t="n">
        <v>356.2</v>
      </c>
    </row>
    <row r="443">
      <c r="A443" s="90" t="n">
        <v>28849</v>
      </c>
      <c r="D443" t="n">
        <v>357.7</v>
      </c>
    </row>
    <row r="444">
      <c r="A444" s="90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90" t="n">
        <v>28863</v>
      </c>
      <c r="D445" t="n">
        <v>357.1</v>
      </c>
    </row>
    <row r="446">
      <c r="A446" s="90" t="n">
        <v>28870</v>
      </c>
      <c r="D446" t="n">
        <v>359.5</v>
      </c>
    </row>
    <row r="447">
      <c r="A447" s="90" t="n">
        <v>28877</v>
      </c>
      <c r="D447" t="n">
        <v>358.7</v>
      </c>
    </row>
    <row r="448">
      <c r="A448" s="90" t="n">
        <v>28884</v>
      </c>
      <c r="D448" t="n">
        <v>358.8</v>
      </c>
    </row>
    <row r="449">
      <c r="A449" s="90" t="n">
        <v>28887</v>
      </c>
      <c r="B449" t="n">
        <v>520.1</v>
      </c>
      <c r="C449" t="n">
        <v>1991</v>
      </c>
      <c r="E449" t="n">
        <v>1377.8</v>
      </c>
    </row>
    <row r="450">
      <c r="A450" s="90" t="n">
        <v>28891</v>
      </c>
      <c r="D450" t="n">
        <v>360.6</v>
      </c>
    </row>
    <row r="451">
      <c r="A451" s="90" t="n">
        <v>28898</v>
      </c>
      <c r="D451" t="n">
        <v>359.3</v>
      </c>
    </row>
    <row r="452">
      <c r="A452" s="90" t="n">
        <v>28905</v>
      </c>
      <c r="D452" t="n">
        <v>359.1</v>
      </c>
    </row>
    <row r="453">
      <c r="A453" s="90" t="n">
        <v>28912</v>
      </c>
      <c r="D453" t="n">
        <v>360.1</v>
      </c>
    </row>
    <row r="454">
      <c r="A454" s="90" t="n">
        <v>28915</v>
      </c>
      <c r="B454" t="n">
        <v>518.6</v>
      </c>
      <c r="C454" t="n">
        <v>1985.4</v>
      </c>
      <c r="E454" t="n">
        <v>1387.8</v>
      </c>
    </row>
    <row r="455">
      <c r="A455" s="90" t="n">
        <v>28919</v>
      </c>
      <c r="D455" t="n">
        <v>361.9</v>
      </c>
    </row>
    <row r="456">
      <c r="A456" s="90" t="n">
        <v>28926</v>
      </c>
      <c r="D456" t="n">
        <v>361.2</v>
      </c>
    </row>
    <row r="457">
      <c r="A457" s="90" t="n">
        <v>28933</v>
      </c>
      <c r="D457" t="n">
        <v>361.8</v>
      </c>
    </row>
    <row r="458">
      <c r="A458" s="90" t="n">
        <v>28940</v>
      </c>
      <c r="D458" t="n">
        <v>363.2</v>
      </c>
    </row>
    <row r="459">
      <c r="A459" s="90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90" t="n">
        <v>28947</v>
      </c>
      <c r="D460" t="n">
        <v>364.2</v>
      </c>
    </row>
    <row r="461">
      <c r="A461" s="90" t="n">
        <v>28954</v>
      </c>
      <c r="D461" t="n">
        <v>365</v>
      </c>
    </row>
    <row r="462">
      <c r="A462" s="90" t="n">
        <v>28961</v>
      </c>
      <c r="D462" t="n">
        <v>368.7</v>
      </c>
    </row>
    <row r="463">
      <c r="A463" s="90" t="n">
        <v>28968</v>
      </c>
      <c r="D463" t="n">
        <v>370.2</v>
      </c>
    </row>
    <row r="464">
      <c r="A464" s="90" t="n">
        <v>28975</v>
      </c>
      <c r="D464" t="n">
        <v>369.6</v>
      </c>
    </row>
    <row r="465">
      <c r="A465" s="90" t="n">
        <v>28976</v>
      </c>
      <c r="B465" t="n">
        <v>517.6</v>
      </c>
      <c r="C465" t="n">
        <v>1975.1</v>
      </c>
      <c r="E465" t="n">
        <v>1410.2</v>
      </c>
    </row>
    <row r="466">
      <c r="A466" s="90" t="n">
        <v>28982</v>
      </c>
      <c r="D466" t="n">
        <v>368.9</v>
      </c>
    </row>
    <row r="467">
      <c r="A467" s="90" t="n">
        <v>28989</v>
      </c>
      <c r="D467" t="n">
        <v>369.1</v>
      </c>
    </row>
    <row r="468">
      <c r="A468" s="90" t="n">
        <v>28996</v>
      </c>
      <c r="D468" t="n">
        <v>369.6</v>
      </c>
    </row>
    <row r="469">
      <c r="A469" s="90" t="n">
        <v>29003</v>
      </c>
      <c r="D469" t="n">
        <v>369</v>
      </c>
    </row>
    <row r="470">
      <c r="A470" s="90" t="n">
        <v>29007</v>
      </c>
      <c r="B470" t="n">
        <v>517.2</v>
      </c>
      <c r="C470" t="n">
        <v>1970.9</v>
      </c>
      <c r="E470" t="n">
        <v>1423</v>
      </c>
    </row>
    <row r="471">
      <c r="A471" s="90" t="n">
        <v>29010</v>
      </c>
      <c r="D471" t="n">
        <v>372.4</v>
      </c>
    </row>
    <row r="472">
      <c r="A472" s="90" t="n">
        <v>29017</v>
      </c>
      <c r="D472" t="n">
        <v>372.7</v>
      </c>
    </row>
    <row r="473">
      <c r="A473" s="90" t="n">
        <v>29024</v>
      </c>
      <c r="D473" t="n">
        <v>372.2</v>
      </c>
    </row>
    <row r="474">
      <c r="A474" s="90" t="n">
        <v>29031</v>
      </c>
      <c r="D474" t="n">
        <v>374.3</v>
      </c>
    </row>
    <row r="475">
      <c r="A475" s="90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90" t="n">
        <v>29038</v>
      </c>
      <c r="D476" t="n">
        <v>374.9</v>
      </c>
    </row>
    <row r="477">
      <c r="A477" s="90" t="n">
        <v>29045</v>
      </c>
      <c r="D477" t="n">
        <v>375.7</v>
      </c>
    </row>
    <row r="478">
      <c r="A478" s="90" t="n">
        <v>29052</v>
      </c>
      <c r="D478" t="n">
        <v>377.8</v>
      </c>
    </row>
    <row r="479">
      <c r="A479" s="90" t="n">
        <v>29059</v>
      </c>
      <c r="D479" t="n">
        <v>378.3</v>
      </c>
    </row>
    <row r="480">
      <c r="A480" s="90" t="n">
        <v>29066</v>
      </c>
      <c r="D480" t="n">
        <v>378.5</v>
      </c>
    </row>
    <row r="481">
      <c r="A481" s="90" t="n">
        <v>29068</v>
      </c>
      <c r="B481" t="n">
        <v>514</v>
      </c>
      <c r="C481" t="n">
        <v>1962.8</v>
      </c>
      <c r="E481" t="n">
        <v>1446.6</v>
      </c>
    </row>
    <row r="482">
      <c r="A482" s="90" t="n">
        <v>29073</v>
      </c>
      <c r="D482" t="n">
        <v>377.7</v>
      </c>
    </row>
    <row r="483">
      <c r="A483" s="90" t="n">
        <v>29080</v>
      </c>
      <c r="D483" t="n">
        <v>378.3</v>
      </c>
    </row>
    <row r="484">
      <c r="A484" s="90" t="n">
        <v>29087</v>
      </c>
      <c r="D484" t="n">
        <v>379.9</v>
      </c>
    </row>
    <row r="485">
      <c r="A485" s="90" t="n">
        <v>29094</v>
      </c>
      <c r="D485" t="n">
        <v>379.4</v>
      </c>
    </row>
    <row r="486">
      <c r="A486" s="90" t="n">
        <v>29099</v>
      </c>
      <c r="B486" t="n">
        <v>509.8</v>
      </c>
      <c r="C486" t="n">
        <v>1954.4</v>
      </c>
      <c r="E486" t="n">
        <v>1454.1</v>
      </c>
    </row>
    <row r="487">
      <c r="A487" s="90" t="n">
        <v>29101</v>
      </c>
      <c r="D487" t="n">
        <v>379</v>
      </c>
    </row>
    <row r="488">
      <c r="A488" s="90" t="n">
        <v>29108</v>
      </c>
      <c r="D488" t="n">
        <v>378.7</v>
      </c>
    </row>
    <row r="489">
      <c r="A489" s="90" t="n">
        <v>29115</v>
      </c>
      <c r="D489" t="n">
        <v>378.1</v>
      </c>
    </row>
    <row r="490">
      <c r="A490" s="90" t="n">
        <v>29122</v>
      </c>
      <c r="D490" t="n">
        <v>379.6</v>
      </c>
    </row>
    <row r="491">
      <c r="A491" s="90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90" t="n">
        <v>29136</v>
      </c>
      <c r="D492" t="n">
        <v>380.7</v>
      </c>
    </row>
    <row r="493">
      <c r="A493" s="90" t="n">
        <v>29143</v>
      </c>
      <c r="D493" t="n">
        <v>381.7</v>
      </c>
    </row>
    <row r="494">
      <c r="A494" s="90" t="n">
        <v>29150</v>
      </c>
      <c r="D494" t="n">
        <v>380.5</v>
      </c>
    </row>
    <row r="495">
      <c r="A495" s="90" t="n">
        <v>29157</v>
      </c>
      <c r="D495" t="n">
        <v>380.9</v>
      </c>
    </row>
    <row r="496">
      <c r="A496" s="90" t="n">
        <v>29160</v>
      </c>
      <c r="B496" t="n">
        <v>501.1</v>
      </c>
      <c r="C496" t="n">
        <v>1928.8</v>
      </c>
      <c r="E496" t="n">
        <v>1465.9</v>
      </c>
    </row>
    <row r="497">
      <c r="A497" s="90" t="n">
        <v>29164</v>
      </c>
      <c r="D497" t="n">
        <v>382.3</v>
      </c>
    </row>
    <row r="498">
      <c r="A498" s="90" t="n">
        <v>29171</v>
      </c>
      <c r="D498" t="n">
        <v>381.1</v>
      </c>
    </row>
    <row r="499">
      <c r="A499" s="90" t="n">
        <v>29178</v>
      </c>
      <c r="D499" t="n">
        <v>381.5</v>
      </c>
    </row>
    <row r="500">
      <c r="A500" s="90" t="n">
        <v>29185</v>
      </c>
      <c r="D500" t="n">
        <v>380.6</v>
      </c>
    </row>
    <row r="501">
      <c r="A501" s="90" t="n">
        <v>29190</v>
      </c>
      <c r="B501" t="n">
        <v>496.5</v>
      </c>
      <c r="C501" t="n">
        <v>1916.4</v>
      </c>
      <c r="E501" t="n">
        <v>1473.7</v>
      </c>
    </row>
    <row r="502">
      <c r="A502" s="90" t="n">
        <v>29192</v>
      </c>
      <c r="D502" t="n">
        <v>379.3</v>
      </c>
    </row>
    <row r="503">
      <c r="A503" s="90" t="n">
        <v>29199</v>
      </c>
      <c r="D503" t="n">
        <v>381.2</v>
      </c>
    </row>
    <row r="504">
      <c r="A504" s="90" t="n">
        <v>29206</v>
      </c>
      <c r="D504" t="n">
        <v>381</v>
      </c>
    </row>
    <row r="505">
      <c r="A505" s="90" t="n">
        <v>29213</v>
      </c>
      <c r="D505" t="n">
        <v>382.9</v>
      </c>
    </row>
    <row r="506">
      <c r="A506" s="90" t="n">
        <v>29220</v>
      </c>
      <c r="D506" t="n">
        <v>384.2</v>
      </c>
    </row>
    <row r="507">
      <c r="A507" s="90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90" t="n">
        <v>29227</v>
      </c>
      <c r="D508" t="n">
        <v>383.7</v>
      </c>
    </row>
    <row r="509">
      <c r="A509" s="90" t="n">
        <v>29234</v>
      </c>
      <c r="D509" t="n">
        <v>385.5</v>
      </c>
    </row>
    <row r="510">
      <c r="A510" s="90" t="n">
        <v>29241</v>
      </c>
      <c r="D510" t="n">
        <v>384.8</v>
      </c>
    </row>
    <row r="511">
      <c r="A511" s="90" t="n">
        <v>29248</v>
      </c>
      <c r="D511" t="n">
        <v>387.4</v>
      </c>
    </row>
    <row r="512">
      <c r="A512" s="90" t="n">
        <v>29252</v>
      </c>
      <c r="B512" t="n">
        <v>493.8</v>
      </c>
      <c r="C512" t="n">
        <v>1891.9</v>
      </c>
      <c r="E512" t="n">
        <v>1494.6</v>
      </c>
    </row>
    <row r="513">
      <c r="A513" s="90" t="n">
        <v>29255</v>
      </c>
      <c r="D513" t="n">
        <v>390.6</v>
      </c>
    </row>
    <row r="514">
      <c r="A514" s="90" t="n">
        <v>29262</v>
      </c>
      <c r="D514" t="n">
        <v>390.3</v>
      </c>
    </row>
    <row r="515">
      <c r="A515" s="90" t="n">
        <v>29269</v>
      </c>
      <c r="D515" t="n">
        <v>390.3</v>
      </c>
    </row>
    <row r="516">
      <c r="A516" s="90" t="n">
        <v>29276</v>
      </c>
      <c r="D516" t="n">
        <v>389.3</v>
      </c>
    </row>
    <row r="517">
      <c r="A517" s="90" t="n">
        <v>29281</v>
      </c>
      <c r="B517" t="n">
        <v>484.9</v>
      </c>
      <c r="C517" t="n">
        <v>1872.4</v>
      </c>
      <c r="E517" t="n">
        <v>1499.8</v>
      </c>
    </row>
    <row r="518">
      <c r="A518" s="90" t="n">
        <v>29283</v>
      </c>
      <c r="D518" t="n">
        <v>389.4</v>
      </c>
    </row>
    <row r="519">
      <c r="A519" s="90" t="n">
        <v>29290</v>
      </c>
      <c r="D519" t="n">
        <v>388.8</v>
      </c>
    </row>
    <row r="520">
      <c r="A520" s="90" t="n">
        <v>29297</v>
      </c>
      <c r="D520" t="n">
        <v>389.2</v>
      </c>
    </row>
    <row r="521">
      <c r="A521" s="90" t="n">
        <v>29304</v>
      </c>
      <c r="D521" t="n">
        <v>388.4</v>
      </c>
    </row>
    <row r="522">
      <c r="A522" s="90" t="n">
        <v>29311</v>
      </c>
      <c r="D522" t="n">
        <v>387.1</v>
      </c>
    </row>
    <row r="523">
      <c r="A523" s="90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90" t="n">
        <v>29318</v>
      </c>
      <c r="D524" t="n">
        <v>386</v>
      </c>
    </row>
    <row r="525">
      <c r="A525" s="90" t="n">
        <v>29325</v>
      </c>
      <c r="D525" t="n">
        <v>385</v>
      </c>
    </row>
    <row r="526">
      <c r="A526" s="90" t="n">
        <v>29332</v>
      </c>
      <c r="D526" t="n">
        <v>382.8</v>
      </c>
    </row>
    <row r="527">
      <c r="A527" s="90" t="n">
        <v>29339</v>
      </c>
      <c r="D527" t="n">
        <v>381.3</v>
      </c>
    </row>
    <row r="528">
      <c r="A528" s="90" t="n">
        <v>29342</v>
      </c>
      <c r="B528" t="n">
        <v>471</v>
      </c>
      <c r="C528" t="n">
        <v>1851</v>
      </c>
      <c r="E528" t="n">
        <v>1512.3</v>
      </c>
    </row>
    <row r="529">
      <c r="A529" s="90" t="n">
        <v>29346</v>
      </c>
      <c r="D529" t="n">
        <v>383.6</v>
      </c>
    </row>
    <row r="530">
      <c r="A530" s="90" t="n">
        <v>29353</v>
      </c>
      <c r="D530" t="n">
        <v>383.5</v>
      </c>
    </row>
    <row r="531">
      <c r="A531" s="90" t="n">
        <v>29360</v>
      </c>
      <c r="D531" t="n">
        <v>384.7</v>
      </c>
    </row>
    <row r="532">
      <c r="A532" s="90" t="n">
        <v>29367</v>
      </c>
      <c r="D532" t="n">
        <v>385.8</v>
      </c>
    </row>
    <row r="533">
      <c r="A533" s="90" t="n">
        <v>29373</v>
      </c>
      <c r="B533" t="n">
        <v>471.6</v>
      </c>
      <c r="C533" t="n">
        <v>1853.6</v>
      </c>
      <c r="E533" t="n">
        <v>1529.2</v>
      </c>
    </row>
    <row r="534">
      <c r="A534" s="90" t="n">
        <v>29374</v>
      </c>
      <c r="D534" t="n">
        <v>386.8</v>
      </c>
    </row>
    <row r="535">
      <c r="A535" s="90" t="n">
        <v>29381</v>
      </c>
      <c r="D535" t="n">
        <v>387.1</v>
      </c>
    </row>
    <row r="536">
      <c r="A536" s="90" t="n">
        <v>29388</v>
      </c>
      <c r="D536" t="n">
        <v>389</v>
      </c>
    </row>
    <row r="537">
      <c r="A537" s="90" t="n">
        <v>29395</v>
      </c>
      <c r="D537" t="n">
        <v>389.9</v>
      </c>
    </row>
    <row r="538">
      <c r="A538" s="90" t="n">
        <v>29402</v>
      </c>
      <c r="D538" t="n">
        <v>391.3</v>
      </c>
    </row>
    <row r="539">
      <c r="A539" s="90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90" t="n">
        <v>29409</v>
      </c>
      <c r="D540" t="n">
        <v>391.4</v>
      </c>
    </row>
    <row r="541">
      <c r="A541" s="90" t="n">
        <v>29416</v>
      </c>
      <c r="D541" t="n">
        <v>394.2</v>
      </c>
    </row>
    <row r="542">
      <c r="A542" s="90" t="n">
        <v>29423</v>
      </c>
      <c r="D542" t="n">
        <v>393.9</v>
      </c>
    </row>
    <row r="543">
      <c r="A543" s="90" t="n">
        <v>29430</v>
      </c>
      <c r="D543" t="n">
        <v>394.6</v>
      </c>
    </row>
    <row r="544">
      <c r="A544" s="90" t="n">
        <v>29434</v>
      </c>
      <c r="B544" t="n">
        <v>479.8</v>
      </c>
      <c r="C544" t="n">
        <v>1876.8</v>
      </c>
      <c r="E544" t="n">
        <v>1561.5</v>
      </c>
    </row>
    <row r="545">
      <c r="A545" s="90" t="n">
        <v>29437</v>
      </c>
      <c r="D545" t="n">
        <v>398.8</v>
      </c>
    </row>
    <row r="546">
      <c r="A546" s="90" t="n">
        <v>29444</v>
      </c>
      <c r="D546" t="n">
        <v>398.2</v>
      </c>
    </row>
    <row r="547">
      <c r="A547" s="90" t="n">
        <v>29451</v>
      </c>
      <c r="D547" t="n">
        <v>398.3</v>
      </c>
    </row>
    <row r="548">
      <c r="A548" s="90" t="n">
        <v>29458</v>
      </c>
      <c r="D548" t="n">
        <v>399.3</v>
      </c>
    </row>
    <row r="549">
      <c r="A549" s="90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90" t="n">
        <v>29472</v>
      </c>
      <c r="D550" t="n">
        <v>403.9</v>
      </c>
    </row>
    <row r="551">
      <c r="A551" s="90" t="n">
        <v>29479</v>
      </c>
      <c r="D551" t="n">
        <v>404.7</v>
      </c>
    </row>
    <row r="552">
      <c r="A552" s="90" t="n">
        <v>29486</v>
      </c>
      <c r="D552" t="n">
        <v>405.6</v>
      </c>
    </row>
    <row r="553">
      <c r="A553" s="90" t="n">
        <v>29493</v>
      </c>
      <c r="D553" t="n">
        <v>405.3</v>
      </c>
    </row>
    <row r="554">
      <c r="A554" s="90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90" t="n">
        <v>29500</v>
      </c>
      <c r="D555" t="n">
        <v>408.2</v>
      </c>
    </row>
    <row r="556">
      <c r="A556" s="90" t="n">
        <v>29507</v>
      </c>
      <c r="D556" t="n">
        <v>408.9</v>
      </c>
    </row>
    <row r="557">
      <c r="A557" s="90" t="n">
        <v>29514</v>
      </c>
      <c r="D557" t="n">
        <v>408.6</v>
      </c>
    </row>
    <row r="558">
      <c r="A558" s="90" t="n">
        <v>29521</v>
      </c>
      <c r="D558" t="n">
        <v>409.6</v>
      </c>
    </row>
    <row r="559">
      <c r="A559" s="90" t="n">
        <v>29526</v>
      </c>
      <c r="B559" t="n">
        <v>479.8</v>
      </c>
      <c r="C559" t="n">
        <v>1864.3</v>
      </c>
      <c r="E559" t="n">
        <v>1595.8</v>
      </c>
    </row>
    <row r="560">
      <c r="A560" s="90" t="n">
        <v>29528</v>
      </c>
      <c r="D560" t="n">
        <v>409.2</v>
      </c>
    </row>
    <row r="561">
      <c r="A561" s="90" t="n">
        <v>29535</v>
      </c>
      <c r="D561" t="n">
        <v>410.4</v>
      </c>
    </row>
    <row r="562">
      <c r="A562" s="90" t="n">
        <v>29542</v>
      </c>
      <c r="D562" t="n">
        <v>411.3</v>
      </c>
    </row>
    <row r="563">
      <c r="A563" s="90" t="n">
        <v>29549</v>
      </c>
      <c r="D563" t="n">
        <v>410.8</v>
      </c>
    </row>
    <row r="564">
      <c r="A564" s="90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90" t="n">
        <v>29563</v>
      </c>
      <c r="D565" t="n">
        <v>409.6</v>
      </c>
    </row>
    <row r="566">
      <c r="A566" s="90" t="n">
        <v>29570</v>
      </c>
      <c r="D566" t="n">
        <v>410.7</v>
      </c>
    </row>
    <row r="567">
      <c r="A567" s="90" t="n">
        <v>29577</v>
      </c>
      <c r="D567" t="n">
        <v>409.9</v>
      </c>
    </row>
    <row r="568">
      <c r="A568" s="90" t="n">
        <v>29584</v>
      </c>
      <c r="D568" t="n">
        <v>404.3</v>
      </c>
    </row>
    <row r="569">
      <c r="A569" s="90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90" t="n">
        <v>29591</v>
      </c>
      <c r="D570" t="n">
        <v>407.4</v>
      </c>
    </row>
    <row r="571">
      <c r="A571" s="90" t="n">
        <v>29598</v>
      </c>
      <c r="D571" t="n">
        <v>409.4</v>
      </c>
    </row>
    <row r="572">
      <c r="A572" s="90" t="n">
        <v>29605</v>
      </c>
      <c r="D572" t="n">
        <v>413.2</v>
      </c>
    </row>
    <row r="573">
      <c r="A573" s="90" t="n">
        <v>29612</v>
      </c>
      <c r="D573" t="n">
        <v>413.8</v>
      </c>
    </row>
    <row r="574">
      <c r="A574" s="90" t="n">
        <v>29618</v>
      </c>
      <c r="B574" t="n">
        <v>471.4</v>
      </c>
      <c r="C574" t="n">
        <v>1839.4</v>
      </c>
      <c r="E574" t="n">
        <v>1618.7</v>
      </c>
    </row>
    <row r="575">
      <c r="A575" s="90" t="n">
        <v>29619</v>
      </c>
      <c r="D575" t="n">
        <v>410.8</v>
      </c>
    </row>
    <row r="576">
      <c r="A576" s="90" t="n">
        <v>29626</v>
      </c>
      <c r="D576" t="n">
        <v>413.6</v>
      </c>
    </row>
    <row r="577">
      <c r="A577" s="90" t="n">
        <v>29633</v>
      </c>
      <c r="D577" t="n">
        <v>415.3</v>
      </c>
    </row>
    <row r="578">
      <c r="A578" s="90" t="n">
        <v>29640</v>
      </c>
      <c r="D578" t="n">
        <v>416.6</v>
      </c>
    </row>
    <row r="579">
      <c r="A579" s="90" t="n">
        <v>29646</v>
      </c>
      <c r="B579" t="n">
        <v>472.9</v>
      </c>
      <c r="C579" t="n">
        <v>1847.2</v>
      </c>
      <c r="E579" t="n">
        <v>1636.6</v>
      </c>
    </row>
    <row r="580">
      <c r="A580" s="90" t="n">
        <v>29647</v>
      </c>
      <c r="D580" t="n">
        <v>414.7</v>
      </c>
    </row>
    <row r="581">
      <c r="A581" s="90" t="n">
        <v>29654</v>
      </c>
      <c r="D581" t="n">
        <v>417.4</v>
      </c>
    </row>
    <row r="582">
      <c r="A582" s="90" t="n">
        <v>29661</v>
      </c>
      <c r="D582" t="n">
        <v>419.1</v>
      </c>
    </row>
    <row r="583">
      <c r="A583" s="90" t="n">
        <v>29668</v>
      </c>
      <c r="D583" t="n">
        <v>419.2</v>
      </c>
    </row>
    <row r="584">
      <c r="A584" s="90" t="n">
        <v>29675</v>
      </c>
      <c r="D584" t="n">
        <v>421</v>
      </c>
    </row>
    <row r="585">
      <c r="A585" s="90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90" t="n">
        <v>29682</v>
      </c>
      <c r="D586" t="n">
        <v>424</v>
      </c>
    </row>
    <row r="587">
      <c r="A587" s="90" t="n">
        <v>29689</v>
      </c>
      <c r="D587" t="n">
        <v>426.1</v>
      </c>
    </row>
    <row r="588">
      <c r="A588" s="90" t="n">
        <v>29696</v>
      </c>
      <c r="D588" t="n">
        <v>429.7</v>
      </c>
    </row>
    <row r="589">
      <c r="A589" s="90" t="n">
        <v>29703</v>
      </c>
      <c r="D589" t="n">
        <v>429.2</v>
      </c>
    </row>
    <row r="590">
      <c r="A590" s="90" t="n">
        <v>29707</v>
      </c>
      <c r="B590" t="n">
        <v>473.5</v>
      </c>
      <c r="C590" t="n">
        <v>1855.3</v>
      </c>
      <c r="E590" t="n">
        <v>1664.2</v>
      </c>
    </row>
    <row r="591">
      <c r="A591" s="90" t="n">
        <v>29710</v>
      </c>
      <c r="D591" t="n">
        <v>427.6</v>
      </c>
    </row>
    <row r="592">
      <c r="A592" s="90" t="n">
        <v>29717</v>
      </c>
      <c r="D592" t="n">
        <v>425.7</v>
      </c>
    </row>
    <row r="593">
      <c r="A593" s="90" t="n">
        <v>29724</v>
      </c>
      <c r="D593" t="n">
        <v>423.6</v>
      </c>
    </row>
    <row r="594">
      <c r="A594" s="90" t="n">
        <v>29731</v>
      </c>
      <c r="D594" t="n">
        <v>423.1</v>
      </c>
    </row>
    <row r="595">
      <c r="A595" s="90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90" t="n">
        <v>29745</v>
      </c>
      <c r="D596" t="n">
        <v>423.1</v>
      </c>
    </row>
    <row r="597">
      <c r="A597" s="90" t="n">
        <v>29752</v>
      </c>
      <c r="D597" t="n">
        <v>425.4</v>
      </c>
    </row>
    <row r="598">
      <c r="A598" s="90" t="n">
        <v>29759</v>
      </c>
      <c r="D598" t="n">
        <v>426.6</v>
      </c>
    </row>
    <row r="599">
      <c r="A599" s="90" t="n">
        <v>29766</v>
      </c>
      <c r="D599" t="n">
        <v>425.2</v>
      </c>
    </row>
    <row r="600">
      <c r="A600" s="90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90" t="n">
        <v>29773</v>
      </c>
      <c r="D601" t="n">
        <v>428.8</v>
      </c>
    </row>
    <row r="602">
      <c r="A602" s="90" t="n">
        <v>29780</v>
      </c>
      <c r="D602" t="n">
        <v>426.2</v>
      </c>
    </row>
    <row r="603">
      <c r="A603" s="90" t="n">
        <v>29787</v>
      </c>
      <c r="D603" t="n">
        <v>427.4</v>
      </c>
    </row>
    <row r="604">
      <c r="A604" s="90" t="n">
        <v>29794</v>
      </c>
      <c r="D604" t="n">
        <v>426.2</v>
      </c>
    </row>
    <row r="605">
      <c r="A605" s="90" t="n">
        <v>29799</v>
      </c>
      <c r="B605" t="n">
        <v>463</v>
      </c>
      <c r="C605" t="n">
        <v>1837.6</v>
      </c>
      <c r="E605" t="n">
        <v>1694.3</v>
      </c>
    </row>
    <row r="606">
      <c r="A606" s="90" t="n">
        <v>29801</v>
      </c>
      <c r="D606" t="n">
        <v>425.9</v>
      </c>
    </row>
    <row r="607">
      <c r="A607" s="90" t="n">
        <v>29808</v>
      </c>
      <c r="D607" t="n">
        <v>429</v>
      </c>
    </row>
    <row r="608">
      <c r="A608" s="90" t="n">
        <v>29815</v>
      </c>
      <c r="D608" t="n">
        <v>426.3</v>
      </c>
    </row>
    <row r="609">
      <c r="A609" s="90" t="n">
        <v>29822</v>
      </c>
      <c r="D609" t="n">
        <v>425.8</v>
      </c>
    </row>
    <row r="610">
      <c r="A610" s="90" t="n">
        <v>29829</v>
      </c>
      <c r="D610" t="n">
        <v>427</v>
      </c>
    </row>
    <row r="611">
      <c r="A611" s="90" t="n">
        <v>29830</v>
      </c>
      <c r="B611" t="n">
        <v>458.6</v>
      </c>
      <c r="C611" t="n">
        <v>1832.4</v>
      </c>
      <c r="E611" t="n">
        <v>1706</v>
      </c>
    </row>
    <row r="612">
      <c r="A612" s="90" t="n">
        <v>29836</v>
      </c>
      <c r="D612" t="n">
        <v>425.6</v>
      </c>
    </row>
    <row r="613">
      <c r="A613" s="90" t="n">
        <v>29843</v>
      </c>
      <c r="D613" t="n">
        <v>429</v>
      </c>
    </row>
    <row r="614">
      <c r="A614" s="90" t="n">
        <v>29850</v>
      </c>
      <c r="D614" t="n">
        <v>428.3</v>
      </c>
    </row>
    <row r="615">
      <c r="A615" s="90" t="n">
        <v>29857</v>
      </c>
      <c r="D615" t="n">
        <v>424.9</v>
      </c>
    </row>
    <row r="616">
      <c r="A616" s="90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90" t="n">
        <v>29864</v>
      </c>
      <c r="D617" t="n">
        <v>427</v>
      </c>
    </row>
    <row r="618">
      <c r="A618" s="90" t="n">
        <v>29871</v>
      </c>
      <c r="D618" t="n">
        <v>428.3</v>
      </c>
    </row>
    <row r="619">
      <c r="A619" s="90" t="n">
        <v>29878</v>
      </c>
      <c r="D619" t="n">
        <v>428.9</v>
      </c>
    </row>
    <row r="620">
      <c r="A620" s="90" t="n">
        <v>29885</v>
      </c>
      <c r="D620" t="n">
        <v>428.9</v>
      </c>
    </row>
    <row r="621">
      <c r="A621" s="90" t="n">
        <v>29891</v>
      </c>
      <c r="B621" t="n">
        <v>459.8</v>
      </c>
      <c r="C621" t="n">
        <v>1850.9</v>
      </c>
      <c r="E621" t="n">
        <v>1736.1</v>
      </c>
    </row>
    <row r="622">
      <c r="A622" s="90" t="n">
        <v>29892</v>
      </c>
      <c r="D622" t="n">
        <v>428.3</v>
      </c>
    </row>
    <row r="623">
      <c r="A623" s="90" t="n">
        <v>29899</v>
      </c>
      <c r="D623" t="n">
        <v>430.6</v>
      </c>
    </row>
    <row r="624">
      <c r="A624" s="90" t="n">
        <v>29906</v>
      </c>
      <c r="D624" t="n">
        <v>431.4</v>
      </c>
    </row>
    <row r="625">
      <c r="A625" s="90" t="n">
        <v>29913</v>
      </c>
      <c r="D625" t="n">
        <v>430.4</v>
      </c>
    </row>
    <row r="626">
      <c r="A626" s="90" t="n">
        <v>29920</v>
      </c>
      <c r="D626" t="n">
        <v>433.5</v>
      </c>
    </row>
    <row r="627">
      <c r="A627" s="90" t="n">
        <v>29921</v>
      </c>
      <c r="B627" t="n">
        <v>464.1</v>
      </c>
      <c r="C627" t="n">
        <v>1865.6</v>
      </c>
      <c r="E627" t="n">
        <v>1755.5</v>
      </c>
    </row>
    <row r="628">
      <c r="A628" s="90" t="n">
        <v>29927</v>
      </c>
      <c r="D628" t="n">
        <v>436.2</v>
      </c>
    </row>
    <row r="629">
      <c r="A629" s="90" t="n">
        <v>29934</v>
      </c>
      <c r="D629" t="n">
        <v>435.1</v>
      </c>
    </row>
    <row r="630">
      <c r="A630" s="90" t="n">
        <v>29941</v>
      </c>
      <c r="D630" t="n">
        <v>437.2</v>
      </c>
    </row>
    <row r="631">
      <c r="A631" s="90" t="n">
        <v>29948</v>
      </c>
      <c r="D631" t="n">
        <v>436.7</v>
      </c>
    </row>
    <row r="632">
      <c r="A632" s="90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90" t="n">
        <v>29955</v>
      </c>
      <c r="D633" t="n">
        <v>440.2</v>
      </c>
    </row>
    <row r="634">
      <c r="A634" s="90" t="n">
        <v>29962</v>
      </c>
      <c r="D634" t="n">
        <v>442.7</v>
      </c>
    </row>
    <row r="635">
      <c r="A635" s="90" t="n">
        <v>29969</v>
      </c>
      <c r="D635" t="n">
        <v>442.8</v>
      </c>
    </row>
    <row r="636">
      <c r="A636" s="90" t="n">
        <v>29976</v>
      </c>
      <c r="D636" t="n">
        <v>442.7</v>
      </c>
    </row>
    <row r="637">
      <c r="A637" s="90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90" t="n">
        <v>29990</v>
      </c>
      <c r="D638" t="n">
        <v>441.3</v>
      </c>
    </row>
    <row r="639">
      <c r="A639" s="90" t="n">
        <v>29997</v>
      </c>
      <c r="D639" t="n">
        <v>442.3</v>
      </c>
    </row>
    <row r="640">
      <c r="A640" s="90" t="n">
        <v>30004</v>
      </c>
      <c r="D640" t="n">
        <v>441.6</v>
      </c>
    </row>
    <row r="641">
      <c r="A641" s="90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90" t="n">
        <v>30018</v>
      </c>
      <c r="D642" t="n">
        <v>442.1</v>
      </c>
    </row>
    <row r="643">
      <c r="A643" s="90" t="n">
        <v>30025</v>
      </c>
      <c r="D643" t="n">
        <v>443.4</v>
      </c>
    </row>
    <row r="644">
      <c r="A644" s="90" t="n">
        <v>30032</v>
      </c>
      <c r="D644" t="n">
        <v>442.4</v>
      </c>
    </row>
    <row r="645">
      <c r="A645" s="90" t="n">
        <v>30039</v>
      </c>
      <c r="D645" t="n">
        <v>442.4</v>
      </c>
    </row>
    <row r="646">
      <c r="A646" s="90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90" t="n">
        <v>30046</v>
      </c>
      <c r="D647" t="n">
        <v>445.2</v>
      </c>
    </row>
    <row r="648">
      <c r="A648" s="90" t="n">
        <v>30053</v>
      </c>
      <c r="D648" t="n">
        <v>447.6</v>
      </c>
    </row>
    <row r="649">
      <c r="A649" s="90" t="n">
        <v>30060</v>
      </c>
      <c r="D649" t="n">
        <v>448.5</v>
      </c>
    </row>
    <row r="650">
      <c r="A650" s="90" t="n">
        <v>30067</v>
      </c>
      <c r="D650" t="n">
        <v>447.7</v>
      </c>
    </row>
    <row r="651">
      <c r="A651" s="90" t="n">
        <v>30072</v>
      </c>
      <c r="B651" t="n">
        <v>465.8</v>
      </c>
      <c r="C651" t="n">
        <v>1893</v>
      </c>
      <c r="E651" t="n">
        <v>1815.4</v>
      </c>
    </row>
    <row r="652">
      <c r="A652" s="90" t="n">
        <v>30074</v>
      </c>
      <c r="D652" t="n">
        <v>445.3</v>
      </c>
    </row>
    <row r="653">
      <c r="A653" s="90" t="n">
        <v>30081</v>
      </c>
      <c r="D653" t="n">
        <v>447.2</v>
      </c>
    </row>
    <row r="654">
      <c r="A654" s="90" t="n">
        <v>30088</v>
      </c>
      <c r="D654" t="n">
        <v>445.9</v>
      </c>
    </row>
    <row r="655">
      <c r="A655" s="90" t="n">
        <v>30095</v>
      </c>
      <c r="D655" t="n">
        <v>447.1</v>
      </c>
    </row>
    <row r="656">
      <c r="A656" s="90" t="n">
        <v>30102</v>
      </c>
      <c r="D656" t="n">
        <v>447.4</v>
      </c>
    </row>
    <row r="657">
      <c r="A657" s="90" t="n">
        <v>30103</v>
      </c>
      <c r="B657" t="n">
        <v>461.3</v>
      </c>
      <c r="C657" t="n">
        <v>1882.5</v>
      </c>
      <c r="E657" t="n">
        <v>1826</v>
      </c>
    </row>
    <row r="658">
      <c r="A658" s="90" t="n">
        <v>30109</v>
      </c>
      <c r="D658" t="n">
        <v>448</v>
      </c>
    </row>
    <row r="659">
      <c r="A659" s="90" t="n">
        <v>30116</v>
      </c>
      <c r="D659" t="n">
        <v>449.1</v>
      </c>
    </row>
    <row r="660">
      <c r="A660" s="90" t="n">
        <v>30123</v>
      </c>
      <c r="D660" t="n">
        <v>448.3</v>
      </c>
    </row>
    <row r="661">
      <c r="A661" s="90" t="n">
        <v>30130</v>
      </c>
      <c r="D661" t="n">
        <v>445</v>
      </c>
    </row>
    <row r="662">
      <c r="A662" s="90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90" t="n">
        <v>30137</v>
      </c>
      <c r="D663" t="n">
        <v>446.1</v>
      </c>
    </row>
    <row r="664">
      <c r="A664" s="90" t="n">
        <v>30144</v>
      </c>
      <c r="D664" t="n">
        <v>449</v>
      </c>
    </row>
    <row r="665">
      <c r="A665" s="90" t="n">
        <v>30151</v>
      </c>
      <c r="D665" t="n">
        <v>447.8</v>
      </c>
    </row>
    <row r="666">
      <c r="A666" s="90" t="n">
        <v>30158</v>
      </c>
      <c r="D666" t="n">
        <v>448.4</v>
      </c>
    </row>
    <row r="667">
      <c r="A667" s="90" t="n">
        <v>30164</v>
      </c>
      <c r="B667" t="n">
        <v>462</v>
      </c>
      <c r="C667" t="n">
        <v>1888.6</v>
      </c>
      <c r="E667" t="n">
        <v>1845.2</v>
      </c>
    </row>
    <row r="668">
      <c r="A668" s="90" t="n">
        <v>30165</v>
      </c>
      <c r="D668" t="n">
        <v>448.5</v>
      </c>
    </row>
    <row r="669">
      <c r="A669" s="90" t="n">
        <v>30172</v>
      </c>
      <c r="D669" t="n">
        <v>449.6</v>
      </c>
    </row>
    <row r="670">
      <c r="A670" s="90" t="n">
        <v>30179</v>
      </c>
      <c r="D670" t="n">
        <v>451.2</v>
      </c>
    </row>
    <row r="671">
      <c r="A671" s="90" t="n">
        <v>30186</v>
      </c>
      <c r="D671" t="n">
        <v>452.3</v>
      </c>
    </row>
    <row r="672">
      <c r="A672" s="90" t="n">
        <v>30193</v>
      </c>
      <c r="D672" t="n">
        <v>453.1</v>
      </c>
    </row>
    <row r="673">
      <c r="A673" s="90" t="n">
        <v>30195</v>
      </c>
      <c r="B673" t="n">
        <v>467.7</v>
      </c>
      <c r="C673" t="n">
        <v>1902.1</v>
      </c>
      <c r="E673" t="n">
        <v>1858.4</v>
      </c>
    </row>
    <row r="674">
      <c r="A674" s="90" t="n">
        <v>30200</v>
      </c>
      <c r="D674" t="n">
        <v>454.5</v>
      </c>
    </row>
    <row r="675">
      <c r="A675" s="90" t="n">
        <v>30207</v>
      </c>
      <c r="D675" t="n">
        <v>456.6</v>
      </c>
    </row>
    <row r="676">
      <c r="A676" s="90" t="n">
        <v>30214</v>
      </c>
      <c r="D676" t="n">
        <v>458.2</v>
      </c>
    </row>
    <row r="677">
      <c r="A677" s="90" t="n">
        <v>30221</v>
      </c>
      <c r="D677" t="n">
        <v>456.6</v>
      </c>
    </row>
    <row r="678">
      <c r="A678" s="90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90" t="n">
        <v>30228</v>
      </c>
      <c r="D679" t="n">
        <v>460</v>
      </c>
    </row>
    <row r="680">
      <c r="A680" s="90" t="n">
        <v>30235</v>
      </c>
      <c r="D680" t="n">
        <v>463.3</v>
      </c>
    </row>
    <row r="681">
      <c r="A681" s="90" t="n">
        <v>30242</v>
      </c>
      <c r="D681" t="n">
        <v>463.9</v>
      </c>
    </row>
    <row r="682">
      <c r="A682" s="90" t="n">
        <v>30249</v>
      </c>
      <c r="D682" t="n">
        <v>465.5</v>
      </c>
    </row>
    <row r="683">
      <c r="A683" s="90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90" t="n">
        <v>30263</v>
      </c>
      <c r="D684" t="n">
        <v>470.4</v>
      </c>
    </row>
    <row r="685">
      <c r="A685" s="90" t="n">
        <v>30270</v>
      </c>
      <c r="D685" t="n">
        <v>472.1</v>
      </c>
    </row>
    <row r="686">
      <c r="A686" s="90" t="n">
        <v>30277</v>
      </c>
      <c r="D686" t="n">
        <v>471.9</v>
      </c>
    </row>
    <row r="687">
      <c r="A687" s="90" t="n">
        <v>30284</v>
      </c>
      <c r="D687" t="n">
        <v>471.5</v>
      </c>
    </row>
    <row r="688">
      <c r="A688" s="90" t="n">
        <v>30286</v>
      </c>
      <c r="B688" t="n">
        <v>486</v>
      </c>
      <c r="C688" t="n">
        <v>1950.8</v>
      </c>
      <c r="E688" t="n">
        <v>1905.9</v>
      </c>
    </row>
    <row r="689">
      <c r="A689" s="90" t="n">
        <v>30291</v>
      </c>
      <c r="D689" t="n">
        <v>474.2</v>
      </c>
    </row>
    <row r="690">
      <c r="A690" s="90" t="n">
        <v>30298</v>
      </c>
      <c r="D690" t="n">
        <v>477.1</v>
      </c>
    </row>
    <row r="691">
      <c r="A691" s="90" t="n">
        <v>30305</v>
      </c>
      <c r="D691" t="n">
        <v>475.2</v>
      </c>
    </row>
    <row r="692">
      <c r="A692" s="90" t="n">
        <v>30312</v>
      </c>
      <c r="D692" t="n">
        <v>473.9</v>
      </c>
    </row>
    <row r="693">
      <c r="A693" s="90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90" t="n">
        <v>30319</v>
      </c>
      <c r="D694" t="n">
        <v>472.6</v>
      </c>
    </row>
    <row r="695">
      <c r="A695" s="90" t="n">
        <v>30326</v>
      </c>
      <c r="D695" t="n">
        <v>475.3</v>
      </c>
    </row>
    <row r="696">
      <c r="A696" s="90" t="n">
        <v>30333</v>
      </c>
      <c r="D696" t="n">
        <v>477.2</v>
      </c>
    </row>
    <row r="697">
      <c r="A697" s="90" t="n">
        <v>30340</v>
      </c>
      <c r="D697" t="n">
        <v>478.4</v>
      </c>
    </row>
    <row r="698">
      <c r="A698" s="90" t="n">
        <v>30347</v>
      </c>
      <c r="D698" t="n">
        <v>479.7</v>
      </c>
    </row>
    <row r="699">
      <c r="A699" s="90" t="n">
        <v>30348</v>
      </c>
      <c r="B699" t="n">
        <v>494.2</v>
      </c>
      <c r="C699" t="n">
        <v>2037.6</v>
      </c>
      <c r="E699" t="n">
        <v>1996.8</v>
      </c>
    </row>
    <row r="700">
      <c r="A700" s="90" t="n">
        <v>30354</v>
      </c>
      <c r="D700" t="n">
        <v>482.3</v>
      </c>
    </row>
    <row r="701">
      <c r="A701" s="90" t="n">
        <v>30361</v>
      </c>
      <c r="D701" t="n">
        <v>483.4</v>
      </c>
    </row>
    <row r="702">
      <c r="A702" s="90" t="n">
        <v>30368</v>
      </c>
      <c r="D702" t="n">
        <v>483.9</v>
      </c>
    </row>
    <row r="703">
      <c r="A703" s="90" t="n">
        <v>30375</v>
      </c>
      <c r="D703" t="n">
        <v>487.5</v>
      </c>
    </row>
    <row r="704">
      <c r="A704" s="90" t="n">
        <v>30376</v>
      </c>
      <c r="B704" t="n">
        <v>500.1</v>
      </c>
      <c r="C704" t="n">
        <v>2054.2</v>
      </c>
      <c r="E704" t="n">
        <v>2015.2</v>
      </c>
    </row>
    <row r="705">
      <c r="A705" s="90" t="n">
        <v>30382</v>
      </c>
      <c r="D705" t="n">
        <v>489.6</v>
      </c>
    </row>
    <row r="706">
      <c r="A706" s="90" t="n">
        <v>30389</v>
      </c>
      <c r="D706" t="n">
        <v>489.6</v>
      </c>
    </row>
    <row r="707">
      <c r="A707" s="90" t="n">
        <v>30396</v>
      </c>
      <c r="D707" t="n">
        <v>490.9</v>
      </c>
    </row>
    <row r="708">
      <c r="A708" s="90" t="n">
        <v>30403</v>
      </c>
      <c r="D708" t="n">
        <v>491</v>
      </c>
    </row>
    <row r="709">
      <c r="A709" s="90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90" t="n">
        <v>30410</v>
      </c>
      <c r="D710" t="n">
        <v>493.4</v>
      </c>
    </row>
    <row r="711">
      <c r="A711" s="90" t="n">
        <v>30417</v>
      </c>
      <c r="D711" t="n">
        <v>493.7</v>
      </c>
    </row>
    <row r="712">
      <c r="A712" s="90" t="n">
        <v>30424</v>
      </c>
      <c r="D712" t="n">
        <v>491.2</v>
      </c>
    </row>
    <row r="713">
      <c r="A713" s="90" t="n">
        <v>30431</v>
      </c>
      <c r="D713" t="n">
        <v>492.5</v>
      </c>
    </row>
    <row r="714">
      <c r="A714" s="90" t="n">
        <v>30437</v>
      </c>
      <c r="B714" t="n">
        <v>504</v>
      </c>
      <c r="C714" t="n">
        <v>2059.6</v>
      </c>
      <c r="E714" t="n">
        <v>2043.1</v>
      </c>
    </row>
    <row r="715">
      <c r="A715" s="90" t="n">
        <v>30438</v>
      </c>
      <c r="D715" t="n">
        <v>496</v>
      </c>
    </row>
    <row r="716">
      <c r="A716" s="90" t="n">
        <v>30445</v>
      </c>
      <c r="D716" t="n">
        <v>497.5</v>
      </c>
    </row>
    <row r="717">
      <c r="A717" s="90" t="n">
        <v>30452</v>
      </c>
      <c r="D717" t="n">
        <v>501.3</v>
      </c>
    </row>
    <row r="718">
      <c r="A718" s="90" t="n">
        <v>30459</v>
      </c>
      <c r="D718" t="n">
        <v>500.9</v>
      </c>
    </row>
    <row r="719">
      <c r="A719" s="90" t="n">
        <v>30466</v>
      </c>
      <c r="D719" t="n">
        <v>501</v>
      </c>
    </row>
    <row r="720">
      <c r="A720" s="90" t="n">
        <v>30468</v>
      </c>
      <c r="B720" t="n">
        <v>507</v>
      </c>
      <c r="C720" t="n">
        <v>2065.9</v>
      </c>
      <c r="E720" t="n">
        <v>2053.5</v>
      </c>
    </row>
    <row r="721">
      <c r="A721" s="90" t="n">
        <v>30473</v>
      </c>
      <c r="D721" t="n">
        <v>502.6</v>
      </c>
    </row>
    <row r="722">
      <c r="A722" s="90" t="n">
        <v>30480</v>
      </c>
      <c r="D722" t="n">
        <v>504.2</v>
      </c>
    </row>
    <row r="723">
      <c r="A723" s="90" t="n">
        <v>30487</v>
      </c>
      <c r="D723" t="n">
        <v>504.4</v>
      </c>
    </row>
    <row r="724">
      <c r="A724" s="90" t="n">
        <v>30494</v>
      </c>
      <c r="D724" t="n">
        <v>503.9</v>
      </c>
    </row>
    <row r="725">
      <c r="A725" s="90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90" t="n">
        <v>30501</v>
      </c>
      <c r="D726" t="n">
        <v>505.1</v>
      </c>
    </row>
    <row r="727">
      <c r="A727" s="90" t="n">
        <v>30508</v>
      </c>
      <c r="D727" t="n">
        <v>508.2</v>
      </c>
    </row>
    <row r="728">
      <c r="A728" s="90" t="n">
        <v>30515</v>
      </c>
      <c r="D728" t="n">
        <v>506.8</v>
      </c>
    </row>
    <row r="729">
      <c r="A729" s="90" t="n">
        <v>30522</v>
      </c>
      <c r="D729" t="n">
        <v>508.2</v>
      </c>
    </row>
    <row r="730">
      <c r="A730" s="90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90" t="n">
        <v>30536</v>
      </c>
      <c r="D731" t="n">
        <v>509.1</v>
      </c>
    </row>
    <row r="732">
      <c r="A732" s="90" t="n">
        <v>30543</v>
      </c>
      <c r="D732" t="n">
        <v>510.8</v>
      </c>
    </row>
    <row r="733">
      <c r="A733" s="90" t="n">
        <v>30550</v>
      </c>
      <c r="D733" t="n">
        <v>510.9</v>
      </c>
    </row>
    <row r="734">
      <c r="A734" s="90" t="n">
        <v>30557</v>
      </c>
      <c r="D734" t="n">
        <v>510.6</v>
      </c>
    </row>
    <row r="735">
      <c r="A735" s="90" t="n">
        <v>30560</v>
      </c>
      <c r="B735" t="n">
        <v>510.8</v>
      </c>
      <c r="C735" t="n">
        <v>2074.9</v>
      </c>
      <c r="E735" t="n">
        <v>2083.2</v>
      </c>
    </row>
    <row r="736">
      <c r="A736" s="90" t="n">
        <v>30564</v>
      </c>
      <c r="D736" t="n">
        <v>512.3</v>
      </c>
    </row>
    <row r="737">
      <c r="A737" s="90" t="n">
        <v>30571</v>
      </c>
      <c r="D737" t="n">
        <v>511.8</v>
      </c>
    </row>
    <row r="738">
      <c r="A738" s="90" t="n">
        <v>30578</v>
      </c>
      <c r="D738" t="n">
        <v>512.3</v>
      </c>
    </row>
    <row r="739">
      <c r="A739" s="90" t="n">
        <v>30585</v>
      </c>
      <c r="D739" t="n">
        <v>514</v>
      </c>
    </row>
    <row r="740">
      <c r="A740" s="90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90" t="n">
        <v>30592</v>
      </c>
      <c r="D741" t="n">
        <v>513.8</v>
      </c>
    </row>
    <row r="742">
      <c r="A742" s="90" t="n">
        <v>30599</v>
      </c>
      <c r="D742" t="n">
        <v>517.3</v>
      </c>
    </row>
    <row r="743">
      <c r="A743" s="90" t="n">
        <v>30606</v>
      </c>
      <c r="D743" t="n">
        <v>517.7</v>
      </c>
    </row>
    <row r="744">
      <c r="A744" s="90" t="n">
        <v>30613</v>
      </c>
      <c r="D744" t="n">
        <v>518.5</v>
      </c>
    </row>
    <row r="745">
      <c r="A745" s="90" t="n">
        <v>30620</v>
      </c>
      <c r="D745" t="n">
        <v>518.4</v>
      </c>
    </row>
    <row r="746">
      <c r="A746" s="90" t="n">
        <v>30621</v>
      </c>
      <c r="B746" t="n">
        <v>513.4</v>
      </c>
      <c r="C746" t="n">
        <v>2089.3</v>
      </c>
      <c r="E746" t="n">
        <v>2112.3</v>
      </c>
    </row>
    <row r="747">
      <c r="A747" s="90" t="n">
        <v>30627</v>
      </c>
      <c r="D747" t="n">
        <v>518.9</v>
      </c>
    </row>
    <row r="748">
      <c r="A748" s="90" t="n">
        <v>30634</v>
      </c>
      <c r="D748" t="n">
        <v>519.1</v>
      </c>
    </row>
    <row r="749">
      <c r="A749" s="90" t="n">
        <v>30641</v>
      </c>
      <c r="D749" t="n">
        <v>518.8</v>
      </c>
    </row>
    <row r="750">
      <c r="A750" s="90" t="n">
        <v>30648</v>
      </c>
      <c r="D750" t="n">
        <v>518.6</v>
      </c>
    </row>
    <row r="751">
      <c r="A751" s="90" t="n">
        <v>30651</v>
      </c>
      <c r="B751" t="n">
        <v>514.2</v>
      </c>
      <c r="C751" t="n">
        <v>2094.2</v>
      </c>
      <c r="E751" t="n">
        <v>2123.5</v>
      </c>
    </row>
    <row r="752">
      <c r="A752" s="90" t="n">
        <v>30655</v>
      </c>
      <c r="D752" t="n">
        <v>520.4</v>
      </c>
    </row>
    <row r="753">
      <c r="A753" s="90" t="n">
        <v>30662</v>
      </c>
      <c r="D753" t="n">
        <v>521.6</v>
      </c>
    </row>
    <row r="754">
      <c r="A754" s="90" t="n">
        <v>30669</v>
      </c>
      <c r="D754" t="n">
        <v>522.2</v>
      </c>
    </row>
    <row r="755">
      <c r="A755" s="90" t="n">
        <v>30676</v>
      </c>
      <c r="D755" t="n">
        <v>520.6</v>
      </c>
    </row>
    <row r="756">
      <c r="A756" s="90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90" t="n">
        <v>30683</v>
      </c>
      <c r="D757" t="n">
        <v>522.2</v>
      </c>
    </row>
    <row r="758">
      <c r="A758" s="90" t="n">
        <v>30690</v>
      </c>
      <c r="D758" t="n">
        <v>525.3</v>
      </c>
    </row>
    <row r="759">
      <c r="A759" s="90" t="n">
        <v>30697</v>
      </c>
      <c r="D759" t="n">
        <v>526.3</v>
      </c>
    </row>
    <row r="760">
      <c r="A760" s="90" t="n">
        <v>30704</v>
      </c>
      <c r="D760" t="n">
        <v>525</v>
      </c>
    </row>
    <row r="761">
      <c r="A761" s="90" t="n">
        <v>30711</v>
      </c>
      <c r="D761" t="n">
        <v>524.2</v>
      </c>
    </row>
    <row r="762">
      <c r="A762" s="90" t="n">
        <v>30713</v>
      </c>
      <c r="B762" t="n">
        <v>514.1</v>
      </c>
      <c r="C762" t="n">
        <v>2103.5</v>
      </c>
      <c r="E762" t="n">
        <v>2158.2</v>
      </c>
    </row>
    <row r="763">
      <c r="A763" s="90" t="n">
        <v>30718</v>
      </c>
      <c r="D763" t="n">
        <v>526.6</v>
      </c>
    </row>
    <row r="764">
      <c r="A764" s="90" t="n">
        <v>30725</v>
      </c>
      <c r="D764" t="n">
        <v>527.1</v>
      </c>
    </row>
    <row r="765">
      <c r="A765" s="90" t="n">
        <v>30732</v>
      </c>
      <c r="D765" t="n">
        <v>528.5</v>
      </c>
    </row>
    <row r="766">
      <c r="A766" s="90" t="n">
        <v>30739</v>
      </c>
      <c r="D766" t="n">
        <v>527.4</v>
      </c>
    </row>
    <row r="767">
      <c r="A767" s="90" t="n">
        <v>30742</v>
      </c>
      <c r="B767" t="n">
        <v>516.4</v>
      </c>
      <c r="C767" t="n">
        <v>2113.9</v>
      </c>
      <c r="E767" t="n">
        <v>2175.2</v>
      </c>
    </row>
    <row r="768">
      <c r="A768" s="90" t="n">
        <v>30746</v>
      </c>
      <c r="D768" t="n">
        <v>529.4</v>
      </c>
    </row>
    <row r="769">
      <c r="A769" s="90" t="n">
        <v>30753</v>
      </c>
      <c r="D769" t="n">
        <v>530</v>
      </c>
    </row>
    <row r="770">
      <c r="A770" s="90" t="n">
        <v>30760</v>
      </c>
      <c r="D770" t="n">
        <v>531.4</v>
      </c>
    </row>
    <row r="771">
      <c r="A771" s="90" t="n">
        <v>30767</v>
      </c>
      <c r="D771" t="n">
        <v>533.3</v>
      </c>
    </row>
    <row r="772">
      <c r="A772" s="90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90" t="n">
        <v>30774</v>
      </c>
      <c r="D773" t="n">
        <v>531.8</v>
      </c>
    </row>
    <row r="774">
      <c r="A774" s="90" t="n">
        <v>30781</v>
      </c>
      <c r="D774" t="n">
        <v>533.8</v>
      </c>
    </row>
    <row r="775">
      <c r="A775" s="90" t="n">
        <v>30788</v>
      </c>
      <c r="D775" t="n">
        <v>535.5</v>
      </c>
    </row>
    <row r="776">
      <c r="A776" s="90" t="n">
        <v>30795</v>
      </c>
      <c r="D776" t="n">
        <v>534.7</v>
      </c>
    </row>
    <row r="777">
      <c r="A777" s="90" t="n">
        <v>30802</v>
      </c>
      <c r="D777" t="n">
        <v>534.5</v>
      </c>
    </row>
    <row r="778">
      <c r="A778" s="90" t="n">
        <v>30803</v>
      </c>
      <c r="B778" t="n">
        <v>518.6</v>
      </c>
      <c r="C778" t="n">
        <v>2129.6</v>
      </c>
      <c r="E778" t="n">
        <v>2204.1</v>
      </c>
    </row>
    <row r="779">
      <c r="A779" s="90" t="n">
        <v>30809</v>
      </c>
      <c r="D779" t="n">
        <v>535.4</v>
      </c>
    </row>
    <row r="780">
      <c r="A780" s="90" t="n">
        <v>30816</v>
      </c>
      <c r="D780" t="n">
        <v>537.4</v>
      </c>
    </row>
    <row r="781">
      <c r="A781" s="90" t="n">
        <v>30823</v>
      </c>
      <c r="D781" t="n">
        <v>537.1</v>
      </c>
    </row>
    <row r="782">
      <c r="A782" s="90" t="n">
        <v>30830</v>
      </c>
      <c r="D782" t="n">
        <v>536.2</v>
      </c>
    </row>
    <row r="783">
      <c r="A783" s="90" t="n">
        <v>30834</v>
      </c>
      <c r="B783" t="n">
        <v>520.9</v>
      </c>
      <c r="C783" t="n">
        <v>2136.1</v>
      </c>
      <c r="E783" t="n">
        <v>2215.1</v>
      </c>
    </row>
    <row r="784">
      <c r="A784" s="90" t="n">
        <v>30837</v>
      </c>
      <c r="D784" t="n">
        <v>539.6</v>
      </c>
    </row>
    <row r="785">
      <c r="A785" s="90" t="n">
        <v>30844</v>
      </c>
      <c r="D785" t="n">
        <v>540.2</v>
      </c>
    </row>
    <row r="786">
      <c r="A786" s="90" t="n">
        <v>30851</v>
      </c>
      <c r="D786" t="n">
        <v>539.3</v>
      </c>
    </row>
    <row r="787">
      <c r="A787" s="90" t="n">
        <v>30858</v>
      </c>
      <c r="D787" t="n">
        <v>540.3</v>
      </c>
    </row>
    <row r="788">
      <c r="A788" s="90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90" t="n">
        <v>30865</v>
      </c>
      <c r="D789" t="n">
        <v>541.1</v>
      </c>
    </row>
    <row r="790">
      <c r="A790" s="90" t="n">
        <v>30872</v>
      </c>
      <c r="D790" t="n">
        <v>539.9</v>
      </c>
    </row>
    <row r="791">
      <c r="A791" s="90" t="n">
        <v>30879</v>
      </c>
      <c r="D791" t="n">
        <v>542.2</v>
      </c>
    </row>
    <row r="792">
      <c r="A792" s="90" t="n">
        <v>30886</v>
      </c>
      <c r="D792" t="n">
        <v>541.3</v>
      </c>
    </row>
    <row r="793">
      <c r="A793" s="90" t="n">
        <v>30893</v>
      </c>
      <c r="D793" t="n">
        <v>539.7</v>
      </c>
    </row>
    <row r="794">
      <c r="A794" s="90" t="n">
        <v>30895</v>
      </c>
      <c r="B794" t="n">
        <v>518.2</v>
      </c>
      <c r="C794" t="n">
        <v>2136.4</v>
      </c>
      <c r="E794" t="n">
        <v>2230.4</v>
      </c>
    </row>
    <row r="795">
      <c r="A795" s="90" t="n">
        <v>30900</v>
      </c>
      <c r="D795" t="n">
        <v>540.5</v>
      </c>
    </row>
    <row r="796">
      <c r="A796" s="90" t="n">
        <v>30907</v>
      </c>
      <c r="D796" t="n">
        <v>541.2</v>
      </c>
    </row>
    <row r="797">
      <c r="A797" s="90" t="n">
        <v>30914</v>
      </c>
      <c r="D797" t="n">
        <v>541.3</v>
      </c>
    </row>
    <row r="798">
      <c r="A798" s="90" t="n">
        <v>30921</v>
      </c>
      <c r="D798" t="n">
        <v>540.7</v>
      </c>
    </row>
    <row r="799">
      <c r="A799" s="90" t="n">
        <v>30926</v>
      </c>
      <c r="B799" t="n">
        <v>518.7</v>
      </c>
      <c r="C799" t="n">
        <v>2143.6</v>
      </c>
      <c r="E799" t="n">
        <v>2244.4</v>
      </c>
    </row>
    <row r="800">
      <c r="A800" s="90" t="n">
        <v>30928</v>
      </c>
      <c r="D800" t="n">
        <v>541.7</v>
      </c>
    </row>
    <row r="801">
      <c r="A801" s="90" t="n">
        <v>30935</v>
      </c>
      <c r="D801" t="n">
        <v>543.4</v>
      </c>
    </row>
    <row r="802">
      <c r="A802" s="90" t="n">
        <v>30942</v>
      </c>
      <c r="D802" t="n">
        <v>542.8</v>
      </c>
    </row>
    <row r="803">
      <c r="A803" s="90" t="n">
        <v>30949</v>
      </c>
      <c r="D803" t="n">
        <v>542.8</v>
      </c>
    </row>
    <row r="804">
      <c r="A804" s="90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90" t="n">
        <v>30963</v>
      </c>
      <c r="D805" t="n">
        <v>542.2</v>
      </c>
    </row>
    <row r="806">
      <c r="A806" s="90" t="n">
        <v>30970</v>
      </c>
      <c r="D806" t="n">
        <v>545.7</v>
      </c>
    </row>
    <row r="807">
      <c r="A807" s="90" t="n">
        <v>30977</v>
      </c>
      <c r="D807" t="n">
        <v>542.1</v>
      </c>
    </row>
    <row r="808">
      <c r="A808" s="90" t="n">
        <v>30984</v>
      </c>
      <c r="D808" t="n">
        <v>544.4</v>
      </c>
    </row>
    <row r="809">
      <c r="A809" s="90" t="n">
        <v>30987</v>
      </c>
      <c r="B809" t="n">
        <v>519.9</v>
      </c>
      <c r="C809" t="n">
        <v>2166.6</v>
      </c>
      <c r="E809" t="n">
        <v>2281.4</v>
      </c>
    </row>
    <row r="810">
      <c r="A810" s="90" t="n">
        <v>30991</v>
      </c>
      <c r="D810" t="n">
        <v>546.4</v>
      </c>
    </row>
    <row r="811">
      <c r="A811" s="90" t="n">
        <v>30998</v>
      </c>
      <c r="D811" t="n">
        <v>546.7</v>
      </c>
    </row>
    <row r="812">
      <c r="A812" s="90" t="n">
        <v>31005</v>
      </c>
      <c r="D812" t="n">
        <v>549.7</v>
      </c>
    </row>
    <row r="813">
      <c r="A813" s="90" t="n">
        <v>31012</v>
      </c>
      <c r="D813" t="n">
        <v>549.1</v>
      </c>
    </row>
    <row r="814">
      <c r="A814" s="90" t="n">
        <v>31017</v>
      </c>
      <c r="B814" t="n">
        <v>522.8</v>
      </c>
      <c r="C814" t="n">
        <v>2186.2</v>
      </c>
      <c r="E814" t="n">
        <v>2306.4</v>
      </c>
    </row>
    <row r="815">
      <c r="A815" s="90" t="n">
        <v>31019</v>
      </c>
      <c r="D815" t="n">
        <v>545.1</v>
      </c>
    </row>
    <row r="816">
      <c r="A816" s="90" t="n">
        <v>31026</v>
      </c>
      <c r="D816" t="n">
        <v>549.6</v>
      </c>
    </row>
    <row r="817">
      <c r="A817" s="90" t="n">
        <v>31033</v>
      </c>
      <c r="D817" t="n">
        <v>550.6</v>
      </c>
    </row>
    <row r="818">
      <c r="A818" s="90" t="n">
        <v>31040</v>
      </c>
      <c r="D818" t="n">
        <v>554</v>
      </c>
    </row>
    <row r="819">
      <c r="A819" s="90" t="n">
        <v>31047</v>
      </c>
      <c r="D819" t="n">
        <v>555.9</v>
      </c>
    </row>
    <row r="820">
      <c r="A820" s="90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90" t="n">
        <v>31054</v>
      </c>
      <c r="D821" t="n">
        <v>554</v>
      </c>
    </row>
    <row r="822">
      <c r="A822" s="90" t="n">
        <v>31061</v>
      </c>
      <c r="D822" t="n">
        <v>555.6</v>
      </c>
    </row>
    <row r="823">
      <c r="A823" s="90" t="n">
        <v>31068</v>
      </c>
      <c r="D823" t="n">
        <v>557.5</v>
      </c>
    </row>
    <row r="824">
      <c r="A824" s="90" t="n">
        <v>31075</v>
      </c>
      <c r="D824" t="n">
        <v>558.8</v>
      </c>
    </row>
    <row r="825">
      <c r="A825" s="90" t="n">
        <v>31079</v>
      </c>
      <c r="B825" t="n">
        <v>530.2</v>
      </c>
      <c r="C825" t="n">
        <v>2214.6</v>
      </c>
      <c r="E825" t="n">
        <v>2354.1</v>
      </c>
    </row>
    <row r="826">
      <c r="A826" s="90" t="n">
        <v>31082</v>
      </c>
      <c r="D826" t="n">
        <v>561.4</v>
      </c>
    </row>
    <row r="827">
      <c r="A827" s="90" t="n">
        <v>31089</v>
      </c>
      <c r="D827" t="n">
        <v>562.4</v>
      </c>
    </row>
    <row r="828">
      <c r="A828" s="90" t="n">
        <v>31096</v>
      </c>
      <c r="D828" t="n">
        <v>563.7</v>
      </c>
    </row>
    <row r="829">
      <c r="A829" s="90" t="n">
        <v>31103</v>
      </c>
      <c r="D829" t="n">
        <v>564.9</v>
      </c>
    </row>
    <row r="830">
      <c r="A830" s="90" t="n">
        <v>31107</v>
      </c>
      <c r="B830" t="n">
        <v>530.5</v>
      </c>
      <c r="C830" t="n">
        <v>2215.5</v>
      </c>
      <c r="E830" t="n">
        <v>2366.2</v>
      </c>
    </row>
    <row r="831">
      <c r="A831" s="90" t="n">
        <v>31110</v>
      </c>
      <c r="D831" t="n">
        <v>565.7</v>
      </c>
    </row>
    <row r="832">
      <c r="A832" s="90" t="n">
        <v>31117</v>
      </c>
      <c r="D832" t="n">
        <v>565.6</v>
      </c>
    </row>
    <row r="833">
      <c r="A833" s="90" t="n">
        <v>31124</v>
      </c>
      <c r="D833" t="n">
        <v>565.1</v>
      </c>
    </row>
    <row r="834">
      <c r="A834" s="90" t="n">
        <v>31131</v>
      </c>
      <c r="D834" t="n">
        <v>567.6</v>
      </c>
    </row>
    <row r="835">
      <c r="A835" s="90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90" t="n">
        <v>31145</v>
      </c>
      <c r="D836" t="n">
        <v>567.8</v>
      </c>
    </row>
    <row r="837">
      <c r="A837" s="90" t="n">
        <v>31152</v>
      </c>
      <c r="D837" t="n">
        <v>571.2</v>
      </c>
    </row>
    <row r="838">
      <c r="A838" s="90" t="n">
        <v>31159</v>
      </c>
      <c r="D838" t="n">
        <v>572.1</v>
      </c>
    </row>
    <row r="839">
      <c r="A839" s="90" t="n">
        <v>31166</v>
      </c>
      <c r="D839" t="n">
        <v>570.4</v>
      </c>
    </row>
    <row r="840">
      <c r="A840" s="90" t="n">
        <v>31168</v>
      </c>
      <c r="B840" t="n">
        <v>536.5</v>
      </c>
      <c r="C840" t="n">
        <v>2229</v>
      </c>
      <c r="E840" t="n">
        <v>2389.5</v>
      </c>
    </row>
    <row r="841">
      <c r="A841" s="90" t="n">
        <v>31173</v>
      </c>
      <c r="D841" t="n">
        <v>571.9</v>
      </c>
    </row>
    <row r="842">
      <c r="A842" s="90" t="n">
        <v>31180</v>
      </c>
      <c r="D842" t="n">
        <v>574</v>
      </c>
    </row>
    <row r="843">
      <c r="A843" s="90" t="n">
        <v>31187</v>
      </c>
      <c r="D843" t="n">
        <v>576.4</v>
      </c>
    </row>
    <row r="844">
      <c r="A844" s="90" t="n">
        <v>31194</v>
      </c>
      <c r="D844" t="n">
        <v>577.1</v>
      </c>
    </row>
    <row r="845">
      <c r="A845" s="90" t="n">
        <v>31199</v>
      </c>
      <c r="B845" t="n">
        <v>541.7</v>
      </c>
      <c r="C845" t="n">
        <v>2244.3</v>
      </c>
      <c r="E845" t="n">
        <v>2412.6</v>
      </c>
    </row>
    <row r="846">
      <c r="A846" s="90" t="n">
        <v>31201</v>
      </c>
      <c r="D846" t="n">
        <v>575.9</v>
      </c>
    </row>
    <row r="847">
      <c r="A847" s="90" t="n">
        <v>31208</v>
      </c>
      <c r="D847" t="n">
        <v>580.5</v>
      </c>
    </row>
    <row r="848">
      <c r="A848" s="90" t="n">
        <v>31215</v>
      </c>
      <c r="D848" t="n">
        <v>581.2</v>
      </c>
    </row>
    <row r="849">
      <c r="A849" s="90" t="n">
        <v>31222</v>
      </c>
      <c r="D849" t="n">
        <v>583.6</v>
      </c>
    </row>
    <row r="850">
      <c r="A850" s="90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90" t="n">
        <v>31236</v>
      </c>
      <c r="D851" t="n">
        <v>585.7</v>
      </c>
    </row>
    <row r="852">
      <c r="A852" s="90" t="n">
        <v>31243</v>
      </c>
      <c r="D852" t="n">
        <v>588.6</v>
      </c>
    </row>
    <row r="853">
      <c r="A853" s="90" t="n">
        <v>31250</v>
      </c>
      <c r="D853" t="n">
        <v>590</v>
      </c>
    </row>
    <row r="854">
      <c r="A854" s="90" t="n">
        <v>31257</v>
      </c>
      <c r="D854" t="n">
        <v>591</v>
      </c>
    </row>
    <row r="855">
      <c r="A855" s="90" t="n">
        <v>31260</v>
      </c>
      <c r="B855" t="n">
        <v>552.5</v>
      </c>
      <c r="C855" t="n">
        <v>2265.1</v>
      </c>
      <c r="E855" t="n">
        <v>2444</v>
      </c>
    </row>
    <row r="856">
      <c r="A856" s="90" t="n">
        <v>31264</v>
      </c>
      <c r="D856" t="n">
        <v>593.6</v>
      </c>
    </row>
    <row r="857">
      <c r="A857" s="90" t="n">
        <v>31271</v>
      </c>
      <c r="D857" t="n">
        <v>594.9</v>
      </c>
    </row>
    <row r="858">
      <c r="A858" s="90" t="n">
        <v>31278</v>
      </c>
      <c r="D858" t="n">
        <v>595.7</v>
      </c>
    </row>
    <row r="859">
      <c r="A859" s="90" t="n">
        <v>31285</v>
      </c>
      <c r="D859" t="n">
        <v>598.5</v>
      </c>
    </row>
    <row r="860">
      <c r="A860" s="90" t="n">
        <v>31291</v>
      </c>
      <c r="B860" t="n">
        <v>558.1</v>
      </c>
      <c r="C860" t="n">
        <v>2272.3</v>
      </c>
      <c r="E860" t="n">
        <v>2456.4</v>
      </c>
    </row>
    <row r="861">
      <c r="A861" s="90" t="n">
        <v>31292</v>
      </c>
      <c r="D861" t="n">
        <v>598.2</v>
      </c>
    </row>
    <row r="862">
      <c r="A862" s="90" t="n">
        <v>31299</v>
      </c>
      <c r="D862" t="n">
        <v>601.3</v>
      </c>
    </row>
    <row r="863">
      <c r="A863" s="90" t="n">
        <v>31306</v>
      </c>
      <c r="D863" t="n">
        <v>601.2</v>
      </c>
    </row>
    <row r="864">
      <c r="A864" s="90" t="n">
        <v>31313</v>
      </c>
      <c r="D864" t="n">
        <v>602</v>
      </c>
    </row>
    <row r="865">
      <c r="A865" s="90" t="n">
        <v>31320</v>
      </c>
      <c r="D865" t="n">
        <v>610.3</v>
      </c>
    </row>
    <row r="866">
      <c r="A866" s="90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90" t="n">
        <v>31327</v>
      </c>
      <c r="D867" t="n">
        <v>606.2</v>
      </c>
    </row>
    <row r="868">
      <c r="A868" s="90" t="n">
        <v>31334</v>
      </c>
      <c r="D868" t="n">
        <v>605.8</v>
      </c>
    </row>
    <row r="869">
      <c r="A869" s="90" t="n">
        <v>31341</v>
      </c>
      <c r="D869" t="n">
        <v>609.5</v>
      </c>
    </row>
    <row r="870">
      <c r="A870" s="90" t="n">
        <v>31348</v>
      </c>
      <c r="D870" t="n">
        <v>608.9</v>
      </c>
    </row>
    <row r="871">
      <c r="A871" s="90" t="n">
        <v>31352</v>
      </c>
      <c r="B871" t="n">
        <v>561.7</v>
      </c>
      <c r="C871" t="n">
        <v>2273.2</v>
      </c>
      <c r="E871" t="n">
        <v>2477.8</v>
      </c>
    </row>
    <row r="872">
      <c r="A872" s="90" t="n">
        <v>31355</v>
      </c>
      <c r="D872" t="n">
        <v>609.9</v>
      </c>
    </row>
    <row r="873">
      <c r="A873" s="90" t="n">
        <v>31362</v>
      </c>
      <c r="D873" t="n">
        <v>609.3</v>
      </c>
    </row>
    <row r="874">
      <c r="A874" s="90" t="n">
        <v>31369</v>
      </c>
      <c r="D874" t="n">
        <v>611</v>
      </c>
    </row>
    <row r="875">
      <c r="A875" s="90" t="n">
        <v>31376</v>
      </c>
      <c r="D875" t="n">
        <v>614.8</v>
      </c>
    </row>
    <row r="876">
      <c r="A876" s="90" t="n">
        <v>31382</v>
      </c>
      <c r="B876" t="n">
        <v>566</v>
      </c>
      <c r="C876" t="n">
        <v>2275.9</v>
      </c>
      <c r="E876" t="n">
        <v>2492.1</v>
      </c>
    </row>
    <row r="877">
      <c r="A877" s="90" t="n">
        <v>31383</v>
      </c>
      <c r="D877" t="n">
        <v>616.2</v>
      </c>
    </row>
    <row r="878">
      <c r="A878" s="90" t="n">
        <v>31390</v>
      </c>
      <c r="D878" t="n">
        <v>618.2</v>
      </c>
    </row>
    <row r="879">
      <c r="A879" s="90" t="n">
        <v>31397</v>
      </c>
      <c r="D879" t="n">
        <v>619.5</v>
      </c>
    </row>
    <row r="880">
      <c r="A880" s="90" t="n">
        <v>31404</v>
      </c>
      <c r="D880" t="n">
        <v>622.4</v>
      </c>
    </row>
    <row r="881">
      <c r="A881" s="90" t="n">
        <v>31411</v>
      </c>
      <c r="D881" t="n">
        <v>619.9</v>
      </c>
    </row>
    <row r="882">
      <c r="A882" s="90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90" t="n">
        <v>31418</v>
      </c>
      <c r="D883" t="n">
        <v>622</v>
      </c>
    </row>
    <row r="884">
      <c r="A884" s="90" t="n">
        <v>31425</v>
      </c>
      <c r="D884" t="n">
        <v>620.1</v>
      </c>
    </row>
    <row r="885">
      <c r="A885" s="90" t="n">
        <v>31432</v>
      </c>
      <c r="D885" t="n">
        <v>620.9</v>
      </c>
    </row>
    <row r="886">
      <c r="A886" s="90" t="n">
        <v>31439</v>
      </c>
      <c r="D886" t="n">
        <v>623.4</v>
      </c>
    </row>
    <row r="887">
      <c r="A887" s="90" t="n">
        <v>31444</v>
      </c>
      <c r="B887" t="n">
        <v>569.9</v>
      </c>
      <c r="C887" t="n">
        <v>2290.7</v>
      </c>
      <c r="E887" t="n">
        <v>2512.9</v>
      </c>
    </row>
    <row r="888">
      <c r="A888" s="90" t="n">
        <v>31446</v>
      </c>
      <c r="D888" t="n">
        <v>620.3</v>
      </c>
    </row>
    <row r="889">
      <c r="A889" s="90" t="n">
        <v>31453</v>
      </c>
      <c r="D889" t="n">
        <v>624.1</v>
      </c>
    </row>
    <row r="890">
      <c r="A890" s="90" t="n">
        <v>31460</v>
      </c>
      <c r="D890" t="n">
        <v>624.4</v>
      </c>
    </row>
    <row r="891">
      <c r="A891" s="90" t="n">
        <v>31467</v>
      </c>
      <c r="D891" t="n">
        <v>627.7</v>
      </c>
    </row>
    <row r="892">
      <c r="A892" s="90" t="n">
        <v>31472</v>
      </c>
      <c r="B892" t="n">
        <v>580.7</v>
      </c>
      <c r="C892" t="n">
        <v>2321.8</v>
      </c>
      <c r="E892" t="n">
        <v>2533.1</v>
      </c>
    </row>
    <row r="893">
      <c r="A893" s="90" t="n">
        <v>31474</v>
      </c>
      <c r="D893" t="n">
        <v>627.5</v>
      </c>
    </row>
    <row r="894">
      <c r="A894" s="90" t="n">
        <v>31481</v>
      </c>
      <c r="D894" t="n">
        <v>631.7</v>
      </c>
    </row>
    <row r="895">
      <c r="A895" s="90" t="n">
        <v>31488</v>
      </c>
      <c r="D895" t="n">
        <v>633.5</v>
      </c>
    </row>
    <row r="896">
      <c r="A896" s="90" t="n">
        <v>31495</v>
      </c>
      <c r="D896" t="n">
        <v>635.2</v>
      </c>
    </row>
    <row r="897">
      <c r="A897" s="90" t="n">
        <v>31502</v>
      </c>
      <c r="D897" t="n">
        <v>636.1</v>
      </c>
    </row>
    <row r="898">
      <c r="A898" s="90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90" t="n">
        <v>31509</v>
      </c>
      <c r="D899" t="n">
        <v>639.7</v>
      </c>
    </row>
    <row r="900">
      <c r="A900" s="90" t="n">
        <v>31516</v>
      </c>
      <c r="D900" t="n">
        <v>638.1</v>
      </c>
    </row>
    <row r="901">
      <c r="A901" s="90" t="n">
        <v>31523</v>
      </c>
      <c r="D901" t="n">
        <v>640.6</v>
      </c>
    </row>
    <row r="902">
      <c r="A902" s="90" t="n">
        <v>31530</v>
      </c>
      <c r="D902" t="n">
        <v>643.3</v>
      </c>
    </row>
    <row r="903">
      <c r="A903" s="90" t="n">
        <v>31533</v>
      </c>
      <c r="B903" t="n">
        <v>598.2</v>
      </c>
      <c r="C903" t="n">
        <v>2371.4</v>
      </c>
      <c r="E903" t="n">
        <v>2584.8</v>
      </c>
    </row>
    <row r="904">
      <c r="A904" s="90" t="n">
        <v>31537</v>
      </c>
      <c r="D904" t="n">
        <v>648.2</v>
      </c>
    </row>
    <row r="905">
      <c r="A905" s="90" t="n">
        <v>31544</v>
      </c>
      <c r="D905" t="n">
        <v>650.3</v>
      </c>
    </row>
    <row r="906">
      <c r="A906" s="90" t="n">
        <v>31551</v>
      </c>
      <c r="D906" t="n">
        <v>652.2</v>
      </c>
    </row>
    <row r="907">
      <c r="A907" s="90" t="n">
        <v>31558</v>
      </c>
      <c r="D907" t="n">
        <v>654.2</v>
      </c>
    </row>
    <row r="908">
      <c r="A908" s="90" t="n">
        <v>31564</v>
      </c>
      <c r="B908" t="n">
        <v>603.8</v>
      </c>
      <c r="C908" t="n">
        <v>2381.2</v>
      </c>
      <c r="E908" t="n">
        <v>2605</v>
      </c>
    </row>
    <row r="909">
      <c r="A909" s="90" t="n">
        <v>31565</v>
      </c>
      <c r="D909" t="n">
        <v>654.9</v>
      </c>
    </row>
    <row r="910">
      <c r="A910" s="90" t="n">
        <v>31572</v>
      </c>
      <c r="D910" t="n">
        <v>658.1</v>
      </c>
    </row>
    <row r="911">
      <c r="A911" s="90" t="n">
        <v>31579</v>
      </c>
      <c r="D911" t="n">
        <v>661</v>
      </c>
    </row>
    <row r="912">
      <c r="A912" s="90" t="n">
        <v>31586</v>
      </c>
      <c r="D912" t="n">
        <v>660.8</v>
      </c>
    </row>
    <row r="913">
      <c r="A913" s="90" t="n">
        <v>31593</v>
      </c>
      <c r="D913" t="n">
        <v>664.2</v>
      </c>
    </row>
    <row r="914">
      <c r="A914" s="90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90" t="n">
        <v>31600</v>
      </c>
      <c r="D915" t="n">
        <v>665.7</v>
      </c>
    </row>
    <row r="916">
      <c r="A916" s="90" t="n">
        <v>31607</v>
      </c>
      <c r="D916" t="n">
        <v>670</v>
      </c>
    </row>
    <row r="917">
      <c r="A917" s="90" t="n">
        <v>31614</v>
      </c>
      <c r="D917" t="n">
        <v>671.5</v>
      </c>
    </row>
    <row r="918">
      <c r="A918" s="90" t="n">
        <v>31621</v>
      </c>
      <c r="D918" t="n">
        <v>672.4</v>
      </c>
    </row>
    <row r="919">
      <c r="A919" s="90" t="n">
        <v>31625</v>
      </c>
      <c r="B919" t="n">
        <v>619.3</v>
      </c>
      <c r="C919" t="n">
        <v>2414.7</v>
      </c>
      <c r="E919" t="n">
        <v>2646.5</v>
      </c>
    </row>
    <row r="920">
      <c r="A920" s="90" t="n">
        <v>31628</v>
      </c>
      <c r="D920" t="n">
        <v>674.1</v>
      </c>
    </row>
    <row r="921">
      <c r="A921" s="90" t="n">
        <v>31635</v>
      </c>
      <c r="D921" t="n">
        <v>676</v>
      </c>
    </row>
    <row r="922">
      <c r="A922" s="90" t="n">
        <v>31642</v>
      </c>
      <c r="D922" t="n">
        <v>677.5</v>
      </c>
    </row>
    <row r="923">
      <c r="A923" s="90" t="n">
        <v>31649</v>
      </c>
      <c r="D923" t="n">
        <v>679.5</v>
      </c>
    </row>
    <row r="924">
      <c r="A924" s="90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90" t="n">
        <v>31663</v>
      </c>
      <c r="D925" t="n">
        <v>685.4</v>
      </c>
    </row>
    <row r="926">
      <c r="A926" s="90" t="n">
        <v>31670</v>
      </c>
      <c r="D926" t="n">
        <v>685.1</v>
      </c>
    </row>
    <row r="927">
      <c r="A927" s="90" t="n">
        <v>31677</v>
      </c>
      <c r="D927" t="n">
        <v>688.3</v>
      </c>
    </row>
    <row r="928">
      <c r="A928" s="90" t="n">
        <v>31684</v>
      </c>
      <c r="D928" t="n">
        <v>690.6</v>
      </c>
    </row>
    <row r="929">
      <c r="A929" s="90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90" t="n">
        <v>31691</v>
      </c>
      <c r="D930" t="n">
        <v>691.2</v>
      </c>
    </row>
    <row r="931">
      <c r="A931" s="90" t="n">
        <v>31698</v>
      </c>
      <c r="D931" t="n">
        <v>691.2</v>
      </c>
    </row>
    <row r="932">
      <c r="A932" s="90" t="n">
        <v>31705</v>
      </c>
      <c r="D932" t="n">
        <v>695.9</v>
      </c>
    </row>
    <row r="933">
      <c r="A933" s="90" t="n">
        <v>31712</v>
      </c>
      <c r="D933" t="n">
        <v>698.4</v>
      </c>
    </row>
    <row r="934">
      <c r="A934" s="90" t="n">
        <v>31717</v>
      </c>
      <c r="B934" t="n">
        <v>638.9</v>
      </c>
      <c r="C934" t="n">
        <v>2446.8</v>
      </c>
      <c r="E934" t="n">
        <v>2701.3</v>
      </c>
    </row>
    <row r="935">
      <c r="A935" s="90" t="n">
        <v>31719</v>
      </c>
      <c r="D935" t="n">
        <v>698.9</v>
      </c>
    </row>
    <row r="936">
      <c r="A936" s="90" t="n">
        <v>31726</v>
      </c>
      <c r="D936" t="n">
        <v>702.8</v>
      </c>
    </row>
    <row r="937">
      <c r="A937" s="90" t="n">
        <v>31733</v>
      </c>
      <c r="D937" t="n">
        <v>704.3</v>
      </c>
    </row>
    <row r="938">
      <c r="A938" s="90" t="n">
        <v>31740</v>
      </c>
      <c r="D938" t="n">
        <v>704.3</v>
      </c>
    </row>
    <row r="939">
      <c r="A939" s="90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90" t="n">
        <v>31754</v>
      </c>
      <c r="D940" t="n">
        <v>714.6</v>
      </c>
    </row>
    <row r="941">
      <c r="A941" s="90" t="n">
        <v>31761</v>
      </c>
      <c r="D941" t="n">
        <v>718.6</v>
      </c>
    </row>
    <row r="942">
      <c r="A942" s="90" t="n">
        <v>31768</v>
      </c>
      <c r="D942" t="n">
        <v>726.6</v>
      </c>
    </row>
    <row r="943">
      <c r="A943" s="90" t="n">
        <v>31775</v>
      </c>
      <c r="D943" t="n">
        <v>735.2</v>
      </c>
    </row>
    <row r="944">
      <c r="A944" s="90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90" t="n">
        <v>31782</v>
      </c>
      <c r="D945" t="n">
        <v>742.1</v>
      </c>
    </row>
    <row r="946">
      <c r="A946" s="90" t="n">
        <v>31789</v>
      </c>
      <c r="D946" t="n">
        <v>727.9</v>
      </c>
    </row>
    <row r="947">
      <c r="A947" s="90" t="n">
        <v>31796</v>
      </c>
      <c r="D947" t="n">
        <v>725.3</v>
      </c>
    </row>
    <row r="948">
      <c r="A948" s="90" t="n">
        <v>31803</v>
      </c>
      <c r="D948" t="n">
        <v>728.5</v>
      </c>
    </row>
    <row r="949">
      <c r="A949" s="90" t="n">
        <v>31809</v>
      </c>
      <c r="B949" t="n">
        <v>653.6</v>
      </c>
      <c r="C949" t="n">
        <v>2457.5</v>
      </c>
      <c r="E949" t="n">
        <v>2747.5</v>
      </c>
    </row>
    <row r="950">
      <c r="A950" s="90" t="n">
        <v>31810</v>
      </c>
      <c r="D950" t="n">
        <v>729.9</v>
      </c>
    </row>
    <row r="951">
      <c r="A951" s="90" t="n">
        <v>31817</v>
      </c>
      <c r="D951" t="n">
        <v>730.1</v>
      </c>
    </row>
    <row r="952">
      <c r="A952" s="90" t="n">
        <v>31824</v>
      </c>
      <c r="D952" t="n">
        <v>730</v>
      </c>
    </row>
    <row r="953">
      <c r="A953" s="90" t="n">
        <v>31831</v>
      </c>
      <c r="D953" t="n">
        <v>731.7</v>
      </c>
    </row>
    <row r="954">
      <c r="A954" s="90" t="n">
        <v>31837</v>
      </c>
      <c r="B954" t="n">
        <v>654</v>
      </c>
      <c r="C954" t="n">
        <v>2454.3</v>
      </c>
      <c r="E954" t="n">
        <v>2753.7</v>
      </c>
    </row>
    <row r="955">
      <c r="A955" s="90" t="n">
        <v>31838</v>
      </c>
      <c r="D955" t="n">
        <v>731.4</v>
      </c>
    </row>
    <row r="956">
      <c r="A956" s="90" t="n">
        <v>31845</v>
      </c>
      <c r="D956" t="n">
        <v>732.2</v>
      </c>
    </row>
    <row r="957">
      <c r="A957" s="90" t="n">
        <v>31852</v>
      </c>
      <c r="D957" t="n">
        <v>733.9</v>
      </c>
    </row>
    <row r="958">
      <c r="A958" s="90" t="n">
        <v>31859</v>
      </c>
      <c r="D958" t="n">
        <v>733.8</v>
      </c>
    </row>
    <row r="959">
      <c r="A959" s="90" t="n">
        <v>31866</v>
      </c>
      <c r="D959" t="n">
        <v>735.4</v>
      </c>
    </row>
    <row r="960">
      <c r="A960" s="90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90" t="n">
        <v>31873</v>
      </c>
      <c r="D961" t="n">
        <v>737.2</v>
      </c>
    </row>
    <row r="962">
      <c r="A962" s="90" t="n">
        <v>31880</v>
      </c>
      <c r="D962" t="n">
        <v>737.8</v>
      </c>
    </row>
    <row r="963">
      <c r="A963" s="90" t="n">
        <v>31887</v>
      </c>
      <c r="D963" t="n">
        <v>749.4</v>
      </c>
    </row>
    <row r="964">
      <c r="A964" s="90" t="n">
        <v>31894</v>
      </c>
      <c r="D964" t="n">
        <v>749.9</v>
      </c>
    </row>
    <row r="965">
      <c r="A965" s="90" t="n">
        <v>31898</v>
      </c>
      <c r="B965" t="n">
        <v>660</v>
      </c>
      <c r="C965" t="n">
        <v>2453.9</v>
      </c>
      <c r="E965" t="n">
        <v>2772.9</v>
      </c>
    </row>
    <row r="966">
      <c r="A966" s="90" t="n">
        <v>31901</v>
      </c>
      <c r="D966" t="n">
        <v>745.1</v>
      </c>
    </row>
    <row r="967">
      <c r="A967" s="90" t="n">
        <v>31908</v>
      </c>
      <c r="D967" t="n">
        <v>743.3</v>
      </c>
    </row>
    <row r="968">
      <c r="A968" s="90" t="n">
        <v>31915</v>
      </c>
      <c r="D968" t="n">
        <v>744.6</v>
      </c>
    </row>
    <row r="969">
      <c r="A969" s="90" t="n">
        <v>31922</v>
      </c>
      <c r="D969" t="n">
        <v>748.2</v>
      </c>
    </row>
    <row r="970">
      <c r="A970" s="90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90" t="n">
        <v>31936</v>
      </c>
      <c r="D971" t="n">
        <v>742</v>
      </c>
    </row>
    <row r="972">
      <c r="A972" s="90" t="n">
        <v>31943</v>
      </c>
      <c r="D972" t="n">
        <v>743.4</v>
      </c>
    </row>
    <row r="973">
      <c r="A973" s="90" t="n">
        <v>31950</v>
      </c>
      <c r="D973" t="n">
        <v>744</v>
      </c>
    </row>
    <row r="974">
      <c r="A974" s="90" t="n">
        <v>31957</v>
      </c>
      <c r="D974" t="n">
        <v>742.3</v>
      </c>
    </row>
    <row r="975">
      <c r="A975" s="90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90" t="n">
        <v>31964</v>
      </c>
      <c r="D976" t="n">
        <v>745.4</v>
      </c>
    </row>
    <row r="977">
      <c r="A977" s="90" t="n">
        <v>31971</v>
      </c>
      <c r="D977" t="n">
        <v>740.6</v>
      </c>
    </row>
    <row r="978">
      <c r="A978" s="90" t="n">
        <v>31978</v>
      </c>
      <c r="D978" t="n">
        <v>742.9</v>
      </c>
    </row>
    <row r="979">
      <c r="A979" s="90" t="n">
        <v>31985</v>
      </c>
      <c r="D979" t="n">
        <v>744.5</v>
      </c>
    </row>
    <row r="980">
      <c r="A980" s="90" t="n">
        <v>31990</v>
      </c>
      <c r="B980" t="n">
        <v>651.7</v>
      </c>
      <c r="C980" t="n">
        <v>2439.4</v>
      </c>
      <c r="E980" t="n">
        <v>2788.2</v>
      </c>
    </row>
    <row r="981">
      <c r="A981" s="90" t="n">
        <v>31992</v>
      </c>
      <c r="D981" t="n">
        <v>741.4</v>
      </c>
    </row>
    <row r="982">
      <c r="A982" s="90" t="n">
        <v>31999</v>
      </c>
      <c r="D982" t="n">
        <v>743.9</v>
      </c>
    </row>
    <row r="983">
      <c r="A983" s="90" t="n">
        <v>32006</v>
      </c>
      <c r="D983" t="n">
        <v>744.8</v>
      </c>
    </row>
    <row r="984">
      <c r="A984" s="90" t="n">
        <v>32013</v>
      </c>
      <c r="D984" t="n">
        <v>746.3</v>
      </c>
    </row>
    <row r="985">
      <c r="A985" s="90" t="n">
        <v>32020</v>
      </c>
      <c r="D985" t="n">
        <v>746.2</v>
      </c>
    </row>
    <row r="986">
      <c r="A986" s="90" t="n">
        <v>32021</v>
      </c>
      <c r="B986" t="n">
        <v>651.8</v>
      </c>
      <c r="C986" t="n">
        <v>2440.7</v>
      </c>
      <c r="E986" t="n">
        <v>2799.5</v>
      </c>
    </row>
    <row r="987">
      <c r="A987" s="90" t="n">
        <v>32027</v>
      </c>
      <c r="D987" t="n">
        <v>743.5</v>
      </c>
    </row>
    <row r="988">
      <c r="A988" s="90" t="n">
        <v>32034</v>
      </c>
      <c r="D988" t="n">
        <v>746.5</v>
      </c>
    </row>
    <row r="989">
      <c r="A989" s="90" t="n">
        <v>32041</v>
      </c>
      <c r="D989" t="n">
        <v>748.8</v>
      </c>
    </row>
    <row r="990">
      <c r="A990" s="90" t="n">
        <v>32048</v>
      </c>
      <c r="D990" t="n">
        <v>749.8</v>
      </c>
    </row>
    <row r="991">
      <c r="A991" s="90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90" t="n">
        <v>32055</v>
      </c>
      <c r="D992" t="n">
        <v>753.7</v>
      </c>
    </row>
    <row r="993">
      <c r="A993" s="90" t="n">
        <v>32062</v>
      </c>
      <c r="D993" t="n">
        <v>748.9</v>
      </c>
    </row>
    <row r="994">
      <c r="A994" s="90" t="n">
        <v>32069</v>
      </c>
      <c r="D994" t="n">
        <v>755</v>
      </c>
    </row>
    <row r="995">
      <c r="A995" s="90" t="n">
        <v>32076</v>
      </c>
      <c r="D995" t="n">
        <v>765.2</v>
      </c>
    </row>
    <row r="996">
      <c r="A996" s="90" t="n">
        <v>32082</v>
      </c>
      <c r="B996" t="n">
        <v>652.7</v>
      </c>
      <c r="C996" t="n">
        <v>2442.7</v>
      </c>
      <c r="E996" t="n">
        <v>2818.9</v>
      </c>
    </row>
    <row r="997">
      <c r="A997" s="90" t="n">
        <v>32083</v>
      </c>
      <c r="D997" t="n">
        <v>758.5</v>
      </c>
    </row>
    <row r="998">
      <c r="A998" s="90" t="n">
        <v>32090</v>
      </c>
      <c r="D998" t="n">
        <v>755.4</v>
      </c>
    </row>
    <row r="999">
      <c r="A999" s="90" t="n">
        <v>32097</v>
      </c>
      <c r="D999" t="n">
        <v>752.9</v>
      </c>
    </row>
    <row r="1000">
      <c r="A1000" s="90" t="n">
        <v>32104</v>
      </c>
      <c r="D1000" t="n">
        <v>752</v>
      </c>
    </row>
    <row r="1001">
      <c r="A1001" s="90" t="n">
        <v>32111</v>
      </c>
      <c r="D1001" t="n">
        <v>751</v>
      </c>
    </row>
    <row r="1002">
      <c r="A1002" s="90" t="n">
        <v>32112</v>
      </c>
      <c r="B1002" t="n">
        <v>649</v>
      </c>
      <c r="C1002" t="n">
        <v>2445</v>
      </c>
      <c r="E1002" t="n">
        <v>2826.4</v>
      </c>
    </row>
    <row r="1003">
      <c r="A1003" s="90" t="n">
        <v>32118</v>
      </c>
      <c r="D1003" t="n">
        <v>750.5</v>
      </c>
    </row>
    <row r="1004">
      <c r="A1004" s="90" t="n">
        <v>32125</v>
      </c>
      <c r="D1004" t="n">
        <v>749.8</v>
      </c>
    </row>
    <row r="1005">
      <c r="A1005" s="90" t="n">
        <v>32132</v>
      </c>
      <c r="D1005" t="n">
        <v>749.6</v>
      </c>
    </row>
    <row r="1006">
      <c r="A1006" s="90" t="n">
        <v>32139</v>
      </c>
      <c r="D1006" t="n">
        <v>750.6</v>
      </c>
    </row>
    <row r="1007">
      <c r="A1007" s="90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90" t="n">
        <v>32146</v>
      </c>
      <c r="D1008" t="n">
        <v>751.1</v>
      </c>
    </row>
    <row r="1009">
      <c r="A1009" s="90" t="n">
        <v>32153</v>
      </c>
      <c r="D1009" t="n">
        <v>753.2</v>
      </c>
    </row>
    <row r="1010">
      <c r="A1010" s="90" t="n">
        <v>32160</v>
      </c>
      <c r="D1010" t="n">
        <v>755.8</v>
      </c>
    </row>
    <row r="1011">
      <c r="A1011" s="90" t="n">
        <v>32167</v>
      </c>
      <c r="D1011" t="n">
        <v>759</v>
      </c>
    </row>
    <row r="1012">
      <c r="A1012" s="90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90" t="n">
        <v>32181</v>
      </c>
      <c r="D1013" t="n">
        <v>756.6</v>
      </c>
    </row>
    <row r="1014">
      <c r="A1014" s="90" t="n">
        <v>32188</v>
      </c>
      <c r="D1014" t="n">
        <v>757.4</v>
      </c>
    </row>
    <row r="1015">
      <c r="A1015" s="90" t="n">
        <v>32195</v>
      </c>
      <c r="D1015" t="n">
        <v>759.8</v>
      </c>
    </row>
    <row r="1016">
      <c r="A1016" s="90" t="n">
        <v>32202</v>
      </c>
      <c r="D1016" t="n">
        <v>756.7</v>
      </c>
    </row>
    <row r="1017">
      <c r="A1017" s="90" t="n">
        <v>32203</v>
      </c>
      <c r="B1017" t="n">
        <v>653.9</v>
      </c>
      <c r="C1017" t="n">
        <v>2481.3</v>
      </c>
      <c r="E1017" t="n">
        <v>2890.7</v>
      </c>
    </row>
    <row r="1018">
      <c r="A1018" s="90" t="n">
        <v>32209</v>
      </c>
      <c r="D1018" t="n">
        <v>758.1</v>
      </c>
    </row>
    <row r="1019">
      <c r="A1019" s="90" t="n">
        <v>32216</v>
      </c>
      <c r="D1019" t="n">
        <v>760.6</v>
      </c>
    </row>
    <row r="1020">
      <c r="A1020" s="90" t="n">
        <v>32223</v>
      </c>
      <c r="D1020" t="n">
        <v>763.1</v>
      </c>
    </row>
    <row r="1021">
      <c r="A1021" s="90" t="n">
        <v>32230</v>
      </c>
      <c r="D1021" t="n">
        <v>763.7</v>
      </c>
    </row>
    <row r="1022">
      <c r="A1022" s="90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90" t="n">
        <v>32237</v>
      </c>
      <c r="D1023" t="n">
        <v>765.5</v>
      </c>
    </row>
    <row r="1024">
      <c r="A1024" s="90" t="n">
        <v>32244</v>
      </c>
      <c r="D1024" t="n">
        <v>765.8</v>
      </c>
    </row>
    <row r="1025">
      <c r="A1025" s="90" t="n">
        <v>32251</v>
      </c>
      <c r="D1025" t="n">
        <v>766.8</v>
      </c>
    </row>
    <row r="1026">
      <c r="A1026" s="90" t="n">
        <v>32258</v>
      </c>
      <c r="D1026" t="n">
        <v>772.2</v>
      </c>
    </row>
    <row r="1027">
      <c r="A1027" s="90" t="n">
        <v>32264</v>
      </c>
      <c r="B1027" t="n">
        <v>656.8</v>
      </c>
      <c r="C1027" t="n">
        <v>2490.2</v>
      </c>
      <c r="E1027" t="n">
        <v>2926</v>
      </c>
    </row>
    <row r="1028">
      <c r="A1028" s="90" t="n">
        <v>32265</v>
      </c>
      <c r="D1028" t="n">
        <v>769.6</v>
      </c>
    </row>
    <row r="1029">
      <c r="A1029" s="90" t="n">
        <v>32272</v>
      </c>
      <c r="D1029" t="n">
        <v>769.9</v>
      </c>
    </row>
    <row r="1030">
      <c r="A1030" s="90" t="n">
        <v>32279</v>
      </c>
      <c r="D1030" t="n">
        <v>771.9</v>
      </c>
    </row>
    <row r="1031">
      <c r="A1031" s="90" t="n">
        <v>32286</v>
      </c>
      <c r="D1031" t="n">
        <v>772.5</v>
      </c>
    </row>
    <row r="1032">
      <c r="A1032" s="90" t="n">
        <v>32293</v>
      </c>
      <c r="D1032" t="n">
        <v>772.7</v>
      </c>
    </row>
    <row r="1033">
      <c r="A1033" s="90" t="n">
        <v>32295</v>
      </c>
      <c r="B1033" t="n">
        <v>659.6</v>
      </c>
      <c r="C1033" t="n">
        <v>2490.2</v>
      </c>
      <c r="E1033" t="n">
        <v>2938.4</v>
      </c>
    </row>
    <row r="1034">
      <c r="A1034" s="90" t="n">
        <v>32300</v>
      </c>
      <c r="D1034" t="n">
        <v>776.4</v>
      </c>
    </row>
    <row r="1035">
      <c r="A1035" s="90" t="n">
        <v>32307</v>
      </c>
      <c r="D1035" t="n">
        <v>776.5</v>
      </c>
    </row>
    <row r="1036">
      <c r="A1036" s="90" t="n">
        <v>32314</v>
      </c>
      <c r="D1036" t="n">
        <v>780.6</v>
      </c>
    </row>
    <row r="1037">
      <c r="A1037" s="90" t="n">
        <v>32321</v>
      </c>
      <c r="D1037" t="n">
        <v>779.8</v>
      </c>
    </row>
    <row r="1038">
      <c r="A1038" s="90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90" t="n">
        <v>32328</v>
      </c>
      <c r="D1039" t="n">
        <v>777.7</v>
      </c>
    </row>
    <row r="1040">
      <c r="A1040" s="90" t="n">
        <v>32335</v>
      </c>
      <c r="D1040" t="n">
        <v>781.3</v>
      </c>
    </row>
    <row r="1041">
      <c r="A1041" s="90" t="n">
        <v>32342</v>
      </c>
      <c r="D1041" t="n">
        <v>780.3</v>
      </c>
    </row>
    <row r="1042">
      <c r="A1042" s="90" t="n">
        <v>32349</v>
      </c>
      <c r="D1042" t="n">
        <v>782.2</v>
      </c>
    </row>
    <row r="1043">
      <c r="A1043" s="90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90" t="n">
        <v>32363</v>
      </c>
      <c r="D1044" t="n">
        <v>782.2</v>
      </c>
    </row>
    <row r="1045">
      <c r="A1045" s="90" t="n">
        <v>32370</v>
      </c>
      <c r="D1045" t="n">
        <v>783.4</v>
      </c>
    </row>
    <row r="1046">
      <c r="A1046" s="90" t="n">
        <v>32377</v>
      </c>
      <c r="D1046" t="n">
        <v>783.4</v>
      </c>
    </row>
    <row r="1047">
      <c r="A1047" s="90" t="n">
        <v>32384</v>
      </c>
      <c r="D1047" t="n">
        <v>784</v>
      </c>
    </row>
    <row r="1048">
      <c r="A1048" s="90" t="n">
        <v>32387</v>
      </c>
      <c r="B1048" t="n">
        <v>655.8</v>
      </c>
      <c r="C1048" t="n">
        <v>2474.4</v>
      </c>
      <c r="E1048" t="n">
        <v>2956.9</v>
      </c>
    </row>
    <row r="1049">
      <c r="A1049" s="90" t="n">
        <v>32391</v>
      </c>
      <c r="D1049" t="n">
        <v>783.8</v>
      </c>
    </row>
    <row r="1050">
      <c r="A1050" s="90" t="n">
        <v>32398</v>
      </c>
      <c r="D1050" t="n">
        <v>782.8</v>
      </c>
    </row>
    <row r="1051">
      <c r="A1051" s="90" t="n">
        <v>32405</v>
      </c>
      <c r="D1051" t="n">
        <v>784.6</v>
      </c>
    </row>
    <row r="1052">
      <c r="A1052" s="90" t="n">
        <v>32412</v>
      </c>
      <c r="D1052" t="n">
        <v>785.1</v>
      </c>
    </row>
    <row r="1053">
      <c r="A1053" s="90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90" t="n">
        <v>32419</v>
      </c>
      <c r="D1054" t="n">
        <v>781.1</v>
      </c>
    </row>
    <row r="1055">
      <c r="A1055" s="90" t="n">
        <v>32426</v>
      </c>
      <c r="D1055" t="n">
        <v>782.3</v>
      </c>
    </row>
    <row r="1056">
      <c r="A1056" s="90" t="n">
        <v>32433</v>
      </c>
      <c r="D1056" t="n">
        <v>784</v>
      </c>
    </row>
    <row r="1057">
      <c r="A1057" s="90" t="n">
        <v>32440</v>
      </c>
      <c r="D1057" t="n">
        <v>783.1</v>
      </c>
    </row>
    <row r="1058">
      <c r="A1058" s="90" t="n">
        <v>32447</v>
      </c>
      <c r="D1058" t="n">
        <v>784.1</v>
      </c>
    </row>
    <row r="1059">
      <c r="A1059" s="90" t="n">
        <v>32448</v>
      </c>
      <c r="B1059" t="n">
        <v>652.5</v>
      </c>
      <c r="C1059" t="n">
        <v>2477.3</v>
      </c>
      <c r="E1059" t="n">
        <v>2980.2</v>
      </c>
    </row>
    <row r="1060">
      <c r="A1060" s="90" t="n">
        <v>32454</v>
      </c>
      <c r="D1060" t="n">
        <v>783.2</v>
      </c>
    </row>
    <row r="1061">
      <c r="A1061" s="90" t="n">
        <v>32461</v>
      </c>
      <c r="D1061" t="n">
        <v>784.2</v>
      </c>
    </row>
    <row r="1062">
      <c r="A1062" s="90" t="n">
        <v>32468</v>
      </c>
      <c r="D1062" t="n">
        <v>784.5</v>
      </c>
    </row>
    <row r="1063">
      <c r="A1063" s="90" t="n">
        <v>32475</v>
      </c>
      <c r="D1063" t="n">
        <v>786.9</v>
      </c>
    </row>
    <row r="1064">
      <c r="A1064" s="90" t="n">
        <v>32478</v>
      </c>
      <c r="B1064" t="n">
        <v>651.8</v>
      </c>
      <c r="C1064" t="n">
        <v>2475.7</v>
      </c>
      <c r="E1064" t="n">
        <v>2988.2</v>
      </c>
    </row>
    <row r="1065">
      <c r="A1065" s="90" t="n">
        <v>32482</v>
      </c>
      <c r="D1065" t="n">
        <v>787.5</v>
      </c>
    </row>
    <row r="1066">
      <c r="A1066" s="90" t="n">
        <v>32489</v>
      </c>
      <c r="D1066" t="n">
        <v>788.2</v>
      </c>
    </row>
    <row r="1067">
      <c r="A1067" s="90" t="n">
        <v>32496</v>
      </c>
      <c r="D1067" t="n">
        <v>786.5</v>
      </c>
    </row>
    <row r="1068">
      <c r="A1068" s="90" t="n">
        <v>32503</v>
      </c>
      <c r="D1068" t="n">
        <v>784.6</v>
      </c>
    </row>
    <row r="1069">
      <c r="A1069" s="90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90" t="n">
        <v>32510</v>
      </c>
      <c r="D1070" t="n">
        <v>787.4</v>
      </c>
    </row>
    <row r="1071">
      <c r="A1071" s="90" t="n">
        <v>32517</v>
      </c>
      <c r="D1071" t="n">
        <v>786.7</v>
      </c>
    </row>
    <row r="1072">
      <c r="A1072" s="90" t="n">
        <v>32524</v>
      </c>
      <c r="D1072" t="n">
        <v>786.2</v>
      </c>
    </row>
    <row r="1073">
      <c r="A1073" s="90" t="n">
        <v>32531</v>
      </c>
      <c r="D1073" t="n">
        <v>786.5</v>
      </c>
    </row>
    <row r="1074">
      <c r="A1074" s="90" t="n">
        <v>32538</v>
      </c>
      <c r="D1074" t="n">
        <v>783.2</v>
      </c>
    </row>
    <row r="1075">
      <c r="A1075" s="90" t="n">
        <v>32540</v>
      </c>
      <c r="B1075" t="n">
        <v>644.6</v>
      </c>
      <c r="C1075" t="n">
        <v>2460.7</v>
      </c>
      <c r="E1075" t="n">
        <v>2992.2</v>
      </c>
    </row>
    <row r="1076">
      <c r="A1076" s="90" t="n">
        <v>32545</v>
      </c>
      <c r="D1076" t="n">
        <v>784.4</v>
      </c>
    </row>
    <row r="1077">
      <c r="A1077" s="90" t="n">
        <v>32552</v>
      </c>
      <c r="D1077" t="n">
        <v>783.5</v>
      </c>
    </row>
    <row r="1078">
      <c r="A1078" s="90" t="n">
        <v>32559</v>
      </c>
      <c r="D1078" t="n">
        <v>783.5</v>
      </c>
    </row>
    <row r="1079">
      <c r="A1079" s="90" t="n">
        <v>32566</v>
      </c>
      <c r="D1079" t="n">
        <v>783.4</v>
      </c>
    </row>
    <row r="1080">
      <c r="A1080" s="90" t="n">
        <v>32568</v>
      </c>
      <c r="B1080" t="n">
        <v>640.8</v>
      </c>
      <c r="C1080" t="n">
        <v>2454.7</v>
      </c>
      <c r="E1080" t="n">
        <v>2999.7</v>
      </c>
    </row>
    <row r="1081">
      <c r="A1081" s="90" t="n">
        <v>32573</v>
      </c>
      <c r="D1081" t="n">
        <v>787.1</v>
      </c>
    </row>
    <row r="1082">
      <c r="A1082" s="90" t="n">
        <v>32580</v>
      </c>
      <c r="D1082" t="n">
        <v>782.6</v>
      </c>
    </row>
    <row r="1083">
      <c r="A1083" s="90" t="n">
        <v>32587</v>
      </c>
      <c r="D1083" t="n">
        <v>783.2</v>
      </c>
    </row>
    <row r="1084">
      <c r="A1084" s="90" t="n">
        <v>32594</v>
      </c>
      <c r="D1084" t="n">
        <v>783</v>
      </c>
    </row>
    <row r="1085">
      <c r="A1085" s="90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90" t="n">
        <v>32601</v>
      </c>
      <c r="D1086" t="n">
        <v>777.4</v>
      </c>
    </row>
    <row r="1087">
      <c r="A1087" s="90" t="n">
        <v>32608</v>
      </c>
      <c r="D1087" t="n">
        <v>776.5</v>
      </c>
    </row>
    <row r="1088">
      <c r="A1088" s="90" t="n">
        <v>32615</v>
      </c>
      <c r="D1088" t="n">
        <v>776.9</v>
      </c>
    </row>
    <row r="1089">
      <c r="A1089" s="90" t="n">
        <v>32622</v>
      </c>
      <c r="D1089" t="n">
        <v>782.3</v>
      </c>
    </row>
    <row r="1090">
      <c r="A1090" s="90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90" t="n">
        <v>32636</v>
      </c>
      <c r="D1091" t="n">
        <v>775.1</v>
      </c>
    </row>
    <row r="1092">
      <c r="A1092" s="90" t="n">
        <v>32643</v>
      </c>
      <c r="D1092" t="n">
        <v>775.7</v>
      </c>
    </row>
    <row r="1093">
      <c r="A1093" s="90" t="n">
        <v>32650</v>
      </c>
      <c r="D1093" t="n">
        <v>773.4</v>
      </c>
    </row>
    <row r="1094">
      <c r="A1094" s="90" t="n">
        <v>32657</v>
      </c>
      <c r="D1094" t="n">
        <v>774.6</v>
      </c>
    </row>
    <row r="1095">
      <c r="A1095" s="90" t="n">
        <v>32660</v>
      </c>
      <c r="B1095" t="n">
        <v>623.3</v>
      </c>
      <c r="C1095" t="n">
        <v>2439.9</v>
      </c>
      <c r="E1095" t="n">
        <v>3027.9</v>
      </c>
    </row>
    <row r="1096">
      <c r="A1096" s="90" t="n">
        <v>32664</v>
      </c>
      <c r="D1096" t="n">
        <v>775.3</v>
      </c>
    </row>
    <row r="1097">
      <c r="A1097" s="90" t="n">
        <v>32671</v>
      </c>
      <c r="D1097" t="n">
        <v>772.5</v>
      </c>
    </row>
    <row r="1098">
      <c r="A1098" s="90" t="n">
        <v>32678</v>
      </c>
      <c r="D1098" t="n">
        <v>772.7</v>
      </c>
    </row>
    <row r="1099">
      <c r="A1099" s="90" t="n">
        <v>32685</v>
      </c>
      <c r="D1099" t="n">
        <v>773.6</v>
      </c>
    </row>
    <row r="1100">
      <c r="A1100" s="90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90" t="n">
        <v>32692</v>
      </c>
      <c r="D1101" t="n">
        <v>774.3</v>
      </c>
    </row>
    <row r="1102">
      <c r="A1102" s="90" t="n">
        <v>32699</v>
      </c>
      <c r="D1102" t="n">
        <v>779.1</v>
      </c>
    </row>
    <row r="1103">
      <c r="A1103" s="90" t="n">
        <v>32706</v>
      </c>
      <c r="D1103" t="n">
        <v>777.9</v>
      </c>
    </row>
    <row r="1104">
      <c r="A1104" s="90" t="n">
        <v>32713</v>
      </c>
      <c r="D1104" t="n">
        <v>778.1</v>
      </c>
    </row>
    <row r="1105">
      <c r="A1105" s="90" t="n">
        <v>32720</v>
      </c>
      <c r="D1105" t="n">
        <v>777.3</v>
      </c>
    </row>
    <row r="1106">
      <c r="A1106" s="90" t="n">
        <v>32721</v>
      </c>
      <c r="B1106" t="n">
        <v>626</v>
      </c>
      <c r="C1106" t="n">
        <v>2469.4</v>
      </c>
      <c r="E1106" t="n">
        <v>3074.4</v>
      </c>
    </row>
    <row r="1107">
      <c r="A1107" s="90" t="n">
        <v>32727</v>
      </c>
      <c r="D1107" t="n">
        <v>778.4</v>
      </c>
    </row>
    <row r="1108">
      <c r="A1108" s="90" t="n">
        <v>32734</v>
      </c>
      <c r="D1108" t="n">
        <v>779</v>
      </c>
    </row>
    <row r="1109">
      <c r="A1109" s="90" t="n">
        <v>32741</v>
      </c>
      <c r="D1109" t="n">
        <v>780.9</v>
      </c>
    </row>
    <row r="1110">
      <c r="A1110" s="90" t="n">
        <v>32748</v>
      </c>
      <c r="D1110" t="n">
        <v>779.9</v>
      </c>
    </row>
    <row r="1111">
      <c r="A1111" s="90" t="n">
        <v>32752</v>
      </c>
      <c r="B1111" t="n">
        <v>625.8</v>
      </c>
      <c r="C1111" t="n">
        <v>2478</v>
      </c>
      <c r="E1111" t="n">
        <v>3092.5</v>
      </c>
    </row>
    <row r="1112">
      <c r="A1112" s="90" t="n">
        <v>32755</v>
      </c>
      <c r="D1112" t="n">
        <v>777.8</v>
      </c>
    </row>
    <row r="1113">
      <c r="A1113" s="90" t="n">
        <v>32762</v>
      </c>
      <c r="D1113" t="n">
        <v>781.9</v>
      </c>
    </row>
    <row r="1114">
      <c r="A1114" s="90" t="n">
        <v>32769</v>
      </c>
      <c r="D1114" t="n">
        <v>780.2</v>
      </c>
    </row>
    <row r="1115">
      <c r="A1115" s="90" t="n">
        <v>32776</v>
      </c>
      <c r="D1115" t="n">
        <v>781.2</v>
      </c>
    </row>
    <row r="1116">
      <c r="A1116" s="90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90" t="n">
        <v>32783</v>
      </c>
      <c r="D1117" t="n">
        <v>783.5</v>
      </c>
    </row>
    <row r="1118">
      <c r="A1118" s="90" t="n">
        <v>32790</v>
      </c>
      <c r="D1118" t="n">
        <v>785.2</v>
      </c>
    </row>
    <row r="1119">
      <c r="A1119" s="90" t="n">
        <v>32797</v>
      </c>
      <c r="D1119" t="n">
        <v>788.7</v>
      </c>
    </row>
    <row r="1120">
      <c r="A1120" s="90" t="n">
        <v>32804</v>
      </c>
      <c r="D1120" t="n">
        <v>787.4</v>
      </c>
    </row>
    <row r="1121">
      <c r="A1121" s="90" t="n">
        <v>32811</v>
      </c>
      <c r="D1121" t="n">
        <v>785.8</v>
      </c>
    </row>
    <row r="1122">
      <c r="A1122" s="90" t="n">
        <v>32813</v>
      </c>
      <c r="B1122" t="n">
        <v>625.8</v>
      </c>
      <c r="C1122" t="n">
        <v>2488.7</v>
      </c>
      <c r="E1122" t="n">
        <v>3133.3</v>
      </c>
    </row>
    <row r="1123">
      <c r="A1123" s="90" t="n">
        <v>32818</v>
      </c>
      <c r="D1123" t="n">
        <v>787</v>
      </c>
    </row>
    <row r="1124">
      <c r="A1124" s="90" t="n">
        <v>32825</v>
      </c>
      <c r="D1124" t="n">
        <v>785.9</v>
      </c>
    </row>
    <row r="1125">
      <c r="A1125" s="90" t="n">
        <v>32832</v>
      </c>
      <c r="D1125" t="n">
        <v>787.6</v>
      </c>
    </row>
    <row r="1126">
      <c r="A1126" s="90" t="n">
        <v>32839</v>
      </c>
      <c r="D1126" t="n">
        <v>790.7</v>
      </c>
    </row>
    <row r="1127">
      <c r="A1127" s="90" t="n">
        <v>32843</v>
      </c>
      <c r="B1127" t="n">
        <v>627.8</v>
      </c>
      <c r="C1127" t="n">
        <v>2496</v>
      </c>
      <c r="E1127" t="n">
        <v>3152.5</v>
      </c>
    </row>
    <row r="1128">
      <c r="A1128" s="90" t="n">
        <v>32846</v>
      </c>
      <c r="D1128" t="n">
        <v>789</v>
      </c>
    </row>
    <row r="1129">
      <c r="A1129" s="90" t="n">
        <v>32853</v>
      </c>
      <c r="D1129" t="n">
        <v>789.8</v>
      </c>
    </row>
    <row r="1130">
      <c r="A1130" s="90" t="n">
        <v>32860</v>
      </c>
      <c r="D1130" t="n">
        <v>790.7</v>
      </c>
    </row>
    <row r="1131">
      <c r="A1131" s="90" t="n">
        <v>32867</v>
      </c>
      <c r="D1131" t="n">
        <v>794.9</v>
      </c>
    </row>
    <row r="1132">
      <c r="A1132" s="90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90" t="n">
        <v>32881</v>
      </c>
      <c r="D1133" t="n">
        <v>793.6</v>
      </c>
    </row>
    <row r="1134">
      <c r="A1134" s="90" t="n">
        <v>32888</v>
      </c>
      <c r="D1134" t="n">
        <v>796.5</v>
      </c>
    </row>
    <row r="1135">
      <c r="A1135" s="90" t="n">
        <v>32895</v>
      </c>
      <c r="D1135" t="n">
        <v>795.1</v>
      </c>
    </row>
    <row r="1136">
      <c r="A1136" s="90" t="n">
        <v>32902</v>
      </c>
      <c r="D1136" t="n">
        <v>793.8</v>
      </c>
    </row>
    <row r="1137">
      <c r="A1137" s="90" t="n">
        <v>32905</v>
      </c>
      <c r="B1137" t="n">
        <v>623.5</v>
      </c>
      <c r="C1137" t="n">
        <v>2483.8</v>
      </c>
      <c r="E1137" t="n">
        <v>3179.2</v>
      </c>
    </row>
    <row r="1138">
      <c r="A1138" s="90" t="n">
        <v>32909</v>
      </c>
      <c r="D1138" t="n">
        <v>797.1</v>
      </c>
    </row>
    <row r="1139">
      <c r="A1139" s="90" t="n">
        <v>32916</v>
      </c>
      <c r="D1139" t="n">
        <v>796.3</v>
      </c>
    </row>
    <row r="1140">
      <c r="A1140" s="90" t="n">
        <v>32923</v>
      </c>
      <c r="D1140" t="n">
        <v>796.3</v>
      </c>
    </row>
    <row r="1141">
      <c r="A1141" s="90" t="n">
        <v>32930</v>
      </c>
      <c r="D1141" t="n">
        <v>799.8</v>
      </c>
    </row>
    <row r="1142">
      <c r="A1142" s="90" t="n">
        <v>32933</v>
      </c>
      <c r="B1142" t="n">
        <v>623.3</v>
      </c>
      <c r="C1142" t="n">
        <v>2480.6</v>
      </c>
      <c r="E1142" t="n">
        <v>3190.1</v>
      </c>
    </row>
    <row r="1143">
      <c r="A1143" s="90" t="n">
        <v>32937</v>
      </c>
      <c r="D1143" t="n">
        <v>801.6</v>
      </c>
    </row>
    <row r="1144">
      <c r="A1144" s="90" t="n">
        <v>32944</v>
      </c>
      <c r="D1144" t="n">
        <v>799.7</v>
      </c>
    </row>
    <row r="1145">
      <c r="A1145" s="90" t="n">
        <v>32951</v>
      </c>
      <c r="D1145" t="n">
        <v>799.6</v>
      </c>
    </row>
    <row r="1146">
      <c r="A1146" s="90" t="n">
        <v>32958</v>
      </c>
      <c r="D1146" t="n">
        <v>802.5</v>
      </c>
    </row>
    <row r="1147">
      <c r="A1147" s="90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90" t="n">
        <v>32965</v>
      </c>
      <c r="D1148" t="n">
        <v>802.4</v>
      </c>
    </row>
    <row r="1149">
      <c r="A1149" s="90" t="n">
        <v>32972</v>
      </c>
      <c r="D1149" t="n">
        <v>804.3</v>
      </c>
    </row>
    <row r="1150">
      <c r="A1150" s="90" t="n">
        <v>32979</v>
      </c>
      <c r="D1150" t="n">
        <v>807</v>
      </c>
    </row>
    <row r="1151">
      <c r="A1151" s="90" t="n">
        <v>32986</v>
      </c>
      <c r="D1151" t="n">
        <v>807.2</v>
      </c>
    </row>
    <row r="1152">
      <c r="A1152" s="90" t="n">
        <v>32993</v>
      </c>
      <c r="D1152" t="n">
        <v>806.5</v>
      </c>
    </row>
    <row r="1153">
      <c r="A1153" s="90" t="n">
        <v>32994</v>
      </c>
      <c r="B1153" t="n">
        <v>622.9</v>
      </c>
      <c r="C1153" t="n">
        <v>2479.2</v>
      </c>
      <c r="E1153" t="n">
        <v>3200.6</v>
      </c>
    </row>
    <row r="1154">
      <c r="A1154" s="90" t="n">
        <v>33000</v>
      </c>
      <c r="D1154" t="n">
        <v>803</v>
      </c>
    </row>
    <row r="1155">
      <c r="A1155" s="90" t="n">
        <v>33007</v>
      </c>
      <c r="D1155" t="n">
        <v>802.9</v>
      </c>
    </row>
    <row r="1156">
      <c r="A1156" s="90" t="n">
        <v>33014</v>
      </c>
      <c r="D1156" t="n">
        <v>806.2</v>
      </c>
    </row>
    <row r="1157">
      <c r="A1157" s="90" t="n">
        <v>33021</v>
      </c>
      <c r="D1157" t="n">
        <v>804.9</v>
      </c>
    </row>
    <row r="1158">
      <c r="A1158" s="90" t="n">
        <v>33025</v>
      </c>
      <c r="B1158" t="n">
        <v>622.6</v>
      </c>
      <c r="C1158" t="n">
        <v>2474</v>
      </c>
      <c r="E1158" t="n">
        <v>3213.7</v>
      </c>
    </row>
    <row r="1159">
      <c r="A1159" s="90" t="n">
        <v>33028</v>
      </c>
      <c r="D1159" t="n">
        <v>807.1</v>
      </c>
    </row>
    <row r="1160">
      <c r="A1160" s="90" t="n">
        <v>33035</v>
      </c>
      <c r="D1160" t="n">
        <v>807.7</v>
      </c>
    </row>
    <row r="1161">
      <c r="A1161" s="90" t="n">
        <v>33042</v>
      </c>
      <c r="D1161" t="n">
        <v>807.3</v>
      </c>
    </row>
    <row r="1162">
      <c r="A1162" s="90" t="n">
        <v>33049</v>
      </c>
      <c r="D1162" t="n">
        <v>810.3</v>
      </c>
    </row>
    <row r="1163">
      <c r="A1163" s="90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90" t="n">
        <v>33056</v>
      </c>
      <c r="D1164" t="n">
        <v>813.2</v>
      </c>
    </row>
    <row r="1165">
      <c r="A1165" s="90" t="n">
        <v>33063</v>
      </c>
      <c r="D1165" t="n">
        <v>808.1</v>
      </c>
    </row>
    <row r="1166">
      <c r="A1166" s="90" t="n">
        <v>33070</v>
      </c>
      <c r="D1166" t="n">
        <v>811.3</v>
      </c>
    </row>
    <row r="1167">
      <c r="A1167" s="90" t="n">
        <v>33077</v>
      </c>
      <c r="D1167" t="n">
        <v>809.3</v>
      </c>
    </row>
    <row r="1168">
      <c r="A1168" s="90" t="n">
        <v>33084</v>
      </c>
      <c r="D1168" t="n">
        <v>810.8</v>
      </c>
    </row>
    <row r="1169">
      <c r="A1169" s="90" t="n">
        <v>33086</v>
      </c>
      <c r="B1169" t="n">
        <v>619.8</v>
      </c>
      <c r="C1169" t="n">
        <v>2463.5</v>
      </c>
      <c r="E1169" t="n">
        <v>3242</v>
      </c>
    </row>
    <row r="1170">
      <c r="A1170" s="90" t="n">
        <v>33091</v>
      </c>
      <c r="D1170" t="n">
        <v>811.9</v>
      </c>
    </row>
    <row r="1171">
      <c r="A1171" s="90" t="n">
        <v>33098</v>
      </c>
      <c r="D1171" t="n">
        <v>816.1</v>
      </c>
    </row>
    <row r="1172">
      <c r="A1172" s="90" t="n">
        <v>33105</v>
      </c>
      <c r="D1172" t="n">
        <v>817.2</v>
      </c>
    </row>
    <row r="1173">
      <c r="A1173" s="90" t="n">
        <v>33112</v>
      </c>
      <c r="D1173" t="n">
        <v>816.2</v>
      </c>
    </row>
    <row r="1174">
      <c r="A1174" s="90" t="n">
        <v>33117</v>
      </c>
      <c r="B1174" t="n">
        <v>619</v>
      </c>
      <c r="C1174" t="n">
        <v>2456.3</v>
      </c>
      <c r="E1174" t="n">
        <v>3254.6</v>
      </c>
    </row>
    <row r="1175">
      <c r="A1175" s="90" t="n">
        <v>33119</v>
      </c>
      <c r="D1175" t="n">
        <v>819</v>
      </c>
    </row>
    <row r="1176">
      <c r="A1176" s="90" t="n">
        <v>33126</v>
      </c>
      <c r="D1176" t="n">
        <v>819.8</v>
      </c>
    </row>
    <row r="1177">
      <c r="A1177" s="90" t="n">
        <v>33133</v>
      </c>
      <c r="D1177" t="n">
        <v>819.2</v>
      </c>
    </row>
    <row r="1178">
      <c r="A1178" s="90" t="n">
        <v>33140</v>
      </c>
      <c r="D1178" t="n">
        <v>820.5</v>
      </c>
    </row>
    <row r="1179">
      <c r="A1179" s="90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90" t="n">
        <v>33154</v>
      </c>
      <c r="D1180" t="n">
        <v>820.5</v>
      </c>
    </row>
    <row r="1181">
      <c r="A1181" s="90" t="n">
        <v>33161</v>
      </c>
      <c r="D1181" t="n">
        <v>820.7</v>
      </c>
    </row>
    <row r="1182">
      <c r="A1182" s="90" t="n">
        <v>33168</v>
      </c>
      <c r="D1182" t="n">
        <v>817.2</v>
      </c>
    </row>
    <row r="1183">
      <c r="A1183" s="90" t="n">
        <v>33175</v>
      </c>
      <c r="D1183" t="n">
        <v>820</v>
      </c>
    </row>
    <row r="1184">
      <c r="A1184" s="90" t="n">
        <v>33178</v>
      </c>
      <c r="B1184" t="n">
        <v>614.9</v>
      </c>
      <c r="C1184" t="n">
        <v>2440.2</v>
      </c>
      <c r="E1184" t="n">
        <v>3262.6</v>
      </c>
    </row>
    <row r="1185">
      <c r="A1185" s="90" t="n">
        <v>33182</v>
      </c>
      <c r="D1185" t="n">
        <v>822</v>
      </c>
    </row>
    <row r="1186">
      <c r="A1186" s="90" t="n">
        <v>33189</v>
      </c>
      <c r="D1186" t="n">
        <v>822</v>
      </c>
    </row>
    <row r="1187">
      <c r="A1187" s="90" t="n">
        <v>33196</v>
      </c>
      <c r="D1187" t="n">
        <v>823.4</v>
      </c>
    </row>
    <row r="1188">
      <c r="A1188" s="90" t="n">
        <v>33203</v>
      </c>
      <c r="D1188" t="n">
        <v>824.5</v>
      </c>
    </row>
    <row r="1189">
      <c r="A1189" s="90" t="n">
        <v>33208</v>
      </c>
      <c r="B1189" t="n">
        <v>614.5</v>
      </c>
      <c r="C1189" t="n">
        <v>2438</v>
      </c>
      <c r="E1189" t="n">
        <v>3271.8</v>
      </c>
    </row>
    <row r="1190">
      <c r="A1190" s="90" t="n">
        <v>33210</v>
      </c>
      <c r="D1190" t="n">
        <v>815.3</v>
      </c>
    </row>
    <row r="1191">
      <c r="A1191" s="90" t="n">
        <v>33217</v>
      </c>
      <c r="D1191" t="n">
        <v>821.8</v>
      </c>
    </row>
    <row r="1192">
      <c r="A1192" s="90" t="n">
        <v>33224</v>
      </c>
      <c r="D1192" t="n">
        <v>824.2</v>
      </c>
    </row>
    <row r="1193">
      <c r="A1193" s="90" t="n">
        <v>33231</v>
      </c>
      <c r="D1193" t="n">
        <v>828.1</v>
      </c>
    </row>
    <row r="1194">
      <c r="A1194" s="90" t="n">
        <v>33238</v>
      </c>
      <c r="D1194" t="n">
        <v>828.9</v>
      </c>
    </row>
    <row r="1195">
      <c r="A1195" s="90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90" t="n">
        <v>33245</v>
      </c>
      <c r="D1196" t="n">
        <v>826.6</v>
      </c>
    </row>
    <row r="1197">
      <c r="A1197" s="90" t="n">
        <v>33252</v>
      </c>
      <c r="D1197" t="n">
        <v>825.7</v>
      </c>
    </row>
    <row r="1198">
      <c r="A1198" s="90" t="n">
        <v>33259</v>
      </c>
      <c r="D1198" t="n">
        <v>826.2</v>
      </c>
    </row>
    <row r="1199">
      <c r="A1199" s="90" t="n">
        <v>33266</v>
      </c>
      <c r="D1199" t="n">
        <v>828.4</v>
      </c>
    </row>
    <row r="1200">
      <c r="A1200" s="90" t="n">
        <v>33270</v>
      </c>
      <c r="B1200" t="n">
        <v>617.7</v>
      </c>
      <c r="C1200" t="n">
        <v>2451.4</v>
      </c>
      <c r="E1200" t="n">
        <v>3304.5</v>
      </c>
    </row>
    <row r="1201">
      <c r="A1201" s="90" t="n">
        <v>33273</v>
      </c>
      <c r="D1201" t="n">
        <v>830.9</v>
      </c>
    </row>
    <row r="1202">
      <c r="A1202" s="90" t="n">
        <v>33280</v>
      </c>
      <c r="D1202" t="n">
        <v>833.5</v>
      </c>
    </row>
    <row r="1203">
      <c r="A1203" s="90" t="n">
        <v>33287</v>
      </c>
      <c r="D1203" t="n">
        <v>832.4</v>
      </c>
    </row>
    <row r="1204">
      <c r="A1204" s="90" t="n">
        <v>33294</v>
      </c>
      <c r="D1204" t="n">
        <v>832</v>
      </c>
    </row>
    <row r="1205">
      <c r="A1205" s="90" t="n">
        <v>33298</v>
      </c>
      <c r="B1205" t="n">
        <v>622.2</v>
      </c>
      <c r="C1205" t="n">
        <v>2464.3</v>
      </c>
      <c r="E1205" t="n">
        <v>3321.9</v>
      </c>
    </row>
    <row r="1206">
      <c r="A1206" s="90" t="n">
        <v>33301</v>
      </c>
      <c r="D1206" t="n">
        <v>834.6</v>
      </c>
    </row>
    <row r="1207">
      <c r="A1207" s="90" t="n">
        <v>33308</v>
      </c>
      <c r="D1207" t="n">
        <v>836.5</v>
      </c>
    </row>
    <row r="1208">
      <c r="A1208" s="90" t="n">
        <v>33315</v>
      </c>
      <c r="D1208" t="n">
        <v>836</v>
      </c>
    </row>
    <row r="1209">
      <c r="A1209" s="90" t="n">
        <v>33322</v>
      </c>
      <c r="D1209" t="n">
        <v>840.2</v>
      </c>
    </row>
    <row r="1210">
      <c r="A1210" s="90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90" t="n">
        <v>33336</v>
      </c>
      <c r="D1211" t="n">
        <v>842.7</v>
      </c>
    </row>
    <row r="1212">
      <c r="A1212" s="90" t="n">
        <v>33343</v>
      </c>
      <c r="D1212" t="n">
        <v>845</v>
      </c>
    </row>
    <row r="1213">
      <c r="A1213" s="90" t="n">
        <v>33350</v>
      </c>
      <c r="D1213" t="n">
        <v>842.6</v>
      </c>
    </row>
    <row r="1214">
      <c r="A1214" s="90" t="n">
        <v>33357</v>
      </c>
      <c r="D1214" t="n">
        <v>841.2</v>
      </c>
    </row>
    <row r="1215">
      <c r="A1215" s="90" t="n">
        <v>33359</v>
      </c>
      <c r="B1215" t="n">
        <v>626</v>
      </c>
      <c r="C1215" t="n">
        <v>2465.3</v>
      </c>
      <c r="E1215" t="n">
        <v>3343</v>
      </c>
    </row>
    <row r="1216">
      <c r="A1216" s="90" t="n">
        <v>33364</v>
      </c>
      <c r="D1216" t="n">
        <v>846.4</v>
      </c>
    </row>
    <row r="1217">
      <c r="A1217" s="90" t="n">
        <v>33371</v>
      </c>
      <c r="D1217" t="n">
        <v>848.3</v>
      </c>
    </row>
    <row r="1218">
      <c r="A1218" s="90" t="n">
        <v>33378</v>
      </c>
      <c r="D1218" t="n">
        <v>850.8</v>
      </c>
    </row>
    <row r="1219">
      <c r="A1219" s="90" t="n">
        <v>33385</v>
      </c>
      <c r="D1219" t="n">
        <v>849.7</v>
      </c>
    </row>
    <row r="1220">
      <c r="A1220" s="90" t="n">
        <v>33390</v>
      </c>
      <c r="B1220" t="n">
        <v>629.9</v>
      </c>
      <c r="C1220" t="n">
        <v>2464.6</v>
      </c>
      <c r="E1220" t="n">
        <v>3351.9</v>
      </c>
    </row>
    <row r="1221">
      <c r="A1221" s="90" t="n">
        <v>33392</v>
      </c>
      <c r="D1221" t="n">
        <v>848.1</v>
      </c>
    </row>
    <row r="1222">
      <c r="A1222" s="90" t="n">
        <v>33399</v>
      </c>
      <c r="D1222" t="n">
        <v>855.6</v>
      </c>
    </row>
    <row r="1223">
      <c r="A1223" s="90" t="n">
        <v>33406</v>
      </c>
      <c r="D1223" t="n">
        <v>856.5</v>
      </c>
    </row>
    <row r="1224">
      <c r="A1224" s="90" t="n">
        <v>33413</v>
      </c>
      <c r="D1224" t="n">
        <v>856.1</v>
      </c>
    </row>
    <row r="1225">
      <c r="A1225" s="90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90" t="n">
        <v>33427</v>
      </c>
      <c r="D1226" t="n">
        <v>859.5</v>
      </c>
    </row>
    <row r="1227">
      <c r="A1227" s="90" t="n">
        <v>33434</v>
      </c>
      <c r="D1227" t="n">
        <v>861.4</v>
      </c>
    </row>
    <row r="1228">
      <c r="A1228" s="90" t="n">
        <v>33441</v>
      </c>
      <c r="D1228" t="n">
        <v>861.1</v>
      </c>
    </row>
    <row r="1229">
      <c r="A1229" s="90" t="n">
        <v>33448</v>
      </c>
      <c r="D1229" t="n">
        <v>862.7</v>
      </c>
    </row>
    <row r="1230">
      <c r="A1230" s="90" t="n">
        <v>33451</v>
      </c>
      <c r="B1230" t="n">
        <v>634.6</v>
      </c>
      <c r="C1230" t="n">
        <v>2456.1</v>
      </c>
      <c r="E1230" t="n">
        <v>3355</v>
      </c>
    </row>
    <row r="1231">
      <c r="A1231" s="90" t="n">
        <v>33455</v>
      </c>
      <c r="D1231" t="n">
        <v>866.3</v>
      </c>
    </row>
    <row r="1232">
      <c r="A1232" s="90" t="n">
        <v>33462</v>
      </c>
      <c r="D1232" t="n">
        <v>865.3</v>
      </c>
    </row>
    <row r="1233">
      <c r="A1233" s="90" t="n">
        <v>33469</v>
      </c>
      <c r="D1233" t="n">
        <v>865</v>
      </c>
    </row>
    <row r="1234">
      <c r="A1234" s="90" t="n">
        <v>33476</v>
      </c>
      <c r="D1234" t="n">
        <v>869.1</v>
      </c>
    </row>
    <row r="1235">
      <c r="A1235" s="90" t="n">
        <v>33482</v>
      </c>
      <c r="B1235" t="n">
        <v>634.8</v>
      </c>
      <c r="C1235" t="n">
        <v>2448.8</v>
      </c>
      <c r="E1235" t="n">
        <v>3354.9</v>
      </c>
    </row>
    <row r="1236">
      <c r="A1236" s="90" t="n">
        <v>33483</v>
      </c>
      <c r="D1236" t="n">
        <v>868.3</v>
      </c>
    </row>
    <row r="1237">
      <c r="A1237" s="90" t="n">
        <v>33490</v>
      </c>
      <c r="D1237" t="n">
        <v>870.5</v>
      </c>
    </row>
    <row r="1238">
      <c r="A1238" s="90" t="n">
        <v>33497</v>
      </c>
      <c r="D1238" t="n">
        <v>869.8</v>
      </c>
    </row>
    <row r="1239">
      <c r="A1239" s="90" t="n">
        <v>33504</v>
      </c>
      <c r="D1239" t="n">
        <v>869.5</v>
      </c>
    </row>
    <row r="1240">
      <c r="A1240" s="90" t="n">
        <v>33511</v>
      </c>
      <c r="D1240" t="n">
        <v>871.8</v>
      </c>
    </row>
    <row r="1241">
      <c r="A1241" s="90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90" t="n">
        <v>33518</v>
      </c>
      <c r="D1242" t="n">
        <v>874.6</v>
      </c>
    </row>
    <row r="1243">
      <c r="A1243" s="90" t="n">
        <v>33525</v>
      </c>
      <c r="D1243" t="n">
        <v>875.4</v>
      </c>
    </row>
    <row r="1244">
      <c r="A1244" s="90" t="n">
        <v>33532</v>
      </c>
      <c r="D1244" t="n">
        <v>879.5</v>
      </c>
    </row>
    <row r="1245">
      <c r="A1245" s="90" t="n">
        <v>33539</v>
      </c>
      <c r="D1245" t="n">
        <v>880.8</v>
      </c>
    </row>
    <row r="1246">
      <c r="A1246" s="90" t="n">
        <v>33543</v>
      </c>
      <c r="B1246" t="n">
        <v>644.1</v>
      </c>
      <c r="C1246" t="n">
        <v>2442.3</v>
      </c>
      <c r="E1246" t="n">
        <v>3365.5</v>
      </c>
    </row>
    <row r="1247">
      <c r="A1247" s="90" t="n">
        <v>33546</v>
      </c>
      <c r="D1247" t="n">
        <v>882.4</v>
      </c>
    </row>
    <row r="1248">
      <c r="A1248" s="90" t="n">
        <v>33553</v>
      </c>
      <c r="D1248" t="n">
        <v>885.8</v>
      </c>
    </row>
    <row r="1249">
      <c r="A1249" s="90" t="n">
        <v>33560</v>
      </c>
      <c r="D1249" t="n">
        <v>886.6</v>
      </c>
    </row>
    <row r="1250">
      <c r="A1250" s="90" t="n">
        <v>33567</v>
      </c>
      <c r="D1250" t="n">
        <v>887.4</v>
      </c>
    </row>
    <row r="1251">
      <c r="A1251" s="90" t="n">
        <v>33573</v>
      </c>
      <c r="B1251" t="n">
        <v>649.1</v>
      </c>
      <c r="C1251" t="n">
        <v>2440.1</v>
      </c>
      <c r="E1251" t="n">
        <v>3372.2</v>
      </c>
    </row>
    <row r="1252">
      <c r="A1252" s="90" t="n">
        <v>33574</v>
      </c>
      <c r="D1252" t="n">
        <v>896.1</v>
      </c>
    </row>
    <row r="1253">
      <c r="A1253" s="90" t="n">
        <v>33581</v>
      </c>
      <c r="D1253" t="n">
        <v>894.6</v>
      </c>
    </row>
    <row r="1254">
      <c r="A1254" s="90" t="n">
        <v>33588</v>
      </c>
      <c r="D1254" t="n">
        <v>897.6</v>
      </c>
    </row>
    <row r="1255">
      <c r="A1255" s="90" t="n">
        <v>33595</v>
      </c>
      <c r="D1255" t="n">
        <v>897.6</v>
      </c>
    </row>
    <row r="1256">
      <c r="A1256" s="90" t="n">
        <v>33602</v>
      </c>
      <c r="D1256" t="n">
        <v>897.5</v>
      </c>
    </row>
    <row r="1257">
      <c r="A1257" s="90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90" t="n">
        <v>33609</v>
      </c>
      <c r="D1258" t="n">
        <v>901.9</v>
      </c>
    </row>
    <row r="1259">
      <c r="A1259" s="90" t="n">
        <v>33616</v>
      </c>
      <c r="D1259" t="n">
        <v>906.8</v>
      </c>
    </row>
    <row r="1260">
      <c r="A1260" s="90" t="n">
        <v>33623</v>
      </c>
      <c r="D1260" t="n">
        <v>909.3</v>
      </c>
    </row>
    <row r="1261">
      <c r="A1261" s="90" t="n">
        <v>33630</v>
      </c>
      <c r="D1261" t="n">
        <v>918.2</v>
      </c>
    </row>
    <row r="1262">
      <c r="A1262" s="90" t="n">
        <v>33635</v>
      </c>
      <c r="B1262" t="n">
        <v>667.5</v>
      </c>
      <c r="C1262" t="n">
        <v>2453.1</v>
      </c>
      <c r="E1262" t="n">
        <v>3400</v>
      </c>
    </row>
    <row r="1263">
      <c r="A1263" s="90" t="n">
        <v>33637</v>
      </c>
      <c r="D1263" t="n">
        <v>917.7</v>
      </c>
    </row>
    <row r="1264">
      <c r="A1264" s="90" t="n">
        <v>33644</v>
      </c>
      <c r="D1264" t="n">
        <v>923.6</v>
      </c>
    </row>
    <row r="1265">
      <c r="A1265" s="90" t="n">
        <v>33651</v>
      </c>
      <c r="D1265" t="n">
        <v>925.4</v>
      </c>
    </row>
    <row r="1266">
      <c r="A1266" s="90" t="n">
        <v>33658</v>
      </c>
      <c r="D1266" t="n">
        <v>928.6</v>
      </c>
    </row>
    <row r="1267">
      <c r="A1267" s="90" t="n">
        <v>33664</v>
      </c>
      <c r="B1267" t="n">
        <v>673.4</v>
      </c>
      <c r="C1267" t="n">
        <v>2447.1</v>
      </c>
      <c r="E1267" t="n">
        <v>3403.9</v>
      </c>
    </row>
    <row r="1268">
      <c r="A1268" s="90" t="n">
        <v>33665</v>
      </c>
      <c r="D1268" t="n">
        <v>926.9</v>
      </c>
    </row>
    <row r="1269">
      <c r="A1269" s="90" t="n">
        <v>33672</v>
      </c>
      <c r="D1269" t="n">
        <v>933.1</v>
      </c>
    </row>
    <row r="1270">
      <c r="A1270" s="90" t="n">
        <v>33679</v>
      </c>
      <c r="D1270" t="n">
        <v>938.2</v>
      </c>
    </row>
    <row r="1271">
      <c r="A1271" s="90" t="n">
        <v>33686</v>
      </c>
      <c r="D1271" t="n">
        <v>937.9</v>
      </c>
    </row>
    <row r="1272">
      <c r="A1272" s="90" t="n">
        <v>33693</v>
      </c>
      <c r="D1272" t="n">
        <v>939.7</v>
      </c>
    </row>
    <row r="1273">
      <c r="A1273" s="90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90" t="n">
        <v>33700</v>
      </c>
      <c r="D1274" t="n">
        <v>941</v>
      </c>
    </row>
    <row r="1275">
      <c r="A1275" s="90" t="n">
        <v>33707</v>
      </c>
      <c r="D1275" t="n">
        <v>941.3</v>
      </c>
    </row>
    <row r="1276">
      <c r="A1276" s="90" t="n">
        <v>33714</v>
      </c>
      <c r="D1276" t="n">
        <v>945.7</v>
      </c>
    </row>
    <row r="1277">
      <c r="A1277" s="90" t="n">
        <v>33721</v>
      </c>
      <c r="D1277" t="n">
        <v>945.6</v>
      </c>
    </row>
    <row r="1278">
      <c r="A1278" s="90" t="n">
        <v>33725</v>
      </c>
      <c r="B1278" t="n">
        <v>680.5</v>
      </c>
      <c r="C1278" t="n">
        <v>2432.8</v>
      </c>
      <c r="E1278" t="n">
        <v>3398.6</v>
      </c>
    </row>
    <row r="1279">
      <c r="A1279" s="90" t="n">
        <v>33728</v>
      </c>
      <c r="D1279" t="n">
        <v>946.5</v>
      </c>
    </row>
    <row r="1280">
      <c r="A1280" s="90" t="n">
        <v>33735</v>
      </c>
      <c r="D1280" t="n">
        <v>949.4</v>
      </c>
    </row>
    <row r="1281">
      <c r="A1281" s="90" t="n">
        <v>33742</v>
      </c>
      <c r="D1281" t="n">
        <v>949.8</v>
      </c>
    </row>
    <row r="1282">
      <c r="A1282" s="90" t="n">
        <v>33749</v>
      </c>
      <c r="D1282" t="n">
        <v>952.3</v>
      </c>
    </row>
    <row r="1283">
      <c r="A1283" s="90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90" t="n">
        <v>33763</v>
      </c>
      <c r="D1284" t="n">
        <v>951.1</v>
      </c>
    </row>
    <row r="1285">
      <c r="A1285" s="90" t="n">
        <v>33770</v>
      </c>
      <c r="D1285" t="n">
        <v>955.6</v>
      </c>
    </row>
    <row r="1286">
      <c r="A1286" s="90" t="n">
        <v>33777</v>
      </c>
      <c r="D1286" t="n">
        <v>954.8</v>
      </c>
    </row>
    <row r="1287">
      <c r="A1287" s="90" t="n">
        <v>33784</v>
      </c>
      <c r="D1287" t="n">
        <v>955.2</v>
      </c>
    </row>
    <row r="1288">
      <c r="A1288" s="90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90" t="n">
        <v>33791</v>
      </c>
      <c r="D1289" t="n">
        <v>959.3</v>
      </c>
    </row>
    <row r="1290">
      <c r="A1290" s="90" t="n">
        <v>33798</v>
      </c>
      <c r="D1290" t="n">
        <v>960.4</v>
      </c>
    </row>
    <row r="1291">
      <c r="A1291" s="90" t="n">
        <v>33805</v>
      </c>
      <c r="D1291" t="n">
        <v>964.8</v>
      </c>
    </row>
    <row r="1292">
      <c r="A1292" s="90" t="n">
        <v>33812</v>
      </c>
      <c r="D1292" t="n">
        <v>966.8</v>
      </c>
    </row>
    <row r="1293">
      <c r="A1293" s="90" t="n">
        <v>33817</v>
      </c>
      <c r="B1293" t="n">
        <v>691.5</v>
      </c>
      <c r="C1293" t="n">
        <v>2413.9</v>
      </c>
      <c r="E1293" t="n">
        <v>3398.8</v>
      </c>
    </row>
    <row r="1294">
      <c r="A1294" s="90" t="n">
        <v>33819</v>
      </c>
      <c r="D1294" t="n">
        <v>965.8</v>
      </c>
    </row>
    <row r="1295">
      <c r="A1295" s="90" t="n">
        <v>33826</v>
      </c>
      <c r="D1295" t="n">
        <v>972.7</v>
      </c>
    </row>
    <row r="1296">
      <c r="A1296" s="90" t="n">
        <v>33833</v>
      </c>
      <c r="D1296" t="n">
        <v>972.9</v>
      </c>
    </row>
    <row r="1297">
      <c r="A1297" s="90" t="n">
        <v>33840</v>
      </c>
      <c r="D1297" t="n">
        <v>974.2</v>
      </c>
    </row>
    <row r="1298">
      <c r="A1298" s="90" t="n">
        <v>33847</v>
      </c>
      <c r="D1298" t="n">
        <v>978.5</v>
      </c>
    </row>
    <row r="1299">
      <c r="A1299" s="90" t="n">
        <v>33848</v>
      </c>
      <c r="B1299" t="n">
        <v>700.2</v>
      </c>
      <c r="C1299" t="n">
        <v>2416.9</v>
      </c>
      <c r="E1299" t="n">
        <v>3410.3</v>
      </c>
    </row>
    <row r="1300">
      <c r="A1300" s="90" t="n">
        <v>33854</v>
      </c>
      <c r="D1300" t="n">
        <v>979.3</v>
      </c>
    </row>
    <row r="1301">
      <c r="A1301" s="90" t="n">
        <v>33861</v>
      </c>
      <c r="D1301" t="n">
        <v>985.6</v>
      </c>
    </row>
    <row r="1302">
      <c r="A1302" s="90" t="n">
        <v>33868</v>
      </c>
      <c r="D1302" t="n">
        <v>990.1</v>
      </c>
    </row>
    <row r="1303">
      <c r="A1303" s="90" t="n">
        <v>33875</v>
      </c>
      <c r="D1303" t="n">
        <v>994.2</v>
      </c>
    </row>
    <row r="1304">
      <c r="A1304" s="90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90" t="n">
        <v>33882</v>
      </c>
      <c r="D1305" t="n">
        <v>997.6</v>
      </c>
    </row>
    <row r="1306">
      <c r="A1306" s="90" t="n">
        <v>33889</v>
      </c>
      <c r="D1306" t="n">
        <v>999.5</v>
      </c>
    </row>
    <row r="1307">
      <c r="A1307" s="90" t="n">
        <v>33896</v>
      </c>
      <c r="D1307" t="n">
        <v>1001</v>
      </c>
    </row>
    <row r="1308">
      <c r="A1308" s="90" t="n">
        <v>33903</v>
      </c>
      <c r="D1308" t="n">
        <v>1009.2</v>
      </c>
    </row>
    <row r="1309">
      <c r="A1309" s="90" t="n">
        <v>33909</v>
      </c>
      <c r="B1309" t="n">
        <v>714.8</v>
      </c>
      <c r="C1309" t="n">
        <v>2411.3</v>
      </c>
      <c r="E1309" t="n">
        <v>3426.5</v>
      </c>
    </row>
    <row r="1310">
      <c r="A1310" s="90" t="n">
        <v>33910</v>
      </c>
      <c r="D1310" t="n">
        <v>1011.7</v>
      </c>
    </row>
    <row r="1311">
      <c r="A1311" s="90" t="n">
        <v>33917</v>
      </c>
      <c r="D1311" t="n">
        <v>1014.8</v>
      </c>
    </row>
    <row r="1312">
      <c r="A1312" s="90" t="n">
        <v>33924</v>
      </c>
      <c r="D1312" t="n">
        <v>1017</v>
      </c>
    </row>
    <row r="1313">
      <c r="A1313" s="90" t="n">
        <v>33931</v>
      </c>
      <c r="D1313" t="n">
        <v>1014.4</v>
      </c>
    </row>
    <row r="1314">
      <c r="A1314" s="90" t="n">
        <v>33938</v>
      </c>
      <c r="D1314" t="n">
        <v>1017.9</v>
      </c>
    </row>
    <row r="1315">
      <c r="A1315" s="90" t="n">
        <v>33939</v>
      </c>
      <c r="B1315" t="n">
        <v>720.2</v>
      </c>
      <c r="C1315" t="n">
        <v>2406.7</v>
      </c>
      <c r="E1315" t="n">
        <v>3424.7</v>
      </c>
    </row>
    <row r="1316">
      <c r="A1316" s="90" t="n">
        <v>33945</v>
      </c>
      <c r="D1316" t="n">
        <v>1021.4</v>
      </c>
    </row>
    <row r="1317">
      <c r="A1317" s="90" t="n">
        <v>33952</v>
      </c>
      <c r="D1317" t="n">
        <v>1025.9</v>
      </c>
    </row>
    <row r="1318">
      <c r="A1318" s="90" t="n">
        <v>33959</v>
      </c>
      <c r="D1318" t="n">
        <v>1022.8</v>
      </c>
    </row>
    <row r="1319">
      <c r="A1319" s="90" t="n">
        <v>33966</v>
      </c>
      <c r="D1319" t="n">
        <v>1028.4</v>
      </c>
    </row>
    <row r="1320">
      <c r="A1320" s="90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90" t="n">
        <v>33973</v>
      </c>
      <c r="D1321" t="n">
        <v>1027.8</v>
      </c>
    </row>
    <row r="1322">
      <c r="A1322" s="90" t="n">
        <v>33980</v>
      </c>
      <c r="D1322" t="n">
        <v>1031.1</v>
      </c>
    </row>
    <row r="1323">
      <c r="A1323" s="90" t="n">
        <v>33987</v>
      </c>
      <c r="D1323" t="n">
        <v>1029.6</v>
      </c>
    </row>
    <row r="1324">
      <c r="A1324" s="90" t="n">
        <v>33994</v>
      </c>
      <c r="D1324" t="n">
        <v>1030.9</v>
      </c>
    </row>
    <row r="1325">
      <c r="A1325" s="90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90" t="n">
        <v>34008</v>
      </c>
      <c r="D1326" t="n">
        <v>1030</v>
      </c>
    </row>
    <row r="1327">
      <c r="A1327" s="90" t="n">
        <v>34015</v>
      </c>
      <c r="D1327" t="n">
        <v>1034.1</v>
      </c>
    </row>
    <row r="1328">
      <c r="A1328" s="90" t="n">
        <v>34022</v>
      </c>
      <c r="D1328" t="n">
        <v>1034.7</v>
      </c>
    </row>
    <row r="1329">
      <c r="A1329" s="90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90" t="n">
        <v>34036</v>
      </c>
      <c r="D1330" t="n">
        <v>1035.3</v>
      </c>
    </row>
    <row r="1331">
      <c r="A1331" s="90" t="n">
        <v>34043</v>
      </c>
      <c r="D1331" t="n">
        <v>1036.8</v>
      </c>
    </row>
    <row r="1332">
      <c r="A1332" s="90" t="n">
        <v>34050</v>
      </c>
      <c r="D1332" t="n">
        <v>1038.6</v>
      </c>
    </row>
    <row r="1333">
      <c r="A1333" s="90" t="n">
        <v>34057</v>
      </c>
      <c r="D1333" t="n">
        <v>1040.4</v>
      </c>
    </row>
    <row r="1334">
      <c r="A1334" s="90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90" t="n">
        <v>34064</v>
      </c>
      <c r="D1335" t="n">
        <v>1045.4</v>
      </c>
    </row>
    <row r="1336">
      <c r="A1336" s="90" t="n">
        <v>34071</v>
      </c>
      <c r="D1336" t="n">
        <v>1045.9</v>
      </c>
    </row>
    <row r="1337">
      <c r="A1337" s="90" t="n">
        <v>34078</v>
      </c>
      <c r="D1337" t="n">
        <v>1045.5</v>
      </c>
    </row>
    <row r="1338">
      <c r="A1338" s="90" t="n">
        <v>34085</v>
      </c>
      <c r="D1338" t="n">
        <v>1047.2</v>
      </c>
    </row>
    <row r="1339">
      <c r="A1339" s="90" t="n">
        <v>34090</v>
      </c>
      <c r="B1339" t="n">
        <v>739.2</v>
      </c>
      <c r="C1339" t="n">
        <v>2383.4</v>
      </c>
      <c r="E1339" t="n">
        <v>3436.9</v>
      </c>
    </row>
    <row r="1340">
      <c r="A1340" s="90" t="n">
        <v>34092</v>
      </c>
      <c r="D1340" t="n">
        <v>1056.3</v>
      </c>
    </row>
    <row r="1341">
      <c r="A1341" s="90" t="n">
        <v>34099</v>
      </c>
      <c r="D1341" t="n">
        <v>1064.1</v>
      </c>
    </row>
    <row r="1342">
      <c r="A1342" s="90" t="n">
        <v>34106</v>
      </c>
      <c r="D1342" t="n">
        <v>1066</v>
      </c>
    </row>
    <row r="1343">
      <c r="A1343" s="90" t="n">
        <v>34113</v>
      </c>
      <c r="D1343" t="n">
        <v>1063.6</v>
      </c>
    </row>
    <row r="1344">
      <c r="A1344" s="90" t="n">
        <v>34120</v>
      </c>
      <c r="D1344" t="n">
        <v>1073</v>
      </c>
    </row>
    <row r="1345">
      <c r="A1345" s="90" t="n">
        <v>34121</v>
      </c>
      <c r="B1345" t="n">
        <v>745</v>
      </c>
      <c r="C1345" t="n">
        <v>2385.6</v>
      </c>
      <c r="E1345" t="n">
        <v>3442.4</v>
      </c>
    </row>
    <row r="1346">
      <c r="A1346" s="90" t="n">
        <v>34127</v>
      </c>
      <c r="D1346" t="n">
        <v>1071.3</v>
      </c>
    </row>
    <row r="1347">
      <c r="A1347" s="90" t="n">
        <v>34134</v>
      </c>
      <c r="D1347" t="n">
        <v>1074.1</v>
      </c>
    </row>
    <row r="1348">
      <c r="A1348" s="90" t="n">
        <v>34141</v>
      </c>
      <c r="D1348" t="n">
        <v>1076.4</v>
      </c>
    </row>
    <row r="1349">
      <c r="A1349" s="90" t="n">
        <v>34148</v>
      </c>
      <c r="D1349" t="n">
        <v>1077.6</v>
      </c>
    </row>
    <row r="1350">
      <c r="A1350" s="90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90" t="n">
        <v>34155</v>
      </c>
      <c r="D1351" t="n">
        <v>1079.3</v>
      </c>
    </row>
    <row r="1352">
      <c r="A1352" s="90" t="n">
        <v>34162</v>
      </c>
      <c r="D1352" t="n">
        <v>1083.3</v>
      </c>
    </row>
    <row r="1353">
      <c r="A1353" s="90" t="n">
        <v>34169</v>
      </c>
      <c r="D1353" t="n">
        <v>1085.3</v>
      </c>
    </row>
    <row r="1354">
      <c r="A1354" s="90" t="n">
        <v>34176</v>
      </c>
      <c r="D1354" t="n">
        <v>1086.5</v>
      </c>
    </row>
    <row r="1355">
      <c r="A1355" s="90" t="n">
        <v>34182</v>
      </c>
      <c r="B1355" t="n">
        <v>755.7</v>
      </c>
      <c r="C1355" t="n">
        <v>2379.6</v>
      </c>
      <c r="E1355" t="n">
        <v>3445.7</v>
      </c>
    </row>
    <row r="1356">
      <c r="A1356" s="90" t="n">
        <v>34183</v>
      </c>
      <c r="D1356" t="n">
        <v>1088.3</v>
      </c>
    </row>
    <row r="1357">
      <c r="A1357" s="90" t="n">
        <v>34190</v>
      </c>
      <c r="D1357" t="n">
        <v>1092.4</v>
      </c>
    </row>
    <row r="1358">
      <c r="A1358" s="90" t="n">
        <v>34197</v>
      </c>
      <c r="D1358" t="n">
        <v>1095.4</v>
      </c>
    </row>
    <row r="1359">
      <c r="A1359" s="90" t="n">
        <v>34204</v>
      </c>
      <c r="D1359" t="n">
        <v>1093.1</v>
      </c>
    </row>
    <row r="1360">
      <c r="A1360" s="90" t="n">
        <v>34211</v>
      </c>
      <c r="D1360" t="n">
        <v>1096.8</v>
      </c>
    </row>
    <row r="1361">
      <c r="A1361" s="90" t="n">
        <v>34213</v>
      </c>
      <c r="B1361" t="n">
        <v>761.5</v>
      </c>
      <c r="C1361" t="n">
        <v>2380.8</v>
      </c>
      <c r="E1361" t="n">
        <v>3452.2</v>
      </c>
    </row>
    <row r="1362">
      <c r="A1362" s="90" t="n">
        <v>34218</v>
      </c>
      <c r="D1362" t="n">
        <v>1100.6</v>
      </c>
    </row>
    <row r="1363">
      <c r="A1363" s="90" t="n">
        <v>34225</v>
      </c>
      <c r="D1363" t="n">
        <v>1103</v>
      </c>
    </row>
    <row r="1364">
      <c r="A1364" s="90" t="n">
        <v>34232</v>
      </c>
      <c r="D1364" t="n">
        <v>1106.9</v>
      </c>
    </row>
    <row r="1365">
      <c r="A1365" s="90" t="n">
        <v>34239</v>
      </c>
      <c r="D1365" t="n">
        <v>1103.9</v>
      </c>
    </row>
    <row r="1366">
      <c r="A1366" s="90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90" t="n">
        <v>34246</v>
      </c>
      <c r="D1367" t="n">
        <v>1108.3</v>
      </c>
    </row>
    <row r="1368">
      <c r="A1368" s="90" t="n">
        <v>34253</v>
      </c>
      <c r="D1368" t="n">
        <v>1110.1</v>
      </c>
    </row>
    <row r="1369">
      <c r="A1369" s="90" t="n">
        <v>34260</v>
      </c>
      <c r="D1369" t="n">
        <v>1112.8</v>
      </c>
    </row>
    <row r="1370">
      <c r="A1370" s="90" t="n">
        <v>34267</v>
      </c>
      <c r="D1370" t="n">
        <v>1113</v>
      </c>
    </row>
    <row r="1371">
      <c r="A1371" s="90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90" t="n">
        <v>34281</v>
      </c>
      <c r="D1372" t="n">
        <v>1121.7</v>
      </c>
    </row>
    <row r="1373">
      <c r="A1373" s="90" t="n">
        <v>34288</v>
      </c>
      <c r="D1373" t="n">
        <v>1126.8</v>
      </c>
    </row>
    <row r="1374">
      <c r="A1374" s="90" t="n">
        <v>34295</v>
      </c>
      <c r="D1374" t="n">
        <v>1123.2</v>
      </c>
    </row>
    <row r="1375">
      <c r="A1375" s="90" t="n">
        <v>34302</v>
      </c>
      <c r="D1375" t="n">
        <v>1124.7</v>
      </c>
    </row>
    <row r="1376">
      <c r="A1376" s="90" t="n">
        <v>34304</v>
      </c>
      <c r="B1376" t="n">
        <v>772.1</v>
      </c>
      <c r="C1376" t="n">
        <v>2374.9</v>
      </c>
      <c r="E1376" t="n">
        <v>3474.5</v>
      </c>
    </row>
    <row r="1377">
      <c r="A1377" s="90" t="n">
        <v>34309</v>
      </c>
      <c r="D1377" t="n">
        <v>1128.1</v>
      </c>
    </row>
    <row r="1378">
      <c r="A1378" s="90" t="n">
        <v>34316</v>
      </c>
      <c r="D1378" t="n">
        <v>1129.5</v>
      </c>
    </row>
    <row r="1379">
      <c r="A1379" s="90" t="n">
        <v>34323</v>
      </c>
      <c r="D1379" t="n">
        <v>1129.5</v>
      </c>
    </row>
    <row r="1380">
      <c r="A1380" s="90" t="n">
        <v>34330</v>
      </c>
      <c r="D1380" t="n">
        <v>1131.9</v>
      </c>
    </row>
    <row r="1381">
      <c r="A1381" s="90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90" t="n">
        <v>34337</v>
      </c>
      <c r="D1382" t="n">
        <v>1128.4</v>
      </c>
    </row>
    <row r="1383">
      <c r="A1383" s="90" t="n">
        <v>34344</v>
      </c>
      <c r="D1383" t="n">
        <v>1131</v>
      </c>
    </row>
    <row r="1384">
      <c r="A1384" s="90" t="n">
        <v>34351</v>
      </c>
      <c r="D1384" t="n">
        <v>1131.3</v>
      </c>
    </row>
    <row r="1385">
      <c r="A1385" s="90" t="n">
        <v>34358</v>
      </c>
      <c r="D1385" t="n">
        <v>1132.4</v>
      </c>
    </row>
    <row r="1386">
      <c r="A1386" s="90" t="n">
        <v>34365</v>
      </c>
      <c r="D1386" t="n">
        <v>1132.7</v>
      </c>
    </row>
    <row r="1387">
      <c r="A1387" s="90" t="n">
        <v>34366</v>
      </c>
      <c r="B1387" t="n">
        <v>774.6</v>
      </c>
      <c r="C1387" t="n">
        <v>2369.3</v>
      </c>
      <c r="E1387" t="n">
        <v>3475.7</v>
      </c>
    </row>
    <row r="1388">
      <c r="A1388" s="90" t="n">
        <v>34372</v>
      </c>
      <c r="D1388" t="n">
        <v>1134.5</v>
      </c>
    </row>
    <row r="1389">
      <c r="A1389" s="90" t="n">
        <v>34379</v>
      </c>
      <c r="D1389" t="n">
        <v>1136.7</v>
      </c>
    </row>
    <row r="1390">
      <c r="A1390" s="90" t="n">
        <v>34386</v>
      </c>
      <c r="D1390" t="n">
        <v>1137.4</v>
      </c>
    </row>
    <row r="1391">
      <c r="A1391" s="90" t="n">
        <v>34393</v>
      </c>
      <c r="D1391" t="n">
        <v>1136.5</v>
      </c>
    </row>
    <row r="1392">
      <c r="A1392" s="90" t="n">
        <v>34394</v>
      </c>
      <c r="B1392" t="n">
        <v>775.1</v>
      </c>
      <c r="C1392" t="n">
        <v>2365.8</v>
      </c>
      <c r="E1392" t="n">
        <v>3480.1</v>
      </c>
    </row>
    <row r="1393">
      <c r="A1393" s="90" t="n">
        <v>34400</v>
      </c>
      <c r="D1393" t="n">
        <v>1138.3</v>
      </c>
    </row>
    <row r="1394">
      <c r="A1394" s="90" t="n">
        <v>34407</v>
      </c>
      <c r="D1394" t="n">
        <v>1139.6</v>
      </c>
    </row>
    <row r="1395">
      <c r="A1395" s="90" t="n">
        <v>34414</v>
      </c>
      <c r="D1395" t="n">
        <v>1139.2</v>
      </c>
    </row>
    <row r="1396">
      <c r="A1396" s="90" t="n">
        <v>34421</v>
      </c>
      <c r="D1396" t="n">
        <v>1141.5</v>
      </c>
    </row>
    <row r="1397">
      <c r="A1397" s="90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90" t="n">
        <v>34428</v>
      </c>
      <c r="D1398" t="n">
        <v>1144.7</v>
      </c>
    </row>
    <row r="1399">
      <c r="A1399" s="90" t="n">
        <v>34435</v>
      </c>
      <c r="D1399" t="n">
        <v>1143.8</v>
      </c>
    </row>
    <row r="1400">
      <c r="A1400" s="90" t="n">
        <v>34442</v>
      </c>
      <c r="D1400" t="n">
        <v>1139</v>
      </c>
    </row>
    <row r="1401">
      <c r="A1401" s="90" t="n">
        <v>34449</v>
      </c>
      <c r="D1401" t="n">
        <v>1137.9</v>
      </c>
    </row>
    <row r="1402">
      <c r="A1402" s="90" t="n">
        <v>34455</v>
      </c>
      <c r="B1402" t="n">
        <v>775.1</v>
      </c>
      <c r="C1402" t="n">
        <v>2366.6</v>
      </c>
      <c r="E1402" t="n">
        <v>3490.8</v>
      </c>
    </row>
    <row r="1403">
      <c r="A1403" s="90" t="n">
        <v>34456</v>
      </c>
      <c r="D1403" t="n">
        <v>1141.8</v>
      </c>
    </row>
    <row r="1404">
      <c r="A1404" s="90" t="n">
        <v>34463</v>
      </c>
      <c r="D1404" t="n">
        <v>1144.9</v>
      </c>
    </row>
    <row r="1405">
      <c r="A1405" s="90" t="n">
        <v>34470</v>
      </c>
      <c r="D1405" t="n">
        <v>1145.1</v>
      </c>
    </row>
    <row r="1406">
      <c r="A1406" s="90" t="n">
        <v>34477</v>
      </c>
      <c r="D1406" t="n">
        <v>1141.2</v>
      </c>
    </row>
    <row r="1407">
      <c r="A1407" s="90" t="n">
        <v>34484</v>
      </c>
      <c r="D1407" t="n">
        <v>1142.3</v>
      </c>
    </row>
    <row r="1408">
      <c r="A1408" s="90" t="n">
        <v>34486</v>
      </c>
      <c r="B1408" t="n">
        <v>774.3</v>
      </c>
      <c r="C1408" t="n">
        <v>2352.6</v>
      </c>
      <c r="E1408" t="n">
        <v>3479.5</v>
      </c>
    </row>
    <row r="1409">
      <c r="A1409" s="90" t="n">
        <v>34491</v>
      </c>
      <c r="D1409" t="n">
        <v>1144.3</v>
      </c>
    </row>
    <row r="1410">
      <c r="A1410" s="90" t="n">
        <v>34498</v>
      </c>
      <c r="D1410" t="n">
        <v>1145.4</v>
      </c>
    </row>
    <row r="1411">
      <c r="A1411" s="90" t="n">
        <v>34505</v>
      </c>
      <c r="D1411" t="n">
        <v>1146.4</v>
      </c>
    </row>
    <row r="1412">
      <c r="A1412" s="90" t="n">
        <v>34512</v>
      </c>
      <c r="D1412" t="n">
        <v>1145.3</v>
      </c>
    </row>
    <row r="1413">
      <c r="A1413" s="90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90" t="n">
        <v>34519</v>
      </c>
      <c r="D1414" t="n">
        <v>1143.5</v>
      </c>
    </row>
    <row r="1415">
      <c r="A1415" s="90" t="n">
        <v>34526</v>
      </c>
      <c r="D1415" t="n">
        <v>1151.5</v>
      </c>
    </row>
    <row r="1416">
      <c r="A1416" s="90" t="n">
        <v>34533</v>
      </c>
      <c r="D1416" t="n">
        <v>1151.2</v>
      </c>
    </row>
    <row r="1417">
      <c r="A1417" s="90" t="n">
        <v>34540</v>
      </c>
      <c r="D1417" t="n">
        <v>1151.4</v>
      </c>
    </row>
    <row r="1418">
      <c r="A1418" s="90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90" t="n">
        <v>34554</v>
      </c>
      <c r="D1419" t="n">
        <v>1148</v>
      </c>
    </row>
    <row r="1420">
      <c r="A1420" s="90" t="n">
        <v>34561</v>
      </c>
      <c r="D1420" t="n">
        <v>1151.6</v>
      </c>
    </row>
    <row r="1421">
      <c r="A1421" s="90" t="n">
        <v>34568</v>
      </c>
      <c r="D1421" t="n">
        <v>1150.2</v>
      </c>
    </row>
    <row r="1422">
      <c r="A1422" s="90" t="n">
        <v>34575</v>
      </c>
      <c r="D1422" t="n">
        <v>1151.6</v>
      </c>
    </row>
    <row r="1423">
      <c r="A1423" s="90" t="n">
        <v>34578</v>
      </c>
      <c r="B1423" t="n">
        <v>771.5</v>
      </c>
      <c r="C1423" t="n">
        <v>2335</v>
      </c>
      <c r="E1423" t="n">
        <v>3486.1</v>
      </c>
    </row>
    <row r="1424">
      <c r="A1424" s="90" t="n">
        <v>34582</v>
      </c>
      <c r="D1424" t="n">
        <v>1153</v>
      </c>
    </row>
    <row r="1425">
      <c r="A1425" s="90" t="n">
        <v>34589</v>
      </c>
      <c r="D1425" t="n">
        <v>1152.7</v>
      </c>
    </row>
    <row r="1426">
      <c r="A1426" s="90" t="n">
        <v>34596</v>
      </c>
      <c r="D1426" t="n">
        <v>1152.2</v>
      </c>
    </row>
    <row r="1427">
      <c r="A1427" s="90" t="n">
        <v>34603</v>
      </c>
      <c r="D1427" t="n">
        <v>1152.3</v>
      </c>
    </row>
    <row r="1428">
      <c r="A1428" s="90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90" t="n">
        <v>34610</v>
      </c>
      <c r="D1429" t="n">
        <v>1147.7</v>
      </c>
    </row>
    <row r="1430">
      <c r="A1430" s="90" t="n">
        <v>34617</v>
      </c>
      <c r="D1430" t="n">
        <v>1152.6</v>
      </c>
    </row>
    <row r="1431">
      <c r="A1431" s="90" t="n">
        <v>34624</v>
      </c>
      <c r="D1431" t="n">
        <v>1152.7</v>
      </c>
    </row>
    <row r="1432">
      <c r="A1432" s="90" t="n">
        <v>34631</v>
      </c>
      <c r="D1432" t="n">
        <v>1148.2</v>
      </c>
    </row>
    <row r="1433">
      <c r="A1433" s="90" t="n">
        <v>34638</v>
      </c>
      <c r="D1433" t="n">
        <v>1148.1</v>
      </c>
    </row>
    <row r="1434">
      <c r="A1434" s="90" t="n">
        <v>34639</v>
      </c>
      <c r="B1434" t="n">
        <v>768.3</v>
      </c>
      <c r="C1434" t="n">
        <v>2327.9</v>
      </c>
      <c r="E1434" t="n">
        <v>3487.2</v>
      </c>
    </row>
    <row r="1435">
      <c r="A1435" s="90" t="n">
        <v>34645</v>
      </c>
      <c r="D1435" t="n">
        <v>1148.2</v>
      </c>
    </row>
    <row r="1436">
      <c r="A1436" s="90" t="n">
        <v>34652</v>
      </c>
      <c r="D1436" t="n">
        <v>1151.8</v>
      </c>
    </row>
    <row r="1437">
      <c r="A1437" s="90" t="n">
        <v>34659</v>
      </c>
      <c r="D1437" t="n">
        <v>1152.4</v>
      </c>
    </row>
    <row r="1438">
      <c r="A1438" s="90" t="n">
        <v>34666</v>
      </c>
      <c r="D1438" t="n">
        <v>1151.2</v>
      </c>
    </row>
    <row r="1439">
      <c r="A1439" s="90" t="n">
        <v>34669</v>
      </c>
      <c r="B1439" t="n">
        <v>766.6</v>
      </c>
      <c r="C1439" t="n">
        <v>2322.7</v>
      </c>
      <c r="E1439" t="n">
        <v>3486.4</v>
      </c>
    </row>
    <row r="1440">
      <c r="A1440" s="90" t="n">
        <v>34673</v>
      </c>
      <c r="D1440" t="n">
        <v>1152.2</v>
      </c>
    </row>
    <row r="1441">
      <c r="A1441" s="90" t="n">
        <v>34680</v>
      </c>
      <c r="D1441" t="n">
        <v>1154.5</v>
      </c>
    </row>
    <row r="1442">
      <c r="A1442" s="90" t="n">
        <v>34687</v>
      </c>
      <c r="D1442" t="n">
        <v>1150.4</v>
      </c>
    </row>
    <row r="1443">
      <c r="A1443" s="90" t="n">
        <v>34694</v>
      </c>
      <c r="D1443" t="n">
        <v>1149.3</v>
      </c>
    </row>
    <row r="1444">
      <c r="A1444" s="90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90" t="n">
        <v>34701</v>
      </c>
      <c r="D1445" t="n">
        <v>1145.9</v>
      </c>
    </row>
    <row r="1446">
      <c r="A1446" s="90" t="n">
        <v>34708</v>
      </c>
      <c r="D1446" t="n">
        <v>1154.4</v>
      </c>
    </row>
    <row r="1447">
      <c r="A1447" s="90" t="n">
        <v>34715</v>
      </c>
      <c r="D1447" t="n">
        <v>1154.4</v>
      </c>
    </row>
    <row r="1448">
      <c r="A1448" s="90" t="n">
        <v>34722</v>
      </c>
      <c r="D1448" t="n">
        <v>1150.4</v>
      </c>
    </row>
    <row r="1449">
      <c r="A1449" s="90" t="n">
        <v>34729</v>
      </c>
      <c r="D1449" t="n">
        <v>1148</v>
      </c>
    </row>
    <row r="1450">
      <c r="A1450" s="90" t="n">
        <v>34731</v>
      </c>
      <c r="B1450" t="n">
        <v>760.4</v>
      </c>
      <c r="C1450" t="n">
        <v>2312.7</v>
      </c>
      <c r="E1450" t="n">
        <v>3489.9</v>
      </c>
    </row>
    <row r="1451">
      <c r="A1451" s="90" t="n">
        <v>34736</v>
      </c>
      <c r="D1451" t="n">
        <v>1150.5</v>
      </c>
    </row>
    <row r="1452">
      <c r="A1452" s="90" t="n">
        <v>34743</v>
      </c>
      <c r="D1452" t="n">
        <v>1148</v>
      </c>
    </row>
    <row r="1453">
      <c r="A1453" s="90" t="n">
        <v>34750</v>
      </c>
      <c r="D1453" t="n">
        <v>1145.3</v>
      </c>
    </row>
    <row r="1454">
      <c r="A1454" s="90" t="n">
        <v>34757</v>
      </c>
      <c r="D1454" t="n">
        <v>1146.2</v>
      </c>
    </row>
    <row r="1455">
      <c r="A1455" s="90" t="n">
        <v>34759</v>
      </c>
      <c r="B1455" t="n">
        <v>758.4</v>
      </c>
      <c r="C1455" t="n">
        <v>2308.9</v>
      </c>
      <c r="E1455" t="n">
        <v>3491.1</v>
      </c>
    </row>
    <row r="1456">
      <c r="A1456" s="90" t="n">
        <v>34764</v>
      </c>
      <c r="D1456" t="n">
        <v>1147.2</v>
      </c>
    </row>
    <row r="1457">
      <c r="A1457" s="90" t="n">
        <v>34771</v>
      </c>
      <c r="D1457" t="n">
        <v>1148.3</v>
      </c>
    </row>
    <row r="1458">
      <c r="A1458" s="90" t="n">
        <v>34778</v>
      </c>
      <c r="D1458" t="n">
        <v>1147.2</v>
      </c>
    </row>
    <row r="1459">
      <c r="A1459" s="90" t="n">
        <v>34785</v>
      </c>
      <c r="D1459" t="n">
        <v>1147.2</v>
      </c>
    </row>
    <row r="1460">
      <c r="A1460" s="90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90" t="n">
        <v>34792</v>
      </c>
      <c r="D1461" t="n">
        <v>1141.5</v>
      </c>
    </row>
    <row r="1462">
      <c r="A1462" s="90" t="n">
        <v>34799</v>
      </c>
      <c r="D1462" t="n">
        <v>1151.4</v>
      </c>
    </row>
    <row r="1463">
      <c r="A1463" s="90" t="n">
        <v>34806</v>
      </c>
      <c r="D1463" t="n">
        <v>1149.1</v>
      </c>
    </row>
    <row r="1464">
      <c r="A1464" s="90" t="n">
        <v>34813</v>
      </c>
      <c r="D1464" t="n">
        <v>1149.8</v>
      </c>
    </row>
    <row r="1465">
      <c r="A1465" s="90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90" t="n">
        <v>34827</v>
      </c>
      <c r="D1466" t="n">
        <v>1144.8</v>
      </c>
    </row>
    <row r="1467">
      <c r="A1467" s="90" t="n">
        <v>34834</v>
      </c>
      <c r="D1467" t="n">
        <v>1146.7</v>
      </c>
    </row>
    <row r="1468">
      <c r="A1468" s="90" t="n">
        <v>34841</v>
      </c>
      <c r="D1468" t="n">
        <v>1146</v>
      </c>
    </row>
    <row r="1469">
      <c r="A1469" s="90" t="n">
        <v>34848</v>
      </c>
      <c r="D1469" t="n">
        <v>1142.8</v>
      </c>
    </row>
    <row r="1470">
      <c r="A1470" s="90" t="n">
        <v>34851</v>
      </c>
      <c r="B1470" t="n">
        <v>750.8</v>
      </c>
      <c r="C1470" t="n">
        <v>2328.7</v>
      </c>
      <c r="E1470" t="n">
        <v>3548.9</v>
      </c>
    </row>
    <row r="1471">
      <c r="A1471" s="90" t="n">
        <v>34855</v>
      </c>
      <c r="D1471" t="n">
        <v>1145.5</v>
      </c>
    </row>
    <row r="1472">
      <c r="A1472" s="90" t="n">
        <v>34862</v>
      </c>
      <c r="D1472" t="n">
        <v>1146.3</v>
      </c>
    </row>
    <row r="1473">
      <c r="A1473" s="90" t="n">
        <v>34869</v>
      </c>
      <c r="D1473" t="n">
        <v>1143.4</v>
      </c>
    </row>
    <row r="1474">
      <c r="A1474" s="90" t="n">
        <v>34876</v>
      </c>
      <c r="D1474" t="n">
        <v>1143.8</v>
      </c>
    </row>
    <row r="1475">
      <c r="A1475" s="90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90" t="n">
        <v>34883</v>
      </c>
      <c r="D1476" t="n">
        <v>1141</v>
      </c>
    </row>
    <row r="1477">
      <c r="A1477" s="90" t="n">
        <v>34890</v>
      </c>
      <c r="D1477" t="n">
        <v>1149</v>
      </c>
    </row>
    <row r="1478">
      <c r="A1478" s="90" t="n">
        <v>34897</v>
      </c>
      <c r="D1478" t="n">
        <v>1145.5</v>
      </c>
    </row>
    <row r="1479">
      <c r="A1479" s="90" t="n">
        <v>34904</v>
      </c>
      <c r="D1479" t="n">
        <v>1143</v>
      </c>
    </row>
    <row r="1480">
      <c r="A1480" s="90" t="n">
        <v>34911</v>
      </c>
      <c r="D1480" t="n">
        <v>1146.2</v>
      </c>
    </row>
    <row r="1481">
      <c r="A1481" s="90" t="n">
        <v>34912</v>
      </c>
      <c r="B1481" t="n">
        <v>749.1</v>
      </c>
      <c r="C1481" t="n">
        <v>2347.3</v>
      </c>
      <c r="E1481" t="n">
        <v>3589</v>
      </c>
    </row>
    <row r="1482">
      <c r="A1482" s="90" t="n">
        <v>34918</v>
      </c>
      <c r="D1482" t="n">
        <v>1146</v>
      </c>
    </row>
    <row r="1483">
      <c r="A1483" s="90" t="n">
        <v>34925</v>
      </c>
      <c r="D1483" t="n">
        <v>1147.4</v>
      </c>
    </row>
    <row r="1484">
      <c r="A1484" s="90" t="n">
        <v>34932</v>
      </c>
      <c r="D1484" t="n">
        <v>1146.3</v>
      </c>
    </row>
    <row r="1485">
      <c r="A1485" s="90" t="n">
        <v>34939</v>
      </c>
      <c r="D1485" t="n">
        <v>1143.4</v>
      </c>
    </row>
    <row r="1486">
      <c r="A1486" s="90" t="n">
        <v>34943</v>
      </c>
      <c r="B1486" t="n">
        <v>745.9</v>
      </c>
      <c r="C1486" t="n">
        <v>2352.8</v>
      </c>
      <c r="E1486" t="n">
        <v>3602.1</v>
      </c>
    </row>
    <row r="1487">
      <c r="A1487" s="90" t="n">
        <v>34946</v>
      </c>
      <c r="D1487" t="n">
        <v>1142.7</v>
      </c>
    </row>
    <row r="1488">
      <c r="A1488" s="90" t="n">
        <v>34953</v>
      </c>
      <c r="D1488" t="n">
        <v>1148.6</v>
      </c>
    </row>
    <row r="1489">
      <c r="A1489" s="90" t="n">
        <v>34960</v>
      </c>
      <c r="D1489" t="n">
        <v>1142.1</v>
      </c>
    </row>
    <row r="1490">
      <c r="A1490" s="90" t="n">
        <v>34967</v>
      </c>
      <c r="D1490" t="n">
        <v>1140</v>
      </c>
    </row>
    <row r="1491">
      <c r="A1491" s="90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90" t="n">
        <v>34974</v>
      </c>
      <c r="D1492" t="n">
        <v>1133.8</v>
      </c>
    </row>
    <row r="1493">
      <c r="A1493" s="90" t="n">
        <v>34981</v>
      </c>
      <c r="D1493" t="n">
        <v>1137.3</v>
      </c>
    </row>
    <row r="1494">
      <c r="A1494" s="90" t="n">
        <v>34988</v>
      </c>
      <c r="D1494" t="n">
        <v>1141.2</v>
      </c>
    </row>
    <row r="1495">
      <c r="A1495" s="90" t="n">
        <v>34995</v>
      </c>
      <c r="D1495" t="n">
        <v>1136.1</v>
      </c>
    </row>
    <row r="1496">
      <c r="A1496" s="90" t="n">
        <v>35002</v>
      </c>
      <c r="D1496" t="n">
        <v>1135.2</v>
      </c>
    </row>
    <row r="1497">
      <c r="A1497" s="90" t="n">
        <v>35004</v>
      </c>
      <c r="B1497" t="n">
        <v>737.9</v>
      </c>
      <c r="C1497" t="n">
        <v>2355.2</v>
      </c>
      <c r="E1497" t="n">
        <v>3619.9</v>
      </c>
    </row>
    <row r="1498">
      <c r="A1498" s="90" t="n">
        <v>35009</v>
      </c>
      <c r="D1498" t="n">
        <v>1137.9</v>
      </c>
    </row>
    <row r="1499">
      <c r="A1499" s="90" t="n">
        <v>35016</v>
      </c>
      <c r="D1499" t="n">
        <v>1134.3</v>
      </c>
    </row>
    <row r="1500">
      <c r="A1500" s="90" t="n">
        <v>35023</v>
      </c>
      <c r="D1500" t="n">
        <v>1134.6</v>
      </c>
    </row>
    <row r="1501">
      <c r="A1501" s="90" t="n">
        <v>35030</v>
      </c>
      <c r="D1501" t="n">
        <v>1133.8</v>
      </c>
    </row>
    <row r="1502">
      <c r="A1502" s="90" t="n">
        <v>35034</v>
      </c>
      <c r="B1502" t="n">
        <v>732.6</v>
      </c>
      <c r="C1502" t="n">
        <v>2358.3</v>
      </c>
      <c r="E1502" t="n">
        <v>3629.5</v>
      </c>
    </row>
    <row r="1503">
      <c r="A1503" s="90" t="n">
        <v>35037</v>
      </c>
      <c r="D1503" t="n">
        <v>1125.5</v>
      </c>
    </row>
    <row r="1504">
      <c r="A1504" s="90" t="n">
        <v>35044</v>
      </c>
      <c r="D1504" t="n">
        <v>1131</v>
      </c>
    </row>
    <row r="1505">
      <c r="A1505" s="90" t="n">
        <v>35051</v>
      </c>
      <c r="D1505" t="n">
        <v>1122.7</v>
      </c>
    </row>
    <row r="1506">
      <c r="A1506" s="90" t="n">
        <v>35058</v>
      </c>
      <c r="D1506" t="n">
        <v>1127</v>
      </c>
    </row>
    <row r="1507">
      <c r="A1507" s="90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90" t="n">
        <v>35072</v>
      </c>
      <c r="D1508" t="n">
        <v>1124.9</v>
      </c>
    </row>
    <row r="1509">
      <c r="A1509" s="90" t="n">
        <v>35079</v>
      </c>
      <c r="D1509" t="n">
        <v>1129.4</v>
      </c>
    </row>
    <row r="1510">
      <c r="A1510" s="90" t="n">
        <v>35086</v>
      </c>
      <c r="D1510" t="n">
        <v>1120.8</v>
      </c>
    </row>
    <row r="1511">
      <c r="A1511" s="90" t="n">
        <v>35093</v>
      </c>
      <c r="D1511" t="n">
        <v>1117.9</v>
      </c>
    </row>
    <row r="1512">
      <c r="A1512" s="90" t="n">
        <v>35096</v>
      </c>
      <c r="B1512" t="n">
        <v>721.6</v>
      </c>
      <c r="C1512" t="n">
        <v>2362.5</v>
      </c>
      <c r="E1512" t="n">
        <v>3661.8</v>
      </c>
    </row>
    <row r="1513">
      <c r="A1513" s="90" t="n">
        <v>35100</v>
      </c>
      <c r="D1513" t="n">
        <v>1121.5</v>
      </c>
    </row>
    <row r="1514">
      <c r="A1514" s="90" t="n">
        <v>35107</v>
      </c>
      <c r="D1514" t="n">
        <v>1118.6</v>
      </c>
    </row>
    <row r="1515">
      <c r="A1515" s="90" t="n">
        <v>35114</v>
      </c>
      <c r="D1515" t="n">
        <v>1115.7</v>
      </c>
    </row>
    <row r="1516">
      <c r="A1516" s="90" t="n">
        <v>35121</v>
      </c>
      <c r="D1516" t="n">
        <v>1116.9</v>
      </c>
    </row>
    <row r="1517">
      <c r="A1517" s="90" t="n">
        <v>35125</v>
      </c>
      <c r="B1517" t="n">
        <v>721.9</v>
      </c>
      <c r="C1517" t="n">
        <v>2371</v>
      </c>
      <c r="E1517" t="n">
        <v>3686.9</v>
      </c>
    </row>
    <row r="1518">
      <c r="A1518" s="90" t="n">
        <v>35128</v>
      </c>
      <c r="D1518" t="n">
        <v>1123</v>
      </c>
    </row>
    <row r="1519">
      <c r="A1519" s="90" t="n">
        <v>35135</v>
      </c>
      <c r="D1519" t="n">
        <v>1118.7</v>
      </c>
    </row>
    <row r="1520">
      <c r="A1520" s="90" t="n">
        <v>35142</v>
      </c>
      <c r="D1520" t="n">
        <v>1120.8</v>
      </c>
    </row>
    <row r="1521">
      <c r="A1521" s="90" t="n">
        <v>35149</v>
      </c>
      <c r="D1521" t="n">
        <v>1123.2</v>
      </c>
    </row>
    <row r="1522">
      <c r="A1522" s="90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90" t="n">
        <v>35163</v>
      </c>
      <c r="D1523" t="n">
        <v>1124.1</v>
      </c>
    </row>
    <row r="1524">
      <c r="A1524" s="90" t="n">
        <v>35170</v>
      </c>
      <c r="D1524" t="n">
        <v>1130.4</v>
      </c>
    </row>
    <row r="1525">
      <c r="A1525" s="90" t="n">
        <v>35177</v>
      </c>
      <c r="D1525" t="n">
        <v>1125</v>
      </c>
    </row>
    <row r="1526">
      <c r="A1526" s="90" t="n">
        <v>35184</v>
      </c>
      <c r="D1526" t="n">
        <v>1118.6</v>
      </c>
    </row>
    <row r="1527">
      <c r="A1527" s="90" t="n">
        <v>35186</v>
      </c>
      <c r="B1527" t="n">
        <v>713.9</v>
      </c>
      <c r="C1527" t="n">
        <v>2371.9</v>
      </c>
      <c r="E1527" t="n">
        <v>3709.6</v>
      </c>
    </row>
    <row r="1528">
      <c r="A1528" s="90" t="n">
        <v>35191</v>
      </c>
      <c r="D1528" t="n">
        <v>1123</v>
      </c>
    </row>
    <row r="1529">
      <c r="A1529" s="90" t="n">
        <v>35198</v>
      </c>
      <c r="D1529" t="n">
        <v>1117.6</v>
      </c>
    </row>
    <row r="1530">
      <c r="A1530" s="90" t="n">
        <v>35205</v>
      </c>
      <c r="D1530" t="n">
        <v>1117.3</v>
      </c>
    </row>
    <row r="1531">
      <c r="A1531" s="90" t="n">
        <v>35212</v>
      </c>
      <c r="D1531" t="n">
        <v>1110.8</v>
      </c>
    </row>
    <row r="1532">
      <c r="A1532" s="90" t="n">
        <v>35217</v>
      </c>
      <c r="B1532" t="n">
        <v>711.7</v>
      </c>
      <c r="C1532" t="n">
        <v>2375.6</v>
      </c>
      <c r="E1532" t="n">
        <v>3722.5</v>
      </c>
    </row>
    <row r="1533">
      <c r="A1533" s="90" t="n">
        <v>35219</v>
      </c>
      <c r="D1533" t="n">
        <v>1114.2</v>
      </c>
    </row>
    <row r="1534">
      <c r="A1534" s="90" t="n">
        <v>35226</v>
      </c>
      <c r="D1534" t="n">
        <v>1114.9</v>
      </c>
    </row>
    <row r="1535">
      <c r="A1535" s="90" t="n">
        <v>35233</v>
      </c>
      <c r="D1535" t="n">
        <v>1114.5</v>
      </c>
    </row>
    <row r="1536">
      <c r="A1536" s="90" t="n">
        <v>35240</v>
      </c>
      <c r="D1536" t="n">
        <v>1113</v>
      </c>
    </row>
    <row r="1537">
      <c r="A1537" s="90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90" t="n">
        <v>35254</v>
      </c>
      <c r="D1538" t="n">
        <v>1109</v>
      </c>
    </row>
    <row r="1539">
      <c r="A1539" s="90" t="n">
        <v>35261</v>
      </c>
      <c r="D1539" t="n">
        <v>1115.1</v>
      </c>
    </row>
    <row r="1540">
      <c r="A1540" s="90" t="n">
        <v>35268</v>
      </c>
      <c r="D1540" t="n">
        <v>1113.1</v>
      </c>
    </row>
    <row r="1541">
      <c r="A1541" s="90" t="n">
        <v>35275</v>
      </c>
      <c r="D1541" t="n">
        <v>1112.1</v>
      </c>
    </row>
    <row r="1542">
      <c r="A1542" s="90" t="n">
        <v>35278</v>
      </c>
      <c r="B1542" t="n">
        <v>700.8</v>
      </c>
      <c r="C1542" t="n">
        <v>2381.7</v>
      </c>
      <c r="E1542" t="n">
        <v>3744</v>
      </c>
    </row>
    <row r="1543">
      <c r="A1543" s="90" t="n">
        <v>35282</v>
      </c>
      <c r="D1543" t="n">
        <v>1108.5</v>
      </c>
    </row>
    <row r="1544">
      <c r="A1544" s="90" t="n">
        <v>35289</v>
      </c>
      <c r="D1544" t="n">
        <v>1106.1</v>
      </c>
    </row>
    <row r="1545">
      <c r="A1545" s="90" t="n">
        <v>35296</v>
      </c>
      <c r="D1545" t="n">
        <v>1098.1</v>
      </c>
    </row>
    <row r="1546">
      <c r="A1546" s="90" t="n">
        <v>35303</v>
      </c>
      <c r="D1546" t="n">
        <v>1098.6</v>
      </c>
    </row>
    <row r="1547">
      <c r="A1547" s="90" t="n">
        <v>35309</v>
      </c>
      <c r="B1547" t="n">
        <v>695.1</v>
      </c>
      <c r="C1547" t="n">
        <v>2380.1</v>
      </c>
      <c r="E1547" t="n">
        <v>3753.4</v>
      </c>
    </row>
    <row r="1548">
      <c r="A1548" s="90" t="n">
        <v>35310</v>
      </c>
      <c r="D1548" t="n">
        <v>1097.9</v>
      </c>
    </row>
    <row r="1549">
      <c r="A1549" s="90" t="n">
        <v>35317</v>
      </c>
      <c r="D1549" t="n">
        <v>1103.8</v>
      </c>
    </row>
    <row r="1550">
      <c r="A1550" s="90" t="n">
        <v>35324</v>
      </c>
      <c r="D1550" t="n">
        <v>1096.7</v>
      </c>
    </row>
    <row r="1551">
      <c r="A1551" s="90" t="n">
        <v>35331</v>
      </c>
      <c r="D1551" t="n">
        <v>1091.7</v>
      </c>
    </row>
    <row r="1552">
      <c r="A1552" s="90" t="n">
        <v>35338</v>
      </c>
      <c r="D1552" t="n">
        <v>1091.8</v>
      </c>
    </row>
    <row r="1553">
      <c r="A1553" s="90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90" t="n">
        <v>35345</v>
      </c>
      <c r="D1554" t="n">
        <v>1088.5</v>
      </c>
    </row>
    <row r="1555">
      <c r="A1555" s="90" t="n">
        <v>35352</v>
      </c>
      <c r="D1555" t="n">
        <v>1091.6</v>
      </c>
    </row>
    <row r="1556">
      <c r="A1556" s="90" t="n">
        <v>35359</v>
      </c>
      <c r="D1556" t="n">
        <v>1086.7</v>
      </c>
    </row>
    <row r="1557">
      <c r="A1557" s="90" t="n">
        <v>35366</v>
      </c>
      <c r="D1557" t="n">
        <v>1077.8</v>
      </c>
    </row>
    <row r="1558">
      <c r="A1558" s="90" t="n">
        <v>35370</v>
      </c>
      <c r="B1558" t="n">
        <v>682.7</v>
      </c>
      <c r="C1558" t="n">
        <v>2391.4</v>
      </c>
      <c r="E1558" t="n">
        <v>3795.1</v>
      </c>
    </row>
    <row r="1559">
      <c r="A1559" s="90" t="n">
        <v>35373</v>
      </c>
      <c r="D1559" t="n">
        <v>1081.2</v>
      </c>
    </row>
    <row r="1560">
      <c r="A1560" s="90" t="n">
        <v>35380</v>
      </c>
      <c r="D1560" t="n">
        <v>1088.1</v>
      </c>
    </row>
    <row r="1561">
      <c r="A1561" s="90" t="n">
        <v>35387</v>
      </c>
      <c r="D1561" t="n">
        <v>1087.7</v>
      </c>
    </row>
    <row r="1562">
      <c r="A1562" s="90" t="n">
        <v>35394</v>
      </c>
      <c r="D1562" t="n">
        <v>1078.1</v>
      </c>
    </row>
    <row r="1563">
      <c r="A1563" s="90" t="n">
        <v>35400</v>
      </c>
      <c r="B1563" t="n">
        <v>679.6</v>
      </c>
      <c r="C1563" t="n">
        <v>2400.1</v>
      </c>
      <c r="E1563" t="n">
        <v>3818.6</v>
      </c>
    </row>
    <row r="1564">
      <c r="A1564" s="90" t="n">
        <v>35401</v>
      </c>
      <c r="D1564" t="n">
        <v>1081</v>
      </c>
    </row>
    <row r="1565">
      <c r="A1565" s="90" t="n">
        <v>35408</v>
      </c>
      <c r="D1565" t="n">
        <v>1091.1</v>
      </c>
    </row>
    <row r="1566">
      <c r="A1566" s="90" t="n">
        <v>35415</v>
      </c>
      <c r="D1566" t="n">
        <v>1083.9</v>
      </c>
    </row>
    <row r="1567">
      <c r="A1567" s="90" t="n">
        <v>35422</v>
      </c>
      <c r="D1567" t="n">
        <v>1080.2</v>
      </c>
    </row>
    <row r="1568">
      <c r="A1568" s="90" t="n">
        <v>35429</v>
      </c>
      <c r="D1568" t="n">
        <v>1070.7</v>
      </c>
    </row>
    <row r="1569">
      <c r="A1569" s="90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90" t="n">
        <v>35436</v>
      </c>
      <c r="D1570" t="n">
        <v>1079.6</v>
      </c>
    </row>
    <row r="1571">
      <c r="A1571" s="90" t="n">
        <v>35443</v>
      </c>
      <c r="D1571" t="n">
        <v>1089.9</v>
      </c>
    </row>
    <row r="1572">
      <c r="A1572" s="90" t="n">
        <v>35450</v>
      </c>
      <c r="D1572" t="n">
        <v>1081.7</v>
      </c>
    </row>
    <row r="1573">
      <c r="A1573" s="90" t="n">
        <v>35457</v>
      </c>
      <c r="D1573" t="n">
        <v>1075.8</v>
      </c>
    </row>
    <row r="1574">
      <c r="A1574" s="90" t="n">
        <v>35462</v>
      </c>
      <c r="B1574" t="n">
        <v>675.5</v>
      </c>
      <c r="C1574" t="n">
        <v>2408.5</v>
      </c>
      <c r="E1574" t="n">
        <v>3846.3</v>
      </c>
    </row>
    <row r="1575">
      <c r="A1575" s="90" t="n">
        <v>35464</v>
      </c>
      <c r="D1575" t="n">
        <v>1077.2</v>
      </c>
    </row>
    <row r="1576">
      <c r="A1576" s="90" t="n">
        <v>35471</v>
      </c>
      <c r="D1576" t="n">
        <v>1086.5</v>
      </c>
    </row>
    <row r="1577">
      <c r="A1577" s="90" t="n">
        <v>35478</v>
      </c>
      <c r="D1577" t="n">
        <v>1078.2</v>
      </c>
    </row>
    <row r="1578">
      <c r="A1578" s="90" t="n">
        <v>35485</v>
      </c>
      <c r="D1578" t="n">
        <v>1075.3</v>
      </c>
    </row>
    <row r="1579">
      <c r="A1579" s="90" t="n">
        <v>35490</v>
      </c>
      <c r="B1579" t="n">
        <v>671.2</v>
      </c>
      <c r="C1579" t="n">
        <v>2416.3</v>
      </c>
      <c r="E1579" t="n">
        <v>3861.2</v>
      </c>
    </row>
    <row r="1580">
      <c r="A1580" s="90" t="n">
        <v>35492</v>
      </c>
      <c r="D1580" t="n">
        <v>1073.6</v>
      </c>
    </row>
    <row r="1581">
      <c r="A1581" s="90" t="n">
        <v>35499</v>
      </c>
      <c r="D1581" t="n">
        <v>1081.3</v>
      </c>
    </row>
    <row r="1582">
      <c r="A1582" s="90" t="n">
        <v>35506</v>
      </c>
      <c r="D1582" t="n">
        <v>1075.2</v>
      </c>
    </row>
    <row r="1583">
      <c r="A1583" s="90" t="n">
        <v>35513</v>
      </c>
      <c r="D1583" t="n">
        <v>1069.4</v>
      </c>
    </row>
    <row r="1584">
      <c r="A1584" s="90" t="n">
        <v>35520</v>
      </c>
      <c r="D1584" t="n">
        <v>1063.6</v>
      </c>
    </row>
    <row r="1585">
      <c r="A1585" s="90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90" t="n">
        <v>35527</v>
      </c>
      <c r="D1586" t="n">
        <v>1069.7</v>
      </c>
    </row>
    <row r="1587">
      <c r="A1587" s="90" t="n">
        <v>35534</v>
      </c>
      <c r="D1587" t="n">
        <v>1066.6</v>
      </c>
    </row>
    <row r="1588">
      <c r="A1588" s="90" t="n">
        <v>35541</v>
      </c>
      <c r="D1588" t="n">
        <v>1064.1</v>
      </c>
    </row>
    <row r="1589">
      <c r="A1589" s="90" t="n">
        <v>35548</v>
      </c>
      <c r="D1589" t="n">
        <v>1055.5</v>
      </c>
    </row>
    <row r="1590">
      <c r="A1590" s="90" t="n">
        <v>35551</v>
      </c>
      <c r="B1590" t="n">
        <v>665.3</v>
      </c>
      <c r="C1590" t="n">
        <v>2432.3</v>
      </c>
      <c r="E1590" t="n">
        <v>3889.2</v>
      </c>
    </row>
    <row r="1591">
      <c r="A1591" s="90" t="n">
        <v>35555</v>
      </c>
      <c r="D1591" t="n">
        <v>1062.7</v>
      </c>
    </row>
    <row r="1592">
      <c r="A1592" s="90" t="n">
        <v>35562</v>
      </c>
      <c r="D1592" t="n">
        <v>1067.3</v>
      </c>
    </row>
    <row r="1593">
      <c r="A1593" s="90" t="n">
        <v>35569</v>
      </c>
      <c r="D1593" t="n">
        <v>1063.3</v>
      </c>
    </row>
    <row r="1594">
      <c r="A1594" s="90" t="n">
        <v>35576</v>
      </c>
      <c r="D1594" t="n">
        <v>1060.6</v>
      </c>
    </row>
    <row r="1595">
      <c r="A1595" s="90" t="n">
        <v>35582</v>
      </c>
      <c r="B1595" t="n">
        <v>665.5</v>
      </c>
      <c r="C1595" t="n">
        <v>2438.2</v>
      </c>
      <c r="E1595" t="n">
        <v>3906</v>
      </c>
    </row>
    <row r="1596">
      <c r="A1596" s="90" t="n">
        <v>35583</v>
      </c>
      <c r="D1596" t="n">
        <v>1065.1</v>
      </c>
    </row>
    <row r="1597">
      <c r="A1597" s="90" t="n">
        <v>35590</v>
      </c>
      <c r="D1597" t="n">
        <v>1072.3</v>
      </c>
    </row>
    <row r="1598">
      <c r="A1598" s="90" t="n">
        <v>35597</v>
      </c>
      <c r="D1598" t="n">
        <v>1068.6</v>
      </c>
    </row>
    <row r="1599">
      <c r="A1599" s="90" t="n">
        <v>35604</v>
      </c>
      <c r="D1599" t="n">
        <v>1061.7</v>
      </c>
    </row>
    <row r="1600">
      <c r="A1600" s="90" t="n">
        <v>35611</v>
      </c>
      <c r="D1600" t="n">
        <v>1062.1</v>
      </c>
    </row>
    <row r="1601">
      <c r="A1601" s="90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90" t="n">
        <v>35618</v>
      </c>
      <c r="D1602" t="n">
        <v>1065.6</v>
      </c>
    </row>
    <row r="1603">
      <c r="A1603" s="90" t="n">
        <v>35625</v>
      </c>
      <c r="D1603" t="n">
        <v>1069.3</v>
      </c>
    </row>
    <row r="1604">
      <c r="A1604" s="90" t="n">
        <v>35632</v>
      </c>
      <c r="D1604" t="n">
        <v>1064</v>
      </c>
    </row>
    <row r="1605">
      <c r="A1605" s="90" t="n">
        <v>35639</v>
      </c>
      <c r="D1605" t="n">
        <v>1060.6</v>
      </c>
    </row>
    <row r="1606">
      <c r="A1606" s="90" t="n">
        <v>35643</v>
      </c>
      <c r="B1606" t="n">
        <v>668.7</v>
      </c>
      <c r="C1606" t="n">
        <v>2461.1</v>
      </c>
      <c r="E1606" t="n">
        <v>3957.4</v>
      </c>
    </row>
    <row r="1607">
      <c r="A1607" s="90" t="n">
        <v>35646</v>
      </c>
      <c r="D1607" t="n">
        <v>1071</v>
      </c>
    </row>
    <row r="1608">
      <c r="A1608" s="90" t="n">
        <v>35653</v>
      </c>
      <c r="D1608" t="n">
        <v>1080.2</v>
      </c>
    </row>
    <row r="1609">
      <c r="A1609" s="90" t="n">
        <v>35660</v>
      </c>
      <c r="D1609" t="n">
        <v>1076.4</v>
      </c>
    </row>
    <row r="1610">
      <c r="A1610" s="90" t="n">
        <v>35667</v>
      </c>
      <c r="D1610" t="n">
        <v>1074.5</v>
      </c>
    </row>
    <row r="1611">
      <c r="A1611" s="90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90" t="n">
        <v>35681</v>
      </c>
      <c r="D1612" t="n">
        <v>1077.6</v>
      </c>
    </row>
    <row r="1613">
      <c r="A1613" s="90" t="n">
        <v>35688</v>
      </c>
      <c r="D1613" t="n">
        <v>1066.5</v>
      </c>
    </row>
    <row r="1614">
      <c r="A1614" s="90" t="n">
        <v>35695</v>
      </c>
      <c r="D1614" t="n">
        <v>1062.2</v>
      </c>
    </row>
    <row r="1615">
      <c r="A1615" s="90" t="n">
        <v>35702</v>
      </c>
      <c r="D1615" t="n">
        <v>1060.1</v>
      </c>
    </row>
    <row r="1616">
      <c r="A1616" s="90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90" t="n">
        <v>35709</v>
      </c>
      <c r="D1617" t="n">
        <v>1068.8</v>
      </c>
    </row>
    <row r="1618">
      <c r="A1618" s="90" t="n">
        <v>35716</v>
      </c>
      <c r="D1618" t="n">
        <v>1066.3</v>
      </c>
    </row>
    <row r="1619">
      <c r="A1619" s="90" t="n">
        <v>35723</v>
      </c>
      <c r="D1619" t="n">
        <v>1064.5</v>
      </c>
    </row>
    <row r="1620">
      <c r="A1620" s="90" t="n">
        <v>35730</v>
      </c>
      <c r="D1620" t="n">
        <v>1058.7</v>
      </c>
    </row>
    <row r="1621">
      <c r="A1621" s="90" t="n">
        <v>35735</v>
      </c>
      <c r="B1621" t="n">
        <v>662.3</v>
      </c>
      <c r="C1621" t="n">
        <v>2482.9</v>
      </c>
      <c r="E1621" t="n">
        <v>4014.8</v>
      </c>
    </row>
    <row r="1622">
      <c r="A1622" s="90" t="n">
        <v>35737</v>
      </c>
      <c r="D1622" t="n">
        <v>1073.1</v>
      </c>
    </row>
    <row r="1623">
      <c r="A1623" s="90" t="n">
        <v>35744</v>
      </c>
      <c r="D1623" t="n">
        <v>1075.4</v>
      </c>
    </row>
    <row r="1624">
      <c r="A1624" s="90" t="n">
        <v>35751</v>
      </c>
      <c r="D1624" t="n">
        <v>1070.4</v>
      </c>
    </row>
    <row r="1625">
      <c r="A1625" s="90" t="n">
        <v>35758</v>
      </c>
      <c r="D1625" t="n">
        <v>1066.4</v>
      </c>
    </row>
    <row r="1626">
      <c r="A1626" s="90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90" t="n">
        <v>35772</v>
      </c>
      <c r="D1627" t="n">
        <v>1072.2</v>
      </c>
    </row>
    <row r="1628">
      <c r="A1628" s="90" t="n">
        <v>35779</v>
      </c>
      <c r="D1628" t="n">
        <v>1072.9</v>
      </c>
    </row>
    <row r="1629">
      <c r="A1629" s="90" t="n">
        <v>35786</v>
      </c>
      <c r="D1629" t="n">
        <v>1070.6</v>
      </c>
    </row>
    <row r="1630">
      <c r="A1630" s="90" t="n">
        <v>35793</v>
      </c>
      <c r="D1630" t="n">
        <v>1071.4</v>
      </c>
    </row>
    <row r="1631">
      <c r="A1631" s="90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90" t="n">
        <v>35800</v>
      </c>
      <c r="D1632" t="n">
        <v>1080.9</v>
      </c>
    </row>
    <row r="1633">
      <c r="A1633" s="90" t="n">
        <v>35807</v>
      </c>
      <c r="D1633" t="n">
        <v>1078</v>
      </c>
    </row>
    <row r="1634">
      <c r="A1634" s="90" t="n">
        <v>35814</v>
      </c>
      <c r="D1634" t="n">
        <v>1070.3</v>
      </c>
    </row>
    <row r="1635">
      <c r="A1635" s="90" t="n">
        <v>35821</v>
      </c>
      <c r="D1635" t="n">
        <v>1070.9</v>
      </c>
    </row>
    <row r="1636">
      <c r="A1636" s="90" t="n">
        <v>35827</v>
      </c>
      <c r="B1636" t="n">
        <v>665.3</v>
      </c>
      <c r="C1636" t="n">
        <v>2524</v>
      </c>
      <c r="E1636" t="n">
        <v>4088.9</v>
      </c>
    </row>
    <row r="1637">
      <c r="A1637" s="90" t="n">
        <v>35828</v>
      </c>
      <c r="D1637" t="n">
        <v>1072.2</v>
      </c>
    </row>
    <row r="1638">
      <c r="A1638" s="90" t="n">
        <v>35835</v>
      </c>
      <c r="D1638" t="n">
        <v>1080.1</v>
      </c>
    </row>
    <row r="1639">
      <c r="A1639" s="90" t="n">
        <v>35842</v>
      </c>
      <c r="D1639" t="n">
        <v>1077.4</v>
      </c>
    </row>
    <row r="1640">
      <c r="A1640" s="90" t="n">
        <v>35849</v>
      </c>
      <c r="D1640" t="n">
        <v>1076.8</v>
      </c>
    </row>
    <row r="1641">
      <c r="A1641" s="90" t="n">
        <v>35855</v>
      </c>
      <c r="B1641" t="n">
        <v>664.8</v>
      </c>
      <c r="C1641" t="n">
        <v>2539.7</v>
      </c>
      <c r="E1641" t="n">
        <v>4114.3</v>
      </c>
    </row>
    <row r="1642">
      <c r="A1642" s="90" t="n">
        <v>35856</v>
      </c>
      <c r="D1642" t="n">
        <v>1079.3</v>
      </c>
    </row>
    <row r="1643">
      <c r="A1643" s="90" t="n">
        <v>35863</v>
      </c>
      <c r="D1643" t="n">
        <v>1085.8</v>
      </c>
    </row>
    <row r="1644">
      <c r="A1644" s="90" t="n">
        <v>35870</v>
      </c>
      <c r="D1644" t="n">
        <v>1081.7</v>
      </c>
    </row>
    <row r="1645">
      <c r="A1645" s="90" t="n">
        <v>35877</v>
      </c>
      <c r="D1645" t="n">
        <v>1074.4</v>
      </c>
    </row>
    <row r="1646">
      <c r="A1646" s="90" t="n">
        <v>35884</v>
      </c>
      <c r="D1646" t="n">
        <v>1064.8</v>
      </c>
    </row>
    <row r="1647">
      <c r="A1647" s="90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90" t="n">
        <v>35891</v>
      </c>
      <c r="D1648" t="n">
        <v>1079.1</v>
      </c>
    </row>
    <row r="1649">
      <c r="A1649" s="90" t="n">
        <v>35898</v>
      </c>
      <c r="D1649" t="n">
        <v>1078.2</v>
      </c>
    </row>
    <row r="1650">
      <c r="A1650" s="90" t="n">
        <v>35905</v>
      </c>
      <c r="D1650" t="n">
        <v>1079.4</v>
      </c>
    </row>
    <row r="1651">
      <c r="A1651" s="90" t="n">
        <v>35912</v>
      </c>
      <c r="D1651" t="n">
        <v>1068.5</v>
      </c>
    </row>
    <row r="1652">
      <c r="A1652" s="90" t="n">
        <v>35916</v>
      </c>
      <c r="B1652" t="n">
        <v>663.7</v>
      </c>
      <c r="C1652" t="n">
        <v>2561.1</v>
      </c>
      <c r="E1652" t="n">
        <v>4164.4</v>
      </c>
    </row>
    <row r="1653">
      <c r="A1653" s="90" t="n">
        <v>35919</v>
      </c>
      <c r="D1653" t="n">
        <v>1078.9</v>
      </c>
    </row>
    <row r="1654">
      <c r="A1654" s="90" t="n">
        <v>35926</v>
      </c>
      <c r="D1654" t="n">
        <v>1084.4</v>
      </c>
    </row>
    <row r="1655">
      <c r="A1655" s="90" t="n">
        <v>35933</v>
      </c>
      <c r="D1655" t="n">
        <v>1081.2</v>
      </c>
    </row>
    <row r="1656">
      <c r="A1656" s="90" t="n">
        <v>35940</v>
      </c>
      <c r="D1656" t="n">
        <v>1072.9</v>
      </c>
    </row>
    <row r="1657">
      <c r="A1657" s="90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90" t="n">
        <v>35954</v>
      </c>
      <c r="D1658" t="n">
        <v>1081</v>
      </c>
    </row>
    <row r="1659">
      <c r="A1659" s="90" t="n">
        <v>35961</v>
      </c>
      <c r="D1659" t="n">
        <v>1083.8</v>
      </c>
    </row>
    <row r="1660">
      <c r="A1660" s="90" t="n">
        <v>35968</v>
      </c>
      <c r="D1660" t="n">
        <v>1071.8</v>
      </c>
    </row>
    <row r="1661">
      <c r="A1661" s="90" t="n">
        <v>35975</v>
      </c>
      <c r="D1661" t="n">
        <v>1066.9</v>
      </c>
    </row>
    <row r="1662">
      <c r="A1662" s="90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90" t="n">
        <v>35982</v>
      </c>
      <c r="D1663" t="n">
        <v>1083.2</v>
      </c>
    </row>
    <row r="1664">
      <c r="A1664" s="90" t="n">
        <v>35989</v>
      </c>
      <c r="D1664" t="n">
        <v>1075</v>
      </c>
    </row>
    <row r="1665">
      <c r="A1665" s="90" t="n">
        <v>35996</v>
      </c>
      <c r="D1665" t="n">
        <v>1072.7</v>
      </c>
    </row>
    <row r="1666">
      <c r="A1666" s="90" t="n">
        <v>36003</v>
      </c>
      <c r="D1666" t="n">
        <v>1067.7</v>
      </c>
    </row>
    <row r="1667">
      <c r="A1667" s="90" t="n">
        <v>36008</v>
      </c>
      <c r="B1667" t="n">
        <v>658.4</v>
      </c>
      <c r="C1667" t="n">
        <v>2587.9</v>
      </c>
      <c r="E1667" t="n">
        <v>4228.7</v>
      </c>
    </row>
    <row r="1668">
      <c r="A1668" s="90" t="n">
        <v>36010</v>
      </c>
      <c r="D1668" t="n">
        <v>1079.8</v>
      </c>
    </row>
    <row r="1669">
      <c r="A1669" s="90" t="n">
        <v>36017</v>
      </c>
      <c r="D1669" t="n">
        <v>1084.1</v>
      </c>
    </row>
    <row r="1670">
      <c r="A1670" s="90" t="n">
        <v>36024</v>
      </c>
      <c r="D1670" t="n">
        <v>1075.4</v>
      </c>
    </row>
    <row r="1671">
      <c r="A1671" s="90" t="n">
        <v>36031</v>
      </c>
      <c r="D1671" t="n">
        <v>1072.4</v>
      </c>
    </row>
    <row r="1672">
      <c r="A1672" s="90" t="n">
        <v>36038</v>
      </c>
      <c r="D1672" t="n">
        <v>1069.8</v>
      </c>
    </row>
    <row r="1673">
      <c r="A1673" s="90" t="n">
        <v>36039</v>
      </c>
      <c r="B1673" t="n">
        <v>660.5</v>
      </c>
      <c r="C1673" t="n">
        <v>2610.2</v>
      </c>
      <c r="E1673" t="n">
        <v>4267.6</v>
      </c>
    </row>
    <row r="1674">
      <c r="A1674" s="90" t="n">
        <v>36045</v>
      </c>
      <c r="D1674" t="n">
        <v>1076.2</v>
      </c>
    </row>
    <row r="1675">
      <c r="A1675" s="90" t="n">
        <v>36052</v>
      </c>
      <c r="D1675" t="n">
        <v>1083.9</v>
      </c>
    </row>
    <row r="1676">
      <c r="A1676" s="90" t="n">
        <v>36059</v>
      </c>
      <c r="D1676" t="n">
        <v>1083.4</v>
      </c>
    </row>
    <row r="1677">
      <c r="A1677" s="90" t="n">
        <v>36066</v>
      </c>
      <c r="D1677" t="n">
        <v>1074.5</v>
      </c>
    </row>
    <row r="1678">
      <c r="A1678" s="90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90" t="n">
        <v>36073</v>
      </c>
      <c r="D1679" t="n">
        <v>1084.2</v>
      </c>
    </row>
    <row r="1680">
      <c r="A1680" s="90" t="n">
        <v>36080</v>
      </c>
      <c r="D1680" t="n">
        <v>1084</v>
      </c>
    </row>
    <row r="1681">
      <c r="A1681" s="90" t="n">
        <v>36087</v>
      </c>
      <c r="D1681" t="n">
        <v>1086.1</v>
      </c>
    </row>
    <row r="1682">
      <c r="A1682" s="90" t="n">
        <v>36094</v>
      </c>
      <c r="D1682" t="n">
        <v>1086.9</v>
      </c>
    </row>
    <row r="1683">
      <c r="A1683" s="90" t="n">
        <v>36100</v>
      </c>
      <c r="B1683" t="n">
        <v>667.2</v>
      </c>
      <c r="C1683" t="n">
        <v>2648.6</v>
      </c>
      <c r="E1683" t="n">
        <v>4346.4</v>
      </c>
    </row>
    <row r="1684">
      <c r="A1684" s="90" t="n">
        <v>36101</v>
      </c>
      <c r="D1684" t="n">
        <v>1088.9</v>
      </c>
    </row>
    <row r="1685">
      <c r="A1685" s="90" t="n">
        <v>36108</v>
      </c>
      <c r="D1685" t="n">
        <v>1096.1</v>
      </c>
    </row>
    <row r="1686">
      <c r="A1686" s="90" t="n">
        <v>36115</v>
      </c>
      <c r="D1686" t="n">
        <v>1097.2</v>
      </c>
    </row>
    <row r="1687">
      <c r="A1687" s="90" t="n">
        <v>36122</v>
      </c>
      <c r="D1687" t="n">
        <v>1092.4</v>
      </c>
    </row>
    <row r="1688">
      <c r="A1688" s="90" t="n">
        <v>36129</v>
      </c>
      <c r="D1688" t="n">
        <v>1096.1</v>
      </c>
    </row>
    <row r="1689">
      <c r="A1689" s="90" t="n">
        <v>36130</v>
      </c>
      <c r="B1689" t="n">
        <v>666.1</v>
      </c>
      <c r="C1689" t="n">
        <v>2661.3</v>
      </c>
      <c r="E1689" t="n">
        <v>4375.2</v>
      </c>
    </row>
    <row r="1690">
      <c r="A1690" s="90" t="n">
        <v>36136</v>
      </c>
      <c r="D1690" t="n">
        <v>1094.2</v>
      </c>
    </row>
    <row r="1691">
      <c r="A1691" s="90" t="n">
        <v>36143</v>
      </c>
      <c r="D1691" t="n">
        <v>1095.1</v>
      </c>
    </row>
    <row r="1692">
      <c r="A1692" s="90" t="n">
        <v>36150</v>
      </c>
      <c r="D1692" t="n">
        <v>1094.5</v>
      </c>
    </row>
    <row r="1693">
      <c r="A1693" s="90" t="n">
        <v>36157</v>
      </c>
      <c r="D1693" t="n">
        <v>1091.6</v>
      </c>
    </row>
    <row r="1694">
      <c r="A1694" s="90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90" t="n">
        <v>36164</v>
      </c>
      <c r="D1695" t="n">
        <v>1107.1</v>
      </c>
    </row>
    <row r="1696">
      <c r="A1696" s="90" t="n">
        <v>36171</v>
      </c>
      <c r="D1696" t="n">
        <v>1102.7</v>
      </c>
    </row>
    <row r="1697">
      <c r="A1697" s="90" t="n">
        <v>36178</v>
      </c>
      <c r="D1697" t="n">
        <v>1095.3</v>
      </c>
    </row>
    <row r="1698">
      <c r="A1698" s="90" t="n">
        <v>36185</v>
      </c>
      <c r="D1698" t="n">
        <v>1093.9</v>
      </c>
    </row>
    <row r="1699">
      <c r="A1699" s="90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90" t="n">
        <v>36199</v>
      </c>
      <c r="D1700" t="n">
        <v>1095.4</v>
      </c>
    </row>
    <row r="1701">
      <c r="A1701" s="90" t="n">
        <v>36206</v>
      </c>
      <c r="D1701" t="n">
        <v>1097.4</v>
      </c>
    </row>
    <row r="1702">
      <c r="A1702" s="90" t="n">
        <v>36213</v>
      </c>
      <c r="D1702" t="n">
        <v>1099.8</v>
      </c>
    </row>
    <row r="1703">
      <c r="A1703" s="90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90" t="n">
        <v>36227</v>
      </c>
      <c r="D1704" t="n">
        <v>1098.6</v>
      </c>
    </row>
    <row r="1705">
      <c r="A1705" s="90" t="n">
        <v>36234</v>
      </c>
      <c r="D1705" t="n">
        <v>1097.6</v>
      </c>
    </row>
    <row r="1706">
      <c r="A1706" s="90" t="n">
        <v>36241</v>
      </c>
      <c r="D1706" t="n">
        <v>1097.3</v>
      </c>
    </row>
    <row r="1707">
      <c r="A1707" s="90" t="n">
        <v>36248</v>
      </c>
      <c r="D1707" t="n">
        <v>1093.8</v>
      </c>
    </row>
    <row r="1708">
      <c r="A1708" s="90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90" t="n">
        <v>36255</v>
      </c>
      <c r="D1709" t="n">
        <v>1101.5</v>
      </c>
    </row>
    <row r="1710">
      <c r="A1710" s="90" t="n">
        <v>36262</v>
      </c>
      <c r="D1710" t="n">
        <v>1104.2</v>
      </c>
    </row>
    <row r="1711">
      <c r="A1711" s="90" t="n">
        <v>36269</v>
      </c>
      <c r="D1711" t="n">
        <v>1099.5</v>
      </c>
    </row>
    <row r="1712">
      <c r="A1712" s="90" t="n">
        <v>36276</v>
      </c>
      <c r="D1712" t="n">
        <v>1095.1</v>
      </c>
    </row>
    <row r="1713">
      <c r="A1713" s="90" t="n">
        <v>36281</v>
      </c>
      <c r="B1713" t="n">
        <v>664.9</v>
      </c>
      <c r="C1713" t="n">
        <v>2702</v>
      </c>
      <c r="E1713" t="n">
        <v>4485.3</v>
      </c>
    </row>
    <row r="1714">
      <c r="A1714" s="90" t="n">
        <v>36283</v>
      </c>
      <c r="D1714" t="n">
        <v>1109.2</v>
      </c>
    </row>
    <row r="1715">
      <c r="A1715" s="90" t="n">
        <v>36290</v>
      </c>
      <c r="D1715" t="n">
        <v>1109.9</v>
      </c>
    </row>
    <row r="1716">
      <c r="A1716" s="90" t="n">
        <v>36297</v>
      </c>
      <c r="D1716" t="n">
        <v>1102.9</v>
      </c>
    </row>
    <row r="1717">
      <c r="A1717" s="90" t="n">
        <v>36304</v>
      </c>
      <c r="D1717" t="n">
        <v>1099.3</v>
      </c>
    </row>
    <row r="1718">
      <c r="A1718" s="90" t="n">
        <v>36311</v>
      </c>
      <c r="D1718" t="n">
        <v>1099.2</v>
      </c>
    </row>
    <row r="1719">
      <c r="A1719" s="90" t="n">
        <v>36312</v>
      </c>
      <c r="B1719" t="n">
        <v>662.5</v>
      </c>
      <c r="C1719" t="n">
        <v>2715.2</v>
      </c>
      <c r="E1719" t="n">
        <v>4507.2</v>
      </c>
    </row>
    <row r="1720">
      <c r="A1720" s="90" t="n">
        <v>36318</v>
      </c>
      <c r="D1720" t="n">
        <v>1100.6</v>
      </c>
    </row>
    <row r="1721">
      <c r="A1721" s="90" t="n">
        <v>36325</v>
      </c>
      <c r="D1721" t="n">
        <v>1103.1</v>
      </c>
    </row>
    <row r="1722">
      <c r="A1722" s="90" t="n">
        <v>36332</v>
      </c>
      <c r="D1722" t="n">
        <v>1101.6</v>
      </c>
    </row>
    <row r="1723">
      <c r="A1723" s="90" t="n">
        <v>36339</v>
      </c>
      <c r="D1723" t="n">
        <v>1095.1</v>
      </c>
    </row>
    <row r="1724">
      <c r="A1724" s="90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90" t="n">
        <v>36346</v>
      </c>
      <c r="D1725" t="n">
        <v>1091.5</v>
      </c>
    </row>
    <row r="1726">
      <c r="A1726" s="90" t="n">
        <v>36353</v>
      </c>
      <c r="D1726" t="n">
        <v>1107.5</v>
      </c>
    </row>
    <row r="1727">
      <c r="A1727" s="90" t="n">
        <v>36360</v>
      </c>
      <c r="D1727" t="n">
        <v>1097.2</v>
      </c>
    </row>
    <row r="1728">
      <c r="A1728" s="90" t="n">
        <v>36367</v>
      </c>
      <c r="D1728" t="n">
        <v>1096.5</v>
      </c>
    </row>
    <row r="1729">
      <c r="A1729" s="90" t="n">
        <v>36373</v>
      </c>
      <c r="B1729" t="n">
        <v>657.8</v>
      </c>
      <c r="C1729" t="n">
        <v>2723.9</v>
      </c>
      <c r="E1729" t="n">
        <v>4551.7</v>
      </c>
    </row>
    <row r="1730">
      <c r="A1730" s="90" t="n">
        <v>36374</v>
      </c>
      <c r="D1730" t="n">
        <v>1099.9</v>
      </c>
    </row>
    <row r="1731">
      <c r="A1731" s="90" t="n">
        <v>36381</v>
      </c>
      <c r="D1731" t="n">
        <v>1110.9</v>
      </c>
    </row>
    <row r="1732">
      <c r="A1732" s="90" t="n">
        <v>36388</v>
      </c>
      <c r="D1732" t="n">
        <v>1106.2</v>
      </c>
    </row>
    <row r="1733">
      <c r="A1733" s="90" t="n">
        <v>36395</v>
      </c>
      <c r="D1733" t="n">
        <v>1096.9</v>
      </c>
    </row>
    <row r="1734">
      <c r="A1734" s="90" t="n">
        <v>36402</v>
      </c>
      <c r="D1734" t="n">
        <v>1082.8</v>
      </c>
    </row>
    <row r="1735">
      <c r="A1735" s="90" t="n">
        <v>36404</v>
      </c>
      <c r="B1735" t="n">
        <v>653.5</v>
      </c>
      <c r="C1735" t="n">
        <v>2722.1</v>
      </c>
      <c r="E1735" t="n">
        <v>4567.7</v>
      </c>
    </row>
    <row r="1736">
      <c r="A1736" s="90" t="n">
        <v>36409</v>
      </c>
      <c r="D1736" t="n">
        <v>1092.3</v>
      </c>
    </row>
    <row r="1737">
      <c r="A1737" s="90" t="n">
        <v>36416</v>
      </c>
      <c r="D1737" t="n">
        <v>1100.4</v>
      </c>
    </row>
    <row r="1738">
      <c r="A1738" s="90" t="n">
        <v>36423</v>
      </c>
      <c r="D1738" t="n">
        <v>1100.9</v>
      </c>
    </row>
    <row r="1739">
      <c r="A1739" s="90" t="n">
        <v>36430</v>
      </c>
      <c r="D1739" t="n">
        <v>1089.6</v>
      </c>
    </row>
    <row r="1740">
      <c r="A1740" s="90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90" t="n">
        <v>36437</v>
      </c>
      <c r="D1741" t="n">
        <v>1101</v>
      </c>
    </row>
    <row r="1742">
      <c r="A1742" s="90" t="n">
        <v>36444</v>
      </c>
      <c r="D1742" t="n">
        <v>1106.8</v>
      </c>
    </row>
    <row r="1743">
      <c r="A1743" s="90" t="n">
        <v>36451</v>
      </c>
      <c r="D1743" t="n">
        <v>1103</v>
      </c>
    </row>
    <row r="1744">
      <c r="A1744" s="90" t="n">
        <v>36458</v>
      </c>
      <c r="D1744" t="n">
        <v>1101.6</v>
      </c>
    </row>
    <row r="1745">
      <c r="A1745" s="90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90" t="n">
        <v>36472</v>
      </c>
      <c r="D1746" t="n">
        <v>1110.4</v>
      </c>
    </row>
    <row r="1747">
      <c r="A1747" s="90" t="n">
        <v>36479</v>
      </c>
      <c r="D1747" t="n">
        <v>1116.5</v>
      </c>
    </row>
    <row r="1748">
      <c r="A1748" s="90" t="n">
        <v>36486</v>
      </c>
      <c r="D1748" t="n">
        <v>1113</v>
      </c>
    </row>
    <row r="1749">
      <c r="A1749" s="90" t="n">
        <v>36493</v>
      </c>
      <c r="D1749" t="n">
        <v>1104.8</v>
      </c>
    </row>
    <row r="1750">
      <c r="A1750" s="90" t="n">
        <v>36495</v>
      </c>
      <c r="B1750" t="n">
        <v>664.8</v>
      </c>
      <c r="C1750" t="n">
        <v>2747.6</v>
      </c>
      <c r="E1750" t="n">
        <v>4638</v>
      </c>
    </row>
    <row r="1751">
      <c r="A1751" s="90" t="n">
        <v>36500</v>
      </c>
      <c r="D1751" t="n">
        <v>1110.3</v>
      </c>
    </row>
    <row r="1752">
      <c r="A1752" s="90" t="n">
        <v>36507</v>
      </c>
      <c r="D1752" t="n">
        <v>1122</v>
      </c>
    </row>
    <row r="1753">
      <c r="A1753" s="90" t="n">
        <v>36514</v>
      </c>
      <c r="D1753" t="n">
        <v>1120.5</v>
      </c>
    </row>
    <row r="1754">
      <c r="A1754" s="90" t="n">
        <v>36521</v>
      </c>
      <c r="D1754" t="n">
        <v>1126.5</v>
      </c>
    </row>
    <row r="1755">
      <c r="A1755" s="90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90" t="n">
        <v>36528</v>
      </c>
      <c r="D1756" t="n">
        <v>1138.6</v>
      </c>
    </row>
    <row r="1757">
      <c r="A1757" s="90" t="n">
        <v>36535</v>
      </c>
      <c r="D1757" t="n">
        <v>1133.4</v>
      </c>
    </row>
    <row r="1758">
      <c r="A1758" s="90" t="n">
        <v>36542</v>
      </c>
      <c r="D1758" t="n">
        <v>1125.1</v>
      </c>
    </row>
    <row r="1759">
      <c r="A1759" s="90" t="n">
        <v>36549</v>
      </c>
      <c r="D1759" t="n">
        <v>1122.3</v>
      </c>
    </row>
    <row r="1760">
      <c r="A1760" s="90" t="n">
        <v>36556</v>
      </c>
      <c r="D1760" t="n">
        <v>1108.9</v>
      </c>
    </row>
    <row r="1761">
      <c r="A1761" s="90" t="n">
        <v>36557</v>
      </c>
      <c r="B1761" t="n">
        <v>652.1</v>
      </c>
      <c r="C1761" t="n">
        <v>2752.6</v>
      </c>
      <c r="E1761" t="n">
        <v>4679.4</v>
      </c>
    </row>
    <row r="1762">
      <c r="A1762" s="90" t="n">
        <v>36563</v>
      </c>
      <c r="D1762" t="n">
        <v>1114.3</v>
      </c>
    </row>
    <row r="1763">
      <c r="A1763" s="90" t="n">
        <v>36570</v>
      </c>
      <c r="D1763" t="n">
        <v>1112.2</v>
      </c>
    </row>
    <row r="1764">
      <c r="A1764" s="90" t="n">
        <v>36577</v>
      </c>
      <c r="D1764" t="n">
        <v>1106.4</v>
      </c>
    </row>
    <row r="1765">
      <c r="A1765" s="90" t="n">
        <v>36584</v>
      </c>
      <c r="D1765" t="n">
        <v>1101.8</v>
      </c>
    </row>
    <row r="1766">
      <c r="A1766" s="90" t="n">
        <v>36586</v>
      </c>
      <c r="B1766" t="n">
        <v>647.7</v>
      </c>
      <c r="C1766" t="n">
        <v>2754.5</v>
      </c>
      <c r="E1766" t="n">
        <v>4710.2</v>
      </c>
    </row>
    <row r="1767">
      <c r="A1767" s="90" t="n">
        <v>36591</v>
      </c>
      <c r="D1767" t="n">
        <v>1107.1</v>
      </c>
    </row>
    <row r="1768">
      <c r="A1768" s="90" t="n">
        <v>36598</v>
      </c>
      <c r="D1768" t="n">
        <v>1105.5</v>
      </c>
    </row>
    <row r="1769">
      <c r="A1769" s="90" t="n">
        <v>36605</v>
      </c>
      <c r="D1769" t="n">
        <v>1106.5</v>
      </c>
    </row>
    <row r="1770">
      <c r="A1770" s="90" t="n">
        <v>36612</v>
      </c>
      <c r="D1770" t="n">
        <v>1104.9</v>
      </c>
    </row>
    <row r="1771">
      <c r="A1771" s="90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90" t="n">
        <v>36619</v>
      </c>
      <c r="D1772" t="n">
        <v>1117.8</v>
      </c>
    </row>
    <row r="1773">
      <c r="A1773" s="90" t="n">
        <v>36626</v>
      </c>
      <c r="D1773" t="n">
        <v>1121.8</v>
      </c>
    </row>
    <row r="1774">
      <c r="A1774" s="90" t="n">
        <v>36633</v>
      </c>
      <c r="D1774" t="n">
        <v>1118.2</v>
      </c>
    </row>
    <row r="1775">
      <c r="A1775" s="90" t="n">
        <v>36640</v>
      </c>
      <c r="D1775" t="n">
        <v>1114.9</v>
      </c>
    </row>
    <row r="1776">
      <c r="A1776" s="90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90" t="n">
        <v>36654</v>
      </c>
      <c r="D1777" t="n">
        <v>1106.5</v>
      </c>
    </row>
    <row r="1778">
      <c r="A1778" s="90" t="n">
        <v>36661</v>
      </c>
      <c r="D1778" t="n">
        <v>1111.2</v>
      </c>
    </row>
    <row r="1779">
      <c r="A1779" s="90" t="n">
        <v>36668</v>
      </c>
      <c r="D1779" t="n">
        <v>1105.1</v>
      </c>
    </row>
    <row r="1780">
      <c r="A1780" s="90" t="n">
        <v>36675</v>
      </c>
      <c r="D1780" t="n">
        <v>1097.8</v>
      </c>
    </row>
    <row r="1781">
      <c r="A1781" s="90" t="n">
        <v>36678</v>
      </c>
      <c r="B1781" t="n">
        <v>640.3</v>
      </c>
      <c r="C1781" t="n">
        <v>2771.1</v>
      </c>
      <c r="E1781" t="n">
        <v>4771.8</v>
      </c>
    </row>
    <row r="1782">
      <c r="A1782" s="90" t="n">
        <v>36682</v>
      </c>
      <c r="D1782" t="n">
        <v>1102</v>
      </c>
    </row>
    <row r="1783">
      <c r="A1783" s="90" t="n">
        <v>36689</v>
      </c>
      <c r="D1783" t="n">
        <v>1104.4</v>
      </c>
    </row>
    <row r="1784">
      <c r="A1784" s="90" t="n">
        <v>36696</v>
      </c>
      <c r="D1784" t="n">
        <v>1101.1</v>
      </c>
    </row>
    <row r="1785">
      <c r="A1785" s="90" t="n">
        <v>36703</v>
      </c>
      <c r="D1785" t="n">
        <v>1099</v>
      </c>
    </row>
    <row r="1786">
      <c r="A1786" s="90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90" t="n">
        <v>36710</v>
      </c>
      <c r="D1787" t="n">
        <v>1109.4</v>
      </c>
    </row>
    <row r="1788">
      <c r="A1788" s="90" t="n">
        <v>36717</v>
      </c>
      <c r="D1788" t="n">
        <v>1114.6</v>
      </c>
    </row>
    <row r="1789">
      <c r="A1789" s="90" t="n">
        <v>36724</v>
      </c>
      <c r="D1789" t="n">
        <v>1100.9</v>
      </c>
    </row>
    <row r="1790">
      <c r="A1790" s="90" t="n">
        <v>36731</v>
      </c>
      <c r="D1790" t="n">
        <v>1099.5</v>
      </c>
    </row>
    <row r="1791">
      <c r="A1791" s="90" t="n">
        <v>36738</v>
      </c>
      <c r="D1791" t="n">
        <v>1096.2</v>
      </c>
    </row>
    <row r="1792">
      <c r="A1792" s="90" t="n">
        <v>36739</v>
      </c>
      <c r="B1792" t="n">
        <v>637.1</v>
      </c>
      <c r="C1792" t="n">
        <v>2789.5</v>
      </c>
      <c r="E1792" t="n">
        <v>4817.5</v>
      </c>
    </row>
    <row r="1793">
      <c r="A1793" s="90" t="n">
        <v>36745</v>
      </c>
      <c r="D1793" t="n">
        <v>1097.9</v>
      </c>
    </row>
    <row r="1794">
      <c r="A1794" s="90" t="n">
        <v>36752</v>
      </c>
      <c r="D1794" t="n">
        <v>1100.3</v>
      </c>
    </row>
    <row r="1795">
      <c r="A1795" s="90" t="n">
        <v>36759</v>
      </c>
      <c r="D1795" t="n">
        <v>1102.2</v>
      </c>
    </row>
    <row r="1796">
      <c r="A1796" s="90" t="n">
        <v>36766</v>
      </c>
      <c r="D1796" t="n">
        <v>1101.4</v>
      </c>
    </row>
    <row r="1797">
      <c r="A1797" s="90" t="n">
        <v>36770</v>
      </c>
      <c r="B1797" t="n">
        <v>633.5</v>
      </c>
      <c r="C1797" t="n">
        <v>2795.6</v>
      </c>
      <c r="E1797" t="n">
        <v>4853.2</v>
      </c>
    </row>
    <row r="1798">
      <c r="A1798" s="90" t="n">
        <v>36773</v>
      </c>
      <c r="D1798" t="n">
        <v>1097.7</v>
      </c>
    </row>
    <row r="1799">
      <c r="A1799" s="90" t="n">
        <v>36780</v>
      </c>
      <c r="D1799" t="n">
        <v>1106.5</v>
      </c>
    </row>
    <row r="1800">
      <c r="A1800" s="90" t="n">
        <v>36787</v>
      </c>
      <c r="D1800" t="n">
        <v>1098.5</v>
      </c>
    </row>
    <row r="1801">
      <c r="A1801" s="90" t="n">
        <v>36794</v>
      </c>
      <c r="D1801" t="n">
        <v>1096.7</v>
      </c>
    </row>
    <row r="1802">
      <c r="A1802" s="90" t="n">
        <v>36800</v>
      </c>
      <c r="B1802" t="n">
        <v>631.8</v>
      </c>
      <c r="C1802" t="n">
        <v>2800</v>
      </c>
      <c r="E1802" t="n">
        <v>4869.2</v>
      </c>
      <c r="F1802" t="n">
        <v>2.133</v>
      </c>
    </row>
    <row r="1803">
      <c r="A1803" s="90" t="n">
        <v>36801</v>
      </c>
      <c r="D1803" t="n">
        <v>1097.9</v>
      </c>
    </row>
    <row r="1804">
      <c r="A1804" s="90" t="n">
        <v>36808</v>
      </c>
      <c r="D1804" t="n">
        <v>1099.9</v>
      </c>
    </row>
    <row r="1805">
      <c r="A1805" s="90" t="n">
        <v>36815</v>
      </c>
      <c r="D1805" t="n">
        <v>1100.2</v>
      </c>
    </row>
    <row r="1806">
      <c r="A1806" s="90" t="n">
        <v>36822</v>
      </c>
      <c r="D1806" t="n">
        <v>1099.3</v>
      </c>
    </row>
    <row r="1807">
      <c r="A1807" s="90" t="n">
        <v>36829</v>
      </c>
      <c r="D1807" t="n">
        <v>1096.8</v>
      </c>
    </row>
    <row r="1808">
      <c r="A1808" s="90" t="n">
        <v>36831</v>
      </c>
      <c r="B1808" t="n">
        <v>627.1</v>
      </c>
      <c r="C1808" t="n">
        <v>2801.5</v>
      </c>
      <c r="E1808" t="n">
        <v>4880.3</v>
      </c>
    </row>
    <row r="1809">
      <c r="A1809" s="90" t="n">
        <v>36836</v>
      </c>
      <c r="D1809" t="n">
        <v>1091.7</v>
      </c>
    </row>
    <row r="1810">
      <c r="A1810" s="90" t="n">
        <v>36843</v>
      </c>
      <c r="D1810" t="n">
        <v>1089.9</v>
      </c>
    </row>
    <row r="1811">
      <c r="A1811" s="90" t="n">
        <v>36850</v>
      </c>
      <c r="D1811" t="n">
        <v>1093.9</v>
      </c>
    </row>
    <row r="1812">
      <c r="A1812" s="90" t="n">
        <v>36857</v>
      </c>
      <c r="D1812" t="n">
        <v>1096.6</v>
      </c>
    </row>
    <row r="1813">
      <c r="A1813" s="90" t="n">
        <v>36861</v>
      </c>
      <c r="B1813" t="n">
        <v>623.5</v>
      </c>
      <c r="C1813" t="n">
        <v>2820.7</v>
      </c>
      <c r="E1813" t="n">
        <v>4925</v>
      </c>
    </row>
    <row r="1814">
      <c r="A1814" s="90" t="n">
        <v>36864</v>
      </c>
      <c r="D1814" t="n">
        <v>1086.4</v>
      </c>
    </row>
    <row r="1815">
      <c r="A1815" s="90" t="n">
        <v>36871</v>
      </c>
      <c r="D1815" t="n">
        <v>1092.9</v>
      </c>
    </row>
    <row r="1816">
      <c r="A1816" s="90" t="n">
        <v>36878</v>
      </c>
      <c r="D1816" t="n">
        <v>1084.4</v>
      </c>
    </row>
    <row r="1817">
      <c r="A1817" s="90" t="n">
        <v>36885</v>
      </c>
      <c r="D1817" t="n">
        <v>1090.1</v>
      </c>
    </row>
    <row r="1818">
      <c r="A1818" s="90" t="n">
        <v>36892</v>
      </c>
      <c r="B1818" t="n">
        <v>624.5</v>
      </c>
      <c r="C1818" t="n">
        <v>2833.5</v>
      </c>
      <c r="D1818" t="n">
        <v>1088.3</v>
      </c>
      <c r="E1818" t="n">
        <v>4975.7</v>
      </c>
      <c r="F1818" t="n">
        <v>2.085</v>
      </c>
    </row>
    <row r="1819">
      <c r="A1819" s="90" t="n">
        <v>36899</v>
      </c>
      <c r="D1819" t="n">
        <v>1094.2</v>
      </c>
    </row>
    <row r="1820">
      <c r="A1820" s="90" t="n">
        <v>36906</v>
      </c>
      <c r="D1820" t="n">
        <v>1096.2</v>
      </c>
    </row>
    <row r="1821">
      <c r="A1821" s="90" t="n">
        <v>36913</v>
      </c>
      <c r="D1821" t="n">
        <v>1101.7</v>
      </c>
    </row>
    <row r="1822">
      <c r="A1822" s="90" t="n">
        <v>36920</v>
      </c>
      <c r="D1822" t="n">
        <v>1094.8</v>
      </c>
    </row>
    <row r="1823">
      <c r="A1823" s="90" t="n">
        <v>36923</v>
      </c>
      <c r="B1823" t="n">
        <v>625.7</v>
      </c>
      <c r="C1823" t="n">
        <v>2848.9</v>
      </c>
      <c r="E1823" t="n">
        <v>5014.1</v>
      </c>
    </row>
    <row r="1824">
      <c r="A1824" s="90" t="n">
        <v>36927</v>
      </c>
      <c r="D1824" t="n">
        <v>1099.7</v>
      </c>
    </row>
    <row r="1825">
      <c r="A1825" s="90" t="n">
        <v>36934</v>
      </c>
      <c r="D1825" t="n">
        <v>1099.3</v>
      </c>
    </row>
    <row r="1826">
      <c r="A1826" s="90" t="n">
        <v>36941</v>
      </c>
      <c r="D1826" t="n">
        <v>1098.8</v>
      </c>
    </row>
    <row r="1827">
      <c r="A1827" s="90" t="n">
        <v>36948</v>
      </c>
      <c r="D1827" t="n">
        <v>1104.4</v>
      </c>
    </row>
    <row r="1828">
      <c r="A1828" s="90" t="n">
        <v>36951</v>
      </c>
      <c r="B1828" t="n">
        <v>629.7</v>
      </c>
      <c r="C1828" t="n">
        <v>2880.2</v>
      </c>
      <c r="E1828" t="n">
        <v>5072</v>
      </c>
    </row>
    <row r="1829">
      <c r="A1829" s="90" t="n">
        <v>36955</v>
      </c>
      <c r="D1829" t="n">
        <v>1109.3</v>
      </c>
    </row>
    <row r="1830">
      <c r="A1830" s="90" t="n">
        <v>36962</v>
      </c>
      <c r="D1830" t="n">
        <v>1108.3</v>
      </c>
    </row>
    <row r="1831">
      <c r="A1831" s="90" t="n">
        <v>36969</v>
      </c>
      <c r="D1831" t="n">
        <v>1107.7</v>
      </c>
    </row>
    <row r="1832">
      <c r="A1832" s="90" t="n">
        <v>36976</v>
      </c>
      <c r="D1832" t="n">
        <v>1106.7</v>
      </c>
    </row>
    <row r="1833">
      <c r="A1833" s="90" t="n">
        <v>36982</v>
      </c>
      <c r="B1833" t="n">
        <v>633</v>
      </c>
      <c r="C1833" t="n">
        <v>2911.5</v>
      </c>
      <c r="E1833" t="n">
        <v>5135.9</v>
      </c>
      <c r="F1833" t="n">
        <v>2.059</v>
      </c>
    </row>
    <row r="1834">
      <c r="A1834" s="90" t="n">
        <v>36983</v>
      </c>
      <c r="D1834" t="n">
        <v>1113.9</v>
      </c>
    </row>
    <row r="1835">
      <c r="A1835" s="90" t="n">
        <v>36990</v>
      </c>
      <c r="D1835" t="n">
        <v>1114.9</v>
      </c>
    </row>
    <row r="1836">
      <c r="A1836" s="90" t="n">
        <v>36997</v>
      </c>
      <c r="D1836" t="n">
        <v>1118.2</v>
      </c>
    </row>
    <row r="1837">
      <c r="A1837" s="90" t="n">
        <v>37004</v>
      </c>
      <c r="D1837" t="n">
        <v>1117.7</v>
      </c>
    </row>
    <row r="1838">
      <c r="A1838" s="90" t="n">
        <v>37011</v>
      </c>
      <c r="D1838" t="n">
        <v>1116.8</v>
      </c>
    </row>
    <row r="1839">
      <c r="A1839" s="90" t="n">
        <v>37012</v>
      </c>
      <c r="B1839" t="n">
        <v>630.9</v>
      </c>
      <c r="C1839" t="n">
        <v>2895.1</v>
      </c>
      <c r="E1839" t="n">
        <v>5133</v>
      </c>
    </row>
    <row r="1840">
      <c r="A1840" s="90" t="n">
        <v>37018</v>
      </c>
      <c r="D1840" t="n">
        <v>1113.9</v>
      </c>
    </row>
    <row r="1841">
      <c r="A1841" s="90" t="n">
        <v>37025</v>
      </c>
      <c r="D1841" t="n">
        <v>1117.5</v>
      </c>
    </row>
    <row r="1842">
      <c r="A1842" s="90" t="n">
        <v>37032</v>
      </c>
      <c r="D1842" t="n">
        <v>1122.3</v>
      </c>
    </row>
    <row r="1843">
      <c r="A1843" s="90" t="n">
        <v>37039</v>
      </c>
      <c r="D1843" t="n">
        <v>1117.4</v>
      </c>
    </row>
    <row r="1844">
      <c r="A1844" s="90" t="n">
        <v>37043</v>
      </c>
      <c r="B1844" t="n">
        <v>633.8</v>
      </c>
      <c r="C1844" t="n">
        <v>2911.4</v>
      </c>
      <c r="E1844" t="n">
        <v>5173.5</v>
      </c>
    </row>
    <row r="1845">
      <c r="A1845" s="90" t="n">
        <v>37046</v>
      </c>
      <c r="D1845" t="n">
        <v>1125.2</v>
      </c>
    </row>
    <row r="1846">
      <c r="A1846" s="90" t="n">
        <v>37053</v>
      </c>
      <c r="D1846" t="n">
        <v>1126.2</v>
      </c>
    </row>
    <row r="1847">
      <c r="A1847" s="90" t="n">
        <v>37060</v>
      </c>
      <c r="D1847" t="n">
        <v>1126.4</v>
      </c>
    </row>
    <row r="1848">
      <c r="A1848" s="90" t="n">
        <v>37067</v>
      </c>
      <c r="D1848" t="n">
        <v>1124.1</v>
      </c>
    </row>
    <row r="1849">
      <c r="A1849" s="90" t="n">
        <v>37073</v>
      </c>
      <c r="B1849" t="n">
        <v>642</v>
      </c>
      <c r="C1849" t="n">
        <v>2933.1</v>
      </c>
      <c r="E1849" t="n">
        <v>5203.4</v>
      </c>
      <c r="F1849" t="n">
        <v>2.014</v>
      </c>
    </row>
    <row r="1850">
      <c r="A1850" s="90" t="n">
        <v>37074</v>
      </c>
      <c r="D1850" t="n">
        <v>1129.9</v>
      </c>
    </row>
    <row r="1851">
      <c r="A1851" s="90" t="n">
        <v>37081</v>
      </c>
      <c r="D1851" t="n">
        <v>1133.9</v>
      </c>
    </row>
    <row r="1852">
      <c r="A1852" s="90" t="n">
        <v>37088</v>
      </c>
      <c r="D1852" t="n">
        <v>1142.1</v>
      </c>
    </row>
    <row r="1853">
      <c r="A1853" s="90" t="n">
        <v>37095</v>
      </c>
      <c r="D1853" t="n">
        <v>1142</v>
      </c>
    </row>
    <row r="1854">
      <c r="A1854" s="90" t="n">
        <v>37102</v>
      </c>
      <c r="D1854" t="n">
        <v>1139.4</v>
      </c>
    </row>
    <row r="1855">
      <c r="A1855" s="90" t="n">
        <v>37104</v>
      </c>
      <c r="B1855" t="n">
        <v>648.4</v>
      </c>
      <c r="C1855" t="n">
        <v>2952.2</v>
      </c>
      <c r="E1855" t="n">
        <v>5237.2</v>
      </c>
    </row>
    <row r="1856">
      <c r="A1856" s="90" t="n">
        <v>37109</v>
      </c>
      <c r="D1856" t="n">
        <v>1143.3</v>
      </c>
    </row>
    <row r="1857">
      <c r="A1857" s="90" t="n">
        <v>37116</v>
      </c>
      <c r="D1857" t="n">
        <v>1148.6</v>
      </c>
    </row>
    <row r="1858">
      <c r="A1858" s="90" t="n">
        <v>37123</v>
      </c>
      <c r="D1858" t="n">
        <v>1149.9</v>
      </c>
    </row>
    <row r="1859">
      <c r="A1859" s="90" t="n">
        <v>37130</v>
      </c>
      <c r="D1859" t="n">
        <v>1149</v>
      </c>
    </row>
    <row r="1860">
      <c r="A1860" s="90" t="n">
        <v>37135</v>
      </c>
      <c r="B1860" t="n">
        <v>677</v>
      </c>
      <c r="C1860" t="n">
        <v>3003</v>
      </c>
      <c r="E1860" t="n">
        <v>5348.4</v>
      </c>
    </row>
    <row r="1861">
      <c r="A1861" s="90" t="n">
        <v>37137</v>
      </c>
      <c r="D1861" t="n">
        <v>1165.5</v>
      </c>
    </row>
    <row r="1862">
      <c r="A1862" s="90" t="n">
        <v>37144</v>
      </c>
      <c r="D1862" t="n">
        <v>1167</v>
      </c>
    </row>
    <row r="1863">
      <c r="A1863" s="90" t="n">
        <v>37151</v>
      </c>
      <c r="D1863" t="n">
        <v>1292</v>
      </c>
    </row>
    <row r="1864">
      <c r="A1864" s="90" t="n">
        <v>37158</v>
      </c>
      <c r="D1864" t="n">
        <v>1206.1</v>
      </c>
    </row>
    <row r="1865">
      <c r="A1865" s="90" t="n">
        <v>37165</v>
      </c>
      <c r="B1865" t="n">
        <v>656.4</v>
      </c>
      <c r="C1865" t="n">
        <v>3005.1</v>
      </c>
      <c r="D1865" t="n">
        <v>1171.3</v>
      </c>
      <c r="E1865" t="n">
        <v>5337.1</v>
      </c>
      <c r="F1865" t="n">
        <v>1.98</v>
      </c>
    </row>
    <row r="1866">
      <c r="A1866" s="90" t="n">
        <v>37172</v>
      </c>
      <c r="D1866" t="n">
        <v>1166.9</v>
      </c>
    </row>
    <row r="1867">
      <c r="A1867" s="90" t="n">
        <v>37179</v>
      </c>
      <c r="D1867" t="n">
        <v>1166.7</v>
      </c>
    </row>
    <row r="1868">
      <c r="A1868" s="90" t="n">
        <v>37186</v>
      </c>
      <c r="D1868" t="n">
        <v>1167.2</v>
      </c>
    </row>
    <row r="1869">
      <c r="A1869" s="90" t="n">
        <v>37193</v>
      </c>
      <c r="D1869" t="n">
        <v>1161.2</v>
      </c>
    </row>
    <row r="1870">
      <c r="A1870" s="90" t="n">
        <v>37196</v>
      </c>
      <c r="B1870" t="n">
        <v>659.7</v>
      </c>
      <c r="C1870" t="n">
        <v>3031.4</v>
      </c>
      <c r="E1870" t="n">
        <v>5380.8</v>
      </c>
    </row>
    <row r="1871">
      <c r="A1871" s="90" t="n">
        <v>37200</v>
      </c>
      <c r="D1871" t="n">
        <v>1164.8</v>
      </c>
    </row>
    <row r="1872">
      <c r="A1872" s="90" t="n">
        <v>37207</v>
      </c>
      <c r="D1872" t="n">
        <v>1170.2</v>
      </c>
    </row>
    <row r="1873">
      <c r="A1873" s="90" t="n">
        <v>37214</v>
      </c>
      <c r="D1873" t="n">
        <v>1171.9</v>
      </c>
    </row>
    <row r="1874">
      <c r="A1874" s="90" t="n">
        <v>37221</v>
      </c>
      <c r="D1874" t="n">
        <v>1172.1</v>
      </c>
    </row>
    <row r="1875">
      <c r="A1875" s="90" t="n">
        <v>37226</v>
      </c>
      <c r="B1875" t="n">
        <v>667</v>
      </c>
      <c r="C1875" t="n">
        <v>3063</v>
      </c>
      <c r="E1875" t="n">
        <v>5433.8</v>
      </c>
    </row>
    <row r="1876">
      <c r="A1876" s="90" t="n">
        <v>37228</v>
      </c>
      <c r="D1876" t="n">
        <v>1176.5</v>
      </c>
    </row>
    <row r="1877">
      <c r="A1877" s="90" t="n">
        <v>37235</v>
      </c>
      <c r="D1877" t="n">
        <v>1186.3</v>
      </c>
    </row>
    <row r="1878">
      <c r="A1878" s="90" t="n">
        <v>37242</v>
      </c>
      <c r="D1878" t="n">
        <v>1183.6</v>
      </c>
    </row>
    <row r="1879">
      <c r="A1879" s="90" t="n">
        <v>37249</v>
      </c>
      <c r="D1879" t="n">
        <v>1181.7</v>
      </c>
    </row>
    <row r="1880">
      <c r="A1880" s="90" t="n">
        <v>37256</v>
      </c>
      <c r="D1880" t="n">
        <v>1184.2</v>
      </c>
    </row>
    <row r="1881">
      <c r="A1881" s="90" t="n">
        <v>37257</v>
      </c>
      <c r="B1881" t="n">
        <v>670.1</v>
      </c>
      <c r="C1881" t="n">
        <v>3069.3</v>
      </c>
      <c r="E1881" t="n">
        <v>5454.1</v>
      </c>
      <c r="F1881" t="n">
        <v>1.969</v>
      </c>
    </row>
    <row r="1882">
      <c r="A1882" s="90" t="n">
        <v>37263</v>
      </c>
      <c r="D1882" t="n">
        <v>1190.3</v>
      </c>
    </row>
    <row r="1883">
      <c r="A1883" s="90" t="n">
        <v>37270</v>
      </c>
      <c r="D1883" t="n">
        <v>1194.6</v>
      </c>
    </row>
    <row r="1884">
      <c r="A1884" s="90" t="n">
        <v>37277</v>
      </c>
      <c r="D1884" t="n">
        <v>1193.6</v>
      </c>
    </row>
    <row r="1885">
      <c r="A1885" s="90" t="n">
        <v>37284</v>
      </c>
      <c r="D1885" t="n">
        <v>1184.6</v>
      </c>
    </row>
    <row r="1886">
      <c r="A1886" s="90" t="n">
        <v>37288</v>
      </c>
      <c r="B1886" t="n">
        <v>668.9</v>
      </c>
      <c r="C1886" t="n">
        <v>3080.6</v>
      </c>
      <c r="E1886" t="n">
        <v>5483.4</v>
      </c>
    </row>
    <row r="1887">
      <c r="A1887" s="90" t="n">
        <v>37291</v>
      </c>
      <c r="D1887" t="n">
        <v>1189.5</v>
      </c>
    </row>
    <row r="1888">
      <c r="A1888" s="90" t="n">
        <v>37298</v>
      </c>
      <c r="D1888" t="n">
        <v>1190.4</v>
      </c>
    </row>
    <row r="1889">
      <c r="A1889" s="90" t="n">
        <v>37305</v>
      </c>
      <c r="D1889" t="n">
        <v>1192.4</v>
      </c>
    </row>
    <row r="1890">
      <c r="A1890" s="90" t="n">
        <v>37312</v>
      </c>
      <c r="D1890" t="n">
        <v>1189.4</v>
      </c>
    </row>
    <row r="1891">
      <c r="A1891" s="90" t="n">
        <v>37316</v>
      </c>
      <c r="B1891" t="n">
        <v>668.5</v>
      </c>
      <c r="C1891" t="n">
        <v>3078.5</v>
      </c>
      <c r="E1891" t="n">
        <v>5495.2</v>
      </c>
    </row>
    <row r="1892">
      <c r="A1892" s="90" t="n">
        <v>37319</v>
      </c>
      <c r="D1892" t="n">
        <v>1191.1</v>
      </c>
    </row>
    <row r="1893">
      <c r="A1893" s="90" t="n">
        <v>37326</v>
      </c>
      <c r="D1893" t="n">
        <v>1198.6</v>
      </c>
    </row>
    <row r="1894">
      <c r="A1894" s="90" t="n">
        <v>37333</v>
      </c>
      <c r="D1894" t="n">
        <v>1196.1</v>
      </c>
    </row>
    <row r="1895">
      <c r="A1895" s="90" t="n">
        <v>37340</v>
      </c>
      <c r="D1895" t="n">
        <v>1193</v>
      </c>
    </row>
    <row r="1896">
      <c r="A1896" s="90" t="n">
        <v>37347</v>
      </c>
      <c r="B1896" t="n">
        <v>662</v>
      </c>
      <c r="C1896" t="n">
        <v>3064.9</v>
      </c>
      <c r="D1896" t="n">
        <v>1185.3</v>
      </c>
      <c r="E1896" t="n">
        <v>5495.4</v>
      </c>
      <c r="F1896" t="n">
        <v>1.972</v>
      </c>
    </row>
    <row r="1897">
      <c r="A1897" s="90" t="n">
        <v>37354</v>
      </c>
      <c r="D1897" t="n">
        <v>1185.1</v>
      </c>
    </row>
    <row r="1898">
      <c r="A1898" s="90" t="n">
        <v>37361</v>
      </c>
      <c r="D1898" t="n">
        <v>1187.5</v>
      </c>
    </row>
    <row r="1899">
      <c r="A1899" s="90" t="n">
        <v>37368</v>
      </c>
      <c r="D1899" t="n">
        <v>1188</v>
      </c>
    </row>
    <row r="1900">
      <c r="A1900" s="90" t="n">
        <v>37375</v>
      </c>
      <c r="D1900" t="n">
        <v>1187.9</v>
      </c>
    </row>
    <row r="1901">
      <c r="A1901" s="90" t="n">
        <v>37377</v>
      </c>
      <c r="B1901" t="n">
        <v>662.6</v>
      </c>
      <c r="C1901" t="n">
        <v>3076</v>
      </c>
      <c r="E1901" t="n">
        <v>5521.5</v>
      </c>
    </row>
    <row r="1902">
      <c r="A1902" s="90" t="n">
        <v>37382</v>
      </c>
      <c r="D1902" t="n">
        <v>1181.1</v>
      </c>
    </row>
    <row r="1903">
      <c r="A1903" s="90" t="n">
        <v>37389</v>
      </c>
      <c r="D1903" t="n">
        <v>1186.1</v>
      </c>
    </row>
    <row r="1904">
      <c r="A1904" s="90" t="n">
        <v>37396</v>
      </c>
      <c r="D1904" t="n">
        <v>1188.1</v>
      </c>
    </row>
    <row r="1905">
      <c r="A1905" s="90" t="n">
        <v>37403</v>
      </c>
      <c r="D1905" t="n">
        <v>1192.2</v>
      </c>
    </row>
    <row r="1906">
      <c r="A1906" s="90" t="n">
        <v>37408</v>
      </c>
      <c r="B1906" t="n">
        <v>664.4</v>
      </c>
      <c r="C1906" t="n">
        <v>3088.3</v>
      </c>
      <c r="E1906" t="n">
        <v>5546.5</v>
      </c>
    </row>
    <row r="1907">
      <c r="A1907" s="90" t="n">
        <v>37410</v>
      </c>
      <c r="D1907" t="n">
        <v>1204.2</v>
      </c>
    </row>
    <row r="1908">
      <c r="A1908" s="90" t="n">
        <v>37417</v>
      </c>
      <c r="D1908" t="n">
        <v>1192.3</v>
      </c>
    </row>
    <row r="1909">
      <c r="A1909" s="90" t="n">
        <v>37424</v>
      </c>
      <c r="D1909" t="n">
        <v>1188.9</v>
      </c>
    </row>
    <row r="1910">
      <c r="A1910" s="90" t="n">
        <v>37431</v>
      </c>
      <c r="D1910" t="n">
        <v>1193.3</v>
      </c>
    </row>
    <row r="1911">
      <c r="A1911" s="90" t="n">
        <v>37438</v>
      </c>
      <c r="B1911" t="n">
        <v>666.2</v>
      </c>
      <c r="C1911" t="n">
        <v>3105.1</v>
      </c>
      <c r="D1911" t="n">
        <v>1194.1</v>
      </c>
      <c r="E1911" t="n">
        <v>5589.1</v>
      </c>
      <c r="F1911" t="n">
        <v>1.953</v>
      </c>
    </row>
    <row r="1912">
      <c r="A1912" s="90" t="n">
        <v>37445</v>
      </c>
      <c r="D1912" t="n">
        <v>1193.4</v>
      </c>
    </row>
    <row r="1913">
      <c r="A1913" s="90" t="n">
        <v>37452</v>
      </c>
      <c r="D1913" t="n">
        <v>1202</v>
      </c>
    </row>
    <row r="1914">
      <c r="A1914" s="90" t="n">
        <v>37459</v>
      </c>
      <c r="D1914" t="n">
        <v>1203.1</v>
      </c>
    </row>
    <row r="1915">
      <c r="A1915" s="90" t="n">
        <v>37466</v>
      </c>
      <c r="D1915" t="n">
        <v>1203.7</v>
      </c>
    </row>
    <row r="1916">
      <c r="A1916" s="90" t="n">
        <v>37469</v>
      </c>
      <c r="B1916" t="n">
        <v>657.7</v>
      </c>
      <c r="C1916" t="n">
        <v>3120</v>
      </c>
      <c r="E1916" t="n">
        <v>5631.6</v>
      </c>
    </row>
    <row r="1917">
      <c r="A1917" s="90" t="n">
        <v>37473</v>
      </c>
      <c r="D1917" t="n">
        <v>1181.6</v>
      </c>
    </row>
    <row r="1918">
      <c r="A1918" s="90" t="n">
        <v>37480</v>
      </c>
      <c r="D1918" t="n">
        <v>1182.1</v>
      </c>
    </row>
    <row r="1919">
      <c r="A1919" s="90" t="n">
        <v>37487</v>
      </c>
      <c r="D1919" t="n">
        <v>1182.6</v>
      </c>
    </row>
    <row r="1920">
      <c r="A1920" s="90" t="n">
        <v>37494</v>
      </c>
      <c r="D1920" t="n">
        <v>1188.8</v>
      </c>
    </row>
    <row r="1921">
      <c r="A1921" s="90" t="n">
        <v>37500</v>
      </c>
      <c r="B1921" t="n">
        <v>661.6</v>
      </c>
      <c r="C1921" t="n">
        <v>3128.3</v>
      </c>
      <c r="E1921" t="n">
        <v>5656</v>
      </c>
    </row>
    <row r="1922">
      <c r="A1922" s="90" t="n">
        <v>37501</v>
      </c>
      <c r="D1922" t="n">
        <v>1203.3</v>
      </c>
    </row>
    <row r="1923">
      <c r="A1923" s="90" t="n">
        <v>37508</v>
      </c>
      <c r="D1923" t="n">
        <v>1191.5</v>
      </c>
    </row>
    <row r="1924">
      <c r="A1924" s="90" t="n">
        <v>37515</v>
      </c>
      <c r="D1924" t="n">
        <v>1191.8</v>
      </c>
    </row>
    <row r="1925">
      <c r="A1925" s="90" t="n">
        <v>37522</v>
      </c>
      <c r="D1925" t="n">
        <v>1192.8</v>
      </c>
    </row>
    <row r="1926">
      <c r="A1926" s="90" t="n">
        <v>37529</v>
      </c>
      <c r="D1926" t="n">
        <v>1206.3</v>
      </c>
    </row>
    <row r="1927">
      <c r="A1927" s="90" t="n">
        <v>37530</v>
      </c>
      <c r="B1927" t="n">
        <v>664.5</v>
      </c>
      <c r="C1927" t="n">
        <v>3145.9</v>
      </c>
      <c r="E1927" t="n">
        <v>5700.4</v>
      </c>
      <c r="F1927" t="n">
        <v>1.927</v>
      </c>
    </row>
    <row r="1928">
      <c r="A1928" s="90" t="n">
        <v>37536</v>
      </c>
      <c r="D1928" t="n">
        <v>1188.1</v>
      </c>
    </row>
    <row r="1929">
      <c r="A1929" s="90" t="n">
        <v>37543</v>
      </c>
      <c r="D1929" t="n">
        <v>1206.7</v>
      </c>
    </row>
    <row r="1930">
      <c r="A1930" s="90" t="n">
        <v>37550</v>
      </c>
      <c r="D1930" t="n">
        <v>1207.4</v>
      </c>
    </row>
    <row r="1931">
      <c r="A1931" s="90" t="n">
        <v>37557</v>
      </c>
      <c r="D1931" t="n">
        <v>1212.1</v>
      </c>
    </row>
    <row r="1932">
      <c r="A1932" s="90" t="n">
        <v>37561</v>
      </c>
      <c r="B1932" t="n">
        <v>666.4</v>
      </c>
      <c r="C1932" t="n">
        <v>3168.4</v>
      </c>
      <c r="E1932" t="n">
        <v>5750.6</v>
      </c>
    </row>
    <row r="1933">
      <c r="A1933" s="90" t="n">
        <v>37564</v>
      </c>
      <c r="D1933" t="n">
        <v>1208</v>
      </c>
    </row>
    <row r="1934">
      <c r="A1934" s="90" t="n">
        <v>37571</v>
      </c>
      <c r="D1934" t="n">
        <v>1208.5</v>
      </c>
    </row>
    <row r="1935">
      <c r="A1935" s="90" t="n">
        <v>37578</v>
      </c>
      <c r="D1935" t="n">
        <v>1205.4</v>
      </c>
    </row>
    <row r="1936">
      <c r="A1936" s="90" t="n">
        <v>37585</v>
      </c>
      <c r="D1936" t="n">
        <v>1203.8</v>
      </c>
    </row>
    <row r="1937">
      <c r="A1937" s="90" t="n">
        <v>37591</v>
      </c>
      <c r="B1937" t="n">
        <v>671.2</v>
      </c>
      <c r="C1937" t="n">
        <v>3174.9</v>
      </c>
      <c r="E1937" t="n">
        <v>5772</v>
      </c>
    </row>
    <row r="1938">
      <c r="A1938" s="90" t="n">
        <v>37592</v>
      </c>
      <c r="D1938" t="n">
        <v>1226.5</v>
      </c>
    </row>
    <row r="1939">
      <c r="A1939" s="90" t="n">
        <v>37599</v>
      </c>
      <c r="D1939" t="n">
        <v>1218.8</v>
      </c>
    </row>
    <row r="1940">
      <c r="A1940" s="90" t="n">
        <v>37606</v>
      </c>
      <c r="D1940" t="n">
        <v>1217.3</v>
      </c>
    </row>
    <row r="1941">
      <c r="A1941" s="90" t="n">
        <v>37613</v>
      </c>
      <c r="D1941" t="n">
        <v>1223.4</v>
      </c>
    </row>
    <row r="1942">
      <c r="A1942" s="90" t="n">
        <v>37620</v>
      </c>
      <c r="D1942" t="n">
        <v>1220.2</v>
      </c>
    </row>
    <row r="1943">
      <c r="A1943" s="90" t="n">
        <v>37622</v>
      </c>
      <c r="B1943" t="n">
        <v>672.1</v>
      </c>
      <c r="C1943" t="n">
        <v>3178.9</v>
      </c>
      <c r="E1943" t="n">
        <v>5804.6</v>
      </c>
      <c r="F1943" t="n">
        <v>1.915</v>
      </c>
    </row>
    <row r="1944">
      <c r="A1944" s="90" t="n">
        <v>37627</v>
      </c>
      <c r="D1944" t="n">
        <v>1215.7</v>
      </c>
    </row>
    <row r="1945">
      <c r="A1945" s="90" t="n">
        <v>37634</v>
      </c>
      <c r="D1945" t="n">
        <v>1221.8</v>
      </c>
    </row>
    <row r="1946">
      <c r="A1946" s="90" t="n">
        <v>37641</v>
      </c>
      <c r="D1946" t="n">
        <v>1229.7</v>
      </c>
    </row>
    <row r="1947">
      <c r="A1947" s="90" t="n">
        <v>37648</v>
      </c>
      <c r="D1947" t="n">
        <v>1229.4</v>
      </c>
    </row>
    <row r="1948">
      <c r="A1948" s="90" t="n">
        <v>37653</v>
      </c>
      <c r="B1948" t="n">
        <v>674.4</v>
      </c>
      <c r="C1948" t="n">
        <v>3181.2</v>
      </c>
      <c r="E1948" t="n">
        <v>5840.7</v>
      </c>
    </row>
    <row r="1949">
      <c r="A1949" s="90" t="n">
        <v>37655</v>
      </c>
      <c r="D1949" t="n">
        <v>1246.6</v>
      </c>
    </row>
    <row r="1950">
      <c r="A1950" s="90" t="n">
        <v>37662</v>
      </c>
      <c r="D1950" t="n">
        <v>1234.2</v>
      </c>
    </row>
    <row r="1951">
      <c r="A1951" s="90" t="n">
        <v>37669</v>
      </c>
      <c r="D1951" t="n">
        <v>1241.1</v>
      </c>
    </row>
    <row r="1952">
      <c r="A1952" s="90" t="n">
        <v>37676</v>
      </c>
      <c r="D1952" t="n">
        <v>1231.3</v>
      </c>
    </row>
    <row r="1953">
      <c r="A1953" s="90" t="n">
        <v>37681</v>
      </c>
      <c r="B1953" t="n">
        <v>673.9</v>
      </c>
      <c r="C1953" t="n">
        <v>3187.3</v>
      </c>
      <c r="E1953" t="n">
        <v>5861.4</v>
      </c>
    </row>
    <row r="1954">
      <c r="A1954" s="90" t="n">
        <v>37683</v>
      </c>
      <c r="D1954" t="n">
        <v>1245.6</v>
      </c>
    </row>
    <row r="1955">
      <c r="A1955" s="90" t="n">
        <v>37690</v>
      </c>
      <c r="D1955" t="n">
        <v>1242.5</v>
      </c>
    </row>
    <row r="1956">
      <c r="A1956" s="90" t="n">
        <v>37697</v>
      </c>
      <c r="D1956" t="n">
        <v>1235.9</v>
      </c>
    </row>
    <row r="1957">
      <c r="A1957" s="90" t="n">
        <v>37704</v>
      </c>
      <c r="D1957" t="n">
        <v>1235.9</v>
      </c>
    </row>
    <row r="1958">
      <c r="A1958" s="90" t="n">
        <v>37711</v>
      </c>
      <c r="D1958" t="n">
        <v>1240.4</v>
      </c>
    </row>
    <row r="1959">
      <c r="A1959" s="90" t="n">
        <v>37712</v>
      </c>
      <c r="B1959" t="n">
        <v>682.3</v>
      </c>
      <c r="C1959" t="n">
        <v>3219.9</v>
      </c>
      <c r="E1959" t="n">
        <v>5898.8</v>
      </c>
      <c r="F1959" t="n">
        <v>1.901</v>
      </c>
    </row>
    <row r="1960">
      <c r="A1960" s="90" t="n">
        <v>37718</v>
      </c>
      <c r="D1960" t="n">
        <v>1235.8</v>
      </c>
    </row>
    <row r="1961">
      <c r="A1961" s="90" t="n">
        <v>37725</v>
      </c>
      <c r="D1961" t="n">
        <v>1249.9</v>
      </c>
    </row>
    <row r="1962">
      <c r="A1962" s="90" t="n">
        <v>37732</v>
      </c>
      <c r="D1962" t="n">
        <v>1255.9</v>
      </c>
    </row>
    <row r="1963">
      <c r="A1963" s="90" t="n">
        <v>37739</v>
      </c>
      <c r="D1963" t="n">
        <v>1255.4</v>
      </c>
    </row>
    <row r="1964">
      <c r="A1964" s="90" t="n">
        <v>37742</v>
      </c>
      <c r="B1964" t="n">
        <v>693.7</v>
      </c>
      <c r="C1964" t="n">
        <v>3258.2</v>
      </c>
      <c r="E1964" t="n">
        <v>5959.3</v>
      </c>
    </row>
    <row r="1965">
      <c r="A1965" s="90" t="n">
        <v>37746</v>
      </c>
      <c r="D1965" t="n">
        <v>1261.2</v>
      </c>
    </row>
    <row r="1966">
      <c r="A1966" s="90" t="n">
        <v>37753</v>
      </c>
      <c r="D1966" t="n">
        <v>1268.8</v>
      </c>
    </row>
    <row r="1967">
      <c r="A1967" s="90" t="n">
        <v>37760</v>
      </c>
      <c r="D1967" t="n">
        <v>1268.2</v>
      </c>
    </row>
    <row r="1968">
      <c r="A1968" s="90" t="n">
        <v>37767</v>
      </c>
      <c r="D1968" t="n">
        <v>1269.5</v>
      </c>
    </row>
    <row r="1969">
      <c r="A1969" s="90" t="n">
        <v>37773</v>
      </c>
      <c r="B1969" t="n">
        <v>699.6</v>
      </c>
      <c r="C1969" t="n">
        <v>3274.7</v>
      </c>
      <c r="E1969" t="n">
        <v>5996</v>
      </c>
    </row>
    <row r="1970">
      <c r="A1970" s="90" t="n">
        <v>37774</v>
      </c>
      <c r="D1970" t="n">
        <v>1276.4</v>
      </c>
    </row>
    <row r="1971">
      <c r="A1971" s="90" t="n">
        <v>37781</v>
      </c>
      <c r="D1971" t="n">
        <v>1279.1</v>
      </c>
    </row>
    <row r="1972">
      <c r="A1972" s="90" t="n">
        <v>37788</v>
      </c>
      <c r="D1972" t="n">
        <v>1287.6</v>
      </c>
    </row>
    <row r="1973">
      <c r="A1973" s="90" t="n">
        <v>37795</v>
      </c>
      <c r="D1973" t="n">
        <v>1276.9</v>
      </c>
    </row>
    <row r="1974">
      <c r="A1974" s="90" t="n">
        <v>37802</v>
      </c>
      <c r="D1974" t="n">
        <v>1281.7</v>
      </c>
    </row>
    <row r="1975">
      <c r="A1975" s="90" t="n">
        <v>37803</v>
      </c>
      <c r="B1975" t="n">
        <v>700.9</v>
      </c>
      <c r="C1975" t="n">
        <v>3289.4</v>
      </c>
      <c r="E1975" t="n">
        <v>6042.7</v>
      </c>
      <c r="F1975" t="n">
        <v>1.905</v>
      </c>
    </row>
    <row r="1976">
      <c r="A1976" s="90" t="n">
        <v>37809</v>
      </c>
      <c r="D1976" t="n">
        <v>1276.4</v>
      </c>
    </row>
    <row r="1977">
      <c r="A1977" s="90" t="n">
        <v>37816</v>
      </c>
      <c r="D1977" t="n">
        <v>1289.1</v>
      </c>
    </row>
    <row r="1978">
      <c r="A1978" s="90" t="n">
        <v>37823</v>
      </c>
      <c r="D1978" t="n">
        <v>1292.1</v>
      </c>
    </row>
    <row r="1979">
      <c r="A1979" s="90" t="n">
        <v>37830</v>
      </c>
      <c r="D1979" t="n">
        <v>1286.4</v>
      </c>
    </row>
    <row r="1980">
      <c r="A1980" s="90" t="n">
        <v>37834</v>
      </c>
      <c r="B1980" t="n">
        <v>702.7</v>
      </c>
      <c r="C1980" t="n">
        <v>3306.7</v>
      </c>
      <c r="E1980" t="n">
        <v>6100.8</v>
      </c>
    </row>
    <row r="1981">
      <c r="A1981" s="90" t="n">
        <v>37837</v>
      </c>
      <c r="D1981" t="n">
        <v>1301.4</v>
      </c>
    </row>
    <row r="1982">
      <c r="A1982" s="90" t="n">
        <v>37844</v>
      </c>
      <c r="D1982" t="n">
        <v>1295.4</v>
      </c>
    </row>
    <row r="1983">
      <c r="A1983" s="90" t="n">
        <v>37851</v>
      </c>
      <c r="D1983" t="n">
        <v>1309.5</v>
      </c>
    </row>
    <row r="1984">
      <c r="A1984" s="90" t="n">
        <v>37858</v>
      </c>
      <c r="D1984" t="n">
        <v>1288.4</v>
      </c>
    </row>
    <row r="1985">
      <c r="A1985" s="90" t="n">
        <v>37865</v>
      </c>
      <c r="B1985" t="n">
        <v>700.8</v>
      </c>
      <c r="C1985" t="n">
        <v>3280.8</v>
      </c>
      <c r="D1985" t="n">
        <v>1288.4</v>
      </c>
      <c r="E1985" t="n">
        <v>6072.8</v>
      </c>
    </row>
    <row r="1986">
      <c r="A1986" s="90" t="n">
        <v>37872</v>
      </c>
      <c r="D1986" t="n">
        <v>1295.1</v>
      </c>
    </row>
    <row r="1987">
      <c r="A1987" s="90" t="n">
        <v>37879</v>
      </c>
      <c r="D1987" t="n">
        <v>1299.9</v>
      </c>
    </row>
    <row r="1988">
      <c r="A1988" s="90" t="n">
        <v>37886</v>
      </c>
      <c r="D1988" t="n">
        <v>1299.4</v>
      </c>
    </row>
    <row r="1989">
      <c r="A1989" s="90" t="n">
        <v>37893</v>
      </c>
      <c r="D1989" t="n">
        <v>1297.1</v>
      </c>
    </row>
    <row r="1990">
      <c r="A1990" s="90" t="n">
        <v>37895</v>
      </c>
      <c r="B1990" t="n">
        <v>701.9</v>
      </c>
      <c r="C1990" t="n">
        <v>3279.4</v>
      </c>
      <c r="E1990" t="n">
        <v>6063.6</v>
      </c>
      <c r="F1990" t="n">
        <v>1.94</v>
      </c>
    </row>
    <row r="1991">
      <c r="A1991" s="90" t="n">
        <v>37900</v>
      </c>
      <c r="D1991" t="n">
        <v>1285.8</v>
      </c>
    </row>
    <row r="1992">
      <c r="A1992" s="90" t="n">
        <v>37907</v>
      </c>
      <c r="D1992" t="n">
        <v>1297</v>
      </c>
    </row>
    <row r="1993">
      <c r="A1993" s="90" t="n">
        <v>37914</v>
      </c>
      <c r="D1993" t="n">
        <v>1297.8</v>
      </c>
    </row>
    <row r="1994">
      <c r="A1994" s="90" t="n">
        <v>37921</v>
      </c>
      <c r="D1994" t="n">
        <v>1298.2</v>
      </c>
    </row>
    <row r="1995">
      <c r="A1995" s="90" t="n">
        <v>37926</v>
      </c>
      <c r="B1995" t="n">
        <v>702.2</v>
      </c>
      <c r="C1995" t="n">
        <v>3280.6</v>
      </c>
      <c r="E1995" t="n">
        <v>6069.1</v>
      </c>
    </row>
    <row r="1996">
      <c r="A1996" s="90" t="n">
        <v>37928</v>
      </c>
      <c r="D1996" t="n">
        <v>1316.5</v>
      </c>
    </row>
    <row r="1997">
      <c r="A1997" s="90" t="n">
        <v>37935</v>
      </c>
      <c r="D1997" t="n">
        <v>1306.2</v>
      </c>
    </row>
    <row r="1998">
      <c r="A1998" s="90" t="n">
        <v>37942</v>
      </c>
      <c r="D1998" t="n">
        <v>1297.7</v>
      </c>
    </row>
    <row r="1999">
      <c r="A1999" s="90" t="n">
        <v>37949</v>
      </c>
      <c r="D1999" t="n">
        <v>1293</v>
      </c>
    </row>
    <row r="2000">
      <c r="A2000" s="90" t="n">
        <v>37956</v>
      </c>
      <c r="B2000" t="n">
        <v>704.2</v>
      </c>
      <c r="C2000" t="n">
        <v>3270.8</v>
      </c>
      <c r="D2000" t="n">
        <v>1290.7</v>
      </c>
      <c r="E2000" t="n">
        <v>6067.3</v>
      </c>
    </row>
    <row r="2001">
      <c r="A2001" s="90" t="n">
        <v>37963</v>
      </c>
      <c r="D2001" t="n">
        <v>1304.9</v>
      </c>
    </row>
    <row r="2002">
      <c r="A2002" s="90" t="n">
        <v>37970</v>
      </c>
      <c r="D2002" t="n">
        <v>1311.8</v>
      </c>
    </row>
    <row r="2003">
      <c r="A2003" s="90" t="n">
        <v>37977</v>
      </c>
      <c r="D2003" t="n">
        <v>1308.4</v>
      </c>
    </row>
    <row r="2004">
      <c r="A2004" s="90" t="n">
        <v>37984</v>
      </c>
      <c r="D2004" t="n">
        <v>1302.8</v>
      </c>
    </row>
    <row r="2005">
      <c r="A2005" s="90" t="n">
        <v>37987</v>
      </c>
      <c r="B2005" t="n">
        <v>701</v>
      </c>
      <c r="C2005" t="n">
        <v>3261.1</v>
      </c>
      <c r="E2005" t="n">
        <v>6075.5</v>
      </c>
      <c r="F2005" t="n">
        <v>1.95</v>
      </c>
    </row>
    <row r="2006">
      <c r="A2006" s="90" t="n">
        <v>37991</v>
      </c>
      <c r="D2006" t="n">
        <v>1303</v>
      </c>
    </row>
    <row r="2007">
      <c r="A2007" s="90" t="n">
        <v>37998</v>
      </c>
      <c r="D2007" t="n">
        <v>1300.4</v>
      </c>
    </row>
    <row r="2008">
      <c r="A2008" s="90" t="n">
        <v>38005</v>
      </c>
      <c r="D2008" t="n">
        <v>1307.5</v>
      </c>
    </row>
    <row r="2009">
      <c r="A2009" s="90" t="n">
        <v>38012</v>
      </c>
      <c r="D2009" t="n">
        <v>1307.9</v>
      </c>
    </row>
    <row r="2010">
      <c r="A2010" s="90" t="n">
        <v>38018</v>
      </c>
      <c r="B2010" t="n">
        <v>707.8</v>
      </c>
      <c r="C2010" t="n">
        <v>3274.9</v>
      </c>
      <c r="E2010" t="n">
        <v>6114.3</v>
      </c>
    </row>
    <row r="2011">
      <c r="A2011" s="90" t="n">
        <v>38019</v>
      </c>
      <c r="D2011" t="n">
        <v>1312.3</v>
      </c>
    </row>
    <row r="2012">
      <c r="A2012" s="90" t="n">
        <v>38026</v>
      </c>
      <c r="D2012" t="n">
        <v>1321</v>
      </c>
    </row>
    <row r="2013">
      <c r="A2013" s="90" t="n">
        <v>38033</v>
      </c>
      <c r="D2013" t="n">
        <v>1328.2</v>
      </c>
    </row>
    <row r="2014">
      <c r="A2014" s="90" t="n">
        <v>38040</v>
      </c>
      <c r="D2014" t="n">
        <v>1320.3</v>
      </c>
    </row>
    <row r="2015">
      <c r="A2015" s="90" t="n">
        <v>38047</v>
      </c>
      <c r="B2015" t="n">
        <v>710.2</v>
      </c>
      <c r="C2015" t="n">
        <v>3287.1</v>
      </c>
      <c r="D2015" t="n">
        <v>1318.4</v>
      </c>
      <c r="E2015" t="n">
        <v>6150.1</v>
      </c>
    </row>
    <row r="2016">
      <c r="A2016" s="90" t="n">
        <v>38054</v>
      </c>
      <c r="D2016" t="n">
        <v>1318.5</v>
      </c>
    </row>
    <row r="2017">
      <c r="A2017" s="90" t="n">
        <v>38061</v>
      </c>
      <c r="D2017" t="n">
        <v>1329.7</v>
      </c>
    </row>
    <row r="2018">
      <c r="A2018" s="90" t="n">
        <v>38068</v>
      </c>
      <c r="D2018" t="n">
        <v>1335.8</v>
      </c>
    </row>
    <row r="2019">
      <c r="A2019" s="90" t="n">
        <v>38075</v>
      </c>
      <c r="D2019" t="n">
        <v>1334.1</v>
      </c>
    </row>
    <row r="2020">
      <c r="A2020" s="90" t="n">
        <v>38078</v>
      </c>
      <c r="B2020" t="n">
        <v>711.2</v>
      </c>
      <c r="C2020" t="n">
        <v>3303.7</v>
      </c>
      <c r="E2020" t="n">
        <v>6191.2</v>
      </c>
      <c r="F2020" t="n">
        <v>1.94</v>
      </c>
    </row>
    <row r="2021">
      <c r="A2021" s="90" t="n">
        <v>38082</v>
      </c>
      <c r="D2021" t="n">
        <v>1321.9</v>
      </c>
    </row>
    <row r="2022">
      <c r="A2022" s="90" t="n">
        <v>38089</v>
      </c>
      <c r="D2022" t="n">
        <v>1330.1</v>
      </c>
    </row>
    <row r="2023">
      <c r="A2023" s="90" t="n">
        <v>38096</v>
      </c>
      <c r="D2023" t="n">
        <v>1327.1</v>
      </c>
    </row>
    <row r="2024">
      <c r="A2024" s="90" t="n">
        <v>38103</v>
      </c>
      <c r="D2024" t="n">
        <v>1334.6</v>
      </c>
    </row>
    <row r="2025">
      <c r="A2025" s="90" t="n">
        <v>38108</v>
      </c>
      <c r="B2025" t="n">
        <v>708.4</v>
      </c>
      <c r="C2025" t="n">
        <v>3330.6</v>
      </c>
      <c r="E2025" t="n">
        <v>6268.1</v>
      </c>
    </row>
    <row r="2026">
      <c r="A2026" s="90" t="n">
        <v>38110</v>
      </c>
      <c r="D2026" t="n">
        <v>1357.7</v>
      </c>
    </row>
    <row r="2027">
      <c r="A2027" s="90" t="n">
        <v>38117</v>
      </c>
      <c r="D2027" t="n">
        <v>1328</v>
      </c>
    </row>
    <row r="2028">
      <c r="A2028" s="90" t="n">
        <v>38124</v>
      </c>
      <c r="D2028" t="n">
        <v>1336</v>
      </c>
    </row>
    <row r="2029">
      <c r="A2029" s="90" t="n">
        <v>38131</v>
      </c>
      <c r="D2029" t="n">
        <v>1335.6</v>
      </c>
    </row>
    <row r="2030">
      <c r="A2030" s="90" t="n">
        <v>38138</v>
      </c>
      <c r="D2030" t="n">
        <v>1323.1</v>
      </c>
    </row>
    <row r="2031">
      <c r="A2031" s="90" t="n">
        <v>38139</v>
      </c>
      <c r="B2031" t="n">
        <v>710.8</v>
      </c>
      <c r="C2031" t="n">
        <v>3319.5</v>
      </c>
      <c r="E2031" t="n">
        <v>6270.5</v>
      </c>
    </row>
    <row r="2032">
      <c r="A2032" s="90" t="n">
        <v>38145</v>
      </c>
      <c r="D2032" t="n">
        <v>1327.8</v>
      </c>
    </row>
    <row r="2033">
      <c r="A2033" s="90" t="n">
        <v>38152</v>
      </c>
      <c r="D2033" t="n">
        <v>1345.7</v>
      </c>
    </row>
    <row r="2034">
      <c r="A2034" s="90" t="n">
        <v>38159</v>
      </c>
      <c r="D2034" t="n">
        <v>1348</v>
      </c>
    </row>
    <row r="2035">
      <c r="A2035" s="90" t="n">
        <v>38166</v>
      </c>
      <c r="D2035" t="n">
        <v>1353</v>
      </c>
    </row>
    <row r="2036">
      <c r="A2036" s="90" t="n">
        <v>38169</v>
      </c>
      <c r="B2036" t="n">
        <v>709</v>
      </c>
      <c r="C2036" t="n">
        <v>3323.3</v>
      </c>
      <c r="E2036" t="n">
        <v>6284.3</v>
      </c>
      <c r="F2036" t="n">
        <v>1.949</v>
      </c>
    </row>
    <row r="2037">
      <c r="A2037" s="90" t="n">
        <v>38173</v>
      </c>
      <c r="D2037" t="n">
        <v>1330.1</v>
      </c>
    </row>
    <row r="2038">
      <c r="A2038" s="90" t="n">
        <v>38180</v>
      </c>
      <c r="D2038" t="n">
        <v>1341.1</v>
      </c>
    </row>
    <row r="2039">
      <c r="A2039" s="90" t="n">
        <v>38187</v>
      </c>
      <c r="D2039" t="n">
        <v>1337.2</v>
      </c>
    </row>
    <row r="2040">
      <c r="A2040" s="90" t="n">
        <v>38194</v>
      </c>
      <c r="D2040" t="n">
        <v>1347.6</v>
      </c>
    </row>
    <row r="2041">
      <c r="A2041" s="90" t="n">
        <v>38200</v>
      </c>
      <c r="B2041" t="n">
        <v>715.8</v>
      </c>
      <c r="C2041" t="n">
        <v>3335.4</v>
      </c>
      <c r="E2041" t="n">
        <v>6310.6</v>
      </c>
    </row>
    <row r="2042">
      <c r="A2042" s="90" t="n">
        <v>38201</v>
      </c>
      <c r="D2042" t="n">
        <v>1346.8</v>
      </c>
    </row>
    <row r="2043">
      <c r="A2043" s="90" t="n">
        <v>38208</v>
      </c>
      <c r="D2043" t="n">
        <v>1352</v>
      </c>
    </row>
    <row r="2044">
      <c r="A2044" s="90" t="n">
        <v>38215</v>
      </c>
      <c r="D2044" t="n">
        <v>1355.2</v>
      </c>
    </row>
    <row r="2045">
      <c r="A2045" s="90" t="n">
        <v>38222</v>
      </c>
      <c r="D2045" t="n">
        <v>1362.5</v>
      </c>
    </row>
    <row r="2046">
      <c r="A2046" s="90" t="n">
        <v>38229</v>
      </c>
      <c r="D2046" t="n">
        <v>1351.4</v>
      </c>
    </row>
    <row r="2047">
      <c r="A2047" s="90" t="n">
        <v>38231</v>
      </c>
      <c r="B2047" t="n">
        <v>717.9</v>
      </c>
      <c r="C2047" t="n">
        <v>3343.2</v>
      </c>
      <c r="E2047" t="n">
        <v>6345.3</v>
      </c>
    </row>
    <row r="2048">
      <c r="A2048" s="90" t="n">
        <v>38236</v>
      </c>
      <c r="D2048" t="n">
        <v>1342.3</v>
      </c>
    </row>
    <row r="2049">
      <c r="A2049" s="90" t="n">
        <v>38243</v>
      </c>
      <c r="D2049" t="n">
        <v>1359.9</v>
      </c>
    </row>
    <row r="2050">
      <c r="A2050" s="90" t="n">
        <v>38250</v>
      </c>
      <c r="D2050" t="n">
        <v>1372.2</v>
      </c>
    </row>
    <row r="2051">
      <c r="A2051" s="90" t="n">
        <v>38257</v>
      </c>
      <c r="D2051" t="n">
        <v>1372</v>
      </c>
    </row>
    <row r="2052">
      <c r="A2052" s="90" t="n">
        <v>38261</v>
      </c>
      <c r="B2052" t="n">
        <v>714</v>
      </c>
      <c r="C2052" t="n">
        <v>3340.3</v>
      </c>
      <c r="E2052" t="n">
        <v>6373.3</v>
      </c>
      <c r="F2052" t="n">
        <v>1.958</v>
      </c>
    </row>
    <row r="2053">
      <c r="A2053" s="90" t="n">
        <v>38264</v>
      </c>
      <c r="D2053" t="n">
        <v>1364.4</v>
      </c>
    </row>
    <row r="2054">
      <c r="A2054" s="90" t="n">
        <v>38271</v>
      </c>
      <c r="D2054" t="n">
        <v>1365.5</v>
      </c>
    </row>
    <row r="2055">
      <c r="A2055" s="90" t="n">
        <v>38278</v>
      </c>
      <c r="D2055" t="n">
        <v>1359.7</v>
      </c>
    </row>
    <row r="2056">
      <c r="A2056" s="90" t="n">
        <v>38285</v>
      </c>
      <c r="D2056" t="n">
        <v>1368.5</v>
      </c>
    </row>
    <row r="2057">
      <c r="A2057" s="90" t="n">
        <v>38292</v>
      </c>
      <c r="B2057" t="n">
        <v>716.8</v>
      </c>
      <c r="C2057" t="n">
        <v>3338.4</v>
      </c>
      <c r="D2057" t="n">
        <v>1352.8</v>
      </c>
      <c r="E2057" t="n">
        <v>6399.8</v>
      </c>
    </row>
    <row r="2058">
      <c r="A2058" s="90" t="n">
        <v>38299</v>
      </c>
      <c r="D2058" t="n">
        <v>1363.9</v>
      </c>
    </row>
    <row r="2059">
      <c r="A2059" s="90" t="n">
        <v>38306</v>
      </c>
      <c r="D2059" t="n">
        <v>1371.2</v>
      </c>
    </row>
    <row r="2060">
      <c r="A2060" s="90" t="n">
        <v>38313</v>
      </c>
      <c r="D2060" t="n">
        <v>1379.2</v>
      </c>
    </row>
    <row r="2061">
      <c r="A2061" s="90" t="n">
        <v>38320</v>
      </c>
      <c r="D2061" t="n">
        <v>1387.5</v>
      </c>
    </row>
    <row r="2062">
      <c r="A2062" s="90" t="n">
        <v>38322</v>
      </c>
      <c r="B2062" t="n">
        <v>717.8</v>
      </c>
      <c r="C2062" t="n">
        <v>3348.1</v>
      </c>
      <c r="E2062" t="n">
        <v>6418.3</v>
      </c>
    </row>
    <row r="2063">
      <c r="A2063" s="90" t="n">
        <v>38327</v>
      </c>
      <c r="D2063" t="n">
        <v>1359.6</v>
      </c>
    </row>
    <row r="2064">
      <c r="A2064" s="90" t="n">
        <v>38334</v>
      </c>
      <c r="D2064" t="n">
        <v>1369.7</v>
      </c>
    </row>
    <row r="2065">
      <c r="A2065" s="90" t="n">
        <v>38341</v>
      </c>
      <c r="D2065" t="n">
        <v>1380</v>
      </c>
    </row>
    <row r="2066">
      <c r="A2066" s="90" t="n">
        <v>38348</v>
      </c>
      <c r="D2066" t="n">
        <v>1387.5</v>
      </c>
    </row>
    <row r="2067">
      <c r="A2067" s="90" t="n">
        <v>38353</v>
      </c>
      <c r="B2067" t="n">
        <v>713.5</v>
      </c>
      <c r="C2067" t="n">
        <v>3353.1</v>
      </c>
      <c r="E2067" t="n">
        <v>6424.5</v>
      </c>
      <c r="F2067" t="n">
        <v>1.985</v>
      </c>
    </row>
    <row r="2068">
      <c r="A2068" s="90" t="n">
        <v>38355</v>
      </c>
      <c r="D2068" t="n">
        <v>1373.7</v>
      </c>
    </row>
    <row r="2069">
      <c r="A2069" s="90" t="n">
        <v>38362</v>
      </c>
      <c r="D2069" t="n">
        <v>1347.5</v>
      </c>
    </row>
    <row r="2070">
      <c r="A2070" s="90" t="n">
        <v>38369</v>
      </c>
      <c r="D2070" t="n">
        <v>1348.5</v>
      </c>
    </row>
    <row r="2071">
      <c r="A2071" s="90" t="n">
        <v>38376</v>
      </c>
      <c r="D2071" t="n">
        <v>1362.7</v>
      </c>
    </row>
    <row r="2072">
      <c r="A2072" s="90" t="n">
        <v>38383</v>
      </c>
      <c r="D2072" t="n">
        <v>1364.9</v>
      </c>
    </row>
    <row r="2073">
      <c r="A2073" s="90" t="n">
        <v>38384</v>
      </c>
      <c r="B2073" t="n">
        <v>712.6</v>
      </c>
      <c r="C2073" t="n">
        <v>3343.5</v>
      </c>
      <c r="E2073" t="n">
        <v>6432.8</v>
      </c>
    </row>
    <row r="2074">
      <c r="A2074" s="90" t="n">
        <v>38390</v>
      </c>
      <c r="D2074" t="n">
        <v>1353.7</v>
      </c>
    </row>
    <row r="2075">
      <c r="A2075" s="90" t="n">
        <v>38397</v>
      </c>
      <c r="D2075" t="n">
        <v>1368.7</v>
      </c>
    </row>
    <row r="2076">
      <c r="A2076" s="90" t="n">
        <v>38404</v>
      </c>
      <c r="D2076" t="n">
        <v>1381.5</v>
      </c>
    </row>
    <row r="2077">
      <c r="A2077" s="90" t="n">
        <v>38411</v>
      </c>
      <c r="D2077" t="n">
        <v>1380.5</v>
      </c>
    </row>
    <row r="2078">
      <c r="A2078" s="90" t="n">
        <v>38412</v>
      </c>
      <c r="B2078" t="n">
        <v>709.9</v>
      </c>
      <c r="C2078" t="n">
        <v>3336</v>
      </c>
      <c r="E2078" t="n">
        <v>6441.9</v>
      </c>
    </row>
    <row r="2079">
      <c r="A2079" s="90" t="n">
        <v>38418</v>
      </c>
      <c r="D2079" t="n">
        <v>1362.8</v>
      </c>
    </row>
    <row r="2080">
      <c r="A2080" s="90" t="n">
        <v>38425</v>
      </c>
      <c r="D2080" t="n">
        <v>1370.1</v>
      </c>
    </row>
    <row r="2081">
      <c r="A2081" s="90" t="n">
        <v>38432</v>
      </c>
      <c r="D2081" t="n">
        <v>1376.3</v>
      </c>
    </row>
    <row r="2082">
      <c r="A2082" s="90" t="n">
        <v>38439</v>
      </c>
      <c r="D2082" t="n">
        <v>1378.4</v>
      </c>
    </row>
    <row r="2083">
      <c r="A2083" s="90" t="n">
        <v>38443</v>
      </c>
      <c r="B2083" t="n">
        <v>701.3</v>
      </c>
      <c r="C2083" t="n">
        <v>3332.9</v>
      </c>
      <c r="E2083" t="n">
        <v>6455.9</v>
      </c>
      <c r="F2083" t="n">
        <v>1.995</v>
      </c>
    </row>
    <row r="2084">
      <c r="A2084" s="90" t="n">
        <v>38446</v>
      </c>
      <c r="D2084" t="n">
        <v>1361.1</v>
      </c>
    </row>
    <row r="2085">
      <c r="A2085" s="90" t="n">
        <v>38453</v>
      </c>
      <c r="D2085" t="n">
        <v>1355.3</v>
      </c>
    </row>
    <row r="2086">
      <c r="A2086" s="90" t="n">
        <v>38460</v>
      </c>
      <c r="D2086" t="n">
        <v>1355.1</v>
      </c>
    </row>
    <row r="2087">
      <c r="A2087" s="90" t="n">
        <v>38467</v>
      </c>
      <c r="D2087" t="n">
        <v>1361.7</v>
      </c>
    </row>
    <row r="2088">
      <c r="A2088" s="90" t="n">
        <v>38473</v>
      </c>
      <c r="B2088" t="n">
        <v>705.6</v>
      </c>
      <c r="C2088" t="n">
        <v>3343.6</v>
      </c>
      <c r="E2088" t="n">
        <v>6473.3</v>
      </c>
    </row>
    <row r="2089">
      <c r="A2089" s="90" t="n">
        <v>38474</v>
      </c>
      <c r="D2089" t="n">
        <v>1360.4</v>
      </c>
    </row>
    <row r="2090">
      <c r="A2090" s="90" t="n">
        <v>38481</v>
      </c>
      <c r="D2090" t="n">
        <v>1361.8</v>
      </c>
    </row>
    <row r="2091">
      <c r="A2091" s="90" t="n">
        <v>38488</v>
      </c>
      <c r="D2091" t="n">
        <v>1357.6</v>
      </c>
    </row>
    <row r="2092">
      <c r="A2092" s="90" t="n">
        <v>38495</v>
      </c>
      <c r="D2092" t="n">
        <v>1367.4</v>
      </c>
    </row>
    <row r="2093">
      <c r="A2093" s="90" t="n">
        <v>38502</v>
      </c>
      <c r="D2093" t="n">
        <v>1379.4</v>
      </c>
    </row>
    <row r="2094">
      <c r="A2094" s="90" t="n">
        <v>38504</v>
      </c>
      <c r="B2094" t="n">
        <v>712.5</v>
      </c>
      <c r="C2094" t="n">
        <v>3358.7</v>
      </c>
      <c r="E2094" t="n">
        <v>6505.8</v>
      </c>
    </row>
    <row r="2095">
      <c r="A2095" s="90" t="n">
        <v>38509</v>
      </c>
      <c r="D2095" t="n">
        <v>1361.7</v>
      </c>
    </row>
    <row r="2096">
      <c r="A2096" s="90" t="n">
        <v>38516</v>
      </c>
      <c r="D2096" t="n">
        <v>1372.6</v>
      </c>
    </row>
    <row r="2097">
      <c r="A2097" s="90" t="n">
        <v>38523</v>
      </c>
      <c r="D2097" t="n">
        <v>1389.9</v>
      </c>
    </row>
    <row r="2098">
      <c r="A2098" s="90" t="n">
        <v>38530</v>
      </c>
      <c r="D2098" t="n">
        <v>1395.5</v>
      </c>
    </row>
    <row r="2099">
      <c r="A2099" s="90" t="n">
        <v>38534</v>
      </c>
      <c r="B2099" t="n">
        <v>702.4</v>
      </c>
      <c r="C2099" t="n">
        <v>3354.2</v>
      </c>
      <c r="E2099" t="n">
        <v>6537.4</v>
      </c>
      <c r="F2099" t="n">
        <v>2</v>
      </c>
    </row>
    <row r="2100">
      <c r="A2100" s="90" t="n">
        <v>38537</v>
      </c>
      <c r="D2100" t="n">
        <v>1375.6</v>
      </c>
    </row>
    <row r="2101">
      <c r="A2101" s="90" t="n">
        <v>38544</v>
      </c>
      <c r="D2101" t="n">
        <v>1364.8</v>
      </c>
    </row>
    <row r="2102">
      <c r="A2102" s="90" t="n">
        <v>38551</v>
      </c>
      <c r="D2102" t="n">
        <v>1364.4</v>
      </c>
    </row>
    <row r="2103">
      <c r="A2103" s="90" t="n">
        <v>38558</v>
      </c>
      <c r="D2103" t="n">
        <v>1379.6</v>
      </c>
    </row>
    <row r="2104">
      <c r="A2104" s="90" t="n">
        <v>38565</v>
      </c>
      <c r="B2104" t="n">
        <v>702.6</v>
      </c>
      <c r="C2104" t="n">
        <v>3350.4</v>
      </c>
      <c r="D2104" t="n">
        <v>1362.4</v>
      </c>
      <c r="E2104" t="n">
        <v>6570.2</v>
      </c>
    </row>
    <row r="2105">
      <c r="A2105" s="90" t="n">
        <v>38572</v>
      </c>
      <c r="D2105" t="n">
        <v>1366.5</v>
      </c>
    </row>
    <row r="2106">
      <c r="A2106" s="90" t="n">
        <v>38579</v>
      </c>
      <c r="D2106" t="n">
        <v>1375.6</v>
      </c>
    </row>
    <row r="2107">
      <c r="A2107" s="90" t="n">
        <v>38586</v>
      </c>
      <c r="D2107" t="n">
        <v>1388.5</v>
      </c>
    </row>
    <row r="2108">
      <c r="A2108" s="90" t="n">
        <v>38593</v>
      </c>
      <c r="D2108" t="n">
        <v>1386.5</v>
      </c>
    </row>
    <row r="2109">
      <c r="A2109" s="90" t="n">
        <v>38596</v>
      </c>
      <c r="B2109" t="n">
        <v>693.5</v>
      </c>
      <c r="C2109" t="n">
        <v>3322.1</v>
      </c>
      <c r="E2109" t="n">
        <v>6604.3</v>
      </c>
    </row>
    <row r="2110">
      <c r="A2110" s="90" t="n">
        <v>38600</v>
      </c>
      <c r="D2110" t="n">
        <v>1364.4</v>
      </c>
    </row>
    <row r="2111">
      <c r="A2111" s="90" t="n">
        <v>38607</v>
      </c>
      <c r="D2111" t="n">
        <v>1366.9</v>
      </c>
    </row>
    <row r="2112">
      <c r="A2112" s="90" t="n">
        <v>38614</v>
      </c>
      <c r="D2112" t="n">
        <v>1380.1</v>
      </c>
    </row>
    <row r="2113">
      <c r="A2113" s="90" t="n">
        <v>38621</v>
      </c>
      <c r="D2113" t="n">
        <v>1388.5</v>
      </c>
    </row>
    <row r="2114">
      <c r="A2114" s="90" t="n">
        <v>38626</v>
      </c>
      <c r="B2114" t="n">
        <v>691.4</v>
      </c>
      <c r="C2114" t="n">
        <v>3334.3</v>
      </c>
      <c r="E2114" t="n">
        <v>6638.6</v>
      </c>
      <c r="F2114" t="n">
        <v>2.001</v>
      </c>
    </row>
    <row r="2115">
      <c r="A2115" s="90" t="n">
        <v>38628</v>
      </c>
      <c r="D2115" t="n">
        <v>1396.7</v>
      </c>
    </row>
    <row r="2116">
      <c r="A2116" s="90" t="n">
        <v>38635</v>
      </c>
      <c r="D2116" t="n">
        <v>1372.5</v>
      </c>
    </row>
    <row r="2117">
      <c r="A2117" s="90" t="n">
        <v>38642</v>
      </c>
      <c r="D2117" t="n">
        <v>1365.5</v>
      </c>
    </row>
    <row r="2118">
      <c r="A2118" s="90" t="n">
        <v>38649</v>
      </c>
      <c r="D2118" t="n">
        <v>1382</v>
      </c>
    </row>
    <row r="2119">
      <c r="A2119" s="90" t="n">
        <v>38656</v>
      </c>
      <c r="D2119" t="n">
        <v>1377.3</v>
      </c>
    </row>
    <row r="2120">
      <c r="A2120" s="90" t="n">
        <v>38657</v>
      </c>
      <c r="B2120" t="n">
        <v>694.6</v>
      </c>
      <c r="C2120" t="n">
        <v>3359.4</v>
      </c>
      <c r="E2120" t="n">
        <v>6655</v>
      </c>
    </row>
    <row r="2121">
      <c r="A2121" s="90" t="n">
        <v>38663</v>
      </c>
      <c r="D2121" t="n">
        <v>1360.5</v>
      </c>
    </row>
    <row r="2122">
      <c r="A2122" s="90" t="n">
        <v>38670</v>
      </c>
      <c r="D2122" t="n">
        <v>1370.9</v>
      </c>
    </row>
    <row r="2123">
      <c r="A2123" s="90" t="n">
        <v>38677</v>
      </c>
      <c r="D2123" t="n">
        <v>1388</v>
      </c>
    </row>
    <row r="2124">
      <c r="A2124" s="90" t="n">
        <v>38684</v>
      </c>
      <c r="D2124" t="n">
        <v>1386.3</v>
      </c>
    </row>
    <row r="2125">
      <c r="A2125" s="90" t="n">
        <v>38687</v>
      </c>
      <c r="B2125" t="n">
        <v>693.7</v>
      </c>
      <c r="C2125" t="n">
        <v>3373</v>
      </c>
      <c r="E2125" t="n">
        <v>6681.9</v>
      </c>
    </row>
    <row r="2126">
      <c r="A2126" s="90" t="n">
        <v>38691</v>
      </c>
      <c r="D2126" t="n">
        <v>1371.5</v>
      </c>
    </row>
    <row r="2127">
      <c r="A2127" s="90" t="n">
        <v>38698</v>
      </c>
      <c r="D2127" t="n">
        <v>1368</v>
      </c>
    </row>
    <row r="2128">
      <c r="A2128" s="90" t="n">
        <v>38705</v>
      </c>
      <c r="D2128" t="n">
        <v>1373.1</v>
      </c>
    </row>
    <row r="2129">
      <c r="A2129" s="90" t="n">
        <v>38712</v>
      </c>
      <c r="D2129" t="n">
        <v>1383</v>
      </c>
    </row>
    <row r="2130">
      <c r="A2130" s="90" t="n">
        <v>38718</v>
      </c>
      <c r="B2130" t="n">
        <v>692.2</v>
      </c>
      <c r="C2130" t="n">
        <v>3374</v>
      </c>
      <c r="E2130" t="n">
        <v>6724.3</v>
      </c>
      <c r="F2130" t="n">
        <v>2.016</v>
      </c>
    </row>
    <row r="2131">
      <c r="A2131" s="90" t="n">
        <v>38719</v>
      </c>
      <c r="D2131" t="n">
        <v>1375.5</v>
      </c>
    </row>
    <row r="2132">
      <c r="A2132" s="90" t="n">
        <v>38726</v>
      </c>
      <c r="D2132" t="n">
        <v>1372</v>
      </c>
    </row>
    <row r="2133">
      <c r="A2133" s="90" t="n">
        <v>38733</v>
      </c>
      <c r="D2133" t="n">
        <v>1375.8</v>
      </c>
    </row>
    <row r="2134">
      <c r="A2134" s="90" t="n">
        <v>38740</v>
      </c>
      <c r="D2134" t="n">
        <v>1383.1</v>
      </c>
    </row>
    <row r="2135">
      <c r="A2135" s="90" t="n">
        <v>38747</v>
      </c>
      <c r="D2135" t="n">
        <v>1389.8</v>
      </c>
    </row>
    <row r="2136">
      <c r="A2136" s="90" t="n">
        <v>38749</v>
      </c>
      <c r="B2136" t="n">
        <v>691.3</v>
      </c>
      <c r="C2136" t="n">
        <v>3384.5</v>
      </c>
      <c r="E2136" t="n">
        <v>6748.6</v>
      </c>
    </row>
    <row r="2137">
      <c r="A2137" s="90" t="n">
        <v>38754</v>
      </c>
      <c r="D2137" t="n">
        <v>1369.2</v>
      </c>
    </row>
    <row r="2138">
      <c r="A2138" s="90" t="n">
        <v>38761</v>
      </c>
      <c r="D2138" t="n">
        <v>1368.6</v>
      </c>
    </row>
    <row r="2139">
      <c r="A2139" s="90" t="n">
        <v>38768</v>
      </c>
      <c r="D2139" t="n">
        <v>1383.3</v>
      </c>
    </row>
    <row r="2140">
      <c r="A2140" s="90" t="n">
        <v>38775</v>
      </c>
      <c r="D2140" t="n">
        <v>1393</v>
      </c>
    </row>
    <row r="2141">
      <c r="A2141" s="90" t="n">
        <v>38777</v>
      </c>
      <c r="B2141" t="n">
        <v>692.6</v>
      </c>
      <c r="C2141" t="n">
        <v>3386.5</v>
      </c>
      <c r="E2141" t="n">
        <v>6762.9</v>
      </c>
    </row>
    <row r="2142">
      <c r="A2142" s="90" t="n">
        <v>38782</v>
      </c>
      <c r="D2142" t="n">
        <v>1366.2</v>
      </c>
    </row>
    <row r="2143">
      <c r="A2143" s="90" t="n">
        <v>38789</v>
      </c>
      <c r="D2143" t="n">
        <v>1371</v>
      </c>
    </row>
    <row r="2144">
      <c r="A2144" s="90" t="n">
        <v>38796</v>
      </c>
      <c r="D2144" t="n">
        <v>1387.9</v>
      </c>
    </row>
    <row r="2145">
      <c r="A2145" s="90" t="n">
        <v>38803</v>
      </c>
      <c r="D2145" t="n">
        <v>1394.8</v>
      </c>
    </row>
    <row r="2146">
      <c r="A2146" s="90" t="n">
        <v>38808</v>
      </c>
      <c r="B2146" t="n">
        <v>688.3</v>
      </c>
      <c r="C2146" t="n">
        <v>3388.2</v>
      </c>
      <c r="E2146" t="n">
        <v>6800.1</v>
      </c>
      <c r="F2146" t="n">
        <v>2.017</v>
      </c>
    </row>
    <row r="2147">
      <c r="A2147" s="90" t="n">
        <v>38810</v>
      </c>
      <c r="D2147" t="n">
        <v>1401.4</v>
      </c>
    </row>
    <row r="2148">
      <c r="A2148" s="90" t="n">
        <v>38817</v>
      </c>
      <c r="D2148" t="n">
        <v>1375.7</v>
      </c>
    </row>
    <row r="2149">
      <c r="A2149" s="90" t="n">
        <v>38824</v>
      </c>
      <c r="D2149" t="n">
        <v>1379.4</v>
      </c>
    </row>
    <row r="2150">
      <c r="A2150" s="90" t="n">
        <v>38831</v>
      </c>
      <c r="D2150" t="n">
        <v>1388.1</v>
      </c>
    </row>
    <row r="2151">
      <c r="A2151" s="90" t="n">
        <v>38838</v>
      </c>
      <c r="B2151" t="n">
        <v>689.1</v>
      </c>
      <c r="C2151" t="n">
        <v>3381.5</v>
      </c>
      <c r="D2151" t="n">
        <v>1372.5</v>
      </c>
      <c r="E2151" t="n">
        <v>6806.9</v>
      </c>
    </row>
    <row r="2152">
      <c r="A2152" s="90" t="n">
        <v>38845</v>
      </c>
      <c r="D2152" t="n">
        <v>1373.8</v>
      </c>
    </row>
    <row r="2153">
      <c r="A2153" s="90" t="n">
        <v>38852</v>
      </c>
      <c r="D2153" t="n">
        <v>1389.4</v>
      </c>
    </row>
    <row r="2154">
      <c r="A2154" s="90" t="n">
        <v>38859</v>
      </c>
      <c r="D2154" t="n">
        <v>1394.8</v>
      </c>
    </row>
    <row r="2155">
      <c r="A2155" s="90" t="n">
        <v>38866</v>
      </c>
      <c r="D2155" t="n">
        <v>1397.9</v>
      </c>
    </row>
    <row r="2156">
      <c r="A2156" s="90" t="n">
        <v>38869</v>
      </c>
      <c r="B2156" t="n">
        <v>681.6</v>
      </c>
      <c r="C2156" t="n">
        <v>3391.9</v>
      </c>
      <c r="E2156" t="n">
        <v>6844.9</v>
      </c>
    </row>
    <row r="2157">
      <c r="A2157" s="90" t="n">
        <v>38873</v>
      </c>
      <c r="D2157" t="n">
        <v>1369.1</v>
      </c>
    </row>
    <row r="2158">
      <c r="A2158" s="90" t="n">
        <v>38880</v>
      </c>
      <c r="D2158" t="n">
        <v>1367.7</v>
      </c>
    </row>
    <row r="2159">
      <c r="A2159" s="90" t="n">
        <v>38887</v>
      </c>
      <c r="D2159" t="n">
        <v>1370.9</v>
      </c>
    </row>
    <row r="2160">
      <c r="A2160" s="90" t="n">
        <v>38894</v>
      </c>
      <c r="D2160" t="n">
        <v>1383.6</v>
      </c>
    </row>
    <row r="2161">
      <c r="A2161" s="90" t="n">
        <v>38899</v>
      </c>
      <c r="B2161" t="n">
        <v>676.4</v>
      </c>
      <c r="C2161" t="n">
        <v>3393.9</v>
      </c>
      <c r="E2161" t="n">
        <v>6886.3</v>
      </c>
      <c r="F2161" t="n">
        <v>2.006</v>
      </c>
    </row>
    <row r="2162">
      <c r="A2162" s="90" t="n">
        <v>38901</v>
      </c>
      <c r="D2162" t="n">
        <v>1390.5</v>
      </c>
    </row>
    <row r="2163">
      <c r="A2163" s="90" t="n">
        <v>38908</v>
      </c>
      <c r="D2163" t="n">
        <v>1372.4</v>
      </c>
    </row>
    <row r="2164">
      <c r="A2164" s="90" t="n">
        <v>38915</v>
      </c>
      <c r="D2164" t="n">
        <v>1359.2</v>
      </c>
    </row>
    <row r="2165">
      <c r="A2165" s="90" t="n">
        <v>38922</v>
      </c>
      <c r="D2165" t="n">
        <v>1377.5</v>
      </c>
    </row>
    <row r="2166">
      <c r="A2166" s="90" t="n">
        <v>38929</v>
      </c>
      <c r="D2166" t="n">
        <v>1372.9</v>
      </c>
    </row>
    <row r="2167">
      <c r="A2167" s="90" t="n">
        <v>38930</v>
      </c>
      <c r="B2167" t="n">
        <v>673.4</v>
      </c>
      <c r="C2167" t="n">
        <v>3394.1</v>
      </c>
      <c r="E2167" t="n">
        <v>6917.1</v>
      </c>
    </row>
    <row r="2168">
      <c r="A2168" s="90" t="n">
        <v>38936</v>
      </c>
      <c r="D2168" t="n">
        <v>1357.2</v>
      </c>
    </row>
    <row r="2169">
      <c r="A2169" s="90" t="n">
        <v>38943</v>
      </c>
      <c r="D2169" t="n">
        <v>1364.8</v>
      </c>
    </row>
    <row r="2170">
      <c r="A2170" s="90" t="n">
        <v>38950</v>
      </c>
      <c r="D2170" t="n">
        <v>1382.8</v>
      </c>
    </row>
    <row r="2171">
      <c r="A2171" s="90" t="n">
        <v>38957</v>
      </c>
      <c r="D2171" t="n">
        <v>1384</v>
      </c>
    </row>
    <row r="2172">
      <c r="A2172" s="90" t="n">
        <v>38961</v>
      </c>
      <c r="B2172" t="n">
        <v>672.8</v>
      </c>
      <c r="C2172" t="n">
        <v>3424.2</v>
      </c>
      <c r="E2172" t="n">
        <v>6944.2</v>
      </c>
    </row>
    <row r="2173">
      <c r="A2173" s="90" t="n">
        <v>38964</v>
      </c>
      <c r="D2173" t="n">
        <v>1373.8</v>
      </c>
    </row>
    <row r="2174">
      <c r="A2174" s="90" t="n">
        <v>38971</v>
      </c>
      <c r="D2174" t="n">
        <v>1365.4</v>
      </c>
    </row>
    <row r="2175">
      <c r="A2175" s="90" t="n">
        <v>38978</v>
      </c>
      <c r="D2175" t="n">
        <v>1357.6</v>
      </c>
    </row>
    <row r="2176">
      <c r="A2176" s="90" t="n">
        <v>38985</v>
      </c>
      <c r="D2176" t="n">
        <v>1364.9</v>
      </c>
    </row>
    <row r="2177">
      <c r="A2177" s="90" t="n">
        <v>38991</v>
      </c>
      <c r="B2177" t="n">
        <v>678.7</v>
      </c>
      <c r="C2177" t="n">
        <v>3463.7</v>
      </c>
      <c r="E2177" t="n">
        <v>6993.3</v>
      </c>
      <c r="F2177" t="n">
        <v>1.997</v>
      </c>
    </row>
    <row r="2178">
      <c r="A2178" s="90" t="n">
        <v>38992</v>
      </c>
      <c r="D2178" t="n">
        <v>1364.3</v>
      </c>
    </row>
    <row r="2179">
      <c r="A2179" s="90" t="n">
        <v>38999</v>
      </c>
      <c r="D2179" t="n">
        <v>1368.1</v>
      </c>
    </row>
    <row r="2180">
      <c r="A2180" s="90" t="n">
        <v>39006</v>
      </c>
      <c r="D2180" t="n">
        <v>1360.6</v>
      </c>
    </row>
    <row r="2181">
      <c r="A2181" s="90" t="n">
        <v>39013</v>
      </c>
      <c r="D2181" t="n">
        <v>1380.3</v>
      </c>
    </row>
    <row r="2182">
      <c r="A2182" s="90" t="n">
        <v>39020</v>
      </c>
      <c r="D2182" t="n">
        <v>1376.4</v>
      </c>
    </row>
    <row r="2183">
      <c r="A2183" s="90" t="n">
        <v>39022</v>
      </c>
      <c r="B2183" t="n">
        <v>678.6</v>
      </c>
      <c r="C2183" t="n">
        <v>3479.4</v>
      </c>
      <c r="E2183" t="n">
        <v>7028.4</v>
      </c>
    </row>
    <row r="2184">
      <c r="A2184" s="90" t="n">
        <v>39027</v>
      </c>
      <c r="D2184" t="n">
        <v>1351.1</v>
      </c>
    </row>
    <row r="2185">
      <c r="A2185" s="90" t="n">
        <v>39034</v>
      </c>
      <c r="D2185" t="n">
        <v>1361.3</v>
      </c>
    </row>
    <row r="2186">
      <c r="A2186" s="90" t="n">
        <v>39041</v>
      </c>
      <c r="D2186" t="n">
        <v>1380.2</v>
      </c>
    </row>
    <row r="2187">
      <c r="A2187" s="90" t="n">
        <v>39048</v>
      </c>
      <c r="D2187" t="n">
        <v>1386.4</v>
      </c>
    </row>
    <row r="2188">
      <c r="A2188" s="90" t="n">
        <v>39052</v>
      </c>
      <c r="B2188" t="n">
        <v>672.9</v>
      </c>
      <c r="C2188" t="n">
        <v>3481.8</v>
      </c>
      <c r="E2188" t="n">
        <v>7071.6</v>
      </c>
    </row>
    <row r="2189">
      <c r="A2189" s="90" t="n">
        <v>39055</v>
      </c>
      <c r="D2189" t="n">
        <v>1374.1</v>
      </c>
    </row>
    <row r="2190">
      <c r="A2190" s="90" t="n">
        <v>39062</v>
      </c>
      <c r="D2190" t="n">
        <v>1360.3</v>
      </c>
    </row>
    <row r="2191">
      <c r="A2191" s="90" t="n">
        <v>39069</v>
      </c>
      <c r="D2191" t="n">
        <v>1359.2</v>
      </c>
    </row>
    <row r="2192">
      <c r="A2192" s="90" t="n">
        <v>39076</v>
      </c>
      <c r="D2192" t="n">
        <v>1380.4</v>
      </c>
    </row>
    <row r="2193">
      <c r="A2193" s="90" t="n">
        <v>39083</v>
      </c>
      <c r="B2193" t="n">
        <v>674.3</v>
      </c>
      <c r="C2193" t="n">
        <v>3494.7</v>
      </c>
      <c r="D2193" t="n">
        <v>1361.3</v>
      </c>
      <c r="E2193" t="n">
        <v>7109.6</v>
      </c>
      <c r="F2193" t="n">
        <v>1.993</v>
      </c>
    </row>
    <row r="2194">
      <c r="A2194" s="90" t="n">
        <v>39090</v>
      </c>
      <c r="D2194" t="n">
        <v>1355.7</v>
      </c>
    </row>
    <row r="2195">
      <c r="A2195" s="90" t="n">
        <v>39097</v>
      </c>
      <c r="D2195" t="n">
        <v>1382.9</v>
      </c>
    </row>
    <row r="2196">
      <c r="A2196" s="90" t="n">
        <v>39104</v>
      </c>
      <c r="D2196" t="n">
        <v>1373.2</v>
      </c>
    </row>
    <row r="2197">
      <c r="A2197" s="90" t="n">
        <v>39111</v>
      </c>
      <c r="D2197" t="n">
        <v>1377</v>
      </c>
    </row>
    <row r="2198">
      <c r="A2198" s="90" t="n">
        <v>39114</v>
      </c>
      <c r="B2198" t="n">
        <v>667.4</v>
      </c>
      <c r="C2198" t="n">
        <v>3488.9</v>
      </c>
      <c r="E2198" t="n">
        <v>7125.3</v>
      </c>
    </row>
    <row r="2199">
      <c r="A2199" s="90" t="n">
        <v>39118</v>
      </c>
      <c r="D2199" t="n">
        <v>1369.9</v>
      </c>
    </row>
    <row r="2200">
      <c r="A2200" s="90" t="n">
        <v>39125</v>
      </c>
      <c r="D2200" t="n">
        <v>1361.7</v>
      </c>
    </row>
    <row r="2201">
      <c r="A2201" s="90" t="n">
        <v>39132</v>
      </c>
      <c r="D2201" t="n">
        <v>1361.7</v>
      </c>
    </row>
    <row r="2202">
      <c r="A2202" s="90" t="n">
        <v>39139</v>
      </c>
      <c r="D2202" t="n">
        <v>1362</v>
      </c>
    </row>
    <row r="2203">
      <c r="A2203" s="90" t="n">
        <v>39142</v>
      </c>
      <c r="B2203" t="n">
        <v>665.7</v>
      </c>
      <c r="C2203" t="n">
        <v>3487.3</v>
      </c>
      <c r="E2203" t="n">
        <v>7159.1</v>
      </c>
    </row>
    <row r="2204">
      <c r="A2204" s="90" t="n">
        <v>39146</v>
      </c>
      <c r="D2204" t="n">
        <v>1358.6</v>
      </c>
    </row>
    <row r="2205">
      <c r="A2205" s="90" t="n">
        <v>39153</v>
      </c>
      <c r="D2205" t="n">
        <v>1363.5</v>
      </c>
    </row>
    <row r="2206">
      <c r="A2206" s="90" t="n">
        <v>39160</v>
      </c>
      <c r="D2206" t="n">
        <v>1360.2</v>
      </c>
    </row>
    <row r="2207">
      <c r="A2207" s="90" t="n">
        <v>39167</v>
      </c>
      <c r="D2207" t="n">
        <v>1373.6</v>
      </c>
    </row>
    <row r="2208">
      <c r="A2208" s="90" t="n">
        <v>39173</v>
      </c>
      <c r="B2208" t="n">
        <v>669.2</v>
      </c>
      <c r="C2208" t="n">
        <v>3512</v>
      </c>
      <c r="E2208" t="n">
        <v>7231.3</v>
      </c>
      <c r="F2208" t="n">
        <v>1.986</v>
      </c>
    </row>
    <row r="2209">
      <c r="A2209" s="90" t="n">
        <v>39174</v>
      </c>
      <c r="D2209" t="n">
        <v>1377.5</v>
      </c>
    </row>
    <row r="2210">
      <c r="A2210" s="90" t="n">
        <v>39181</v>
      </c>
      <c r="D2210" t="n">
        <v>1379.6</v>
      </c>
    </row>
    <row r="2211">
      <c r="A2211" s="90" t="n">
        <v>39188</v>
      </c>
      <c r="D2211" t="n">
        <v>1374.5</v>
      </c>
    </row>
    <row r="2212">
      <c r="A2212" s="90" t="n">
        <v>39195</v>
      </c>
      <c r="D2212" t="n">
        <v>1375.7</v>
      </c>
    </row>
    <row r="2213">
      <c r="A2213" s="90" t="n">
        <v>39202</v>
      </c>
      <c r="D2213" t="n">
        <v>1382.5</v>
      </c>
    </row>
    <row r="2214">
      <c r="A2214" s="90" t="n">
        <v>39203</v>
      </c>
      <c r="B2214" t="n">
        <v>667.9</v>
      </c>
      <c r="C2214" t="n">
        <v>3504.3</v>
      </c>
      <c r="E2214" t="n">
        <v>7245.4</v>
      </c>
    </row>
    <row r="2215">
      <c r="A2215" s="90" t="n">
        <v>39209</v>
      </c>
      <c r="D2215" t="n">
        <v>1367.2</v>
      </c>
    </row>
    <row r="2216">
      <c r="A2216" s="90" t="n">
        <v>39216</v>
      </c>
      <c r="D2216" t="n">
        <v>1382.3</v>
      </c>
    </row>
    <row r="2217">
      <c r="A2217" s="90" t="n">
        <v>39223</v>
      </c>
      <c r="D2217" t="n">
        <v>1384.1</v>
      </c>
    </row>
    <row r="2218">
      <c r="A2218" s="90" t="n">
        <v>39230</v>
      </c>
      <c r="D2218" t="n">
        <v>1388.5</v>
      </c>
    </row>
    <row r="2219">
      <c r="A2219" s="90" t="n">
        <v>39234</v>
      </c>
      <c r="B2219" t="n">
        <v>660.2</v>
      </c>
      <c r="C2219" t="n">
        <v>3512.3</v>
      </c>
      <c r="E2219" t="n">
        <v>7278.6</v>
      </c>
    </row>
    <row r="2220">
      <c r="A2220" s="90" t="n">
        <v>39237</v>
      </c>
      <c r="D2220" t="n">
        <v>1384.6</v>
      </c>
    </row>
    <row r="2221">
      <c r="A2221" s="90" t="n">
        <v>39244</v>
      </c>
      <c r="D2221" t="n">
        <v>1370.7</v>
      </c>
    </row>
    <row r="2222">
      <c r="A2222" s="90" t="n">
        <v>39251</v>
      </c>
      <c r="D2222" t="n">
        <v>1356.3</v>
      </c>
    </row>
    <row r="2223">
      <c r="A2223" s="90" t="n">
        <v>39258</v>
      </c>
      <c r="D2223" t="n">
        <v>1362.9</v>
      </c>
    </row>
    <row r="2224">
      <c r="A2224" s="90" t="n">
        <v>39264</v>
      </c>
      <c r="B2224" t="n">
        <v>660.8</v>
      </c>
      <c r="C2224" t="n">
        <v>3520.7</v>
      </c>
      <c r="E2224" t="n">
        <v>7309</v>
      </c>
      <c r="F2224" t="n">
        <v>1.977</v>
      </c>
    </row>
    <row r="2225">
      <c r="A2225" s="90" t="n">
        <v>39265</v>
      </c>
      <c r="D2225" t="n">
        <v>1375.8</v>
      </c>
    </row>
    <row r="2226">
      <c r="A2226" s="90" t="n">
        <v>39272</v>
      </c>
      <c r="D2226" t="n">
        <v>1370.5</v>
      </c>
    </row>
    <row r="2227">
      <c r="A2227" s="90" t="n">
        <v>39279</v>
      </c>
      <c r="D2227" t="n">
        <v>1373.5</v>
      </c>
    </row>
    <row r="2228">
      <c r="A2228" s="90" t="n">
        <v>39286</v>
      </c>
      <c r="D2228" t="n">
        <v>1373.2</v>
      </c>
    </row>
    <row r="2229">
      <c r="A2229" s="90" t="n">
        <v>39293</v>
      </c>
      <c r="D2229" t="n">
        <v>1370.4</v>
      </c>
    </row>
    <row r="2230">
      <c r="A2230" s="90" t="n">
        <v>39295</v>
      </c>
      <c r="B2230" t="n">
        <v>662.7</v>
      </c>
      <c r="C2230" t="n">
        <v>3556.2</v>
      </c>
      <c r="E2230" t="n">
        <v>7385.1</v>
      </c>
    </row>
    <row r="2231">
      <c r="A2231" s="90" t="n">
        <v>39300</v>
      </c>
      <c r="D2231" t="n">
        <v>1359.9</v>
      </c>
    </row>
    <row r="2232">
      <c r="A2232" s="90" t="n">
        <v>39307</v>
      </c>
      <c r="D2232" t="n">
        <v>1364.1</v>
      </c>
    </row>
    <row r="2233">
      <c r="A2233" s="90" t="n">
        <v>39314</v>
      </c>
      <c r="D2233" t="n">
        <v>1372.8</v>
      </c>
    </row>
    <row r="2234">
      <c r="A2234" s="90" t="n">
        <v>39321</v>
      </c>
      <c r="D2234" t="n">
        <v>1385.6</v>
      </c>
    </row>
    <row r="2235">
      <c r="A2235" s="90" t="n">
        <v>39326</v>
      </c>
      <c r="B2235" t="n">
        <v>659.7</v>
      </c>
      <c r="C2235" t="n">
        <v>3549.9</v>
      </c>
      <c r="E2235" t="n">
        <v>7403.2</v>
      </c>
    </row>
    <row r="2236">
      <c r="A2236" s="90" t="n">
        <v>39328</v>
      </c>
      <c r="D2236" t="n">
        <v>1412.6</v>
      </c>
    </row>
    <row r="2237">
      <c r="A2237" s="90" t="n">
        <v>39335</v>
      </c>
      <c r="D2237" t="n">
        <v>1382.1</v>
      </c>
    </row>
    <row r="2238">
      <c r="A2238" s="90" t="n">
        <v>39342</v>
      </c>
      <c r="D2238" t="n">
        <v>1373.5</v>
      </c>
    </row>
    <row r="2239">
      <c r="A2239" s="90" t="n">
        <v>39349</v>
      </c>
      <c r="D2239" t="n">
        <v>1365.4</v>
      </c>
    </row>
    <row r="2240">
      <c r="A2240" s="90" t="n">
        <v>39356</v>
      </c>
      <c r="B2240" t="n">
        <v>659.4</v>
      </c>
      <c r="C2240" t="n">
        <v>3545.7</v>
      </c>
      <c r="D2240" t="n">
        <v>1364.1</v>
      </c>
      <c r="E2240" t="n">
        <v>7417.2</v>
      </c>
      <c r="F2240" t="n">
        <v>1.977</v>
      </c>
    </row>
    <row r="2241">
      <c r="A2241" s="90" t="n">
        <v>39363</v>
      </c>
      <c r="D2241" t="n">
        <v>1376.8</v>
      </c>
    </row>
    <row r="2242">
      <c r="A2242" s="90" t="n">
        <v>39370</v>
      </c>
      <c r="D2242" t="n">
        <v>1382.9</v>
      </c>
    </row>
    <row r="2243">
      <c r="A2243" s="90" t="n">
        <v>39377</v>
      </c>
      <c r="D2243" t="n">
        <v>1383.1</v>
      </c>
    </row>
    <row r="2244">
      <c r="A2244" s="90" t="n">
        <v>39384</v>
      </c>
      <c r="D2244" t="n">
        <v>1379.7</v>
      </c>
    </row>
    <row r="2245">
      <c r="A2245" s="90" t="n">
        <v>39387</v>
      </c>
      <c r="B2245" t="n">
        <v>650.7</v>
      </c>
      <c r="C2245" t="n">
        <v>3529.7</v>
      </c>
      <c r="E2245" t="n">
        <v>7441.8</v>
      </c>
    </row>
    <row r="2246">
      <c r="A2246" s="90" t="n">
        <v>39391</v>
      </c>
      <c r="D2246" t="n">
        <v>1369.6</v>
      </c>
    </row>
    <row r="2247">
      <c r="A2247" s="90" t="n">
        <v>39398</v>
      </c>
      <c r="D2247" t="n">
        <v>1367.8</v>
      </c>
    </row>
    <row r="2248">
      <c r="A2248" s="90" t="n">
        <v>39405</v>
      </c>
      <c r="D2248" t="n">
        <v>1367.2</v>
      </c>
    </row>
    <row r="2249">
      <c r="A2249" s="90" t="n">
        <v>39412</v>
      </c>
      <c r="D2249" t="n">
        <v>1374.5</v>
      </c>
    </row>
    <row r="2250">
      <c r="A2250" s="90" t="n">
        <v>39417</v>
      </c>
      <c r="B2250" t="n">
        <v>649.5</v>
      </c>
      <c r="C2250" t="n">
        <v>3533.6</v>
      </c>
      <c r="E2250" t="n">
        <v>7471.6</v>
      </c>
    </row>
    <row r="2251">
      <c r="A2251" s="90" t="n">
        <v>39419</v>
      </c>
      <c r="D2251" t="n">
        <v>1384.8</v>
      </c>
    </row>
    <row r="2252">
      <c r="A2252" s="90" t="n">
        <v>39426</v>
      </c>
      <c r="D2252" t="n">
        <v>1377.6</v>
      </c>
    </row>
    <row r="2253">
      <c r="A2253" s="90" t="n">
        <v>39433</v>
      </c>
      <c r="D2253" t="n">
        <v>1365.1</v>
      </c>
    </row>
    <row r="2254">
      <c r="A2254" s="90" t="n">
        <v>39440</v>
      </c>
      <c r="D2254" t="n">
        <v>1378.1</v>
      </c>
    </row>
    <row r="2255">
      <c r="A2255" s="90" t="n">
        <v>39447</v>
      </c>
      <c r="D2255" t="n">
        <v>1367.9</v>
      </c>
    </row>
    <row r="2256">
      <c r="A2256" s="90" t="n">
        <v>39448</v>
      </c>
      <c r="B2256" t="n">
        <v>649.3</v>
      </c>
      <c r="C2256" t="n">
        <v>3537.4</v>
      </c>
      <c r="E2256" t="n">
        <v>7505.5</v>
      </c>
      <c r="F2256" t="n">
        <v>1.939</v>
      </c>
    </row>
    <row r="2257">
      <c r="A2257" s="90" t="n">
        <v>39454</v>
      </c>
      <c r="D2257" t="n">
        <v>1367.3</v>
      </c>
    </row>
    <row r="2258">
      <c r="A2258" s="90" t="n">
        <v>39461</v>
      </c>
      <c r="D2258" t="n">
        <v>1370.2</v>
      </c>
    </row>
    <row r="2259">
      <c r="A2259" s="90" t="n">
        <v>39468</v>
      </c>
      <c r="D2259" t="n">
        <v>1390</v>
      </c>
    </row>
    <row r="2260">
      <c r="A2260" s="90" t="n">
        <v>39475</v>
      </c>
      <c r="D2260" t="n">
        <v>1379.6</v>
      </c>
    </row>
    <row r="2261">
      <c r="A2261" s="90" t="n">
        <v>39479</v>
      </c>
      <c r="B2261" t="n">
        <v>649</v>
      </c>
      <c r="C2261" t="n">
        <v>3568.9</v>
      </c>
      <c r="E2261" t="n">
        <v>7590.6</v>
      </c>
    </row>
    <row r="2262">
      <c r="A2262" s="90" t="n">
        <v>39482</v>
      </c>
      <c r="D2262" t="n">
        <v>1386.1</v>
      </c>
    </row>
    <row r="2263">
      <c r="A2263" s="90" t="n">
        <v>39489</v>
      </c>
      <c r="D2263" t="n">
        <v>1374.4</v>
      </c>
    </row>
    <row r="2264">
      <c r="A2264" s="90" t="n">
        <v>39496</v>
      </c>
      <c r="D2264" t="n">
        <v>1375</v>
      </c>
    </row>
    <row r="2265">
      <c r="A2265" s="90" t="n">
        <v>39503</v>
      </c>
      <c r="D2265" t="n">
        <v>1376.9</v>
      </c>
    </row>
    <row r="2266">
      <c r="A2266" s="90" t="n">
        <v>39508</v>
      </c>
      <c r="B2266" t="n">
        <v>650.6</v>
      </c>
      <c r="C2266" t="n">
        <v>3586.9</v>
      </c>
      <c r="E2266" t="n">
        <v>7656.2</v>
      </c>
    </row>
    <row r="2267">
      <c r="A2267" s="90" t="n">
        <v>39510</v>
      </c>
      <c r="D2267" t="n">
        <v>1401</v>
      </c>
    </row>
    <row r="2268">
      <c r="A2268" s="90" t="n">
        <v>39517</v>
      </c>
      <c r="D2268" t="n">
        <v>1391.3</v>
      </c>
    </row>
    <row r="2269">
      <c r="A2269" s="90" t="n">
        <v>39524</v>
      </c>
      <c r="D2269" t="n">
        <v>1381.5</v>
      </c>
    </row>
    <row r="2270">
      <c r="A2270" s="90" t="n">
        <v>39531</v>
      </c>
      <c r="D2270" t="n">
        <v>1387.1</v>
      </c>
    </row>
    <row r="2271">
      <c r="A2271" s="90" t="n">
        <v>39538</v>
      </c>
      <c r="D2271" t="n">
        <v>1389.7</v>
      </c>
    </row>
    <row r="2272">
      <c r="A2272" s="90" t="n">
        <v>39539</v>
      </c>
      <c r="B2272" t="n">
        <v>650.4</v>
      </c>
      <c r="C2272" t="n">
        <v>3598.7</v>
      </c>
      <c r="E2272" t="n">
        <v>7699.2</v>
      </c>
      <c r="F2272" t="n">
        <v>1.927</v>
      </c>
    </row>
    <row r="2273">
      <c r="A2273" s="90" t="n">
        <v>39545</v>
      </c>
      <c r="D2273" t="n">
        <v>1374.2</v>
      </c>
    </row>
    <row r="2274">
      <c r="A2274" s="90" t="n">
        <v>39552</v>
      </c>
      <c r="D2274" t="n">
        <v>1389.2</v>
      </c>
    </row>
    <row r="2275">
      <c r="A2275" s="90" t="n">
        <v>39559</v>
      </c>
      <c r="D2275" t="n">
        <v>1403.8</v>
      </c>
    </row>
    <row r="2276">
      <c r="A2276" s="90" t="n">
        <v>39566</v>
      </c>
      <c r="D2276" t="n">
        <v>1397.7</v>
      </c>
    </row>
    <row r="2277">
      <c r="A2277" s="90" t="n">
        <v>39569</v>
      </c>
      <c r="B2277" t="n">
        <v>647.5</v>
      </c>
      <c r="C2277" t="n">
        <v>3583.1</v>
      </c>
      <c r="E2277" t="n">
        <v>7711.2</v>
      </c>
    </row>
    <row r="2278">
      <c r="A2278" s="90" t="n">
        <v>39573</v>
      </c>
      <c r="D2278" t="n">
        <v>1393.5</v>
      </c>
    </row>
    <row r="2279">
      <c r="A2279" s="90" t="n">
        <v>39580</v>
      </c>
      <c r="D2279" t="n">
        <v>1392</v>
      </c>
    </row>
    <row r="2280">
      <c r="A2280" s="90" t="n">
        <v>39587</v>
      </c>
      <c r="D2280" t="n">
        <v>1385.7</v>
      </c>
    </row>
    <row r="2281">
      <c r="A2281" s="90" t="n">
        <v>39594</v>
      </c>
      <c r="D2281" t="n">
        <v>1394</v>
      </c>
    </row>
    <row r="2282">
      <c r="A2282" s="90" t="n">
        <v>39600</v>
      </c>
      <c r="B2282" t="n">
        <v>645.9</v>
      </c>
      <c r="C2282" t="n">
        <v>3554.1</v>
      </c>
      <c r="E2282" t="n">
        <v>7728.9</v>
      </c>
    </row>
    <row r="2283">
      <c r="A2283" s="90" t="n">
        <v>39601</v>
      </c>
      <c r="D2283" t="n">
        <v>1405.2</v>
      </c>
    </row>
    <row r="2284">
      <c r="A2284" s="90" t="n">
        <v>39608</v>
      </c>
      <c r="D2284" t="n">
        <v>1410.9</v>
      </c>
    </row>
    <row r="2285">
      <c r="A2285" s="90" t="n">
        <v>39615</v>
      </c>
      <c r="D2285" t="n">
        <v>1403.7</v>
      </c>
    </row>
    <row r="2286">
      <c r="A2286" s="90" t="n">
        <v>39622</v>
      </c>
      <c r="D2286" t="n">
        <v>1398.9</v>
      </c>
    </row>
    <row r="2287">
      <c r="A2287" s="90" t="n">
        <v>39629</v>
      </c>
      <c r="D2287" t="n">
        <v>1404.6</v>
      </c>
    </row>
    <row r="2288">
      <c r="A2288" s="90" t="n">
        <v>39630</v>
      </c>
      <c r="B2288" t="n">
        <v>648.9</v>
      </c>
      <c r="C2288" t="n">
        <v>3550.2</v>
      </c>
      <c r="E2288" t="n">
        <v>7775.4</v>
      </c>
      <c r="F2288" t="n">
        <v>1.908</v>
      </c>
    </row>
    <row r="2289">
      <c r="A2289" s="90" t="n">
        <v>39636</v>
      </c>
      <c r="D2289" t="n">
        <v>1412.6</v>
      </c>
    </row>
    <row r="2290">
      <c r="A2290" s="90" t="n">
        <v>39643</v>
      </c>
      <c r="D2290" t="n">
        <v>1421.5</v>
      </c>
    </row>
    <row r="2291">
      <c r="A2291" s="90" t="n">
        <v>39650</v>
      </c>
      <c r="D2291" t="n">
        <v>1426.9</v>
      </c>
    </row>
    <row r="2292">
      <c r="A2292" s="90" t="n">
        <v>39657</v>
      </c>
      <c r="D2292" t="n">
        <v>1422.3</v>
      </c>
    </row>
    <row r="2293">
      <c r="A2293" s="90" t="n">
        <v>39661</v>
      </c>
      <c r="B2293" t="n">
        <v>643.6</v>
      </c>
      <c r="C2293" t="n">
        <v>3562.2</v>
      </c>
      <c r="E2293" t="n">
        <v>7790.2</v>
      </c>
    </row>
    <row r="2294">
      <c r="A2294" s="90" t="n">
        <v>39664</v>
      </c>
      <c r="D2294" t="n">
        <v>1423.5</v>
      </c>
    </row>
    <row r="2295">
      <c r="A2295" s="90" t="n">
        <v>39671</v>
      </c>
      <c r="D2295" t="n">
        <v>1412.7</v>
      </c>
    </row>
    <row r="2296">
      <c r="A2296" s="90" t="n">
        <v>39678</v>
      </c>
      <c r="D2296" t="n">
        <v>1394.4</v>
      </c>
    </row>
    <row r="2297">
      <c r="A2297" s="90" t="n">
        <v>39685</v>
      </c>
      <c r="D2297" t="n">
        <v>1404.9</v>
      </c>
    </row>
    <row r="2298">
      <c r="A2298" s="90" t="n">
        <v>39692</v>
      </c>
      <c r="B2298" t="n">
        <v>668</v>
      </c>
      <c r="C2298" t="n">
        <v>3590.8</v>
      </c>
      <c r="D2298" t="n">
        <v>1408.4</v>
      </c>
      <c r="E2298" t="n">
        <v>7859.5</v>
      </c>
    </row>
    <row r="2299">
      <c r="A2299" s="90" t="n">
        <v>39699</v>
      </c>
      <c r="D2299" t="n">
        <v>1423.9</v>
      </c>
    </row>
    <row r="2300">
      <c r="A2300" s="90" t="n">
        <v>39706</v>
      </c>
      <c r="D2300" t="n">
        <v>1437</v>
      </c>
    </row>
    <row r="2301">
      <c r="A2301" s="90" t="n">
        <v>39713</v>
      </c>
      <c r="D2301" t="n">
        <v>1490.1</v>
      </c>
    </row>
    <row r="2302">
      <c r="A2302" s="90" t="n">
        <v>39720</v>
      </c>
      <c r="D2302" t="n">
        <v>1504.6</v>
      </c>
    </row>
    <row r="2303">
      <c r="A2303" s="90" t="n">
        <v>39722</v>
      </c>
      <c r="B2303" t="n">
        <v>679.2</v>
      </c>
      <c r="C2303" t="n">
        <v>3670.7</v>
      </c>
      <c r="E2303" t="n">
        <v>7965.3</v>
      </c>
      <c r="F2303" t="n">
        <v>1.813</v>
      </c>
    </row>
    <row r="2304">
      <c r="A2304" s="90" t="n">
        <v>39727</v>
      </c>
      <c r="D2304" t="n">
        <v>1461</v>
      </c>
    </row>
    <row r="2305">
      <c r="A2305" s="90" t="n">
        <v>39734</v>
      </c>
      <c r="D2305" t="n">
        <v>1464.9</v>
      </c>
    </row>
    <row r="2306">
      <c r="A2306" s="90" t="n">
        <v>39741</v>
      </c>
      <c r="D2306" t="n">
        <v>1457.4</v>
      </c>
    </row>
    <row r="2307">
      <c r="A2307" s="90" t="n">
        <v>39748</v>
      </c>
      <c r="D2307" t="n">
        <v>1483.7</v>
      </c>
    </row>
    <row r="2308">
      <c r="A2308" s="90" t="n">
        <v>39753</v>
      </c>
      <c r="B2308" t="n">
        <v>710.6</v>
      </c>
      <c r="C2308" t="n">
        <v>3760.6</v>
      </c>
      <c r="E2308" t="n">
        <v>8015.8</v>
      </c>
    </row>
    <row r="2309">
      <c r="A2309" s="90" t="n">
        <v>39755</v>
      </c>
      <c r="D2309" t="n">
        <v>1520</v>
      </c>
    </row>
    <row r="2310">
      <c r="A2310" s="90" t="n">
        <v>39762</v>
      </c>
      <c r="D2310" t="n">
        <v>1505.5</v>
      </c>
    </row>
    <row r="2311">
      <c r="A2311" s="90" t="n">
        <v>39769</v>
      </c>
      <c r="D2311" t="n">
        <v>1506.8</v>
      </c>
    </row>
    <row r="2312">
      <c r="A2312" s="90" t="n">
        <v>39776</v>
      </c>
      <c r="D2312" t="n">
        <v>1518.3</v>
      </c>
    </row>
    <row r="2313">
      <c r="A2313" s="90" t="n">
        <v>39783</v>
      </c>
      <c r="B2313" t="n">
        <v>757.7</v>
      </c>
      <c r="C2313" t="n">
        <v>3875.2</v>
      </c>
      <c r="D2313" t="n">
        <v>1527.2</v>
      </c>
      <c r="E2313" t="n">
        <v>8192.1</v>
      </c>
    </row>
    <row r="2314">
      <c r="A2314" s="90" t="n">
        <v>39790</v>
      </c>
      <c r="D2314" t="n">
        <v>1590</v>
      </c>
    </row>
    <row r="2315">
      <c r="A2315" s="90" t="n">
        <v>39797</v>
      </c>
      <c r="D2315" t="n">
        <v>1612</v>
      </c>
    </row>
    <row r="2316">
      <c r="A2316" s="90" t="n">
        <v>39804</v>
      </c>
      <c r="D2316" t="n">
        <v>1610.2</v>
      </c>
    </row>
    <row r="2317">
      <c r="A2317" s="90" t="n">
        <v>39811</v>
      </c>
      <c r="D2317" t="n">
        <v>1597.3</v>
      </c>
    </row>
    <row r="2318">
      <c r="A2318" s="90" t="n">
        <v>39814</v>
      </c>
      <c r="B2318" t="n">
        <v>746.8</v>
      </c>
      <c r="C2318" t="n">
        <v>3903.9</v>
      </c>
      <c r="E2318" t="n">
        <v>8273.700000000001</v>
      </c>
      <c r="F2318" t="n">
        <v>1.735</v>
      </c>
    </row>
    <row r="2319">
      <c r="A2319" s="90" t="n">
        <v>39818</v>
      </c>
      <c r="D2319" t="n">
        <v>1629.7</v>
      </c>
    </row>
    <row r="2320">
      <c r="A2320" s="90" t="n">
        <v>39825</v>
      </c>
      <c r="D2320" t="n">
        <v>1609.5</v>
      </c>
    </row>
    <row r="2321">
      <c r="A2321" s="90" t="n">
        <v>39832</v>
      </c>
      <c r="D2321" t="n">
        <v>1561.1</v>
      </c>
    </row>
    <row r="2322">
      <c r="A2322" s="90" t="n">
        <v>39839</v>
      </c>
      <c r="D2322" t="n">
        <v>1555.1</v>
      </c>
    </row>
    <row r="2323">
      <c r="A2323" s="90" t="n">
        <v>39845</v>
      </c>
      <c r="B2323" t="n">
        <v>736.8</v>
      </c>
      <c r="C2323" t="n">
        <v>3903.6</v>
      </c>
      <c r="E2323" t="n">
        <v>8303.1</v>
      </c>
    </row>
    <row r="2324">
      <c r="A2324" s="90" t="n">
        <v>39846</v>
      </c>
      <c r="D2324" t="n">
        <v>1567.4</v>
      </c>
    </row>
    <row r="2325">
      <c r="A2325" s="90" t="n">
        <v>39853</v>
      </c>
      <c r="D2325" t="n">
        <v>1575.7</v>
      </c>
    </row>
    <row r="2326">
      <c r="A2326" s="90" t="n">
        <v>39860</v>
      </c>
      <c r="D2326" t="n">
        <v>1565</v>
      </c>
    </row>
    <row r="2327">
      <c r="A2327" s="90" t="n">
        <v>39867</v>
      </c>
      <c r="D2327" t="n">
        <v>1558.9</v>
      </c>
    </row>
    <row r="2328">
      <c r="A2328" s="90" t="n">
        <v>39873</v>
      </c>
      <c r="B2328" t="n">
        <v>743</v>
      </c>
      <c r="C2328" t="n">
        <v>3938.6</v>
      </c>
      <c r="E2328" t="n">
        <v>8369.299999999999</v>
      </c>
    </row>
    <row r="2329">
      <c r="A2329" s="90" t="n">
        <v>39874</v>
      </c>
      <c r="D2329" t="n">
        <v>1570.1</v>
      </c>
    </row>
    <row r="2330">
      <c r="A2330" s="90" t="n">
        <v>39881</v>
      </c>
      <c r="D2330" t="n">
        <v>1583.8</v>
      </c>
    </row>
    <row r="2331">
      <c r="A2331" s="90" t="n">
        <v>39888</v>
      </c>
      <c r="D2331" t="n">
        <v>1575.7</v>
      </c>
    </row>
    <row r="2332">
      <c r="A2332" s="90" t="n">
        <v>39895</v>
      </c>
      <c r="D2332" t="n">
        <v>1575.1</v>
      </c>
    </row>
    <row r="2333">
      <c r="A2333" s="90" t="n">
        <v>39902</v>
      </c>
      <c r="D2333" t="n">
        <v>1572.3</v>
      </c>
    </row>
    <row r="2334">
      <c r="A2334" s="90" t="n">
        <v>39904</v>
      </c>
      <c r="B2334" t="n">
        <v>757.7</v>
      </c>
      <c r="C2334" t="n">
        <v>3936.3</v>
      </c>
      <c r="E2334" t="n">
        <v>8372.9</v>
      </c>
      <c r="F2334" t="n">
        <v>1.709</v>
      </c>
    </row>
    <row r="2335">
      <c r="A2335" s="90" t="n">
        <v>39909</v>
      </c>
      <c r="D2335" t="n">
        <v>1655.6</v>
      </c>
    </row>
    <row r="2336">
      <c r="A2336" s="90" t="n">
        <v>39916</v>
      </c>
      <c r="D2336" t="n">
        <v>1604.1</v>
      </c>
    </row>
    <row r="2337">
      <c r="A2337" s="90" t="n">
        <v>39923</v>
      </c>
      <c r="D2337" t="n">
        <v>1595.4</v>
      </c>
    </row>
    <row r="2338">
      <c r="A2338" s="90" t="n">
        <v>39930</v>
      </c>
      <c r="D2338" t="n">
        <v>1598</v>
      </c>
    </row>
    <row r="2339">
      <c r="A2339" s="90" t="n">
        <v>39934</v>
      </c>
      <c r="B2339" t="n">
        <v>759.3</v>
      </c>
      <c r="C2339" t="n">
        <v>3957.7</v>
      </c>
      <c r="E2339" t="n">
        <v>8430.700000000001</v>
      </c>
    </row>
    <row r="2340">
      <c r="A2340" s="90" t="n">
        <v>39937</v>
      </c>
      <c r="D2340" t="n">
        <v>1611.3</v>
      </c>
    </row>
    <row r="2341">
      <c r="A2341" s="90" t="n">
        <v>39944</v>
      </c>
      <c r="D2341" t="n">
        <v>1617.5</v>
      </c>
    </row>
    <row r="2342">
      <c r="A2342" s="90" t="n">
        <v>39951</v>
      </c>
      <c r="D2342" t="n">
        <v>1617.1</v>
      </c>
    </row>
    <row r="2343">
      <c r="A2343" s="90" t="n">
        <v>39958</v>
      </c>
      <c r="D2343" t="n">
        <v>1623.4</v>
      </c>
    </row>
    <row r="2344">
      <c r="A2344" s="90" t="n">
        <v>39965</v>
      </c>
      <c r="B2344" t="n">
        <v>772.3</v>
      </c>
      <c r="C2344" t="n">
        <v>3929.7</v>
      </c>
      <c r="D2344" t="n">
        <v>1615.5</v>
      </c>
      <c r="E2344" t="n">
        <v>8440.5</v>
      </c>
    </row>
    <row r="2345">
      <c r="A2345" s="90" t="n">
        <v>39972</v>
      </c>
      <c r="D2345" t="n">
        <v>1650.5</v>
      </c>
    </row>
    <row r="2346">
      <c r="A2346" s="90" t="n">
        <v>39979</v>
      </c>
      <c r="D2346" t="n">
        <v>1659.5</v>
      </c>
    </row>
    <row r="2347">
      <c r="A2347" s="90" t="n">
        <v>39986</v>
      </c>
      <c r="D2347" t="n">
        <v>1671.6</v>
      </c>
    </row>
    <row r="2348">
      <c r="A2348" s="90" t="n">
        <v>39993</v>
      </c>
      <c r="D2348" t="n">
        <v>1660.7</v>
      </c>
    </row>
    <row r="2349">
      <c r="A2349" s="90" t="n">
        <v>39995</v>
      </c>
      <c r="B2349" t="n">
        <v>774.2</v>
      </c>
      <c r="C2349" t="n">
        <v>3933</v>
      </c>
      <c r="E2349" t="n">
        <v>8445.1</v>
      </c>
      <c r="F2349" t="n">
        <v>1.711</v>
      </c>
    </row>
    <row r="2350">
      <c r="A2350" s="90" t="n">
        <v>40000</v>
      </c>
      <c r="D2350" t="n">
        <v>1653.2</v>
      </c>
    </row>
    <row r="2351">
      <c r="A2351" s="90" t="n">
        <v>40007</v>
      </c>
      <c r="D2351" t="n">
        <v>1663.9</v>
      </c>
    </row>
    <row r="2352">
      <c r="A2352" s="90" t="n">
        <v>40014</v>
      </c>
      <c r="D2352" t="n">
        <v>1662.6</v>
      </c>
    </row>
    <row r="2353">
      <c r="A2353" s="90" t="n">
        <v>40021</v>
      </c>
      <c r="D2353" t="n">
        <v>1659.2</v>
      </c>
    </row>
    <row r="2354">
      <c r="A2354" s="90" t="n">
        <v>40026</v>
      </c>
      <c r="B2354" t="n">
        <v>770.5</v>
      </c>
      <c r="C2354" t="n">
        <v>3919.8</v>
      </c>
      <c r="E2354" t="n">
        <v>8445</v>
      </c>
    </row>
    <row r="2355">
      <c r="A2355" s="90" t="n">
        <v>40028</v>
      </c>
      <c r="D2355" t="n">
        <v>1679.3</v>
      </c>
    </row>
    <row r="2356">
      <c r="A2356" s="90" t="n">
        <v>40035</v>
      </c>
      <c r="D2356" t="n">
        <v>1669.5</v>
      </c>
    </row>
    <row r="2357">
      <c r="A2357" s="90" t="n">
        <v>40042</v>
      </c>
      <c r="D2357" t="n">
        <v>1668.9</v>
      </c>
    </row>
    <row r="2358">
      <c r="A2358" s="90" t="n">
        <v>40049</v>
      </c>
      <c r="D2358" t="n">
        <v>1649.2</v>
      </c>
    </row>
    <row r="2359">
      <c r="A2359" s="90" t="n">
        <v>40056</v>
      </c>
      <c r="D2359" t="n">
        <v>1644.2</v>
      </c>
    </row>
    <row r="2360">
      <c r="A2360" s="90" t="n">
        <v>40057</v>
      </c>
      <c r="B2360" t="n">
        <v>771.3</v>
      </c>
      <c r="C2360" t="n">
        <v>3911.9</v>
      </c>
      <c r="E2360" t="n">
        <v>8444.200000000001</v>
      </c>
    </row>
    <row r="2361">
      <c r="A2361" s="90" t="n">
        <v>40063</v>
      </c>
      <c r="D2361" t="n">
        <v>1660.5</v>
      </c>
    </row>
    <row r="2362">
      <c r="A2362" s="90" t="n">
        <v>40070</v>
      </c>
      <c r="D2362" t="n">
        <v>1674.9</v>
      </c>
    </row>
    <row r="2363">
      <c r="A2363" s="90" t="n">
        <v>40077</v>
      </c>
      <c r="D2363" t="n">
        <v>1662.9</v>
      </c>
    </row>
    <row r="2364">
      <c r="A2364" s="90" t="n">
        <v>40084</v>
      </c>
      <c r="D2364" t="n">
        <v>1662.1</v>
      </c>
    </row>
    <row r="2365">
      <c r="A2365" s="90" t="n">
        <v>40087</v>
      </c>
      <c r="B2365" t="n">
        <v>774.9</v>
      </c>
      <c r="C2365" t="n">
        <v>3912.6</v>
      </c>
      <c r="E2365" t="n">
        <v>8471.1</v>
      </c>
      <c r="F2365" t="n">
        <v>1.726</v>
      </c>
    </row>
    <row r="2366">
      <c r="A2366" s="90" t="n">
        <v>40091</v>
      </c>
      <c r="D2366" t="n">
        <v>1662.2</v>
      </c>
    </row>
    <row r="2367">
      <c r="A2367" s="90" t="n">
        <v>40098</v>
      </c>
      <c r="D2367" t="n">
        <v>1674.6</v>
      </c>
    </row>
    <row r="2368">
      <c r="A2368" s="90" t="n">
        <v>40105</v>
      </c>
      <c r="D2368" t="n">
        <v>1680.9</v>
      </c>
    </row>
    <row r="2369">
      <c r="A2369" s="90" t="n">
        <v>40112</v>
      </c>
      <c r="D2369" t="n">
        <v>1685.4</v>
      </c>
    </row>
    <row r="2370">
      <c r="A2370" s="90" t="n">
        <v>40118</v>
      </c>
      <c r="B2370" t="n">
        <v>774.7</v>
      </c>
      <c r="C2370" t="n">
        <v>3913.2</v>
      </c>
      <c r="E2370" t="n">
        <v>8500.799999999999</v>
      </c>
    </row>
    <row r="2371">
      <c r="A2371" s="90" t="n">
        <v>40119</v>
      </c>
      <c r="D2371" t="n">
        <v>1682.6</v>
      </c>
    </row>
    <row r="2372">
      <c r="A2372" s="90" t="n">
        <v>40126</v>
      </c>
      <c r="D2372" t="n">
        <v>1680.4</v>
      </c>
    </row>
    <row r="2373">
      <c r="A2373" s="90" t="n">
        <v>40133</v>
      </c>
      <c r="D2373" t="n">
        <v>1680.8</v>
      </c>
    </row>
    <row r="2374">
      <c r="A2374" s="90" t="n">
        <v>40140</v>
      </c>
      <c r="D2374" t="n">
        <v>1683</v>
      </c>
    </row>
    <row r="2375">
      <c r="A2375" s="90" t="n">
        <v>40147</v>
      </c>
      <c r="D2375" t="n">
        <v>1688.2</v>
      </c>
    </row>
    <row r="2376">
      <c r="A2376" s="90" t="n">
        <v>40148</v>
      </c>
      <c r="B2376" t="n">
        <v>778.8</v>
      </c>
      <c r="C2376" t="n">
        <v>3909</v>
      </c>
      <c r="E2376" t="n">
        <v>8496</v>
      </c>
    </row>
    <row r="2377">
      <c r="A2377" s="90" t="n">
        <v>40154</v>
      </c>
      <c r="D2377" t="n">
        <v>1684.8</v>
      </c>
    </row>
    <row r="2378">
      <c r="A2378" s="90" t="n">
        <v>40161</v>
      </c>
      <c r="D2378" t="n">
        <v>1691.1</v>
      </c>
    </row>
    <row r="2379">
      <c r="A2379" s="90" t="n">
        <v>40168</v>
      </c>
      <c r="D2379" t="n">
        <v>1698.6</v>
      </c>
    </row>
    <row r="2380">
      <c r="A2380" s="90" t="n">
        <v>40175</v>
      </c>
      <c r="D2380" t="n">
        <v>1690.1</v>
      </c>
    </row>
    <row r="2381">
      <c r="A2381" s="90" t="n">
        <v>40179</v>
      </c>
      <c r="B2381" t="n">
        <v>770</v>
      </c>
      <c r="C2381" t="n">
        <v>3889</v>
      </c>
      <c r="E2381" t="n">
        <v>8458.1</v>
      </c>
      <c r="F2381" t="n">
        <v>1.739</v>
      </c>
    </row>
    <row r="2382">
      <c r="A2382" s="90" t="n">
        <v>40182</v>
      </c>
      <c r="D2382" t="n">
        <v>1708.6</v>
      </c>
    </row>
    <row r="2383">
      <c r="A2383" s="90" t="n">
        <v>40189</v>
      </c>
      <c r="D2383" t="n">
        <v>1665.4</v>
      </c>
    </row>
    <row r="2384">
      <c r="A2384" s="90" t="n">
        <v>40196</v>
      </c>
      <c r="D2384" t="n">
        <v>1669.7</v>
      </c>
    </row>
    <row r="2385">
      <c r="A2385" s="90" t="n">
        <v>40203</v>
      </c>
      <c r="D2385" t="n">
        <v>1672.6</v>
      </c>
    </row>
    <row r="2386">
      <c r="A2386" s="90" t="n">
        <v>40210</v>
      </c>
      <c r="B2386" t="n">
        <v>782.3</v>
      </c>
      <c r="C2386" t="n">
        <v>3915.4</v>
      </c>
      <c r="D2386" t="n">
        <v>1670.9</v>
      </c>
      <c r="E2386" t="n">
        <v>8507.4</v>
      </c>
    </row>
    <row r="2387">
      <c r="A2387" s="90" t="n">
        <v>40217</v>
      </c>
      <c r="D2387" t="n">
        <v>1688.6</v>
      </c>
    </row>
    <row r="2388">
      <c r="A2388" s="90" t="n">
        <v>40224</v>
      </c>
      <c r="D2388" t="n">
        <v>1717.2</v>
      </c>
    </row>
    <row r="2389">
      <c r="A2389" s="90" t="n">
        <v>40231</v>
      </c>
      <c r="D2389" t="n">
        <v>1702.1</v>
      </c>
    </row>
    <row r="2390">
      <c r="A2390" s="90" t="n">
        <v>40238</v>
      </c>
      <c r="B2390" t="n">
        <v>787.6</v>
      </c>
      <c r="C2390" t="n">
        <v>3912.8</v>
      </c>
      <c r="D2390" t="n">
        <v>1694.9</v>
      </c>
      <c r="E2390" t="n">
        <v>8504.5</v>
      </c>
    </row>
    <row r="2391">
      <c r="A2391" s="90" t="n">
        <v>40245</v>
      </c>
      <c r="D2391" t="n">
        <v>1704.2</v>
      </c>
    </row>
    <row r="2392">
      <c r="A2392" s="90" t="n">
        <v>40252</v>
      </c>
      <c r="D2392" t="n">
        <v>1722.9</v>
      </c>
    </row>
    <row r="2393">
      <c r="A2393" s="90" t="n">
        <v>40259</v>
      </c>
      <c r="D2393" t="n">
        <v>1722.2</v>
      </c>
    </row>
    <row r="2394">
      <c r="A2394" s="90" t="n">
        <v>40266</v>
      </c>
      <c r="D2394" t="n">
        <v>1708.3</v>
      </c>
    </row>
    <row r="2395">
      <c r="A2395" s="90" t="n">
        <v>40269</v>
      </c>
      <c r="B2395" t="n">
        <v>781.5</v>
      </c>
      <c r="C2395" t="n">
        <v>3926</v>
      </c>
      <c r="E2395" t="n">
        <v>8535.200000000001</v>
      </c>
      <c r="F2395" t="n">
        <v>1.746</v>
      </c>
    </row>
    <row r="2396">
      <c r="A2396" s="90" t="n">
        <v>40273</v>
      </c>
      <c r="D2396" t="n">
        <v>1686</v>
      </c>
    </row>
    <row r="2397">
      <c r="A2397" s="90" t="n">
        <v>40280</v>
      </c>
      <c r="D2397" t="n">
        <v>1697.7</v>
      </c>
    </row>
    <row r="2398">
      <c r="A2398" s="90" t="n">
        <v>40287</v>
      </c>
      <c r="D2398" t="n">
        <v>1699.4</v>
      </c>
    </row>
    <row r="2399">
      <c r="A2399" s="90" t="n">
        <v>40294</v>
      </c>
      <c r="D2399" t="n">
        <v>1692.3</v>
      </c>
    </row>
    <row r="2400">
      <c r="A2400" s="90" t="n">
        <v>40299</v>
      </c>
      <c r="B2400" t="n">
        <v>787</v>
      </c>
      <c r="C2400" t="n">
        <v>3953.2</v>
      </c>
      <c r="E2400" t="n">
        <v>8589.9</v>
      </c>
    </row>
    <row r="2401">
      <c r="A2401" s="90" t="n">
        <v>40301</v>
      </c>
      <c r="D2401" t="n">
        <v>1728.3</v>
      </c>
    </row>
    <row r="2402">
      <c r="A2402" s="90" t="n">
        <v>40308</v>
      </c>
      <c r="D2402" t="n">
        <v>1710.7</v>
      </c>
    </row>
    <row r="2403">
      <c r="A2403" s="90" t="n">
        <v>40315</v>
      </c>
      <c r="D2403" t="n">
        <v>1702.8</v>
      </c>
    </row>
    <row r="2404">
      <c r="A2404" s="90" t="n">
        <v>40322</v>
      </c>
      <c r="D2404" t="n">
        <v>1707.5</v>
      </c>
    </row>
    <row r="2405">
      <c r="A2405" s="90" t="n">
        <v>40329</v>
      </c>
      <c r="D2405" t="n">
        <v>1711.5</v>
      </c>
    </row>
    <row r="2406">
      <c r="A2406" s="90" t="n">
        <v>40330</v>
      </c>
      <c r="B2406" t="n">
        <v>797.2</v>
      </c>
      <c r="C2406" t="n">
        <v>3963.6</v>
      </c>
      <c r="E2406" t="n">
        <v>8609</v>
      </c>
    </row>
    <row r="2407">
      <c r="A2407" s="90" t="n">
        <v>40336</v>
      </c>
      <c r="D2407" t="n">
        <v>1717.9</v>
      </c>
    </row>
    <row r="2408">
      <c r="A2408" s="90" t="n">
        <v>40343</v>
      </c>
      <c r="D2408" t="n">
        <v>1722.3</v>
      </c>
    </row>
    <row r="2409">
      <c r="A2409" s="90" t="n">
        <v>40350</v>
      </c>
      <c r="D2409" t="n">
        <v>1741.3</v>
      </c>
    </row>
    <row r="2410">
      <c r="A2410" s="90" t="n">
        <v>40357</v>
      </c>
      <c r="D2410" t="n">
        <v>1748.3</v>
      </c>
    </row>
    <row r="2411">
      <c r="A2411" s="90" t="n">
        <v>40360</v>
      </c>
      <c r="B2411" t="n">
        <v>792.3</v>
      </c>
      <c r="C2411" t="n">
        <v>3960.8</v>
      </c>
      <c r="E2411" t="n">
        <v>8618.799999999999</v>
      </c>
      <c r="F2411" t="n">
        <v>1.748</v>
      </c>
    </row>
    <row r="2412">
      <c r="A2412" s="90" t="n">
        <v>40364</v>
      </c>
      <c r="D2412" t="n">
        <v>1719.3</v>
      </c>
    </row>
    <row r="2413">
      <c r="A2413" s="90" t="n">
        <v>40371</v>
      </c>
      <c r="D2413" t="n">
        <v>1722.3</v>
      </c>
    </row>
    <row r="2414">
      <c r="A2414" s="90" t="n">
        <v>40378</v>
      </c>
      <c r="D2414" t="n">
        <v>1718.8</v>
      </c>
    </row>
    <row r="2415">
      <c r="A2415" s="90" t="n">
        <v>40385</v>
      </c>
      <c r="D2415" t="n">
        <v>1730.6</v>
      </c>
    </row>
    <row r="2416">
      <c r="A2416" s="90" t="n">
        <v>40391</v>
      </c>
      <c r="B2416" t="n">
        <v>802.4</v>
      </c>
      <c r="C2416" t="n">
        <v>3978.1</v>
      </c>
      <c r="E2416" t="n">
        <v>8669.1</v>
      </c>
    </row>
    <row r="2417">
      <c r="A2417" s="90" t="n">
        <v>40392</v>
      </c>
      <c r="D2417" t="n">
        <v>1729.2</v>
      </c>
    </row>
    <row r="2418">
      <c r="A2418" s="90" t="n">
        <v>40399</v>
      </c>
      <c r="D2418" t="n">
        <v>1743.4</v>
      </c>
    </row>
    <row r="2419">
      <c r="A2419" s="90" t="n">
        <v>40406</v>
      </c>
      <c r="D2419" t="n">
        <v>1742.1</v>
      </c>
    </row>
    <row r="2420">
      <c r="A2420" s="90" t="n">
        <v>40413</v>
      </c>
      <c r="D2420" t="n">
        <v>1757.4</v>
      </c>
    </row>
    <row r="2421">
      <c r="A2421" s="90" t="n">
        <v>40420</v>
      </c>
      <c r="D2421" t="n">
        <v>1757.3</v>
      </c>
    </row>
    <row r="2422">
      <c r="A2422" s="90" t="n">
        <v>40422</v>
      </c>
      <c r="B2422" t="n">
        <v>809.2</v>
      </c>
      <c r="C2422" t="n">
        <v>3985.8</v>
      </c>
      <c r="E2422" t="n">
        <v>8700.1</v>
      </c>
    </row>
    <row r="2423">
      <c r="A2423" s="90" t="n">
        <v>40427</v>
      </c>
      <c r="D2423" t="n">
        <v>1749.5</v>
      </c>
    </row>
    <row r="2424">
      <c r="A2424" s="90" t="n">
        <v>40434</v>
      </c>
      <c r="D2424" t="n">
        <v>1768.6</v>
      </c>
    </row>
    <row r="2425">
      <c r="A2425" s="90" t="n">
        <v>40441</v>
      </c>
      <c r="D2425" t="n">
        <v>1769.6</v>
      </c>
    </row>
    <row r="2426">
      <c r="A2426" s="90" t="n">
        <v>40448</v>
      </c>
      <c r="D2426" t="n">
        <v>1770.2</v>
      </c>
    </row>
    <row r="2427">
      <c r="A2427" s="90" t="n">
        <v>40452</v>
      </c>
      <c r="B2427" t="n">
        <v>812.8</v>
      </c>
      <c r="C2427" t="n">
        <v>3994.5</v>
      </c>
      <c r="E2427" t="n">
        <v>8749.4</v>
      </c>
      <c r="F2427" t="n">
        <v>1.745</v>
      </c>
    </row>
    <row r="2428">
      <c r="A2428" s="90" t="n">
        <v>40455</v>
      </c>
      <c r="D2428" t="n">
        <v>1776.2</v>
      </c>
    </row>
    <row r="2429">
      <c r="A2429" s="90" t="n">
        <v>40462</v>
      </c>
      <c r="D2429" t="n">
        <v>1789.5</v>
      </c>
    </row>
    <row r="2430">
      <c r="A2430" s="90" t="n">
        <v>40469</v>
      </c>
      <c r="D2430" t="n">
        <v>1776.5</v>
      </c>
    </row>
    <row r="2431">
      <c r="A2431" s="90" t="n">
        <v>40476</v>
      </c>
      <c r="D2431" t="n">
        <v>1789.5</v>
      </c>
    </row>
    <row r="2432">
      <c r="A2432" s="90" t="n">
        <v>40483</v>
      </c>
      <c r="B2432" t="n">
        <v>832.6</v>
      </c>
      <c r="C2432" t="n">
        <v>3993.8</v>
      </c>
      <c r="D2432" t="n">
        <v>1766.4</v>
      </c>
      <c r="E2432" t="n">
        <v>8770</v>
      </c>
    </row>
    <row r="2433">
      <c r="A2433" s="90" t="n">
        <v>40490</v>
      </c>
      <c r="D2433" t="n">
        <v>1867.7</v>
      </c>
    </row>
    <row r="2434">
      <c r="A2434" s="90" t="n">
        <v>40497</v>
      </c>
      <c r="D2434" t="n">
        <v>1802</v>
      </c>
    </row>
    <row r="2435">
      <c r="A2435" s="90" t="n">
        <v>40504</v>
      </c>
      <c r="D2435" t="n">
        <v>1819</v>
      </c>
    </row>
    <row r="2436">
      <c r="A2436" s="90" t="n">
        <v>40511</v>
      </c>
      <c r="D2436" t="n">
        <v>1836.1</v>
      </c>
    </row>
    <row r="2437">
      <c r="A2437" s="90" t="n">
        <v>40513</v>
      </c>
      <c r="B2437" t="n">
        <v>833.1</v>
      </c>
      <c r="C2437" t="n">
        <v>3992.3</v>
      </c>
      <c r="E2437" t="n">
        <v>8801.799999999999</v>
      </c>
    </row>
    <row r="2438">
      <c r="A2438" s="90" t="n">
        <v>40518</v>
      </c>
      <c r="D2438" t="n">
        <v>1812.3</v>
      </c>
    </row>
    <row r="2439">
      <c r="A2439" s="90" t="n">
        <v>40525</v>
      </c>
      <c r="D2439" t="n">
        <v>1829</v>
      </c>
    </row>
    <row r="2440">
      <c r="A2440" s="90" t="n">
        <v>40532</v>
      </c>
      <c r="D2440" t="n">
        <v>1840.8</v>
      </c>
    </row>
    <row r="2441">
      <c r="A2441" s="90" t="n">
        <v>40539</v>
      </c>
      <c r="D2441" t="n">
        <v>1853.6</v>
      </c>
    </row>
    <row r="2442">
      <c r="A2442" s="90" t="n">
        <v>40544</v>
      </c>
      <c r="B2442" t="n">
        <v>834.7</v>
      </c>
      <c r="C2442" t="n">
        <v>3989</v>
      </c>
      <c r="E2442" t="n">
        <v>8823.1</v>
      </c>
      <c r="F2442" t="n">
        <v>1.728</v>
      </c>
    </row>
    <row r="2443">
      <c r="A2443" s="90" t="n">
        <v>40546</v>
      </c>
      <c r="D2443" t="n">
        <v>1849.9</v>
      </c>
    </row>
    <row r="2444">
      <c r="A2444" s="90" t="n">
        <v>40553</v>
      </c>
      <c r="D2444" t="n">
        <v>1834.5</v>
      </c>
    </row>
    <row r="2445">
      <c r="A2445" s="90" t="n">
        <v>40560</v>
      </c>
      <c r="D2445" t="n">
        <v>1858.3</v>
      </c>
    </row>
    <row r="2446">
      <c r="A2446" s="90" t="n">
        <v>40567</v>
      </c>
      <c r="D2446" t="n">
        <v>1854.1</v>
      </c>
    </row>
    <row r="2447">
      <c r="A2447" s="90" t="n">
        <v>40574</v>
      </c>
      <c r="D2447" t="n">
        <v>1868.8</v>
      </c>
    </row>
    <row r="2448">
      <c r="A2448" s="90" t="n">
        <v>40575</v>
      </c>
      <c r="B2448" t="n">
        <v>842.8</v>
      </c>
      <c r="C2448" t="n">
        <v>4004.9</v>
      </c>
      <c r="E2448" t="n">
        <v>8886.9</v>
      </c>
    </row>
    <row r="2449">
      <c r="A2449" s="90" t="n">
        <v>40581</v>
      </c>
      <c r="D2449" t="n">
        <v>1850.4</v>
      </c>
    </row>
    <row r="2450">
      <c r="A2450" s="90" t="n">
        <v>40588</v>
      </c>
      <c r="D2450" t="n">
        <v>1859.1</v>
      </c>
    </row>
    <row r="2451">
      <c r="A2451" s="90" t="n">
        <v>40595</v>
      </c>
      <c r="D2451" t="n">
        <v>1885.8</v>
      </c>
    </row>
    <row r="2452">
      <c r="A2452" s="90" t="n">
        <v>40602</v>
      </c>
      <c r="D2452" t="n">
        <v>1895.2</v>
      </c>
    </row>
    <row r="2453">
      <c r="A2453" s="90" t="n">
        <v>40603</v>
      </c>
      <c r="B2453" t="n">
        <v>850.3</v>
      </c>
      <c r="C2453" t="n">
        <v>4009.7</v>
      </c>
      <c r="E2453" t="n">
        <v>8943.5</v>
      </c>
    </row>
    <row r="2454">
      <c r="A2454" s="90" t="n">
        <v>40609</v>
      </c>
      <c r="D2454" t="n">
        <v>1875.6</v>
      </c>
    </row>
    <row r="2455">
      <c r="A2455" s="90" t="n">
        <v>40616</v>
      </c>
      <c r="D2455" t="n">
        <v>1889.6</v>
      </c>
    </row>
    <row r="2456">
      <c r="A2456" s="90" t="n">
        <v>40623</v>
      </c>
      <c r="D2456" t="n">
        <v>1901.2</v>
      </c>
    </row>
    <row r="2457">
      <c r="A2457" s="90" t="n">
        <v>40630</v>
      </c>
      <c r="D2457" t="n">
        <v>1897.1</v>
      </c>
    </row>
    <row r="2458">
      <c r="A2458" s="90" t="n">
        <v>40634</v>
      </c>
      <c r="B2458" t="n">
        <v>846.5</v>
      </c>
      <c r="C2458" t="n">
        <v>4018.4</v>
      </c>
      <c r="E2458" t="n">
        <v>9004.9</v>
      </c>
      <c r="F2458" t="n">
        <v>1.714</v>
      </c>
    </row>
    <row r="2459">
      <c r="A2459" s="90" t="n">
        <v>40637</v>
      </c>
      <c r="D2459" t="n">
        <v>1895.4</v>
      </c>
    </row>
    <row r="2460">
      <c r="A2460" s="90" t="n">
        <v>40644</v>
      </c>
      <c r="D2460" t="n">
        <v>1896.4</v>
      </c>
    </row>
    <row r="2461">
      <c r="A2461" s="90" t="n">
        <v>40651</v>
      </c>
      <c r="D2461" t="n">
        <v>1892.8</v>
      </c>
    </row>
    <row r="2462">
      <c r="A2462" s="90" t="n">
        <v>40658</v>
      </c>
      <c r="D2462" t="n">
        <v>1902.2</v>
      </c>
    </row>
    <row r="2463">
      <c r="A2463" s="90" t="n">
        <v>40664</v>
      </c>
      <c r="B2463" t="n">
        <v>863.7</v>
      </c>
      <c r="C2463" t="n">
        <v>4037</v>
      </c>
      <c r="E2463" t="n">
        <v>9075.5</v>
      </c>
    </row>
    <row r="2464">
      <c r="A2464" s="90" t="n">
        <v>40665</v>
      </c>
      <c r="D2464" t="n">
        <v>1920.6</v>
      </c>
    </row>
    <row r="2465">
      <c r="A2465" s="90" t="n">
        <v>40672</v>
      </c>
      <c r="D2465" t="n">
        <v>1928.1</v>
      </c>
    </row>
    <row r="2466">
      <c r="A2466" s="90" t="n">
        <v>40679</v>
      </c>
      <c r="D2466" t="n">
        <v>1930.7</v>
      </c>
    </row>
    <row r="2467">
      <c r="A2467" s="90" t="n">
        <v>40686</v>
      </c>
      <c r="D2467" t="n">
        <v>1942.2</v>
      </c>
    </row>
    <row r="2468">
      <c r="A2468" s="90" t="n">
        <v>40693</v>
      </c>
      <c r="D2468" t="n">
        <v>1956.5</v>
      </c>
    </row>
    <row r="2469">
      <c r="A2469" s="90" t="n">
        <v>40695</v>
      </c>
      <c r="B2469" t="n">
        <v>873.4</v>
      </c>
      <c r="C2469" t="n">
        <v>4070.6</v>
      </c>
      <c r="E2469" t="n">
        <v>9151</v>
      </c>
    </row>
    <row r="2470">
      <c r="A2470" s="90" t="n">
        <v>40700</v>
      </c>
      <c r="D2470" t="n">
        <v>1936</v>
      </c>
    </row>
    <row r="2471">
      <c r="A2471" s="90" t="n">
        <v>40707</v>
      </c>
      <c r="D2471" t="n">
        <v>1951.5</v>
      </c>
    </row>
    <row r="2472">
      <c r="A2472" s="90" t="n">
        <v>40714</v>
      </c>
      <c r="D2472" t="n">
        <v>1961.5</v>
      </c>
    </row>
    <row r="2473">
      <c r="A2473" s="90" t="n">
        <v>40721</v>
      </c>
      <c r="D2473" t="n">
        <v>1959.4</v>
      </c>
    </row>
    <row r="2474">
      <c r="A2474" s="90" t="n">
        <v>40725</v>
      </c>
      <c r="B2474" t="n">
        <v>885.6</v>
      </c>
      <c r="C2474" t="n">
        <v>4133.5</v>
      </c>
      <c r="E2474" t="n">
        <v>9316.6</v>
      </c>
      <c r="F2474" t="n">
        <v>1.656</v>
      </c>
    </row>
    <row r="2475">
      <c r="A2475" s="90" t="n">
        <v>40728</v>
      </c>
      <c r="D2475" t="n">
        <v>1985.7</v>
      </c>
    </row>
    <row r="2476">
      <c r="A2476" s="90" t="n">
        <v>40735</v>
      </c>
      <c r="D2476" t="n">
        <v>1983.7</v>
      </c>
    </row>
    <row r="2477">
      <c r="A2477" s="90" t="n">
        <v>40742</v>
      </c>
      <c r="D2477" t="n">
        <v>1975.8</v>
      </c>
    </row>
    <row r="2478">
      <c r="A2478" s="90" t="n">
        <v>40749</v>
      </c>
      <c r="D2478" t="n">
        <v>2001.2</v>
      </c>
    </row>
    <row r="2479">
      <c r="A2479" s="90" t="n">
        <v>40756</v>
      </c>
      <c r="B2479" t="n">
        <v>935.6</v>
      </c>
      <c r="C2479" t="n">
        <v>4204.9</v>
      </c>
      <c r="D2479" t="n">
        <v>2063.5</v>
      </c>
      <c r="E2479" t="n">
        <v>9507.6</v>
      </c>
    </row>
    <row r="2480">
      <c r="A2480" s="90" t="n">
        <v>40763</v>
      </c>
      <c r="D2480" t="n">
        <v>2094.4</v>
      </c>
    </row>
    <row r="2481">
      <c r="A2481" s="90" t="n">
        <v>40770</v>
      </c>
      <c r="D2481" t="n">
        <v>2109.1</v>
      </c>
    </row>
    <row r="2482">
      <c r="A2482" s="90" t="n">
        <v>40777</v>
      </c>
      <c r="D2482" t="n">
        <v>2136</v>
      </c>
    </row>
    <row r="2483">
      <c r="A2483" s="90" t="n">
        <v>40784</v>
      </c>
      <c r="D2483" t="n">
        <v>2122.4</v>
      </c>
    </row>
    <row r="2484">
      <c r="A2484" s="90" t="n">
        <v>40787</v>
      </c>
      <c r="B2484" t="n">
        <v>935.6</v>
      </c>
      <c r="C2484" t="n">
        <v>4205</v>
      </c>
      <c r="E2484" t="n">
        <v>9528.299999999999</v>
      </c>
    </row>
    <row r="2485">
      <c r="A2485" s="90" t="n">
        <v>40791</v>
      </c>
      <c r="D2485" t="n">
        <v>2110.1</v>
      </c>
    </row>
    <row r="2486">
      <c r="A2486" s="90" t="n">
        <v>40798</v>
      </c>
      <c r="D2486" t="n">
        <v>2118.7</v>
      </c>
    </row>
    <row r="2487">
      <c r="A2487" s="90" t="n">
        <v>40805</v>
      </c>
      <c r="D2487" t="n">
        <v>2120.9</v>
      </c>
    </row>
    <row r="2488">
      <c r="A2488" s="90" t="n">
        <v>40812</v>
      </c>
      <c r="D2488" t="n">
        <v>2128</v>
      </c>
    </row>
    <row r="2489">
      <c r="A2489" s="90" t="n">
        <v>40817</v>
      </c>
      <c r="B2489" t="n">
        <v>938.7</v>
      </c>
      <c r="C2489" t="n">
        <v>4217</v>
      </c>
      <c r="E2489" t="n">
        <v>9562.1</v>
      </c>
      <c r="F2489" t="n">
        <v>1.648</v>
      </c>
    </row>
    <row r="2490">
      <c r="A2490" s="90" t="n">
        <v>40819</v>
      </c>
      <c r="D2490" t="n">
        <v>2176.7</v>
      </c>
    </row>
    <row r="2491">
      <c r="A2491" s="90" t="n">
        <v>40826</v>
      </c>
      <c r="D2491" t="n">
        <v>2150.8</v>
      </c>
    </row>
    <row r="2492">
      <c r="A2492" s="90" t="n">
        <v>40833</v>
      </c>
      <c r="D2492" t="n">
        <v>2128.2</v>
      </c>
    </row>
    <row r="2493">
      <c r="A2493" s="90" t="n">
        <v>40840</v>
      </c>
      <c r="D2493" t="n">
        <v>2126.6</v>
      </c>
    </row>
    <row r="2494">
      <c r="A2494" s="90" t="n">
        <v>40847</v>
      </c>
      <c r="D2494" t="n">
        <v>2136.2</v>
      </c>
    </row>
    <row r="2495">
      <c r="A2495" s="90" t="n">
        <v>40848</v>
      </c>
      <c r="B2495" t="n">
        <v>960.5</v>
      </c>
      <c r="C2495" t="n">
        <v>4231.5</v>
      </c>
      <c r="E2495" t="n">
        <v>9612.6</v>
      </c>
    </row>
    <row r="2496">
      <c r="A2496" s="90" t="n">
        <v>40854</v>
      </c>
      <c r="D2496" t="n">
        <v>2147.3</v>
      </c>
    </row>
    <row r="2497">
      <c r="A2497" s="90" t="n">
        <v>40861</v>
      </c>
      <c r="D2497" t="n">
        <v>2171.9</v>
      </c>
    </row>
    <row r="2498">
      <c r="A2498" s="90" t="n">
        <v>40868</v>
      </c>
      <c r="D2498" t="n">
        <v>2179.4</v>
      </c>
    </row>
    <row r="2499">
      <c r="A2499" s="90" t="n">
        <v>40875</v>
      </c>
      <c r="D2499" t="n">
        <v>2171.2</v>
      </c>
    </row>
    <row r="2500">
      <c r="A2500" s="90" t="n">
        <v>40878</v>
      </c>
      <c r="B2500" t="n">
        <v>953.1</v>
      </c>
      <c r="C2500" t="n">
        <v>4251.4</v>
      </c>
      <c r="E2500" t="n">
        <v>9660.1</v>
      </c>
    </row>
    <row r="2501">
      <c r="A2501" s="90" t="n">
        <v>40882</v>
      </c>
      <c r="D2501" t="n">
        <v>2158.5</v>
      </c>
    </row>
    <row r="2502">
      <c r="A2502" s="90" t="n">
        <v>40889</v>
      </c>
      <c r="D2502" t="n">
        <v>2165.7</v>
      </c>
    </row>
    <row r="2503">
      <c r="A2503" s="90" t="n">
        <v>40896</v>
      </c>
      <c r="D2503" t="n">
        <v>2149.8</v>
      </c>
    </row>
    <row r="2504">
      <c r="A2504" s="90" t="n">
        <v>40903</v>
      </c>
      <c r="D2504" t="n">
        <v>2156.3</v>
      </c>
    </row>
    <row r="2505">
      <c r="A2505" s="90" t="n">
        <v>40909</v>
      </c>
      <c r="B2505" t="n">
        <v>966.4</v>
      </c>
      <c r="C2505" t="n">
        <v>4272</v>
      </c>
      <c r="E2505" t="n">
        <v>9733.299999999999</v>
      </c>
      <c r="F2505" t="n">
        <v>1.642</v>
      </c>
    </row>
    <row r="2506">
      <c r="A2506" s="90" t="n">
        <v>40910</v>
      </c>
      <c r="D2506" t="n">
        <v>2199.2</v>
      </c>
    </row>
    <row r="2507">
      <c r="A2507" s="90" t="n">
        <v>40917</v>
      </c>
      <c r="D2507" t="n">
        <v>2199.3</v>
      </c>
    </row>
    <row r="2508">
      <c r="A2508" s="90" t="n">
        <v>40924</v>
      </c>
      <c r="D2508" t="n">
        <v>2198.1</v>
      </c>
    </row>
    <row r="2509">
      <c r="A2509" s="90" t="n">
        <v>40931</v>
      </c>
      <c r="D2509" t="n">
        <v>2207.4</v>
      </c>
    </row>
    <row r="2510">
      <c r="A2510" s="90" t="n">
        <v>40938</v>
      </c>
      <c r="D2510" t="n">
        <v>2204.3</v>
      </c>
    </row>
    <row r="2511">
      <c r="A2511" s="90" t="n">
        <v>40940</v>
      </c>
      <c r="B2511" t="n">
        <v>966.6</v>
      </c>
      <c r="C2511" t="n">
        <v>4285.8</v>
      </c>
      <c r="E2511" t="n">
        <v>9785.700000000001</v>
      </c>
    </row>
    <row r="2512">
      <c r="A2512" s="90" t="n">
        <v>40945</v>
      </c>
      <c r="D2512" t="n">
        <v>2197.3</v>
      </c>
    </row>
    <row r="2513">
      <c r="A2513" s="90" t="n">
        <v>40952</v>
      </c>
      <c r="D2513" t="n">
        <v>2211.8</v>
      </c>
    </row>
    <row r="2514">
      <c r="A2514" s="90" t="n">
        <v>40959</v>
      </c>
      <c r="D2514" t="n">
        <v>2217.4</v>
      </c>
    </row>
    <row r="2515">
      <c r="A2515" s="90" t="n">
        <v>40966</v>
      </c>
      <c r="D2515" t="n">
        <v>2210.4</v>
      </c>
    </row>
    <row r="2516">
      <c r="A2516" s="90" t="n">
        <v>40969</v>
      </c>
      <c r="B2516" t="n">
        <v>973.7</v>
      </c>
      <c r="C2516" t="n">
        <v>4296.5</v>
      </c>
      <c r="E2516" t="n">
        <v>9830.6</v>
      </c>
    </row>
    <row r="2517">
      <c r="A2517" s="90" t="n">
        <v>40973</v>
      </c>
      <c r="D2517" t="n">
        <v>2213.7</v>
      </c>
    </row>
    <row r="2518">
      <c r="A2518" s="90" t="n">
        <v>40980</v>
      </c>
      <c r="D2518" t="n">
        <v>2228.9</v>
      </c>
    </row>
    <row r="2519">
      <c r="A2519" s="90" t="n">
        <v>40987</v>
      </c>
      <c r="D2519" t="n">
        <v>2227.9</v>
      </c>
    </row>
    <row r="2520">
      <c r="A2520" s="90" t="n">
        <v>40994</v>
      </c>
      <c r="D2520" t="n">
        <v>2227.2</v>
      </c>
    </row>
    <row r="2521">
      <c r="A2521" s="90" t="n">
        <v>41000</v>
      </c>
      <c r="B2521" t="n">
        <v>976.2</v>
      </c>
      <c r="C2521" t="n">
        <v>4312.9</v>
      </c>
      <c r="E2521" t="n">
        <v>9884.6</v>
      </c>
      <c r="F2521" t="n">
        <v>1.631</v>
      </c>
    </row>
    <row r="2522">
      <c r="A2522" s="90" t="n">
        <v>41001</v>
      </c>
      <c r="D2522" t="n">
        <v>2247.1</v>
      </c>
    </row>
    <row r="2523">
      <c r="A2523" s="90" t="n">
        <v>41008</v>
      </c>
      <c r="D2523" t="n">
        <v>2249.9</v>
      </c>
    </row>
    <row r="2524">
      <c r="A2524" s="90" t="n">
        <v>41015</v>
      </c>
      <c r="D2524" t="n">
        <v>2241.8</v>
      </c>
    </row>
    <row r="2525">
      <c r="A2525" s="90" t="n">
        <v>41022</v>
      </c>
      <c r="D2525" t="n">
        <v>2247.4</v>
      </c>
    </row>
    <row r="2526">
      <c r="A2526" s="90" t="n">
        <v>41029</v>
      </c>
      <c r="D2526" t="n">
        <v>2253.5</v>
      </c>
    </row>
    <row r="2527">
      <c r="A2527" s="90" t="n">
        <v>41030</v>
      </c>
      <c r="B2527" t="n">
        <v>986.5</v>
      </c>
      <c r="C2527" t="n">
        <v>4341</v>
      </c>
      <c r="E2527" t="n">
        <v>9928.4</v>
      </c>
    </row>
    <row r="2528">
      <c r="A2528" s="90" t="n">
        <v>41036</v>
      </c>
      <c r="D2528" t="n">
        <v>2241.3</v>
      </c>
    </row>
    <row r="2529">
      <c r="A2529" s="90" t="n">
        <v>41043</v>
      </c>
      <c r="D2529" t="n">
        <v>2267.3</v>
      </c>
    </row>
    <row r="2530">
      <c r="A2530" s="90" t="n">
        <v>41050</v>
      </c>
      <c r="D2530" t="n">
        <v>2261.9</v>
      </c>
    </row>
    <row r="2531">
      <c r="A2531" s="90" t="n">
        <v>41057</v>
      </c>
      <c r="D2531" t="n">
        <v>2256.6</v>
      </c>
    </row>
    <row r="2532">
      <c r="A2532" s="90" t="n">
        <v>41061</v>
      </c>
      <c r="B2532" t="n">
        <v>995.7</v>
      </c>
      <c r="C2532" t="n">
        <v>4375.6</v>
      </c>
      <c r="E2532" t="n">
        <v>9999.299999999999</v>
      </c>
    </row>
    <row r="2533">
      <c r="A2533" s="90" t="n">
        <v>41064</v>
      </c>
      <c r="D2533" t="n">
        <v>2255.2</v>
      </c>
    </row>
    <row r="2534">
      <c r="A2534" s="90" t="n">
        <v>41071</v>
      </c>
      <c r="D2534" t="n">
        <v>2290.5</v>
      </c>
    </row>
    <row r="2535">
      <c r="A2535" s="90" t="n">
        <v>41078</v>
      </c>
      <c r="D2535" t="n">
        <v>2274.6</v>
      </c>
    </row>
    <row r="2536">
      <c r="A2536" s="90" t="n">
        <v>41085</v>
      </c>
      <c r="D2536" t="n">
        <v>2272.9</v>
      </c>
    </row>
    <row r="2537">
      <c r="A2537" s="90" t="n">
        <v>41091</v>
      </c>
      <c r="B2537" t="n">
        <v>1012.7</v>
      </c>
      <c r="C2537" t="n">
        <v>4397.3</v>
      </c>
      <c r="E2537" t="n">
        <v>10051.8</v>
      </c>
      <c r="F2537" t="n">
        <v>1.612</v>
      </c>
    </row>
    <row r="2538">
      <c r="A2538" s="90" t="n">
        <v>41092</v>
      </c>
      <c r="D2538" t="n">
        <v>2284.4</v>
      </c>
    </row>
    <row r="2539">
      <c r="A2539" s="90" t="n">
        <v>41099</v>
      </c>
      <c r="D2539" t="n">
        <v>2337.5</v>
      </c>
    </row>
    <row r="2540">
      <c r="A2540" s="90" t="n">
        <v>41106</v>
      </c>
      <c r="D2540" t="n">
        <v>2316.2</v>
      </c>
    </row>
    <row r="2541">
      <c r="A2541" s="90" t="n">
        <v>41113</v>
      </c>
      <c r="D2541" t="n">
        <v>2317.7</v>
      </c>
    </row>
    <row r="2542">
      <c r="A2542" s="90" t="n">
        <v>41120</v>
      </c>
      <c r="D2542" t="n">
        <v>2311.7</v>
      </c>
    </row>
    <row r="2543">
      <c r="A2543" s="90" t="n">
        <v>41122</v>
      </c>
      <c r="B2543" t="n">
        <v>1023.9</v>
      </c>
      <c r="C2543" t="n">
        <v>4402.1</v>
      </c>
      <c r="E2543" t="n">
        <v>10121.3</v>
      </c>
    </row>
    <row r="2544">
      <c r="A2544" s="90" t="n">
        <v>41127</v>
      </c>
      <c r="D2544" t="n">
        <v>2310.6</v>
      </c>
    </row>
    <row r="2545">
      <c r="A2545" s="90" t="n">
        <v>41134</v>
      </c>
      <c r="D2545" t="n">
        <v>2350</v>
      </c>
    </row>
    <row r="2546">
      <c r="A2546" s="90" t="n">
        <v>41141</v>
      </c>
      <c r="D2546" t="n">
        <v>2341.8</v>
      </c>
    </row>
    <row r="2547">
      <c r="A2547" s="90" t="n">
        <v>41148</v>
      </c>
      <c r="D2547" t="n">
        <v>2346.2</v>
      </c>
    </row>
    <row r="2548">
      <c r="A2548" s="90" t="n">
        <v>41153</v>
      </c>
      <c r="B2548" t="n">
        <v>1033.1</v>
      </c>
      <c r="C2548" t="n">
        <v>4415.6</v>
      </c>
      <c r="E2548" t="n">
        <v>10200.8</v>
      </c>
    </row>
    <row r="2549">
      <c r="A2549" s="90" t="n">
        <v>41155</v>
      </c>
      <c r="D2549" t="n">
        <v>2420.7</v>
      </c>
    </row>
    <row r="2550">
      <c r="A2550" s="90" t="n">
        <v>41162</v>
      </c>
      <c r="D2550" t="n">
        <v>2405.4</v>
      </c>
    </row>
    <row r="2551">
      <c r="A2551" s="90" t="n">
        <v>41169</v>
      </c>
      <c r="D2551" t="n">
        <v>2379.6</v>
      </c>
    </row>
    <row r="2552">
      <c r="A2552" s="90" t="n">
        <v>41176</v>
      </c>
      <c r="D2552" t="n">
        <v>2378.6</v>
      </c>
    </row>
    <row r="2553">
      <c r="A2553" s="90" t="n">
        <v>41183</v>
      </c>
      <c r="B2553" t="n">
        <v>1044.8</v>
      </c>
      <c r="C2553" t="n">
        <v>4432.5</v>
      </c>
      <c r="D2553" t="n">
        <v>2382.4</v>
      </c>
      <c r="E2553" t="n">
        <v>10267.3</v>
      </c>
      <c r="F2553" t="n">
        <v>1.586</v>
      </c>
    </row>
    <row r="2554">
      <c r="A2554" s="90" t="n">
        <v>41190</v>
      </c>
      <c r="D2554" t="n">
        <v>2422.4</v>
      </c>
    </row>
    <row r="2555">
      <c r="A2555" s="90" t="n">
        <v>41197</v>
      </c>
      <c r="D2555" t="n">
        <v>2422.2</v>
      </c>
    </row>
    <row r="2556">
      <c r="A2556" s="90" t="n">
        <v>41204</v>
      </c>
      <c r="D2556" t="n">
        <v>2417.1</v>
      </c>
    </row>
    <row r="2557">
      <c r="A2557" s="90" t="n">
        <v>41211</v>
      </c>
      <c r="D2557" t="n">
        <v>2429.4</v>
      </c>
    </row>
    <row r="2558">
      <c r="A2558" s="90" t="n">
        <v>41214</v>
      </c>
      <c r="B2558" t="n">
        <v>1055.7</v>
      </c>
      <c r="C2558" t="n">
        <v>4470.3</v>
      </c>
      <c r="E2558" t="n">
        <v>10337.6</v>
      </c>
    </row>
    <row r="2559">
      <c r="A2559" s="90" t="n">
        <v>41218</v>
      </c>
      <c r="D2559" t="n">
        <v>2430.2</v>
      </c>
    </row>
    <row r="2560">
      <c r="A2560" s="90" t="n">
        <v>41225</v>
      </c>
      <c r="D2560" t="n">
        <v>2414.8</v>
      </c>
    </row>
    <row r="2561">
      <c r="A2561" s="90" t="n">
        <v>41232</v>
      </c>
      <c r="D2561" t="n">
        <v>2420.5</v>
      </c>
    </row>
    <row r="2562">
      <c r="A2562" s="90" t="n">
        <v>41239</v>
      </c>
      <c r="D2562" t="n">
        <v>2405.2</v>
      </c>
    </row>
    <row r="2563">
      <c r="A2563" s="90" t="n">
        <v>41244</v>
      </c>
      <c r="B2563" t="n">
        <v>1064.2</v>
      </c>
      <c r="C2563" t="n">
        <v>4523.7</v>
      </c>
      <c r="E2563" t="n">
        <v>10459.7</v>
      </c>
    </row>
    <row r="2564">
      <c r="A2564" s="90" t="n">
        <v>41246</v>
      </c>
      <c r="D2564" t="n">
        <v>2467.5</v>
      </c>
    </row>
    <row r="2565">
      <c r="A2565" s="90" t="n">
        <v>41253</v>
      </c>
      <c r="D2565" t="n">
        <v>2469.3</v>
      </c>
    </row>
    <row r="2566">
      <c r="A2566" s="90" t="n">
        <v>41260</v>
      </c>
      <c r="D2566" t="n">
        <v>2438.6</v>
      </c>
    </row>
    <row r="2567">
      <c r="A2567" s="90" t="n">
        <v>41267</v>
      </c>
      <c r="D2567" t="n">
        <v>2474.4</v>
      </c>
    </row>
    <row r="2568">
      <c r="A2568" s="90" t="n">
        <v>41274</v>
      </c>
      <c r="D2568" t="n">
        <v>2459.7</v>
      </c>
    </row>
    <row r="2569">
      <c r="A2569" s="90" t="n">
        <v>41275</v>
      </c>
      <c r="B2569" t="n">
        <v>1068.5</v>
      </c>
      <c r="C2569" t="n">
        <v>4523.3</v>
      </c>
      <c r="E2569" t="n">
        <v>10479.5</v>
      </c>
      <c r="F2569" t="n">
        <v>1.583</v>
      </c>
    </row>
    <row r="2570">
      <c r="A2570" s="90" t="n">
        <v>41281</v>
      </c>
      <c r="D2570" t="n">
        <v>2459.6</v>
      </c>
    </row>
    <row r="2571">
      <c r="A2571" s="90" t="n">
        <v>41288</v>
      </c>
      <c r="D2571" t="n">
        <v>2480.1</v>
      </c>
    </row>
    <row r="2572">
      <c r="A2572" s="90" t="n">
        <v>41295</v>
      </c>
      <c r="D2572" t="n">
        <v>2488.5</v>
      </c>
    </row>
    <row r="2573">
      <c r="A2573" s="90" t="n">
        <v>41302</v>
      </c>
      <c r="D2573" t="n">
        <v>2465.2</v>
      </c>
    </row>
    <row r="2574">
      <c r="A2574" s="90" t="n">
        <v>41306</v>
      </c>
      <c r="B2574" t="n">
        <v>1060.6</v>
      </c>
      <c r="C2574" t="n">
        <v>4499.9</v>
      </c>
      <c r="E2574" t="n">
        <v>10482</v>
      </c>
    </row>
    <row r="2575">
      <c r="A2575" s="90" t="n">
        <v>41309</v>
      </c>
      <c r="D2575" t="n">
        <v>2474</v>
      </c>
    </row>
    <row r="2576">
      <c r="A2576" s="90" t="n">
        <v>41316</v>
      </c>
      <c r="D2576" t="n">
        <v>2484.3</v>
      </c>
    </row>
    <row r="2577">
      <c r="A2577" s="90" t="n">
        <v>41323</v>
      </c>
      <c r="D2577" t="n">
        <v>2469.4</v>
      </c>
    </row>
    <row r="2578">
      <c r="A2578" s="90" t="n">
        <v>41330</v>
      </c>
      <c r="D2578" t="n">
        <v>2465.9</v>
      </c>
    </row>
    <row r="2579">
      <c r="A2579" s="90" t="n">
        <v>41334</v>
      </c>
      <c r="B2579" t="n">
        <v>1066.6</v>
      </c>
      <c r="C2579" t="n">
        <v>4541.9</v>
      </c>
      <c r="E2579" t="n">
        <v>10550</v>
      </c>
    </row>
    <row r="2580">
      <c r="A2580" s="90" t="n">
        <v>41337</v>
      </c>
      <c r="D2580" t="n">
        <v>2461.8</v>
      </c>
    </row>
    <row r="2581">
      <c r="A2581" s="90" t="n">
        <v>41344</v>
      </c>
      <c r="D2581" t="n">
        <v>2468.3</v>
      </c>
    </row>
    <row r="2582">
      <c r="A2582" s="90" t="n">
        <v>41351</v>
      </c>
      <c r="D2582" t="n">
        <v>2466.8</v>
      </c>
    </row>
    <row r="2583">
      <c r="A2583" s="90" t="n">
        <v>41358</v>
      </c>
      <c r="D2583" t="n">
        <v>2488.8</v>
      </c>
    </row>
    <row r="2584">
      <c r="A2584" s="90" t="n">
        <v>41365</v>
      </c>
      <c r="B2584" t="n">
        <v>1081.6</v>
      </c>
      <c r="C2584" t="n">
        <v>4566.9</v>
      </c>
      <c r="D2584" t="n">
        <v>2511.8</v>
      </c>
      <c r="E2584" t="n">
        <v>10585.9</v>
      </c>
      <c r="F2584" t="n">
        <v>1.571</v>
      </c>
    </row>
    <row r="2585">
      <c r="A2585" s="90" t="n">
        <v>41372</v>
      </c>
      <c r="D2585" t="n">
        <v>2486.3</v>
      </c>
    </row>
    <row r="2586">
      <c r="A2586" s="90" t="n">
        <v>41379</v>
      </c>
      <c r="D2586" t="n">
        <v>2514.6</v>
      </c>
    </row>
    <row r="2587">
      <c r="A2587" s="90" t="n">
        <v>41386</v>
      </c>
      <c r="D2587" t="n">
        <v>2527.4</v>
      </c>
    </row>
    <row r="2588">
      <c r="A2588" s="90" t="n">
        <v>41393</v>
      </c>
      <c r="D2588" t="n">
        <v>2534.5</v>
      </c>
    </row>
    <row r="2589">
      <c r="A2589" s="90" t="n">
        <v>41395</v>
      </c>
      <c r="B2589" t="n">
        <v>1090.1</v>
      </c>
      <c r="C2589" t="n">
        <v>4583.2</v>
      </c>
      <c r="E2589" t="n">
        <v>10628.2</v>
      </c>
    </row>
    <row r="2590">
      <c r="A2590" s="90" t="n">
        <v>41400</v>
      </c>
      <c r="D2590" t="n">
        <v>2501.5</v>
      </c>
    </row>
    <row r="2591">
      <c r="A2591" s="90" t="n">
        <v>41407</v>
      </c>
      <c r="D2591" t="n">
        <v>2523.3</v>
      </c>
    </row>
    <row r="2592">
      <c r="A2592" s="90" t="n">
        <v>41414</v>
      </c>
      <c r="D2592" t="n">
        <v>2524.1</v>
      </c>
    </row>
    <row r="2593">
      <c r="A2593" s="90" t="n">
        <v>41421</v>
      </c>
      <c r="D2593" t="n">
        <v>2535.9</v>
      </c>
    </row>
    <row r="2594">
      <c r="A2594" s="90" t="n">
        <v>41426</v>
      </c>
      <c r="B2594" t="n">
        <v>1087.7</v>
      </c>
      <c r="C2594" t="n">
        <v>4596.7</v>
      </c>
      <c r="E2594" t="n">
        <v>10684.9</v>
      </c>
    </row>
    <row r="2595">
      <c r="A2595" s="90" t="n">
        <v>41428</v>
      </c>
      <c r="D2595" t="n">
        <v>2585.8</v>
      </c>
    </row>
    <row r="2596">
      <c r="A2596" s="90" t="n">
        <v>41435</v>
      </c>
      <c r="D2596" t="n">
        <v>2538.9</v>
      </c>
    </row>
    <row r="2597">
      <c r="A2597" s="90" t="n">
        <v>41442</v>
      </c>
      <c r="D2597" t="n">
        <v>2513.2</v>
      </c>
    </row>
    <row r="2598">
      <c r="A2598" s="90" t="n">
        <v>41449</v>
      </c>
      <c r="D2598" t="n">
        <v>2522.4</v>
      </c>
    </row>
    <row r="2599">
      <c r="A2599" s="90" t="n">
        <v>41456</v>
      </c>
      <c r="B2599" t="n">
        <v>1092.5</v>
      </c>
      <c r="C2599" t="n">
        <v>4607.5</v>
      </c>
      <c r="D2599" t="n">
        <v>2526.6</v>
      </c>
      <c r="E2599" t="n">
        <v>10730.8</v>
      </c>
      <c r="F2599" t="n">
        <v>1.568</v>
      </c>
    </row>
    <row r="2600">
      <c r="A2600" s="90" t="n">
        <v>41463</v>
      </c>
      <c r="D2600" t="n">
        <v>2526.9</v>
      </c>
    </row>
    <row r="2601">
      <c r="A2601" s="90" t="n">
        <v>41470</v>
      </c>
      <c r="D2601" t="n">
        <v>2544</v>
      </c>
    </row>
    <row r="2602">
      <c r="A2602" s="90" t="n">
        <v>41477</v>
      </c>
      <c r="D2602" t="n">
        <v>2565.6</v>
      </c>
    </row>
    <row r="2603">
      <c r="A2603" s="90" t="n">
        <v>41484</v>
      </c>
      <c r="D2603" t="n">
        <v>2552.2</v>
      </c>
    </row>
    <row r="2604">
      <c r="A2604" s="90" t="n">
        <v>41487</v>
      </c>
      <c r="B2604" t="n">
        <v>1094.8</v>
      </c>
      <c r="C2604" t="n">
        <v>4621.9</v>
      </c>
      <c r="E2604" t="n">
        <v>10790.2</v>
      </c>
    </row>
    <row r="2605">
      <c r="A2605" s="90" t="n">
        <v>41491</v>
      </c>
      <c r="D2605" t="n">
        <v>2533.6</v>
      </c>
    </row>
    <row r="2606">
      <c r="A2606" s="90" t="n">
        <v>41498</v>
      </c>
      <c r="D2606" t="n">
        <v>2545.5</v>
      </c>
    </row>
    <row r="2607">
      <c r="A2607" s="90" t="n">
        <v>41505</v>
      </c>
      <c r="D2607" t="n">
        <v>2537.8</v>
      </c>
    </row>
    <row r="2608">
      <c r="A2608" s="90" t="n">
        <v>41512</v>
      </c>
      <c r="D2608" t="n">
        <v>2562.8</v>
      </c>
    </row>
    <row r="2609">
      <c r="A2609" s="90" t="n">
        <v>41518</v>
      </c>
      <c r="B2609" t="n">
        <v>1106.8</v>
      </c>
      <c r="C2609" t="n">
        <v>4642.1</v>
      </c>
      <c r="E2609" t="n">
        <v>10841.3</v>
      </c>
    </row>
    <row r="2610">
      <c r="A2610" s="90" t="n">
        <v>41519</v>
      </c>
      <c r="D2610" t="n">
        <v>2585.5</v>
      </c>
    </row>
    <row r="2611">
      <c r="A2611" s="90" t="n">
        <v>41526</v>
      </c>
      <c r="D2611" t="n">
        <v>2581.2</v>
      </c>
    </row>
    <row r="2612">
      <c r="A2612" s="90" t="n">
        <v>41533</v>
      </c>
      <c r="D2612" t="n">
        <v>2572.1</v>
      </c>
    </row>
    <row r="2613">
      <c r="A2613" s="90" t="n">
        <v>41540</v>
      </c>
      <c r="D2613" t="n">
        <v>2590.7</v>
      </c>
    </row>
    <row r="2614">
      <c r="A2614" s="90" t="n">
        <v>41547</v>
      </c>
      <c r="D2614" t="n">
        <v>2589.9</v>
      </c>
    </row>
    <row r="2615">
      <c r="A2615" s="90" t="n">
        <v>41548</v>
      </c>
      <c r="B2615" t="n">
        <v>1122.8</v>
      </c>
      <c r="C2615" t="n">
        <v>4689</v>
      </c>
      <c r="E2615" t="n">
        <v>10956.7</v>
      </c>
      <c r="F2615" t="n">
        <v>1.56</v>
      </c>
    </row>
    <row r="2616">
      <c r="A2616" s="90" t="n">
        <v>41554</v>
      </c>
      <c r="D2616" t="n">
        <v>2568.8</v>
      </c>
    </row>
    <row r="2617">
      <c r="A2617" s="90" t="n">
        <v>41561</v>
      </c>
      <c r="D2617" t="n">
        <v>2641.1</v>
      </c>
    </row>
    <row r="2618">
      <c r="A2618" s="90" t="n">
        <v>41568</v>
      </c>
      <c r="D2618" t="n">
        <v>2662.6</v>
      </c>
    </row>
    <row r="2619">
      <c r="A2619" s="90" t="n">
        <v>41575</v>
      </c>
      <c r="D2619" t="n">
        <v>2625.4</v>
      </c>
    </row>
    <row r="2620">
      <c r="A2620" s="90" t="n">
        <v>41579</v>
      </c>
      <c r="B2620" t="n">
        <v>1125.4</v>
      </c>
      <c r="C2620" t="n">
        <v>4685.6</v>
      </c>
      <c r="E2620" t="n">
        <v>10969</v>
      </c>
    </row>
    <row r="2621">
      <c r="A2621" s="90" t="n">
        <v>41582</v>
      </c>
      <c r="D2621" t="n">
        <v>2604.8</v>
      </c>
    </row>
    <row r="2622">
      <c r="A2622" s="90" t="n">
        <v>41589</v>
      </c>
      <c r="D2622" t="n">
        <v>2615</v>
      </c>
    </row>
    <row r="2623">
      <c r="A2623" s="90" t="n">
        <v>41596</v>
      </c>
      <c r="D2623" t="n">
        <v>2622.8</v>
      </c>
    </row>
    <row r="2624">
      <c r="A2624" s="90" t="n">
        <v>41603</v>
      </c>
      <c r="D2624" t="n">
        <v>2627.9</v>
      </c>
    </row>
    <row r="2625">
      <c r="A2625" s="90" t="n">
        <v>41609</v>
      </c>
      <c r="B2625" t="n">
        <v>1135.1</v>
      </c>
      <c r="C2625" t="n">
        <v>4698.7</v>
      </c>
      <c r="E2625" t="n">
        <v>11028.8</v>
      </c>
    </row>
    <row r="2626">
      <c r="A2626" s="90" t="n">
        <v>41610</v>
      </c>
      <c r="D2626" t="n">
        <v>2654.5</v>
      </c>
    </row>
    <row r="2627">
      <c r="A2627" s="90" t="n">
        <v>41617</v>
      </c>
      <c r="D2627" t="n">
        <v>2672.8</v>
      </c>
    </row>
    <row r="2628">
      <c r="A2628" s="90" t="n">
        <v>41624</v>
      </c>
      <c r="D2628" t="n">
        <v>2656.2</v>
      </c>
    </row>
    <row r="2629">
      <c r="A2629" s="90" t="n">
        <v>41631</v>
      </c>
      <c r="D2629" t="n">
        <v>2682.7</v>
      </c>
    </row>
    <row r="2630">
      <c r="A2630" s="90" t="n">
        <v>41638</v>
      </c>
      <c r="D2630" t="n">
        <v>2648.4</v>
      </c>
    </row>
    <row r="2631">
      <c r="A2631" s="90" t="n">
        <v>41640</v>
      </c>
      <c r="B2631" t="n">
        <v>1147.1</v>
      </c>
      <c r="C2631" t="n">
        <v>4708.7</v>
      </c>
      <c r="E2631" t="n">
        <v>11078.9</v>
      </c>
      <c r="F2631" t="n">
        <v>1.538</v>
      </c>
    </row>
    <row r="2632">
      <c r="A2632" s="90" t="n">
        <v>41645</v>
      </c>
      <c r="D2632" t="n">
        <v>2668.2</v>
      </c>
    </row>
    <row r="2633">
      <c r="A2633" s="90" t="n">
        <v>41652</v>
      </c>
      <c r="D2633" t="n">
        <v>2673.9</v>
      </c>
    </row>
    <row r="2634">
      <c r="A2634" s="90" t="n">
        <v>41659</v>
      </c>
      <c r="D2634" t="n">
        <v>2704.5</v>
      </c>
    </row>
    <row r="2635">
      <c r="A2635" s="90" t="n">
        <v>41666</v>
      </c>
      <c r="D2635" t="n">
        <v>2694.1</v>
      </c>
    </row>
    <row r="2636">
      <c r="A2636" s="90" t="n">
        <v>41671</v>
      </c>
      <c r="B2636" t="n">
        <v>1156.8</v>
      </c>
      <c r="C2636" t="n">
        <v>4738.3</v>
      </c>
      <c r="E2636" t="n">
        <v>11161</v>
      </c>
    </row>
    <row r="2637">
      <c r="A2637" s="90" t="n">
        <v>41673</v>
      </c>
      <c r="D2637" t="n">
        <v>2766.9</v>
      </c>
    </row>
    <row r="2638">
      <c r="A2638" s="90" t="n">
        <v>41680</v>
      </c>
      <c r="D2638" t="n">
        <v>2719.4</v>
      </c>
    </row>
    <row r="2639">
      <c r="A2639" s="90" t="n">
        <v>41687</v>
      </c>
      <c r="D2639" t="n">
        <v>2711.3</v>
      </c>
    </row>
    <row r="2640">
      <c r="A2640" s="90" t="n">
        <v>41694</v>
      </c>
      <c r="D2640" t="n">
        <v>2707.1</v>
      </c>
    </row>
    <row r="2641">
      <c r="A2641" s="90" t="n">
        <v>41699</v>
      </c>
      <c r="B2641" t="n">
        <v>1165.7</v>
      </c>
      <c r="C2641" t="n">
        <v>4745.3</v>
      </c>
      <c r="E2641" t="n">
        <v>11200.2</v>
      </c>
    </row>
    <row r="2642">
      <c r="A2642" s="90" t="n">
        <v>41701</v>
      </c>
      <c r="D2642" t="n">
        <v>2764.5</v>
      </c>
    </row>
    <row r="2643">
      <c r="A2643" s="90" t="n">
        <v>41708</v>
      </c>
      <c r="D2643" t="n">
        <v>2762.5</v>
      </c>
    </row>
    <row r="2644">
      <c r="A2644" s="90" t="n">
        <v>41715</v>
      </c>
      <c r="D2644" t="n">
        <v>2740.1</v>
      </c>
    </row>
    <row r="2645">
      <c r="A2645" s="90" t="n">
        <v>41722</v>
      </c>
      <c r="D2645" t="n">
        <v>2749.5</v>
      </c>
    </row>
    <row r="2646">
      <c r="A2646" s="90" t="n">
        <v>41729</v>
      </c>
      <c r="D2646" t="n">
        <v>2762.3</v>
      </c>
    </row>
    <row r="2647">
      <c r="A2647" s="90" t="n">
        <v>41730</v>
      </c>
      <c r="B2647" t="n">
        <v>1172.8</v>
      </c>
      <c r="C2647" t="n">
        <v>4760.4</v>
      </c>
      <c r="E2647" t="n">
        <v>11256.9</v>
      </c>
      <c r="F2647" t="n">
        <v>1.542</v>
      </c>
    </row>
    <row r="2648">
      <c r="A2648" s="90" t="n">
        <v>41736</v>
      </c>
      <c r="D2648" t="n">
        <v>2739.3</v>
      </c>
    </row>
    <row r="2649">
      <c r="A2649" s="90" t="n">
        <v>41743</v>
      </c>
      <c r="D2649" t="n">
        <v>2790</v>
      </c>
    </row>
    <row r="2650">
      <c r="A2650" s="90" t="n">
        <v>41750</v>
      </c>
      <c r="D2650" t="n">
        <v>2789.5</v>
      </c>
    </row>
    <row r="2651">
      <c r="A2651" s="90" t="n">
        <v>41757</v>
      </c>
      <c r="D2651" t="n">
        <v>2793.1</v>
      </c>
    </row>
    <row r="2652">
      <c r="A2652" s="90" t="n">
        <v>41760</v>
      </c>
      <c r="B2652" t="n">
        <v>1178.2</v>
      </c>
      <c r="C2652" t="n">
        <v>4780.7</v>
      </c>
      <c r="E2652" t="n">
        <v>11326.3</v>
      </c>
    </row>
    <row r="2653">
      <c r="A2653" s="90" t="n">
        <v>41764</v>
      </c>
      <c r="D2653" t="n">
        <v>2783.9</v>
      </c>
    </row>
    <row r="2654">
      <c r="A2654" s="90" t="n">
        <v>41771</v>
      </c>
      <c r="D2654" t="n">
        <v>2798.8</v>
      </c>
    </row>
    <row r="2655">
      <c r="A2655" s="90" t="n">
        <v>41778</v>
      </c>
      <c r="D2655" t="n">
        <v>2782.3</v>
      </c>
    </row>
    <row r="2656">
      <c r="A2656" s="90" t="n">
        <v>41785</v>
      </c>
      <c r="D2656" t="n">
        <v>2792.3</v>
      </c>
    </row>
    <row r="2657">
      <c r="A2657" s="90" t="n">
        <v>41791</v>
      </c>
      <c r="B2657" t="n">
        <v>1191.7</v>
      </c>
      <c r="C2657" t="n">
        <v>4797.3</v>
      </c>
      <c r="E2657" t="n">
        <v>11380.7</v>
      </c>
    </row>
    <row r="2658">
      <c r="A2658" s="90" t="n">
        <v>41792</v>
      </c>
      <c r="D2658" t="n">
        <v>2820.5</v>
      </c>
    </row>
    <row r="2659">
      <c r="A2659" s="90" t="n">
        <v>41799</v>
      </c>
      <c r="D2659" t="n">
        <v>2831.3</v>
      </c>
    </row>
    <row r="2660">
      <c r="A2660" s="90" t="n">
        <v>41806</v>
      </c>
      <c r="D2660" t="n">
        <v>2825.5</v>
      </c>
    </row>
    <row r="2661">
      <c r="A2661" s="90" t="n">
        <v>41813</v>
      </c>
      <c r="D2661" t="n">
        <v>2829.2</v>
      </c>
    </row>
    <row r="2662">
      <c r="A2662" s="90" t="n">
        <v>41820</v>
      </c>
      <c r="D2662" t="n">
        <v>2834.5</v>
      </c>
    </row>
    <row r="2663">
      <c r="A2663" s="90" t="n">
        <v>41821</v>
      </c>
      <c r="B2663" t="n">
        <v>1197.1</v>
      </c>
      <c r="C2663" t="n">
        <v>4816.8</v>
      </c>
      <c r="E2663" t="n">
        <v>11439.9</v>
      </c>
      <c r="F2663" t="n">
        <v>1.547</v>
      </c>
    </row>
    <row r="2664">
      <c r="A2664" s="90" t="n">
        <v>41827</v>
      </c>
      <c r="D2664" t="n">
        <v>2812.5</v>
      </c>
    </row>
    <row r="2665">
      <c r="A2665" s="90" t="n">
        <v>41834</v>
      </c>
      <c r="D2665" t="n">
        <v>2853.2</v>
      </c>
    </row>
    <row r="2666">
      <c r="A2666" s="90" t="n">
        <v>41841</v>
      </c>
      <c r="D2666" t="n">
        <v>2860.9</v>
      </c>
    </row>
    <row r="2667">
      <c r="A2667" s="90" t="n">
        <v>41848</v>
      </c>
      <c r="D2667" t="n">
        <v>2841.4</v>
      </c>
    </row>
    <row r="2668">
      <c r="A2668" s="90" t="n">
        <v>41852</v>
      </c>
      <c r="B2668" t="n">
        <v>1180.9</v>
      </c>
      <c r="C2668" t="n">
        <v>4830</v>
      </c>
      <c r="E2668" t="n">
        <v>11469.4</v>
      </c>
    </row>
    <row r="2669">
      <c r="A2669" s="90" t="n">
        <v>41855</v>
      </c>
      <c r="D2669" t="n">
        <v>2841.9</v>
      </c>
    </row>
    <row r="2670">
      <c r="A2670" s="90" t="n">
        <v>41862</v>
      </c>
      <c r="D2670" t="n">
        <v>2807.8</v>
      </c>
    </row>
    <row r="2671">
      <c r="A2671" s="90" t="n">
        <v>41869</v>
      </c>
      <c r="D2671" t="n">
        <v>2781.3</v>
      </c>
    </row>
    <row r="2672">
      <c r="A2672" s="90" t="n">
        <v>41876</v>
      </c>
      <c r="D2672" t="n">
        <v>2794.1</v>
      </c>
    </row>
    <row r="2673">
      <c r="A2673" s="90" t="n">
        <v>41883</v>
      </c>
      <c r="B2673" t="n">
        <v>1206.5</v>
      </c>
      <c r="C2673" t="n">
        <v>4843.8</v>
      </c>
      <c r="D2673" t="n">
        <v>2809.6</v>
      </c>
      <c r="E2673" t="n">
        <v>11502.8</v>
      </c>
    </row>
    <row r="2674">
      <c r="A2674" s="90" t="n">
        <v>41890</v>
      </c>
      <c r="D2674" t="n">
        <v>2841</v>
      </c>
    </row>
    <row r="2675">
      <c r="A2675" s="90" t="n">
        <v>41897</v>
      </c>
      <c r="D2675" t="n">
        <v>2870.6</v>
      </c>
    </row>
    <row r="2676">
      <c r="A2676" s="90" t="n">
        <v>41904</v>
      </c>
      <c r="D2676" t="n">
        <v>2873</v>
      </c>
    </row>
    <row r="2677">
      <c r="A2677" s="90" t="n">
        <v>41911</v>
      </c>
      <c r="D2677" t="n">
        <v>2874</v>
      </c>
    </row>
    <row r="2678">
      <c r="A2678" s="90" t="n">
        <v>41913</v>
      </c>
      <c r="B2678" t="n">
        <v>1209.1</v>
      </c>
      <c r="C2678" t="n">
        <v>4870.2</v>
      </c>
      <c r="E2678" t="n">
        <v>11563.4</v>
      </c>
      <c r="F2678" t="n">
        <v>1.537</v>
      </c>
    </row>
    <row r="2679">
      <c r="A2679" s="90" t="n">
        <v>41918</v>
      </c>
      <c r="D2679" t="n">
        <v>2851.7</v>
      </c>
    </row>
    <row r="2680">
      <c r="A2680" s="90" t="n">
        <v>41925</v>
      </c>
      <c r="D2680" t="n">
        <v>2857.2</v>
      </c>
    </row>
    <row r="2681">
      <c r="A2681" s="90" t="n">
        <v>41932</v>
      </c>
      <c r="D2681" t="n">
        <v>2862.6</v>
      </c>
    </row>
    <row r="2682">
      <c r="A2682" s="90" t="n">
        <v>41939</v>
      </c>
      <c r="D2682" t="n">
        <v>2869.6</v>
      </c>
    </row>
    <row r="2683">
      <c r="A2683" s="90" t="n">
        <v>41944</v>
      </c>
      <c r="B2683" t="n">
        <v>1219</v>
      </c>
      <c r="C2683" t="n">
        <v>4896.8</v>
      </c>
      <c r="E2683" t="n">
        <v>11604.7</v>
      </c>
    </row>
    <row r="2684">
      <c r="A2684" s="90" t="n">
        <v>41946</v>
      </c>
      <c r="D2684" t="n">
        <v>2919.6</v>
      </c>
    </row>
    <row r="2685">
      <c r="A2685" s="90" t="n">
        <v>41953</v>
      </c>
      <c r="D2685" t="n">
        <v>2891.6</v>
      </c>
    </row>
    <row r="2686">
      <c r="A2686" s="90" t="n">
        <v>41960</v>
      </c>
      <c r="D2686" t="n">
        <v>2871.4</v>
      </c>
    </row>
    <row r="2687">
      <c r="A2687" s="90" t="n">
        <v>41967</v>
      </c>
      <c r="D2687" t="n">
        <v>2880.7</v>
      </c>
    </row>
    <row r="2688">
      <c r="A2688" s="90" t="n">
        <v>41974</v>
      </c>
      <c r="B2688" t="n">
        <v>1244.8</v>
      </c>
      <c r="C2688" t="n">
        <v>4944.5</v>
      </c>
      <c r="D2688" t="n">
        <v>2885.7</v>
      </c>
      <c r="E2688" t="n">
        <v>11681.5</v>
      </c>
    </row>
    <row r="2689">
      <c r="A2689" s="90" t="n">
        <v>41981</v>
      </c>
      <c r="D2689" t="n">
        <v>2929</v>
      </c>
    </row>
    <row r="2690">
      <c r="A2690" s="90" t="n">
        <v>41988</v>
      </c>
      <c r="D2690" t="n">
        <v>2944.2</v>
      </c>
    </row>
    <row r="2691">
      <c r="A2691" s="90" t="n">
        <v>41995</v>
      </c>
      <c r="D2691" t="n">
        <v>2959.7</v>
      </c>
    </row>
    <row r="2692">
      <c r="A2692" s="90" t="n">
        <v>42002</v>
      </c>
      <c r="D2692" t="n">
        <v>2937.8</v>
      </c>
    </row>
    <row r="2693">
      <c r="A2693" s="90" t="n">
        <v>42005</v>
      </c>
      <c r="B2693" t="n">
        <v>1253</v>
      </c>
      <c r="C2693" t="n">
        <v>5003.3</v>
      </c>
      <c r="E2693" t="n">
        <v>11745.2</v>
      </c>
      <c r="F2693" t="n">
        <v>1.521</v>
      </c>
    </row>
    <row r="2694">
      <c r="A2694" s="90" t="n">
        <v>42009</v>
      </c>
      <c r="D2694" t="n">
        <v>2934</v>
      </c>
    </row>
    <row r="2695">
      <c r="A2695" s="90" t="n">
        <v>42016</v>
      </c>
      <c r="D2695" t="n">
        <v>2930.6</v>
      </c>
    </row>
    <row r="2696">
      <c r="A2696" s="90" t="n">
        <v>42023</v>
      </c>
      <c r="D2696" t="n">
        <v>2917.8</v>
      </c>
    </row>
    <row r="2697">
      <c r="A2697" s="90" t="n">
        <v>42030</v>
      </c>
      <c r="D2697" t="n">
        <v>2935.5</v>
      </c>
    </row>
    <row r="2698">
      <c r="A2698" s="90" t="n">
        <v>42036</v>
      </c>
      <c r="B2698" t="n">
        <v>1277</v>
      </c>
      <c r="C2698" t="n">
        <v>5041.1</v>
      </c>
      <c r="E2698" t="n">
        <v>11863.9</v>
      </c>
    </row>
    <row r="2699">
      <c r="A2699" s="90" t="n">
        <v>42037</v>
      </c>
      <c r="D2699" t="n">
        <v>2999.4</v>
      </c>
    </row>
    <row r="2700">
      <c r="A2700" s="90" t="n">
        <v>42044</v>
      </c>
      <c r="D2700" t="n">
        <v>3002.2</v>
      </c>
    </row>
    <row r="2701">
      <c r="A2701" s="90" t="n">
        <v>42051</v>
      </c>
      <c r="D2701" t="n">
        <v>3005.6</v>
      </c>
    </row>
    <row r="2702">
      <c r="A2702" s="90" t="n">
        <v>42058</v>
      </c>
      <c r="D2702" t="n">
        <v>3006.4</v>
      </c>
    </row>
    <row r="2703">
      <c r="A2703" s="90" t="n">
        <v>42064</v>
      </c>
      <c r="B2703" t="n">
        <v>1270.6</v>
      </c>
      <c r="C2703" t="n">
        <v>5034.2</v>
      </c>
      <c r="E2703" t="n">
        <v>11879.6</v>
      </c>
    </row>
    <row r="2704">
      <c r="A2704" s="90" t="n">
        <v>42065</v>
      </c>
      <c r="D2704" t="n">
        <v>3015.5</v>
      </c>
    </row>
    <row r="2705">
      <c r="A2705" s="90" t="n">
        <v>42072</v>
      </c>
      <c r="D2705" t="n">
        <v>3013.2</v>
      </c>
    </row>
    <row r="2706">
      <c r="A2706" s="90" t="n">
        <v>42079</v>
      </c>
      <c r="D2706" t="n">
        <v>2995.8</v>
      </c>
    </row>
    <row r="2707">
      <c r="A2707" s="90" t="n">
        <v>42086</v>
      </c>
      <c r="D2707" t="n">
        <v>3000.2</v>
      </c>
    </row>
    <row r="2708">
      <c r="A2708" s="90" t="n">
        <v>42093</v>
      </c>
      <c r="D2708" t="n">
        <v>2987.5</v>
      </c>
    </row>
    <row r="2709">
      <c r="A2709" s="90" t="n">
        <v>42095</v>
      </c>
      <c r="B2709" t="n">
        <v>1269.7</v>
      </c>
      <c r="C2709" t="n">
        <v>5049.2</v>
      </c>
      <c r="E2709" t="n">
        <v>11927.4</v>
      </c>
      <c r="F2709" t="n">
        <v>1.521</v>
      </c>
    </row>
    <row r="2710">
      <c r="A2710" s="90" t="n">
        <v>42100</v>
      </c>
      <c r="D2710" t="n">
        <v>2977.8</v>
      </c>
    </row>
    <row r="2711">
      <c r="A2711" s="90" t="n">
        <v>42107</v>
      </c>
      <c r="D2711" t="n">
        <v>3014.8</v>
      </c>
    </row>
    <row r="2712">
      <c r="A2712" s="90" t="n">
        <v>42114</v>
      </c>
      <c r="D2712" t="n">
        <v>3015.8</v>
      </c>
    </row>
    <row r="2713">
      <c r="A2713" s="90" t="n">
        <v>42121</v>
      </c>
      <c r="D2713" t="n">
        <v>2994.4</v>
      </c>
    </row>
    <row r="2714">
      <c r="A2714" s="90" t="n">
        <v>42125</v>
      </c>
      <c r="B2714" t="n">
        <v>1258.2</v>
      </c>
      <c r="C2714" t="n">
        <v>5046.5</v>
      </c>
      <c r="E2714" t="n">
        <v>11960.3</v>
      </c>
    </row>
    <row r="2715">
      <c r="A2715" s="90" t="n">
        <v>42128</v>
      </c>
      <c r="D2715" t="n">
        <v>2995.3</v>
      </c>
    </row>
    <row r="2716">
      <c r="A2716" s="90" t="n">
        <v>42135</v>
      </c>
      <c r="D2716" t="n">
        <v>2997.1</v>
      </c>
    </row>
    <row r="2717">
      <c r="A2717" s="90" t="n">
        <v>42142</v>
      </c>
      <c r="D2717" t="n">
        <v>2970.3</v>
      </c>
    </row>
    <row r="2718">
      <c r="A2718" s="90" t="n">
        <v>42149</v>
      </c>
      <c r="D2718" t="n">
        <v>2994.8</v>
      </c>
    </row>
    <row r="2719">
      <c r="A2719" s="90" t="n">
        <v>42156</v>
      </c>
      <c r="B2719" t="n">
        <v>1271.1</v>
      </c>
      <c r="C2719" t="n">
        <v>5051.7</v>
      </c>
      <c r="D2719" t="n">
        <v>2977.1</v>
      </c>
      <c r="E2719" t="n">
        <v>12005.8</v>
      </c>
    </row>
    <row r="2720">
      <c r="A2720" s="90" t="n">
        <v>42163</v>
      </c>
      <c r="D2720" t="n">
        <v>2990.7</v>
      </c>
    </row>
    <row r="2721">
      <c r="A2721" s="90" t="n">
        <v>42170</v>
      </c>
      <c r="D2721" t="n">
        <v>3012.6</v>
      </c>
    </row>
    <row r="2722">
      <c r="A2722" s="90" t="n">
        <v>42177</v>
      </c>
      <c r="D2722" t="n">
        <v>3037.1</v>
      </c>
    </row>
    <row r="2723">
      <c r="A2723" s="90" t="n">
        <v>42184</v>
      </c>
      <c r="D2723" t="n">
        <v>3047.2</v>
      </c>
    </row>
    <row r="2724">
      <c r="A2724" s="90" t="n">
        <v>42186</v>
      </c>
      <c r="B2724" t="n">
        <v>1277.5</v>
      </c>
      <c r="C2724" t="n">
        <v>5065.8</v>
      </c>
      <c r="E2724" t="n">
        <v>12058.4</v>
      </c>
      <c r="F2724" t="n">
        <v>1.512</v>
      </c>
    </row>
    <row r="2725">
      <c r="A2725" s="90" t="n">
        <v>42191</v>
      </c>
      <c r="D2725" t="n">
        <v>3022.5</v>
      </c>
    </row>
    <row r="2726">
      <c r="A2726" s="90" t="n">
        <v>42198</v>
      </c>
      <c r="D2726" t="n">
        <v>3035.5</v>
      </c>
    </row>
    <row r="2727">
      <c r="A2727" s="90" t="n">
        <v>42205</v>
      </c>
      <c r="D2727" t="n">
        <v>3038.4</v>
      </c>
    </row>
    <row r="2728">
      <c r="A2728" s="90" t="n">
        <v>42212</v>
      </c>
      <c r="D2728" t="n">
        <v>3033.5</v>
      </c>
    </row>
    <row r="2729">
      <c r="A2729" s="90" t="n">
        <v>42217</v>
      </c>
      <c r="B2729" t="n">
        <v>1272.5</v>
      </c>
      <c r="C2729" t="n">
        <v>5087.3</v>
      </c>
      <c r="E2729" t="n">
        <v>12109.5</v>
      </c>
    </row>
    <row r="2730">
      <c r="A2730" s="90" t="n">
        <v>42219</v>
      </c>
      <c r="D2730" t="n">
        <v>3092</v>
      </c>
    </row>
    <row r="2731">
      <c r="A2731" s="90" t="n">
        <v>42226</v>
      </c>
      <c r="D2731" t="n">
        <v>3033.6</v>
      </c>
    </row>
    <row r="2732">
      <c r="A2732" s="90" t="n">
        <v>42233</v>
      </c>
      <c r="D2732" t="n">
        <v>3013.6</v>
      </c>
    </row>
    <row r="2733">
      <c r="A2733" s="90" t="n">
        <v>42240</v>
      </c>
      <c r="D2733" t="n">
        <v>3025.7</v>
      </c>
    </row>
    <row r="2734">
      <c r="A2734" s="90" t="n">
        <v>42247</v>
      </c>
      <c r="D2734" t="n">
        <v>3018.5</v>
      </c>
    </row>
    <row r="2735">
      <c r="A2735" s="90" t="n">
        <v>42248</v>
      </c>
      <c r="B2735" t="n">
        <v>1283</v>
      </c>
      <c r="C2735" t="n">
        <v>5121.9</v>
      </c>
      <c r="E2735" t="n">
        <v>12164.5</v>
      </c>
    </row>
    <row r="2736">
      <c r="A2736" s="90" t="n">
        <v>42254</v>
      </c>
      <c r="D2736" t="n">
        <v>3012</v>
      </c>
    </row>
    <row r="2737">
      <c r="A2737" s="90" t="n">
        <v>42261</v>
      </c>
      <c r="D2737" t="n">
        <v>3048.2</v>
      </c>
    </row>
    <row r="2738">
      <c r="A2738" s="90" t="n">
        <v>42268</v>
      </c>
      <c r="D2738" t="n">
        <v>3074.9</v>
      </c>
    </row>
    <row r="2739">
      <c r="A2739" s="90" t="n">
        <v>42275</v>
      </c>
      <c r="D2739" t="n">
        <v>3053.2</v>
      </c>
    </row>
    <row r="2740">
      <c r="A2740" s="90" t="n">
        <v>42278</v>
      </c>
      <c r="B2740" t="n">
        <v>1269.8</v>
      </c>
      <c r="C2740" t="n">
        <v>5130.5</v>
      </c>
      <c r="E2740" t="n">
        <v>12196.8</v>
      </c>
      <c r="F2740" t="n">
        <v>1.493</v>
      </c>
    </row>
    <row r="2741">
      <c r="A2741" s="90" t="n">
        <v>42282</v>
      </c>
      <c r="D2741" t="n">
        <v>3016.1</v>
      </c>
    </row>
    <row r="2742">
      <c r="A2742" s="90" t="n">
        <v>42289</v>
      </c>
      <c r="D2742" t="n">
        <v>2999.1</v>
      </c>
    </row>
    <row r="2743">
      <c r="A2743" s="90" t="n">
        <v>42296</v>
      </c>
      <c r="D2743" t="n">
        <v>2996.2</v>
      </c>
    </row>
    <row r="2744">
      <c r="A2744" s="90" t="n">
        <v>42303</v>
      </c>
      <c r="D2744" t="n">
        <v>3023.1</v>
      </c>
    </row>
    <row r="2745">
      <c r="A2745" s="90" t="n">
        <v>42309</v>
      </c>
      <c r="B2745" t="n">
        <v>1295</v>
      </c>
      <c r="C2745" t="n">
        <v>5161.8</v>
      </c>
      <c r="E2745" t="n">
        <v>12286</v>
      </c>
    </row>
    <row r="2746">
      <c r="A2746" s="90" t="n">
        <v>42310</v>
      </c>
      <c r="D2746" t="n">
        <v>3067.6</v>
      </c>
    </row>
    <row r="2747">
      <c r="A2747" s="90" t="n">
        <v>42317</v>
      </c>
      <c r="D2747" t="n">
        <v>3077.4</v>
      </c>
    </row>
    <row r="2748">
      <c r="A2748" s="90" t="n">
        <v>42324</v>
      </c>
      <c r="D2748" t="n">
        <v>3072.7</v>
      </c>
    </row>
    <row r="2749">
      <c r="A2749" s="90" t="n">
        <v>42331</v>
      </c>
      <c r="D2749" t="n">
        <v>3095.2</v>
      </c>
    </row>
    <row r="2750">
      <c r="A2750" s="90" t="n">
        <v>42338</v>
      </c>
      <c r="D2750" t="n">
        <v>3084.4</v>
      </c>
    </row>
    <row r="2751">
      <c r="A2751" s="90" t="n">
        <v>42339</v>
      </c>
      <c r="B2751" t="n">
        <v>1302.1</v>
      </c>
      <c r="C2751" t="n">
        <v>5191.8</v>
      </c>
      <c r="E2751" t="n">
        <v>12344</v>
      </c>
    </row>
    <row r="2752">
      <c r="A2752" s="90" t="n">
        <v>42345</v>
      </c>
      <c r="D2752" t="n">
        <v>3038.9</v>
      </c>
    </row>
    <row r="2753">
      <c r="A2753" s="90" t="n">
        <v>42352</v>
      </c>
      <c r="D2753" t="n">
        <v>3083.8</v>
      </c>
    </row>
    <row r="2754">
      <c r="A2754" s="90" t="n">
        <v>42359</v>
      </c>
      <c r="D2754" t="n">
        <v>3116.8</v>
      </c>
    </row>
    <row r="2755">
      <c r="A2755" s="90" t="n">
        <v>42366</v>
      </c>
      <c r="D2755" t="n">
        <v>3099.9</v>
      </c>
    </row>
    <row r="2756">
      <c r="A2756" s="90" t="n">
        <v>42370</v>
      </c>
      <c r="B2756" t="n">
        <v>1303.1</v>
      </c>
      <c r="C2756" t="n">
        <v>5247.2</v>
      </c>
      <c r="E2756" t="n">
        <v>12470</v>
      </c>
      <c r="F2756" t="n">
        <v>1.469</v>
      </c>
    </row>
    <row r="2757">
      <c r="A2757" s="90" t="n">
        <v>42373</v>
      </c>
      <c r="D2757" t="n">
        <v>3177.3</v>
      </c>
    </row>
    <row r="2758">
      <c r="A2758" s="90" t="n">
        <v>42380</v>
      </c>
      <c r="D2758" t="n">
        <v>3090.4</v>
      </c>
    </row>
    <row r="2759">
      <c r="A2759" s="90" t="n">
        <v>42387</v>
      </c>
      <c r="D2759" t="n">
        <v>3079.7</v>
      </c>
    </row>
    <row r="2760">
      <c r="A2760" s="90" t="n">
        <v>42394</v>
      </c>
      <c r="D2760" t="n">
        <v>3093.3</v>
      </c>
    </row>
    <row r="2761">
      <c r="A2761" s="90" t="n">
        <v>42401</v>
      </c>
      <c r="B2761" t="n">
        <v>1318.3</v>
      </c>
      <c r="C2761" t="n">
        <v>5286</v>
      </c>
      <c r="D2761" t="n">
        <v>3079.9</v>
      </c>
      <c r="E2761" t="n">
        <v>12545.6</v>
      </c>
    </row>
    <row r="2762">
      <c r="A2762" s="90" t="n">
        <v>42408</v>
      </c>
      <c r="D2762" t="n">
        <v>3084.2</v>
      </c>
    </row>
    <row r="2763">
      <c r="A2763" s="90" t="n">
        <v>42415</v>
      </c>
      <c r="D2763" t="n">
        <v>3138.4</v>
      </c>
    </row>
    <row r="2764">
      <c r="A2764" s="90" t="n">
        <v>42422</v>
      </c>
      <c r="D2764" t="n">
        <v>3134.3</v>
      </c>
    </row>
    <row r="2765">
      <c r="A2765" s="90" t="n">
        <v>42429</v>
      </c>
      <c r="D2765" t="n">
        <v>3165.8</v>
      </c>
    </row>
    <row r="2766">
      <c r="A2766" s="90" t="n">
        <v>42430</v>
      </c>
      <c r="B2766" t="n">
        <v>1324.8</v>
      </c>
      <c r="C2766" t="n">
        <v>5296.4</v>
      </c>
      <c r="E2766" t="n">
        <v>12609.7</v>
      </c>
    </row>
    <row r="2767">
      <c r="A2767" s="90" t="n">
        <v>42436</v>
      </c>
      <c r="D2767" t="n">
        <v>3107.5</v>
      </c>
    </row>
    <row r="2768">
      <c r="A2768" s="90" t="n">
        <v>42443</v>
      </c>
      <c r="D2768" t="n">
        <v>3134.2</v>
      </c>
    </row>
    <row r="2769">
      <c r="A2769" s="90" t="n">
        <v>42450</v>
      </c>
      <c r="D2769" t="n">
        <v>3174.5</v>
      </c>
    </row>
    <row r="2770">
      <c r="A2770" s="90" t="n">
        <v>42457</v>
      </c>
      <c r="D2770" t="n">
        <v>3181</v>
      </c>
    </row>
    <row r="2771">
      <c r="A2771" s="90" t="n">
        <v>42461</v>
      </c>
      <c r="B2771" t="n">
        <v>1338.3</v>
      </c>
      <c r="C2771" t="n">
        <v>5313.3</v>
      </c>
      <c r="E2771" t="n">
        <v>12698.4</v>
      </c>
      <c r="F2771" t="n">
        <v>1.458</v>
      </c>
    </row>
    <row r="2772">
      <c r="A2772" s="90" t="n">
        <v>42464</v>
      </c>
      <c r="D2772" t="n">
        <v>3180.7</v>
      </c>
    </row>
    <row r="2773">
      <c r="A2773" s="90" t="n">
        <v>42471</v>
      </c>
      <c r="D2773" t="n">
        <v>3198.4</v>
      </c>
    </row>
    <row r="2774">
      <c r="A2774" s="90" t="n">
        <v>42478</v>
      </c>
      <c r="D2774" t="n">
        <v>3182.4</v>
      </c>
    </row>
    <row r="2775">
      <c r="A2775" s="90" t="n">
        <v>42485</v>
      </c>
      <c r="D2775" t="n">
        <v>3203.5</v>
      </c>
    </row>
    <row r="2776">
      <c r="A2776" s="90" t="n">
        <v>42491</v>
      </c>
      <c r="B2776" t="n">
        <v>1351.5</v>
      </c>
      <c r="C2776" t="n">
        <v>5328.8</v>
      </c>
      <c r="E2776" t="n">
        <v>12765.6</v>
      </c>
    </row>
    <row r="2777">
      <c r="A2777" s="90" t="n">
        <v>42492</v>
      </c>
      <c r="D2777" t="n">
        <v>3242.5</v>
      </c>
    </row>
    <row r="2778">
      <c r="A2778" s="90" t="n">
        <v>42499</v>
      </c>
      <c r="D2778" t="n">
        <v>3255.3</v>
      </c>
    </row>
    <row r="2779">
      <c r="A2779" s="90" t="n">
        <v>42506</v>
      </c>
      <c r="D2779" t="n">
        <v>3236.6</v>
      </c>
    </row>
    <row r="2780">
      <c r="A2780" s="90" t="n">
        <v>42513</v>
      </c>
      <c r="D2780" t="n">
        <v>3248.8</v>
      </c>
    </row>
    <row r="2781">
      <c r="A2781" s="90" t="n">
        <v>42520</v>
      </c>
      <c r="D2781" t="n">
        <v>3218.7</v>
      </c>
    </row>
    <row r="2782">
      <c r="A2782" s="90" t="n">
        <v>42522</v>
      </c>
      <c r="B2782" t="n">
        <v>1351.3</v>
      </c>
      <c r="C2782" t="n">
        <v>5341.7</v>
      </c>
      <c r="E2782" t="n">
        <v>12831.9</v>
      </c>
    </row>
    <row r="2783">
      <c r="A2783" s="90" t="n">
        <v>42527</v>
      </c>
      <c r="D2783" t="n">
        <v>3207</v>
      </c>
    </row>
    <row r="2784">
      <c r="A2784" s="90" t="n">
        <v>42534</v>
      </c>
      <c r="D2784" t="n">
        <v>3256.1</v>
      </c>
    </row>
    <row r="2785">
      <c r="A2785" s="90" t="n">
        <v>42541</v>
      </c>
      <c r="D2785" t="n">
        <v>3270.2</v>
      </c>
    </row>
    <row r="2786">
      <c r="A2786" s="90" t="n">
        <v>42548</v>
      </c>
      <c r="D2786" t="n">
        <v>3247.8</v>
      </c>
    </row>
    <row r="2787">
      <c r="A2787" s="90" t="n">
        <v>42552</v>
      </c>
      <c r="B2787" t="n">
        <v>1351.9</v>
      </c>
      <c r="C2787" t="n">
        <v>5369.4</v>
      </c>
      <c r="E2787" t="n">
        <v>12892</v>
      </c>
      <c r="F2787" t="n">
        <v>1.448</v>
      </c>
    </row>
    <row r="2788">
      <c r="A2788" s="90" t="n">
        <v>42555</v>
      </c>
      <c r="D2788" t="n">
        <v>3251.2</v>
      </c>
    </row>
    <row r="2789">
      <c r="A2789" s="90" t="n">
        <v>42562</v>
      </c>
      <c r="D2789" t="n">
        <v>3260.8</v>
      </c>
    </row>
    <row r="2790">
      <c r="A2790" s="90" t="n">
        <v>42569</v>
      </c>
      <c r="D2790" t="n">
        <v>3243.4</v>
      </c>
    </row>
    <row r="2791">
      <c r="A2791" s="90" t="n">
        <v>42576</v>
      </c>
      <c r="D2791" t="n">
        <v>3253.9</v>
      </c>
    </row>
    <row r="2792">
      <c r="A2792" s="90" t="n">
        <v>42583</v>
      </c>
      <c r="B2792" t="n">
        <v>1379.9</v>
      </c>
      <c r="C2792" t="n">
        <v>5395.3</v>
      </c>
      <c r="D2792" t="n">
        <v>3232.7</v>
      </c>
      <c r="E2792" t="n">
        <v>12978.2</v>
      </c>
    </row>
    <row r="2793">
      <c r="A2793" s="90" t="n">
        <v>42590</v>
      </c>
      <c r="D2793" t="n">
        <v>3299.2</v>
      </c>
    </row>
    <row r="2794">
      <c r="A2794" s="90" t="n">
        <v>42597</v>
      </c>
      <c r="D2794" t="n">
        <v>3323.6</v>
      </c>
    </row>
    <row r="2795">
      <c r="A2795" s="90" t="n">
        <v>42604</v>
      </c>
      <c r="D2795" t="n">
        <v>3344.1</v>
      </c>
    </row>
    <row r="2796">
      <c r="A2796" s="90" t="n">
        <v>42611</v>
      </c>
      <c r="D2796" t="n">
        <v>3323.7</v>
      </c>
    </row>
    <row r="2797">
      <c r="A2797" s="90" t="n">
        <v>42614</v>
      </c>
      <c r="B2797" t="n">
        <v>1379.8</v>
      </c>
      <c r="C2797" t="n">
        <v>5406</v>
      </c>
      <c r="E2797" t="n">
        <v>13037.9</v>
      </c>
    </row>
    <row r="2798">
      <c r="A2798" s="90" t="n">
        <v>42618</v>
      </c>
      <c r="D2798" t="n">
        <v>3288.9</v>
      </c>
    </row>
    <row r="2799">
      <c r="A2799" s="90" t="n">
        <v>42625</v>
      </c>
      <c r="D2799" t="n">
        <v>3333.2</v>
      </c>
    </row>
    <row r="2800">
      <c r="A2800" s="90" t="n">
        <v>42632</v>
      </c>
      <c r="D2800" t="n">
        <v>3324.8</v>
      </c>
    </row>
    <row r="2801">
      <c r="A2801" s="90" t="n">
        <v>42639</v>
      </c>
      <c r="D2801" t="n">
        <v>3322.3</v>
      </c>
    </row>
    <row r="2802">
      <c r="A2802" s="90" t="n">
        <v>42644</v>
      </c>
      <c r="B2802" t="n">
        <v>1378.9</v>
      </c>
      <c r="C2802" t="n">
        <v>5421.3</v>
      </c>
      <c r="E2802" t="n">
        <v>13105.4</v>
      </c>
      <c r="F2802" t="n">
        <v>1.441</v>
      </c>
    </row>
    <row r="2803">
      <c r="A2803" s="90" t="n">
        <v>42646</v>
      </c>
      <c r="D2803" t="n">
        <v>3374.5</v>
      </c>
    </row>
    <row r="2804">
      <c r="A2804" s="90" t="n">
        <v>42653</v>
      </c>
      <c r="D2804" t="n">
        <v>3362.5</v>
      </c>
    </row>
    <row r="2805">
      <c r="A2805" s="90" t="n">
        <v>42660</v>
      </c>
      <c r="D2805" t="n">
        <v>3309.1</v>
      </c>
    </row>
    <row r="2806">
      <c r="A2806" s="90" t="n">
        <v>42667</v>
      </c>
      <c r="D2806" t="n">
        <v>3318.6</v>
      </c>
    </row>
    <row r="2807">
      <c r="A2807" s="90" t="n">
        <v>42674</v>
      </c>
      <c r="D2807" t="n">
        <v>3328.7</v>
      </c>
    </row>
    <row r="2808">
      <c r="A2808" s="90" t="n">
        <v>42675</v>
      </c>
      <c r="B2808" t="n">
        <v>1386.2</v>
      </c>
      <c r="C2808" t="n">
        <v>5444.2</v>
      </c>
      <c r="E2808" t="n">
        <v>13176.5</v>
      </c>
    </row>
    <row r="2809">
      <c r="A2809" s="90" t="n">
        <v>42681</v>
      </c>
      <c r="D2809" t="n">
        <v>3305.2</v>
      </c>
    </row>
    <row r="2810">
      <c r="A2810" s="90" t="n">
        <v>42688</v>
      </c>
      <c r="D2810" t="n">
        <v>3368</v>
      </c>
    </row>
    <row r="2811">
      <c r="A2811" s="90" t="n">
        <v>42695</v>
      </c>
      <c r="D2811" t="n">
        <v>3385.6</v>
      </c>
    </row>
    <row r="2812">
      <c r="A2812" s="90" t="n">
        <v>42702</v>
      </c>
      <c r="D2812" t="n">
        <v>3360.5</v>
      </c>
    </row>
    <row r="2813">
      <c r="A2813" s="90" t="n">
        <v>42705</v>
      </c>
      <c r="B2813" t="n">
        <v>1376.9</v>
      </c>
      <c r="C2813" t="n">
        <v>5444.2</v>
      </c>
      <c r="E2813" t="n">
        <v>13209.6</v>
      </c>
    </row>
    <row r="2814">
      <c r="A2814" s="90" t="n">
        <v>42709</v>
      </c>
      <c r="D2814" t="n">
        <v>3324.3</v>
      </c>
    </row>
    <row r="2815">
      <c r="A2815" s="90" t="n">
        <v>42716</v>
      </c>
      <c r="D2815" t="n">
        <v>3347.2</v>
      </c>
    </row>
    <row r="2816">
      <c r="A2816" s="90" t="n">
        <v>42723</v>
      </c>
      <c r="D2816" t="n">
        <v>3328.7</v>
      </c>
    </row>
    <row r="2817">
      <c r="A2817" s="90" t="n">
        <v>42730</v>
      </c>
      <c r="D2817" t="n">
        <v>3345.9</v>
      </c>
    </row>
    <row r="2818">
      <c r="A2818" s="90" t="n">
        <v>42736</v>
      </c>
      <c r="B2818" t="n">
        <v>1392</v>
      </c>
      <c r="C2818" t="n">
        <v>5452.3</v>
      </c>
      <c r="E2818" t="n">
        <v>13282.7</v>
      </c>
      <c r="F2818" t="n">
        <v>1.434</v>
      </c>
    </row>
    <row r="2819">
      <c r="A2819" s="90" t="n">
        <v>42737</v>
      </c>
      <c r="D2819" t="n">
        <v>3351.8</v>
      </c>
    </row>
    <row r="2820">
      <c r="A2820" s="90" t="n">
        <v>42744</v>
      </c>
      <c r="D2820" t="n">
        <v>3383.8</v>
      </c>
    </row>
    <row r="2821">
      <c r="A2821" s="90" t="n">
        <v>42751</v>
      </c>
      <c r="D2821" t="n">
        <v>3388.8</v>
      </c>
    </row>
    <row r="2822">
      <c r="A2822" s="90" t="n">
        <v>42758</v>
      </c>
      <c r="D2822" t="n">
        <v>3394.6</v>
      </c>
    </row>
    <row r="2823">
      <c r="A2823" s="90" t="n">
        <v>42765</v>
      </c>
      <c r="D2823" t="n">
        <v>3399.7</v>
      </c>
    </row>
    <row r="2824">
      <c r="A2824" s="90" t="n">
        <v>42767</v>
      </c>
      <c r="B2824" t="n">
        <v>1394.5</v>
      </c>
      <c r="C2824" t="n">
        <v>5471.8</v>
      </c>
      <c r="E2824" t="n">
        <v>13351.4</v>
      </c>
    </row>
    <row r="2825">
      <c r="A2825" s="90" t="n">
        <v>42772</v>
      </c>
      <c r="D2825" t="n">
        <v>3364.4</v>
      </c>
    </row>
    <row r="2826">
      <c r="A2826" s="90" t="n">
        <v>42779</v>
      </c>
      <c r="D2826" t="n">
        <v>3394.4</v>
      </c>
    </row>
    <row r="2827">
      <c r="A2827" s="90" t="n">
        <v>42786</v>
      </c>
      <c r="D2827" t="n">
        <v>3426.8</v>
      </c>
    </row>
    <row r="2828">
      <c r="A2828" s="90" t="n">
        <v>42793</v>
      </c>
      <c r="D2828" t="n">
        <v>3420.9</v>
      </c>
    </row>
    <row r="2829">
      <c r="A2829" s="90" t="n">
        <v>42795</v>
      </c>
      <c r="B2829" t="n">
        <v>1414.8</v>
      </c>
      <c r="C2829" t="n">
        <v>5502.7</v>
      </c>
      <c r="E2829" t="n">
        <v>13420.6</v>
      </c>
    </row>
    <row r="2830">
      <c r="A2830" s="90" t="n">
        <v>42800</v>
      </c>
      <c r="D2830" t="n">
        <v>3394.1</v>
      </c>
    </row>
    <row r="2831">
      <c r="A2831" s="90" t="n">
        <v>42807</v>
      </c>
      <c r="D2831" t="n">
        <v>3446.1</v>
      </c>
    </row>
    <row r="2832">
      <c r="A2832" s="90" t="n">
        <v>42814</v>
      </c>
      <c r="D2832" t="n">
        <v>3458.6</v>
      </c>
    </row>
    <row r="2833">
      <c r="A2833" s="90" t="n">
        <v>42821</v>
      </c>
      <c r="D2833" t="n">
        <v>3445.8</v>
      </c>
    </row>
    <row r="2834">
      <c r="A2834" s="90" t="n">
        <v>42826</v>
      </c>
      <c r="B2834" t="n">
        <v>1413.3</v>
      </c>
      <c r="C2834" t="n">
        <v>5521.4</v>
      </c>
      <c r="E2834" t="n">
        <v>13482.9</v>
      </c>
      <c r="F2834" t="n">
        <v>1.427</v>
      </c>
    </row>
    <row r="2835">
      <c r="A2835" s="90" t="n">
        <v>42828</v>
      </c>
      <c r="D2835" t="n">
        <v>3518.4</v>
      </c>
    </row>
    <row r="2836">
      <c r="A2836" s="90" t="n">
        <v>42835</v>
      </c>
      <c r="D2836" t="n">
        <v>3457</v>
      </c>
    </row>
    <row r="2837">
      <c r="A2837" s="90" t="n">
        <v>42842</v>
      </c>
      <c r="D2837" t="n">
        <v>3441.1</v>
      </c>
    </row>
    <row r="2838">
      <c r="A2838" s="90" t="n">
        <v>42849</v>
      </c>
      <c r="D2838" t="n">
        <v>3446.2</v>
      </c>
    </row>
    <row r="2839">
      <c r="A2839" s="90" t="n">
        <v>42856</v>
      </c>
      <c r="B2839" t="n">
        <v>1441</v>
      </c>
      <c r="C2839" t="n">
        <v>5547</v>
      </c>
      <c r="D2839" t="n">
        <v>3450.2</v>
      </c>
      <c r="E2839" t="n">
        <v>13534.8</v>
      </c>
    </row>
    <row r="2840">
      <c r="A2840" s="90" t="n">
        <v>42863</v>
      </c>
      <c r="D2840" t="n">
        <v>3502.8</v>
      </c>
    </row>
    <row r="2841">
      <c r="A2841" s="90" t="n">
        <v>42870</v>
      </c>
      <c r="D2841" t="n">
        <v>3526.1</v>
      </c>
    </row>
    <row r="2842">
      <c r="A2842" s="90" t="n">
        <v>42877</v>
      </c>
      <c r="D2842" t="n">
        <v>3538.9</v>
      </c>
    </row>
    <row r="2843">
      <c r="A2843" s="90" t="n">
        <v>42884</v>
      </c>
      <c r="D2843" t="n">
        <v>3525.2</v>
      </c>
    </row>
    <row r="2844">
      <c r="A2844" s="90" t="n">
        <v>42887</v>
      </c>
      <c r="B2844" t="n">
        <v>1443.7</v>
      </c>
      <c r="C2844" t="n">
        <v>5553.2</v>
      </c>
      <c r="E2844" t="n">
        <v>13558.9</v>
      </c>
    </row>
    <row r="2845">
      <c r="A2845" s="90" t="n">
        <v>42891</v>
      </c>
      <c r="D2845" t="n">
        <v>3489.2</v>
      </c>
    </row>
    <row r="2846">
      <c r="A2846" s="90" t="n">
        <v>42898</v>
      </c>
      <c r="D2846" t="n">
        <v>3514.5</v>
      </c>
    </row>
    <row r="2847">
      <c r="A2847" s="90" t="n">
        <v>42905</v>
      </c>
      <c r="D2847" t="n">
        <v>3512.4</v>
      </c>
    </row>
    <row r="2848">
      <c r="A2848" s="90" t="n">
        <v>42912</v>
      </c>
      <c r="D2848" t="n">
        <v>3553</v>
      </c>
    </row>
    <row r="2849">
      <c r="A2849" s="90" t="n">
        <v>42917</v>
      </c>
      <c r="B2849" t="n">
        <v>1452.9</v>
      </c>
      <c r="C2849" t="n">
        <v>5576.8</v>
      </c>
      <c r="E2849" t="n">
        <v>13621</v>
      </c>
      <c r="F2849" t="n">
        <v>1.431</v>
      </c>
    </row>
    <row r="2850">
      <c r="A2850" s="90" t="n">
        <v>42919</v>
      </c>
      <c r="D2850" t="n">
        <v>3580.7</v>
      </c>
    </row>
    <row r="2851">
      <c r="A2851" s="90" t="n">
        <v>42926</v>
      </c>
      <c r="D2851" t="n">
        <v>3552.4</v>
      </c>
    </row>
    <row r="2852">
      <c r="A2852" s="90" t="n">
        <v>42933</v>
      </c>
      <c r="D2852" t="n">
        <v>3519.5</v>
      </c>
    </row>
    <row r="2853">
      <c r="A2853" s="90" t="n">
        <v>42940</v>
      </c>
      <c r="D2853" t="n">
        <v>3553.4</v>
      </c>
    </row>
    <row r="2854">
      <c r="A2854" s="90" t="n">
        <v>42947</v>
      </c>
      <c r="D2854" t="n">
        <v>3567.4</v>
      </c>
    </row>
    <row r="2855">
      <c r="A2855" s="90" t="n">
        <v>42948</v>
      </c>
      <c r="B2855" t="n">
        <v>1463.3</v>
      </c>
      <c r="C2855" t="n">
        <v>5579.3</v>
      </c>
      <c r="E2855" t="n">
        <v>13679.6</v>
      </c>
    </row>
    <row r="2856">
      <c r="A2856" s="90" t="n">
        <v>42954</v>
      </c>
      <c r="D2856" t="n">
        <v>3540.5</v>
      </c>
    </row>
    <row r="2857">
      <c r="A2857" s="90" t="n">
        <v>42961</v>
      </c>
      <c r="D2857" t="n">
        <v>3582.6</v>
      </c>
    </row>
    <row r="2858">
      <c r="A2858" s="90" t="n">
        <v>42968</v>
      </c>
      <c r="D2858" t="n">
        <v>3635.1</v>
      </c>
    </row>
    <row r="2859">
      <c r="A2859" s="90" t="n">
        <v>42975</v>
      </c>
      <c r="D2859" t="n">
        <v>3597.7</v>
      </c>
    </row>
    <row r="2860">
      <c r="A2860" s="90" t="n">
        <v>42979</v>
      </c>
      <c r="B2860" t="n">
        <v>1449.1</v>
      </c>
      <c r="C2860" t="n">
        <v>5568.2</v>
      </c>
      <c r="E2860" t="n">
        <v>13722.1</v>
      </c>
    </row>
    <row r="2861">
      <c r="A2861" s="90" t="n">
        <v>42982</v>
      </c>
      <c r="D2861" t="n">
        <v>3550.7</v>
      </c>
    </row>
    <row r="2862">
      <c r="A2862" s="90" t="n">
        <v>42989</v>
      </c>
      <c r="D2862" t="n">
        <v>3588.1</v>
      </c>
    </row>
    <row r="2863">
      <c r="A2863" s="90" t="n">
        <v>42996</v>
      </c>
      <c r="D2863" t="n">
        <v>3574.8</v>
      </c>
    </row>
    <row r="2864">
      <c r="A2864" s="90" t="n">
        <v>43003</v>
      </c>
      <c r="D2864" t="n">
        <v>3568.4</v>
      </c>
    </row>
    <row r="2865">
      <c r="A2865" s="90" t="n">
        <v>43009</v>
      </c>
      <c r="B2865" t="n">
        <v>1462.3</v>
      </c>
      <c r="C2865" t="n">
        <v>5586.4</v>
      </c>
      <c r="E2865" t="n">
        <v>13777.4</v>
      </c>
      <c r="F2865" t="n">
        <v>1.44</v>
      </c>
    </row>
    <row r="2866">
      <c r="A2866" s="90" t="n">
        <v>43010</v>
      </c>
      <c r="D2866" t="n">
        <v>3581.7</v>
      </c>
    </row>
    <row r="2867">
      <c r="A2867" s="90" t="n">
        <v>43017</v>
      </c>
      <c r="D2867" t="n">
        <v>3618.2</v>
      </c>
    </row>
    <row r="2868">
      <c r="A2868" s="90" t="n">
        <v>43024</v>
      </c>
      <c r="D2868" t="n">
        <v>3593.9</v>
      </c>
    </row>
    <row r="2869">
      <c r="A2869" s="90" t="n">
        <v>43031</v>
      </c>
      <c r="D2869" t="n">
        <v>3612.7</v>
      </c>
    </row>
    <row r="2870">
      <c r="A2870" s="90" t="n">
        <v>43038</v>
      </c>
      <c r="D2870" t="n">
        <v>3598.9</v>
      </c>
    </row>
    <row r="2871">
      <c r="A2871" s="90" t="n">
        <v>43040</v>
      </c>
      <c r="B2871" t="n">
        <v>1468.4</v>
      </c>
      <c r="C2871" t="n">
        <v>5582.3</v>
      </c>
      <c r="E2871" t="n">
        <v>13804.1</v>
      </c>
    </row>
    <row r="2872">
      <c r="A2872" s="90" t="n">
        <v>43045</v>
      </c>
      <c r="D2872" t="n">
        <v>3591.9</v>
      </c>
    </row>
    <row r="2873">
      <c r="A2873" s="90" t="n">
        <v>43052</v>
      </c>
      <c r="D2873" t="n">
        <v>3631.3</v>
      </c>
    </row>
    <row r="2874">
      <c r="A2874" s="90" t="n">
        <v>43059</v>
      </c>
      <c r="D2874" t="n">
        <v>3644.9</v>
      </c>
    </row>
    <row r="2875">
      <c r="A2875" s="90" t="n">
        <v>43066</v>
      </c>
      <c r="D2875" t="n">
        <v>3641.9</v>
      </c>
    </row>
    <row r="2876">
      <c r="A2876" s="90" t="n">
        <v>43070</v>
      </c>
      <c r="B2876" t="n">
        <v>1457</v>
      </c>
      <c r="C2876" t="n">
        <v>5590</v>
      </c>
      <c r="E2876" t="n">
        <v>13852.3</v>
      </c>
    </row>
    <row r="2877">
      <c r="A2877" s="90" t="n">
        <v>43073</v>
      </c>
      <c r="D2877" t="n">
        <v>3619.2</v>
      </c>
    </row>
    <row r="2878">
      <c r="A2878" s="90" t="n">
        <v>43080</v>
      </c>
      <c r="D2878" t="n">
        <v>3632.1</v>
      </c>
    </row>
    <row r="2879">
      <c r="A2879" s="90" t="n">
        <v>43087</v>
      </c>
      <c r="D2879" t="n">
        <v>3608.5</v>
      </c>
    </row>
    <row r="2880">
      <c r="A2880" s="90" t="n">
        <v>43094</v>
      </c>
      <c r="D2880" t="n">
        <v>3595.6</v>
      </c>
    </row>
    <row r="2881">
      <c r="A2881" s="90" t="n">
        <v>43101</v>
      </c>
      <c r="B2881" t="n">
        <v>1469.9</v>
      </c>
      <c r="C2881" t="n">
        <v>5575.3</v>
      </c>
      <c r="D2881" t="n">
        <v>3581</v>
      </c>
      <c r="E2881" t="n">
        <v>13868.2</v>
      </c>
      <c r="F2881" t="n">
        <v>1.449</v>
      </c>
    </row>
    <row r="2882">
      <c r="A2882" s="90" t="n">
        <v>43108</v>
      </c>
      <c r="D2882" t="n">
        <v>3642.1</v>
      </c>
    </row>
    <row r="2883">
      <c r="A2883" s="90" t="n">
        <v>43115</v>
      </c>
      <c r="D2883" t="n">
        <v>3670.6</v>
      </c>
    </row>
    <row r="2884">
      <c r="A2884" s="90" t="n">
        <v>43122</v>
      </c>
      <c r="D2884" t="n">
        <v>3663</v>
      </c>
    </row>
    <row r="2885">
      <c r="A2885" s="90" t="n">
        <v>43129</v>
      </c>
      <c r="D2885" t="n">
        <v>3636.4</v>
      </c>
    </row>
    <row r="2886">
      <c r="A2886" s="90" t="n">
        <v>43132</v>
      </c>
      <c r="B2886" t="n">
        <v>1450.9</v>
      </c>
      <c r="C2886" t="n">
        <v>5576.6</v>
      </c>
      <c r="E2886" t="n">
        <v>13910.2</v>
      </c>
    </row>
    <row r="2887">
      <c r="A2887" s="90" t="n">
        <v>43136</v>
      </c>
      <c r="D2887" t="n">
        <v>3622.6</v>
      </c>
    </row>
    <row r="2888">
      <c r="A2888" s="90" t="n">
        <v>43143</v>
      </c>
      <c r="D2888" t="n">
        <v>3607.4</v>
      </c>
    </row>
    <row r="2889">
      <c r="A2889" s="90" t="n">
        <v>43150</v>
      </c>
      <c r="D2889" t="n">
        <v>3611.8</v>
      </c>
    </row>
    <row r="2890">
      <c r="A2890" s="90" t="n">
        <v>43157</v>
      </c>
      <c r="D2890" t="n">
        <v>3624.3</v>
      </c>
    </row>
    <row r="2891">
      <c r="A2891" s="90" t="n">
        <v>43160</v>
      </c>
      <c r="B2891" t="n">
        <v>1467.8</v>
      </c>
      <c r="C2891" t="n">
        <v>5595.6</v>
      </c>
      <c r="E2891" t="n">
        <v>13965.5</v>
      </c>
    </row>
    <row r="2892">
      <c r="A2892" s="90" t="n">
        <v>43164</v>
      </c>
      <c r="D2892" t="n">
        <v>3655.3</v>
      </c>
    </row>
    <row r="2893">
      <c r="A2893" s="90" t="n">
        <v>43171</v>
      </c>
      <c r="D2893" t="n">
        <v>3670.8</v>
      </c>
    </row>
    <row r="2894">
      <c r="A2894" s="90" t="n">
        <v>43178</v>
      </c>
      <c r="D2894" t="n">
        <v>3660.6</v>
      </c>
    </row>
    <row r="2895">
      <c r="A2895" s="90" t="n">
        <v>43185</v>
      </c>
      <c r="D2895" t="n">
        <v>3657.7</v>
      </c>
    </row>
    <row r="2896">
      <c r="A2896" s="90" t="n">
        <v>43191</v>
      </c>
      <c r="B2896" t="n">
        <v>1461.2</v>
      </c>
      <c r="C2896" t="n">
        <v>5591.8</v>
      </c>
      <c r="E2896" t="n">
        <v>13987.7</v>
      </c>
      <c r="F2896" t="n">
        <v>1.458</v>
      </c>
    </row>
    <row r="2897">
      <c r="A2897" s="90" t="n">
        <v>43192</v>
      </c>
      <c r="D2897" t="n">
        <v>3659.2</v>
      </c>
    </row>
    <row r="2898">
      <c r="A2898" s="90" t="n">
        <v>43199</v>
      </c>
      <c r="D2898" t="n">
        <v>3660.9</v>
      </c>
    </row>
    <row r="2899">
      <c r="A2899" s="90" t="n">
        <v>43206</v>
      </c>
      <c r="D2899" t="n">
        <v>3647</v>
      </c>
    </row>
    <row r="2900">
      <c r="A2900" s="90" t="n">
        <v>43213</v>
      </c>
      <c r="D2900" t="n">
        <v>3669.8</v>
      </c>
    </row>
    <row r="2901">
      <c r="A2901" s="90" t="n">
        <v>43220</v>
      </c>
      <c r="D2901" t="n">
        <v>3669.5</v>
      </c>
    </row>
    <row r="2902">
      <c r="A2902" s="90" t="n">
        <v>43221</v>
      </c>
      <c r="B2902" t="n">
        <v>1455.8</v>
      </c>
      <c r="C2902" t="n">
        <v>5599</v>
      </c>
      <c r="E2902" t="n">
        <v>14041.2</v>
      </c>
    </row>
    <row r="2903">
      <c r="A2903" s="90" t="n">
        <v>43227</v>
      </c>
      <c r="D2903" t="n">
        <v>3637.2</v>
      </c>
    </row>
    <row r="2904">
      <c r="A2904" s="90" t="n">
        <v>43234</v>
      </c>
      <c r="D2904" t="n">
        <v>3655.2</v>
      </c>
    </row>
    <row r="2905">
      <c r="A2905" s="90" t="n">
        <v>43241</v>
      </c>
      <c r="D2905" t="n">
        <v>3666.8</v>
      </c>
    </row>
    <row r="2906">
      <c r="A2906" s="90" t="n">
        <v>43248</v>
      </c>
      <c r="D2906" t="n">
        <v>3664.2</v>
      </c>
    </row>
    <row r="2907">
      <c r="A2907" s="90" t="n">
        <v>43252</v>
      </c>
      <c r="B2907" t="n">
        <v>1454.4</v>
      </c>
      <c r="C2907" t="n">
        <v>5615.9</v>
      </c>
      <c r="E2907" t="n">
        <v>14102.6</v>
      </c>
    </row>
    <row r="2908">
      <c r="A2908" s="90" t="n">
        <v>43255</v>
      </c>
      <c r="D2908" t="n">
        <v>3672.2</v>
      </c>
    </row>
    <row r="2909">
      <c r="A2909" s="90" t="n">
        <v>43262</v>
      </c>
      <c r="D2909" t="n">
        <v>3654.6</v>
      </c>
    </row>
    <row r="2910">
      <c r="A2910" s="90" t="n">
        <v>43269</v>
      </c>
      <c r="D2910" t="n">
        <v>3651.1</v>
      </c>
    </row>
    <row r="2911">
      <c r="A2911" s="90" t="n">
        <v>43276</v>
      </c>
      <c r="D2911" t="n">
        <v>3655.1</v>
      </c>
    </row>
    <row r="2912">
      <c r="A2912" s="90" t="n">
        <v>43282</v>
      </c>
      <c r="B2912" t="n">
        <v>1463.3</v>
      </c>
      <c r="C2912" t="n">
        <v>5625</v>
      </c>
      <c r="E2912" t="n">
        <v>14137</v>
      </c>
      <c r="F2912" t="n">
        <v>1.459</v>
      </c>
    </row>
    <row r="2913">
      <c r="A2913" s="90" t="n">
        <v>43283</v>
      </c>
      <c r="D2913" t="n">
        <v>3673.2</v>
      </c>
    </row>
    <row r="2914">
      <c r="A2914" s="90" t="n">
        <v>43290</v>
      </c>
      <c r="D2914" t="n">
        <v>3682.1</v>
      </c>
    </row>
    <row r="2915">
      <c r="A2915" s="90" t="n">
        <v>43297</v>
      </c>
      <c r="D2915" t="n">
        <v>3681.5</v>
      </c>
    </row>
    <row r="2916">
      <c r="A2916" s="90" t="n">
        <v>43304</v>
      </c>
      <c r="D2916" t="n">
        <v>3677.6</v>
      </c>
    </row>
    <row r="2917">
      <c r="A2917" s="90" t="n">
        <v>43311</v>
      </c>
      <c r="D2917" t="n">
        <v>3681.9</v>
      </c>
    </row>
    <row r="2918">
      <c r="A2918" s="90" t="n">
        <v>43313</v>
      </c>
      <c r="B2918" t="n">
        <v>1467</v>
      </c>
      <c r="C2918" t="n">
        <v>5635.5</v>
      </c>
      <c r="E2918" t="n">
        <v>14187.4</v>
      </c>
    </row>
    <row r="2919">
      <c r="A2919" s="90" t="n">
        <v>43318</v>
      </c>
      <c r="D2919" t="n">
        <v>3661.4</v>
      </c>
    </row>
    <row r="2920">
      <c r="A2920" s="90" t="n">
        <v>43325</v>
      </c>
      <c r="D2920" t="n">
        <v>3677</v>
      </c>
    </row>
    <row r="2921">
      <c r="A2921" s="90" t="n">
        <v>43332</v>
      </c>
      <c r="D2921" t="n">
        <v>3676</v>
      </c>
    </row>
    <row r="2922">
      <c r="A2922" s="90" t="n">
        <v>43339</v>
      </c>
      <c r="D2922" t="n">
        <v>3695.2</v>
      </c>
    </row>
    <row r="2923">
      <c r="A2923" s="90" t="n">
        <v>43344</v>
      </c>
      <c r="B2923" t="n">
        <v>1467.6</v>
      </c>
      <c r="C2923" t="n">
        <v>5635.4</v>
      </c>
      <c r="E2923" t="n">
        <v>14214.6</v>
      </c>
    </row>
    <row r="2924">
      <c r="A2924" s="90" t="n">
        <v>43346</v>
      </c>
      <c r="D2924" t="n">
        <v>3779.6</v>
      </c>
    </row>
    <row r="2925">
      <c r="A2925" s="90" t="n">
        <v>43353</v>
      </c>
      <c r="D2925" t="n">
        <v>3710.1</v>
      </c>
    </row>
    <row r="2926">
      <c r="A2926" s="90" t="n">
        <v>43360</v>
      </c>
      <c r="D2926" t="n">
        <v>3691.7</v>
      </c>
    </row>
    <row r="2927">
      <c r="A2927" s="90" t="n">
        <v>43367</v>
      </c>
      <c r="D2927" t="n">
        <v>3704.6</v>
      </c>
    </row>
    <row r="2928">
      <c r="A2928" s="90" t="n">
        <v>43374</v>
      </c>
      <c r="B2928" t="n">
        <v>1474.4</v>
      </c>
      <c r="C2928" t="n">
        <v>5627</v>
      </c>
      <c r="D2928" t="n">
        <v>3693.1</v>
      </c>
      <c r="E2928" t="n">
        <v>14228.5</v>
      </c>
      <c r="F2928" t="n">
        <v>1.458</v>
      </c>
    </row>
    <row r="2929">
      <c r="A2929" s="90" t="n">
        <v>43381</v>
      </c>
      <c r="D2929" t="n">
        <v>3708.5</v>
      </c>
    </row>
    <row r="2930">
      <c r="A2930" s="90" t="n">
        <v>43388</v>
      </c>
      <c r="D2930" t="n">
        <v>3723.5</v>
      </c>
    </row>
    <row r="2931">
      <c r="A2931" s="90" t="n">
        <v>43395</v>
      </c>
      <c r="D2931" t="n">
        <v>3744.5</v>
      </c>
    </row>
    <row r="2932">
      <c r="A2932" s="90" t="n">
        <v>43402</v>
      </c>
      <c r="D2932" t="n">
        <v>3729.1</v>
      </c>
    </row>
    <row r="2933">
      <c r="A2933" s="90" t="n">
        <v>43405</v>
      </c>
      <c r="B2933" t="n">
        <v>1466.7</v>
      </c>
      <c r="C2933" t="n">
        <v>5636.7</v>
      </c>
      <c r="E2933" t="n">
        <v>14241.6</v>
      </c>
    </row>
    <row r="2934">
      <c r="A2934" s="90" t="n">
        <v>43409</v>
      </c>
      <c r="D2934" t="n">
        <v>3689.6</v>
      </c>
    </row>
    <row r="2935">
      <c r="A2935" s="90" t="n">
        <v>43416</v>
      </c>
      <c r="D2935" t="n">
        <v>3687.3</v>
      </c>
    </row>
    <row r="2936">
      <c r="A2936" s="90" t="n">
        <v>43423</v>
      </c>
      <c r="D2936" t="n">
        <v>3688.2</v>
      </c>
    </row>
    <row r="2937">
      <c r="A2937" s="90" t="n">
        <v>43430</v>
      </c>
      <c r="D2937" t="n">
        <v>3692.6</v>
      </c>
    </row>
    <row r="2938">
      <c r="A2938" s="90" t="n">
        <v>43435</v>
      </c>
      <c r="B2938" t="n">
        <v>1490.2</v>
      </c>
      <c r="C2938" t="n">
        <v>5685.5</v>
      </c>
      <c r="E2938" t="n">
        <v>14358.8</v>
      </c>
    </row>
    <row r="2939">
      <c r="A2939" s="90" t="n">
        <v>43437</v>
      </c>
      <c r="D2939" t="n">
        <v>3780.5</v>
      </c>
    </row>
    <row r="2940">
      <c r="A2940" s="90" t="n">
        <v>43444</v>
      </c>
      <c r="D2940" t="n">
        <v>3769.8</v>
      </c>
    </row>
    <row r="2941">
      <c r="A2941" s="90" t="n">
        <v>43451</v>
      </c>
      <c r="D2941" t="n">
        <v>3712.9</v>
      </c>
    </row>
    <row r="2942">
      <c r="A2942" s="90" t="n">
        <v>43458</v>
      </c>
      <c r="D2942" t="n">
        <v>3760.7</v>
      </c>
    </row>
    <row r="2943">
      <c r="A2943" s="90" t="n">
        <v>43465</v>
      </c>
      <c r="D2943" t="n">
        <v>3744.6</v>
      </c>
    </row>
    <row r="2944">
      <c r="A2944" s="90" t="n">
        <v>43466</v>
      </c>
      <c r="B2944" t="n">
        <v>1487.2</v>
      </c>
      <c r="C2944" t="n">
        <v>5715.8</v>
      </c>
      <c r="E2944" t="n">
        <v>14430.8</v>
      </c>
      <c r="F2944" t="n">
        <v>1.452</v>
      </c>
    </row>
    <row r="2945">
      <c r="A2945" s="90" t="n">
        <v>43472</v>
      </c>
      <c r="D2945" t="n">
        <v>3722.2</v>
      </c>
    </row>
    <row r="2946">
      <c r="A2946" s="90" t="n">
        <v>43479</v>
      </c>
      <c r="D2946" t="n">
        <v>3720.3</v>
      </c>
    </row>
    <row r="2947">
      <c r="A2947" s="90" t="n">
        <v>43486</v>
      </c>
      <c r="D2947" t="n">
        <v>3757.1</v>
      </c>
    </row>
    <row r="2948">
      <c r="A2948" s="90" t="n">
        <v>43493</v>
      </c>
      <c r="D2948" t="n">
        <v>3753.4</v>
      </c>
    </row>
    <row r="2949">
      <c r="A2949" s="90" t="n">
        <v>43497</v>
      </c>
      <c r="B2949" t="n">
        <v>1486.5</v>
      </c>
      <c r="C2949" t="n">
        <v>5717.2</v>
      </c>
      <c r="E2949" t="n">
        <v>14472.3</v>
      </c>
    </row>
    <row r="2950">
      <c r="A2950" s="90" t="n">
        <v>43500</v>
      </c>
      <c r="D2950" t="n">
        <v>3792.3</v>
      </c>
    </row>
    <row r="2951">
      <c r="A2951" s="90" t="n">
        <v>43507</v>
      </c>
      <c r="D2951" t="n">
        <v>3768.8</v>
      </c>
    </row>
    <row r="2952">
      <c r="A2952" s="90" t="n">
        <v>43514</v>
      </c>
      <c r="D2952" t="n">
        <v>3757.9</v>
      </c>
    </row>
    <row r="2953">
      <c r="A2953" s="90" t="n">
        <v>43521</v>
      </c>
      <c r="D2953" t="n">
        <v>3743</v>
      </c>
    </row>
    <row r="2954">
      <c r="A2954" s="90" t="n">
        <v>43525</v>
      </c>
      <c r="B2954" t="n">
        <v>1468.3</v>
      </c>
      <c r="C2954" t="n">
        <v>5706.7</v>
      </c>
      <c r="E2954" t="n">
        <v>14510.7</v>
      </c>
    </row>
    <row r="2955">
      <c r="A2955" s="90" t="n">
        <v>43528</v>
      </c>
      <c r="D2955" t="n">
        <v>3766.8</v>
      </c>
    </row>
    <row r="2956">
      <c r="A2956" s="90" t="n">
        <v>43535</v>
      </c>
      <c r="D2956" t="n">
        <v>3736.9</v>
      </c>
    </row>
    <row r="2957">
      <c r="A2957" s="90" t="n">
        <v>43542</v>
      </c>
      <c r="D2957" t="n">
        <v>3716.7</v>
      </c>
    </row>
    <row r="2958">
      <c r="A2958" s="90" t="n">
        <v>43549</v>
      </c>
      <c r="D2958" t="n">
        <v>3728.3</v>
      </c>
    </row>
    <row r="2959">
      <c r="A2959" s="90" t="n">
        <v>43556</v>
      </c>
      <c r="B2959" t="n">
        <v>1479.4</v>
      </c>
      <c r="C2959" t="n">
        <v>5698.7</v>
      </c>
      <c r="D2959" t="n">
        <v>3731.6</v>
      </c>
      <c r="E2959" t="n">
        <v>14541</v>
      </c>
      <c r="F2959" t="n">
        <v>1.453</v>
      </c>
    </row>
    <row r="2960">
      <c r="A2960" s="90" t="n">
        <v>43563</v>
      </c>
      <c r="D2960" t="n">
        <v>3747.3</v>
      </c>
    </row>
    <row r="2961">
      <c r="A2961" s="90" t="n">
        <v>43570</v>
      </c>
      <c r="D2961" t="n">
        <v>3797.5</v>
      </c>
    </row>
    <row r="2962">
      <c r="A2962" s="90" t="n">
        <v>43577</v>
      </c>
      <c r="D2962" t="n">
        <v>3790.6</v>
      </c>
    </row>
    <row r="2963">
      <c r="A2963" s="90" t="n">
        <v>43584</v>
      </c>
      <c r="D2963" t="n">
        <v>3814</v>
      </c>
    </row>
    <row r="2964">
      <c r="A2964" s="90" t="n">
        <v>43586</v>
      </c>
      <c r="B2964" t="n">
        <v>1481.7</v>
      </c>
      <c r="C2964" t="n">
        <v>5730.9</v>
      </c>
      <c r="E2964" t="n">
        <v>14632.5</v>
      </c>
    </row>
    <row r="2965">
      <c r="A2965" s="90" t="n">
        <v>43591</v>
      </c>
      <c r="D2965" t="n">
        <v>3766.3</v>
      </c>
    </row>
    <row r="2966">
      <c r="A2966" s="90" t="n">
        <v>43598</v>
      </c>
      <c r="D2966" t="n">
        <v>3773.5</v>
      </c>
    </row>
    <row r="2967">
      <c r="A2967" s="90" t="n">
        <v>43605</v>
      </c>
      <c r="D2967" t="n">
        <v>3782.7</v>
      </c>
    </row>
    <row r="2968">
      <c r="A2968" s="90" t="n">
        <v>43612</v>
      </c>
      <c r="D2968" t="n">
        <v>3810.8</v>
      </c>
    </row>
    <row r="2969">
      <c r="A2969" s="90" t="n">
        <v>43617</v>
      </c>
      <c r="B2969" t="n">
        <v>1497.6</v>
      </c>
      <c r="C2969" t="n">
        <v>5778</v>
      </c>
      <c r="E2969" t="n">
        <v>14754.8</v>
      </c>
    </row>
    <row r="2970">
      <c r="A2970" s="90" t="n">
        <v>43619</v>
      </c>
      <c r="D2970" t="n">
        <v>3877</v>
      </c>
    </row>
    <row r="2971">
      <c r="A2971" s="90" t="n">
        <v>43626</v>
      </c>
      <c r="D2971" t="n">
        <v>3840.5</v>
      </c>
    </row>
    <row r="2972">
      <c r="A2972" s="90" t="n">
        <v>43633</v>
      </c>
      <c r="D2972" t="n">
        <v>3833.5</v>
      </c>
    </row>
    <row r="2973">
      <c r="A2973" s="90" t="n">
        <v>43640</v>
      </c>
      <c r="D2973" t="n">
        <v>3830.7</v>
      </c>
    </row>
    <row r="2974">
      <c r="A2974" s="90" t="n">
        <v>43647</v>
      </c>
      <c r="B2974" t="n">
        <v>1507.2</v>
      </c>
      <c r="C2974" t="n">
        <v>5796.7</v>
      </c>
      <c r="D2974" t="n">
        <v>3819.5</v>
      </c>
      <c r="E2974" t="n">
        <v>14833.8</v>
      </c>
      <c r="F2974" t="n">
        <v>1.443</v>
      </c>
    </row>
    <row r="2975">
      <c r="A2975" s="90" t="n">
        <v>43654</v>
      </c>
      <c r="D2975" t="n">
        <v>3838.3</v>
      </c>
    </row>
    <row r="2976">
      <c r="A2976" s="90" t="n">
        <v>43661</v>
      </c>
      <c r="D2976" t="n">
        <v>3857.4</v>
      </c>
    </row>
    <row r="2977">
      <c r="A2977" s="90" t="n">
        <v>43668</v>
      </c>
      <c r="D2977" t="n">
        <v>3876.3</v>
      </c>
    </row>
    <row r="2978">
      <c r="A2978" s="90" t="n">
        <v>43675</v>
      </c>
      <c r="D2978" t="n">
        <v>3873.6</v>
      </c>
    </row>
    <row r="2979">
      <c r="A2979" s="90" t="n">
        <v>43678</v>
      </c>
      <c r="B2979" t="n">
        <v>1506.3</v>
      </c>
      <c r="C2979" t="n">
        <v>5824</v>
      </c>
      <c r="E2979" t="n">
        <v>14919.8</v>
      </c>
    </row>
    <row r="2980">
      <c r="A2980" s="90" t="n">
        <v>43682</v>
      </c>
      <c r="D2980" t="n">
        <v>3876</v>
      </c>
    </row>
    <row r="2981">
      <c r="A2981" s="90" t="n">
        <v>43689</v>
      </c>
      <c r="D2981" t="n">
        <v>3862</v>
      </c>
    </row>
    <row r="2982">
      <c r="A2982" s="90" t="n">
        <v>43696</v>
      </c>
      <c r="D2982" t="n">
        <v>3833.2</v>
      </c>
    </row>
    <row r="2983">
      <c r="A2983" s="90" t="n">
        <v>43703</v>
      </c>
      <c r="D2983" t="n">
        <v>3845.8</v>
      </c>
    </row>
    <row r="2984">
      <c r="A2984" s="90" t="n">
        <v>43709</v>
      </c>
      <c r="B2984" t="n">
        <v>1519.9</v>
      </c>
      <c r="C2984" t="n">
        <v>5847.6</v>
      </c>
      <c r="E2984" t="n">
        <v>15004.8</v>
      </c>
    </row>
    <row r="2985">
      <c r="A2985" s="90" t="n">
        <v>43710</v>
      </c>
      <c r="D2985" t="n">
        <v>3878.9</v>
      </c>
    </row>
    <row r="2986">
      <c r="A2986" s="90" t="n">
        <v>43717</v>
      </c>
      <c r="D2986" t="n">
        <v>3896.9</v>
      </c>
    </row>
    <row r="2987">
      <c r="A2987" s="90" t="n">
        <v>43724</v>
      </c>
      <c r="D2987" t="n">
        <v>3896.8</v>
      </c>
    </row>
    <row r="2988">
      <c r="A2988" s="90" t="n">
        <v>43731</v>
      </c>
      <c r="D2988" t="n">
        <v>3912</v>
      </c>
    </row>
    <row r="2989">
      <c r="A2989" s="90" t="n">
        <v>43738</v>
      </c>
      <c r="D2989" t="n">
        <v>3929.1</v>
      </c>
    </row>
    <row r="2990">
      <c r="A2990" s="90" t="n">
        <v>43739</v>
      </c>
      <c r="B2990" t="n">
        <v>1529.4</v>
      </c>
      <c r="C2990" t="n">
        <v>5885.7</v>
      </c>
      <c r="E2990" t="n">
        <v>15144.2</v>
      </c>
      <c r="F2990" t="n">
        <v>1.425</v>
      </c>
    </row>
    <row r="2991">
      <c r="A2991" s="90" t="n">
        <v>43745</v>
      </c>
      <c r="D2991" t="n">
        <v>3894.7</v>
      </c>
    </row>
    <row r="2992">
      <c r="A2992" s="90" t="n">
        <v>43752</v>
      </c>
      <c r="D2992" t="n">
        <v>3931.6</v>
      </c>
    </row>
    <row r="2993">
      <c r="A2993" s="90" t="n">
        <v>43759</v>
      </c>
      <c r="D2993" t="n">
        <v>3929.9</v>
      </c>
    </row>
    <row r="2994">
      <c r="A2994" s="90" t="n">
        <v>43766</v>
      </c>
      <c r="D2994" t="n">
        <v>3935.3</v>
      </c>
    </row>
    <row r="2995">
      <c r="A2995" s="90" t="n">
        <v>43770</v>
      </c>
      <c r="B2995" t="n">
        <v>1534.3</v>
      </c>
      <c r="C2995" t="n">
        <v>5915.7</v>
      </c>
      <c r="E2995" t="n">
        <v>15249.9</v>
      </c>
    </row>
    <row r="2996">
      <c r="A2996" s="90" t="n">
        <v>43773</v>
      </c>
      <c r="D2996" t="n">
        <v>3956.2</v>
      </c>
    </row>
    <row r="2997">
      <c r="A2997" s="90" t="n">
        <v>43780</v>
      </c>
      <c r="D2997" t="n">
        <v>3956.4</v>
      </c>
    </row>
    <row r="2998">
      <c r="A2998" s="90" t="n">
        <v>43787</v>
      </c>
      <c r="D2998" t="n">
        <v>3928.9</v>
      </c>
    </row>
    <row r="2999">
      <c r="A2999" s="90" t="n">
        <v>43794</v>
      </c>
      <c r="D2999" t="n">
        <v>3963.3</v>
      </c>
    </row>
    <row r="3000">
      <c r="A3000" s="90" t="n">
        <v>43800</v>
      </c>
      <c r="B3000" t="n">
        <v>1551.6</v>
      </c>
      <c r="C3000" t="n">
        <v>5931.6</v>
      </c>
      <c r="E3000" t="n">
        <v>15319.1</v>
      </c>
    </row>
    <row r="3001">
      <c r="A3001" s="90" t="n">
        <v>43801</v>
      </c>
      <c r="D3001" t="n">
        <v>3954.6</v>
      </c>
    </row>
    <row r="3002">
      <c r="A3002" s="90" t="n">
        <v>43808</v>
      </c>
      <c r="D3002" t="n">
        <v>3979.3</v>
      </c>
    </row>
    <row r="3003">
      <c r="A3003" s="90" t="n">
        <v>43815</v>
      </c>
      <c r="D3003" t="n">
        <v>3992.9</v>
      </c>
    </row>
    <row r="3004">
      <c r="A3004" s="90" t="n">
        <v>43822</v>
      </c>
      <c r="D3004" t="n">
        <v>3999.9</v>
      </c>
    </row>
    <row r="3005">
      <c r="A3005" s="90" t="n">
        <v>43829</v>
      </c>
      <c r="D3005" t="n">
        <v>3964.4</v>
      </c>
    </row>
    <row r="3006">
      <c r="A3006" s="90" t="n">
        <v>43831</v>
      </c>
      <c r="B3006" t="n">
        <v>1543.8</v>
      </c>
      <c r="C3006" t="n">
        <v>5954</v>
      </c>
      <c r="E3006" t="n">
        <v>15401.8</v>
      </c>
      <c r="F3006" t="n">
        <v>1.379</v>
      </c>
    </row>
    <row r="3007">
      <c r="A3007" s="90" t="n">
        <v>43836</v>
      </c>
      <c r="D3007" t="n">
        <v>3948.9</v>
      </c>
    </row>
    <row r="3008">
      <c r="A3008" s="90" t="n">
        <v>43843</v>
      </c>
      <c r="D3008" t="n">
        <v>3950.6</v>
      </c>
    </row>
    <row r="3009">
      <c r="A3009" s="90" t="n">
        <v>43850</v>
      </c>
      <c r="D3009" t="n">
        <v>3978.9</v>
      </c>
    </row>
    <row r="3010">
      <c r="A3010" s="90" t="n">
        <v>43857</v>
      </c>
      <c r="D3010" t="n">
        <v>3963.1</v>
      </c>
    </row>
    <row r="3011">
      <c r="A3011" s="90" t="n">
        <v>43862</v>
      </c>
      <c r="B3011" t="n">
        <v>1545.5</v>
      </c>
      <c r="C3011" t="n">
        <v>5968.4</v>
      </c>
      <c r="E3011" t="n">
        <v>15458.7</v>
      </c>
    </row>
    <row r="3012">
      <c r="A3012" s="90" t="n">
        <v>43864</v>
      </c>
      <c r="D3012" t="n">
        <v>4082.2</v>
      </c>
    </row>
    <row r="3013">
      <c r="A3013" s="90" t="n">
        <v>43871</v>
      </c>
      <c r="D3013" t="n">
        <v>4013.7</v>
      </c>
    </row>
    <row r="3014">
      <c r="A3014" s="90" t="n">
        <v>43878</v>
      </c>
      <c r="D3014" t="n">
        <v>3984.5</v>
      </c>
    </row>
    <row r="3015">
      <c r="A3015" s="90" t="n">
        <v>43885</v>
      </c>
      <c r="D3015" t="n">
        <v>3972.3</v>
      </c>
    </row>
    <row r="3016">
      <c r="A3016" s="90" t="n">
        <v>43891</v>
      </c>
      <c r="B3016" t="n">
        <v>1650.8</v>
      </c>
      <c r="C3016" t="n">
        <v>6193.2</v>
      </c>
      <c r="E3016" t="n">
        <v>15988.6</v>
      </c>
    </row>
    <row r="3017">
      <c r="A3017" s="90" t="n">
        <v>43892</v>
      </c>
      <c r="D3017" t="n">
        <v>4029.1</v>
      </c>
    </row>
    <row r="3018">
      <c r="A3018" s="90" t="n">
        <v>43899</v>
      </c>
      <c r="D3018" t="n">
        <v>4064.6</v>
      </c>
    </row>
    <row r="3019">
      <c r="A3019" s="90" t="n">
        <v>43906</v>
      </c>
      <c r="D3019" t="n">
        <v>4127.7</v>
      </c>
    </row>
    <row r="3020">
      <c r="A3020" s="90" t="n">
        <v>43913</v>
      </c>
      <c r="D3020" t="n">
        <v>4314.5</v>
      </c>
    </row>
    <row r="3021">
      <c r="A3021" s="90" t="n">
        <v>43920</v>
      </c>
      <c r="D3021" t="n">
        <v>4514</v>
      </c>
    </row>
    <row r="3022">
      <c r="A3022" s="90" t="n">
        <v>43922</v>
      </c>
      <c r="B3022" t="n">
        <v>1866.4</v>
      </c>
      <c r="C3022" t="n">
        <v>6639.2</v>
      </c>
      <c r="E3022" t="n">
        <v>17002.5</v>
      </c>
      <c r="F3022" t="n">
        <v>1.112</v>
      </c>
    </row>
    <row r="3023">
      <c r="A3023" s="90" t="n">
        <v>43927</v>
      </c>
      <c r="D3023" t="n">
        <v>4592.2</v>
      </c>
    </row>
    <row r="3024">
      <c r="A3024" s="90" t="n">
        <v>43934</v>
      </c>
      <c r="D3024" t="n">
        <v>4717.8</v>
      </c>
    </row>
    <row r="3025">
      <c r="A3025" s="90" t="n">
        <v>43941</v>
      </c>
      <c r="D3025" t="n">
        <v>4851.2</v>
      </c>
    </row>
    <row r="3026">
      <c r="A3026" s="90" t="n">
        <v>43948</v>
      </c>
      <c r="D3026" t="n">
        <v>4899.4</v>
      </c>
    </row>
    <row r="3027">
      <c r="A3027" s="90" t="n">
        <v>43952</v>
      </c>
      <c r="B3027" t="n">
        <v>6342.4</v>
      </c>
      <c r="C3027" t="n">
        <v>6968.4</v>
      </c>
      <c r="E3027" t="n">
        <v>17835.2</v>
      </c>
    </row>
    <row r="3028">
      <c r="A3028" s="90" t="n">
        <v>43955</v>
      </c>
      <c r="D3028" t="n">
        <v>15982.2</v>
      </c>
    </row>
    <row r="3029">
      <c r="A3029" s="90" t="n">
        <v>43962</v>
      </c>
      <c r="D3029" t="n">
        <v>16201.5</v>
      </c>
    </row>
    <row r="3030">
      <c r="A3030" s="90" t="n">
        <v>43969</v>
      </c>
      <c r="D3030" t="n">
        <v>16292.5</v>
      </c>
    </row>
    <row r="3031">
      <c r="A3031" s="90" t="n">
        <v>43976</v>
      </c>
      <c r="D3031" t="n">
        <v>16319.8</v>
      </c>
    </row>
    <row r="3032">
      <c r="A3032" s="90" t="n">
        <v>43983</v>
      </c>
      <c r="B3032" t="n">
        <v>6439.5</v>
      </c>
      <c r="C3032" t="n">
        <v>7048.3</v>
      </c>
      <c r="D3032" t="n">
        <v>16364</v>
      </c>
      <c r="E3032" t="n">
        <v>18129.3</v>
      </c>
    </row>
    <row r="3033">
      <c r="A3033" s="90" t="n">
        <v>43990</v>
      </c>
      <c r="D3033" t="n">
        <v>16467.2</v>
      </c>
    </row>
    <row r="3034">
      <c r="A3034" s="90" t="n">
        <v>43997</v>
      </c>
      <c r="D3034" t="n">
        <v>16554.6</v>
      </c>
    </row>
    <row r="3035">
      <c r="A3035" s="90" t="n">
        <v>44004</v>
      </c>
      <c r="D3035" t="n">
        <v>16654.9</v>
      </c>
    </row>
    <row r="3036">
      <c r="A3036" s="90" t="n">
        <v>44011</v>
      </c>
      <c r="D3036" t="n">
        <v>16656.6</v>
      </c>
    </row>
    <row r="3037">
      <c r="A3037" s="90" t="n">
        <v>44013</v>
      </c>
      <c r="B3037" t="n">
        <v>6484</v>
      </c>
      <c r="C3037" t="n">
        <v>7069.5</v>
      </c>
      <c r="E3037" t="n">
        <v>18277.8</v>
      </c>
      <c r="F3037" t="n">
        <v>1.161</v>
      </c>
    </row>
    <row r="3038">
      <c r="A3038" s="90" t="n">
        <v>44018</v>
      </c>
      <c r="D3038" t="n">
        <v>16763.2</v>
      </c>
    </row>
    <row r="3039">
      <c r="A3039" s="90" t="n">
        <v>44025</v>
      </c>
      <c r="D3039" t="n">
        <v>16836.7</v>
      </c>
    </row>
    <row r="3040">
      <c r="A3040" s="90" t="n">
        <v>44032</v>
      </c>
      <c r="D3040" t="n">
        <v>16781.8</v>
      </c>
    </row>
    <row r="3041">
      <c r="A3041" s="90" t="n">
        <v>44039</v>
      </c>
      <c r="D3041" t="n">
        <v>16753.2</v>
      </c>
    </row>
    <row r="3042">
      <c r="A3042" s="90" t="n">
        <v>44044</v>
      </c>
      <c r="B3042" t="n">
        <v>6509.2</v>
      </c>
      <c r="C3042" t="n">
        <v>7072</v>
      </c>
      <c r="E3042" t="n">
        <v>18357.4</v>
      </c>
    </row>
    <row r="3043">
      <c r="A3043" s="90" t="n">
        <v>44046</v>
      </c>
      <c r="D3043" t="n">
        <v>16734.6</v>
      </c>
    </row>
    <row r="3044">
      <c r="A3044" s="90" t="n">
        <v>44053</v>
      </c>
      <c r="D3044" t="n">
        <v>16888.9</v>
      </c>
    </row>
    <row r="3045">
      <c r="A3045" s="90" t="n">
        <v>44060</v>
      </c>
      <c r="D3045" t="n">
        <v>16938.6</v>
      </c>
    </row>
    <row r="3046">
      <c r="A3046" s="90" t="n">
        <v>44067</v>
      </c>
      <c r="D3046" t="n">
        <v>16880.5</v>
      </c>
    </row>
    <row r="3047">
      <c r="A3047" s="90" t="n">
        <v>44074</v>
      </c>
      <c r="D3047" t="n">
        <v>16962.7</v>
      </c>
    </row>
    <row r="3048">
      <c r="A3048" s="90" t="n">
        <v>44075</v>
      </c>
      <c r="B3048" t="n">
        <v>6595.8</v>
      </c>
      <c r="C3048" t="n">
        <v>7139.1</v>
      </c>
      <c r="E3048" t="n">
        <v>18575.2</v>
      </c>
    </row>
    <row r="3049">
      <c r="A3049" s="90" t="n">
        <v>44081</v>
      </c>
      <c r="D3049" t="n">
        <v>17087.6</v>
      </c>
    </row>
    <row r="3050">
      <c r="A3050" s="90" t="n">
        <v>44088</v>
      </c>
      <c r="D3050" t="n">
        <v>17214.6</v>
      </c>
    </row>
    <row r="3051">
      <c r="A3051" s="90" t="n">
        <v>44095</v>
      </c>
      <c r="D3051" t="n">
        <v>17237.7</v>
      </c>
    </row>
    <row r="3052">
      <c r="A3052" s="90" t="n">
        <v>44102</v>
      </c>
      <c r="D3052" t="n">
        <v>17174.9</v>
      </c>
    </row>
    <row r="3053">
      <c r="A3053" s="90" t="n">
        <v>44105</v>
      </c>
      <c r="B3053" t="n">
        <v>6669.9</v>
      </c>
      <c r="C3053" t="n">
        <v>7196.3</v>
      </c>
      <c r="E3053" t="n">
        <v>18735.7</v>
      </c>
      <c r="F3053" t="n">
        <v>1.146</v>
      </c>
    </row>
    <row r="3054">
      <c r="A3054" s="90" t="n">
        <v>44109</v>
      </c>
      <c r="D3054" t="n">
        <v>17224.2</v>
      </c>
    </row>
    <row r="3055">
      <c r="A3055" s="90" t="n">
        <v>44116</v>
      </c>
      <c r="D3055" t="n">
        <v>17331.8</v>
      </c>
    </row>
    <row r="3056">
      <c r="A3056" s="90" t="n">
        <v>44123</v>
      </c>
      <c r="D3056" t="n">
        <v>17350.6</v>
      </c>
    </row>
    <row r="3057">
      <c r="A3057" s="90" t="n">
        <v>44130</v>
      </c>
      <c r="D3057" t="n">
        <v>17376.1</v>
      </c>
    </row>
    <row r="3058">
      <c r="A3058" s="90" t="n">
        <v>44136</v>
      </c>
      <c r="B3058" t="n">
        <v>6760.8</v>
      </c>
      <c r="C3058" t="n">
        <v>7275.9</v>
      </c>
      <c r="E3058" t="n">
        <v>18969.8</v>
      </c>
    </row>
    <row r="3059">
      <c r="A3059" s="90" t="n">
        <v>44137</v>
      </c>
      <c r="D3059" t="n">
        <v>17431.2</v>
      </c>
    </row>
    <row r="3060">
      <c r="A3060" s="90" t="n">
        <v>44144</v>
      </c>
      <c r="D3060" t="n">
        <v>17593.4</v>
      </c>
    </row>
    <row r="3061">
      <c r="A3061" s="90" t="n">
        <v>44151</v>
      </c>
      <c r="D3061" t="n">
        <v>17638.4</v>
      </c>
    </row>
    <row r="3062">
      <c r="A3062" s="90" t="n">
        <v>44158</v>
      </c>
      <c r="D3062" t="n">
        <v>17657.9</v>
      </c>
    </row>
    <row r="3063">
      <c r="A3063" s="90" t="n">
        <v>44165</v>
      </c>
      <c r="D3063" t="n">
        <v>17547.6</v>
      </c>
    </row>
    <row r="3064">
      <c r="A3064" s="90" t="n">
        <v>44166</v>
      </c>
      <c r="B3064" t="n">
        <v>6818.4</v>
      </c>
      <c r="C3064" t="n">
        <v>7311.7</v>
      </c>
      <c r="E3064" t="n">
        <v>19124.7</v>
      </c>
    </row>
    <row r="3065">
      <c r="A3065" s="90" t="n">
        <v>44172</v>
      </c>
      <c r="D3065" t="n">
        <v>17777.4</v>
      </c>
    </row>
    <row r="3066">
      <c r="A3066" s="90" t="n">
        <v>44179</v>
      </c>
      <c r="D3066" t="n">
        <v>17853.5</v>
      </c>
    </row>
    <row r="3067">
      <c r="A3067" s="90" t="n">
        <v>44186</v>
      </c>
      <c r="D3067" t="n">
        <v>17762.7</v>
      </c>
    </row>
    <row r="3068">
      <c r="A3068" s="90" t="n">
        <v>44193</v>
      </c>
      <c r="D3068" t="n">
        <v>17659.6</v>
      </c>
    </row>
    <row r="3069">
      <c r="A3069" s="90" t="n">
        <v>44197</v>
      </c>
      <c r="B3069" t="n">
        <v>6905.7</v>
      </c>
      <c r="C3069" t="n">
        <v>7388.4</v>
      </c>
      <c r="E3069" t="n">
        <v>19372.3</v>
      </c>
      <c r="F3069" t="n">
        <v>1.138</v>
      </c>
    </row>
    <row r="3070">
      <c r="A3070" s="90" t="n">
        <v>44200</v>
      </c>
      <c r="D3070" t="n">
        <v>17769.8</v>
      </c>
    </row>
    <row r="3071">
      <c r="A3071" s="90" t="n">
        <v>44207</v>
      </c>
      <c r="D3071" t="n">
        <v>18141.9</v>
      </c>
    </row>
    <row r="3072">
      <c r="A3072" s="90" t="n">
        <v>44214</v>
      </c>
      <c r="D3072" t="n">
        <v>18151</v>
      </c>
    </row>
    <row r="3073">
      <c r="A3073" s="90" t="n">
        <v>44221</v>
      </c>
      <c r="D3073" t="n">
        <v>18107.6</v>
      </c>
    </row>
    <row r="3074">
      <c r="A3074" s="90" t="n">
        <v>44228</v>
      </c>
      <c r="B3074" t="n">
        <v>6974.5</v>
      </c>
      <c r="C3074" t="n">
        <v>7448.3</v>
      </c>
      <c r="D3074" t="n">
        <v>18104.6</v>
      </c>
      <c r="E3074" t="n">
        <v>19614.9</v>
      </c>
    </row>
    <row r="3075">
      <c r="A3075" s="90" t="n">
        <v>44256</v>
      </c>
      <c r="B3075" t="n">
        <v>7033.7</v>
      </c>
      <c r="C3075" t="n">
        <v>7491.2</v>
      </c>
      <c r="E3075" t="n">
        <v>19853.7</v>
      </c>
    </row>
    <row r="3076">
      <c r="A3076" s="90" t="n">
        <v>44287</v>
      </c>
      <c r="B3076" t="n">
        <v>7096.2</v>
      </c>
      <c r="C3076" t="n">
        <v>7539.8</v>
      </c>
      <c r="E3076" t="n">
        <v>20110.6</v>
      </c>
      <c r="F3076" t="n">
        <v>1.134</v>
      </c>
    </row>
    <row r="3077">
      <c r="A3077" s="90" t="n">
        <v>44317</v>
      </c>
      <c r="B3077" t="n">
        <v>7170.4</v>
      </c>
      <c r="C3077" t="n">
        <v>7601.9</v>
      </c>
      <c r="E3077" t="n">
        <v>20418.7</v>
      </c>
    </row>
    <row r="3078">
      <c r="A3078" s="90" t="n">
        <v>44348</v>
      </c>
      <c r="B3078" t="n">
        <v>7130.2</v>
      </c>
      <c r="C3078" t="n">
        <v>7551.1</v>
      </c>
      <c r="E3078" t="n">
        <v>20460.1</v>
      </c>
    </row>
    <row r="3079">
      <c r="A3079" s="90" t="n">
        <v>44378</v>
      </c>
      <c r="B3079" t="n">
        <v>7161.3</v>
      </c>
      <c r="C3079" t="n">
        <v>7574</v>
      </c>
      <c r="E3079" t="n">
        <v>20615.3</v>
      </c>
      <c r="F3079" t="n">
        <v>1.132</v>
      </c>
    </row>
    <row r="3080">
      <c r="A3080" s="90" t="n">
        <v>44409</v>
      </c>
      <c r="B3080" t="n">
        <v>7224.2</v>
      </c>
      <c r="C3080" t="n">
        <v>7629.5</v>
      </c>
      <c r="E3080" t="n">
        <v>20835.5</v>
      </c>
    </row>
    <row r="3081">
      <c r="A3081" s="90" t="n">
        <v>44440</v>
      </c>
      <c r="B3081" t="n">
        <v>7247.2</v>
      </c>
      <c r="C3081" t="n">
        <v>7645.8</v>
      </c>
      <c r="E3081" t="n">
        <v>20965.9</v>
      </c>
    </row>
    <row r="3082">
      <c r="A3082" s="90" t="n">
        <v>44470</v>
      </c>
      <c r="B3082" t="n">
        <v>7253.9</v>
      </c>
      <c r="C3082" t="n">
        <v>7644.5</v>
      </c>
      <c r="E3082" t="n">
        <v>21144</v>
      </c>
      <c r="F3082" t="n">
        <v>1.142</v>
      </c>
    </row>
    <row r="3083">
      <c r="A3083" s="90" t="n">
        <v>44501</v>
      </c>
      <c r="B3083" t="n">
        <v>7281.2</v>
      </c>
      <c r="C3083" t="n">
        <v>7665.2</v>
      </c>
      <c r="E3083" t="n">
        <v>21349.4</v>
      </c>
    </row>
    <row r="3084">
      <c r="A3084" s="90" t="n">
        <v>44531</v>
      </c>
      <c r="B3084" t="n">
        <v>7293.4</v>
      </c>
      <c r="C3084" t="n">
        <v>7671.5</v>
      </c>
      <c r="E3084" t="n">
        <v>21490</v>
      </c>
    </row>
    <row r="3085">
      <c r="A3085" s="90" t="n">
        <v>44562</v>
      </c>
      <c r="B3085" t="n">
        <v>7301.6</v>
      </c>
      <c r="C3085" t="n">
        <v>7679</v>
      </c>
      <c r="E3085" t="n">
        <v>21649.7</v>
      </c>
      <c r="F3085" t="n">
        <v>1.14</v>
      </c>
    </row>
    <row r="3086">
      <c r="A3086" s="90" t="n">
        <v>44593</v>
      </c>
      <c r="B3086" t="n">
        <v>7270.4</v>
      </c>
      <c r="C3086" t="n">
        <v>7639</v>
      </c>
      <c r="E3086" t="n">
        <v>21708.6</v>
      </c>
    </row>
    <row r="3087">
      <c r="A3087" s="90" t="n">
        <v>44621</v>
      </c>
      <c r="B3087" t="n">
        <v>7194.5</v>
      </c>
      <c r="C3087" t="n">
        <v>7556.2</v>
      </c>
      <c r="E3087" t="n">
        <v>21739.7</v>
      </c>
    </row>
    <row r="3088">
      <c r="A3088" s="90" t="n">
        <v>44652</v>
      </c>
      <c r="B3088" t="n">
        <v>7142.4</v>
      </c>
      <c r="C3088" t="n">
        <v>7498.1</v>
      </c>
      <c r="E3088" t="n">
        <v>21644.2</v>
      </c>
      <c r="F3088" t="n">
        <v>1.167</v>
      </c>
    </row>
    <row r="3089">
      <c r="A3089" s="90" t="n">
        <v>44682</v>
      </c>
      <c r="B3089" t="n">
        <v>7077</v>
      </c>
      <c r="C3089" t="n">
        <v>7427.5</v>
      </c>
      <c r="E3089" t="n">
        <v>21649.2</v>
      </c>
    </row>
    <row r="3090">
      <c r="A3090" s="90" t="n">
        <v>44713</v>
      </c>
      <c r="B3090" t="n">
        <v>6960.7</v>
      </c>
      <c r="C3090" t="n">
        <v>7316.5</v>
      </c>
      <c r="E3090" t="n">
        <v>21607.7</v>
      </c>
    </row>
    <row r="3091">
      <c r="A3091" s="90" t="n">
        <v>44743</v>
      </c>
      <c r="B3091" t="n">
        <v>6953.8</v>
      </c>
      <c r="C3091" t="n">
        <v>7327.6</v>
      </c>
      <c r="E3091" t="n">
        <v>21636.2</v>
      </c>
      <c r="F3091" t="n">
        <v>1.189</v>
      </c>
    </row>
    <row r="3092">
      <c r="A3092" s="90" t="n">
        <v>44774</v>
      </c>
      <c r="B3092" t="n">
        <v>6925.4</v>
      </c>
      <c r="C3092" t="n">
        <v>7317.6</v>
      </c>
      <c r="E3092" t="n">
        <v>21632.4</v>
      </c>
    </row>
    <row r="3093">
      <c r="A3093" s="90" t="n">
        <v>44805</v>
      </c>
      <c r="B3093" t="n">
        <v>6835</v>
      </c>
      <c r="C3093" t="n">
        <v>7246</v>
      </c>
      <c r="E3093" t="n">
        <v>21503.4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58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77" min="1" max="1"/>
    <col width="9.1640625" customWidth="1" style="77" min="2" max="3"/>
    <col width="10.6640625" bestFit="1" customWidth="1" style="77" min="4" max="4"/>
    <col width="9.1640625" customWidth="1" style="77" min="5" max="27"/>
    <col width="9.1640625" customWidth="1" style="77" min="28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90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90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90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90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90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90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90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90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90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90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90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90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90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90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90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90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90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90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90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90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90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90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90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90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90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90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90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90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90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90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90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90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90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90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90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90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90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90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90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90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90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90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90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90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90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90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90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90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90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90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90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90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90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90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90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90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90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90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90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90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90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90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90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90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90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90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90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90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90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90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90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90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90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90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90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90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90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90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90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90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90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90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90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90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90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90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90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90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90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90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90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90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90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90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90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90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90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2.379387</v>
      </c>
      <c r="AE98" t="n">
        <v/>
      </c>
    </row>
    <row r="99">
      <c r="A99" s="90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2.38852</v>
      </c>
      <c r="AE99" t="n">
        <v/>
      </c>
    </row>
    <row r="100">
      <c r="A100" s="90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2.400973</v>
      </c>
      <c r="AE100" t="n">
        <v/>
      </c>
    </row>
    <row r="101">
      <c r="A101" s="90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2.408445</v>
      </c>
      <c r="AE101" t="n">
        <v/>
      </c>
    </row>
    <row r="102">
      <c r="A102" s="90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2.425879</v>
      </c>
      <c r="AE102" t="n">
        <v/>
      </c>
    </row>
    <row r="103">
      <c r="A103" s="90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2.441653</v>
      </c>
      <c r="AE103" t="n">
        <v/>
      </c>
    </row>
    <row r="104">
      <c r="A104" s="90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2.450786</v>
      </c>
      <c r="AE104" t="n">
        <v/>
      </c>
    </row>
    <row r="105">
      <c r="A105" s="90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2.460748</v>
      </c>
      <c r="AE105" t="n">
        <v/>
      </c>
    </row>
    <row r="106">
      <c r="A106" s="90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2.463239</v>
      </c>
      <c r="AE106" t="n">
        <v/>
      </c>
    </row>
    <row r="107">
      <c r="A107" s="90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2.461578</v>
      </c>
      <c r="AE107" t="n">
        <v/>
      </c>
    </row>
    <row r="108">
      <c r="A108" s="90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2.46656</v>
      </c>
      <c r="AE108" t="n">
        <v/>
      </c>
    </row>
    <row r="109">
      <c r="A109" s="90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2.472371</v>
      </c>
      <c r="AE109" t="n">
        <v/>
      </c>
    </row>
    <row r="110">
      <c r="A110" s="90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2.475692</v>
      </c>
      <c r="AE110" t="n">
        <v/>
      </c>
    </row>
    <row r="111">
      <c r="A111" s="90" t="n">
        <v>21947</v>
      </c>
      <c r="B111" t="n">
        <v>0.3945853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2.477353</v>
      </c>
      <c r="AE111" t="n">
        <v/>
      </c>
    </row>
    <row r="112">
      <c r="A112" s="90" t="n">
        <v>21976</v>
      </c>
      <c r="B112" t="n">
        <v>0.3977512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2.484824</v>
      </c>
      <c r="AE112" t="n">
        <v/>
      </c>
    </row>
    <row r="113">
      <c r="A113" s="90" t="n">
        <v>22007</v>
      </c>
      <c r="B113" t="n">
        <v>0.4003287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2.491466</v>
      </c>
      <c r="AE113" t="n">
        <v/>
      </c>
    </row>
    <row r="114">
      <c r="A114" s="90" t="n">
        <v>22037</v>
      </c>
      <c r="B114" t="n">
        <v>0.4047834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2.498108</v>
      </c>
      <c r="AE114" t="n">
        <v/>
      </c>
    </row>
    <row r="115">
      <c r="A115" s="90" t="n">
        <v>22068</v>
      </c>
      <c r="B115" t="n">
        <v>0.4070247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2.509731</v>
      </c>
      <c r="AE115" t="n">
        <v/>
      </c>
    </row>
    <row r="116">
      <c r="A116" s="90" t="n">
        <v>22098</v>
      </c>
      <c r="B116" t="n">
        <v>0.4082014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2.524675</v>
      </c>
      <c r="AE116" t="n">
        <v/>
      </c>
    </row>
    <row r="117">
      <c r="A117" s="90" t="n">
        <v>22129</v>
      </c>
      <c r="B117" t="n">
        <v>0.4096863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2.54792</v>
      </c>
      <c r="AE117" t="n">
        <v/>
      </c>
    </row>
    <row r="118">
      <c r="A118" s="90" t="n">
        <v>22160</v>
      </c>
      <c r="B118" t="n">
        <v>0.4099664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2.560374</v>
      </c>
      <c r="AE118" t="n">
        <v/>
      </c>
    </row>
    <row r="119">
      <c r="A119" s="90" t="n">
        <v>22190</v>
      </c>
      <c r="B119" t="n">
        <v>0.4107509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2.569506</v>
      </c>
      <c r="AE119" t="n">
        <v/>
      </c>
    </row>
    <row r="120">
      <c r="A120" s="90" t="n">
        <v>22221</v>
      </c>
      <c r="B120" t="n">
        <v>0.4103307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2.581129</v>
      </c>
      <c r="AE120" t="n">
        <v/>
      </c>
    </row>
    <row r="121">
      <c r="A121" s="90" t="n">
        <v>22251</v>
      </c>
      <c r="B121" t="n">
        <v>0.409182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2.593582</v>
      </c>
      <c r="AE121" t="n">
        <v/>
      </c>
    </row>
    <row r="122">
      <c r="A122" s="90" t="n">
        <v>22282</v>
      </c>
      <c r="B122" t="n">
        <v>0.4078932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2.607696</v>
      </c>
      <c r="AE122" t="n">
        <v/>
      </c>
    </row>
    <row r="123">
      <c r="A123" s="90" t="n">
        <v>22313</v>
      </c>
      <c r="B123" t="n">
        <v>0.4071928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2.627621</v>
      </c>
      <c r="AE123" t="n">
        <v/>
      </c>
    </row>
    <row r="124">
      <c r="A124" s="90" t="n">
        <v>22341</v>
      </c>
      <c r="B124" t="n">
        <v>0.4070247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2.642565</v>
      </c>
      <c r="AE124" t="n">
        <v/>
      </c>
    </row>
    <row r="125">
      <c r="A125" s="90" t="n">
        <v>22372</v>
      </c>
      <c r="B125" t="n">
        <v>0.4090699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2.655848</v>
      </c>
      <c r="AE125" t="n">
        <v/>
      </c>
    </row>
    <row r="126">
      <c r="A126" s="90" t="n">
        <v>22402</v>
      </c>
      <c r="B126" t="n">
        <v>0.4121797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2.674943</v>
      </c>
      <c r="AE126" t="n">
        <v/>
      </c>
    </row>
    <row r="127">
      <c r="A127" s="90" t="n">
        <v>22433</v>
      </c>
      <c r="B127" t="n">
        <v>0.4138047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2.692377</v>
      </c>
      <c r="AE127" t="n">
        <v/>
      </c>
    </row>
    <row r="128">
      <c r="A128" s="90" t="n">
        <v>22463</v>
      </c>
      <c r="B128" t="n">
        <v>0.4156258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2.70317</v>
      </c>
      <c r="AE128" t="n">
        <v/>
      </c>
    </row>
    <row r="129">
      <c r="A129" s="90" t="n">
        <v>22494</v>
      </c>
      <c r="B129" t="n">
        <v>0.4170546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2.719774</v>
      </c>
      <c r="AE129" t="n">
        <v/>
      </c>
    </row>
    <row r="130">
      <c r="A130" s="90" t="n">
        <v>22525</v>
      </c>
      <c r="B130" t="n">
        <v>0.4196882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2.735548</v>
      </c>
      <c r="AE130" t="n">
        <v/>
      </c>
    </row>
    <row r="131">
      <c r="A131" s="90" t="n">
        <v>22555</v>
      </c>
      <c r="B131" t="n">
        <v>0.4231342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2.748832</v>
      </c>
      <c r="AE131" t="n">
        <v/>
      </c>
    </row>
    <row r="132">
      <c r="A132" s="90" t="n">
        <v>22586</v>
      </c>
      <c r="B132" t="n">
        <v>0.424451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2.767927</v>
      </c>
      <c r="AE132" t="n">
        <v/>
      </c>
    </row>
    <row r="133">
      <c r="A133" s="90" t="n">
        <v>22616</v>
      </c>
      <c r="B133" t="n">
        <v>0.4264402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2.785361</v>
      </c>
      <c r="AE133" t="n">
        <v/>
      </c>
    </row>
    <row r="134">
      <c r="A134" s="90" t="n">
        <v>22647</v>
      </c>
      <c r="B134" t="n">
        <v>0.4296621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2.801965</v>
      </c>
      <c r="AE134" t="n">
        <v/>
      </c>
    </row>
    <row r="135">
      <c r="A135" s="90" t="n">
        <v>22678</v>
      </c>
      <c r="B135" t="n">
        <v>0.4324357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2.823551</v>
      </c>
      <c r="AE135" t="n">
        <v/>
      </c>
    </row>
    <row r="136">
      <c r="A136" s="90" t="n">
        <v>22706</v>
      </c>
      <c r="B136" t="n">
        <v>0.4358537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2.848457</v>
      </c>
      <c r="AE136" t="n">
        <v/>
      </c>
    </row>
    <row r="137">
      <c r="A137" s="90" t="n">
        <v>22737</v>
      </c>
      <c r="B137" t="n">
        <v>0.4392157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2.868382</v>
      </c>
      <c r="AE137" t="n">
        <v/>
      </c>
    </row>
    <row r="138">
      <c r="A138" s="90" t="n">
        <v>22767</v>
      </c>
      <c r="B138" t="n">
        <v>0.4415411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2.884987</v>
      </c>
      <c r="AE138" t="n">
        <v/>
      </c>
    </row>
    <row r="139">
      <c r="A139" s="90" t="n">
        <v>22798</v>
      </c>
      <c r="B139" t="n">
        <v>0.4440626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2.89993</v>
      </c>
      <c r="AE139" t="n">
        <v/>
      </c>
    </row>
    <row r="140">
      <c r="A140" s="90" t="n">
        <v>22828</v>
      </c>
      <c r="B140" t="n">
        <v>0.448209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2.912384</v>
      </c>
      <c r="AE140" t="n">
        <v/>
      </c>
    </row>
    <row r="141">
      <c r="A141" s="90" t="n">
        <v>22859</v>
      </c>
      <c r="B141" t="n">
        <v>0.4506185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2.928988</v>
      </c>
      <c r="AE141" t="n">
        <v/>
      </c>
    </row>
    <row r="142">
      <c r="A142" s="90" t="n">
        <v>22890</v>
      </c>
      <c r="B142" t="n">
        <v>0.4527477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2.946422</v>
      </c>
      <c r="AE142" t="n">
        <v/>
      </c>
    </row>
    <row r="143">
      <c r="A143" s="90" t="n">
        <v>22920</v>
      </c>
      <c r="B143" t="n">
        <v>0.4559976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2.965517</v>
      </c>
      <c r="AE143" t="n">
        <v/>
      </c>
    </row>
    <row r="144">
      <c r="A144" s="90" t="n">
        <v>22951</v>
      </c>
      <c r="B144" t="n">
        <v>0.458351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2.987103</v>
      </c>
      <c r="AE144" t="n">
        <v/>
      </c>
    </row>
    <row r="145">
      <c r="A145" s="90" t="n">
        <v>22981</v>
      </c>
      <c r="B145" t="n">
        <v>0.4611247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3.011179</v>
      </c>
      <c r="AE145" t="n">
        <v/>
      </c>
    </row>
    <row r="146">
      <c r="A146" s="90" t="n">
        <v>23012</v>
      </c>
      <c r="B146" t="n">
        <v>0.4639824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3.031934</v>
      </c>
      <c r="AE146" t="n">
        <v/>
      </c>
    </row>
    <row r="147">
      <c r="A147" s="90" t="n">
        <v>23043</v>
      </c>
      <c r="B147" t="n">
        <v>0.4669521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3.05435</v>
      </c>
      <c r="AE147" t="n">
        <v/>
      </c>
    </row>
    <row r="148">
      <c r="A148" s="90" t="n">
        <v>23071</v>
      </c>
      <c r="B148" t="n">
        <v>0.4707344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3.077596</v>
      </c>
      <c r="AE148" t="n">
        <v/>
      </c>
    </row>
    <row r="149">
      <c r="A149" s="90" t="n">
        <v>23102</v>
      </c>
      <c r="B149" t="n">
        <v>0.4747688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3.099181</v>
      </c>
      <c r="AE149" t="n">
        <v/>
      </c>
    </row>
    <row r="150">
      <c r="A150" s="90" t="n">
        <v>23132</v>
      </c>
      <c r="B150" t="n">
        <v>0.4778786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3.122427</v>
      </c>
      <c r="AE150" t="n">
        <v/>
      </c>
    </row>
    <row r="151">
      <c r="A151" s="90" t="n">
        <v>23163</v>
      </c>
      <c r="B151" t="n">
        <v>0.4817168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3.141522</v>
      </c>
      <c r="AE151" t="n">
        <v/>
      </c>
    </row>
    <row r="152">
      <c r="A152" s="90" t="n">
        <v>23193</v>
      </c>
      <c r="B152" t="n">
        <v>0.4861435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3.163938</v>
      </c>
      <c r="AE152" t="n">
        <v/>
      </c>
    </row>
    <row r="153">
      <c r="A153" s="90" t="n">
        <v>23224</v>
      </c>
      <c r="B153" t="n">
        <v>0.4900938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3.184693</v>
      </c>
      <c r="AE153" t="n">
        <v/>
      </c>
    </row>
    <row r="154">
      <c r="A154" s="90" t="n">
        <v>23255</v>
      </c>
      <c r="B154" t="n">
        <v>0.4941002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3.204618</v>
      </c>
      <c r="AE154" t="n">
        <v/>
      </c>
    </row>
    <row r="155">
      <c r="A155" s="90" t="n">
        <v>23285</v>
      </c>
      <c r="B155" t="n">
        <v>0.4972661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3.223713</v>
      </c>
      <c r="AE155" t="n">
        <v/>
      </c>
    </row>
    <row r="156">
      <c r="A156" s="90" t="n">
        <v>23316</v>
      </c>
      <c r="B156" t="n">
        <v>0.5021409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3.25028</v>
      </c>
      <c r="AE156" t="n">
        <v/>
      </c>
    </row>
    <row r="157">
      <c r="A157" s="90" t="n">
        <v>23346</v>
      </c>
      <c r="B157" t="n">
        <v>0.5085847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3.264394</v>
      </c>
      <c r="AE157" t="n">
        <v/>
      </c>
    </row>
    <row r="158">
      <c r="A158" s="90" t="n">
        <v>23377</v>
      </c>
      <c r="B158" t="n">
        <v>0.5132635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3.280998</v>
      </c>
      <c r="AE158" t="n">
        <v/>
      </c>
    </row>
    <row r="159">
      <c r="A159" s="90" t="n">
        <v>23408</v>
      </c>
      <c r="B159" t="n">
        <v>0.5172137999999999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3.300923</v>
      </c>
      <c r="AE159" t="n">
        <v/>
      </c>
    </row>
    <row r="160">
      <c r="A160" s="90" t="n">
        <v>23437</v>
      </c>
      <c r="B160" t="n">
        <v>0.5236857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3.319187</v>
      </c>
      <c r="AE160" t="n">
        <v/>
      </c>
    </row>
    <row r="161">
      <c r="A161" s="90" t="n">
        <v>23468</v>
      </c>
      <c r="B161" t="n">
        <v>0.5301295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3.334961</v>
      </c>
      <c r="AE161" t="n">
        <v/>
      </c>
    </row>
    <row r="162">
      <c r="A162" s="90" t="n">
        <v>23498</v>
      </c>
      <c r="B162" t="n">
        <v>0.5353125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3.355717</v>
      </c>
      <c r="AE162" t="n">
        <v/>
      </c>
    </row>
    <row r="163">
      <c r="A163" s="90" t="n">
        <v>23529</v>
      </c>
      <c r="B163" t="n">
        <v>0.5410279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3.379793</v>
      </c>
      <c r="AE163" t="n">
        <v/>
      </c>
    </row>
    <row r="164">
      <c r="A164" s="90" t="n">
        <v>23559</v>
      </c>
      <c r="B164" t="n">
        <v>0.5457067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3.404699</v>
      </c>
      <c r="AE164" t="n">
        <v/>
      </c>
    </row>
    <row r="165">
      <c r="A165" s="90" t="n">
        <v>23590</v>
      </c>
      <c r="B165" t="n">
        <v>0.5506936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3.432096</v>
      </c>
      <c r="AE165" t="n">
        <v/>
      </c>
    </row>
    <row r="166">
      <c r="A166" s="90" t="n">
        <v>23621</v>
      </c>
      <c r="B166" t="n">
        <v>0.5552043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3.461154</v>
      </c>
      <c r="AE166" t="n">
        <v/>
      </c>
    </row>
    <row r="167">
      <c r="A167" s="90" t="n">
        <v>23651</v>
      </c>
      <c r="B167" t="n">
        <v>0.5590425999999999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3.479418</v>
      </c>
      <c r="AE167" t="n">
        <v/>
      </c>
    </row>
    <row r="168">
      <c r="A168" s="90" t="n">
        <v>23682</v>
      </c>
      <c r="B168" t="n">
        <v>0.5636653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3.503495</v>
      </c>
      <c r="AE168" t="n">
        <v/>
      </c>
    </row>
    <row r="169">
      <c r="A169" s="90" t="n">
        <v>23712</v>
      </c>
      <c r="B169" t="n">
        <v>0.5669432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3.52591</v>
      </c>
      <c r="AE169" t="n">
        <v/>
      </c>
    </row>
    <row r="170">
      <c r="A170" s="90" t="n">
        <v>23743</v>
      </c>
      <c r="B170" t="n">
        <v>0.5694087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3.549156</v>
      </c>
      <c r="AE170" t="n">
        <v/>
      </c>
    </row>
    <row r="171">
      <c r="A171" s="90" t="n">
        <v>23774</v>
      </c>
      <c r="B171" t="n">
        <v>0.573247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3.573232</v>
      </c>
      <c r="AE171" t="n">
        <v/>
      </c>
    </row>
    <row r="172">
      <c r="A172" s="90" t="n">
        <v>23802</v>
      </c>
      <c r="B172" t="n">
        <v>0.5791865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3.596478</v>
      </c>
      <c r="AE172" t="n">
        <v/>
      </c>
    </row>
    <row r="173">
      <c r="A173" s="90" t="n">
        <v>23833</v>
      </c>
      <c r="B173" t="n">
        <v>0.5827445999999999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3.614743</v>
      </c>
      <c r="AE173" t="n">
        <v>0.1689011</v>
      </c>
    </row>
    <row r="174">
      <c r="A174" s="90" t="n">
        <v>23863</v>
      </c>
      <c r="B174" t="n">
        <v>0.5827445999999999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3.628856</v>
      </c>
      <c r="AE174" t="n">
        <v>0.1700639</v>
      </c>
    </row>
    <row r="175">
      <c r="A175" s="90" t="n">
        <v>23894</v>
      </c>
      <c r="B175" t="n">
        <v>0.5855463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3.653763</v>
      </c>
      <c r="AE175" t="n">
        <v>0.1692385</v>
      </c>
    </row>
    <row r="176">
      <c r="A176" s="90" t="n">
        <v>23924</v>
      </c>
      <c r="B176" t="n">
        <v>0.5883479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3.677009</v>
      </c>
      <c r="AE176" t="n">
        <v>0.1690081</v>
      </c>
    </row>
    <row r="177">
      <c r="A177" s="90" t="n">
        <v>23955</v>
      </c>
      <c r="B177" t="n">
        <v>0.5883479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3.701085</v>
      </c>
      <c r="AE177" t="n">
        <v>0.169466</v>
      </c>
    </row>
    <row r="178">
      <c r="A178" s="90" t="n">
        <v>23986</v>
      </c>
      <c r="B178" t="n">
        <v>0.5883479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3.731803</v>
      </c>
      <c r="AE178" t="n">
        <v>0.1691621</v>
      </c>
    </row>
    <row r="179">
      <c r="A179" s="90" t="n">
        <v>24016</v>
      </c>
      <c r="B179" t="n">
        <v>0.5911496000000001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3.757539</v>
      </c>
      <c r="AE179" t="n">
        <v>0.1697875</v>
      </c>
    </row>
    <row r="180">
      <c r="A180" s="90" t="n">
        <v>24047</v>
      </c>
      <c r="B180" t="n">
        <v>0.5939512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3.783276</v>
      </c>
      <c r="AE180" t="n">
        <v>0.17073</v>
      </c>
    </row>
    <row r="181">
      <c r="A181" s="90" t="n">
        <v>24077</v>
      </c>
      <c r="B181" t="n">
        <v>0.5967529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3.812333</v>
      </c>
      <c r="AE181" t="n">
        <v>0.1719275</v>
      </c>
    </row>
    <row r="182">
      <c r="A182" s="90" t="n">
        <v>24108</v>
      </c>
      <c r="B182" t="n">
        <v>0.5995545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3.835579</v>
      </c>
      <c r="AE182" t="n">
        <v>0.1728712</v>
      </c>
    </row>
    <row r="183">
      <c r="A183" s="90" t="n">
        <v>24139</v>
      </c>
      <c r="B183" t="n">
        <v>0.6051579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3.857165</v>
      </c>
      <c r="AE183" t="n">
        <v>0.1734393</v>
      </c>
    </row>
    <row r="184">
      <c r="A184" s="90" t="n">
        <v>24167</v>
      </c>
      <c r="B184" t="n">
        <v>0.6107612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3.87875</v>
      </c>
      <c r="AE184" t="n">
        <v>0.1738544</v>
      </c>
    </row>
    <row r="185">
      <c r="A185" s="90" t="n">
        <v>24198</v>
      </c>
      <c r="B185" t="n">
        <v>0.6107612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3.896185</v>
      </c>
      <c r="AE185" t="n">
        <v>0.1750641</v>
      </c>
    </row>
    <row r="186">
      <c r="A186" s="90" t="n">
        <v>24228</v>
      </c>
      <c r="B186" t="n">
        <v>0.6135628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3.902827</v>
      </c>
      <c r="AE186" t="n">
        <v>0.1777355</v>
      </c>
    </row>
    <row r="187">
      <c r="A187" s="90" t="n">
        <v>24259</v>
      </c>
      <c r="B187" t="n">
        <v>0.6191661000000001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3.911959</v>
      </c>
      <c r="AE187" t="n">
        <v>0.1802882</v>
      </c>
    </row>
    <row r="188">
      <c r="A188" s="90" t="n">
        <v>24289</v>
      </c>
      <c r="B188" t="n">
        <v>0.6219678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3.909468</v>
      </c>
      <c r="AE188" t="n">
        <v>0.1830882</v>
      </c>
    </row>
    <row r="189">
      <c r="A189" s="90" t="n">
        <v>24320</v>
      </c>
      <c r="B189" t="n">
        <v>0.6247694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3.923582</v>
      </c>
      <c r="AE189" t="n">
        <v>0.1844466</v>
      </c>
    </row>
    <row r="190">
      <c r="A190" s="90" t="n">
        <v>24351</v>
      </c>
      <c r="B190" t="n">
        <v>0.6303728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3.946828</v>
      </c>
      <c r="AE190" t="n">
        <v>0.1855394</v>
      </c>
    </row>
    <row r="191">
      <c r="A191" s="90" t="n">
        <v>24381</v>
      </c>
      <c r="B191" t="n">
        <v>0.6359761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3.949318</v>
      </c>
      <c r="AE191" t="n">
        <v>0.1870406</v>
      </c>
    </row>
    <row r="192">
      <c r="A192" s="90" t="n">
        <v>24412</v>
      </c>
      <c r="B192" t="n">
        <v>0.6415794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3.962602</v>
      </c>
      <c r="AE192" t="n">
        <v>0.1872674</v>
      </c>
    </row>
    <row r="193">
      <c r="A193" s="90" t="n">
        <v>24442</v>
      </c>
      <c r="B193" t="n">
        <v>0.644381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3.986678</v>
      </c>
      <c r="AE193" t="n">
        <v>0.1880332</v>
      </c>
    </row>
    <row r="194">
      <c r="A194" s="90" t="n">
        <v>24473</v>
      </c>
      <c r="B194" t="n">
        <v>0.6471827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3.998301</v>
      </c>
      <c r="AE194" t="n">
        <v>0.1895375</v>
      </c>
    </row>
    <row r="195">
      <c r="A195" s="90" t="n">
        <v>24504</v>
      </c>
      <c r="B195" t="n">
        <v>0.652786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4.027358</v>
      </c>
      <c r="AE195" t="n">
        <v>0.1901628</v>
      </c>
    </row>
    <row r="196">
      <c r="A196" s="90" t="n">
        <v>24532</v>
      </c>
      <c r="B196" t="n">
        <v>0.6583893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4.065548</v>
      </c>
      <c r="AE196" t="n">
        <v>0.1909009</v>
      </c>
    </row>
    <row r="197">
      <c r="A197" s="90" t="n">
        <v>24563</v>
      </c>
      <c r="B197" t="n">
        <v>0.6583893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4.085473</v>
      </c>
      <c r="AE197" t="n">
        <v>0.1920945</v>
      </c>
    </row>
    <row r="198">
      <c r="A198" s="90" t="n">
        <v>24593</v>
      </c>
      <c r="B198" t="n">
        <v>0.661191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4.127814</v>
      </c>
      <c r="AE198" t="n">
        <v>0.1927336</v>
      </c>
    </row>
    <row r="199">
      <c r="A199" s="90" t="n">
        <v>24624</v>
      </c>
      <c r="B199" t="n">
        <v>0.669596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4.167664</v>
      </c>
      <c r="AE199" t="n">
        <v>0.1942216</v>
      </c>
    </row>
    <row r="200">
      <c r="A200" s="90" t="n">
        <v>24654</v>
      </c>
      <c r="B200" t="n">
        <v>0.6751992999999999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4.203363</v>
      </c>
      <c r="AE200" t="n">
        <v>0.1954997</v>
      </c>
    </row>
    <row r="201">
      <c r="A201" s="90" t="n">
        <v>24685</v>
      </c>
      <c r="B201" t="n">
        <v>0.6808026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4.240723</v>
      </c>
      <c r="AE201" t="n">
        <v>0.1961848</v>
      </c>
    </row>
    <row r="202">
      <c r="A202" s="90" t="n">
        <v>24716</v>
      </c>
      <c r="B202" t="n">
        <v>0.6864059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4.273101</v>
      </c>
      <c r="AE202" t="n">
        <v>0.1964858</v>
      </c>
    </row>
    <row r="203">
      <c r="A203" s="90" t="n">
        <v>24746</v>
      </c>
      <c r="B203" t="n">
        <v>0.6892076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4.302158</v>
      </c>
      <c r="AE203" t="n">
        <v>0.1967327</v>
      </c>
    </row>
    <row r="204">
      <c r="A204" s="90" t="n">
        <v>24777</v>
      </c>
      <c r="B204" t="n">
        <v>0.6920092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4.327065</v>
      </c>
      <c r="AE204" t="n">
        <v>0.1986843</v>
      </c>
    </row>
    <row r="205">
      <c r="A205" s="90" t="n">
        <v>24807</v>
      </c>
      <c r="B205" t="n">
        <v>0.6976125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4.356952</v>
      </c>
      <c r="AE205" t="n">
        <v>0.2013636</v>
      </c>
    </row>
    <row r="206">
      <c r="A206" s="90" t="n">
        <v>24838</v>
      </c>
      <c r="B206" t="n">
        <v>0.7032157999999999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4.378538</v>
      </c>
      <c r="AE206" t="n">
        <v>0.2036441</v>
      </c>
    </row>
    <row r="207">
      <c r="A207" s="90" t="n">
        <v>24869</v>
      </c>
      <c r="B207" t="n">
        <v>0.7060175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4.403444</v>
      </c>
      <c r="AE207" t="n">
        <v>0.204998</v>
      </c>
    </row>
    <row r="208">
      <c r="A208" s="90" t="n">
        <v>24898</v>
      </c>
      <c r="B208" t="n">
        <v>0.7088192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4.42669</v>
      </c>
      <c r="AE208" t="n">
        <v>0.2060375</v>
      </c>
    </row>
    <row r="209">
      <c r="A209" s="90" t="n">
        <v>24929</v>
      </c>
      <c r="B209" t="n">
        <v>0.7116208000000001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4.447445</v>
      </c>
      <c r="AE209" t="n">
        <v>0.2081015</v>
      </c>
    </row>
    <row r="210">
      <c r="A210" s="90" t="n">
        <v>24959</v>
      </c>
      <c r="B210" t="n">
        <v>0.7144225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4.474012</v>
      </c>
      <c r="AE210" t="n">
        <v>0.2107966</v>
      </c>
    </row>
    <row r="211">
      <c r="A211" s="90" t="n">
        <v>24990</v>
      </c>
      <c r="B211" t="n">
        <v>0.7228274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4.50473</v>
      </c>
      <c r="AE211" t="n">
        <v>0.2133184</v>
      </c>
    </row>
    <row r="212">
      <c r="A212" s="90" t="n">
        <v>25020</v>
      </c>
      <c r="B212" t="n">
        <v>0.7312324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4.529636</v>
      </c>
      <c r="AE212" t="n">
        <v>0.215802</v>
      </c>
    </row>
    <row r="213">
      <c r="A213" s="90" t="n">
        <v>25051</v>
      </c>
      <c r="B213" t="n">
        <v>0.7340341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4.561184</v>
      </c>
      <c r="AE213" t="n">
        <v>0.2183992</v>
      </c>
    </row>
    <row r="214">
      <c r="A214" s="90" t="n">
        <v>25082</v>
      </c>
      <c r="B214" t="n">
        <v>0.7368357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4.596054</v>
      </c>
      <c r="AE214" t="n">
        <v>0.2207133</v>
      </c>
    </row>
    <row r="215">
      <c r="A215" s="90" t="n">
        <v>25112</v>
      </c>
      <c r="B215" t="n">
        <v>0.742439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4.629262</v>
      </c>
      <c r="AE215" t="n">
        <v>0.2229626</v>
      </c>
    </row>
    <row r="216">
      <c r="A216" s="90" t="n">
        <v>25143</v>
      </c>
      <c r="B216" t="n">
        <v>0.7452407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4.669112</v>
      </c>
      <c r="AE216" t="n">
        <v>0.2278049</v>
      </c>
    </row>
    <row r="217">
      <c r="A217" s="90" t="n">
        <v>25173</v>
      </c>
      <c r="B217" t="n">
        <v>0.7480423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4.705641</v>
      </c>
      <c r="AE217" t="n">
        <v>0.2300133</v>
      </c>
    </row>
    <row r="218">
      <c r="A218" s="90" t="n">
        <v>25204</v>
      </c>
      <c r="B218" t="n">
        <v>0.7564473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4.726397</v>
      </c>
      <c r="AE218" t="n">
        <v>0.2296112</v>
      </c>
    </row>
    <row r="219">
      <c r="A219" s="90" t="n">
        <v>25235</v>
      </c>
      <c r="B219" t="n">
        <v>0.7648523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4.747982</v>
      </c>
      <c r="AE219" t="n">
        <v>0.2325165</v>
      </c>
    </row>
    <row r="220">
      <c r="A220" s="90" t="n">
        <v>25263</v>
      </c>
      <c r="B220" t="n">
        <v>0.7704556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4.768737</v>
      </c>
      <c r="AE220" t="n">
        <v>0.2356508</v>
      </c>
    </row>
    <row r="221">
      <c r="A221" s="90" t="n">
        <v>25294</v>
      </c>
      <c r="B221" t="n">
        <v>0.7760589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4.779531</v>
      </c>
      <c r="AE221" t="n">
        <v>0.2371763</v>
      </c>
    </row>
    <row r="222">
      <c r="A222" s="90" t="n">
        <v>25324</v>
      </c>
      <c r="B222" t="n">
        <v>0.7816622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4.786172</v>
      </c>
      <c r="AE222" t="n">
        <v>0.2386307</v>
      </c>
    </row>
    <row r="223">
      <c r="A223" s="90" t="n">
        <v>25355</v>
      </c>
      <c r="B223" t="n">
        <v>0.7900672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4.802776</v>
      </c>
      <c r="AE223" t="n">
        <v>0.238634</v>
      </c>
    </row>
    <row r="224">
      <c r="A224" s="90" t="n">
        <v>25385</v>
      </c>
      <c r="B224" t="n">
        <v>0.7984722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4.811079</v>
      </c>
      <c r="AE224" t="n">
        <v>0.2374746</v>
      </c>
    </row>
    <row r="225">
      <c r="A225" s="90" t="n">
        <v>25416</v>
      </c>
      <c r="B225" t="n">
        <v>0.8040755000000001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4.81606</v>
      </c>
      <c r="AE225" t="n">
        <v>0.2387784</v>
      </c>
    </row>
    <row r="226">
      <c r="A226" s="90" t="n">
        <v>25447</v>
      </c>
      <c r="B226" t="n">
        <v>0.8068771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4.832664</v>
      </c>
      <c r="AE226" t="n">
        <v>0.242866</v>
      </c>
    </row>
    <row r="227">
      <c r="A227" s="90" t="n">
        <v>25477</v>
      </c>
      <c r="B227" t="n">
        <v>0.8096788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4.843457</v>
      </c>
      <c r="AE227" t="n">
        <v>0.247441</v>
      </c>
    </row>
    <row r="228">
      <c r="A228" s="90" t="n">
        <v>25508</v>
      </c>
      <c r="B228" t="n">
        <v>0.8152821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4.860061</v>
      </c>
      <c r="AE228" t="n">
        <v>0.2506252</v>
      </c>
    </row>
    <row r="229">
      <c r="A229" s="90" t="n">
        <v>25538</v>
      </c>
      <c r="B229" t="n">
        <v>0.8208854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4.880816</v>
      </c>
      <c r="AE229" t="n">
        <v>0.253642</v>
      </c>
    </row>
    <row r="230">
      <c r="A230" s="90" t="n">
        <v>25569</v>
      </c>
      <c r="B230" t="n">
        <v>0.8236871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4.89493</v>
      </c>
      <c r="AE230" t="n">
        <v>0.254218</v>
      </c>
    </row>
    <row r="231">
      <c r="A231" s="90" t="n">
        <v>25600</v>
      </c>
      <c r="B231" t="n">
        <v>0.8264887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4.867533</v>
      </c>
      <c r="AE231" t="n">
        <v>0.2530854</v>
      </c>
    </row>
    <row r="232">
      <c r="A232" s="90" t="n">
        <v>25628</v>
      </c>
      <c r="B232" t="n">
        <v>0.8320920000000001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4.875835</v>
      </c>
      <c r="AE232" t="n">
        <v>0.2554737</v>
      </c>
    </row>
    <row r="233">
      <c r="A233" s="90" t="n">
        <v>25659</v>
      </c>
      <c r="B233" t="n">
        <v>0.8348937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4.884967</v>
      </c>
      <c r="AE233" t="n">
        <v>0.2588155</v>
      </c>
    </row>
    <row r="234">
      <c r="A234" s="90" t="n">
        <v>25689</v>
      </c>
      <c r="B234" t="n">
        <v>0.8376954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4.910704</v>
      </c>
      <c r="AE234" t="n">
        <v>0.2605789</v>
      </c>
    </row>
    <row r="235">
      <c r="A235" s="90" t="n">
        <v>25720</v>
      </c>
      <c r="B235" t="n">
        <v>0.840497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3.108003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4.941422</v>
      </c>
      <c r="AE235" t="n">
        <v>0.2629929</v>
      </c>
    </row>
    <row r="236">
      <c r="A236" s="90" t="n">
        <v>25750</v>
      </c>
      <c r="B236" t="n">
        <v>0.8432987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4.9738</v>
      </c>
      <c r="AE236" t="n">
        <v>0.265268</v>
      </c>
    </row>
    <row r="237">
      <c r="A237" s="90" t="n">
        <v>25781</v>
      </c>
      <c r="B237" t="n">
        <v>0.8461003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5.021952</v>
      </c>
      <c r="AE237" t="n">
        <v>0.266302</v>
      </c>
    </row>
    <row r="238">
      <c r="A238" s="90" t="n">
        <v>25812</v>
      </c>
      <c r="B238" t="n">
        <v>0.848902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5.074255</v>
      </c>
      <c r="AE238" t="n">
        <v>0.2680131</v>
      </c>
    </row>
    <row r="239">
      <c r="A239" s="90" t="n">
        <v>25842</v>
      </c>
      <c r="B239" t="n">
        <v>0.8517036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5.117426</v>
      </c>
      <c r="AE239" t="n">
        <v>0.2705621</v>
      </c>
    </row>
    <row r="240">
      <c r="A240" s="90" t="n">
        <v>25873</v>
      </c>
      <c r="B240" t="n">
        <v>0.8545053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5.156446</v>
      </c>
      <c r="AE240" t="n">
        <v>0.272078</v>
      </c>
    </row>
    <row r="241">
      <c r="A241" s="90" t="n">
        <v>25903</v>
      </c>
      <c r="B241" t="n">
        <v>0.8601086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5.201278</v>
      </c>
      <c r="AE241" t="n">
        <v>0.2735551</v>
      </c>
    </row>
    <row r="242">
      <c r="A242" s="90" t="n">
        <v>25934</v>
      </c>
      <c r="B242" t="n">
        <v>0.8629103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5.254412</v>
      </c>
      <c r="AE242" t="n">
        <v>0.2765068</v>
      </c>
    </row>
    <row r="243">
      <c r="A243" s="90" t="n">
        <v>25965</v>
      </c>
      <c r="B243" t="n">
        <v>0.8685136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3.335763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5.321659</v>
      </c>
      <c r="AE243" t="n">
        <v>0.278814</v>
      </c>
    </row>
    <row r="244">
      <c r="A244" s="90" t="n">
        <v>25993</v>
      </c>
      <c r="B244" t="n">
        <v>0.8769186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5.395547</v>
      </c>
      <c r="AE244" t="n">
        <v>0.280654</v>
      </c>
    </row>
    <row r="245">
      <c r="A245" s="90" t="n">
        <v>26024</v>
      </c>
      <c r="B245" t="n">
        <v>0.8825219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5.466115</v>
      </c>
      <c r="AE245" t="n">
        <v>0.2832132</v>
      </c>
    </row>
    <row r="246">
      <c r="A246" s="90" t="n">
        <v>26054</v>
      </c>
      <c r="B246" t="n">
        <v>0.8909268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5.535023</v>
      </c>
      <c r="AE246" t="n">
        <v>0.2858628</v>
      </c>
    </row>
    <row r="247">
      <c r="A247" s="90" t="n">
        <v>26085</v>
      </c>
      <c r="B247" t="n">
        <v>0.8993318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5.587327</v>
      </c>
      <c r="AE247" t="n">
        <v>0.2871199</v>
      </c>
    </row>
    <row r="248">
      <c r="A248" s="90" t="n">
        <v>26115</v>
      </c>
      <c r="B248" t="n">
        <v>0.9021335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3.546547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5.64212</v>
      </c>
      <c r="AE248" t="n">
        <v>0.2871328</v>
      </c>
    </row>
    <row r="249">
      <c r="A249" s="90" t="n">
        <v>26146</v>
      </c>
      <c r="B249" t="n">
        <v>0.9077368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5.691103</v>
      </c>
      <c r="AE249" t="n">
        <v>0.2894966</v>
      </c>
    </row>
    <row r="250">
      <c r="A250" s="90" t="n">
        <v>26177</v>
      </c>
      <c r="B250" t="n">
        <v>0.9189434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3.621524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5.749218</v>
      </c>
      <c r="AE250" t="n">
        <v>0.2918229</v>
      </c>
    </row>
    <row r="251">
      <c r="A251" s="90" t="n">
        <v>26207</v>
      </c>
      <c r="B251" t="n">
        <v>0.9273484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5.798201</v>
      </c>
      <c r="AE251" t="n">
        <v>0.2930707</v>
      </c>
    </row>
    <row r="252">
      <c r="A252" s="90" t="n">
        <v>26238</v>
      </c>
      <c r="B252" t="n">
        <v>0.93015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5.849674</v>
      </c>
      <c r="AE252" t="n">
        <v>0.2951781</v>
      </c>
    </row>
    <row r="253">
      <c r="A253" s="90" t="n">
        <v>26268</v>
      </c>
      <c r="B253" t="n">
        <v>0.9357533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5.896996</v>
      </c>
      <c r="AE253" t="n">
        <v>0.2974969</v>
      </c>
    </row>
    <row r="254">
      <c r="A254" s="90" t="n">
        <v>26299</v>
      </c>
      <c r="B254" t="n">
        <v>0.9441583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5.958431</v>
      </c>
      <c r="AE254" t="n">
        <v>0.2997762</v>
      </c>
    </row>
    <row r="255">
      <c r="A255" s="90" t="n">
        <v>26330</v>
      </c>
      <c r="B255" t="n">
        <v>0.9525633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6.024848</v>
      </c>
      <c r="AE255" t="n">
        <v>0.3028557</v>
      </c>
    </row>
    <row r="256">
      <c r="A256" s="90" t="n">
        <v>26359</v>
      </c>
      <c r="B256" t="n">
        <v>0.9609683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6.089605</v>
      </c>
      <c r="AE256" t="n">
        <v>0.305698</v>
      </c>
    </row>
    <row r="257">
      <c r="A257" s="90" t="n">
        <v>26390</v>
      </c>
      <c r="B257" t="n">
        <v>0.9693732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3.909171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6.130285</v>
      </c>
      <c r="AE257" t="n">
        <v>0.3074155</v>
      </c>
    </row>
    <row r="258">
      <c r="A258" s="90" t="n">
        <v>26420</v>
      </c>
      <c r="B258" t="n">
        <v>0.9805798999999999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6.170966</v>
      </c>
      <c r="AE258" t="n">
        <v>0.3094497</v>
      </c>
    </row>
    <row r="259">
      <c r="A259" s="90" t="n">
        <v>26451</v>
      </c>
      <c r="B259" t="n">
        <v>0.9917865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6.224099</v>
      </c>
      <c r="AE259" t="n">
        <v>0.3136298</v>
      </c>
    </row>
    <row r="260">
      <c r="A260" s="90" t="n">
        <v>26481</v>
      </c>
      <c r="B260" t="n">
        <v>1.008596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6.30546</v>
      </c>
      <c r="AE260" t="n">
        <v>0.3195812</v>
      </c>
    </row>
    <row r="261">
      <c r="A261" s="90" t="n">
        <v>26512</v>
      </c>
      <c r="B261" t="n">
        <v>1.03101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6.381839</v>
      </c>
      <c r="AE261" t="n">
        <v>0.3257847</v>
      </c>
    </row>
    <row r="262">
      <c r="A262" s="90" t="n">
        <v>26543</v>
      </c>
      <c r="B262" t="n">
        <v>1.050621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6.46154</v>
      </c>
      <c r="AE262" t="n">
        <v>0.3313638</v>
      </c>
    </row>
    <row r="263">
      <c r="A263" s="90" t="n">
        <v>26573</v>
      </c>
      <c r="B263" t="n">
        <v>1.070233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6.532938</v>
      </c>
      <c r="AE263" t="n">
        <v>0.3348247</v>
      </c>
    </row>
    <row r="264">
      <c r="A264" s="90" t="n">
        <v>26604</v>
      </c>
      <c r="B264" t="n">
        <v>1.089844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6.591053</v>
      </c>
      <c r="AE264" t="n">
        <v>0.3393196</v>
      </c>
    </row>
    <row r="265">
      <c r="A265" s="90" t="n">
        <v>26634</v>
      </c>
      <c r="B265" t="n">
        <v>1.112258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6.66079</v>
      </c>
      <c r="AE265" t="n">
        <v>0.3462582</v>
      </c>
    </row>
    <row r="266">
      <c r="A266" s="90" t="n">
        <v>26665</v>
      </c>
      <c r="B266" t="n">
        <v>1.134671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6.727208</v>
      </c>
      <c r="AE266" t="n">
        <v>0.350232</v>
      </c>
    </row>
    <row r="267">
      <c r="A267" s="90" t="n">
        <v>26696</v>
      </c>
      <c r="B267" t="n">
        <v>1.154283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6.758756</v>
      </c>
      <c r="AE267" t="n">
        <v>0.3530811</v>
      </c>
    </row>
    <row r="268">
      <c r="A268" s="90" t="n">
        <v>26724</v>
      </c>
      <c r="B268" t="n">
        <v>1.171093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6.768718</v>
      </c>
      <c r="AE268" t="n">
        <v>0.3598951</v>
      </c>
    </row>
    <row r="269">
      <c r="A269" s="90" t="n">
        <v>26755</v>
      </c>
      <c r="B269" t="n">
        <v>1.190704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4.525019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6.805247</v>
      </c>
      <c r="AE269" t="n">
        <v>0.3686755</v>
      </c>
    </row>
    <row r="270">
      <c r="A270" s="90" t="n">
        <v>26785</v>
      </c>
      <c r="B270" t="n">
        <v>1.218721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4.579719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6.864192</v>
      </c>
      <c r="AE270" t="n">
        <v>0.3780339</v>
      </c>
    </row>
    <row r="271">
      <c r="A271" s="90" t="n">
        <v>26816</v>
      </c>
      <c r="B271" t="n">
        <v>1.243936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6.918156</v>
      </c>
      <c r="AE271" t="n">
        <v>0.3861646</v>
      </c>
    </row>
    <row r="272">
      <c r="A272" s="90" t="n">
        <v>26846</v>
      </c>
      <c r="B272" t="n">
        <v>1.26915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6.944723</v>
      </c>
      <c r="AE272" t="n">
        <v>0.393177</v>
      </c>
    </row>
    <row r="273">
      <c r="A273" s="90" t="n">
        <v>26877</v>
      </c>
      <c r="B273" t="n">
        <v>1.294365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6.963818</v>
      </c>
      <c r="AE273" t="n">
        <v>0.399902</v>
      </c>
    </row>
    <row r="274">
      <c r="A274" s="90" t="n">
        <v>26908</v>
      </c>
      <c r="B274" t="n">
        <v>1.316779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6.967969</v>
      </c>
      <c r="AE274" t="n">
        <v>0.40692</v>
      </c>
    </row>
    <row r="275">
      <c r="A275" s="90" t="n">
        <v>26938</v>
      </c>
      <c r="B275" t="n">
        <v>1.333589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4.815967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6.995366</v>
      </c>
      <c r="AE275" t="n">
        <v>0.4123809</v>
      </c>
    </row>
    <row r="276">
      <c r="A276" s="90" t="n">
        <v>26969</v>
      </c>
      <c r="B276" t="n">
        <v>1.339192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4.867366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7.047669</v>
      </c>
      <c r="AE276" t="n">
        <v>0.4154501</v>
      </c>
    </row>
    <row r="277">
      <c r="A277" s="90" t="n">
        <v>26999</v>
      </c>
      <c r="B277" t="n">
        <v>1.350399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7.102463</v>
      </c>
      <c r="AE277" t="n">
        <v>0.419131</v>
      </c>
    </row>
    <row r="278">
      <c r="A278" s="90" t="n">
        <v>27030</v>
      </c>
      <c r="B278" t="n">
        <v>1.367208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7.137332</v>
      </c>
      <c r="AE278" t="n">
        <v>0.4235964</v>
      </c>
    </row>
    <row r="279">
      <c r="A279" s="90" t="n">
        <v>27061</v>
      </c>
      <c r="B279" t="n">
        <v>1.384018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5.031938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7.174692</v>
      </c>
      <c r="AE279" t="n">
        <v>0.4299194</v>
      </c>
    </row>
    <row r="280">
      <c r="A280" s="90" t="n">
        <v>27089</v>
      </c>
      <c r="B280" t="n">
        <v>1.400828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7.223674</v>
      </c>
      <c r="AE280" t="n">
        <v>0.4375849</v>
      </c>
    </row>
    <row r="281">
      <c r="A281" s="90" t="n">
        <v>27120</v>
      </c>
      <c r="B281" t="n">
        <v>1.412035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5.131907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7.24692</v>
      </c>
      <c r="AE281" t="n">
        <v>0.4440742</v>
      </c>
    </row>
    <row r="282">
      <c r="A282" s="90" t="n">
        <v>27150</v>
      </c>
      <c r="B282" t="n">
        <v>1.428845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7.261034</v>
      </c>
      <c r="AE282" t="n">
        <v>0.4505411</v>
      </c>
    </row>
    <row r="283">
      <c r="A283" s="90" t="n">
        <v>27181</v>
      </c>
      <c r="B283" t="n">
        <v>1.428845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7.287601</v>
      </c>
      <c r="AE283" t="n">
        <v>0.4575538</v>
      </c>
    </row>
    <row r="284">
      <c r="A284" s="90" t="n">
        <v>27211</v>
      </c>
      <c r="B284" t="n">
        <v>1.409233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5.273373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7.317488</v>
      </c>
      <c r="AE284" t="n">
        <v>0.4620521</v>
      </c>
    </row>
    <row r="285">
      <c r="A285" s="90" t="n">
        <v>27242</v>
      </c>
      <c r="B285" t="n">
        <v>1.392423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7.339904</v>
      </c>
      <c r="AE285" t="n">
        <v>0.464581</v>
      </c>
    </row>
    <row r="286">
      <c r="A286" s="90" t="n">
        <v>27273</v>
      </c>
      <c r="B286" t="n">
        <v>1.38682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7.371452</v>
      </c>
      <c r="AE286" t="n">
        <v>0.4669874</v>
      </c>
    </row>
    <row r="287">
      <c r="A287" s="90" t="n">
        <v>27303</v>
      </c>
      <c r="B287" t="n">
        <v>1.40363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5.405879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7.416284</v>
      </c>
      <c r="AE287" t="n">
        <v>0.4738458</v>
      </c>
    </row>
    <row r="288">
      <c r="A288" s="90" t="n">
        <v>27334</v>
      </c>
      <c r="B288" t="n">
        <v>1.428845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7.460285</v>
      </c>
      <c r="AE288" t="n">
        <v>0.4841326</v>
      </c>
    </row>
    <row r="289">
      <c r="A289" s="90" t="n">
        <v>27364</v>
      </c>
      <c r="B289" t="n">
        <v>1.448457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5.526125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7.489342</v>
      </c>
      <c r="AE289" t="n">
        <v>0.4919943</v>
      </c>
    </row>
    <row r="290">
      <c r="A290" s="90" t="n">
        <v>27395</v>
      </c>
      <c r="B290" t="n">
        <v>1.473671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7.524211</v>
      </c>
      <c r="AE290" t="n">
        <v>0.5023027</v>
      </c>
    </row>
    <row r="291">
      <c r="A291" s="90" t="n">
        <v>27426</v>
      </c>
      <c r="B291" t="n">
        <v>1.507291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7.588968</v>
      </c>
      <c r="AE291" t="n">
        <v>0.5112978</v>
      </c>
    </row>
    <row r="292">
      <c r="A292" s="90" t="n">
        <v>27454</v>
      </c>
      <c r="B292" t="n">
        <v>1.540911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7.679461</v>
      </c>
      <c r="AE292" t="n">
        <v>0.5191613</v>
      </c>
    </row>
    <row r="293">
      <c r="A293" s="90" t="n">
        <v>27485</v>
      </c>
      <c r="B293" t="n">
        <v>1.574531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7.763312</v>
      </c>
      <c r="AE293" t="n">
        <v>0.5267166</v>
      </c>
    </row>
    <row r="294">
      <c r="A294" s="90" t="n">
        <v>27515</v>
      </c>
      <c r="B294" t="n">
        <v>1.602548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7.869579</v>
      </c>
      <c r="AE294" t="n">
        <v>0.5304126</v>
      </c>
    </row>
    <row r="295">
      <c r="A295" s="90" t="n">
        <v>27546</v>
      </c>
      <c r="B295" t="n">
        <v>1.624961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7.994941</v>
      </c>
      <c r="AE295" t="n">
        <v>0.5372652999999999</v>
      </c>
    </row>
    <row r="296">
      <c r="A296" s="90" t="n">
        <v>27576</v>
      </c>
      <c r="B296" t="n">
        <v>1.655779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8.095397</v>
      </c>
      <c r="AE296" t="n">
        <v>0.5478082</v>
      </c>
    </row>
    <row r="297">
      <c r="A297" s="90" t="n">
        <v>27607</v>
      </c>
      <c r="B297" t="n">
        <v>1.686597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8.161814</v>
      </c>
      <c r="AE297" t="n">
        <v>0.5581419</v>
      </c>
    </row>
    <row r="298">
      <c r="A298" s="90" t="n">
        <v>27638</v>
      </c>
      <c r="B298" t="n">
        <v>1.706209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8.231552000000001</v>
      </c>
      <c r="AE298" t="n">
        <v>0.5654848</v>
      </c>
    </row>
    <row r="299">
      <c r="A299" s="90" t="n">
        <v>27668</v>
      </c>
      <c r="B299" t="n">
        <v>1.725821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8.283855000000001</v>
      </c>
      <c r="AE299" t="n">
        <v>0.5720716</v>
      </c>
    </row>
    <row r="300">
      <c r="A300" s="90" t="n">
        <v>27699</v>
      </c>
      <c r="B300" t="n">
        <v>1.745432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8.359405000000001</v>
      </c>
      <c r="AE300" t="n">
        <v>0.5820985</v>
      </c>
    </row>
    <row r="301">
      <c r="A301" s="90" t="n">
        <v>27729</v>
      </c>
      <c r="B301" t="n">
        <v>1.765044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8.436614000000001</v>
      </c>
      <c r="AE301" t="n">
        <v>0.5915943</v>
      </c>
    </row>
    <row r="302">
      <c r="A302" s="90" t="n">
        <v>27760</v>
      </c>
      <c r="B302" t="n">
        <v>1.784655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8.522956000000001</v>
      </c>
      <c r="AE302" t="n">
        <v>0.5969309</v>
      </c>
    </row>
    <row r="303">
      <c r="A303" s="90" t="n">
        <v>27791</v>
      </c>
      <c r="B303" t="n">
        <v>1.79306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6.463572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8.636695</v>
      </c>
      <c r="AE303" t="n">
        <v>0.6011030000000001</v>
      </c>
    </row>
    <row r="304">
      <c r="A304" s="90" t="n">
        <v>27820</v>
      </c>
      <c r="B304" t="n">
        <v>1.804267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8.717226</v>
      </c>
      <c r="AE304" t="n">
        <v>0.6048126</v>
      </c>
    </row>
    <row r="305">
      <c r="A305" s="90" t="n">
        <v>27851</v>
      </c>
      <c r="B305" t="n">
        <v>1.829482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8.806889</v>
      </c>
      <c r="AE305" t="n">
        <v>0.6095657</v>
      </c>
    </row>
    <row r="306">
      <c r="A306" s="90" t="n">
        <v>27881</v>
      </c>
      <c r="B306" t="n">
        <v>1.851895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8.900702000000001</v>
      </c>
      <c r="AE306" t="n">
        <v>0.6139775</v>
      </c>
    </row>
    <row r="307">
      <c r="A307" s="90" t="n">
        <v>27912</v>
      </c>
      <c r="B307" t="n">
        <v>1.868705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8.946364000000001</v>
      </c>
      <c r="AE307" t="n">
        <v>0.6198959000000001</v>
      </c>
    </row>
    <row r="308">
      <c r="A308" s="90" t="n">
        <v>27942</v>
      </c>
      <c r="B308" t="n">
        <v>1.888317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9.018592999999999</v>
      </c>
      <c r="AE308" t="n">
        <v>0.625509</v>
      </c>
    </row>
    <row r="309">
      <c r="A309" s="90" t="n">
        <v>27973</v>
      </c>
      <c r="B309" t="n">
        <v>2.036804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9.121539</v>
      </c>
      <c r="AE309" t="n">
        <v>0.6290399</v>
      </c>
    </row>
    <row r="310">
      <c r="A310" s="90" t="n">
        <v>28004</v>
      </c>
      <c r="B310" t="n">
        <v>2.188094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7.001142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9.221994</v>
      </c>
      <c r="AE310" t="n">
        <v>0.6350414</v>
      </c>
    </row>
    <row r="311">
      <c r="A311" s="90" t="n">
        <v>28034</v>
      </c>
      <c r="B311" t="n">
        <v>2.207705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7.075647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9.339885000000001</v>
      </c>
      <c r="AE311" t="n">
        <v>0.6417485000000001</v>
      </c>
    </row>
    <row r="312">
      <c r="A312" s="90" t="n">
        <v>28065</v>
      </c>
      <c r="B312" t="n">
        <v>2.227317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9.449472</v>
      </c>
      <c r="AE312" t="n">
        <v>0.6463628</v>
      </c>
    </row>
    <row r="313">
      <c r="A313" s="90" t="n">
        <v>28095</v>
      </c>
      <c r="B313" t="n">
        <v>2.258135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9.564042000000001</v>
      </c>
      <c r="AE313" t="n">
        <v>0.6489388</v>
      </c>
    </row>
    <row r="314">
      <c r="A314" s="90" t="n">
        <v>28126</v>
      </c>
      <c r="B314" t="n">
        <v>2.288954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7.262382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9.673629999999999</v>
      </c>
      <c r="AE314" t="n">
        <v>0.6514621</v>
      </c>
    </row>
    <row r="315">
      <c r="A315" s="90" t="n">
        <v>28157</v>
      </c>
      <c r="B315" t="n">
        <v>2.319772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7.338302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9.776576</v>
      </c>
      <c r="AE315" t="n">
        <v>0.6536189</v>
      </c>
    </row>
    <row r="316">
      <c r="A316" s="90" t="n">
        <v>28185</v>
      </c>
      <c r="B316" t="n">
        <v>2.344987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9.867069000000001</v>
      </c>
      <c r="AE316" t="n">
        <v>0.6577518</v>
      </c>
    </row>
    <row r="317">
      <c r="A317" s="90" t="n">
        <v>28216</v>
      </c>
      <c r="B317" t="n">
        <v>2.358995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9.959223</v>
      </c>
      <c r="AE317" t="n">
        <v>0.6643974</v>
      </c>
    </row>
    <row r="318">
      <c r="A318" s="90" t="n">
        <v>28246</v>
      </c>
      <c r="B318" t="n">
        <v>2.375805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10.03726</v>
      </c>
      <c r="AE318" t="n">
        <v>0.6734314</v>
      </c>
    </row>
    <row r="319">
      <c r="A319" s="90" t="n">
        <v>28277</v>
      </c>
      <c r="B319" t="n">
        <v>2.392615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10.11032</v>
      </c>
      <c r="AE319" t="n">
        <v>0.6838273</v>
      </c>
    </row>
    <row r="320">
      <c r="A320" s="90" t="n">
        <v>28307</v>
      </c>
      <c r="B320" t="n">
        <v>2.403821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10.18421</v>
      </c>
      <c r="AE320" t="n">
        <v>0.6873771</v>
      </c>
    </row>
    <row r="321">
      <c r="A321" s="90" t="n">
        <v>28338</v>
      </c>
      <c r="B321" t="n">
        <v>2.412226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10.26972</v>
      </c>
      <c r="AE321" t="n">
        <v>0.6887984</v>
      </c>
    </row>
    <row r="322">
      <c r="A322" s="90" t="n">
        <v>28369</v>
      </c>
      <c r="B322" t="n">
        <v>2.41783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7.918312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10.3461</v>
      </c>
      <c r="AE322" t="n">
        <v>0.6941239</v>
      </c>
    </row>
    <row r="323">
      <c r="A323" s="90" t="n">
        <v>28399</v>
      </c>
      <c r="B323" t="n">
        <v>2.426235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10.41086</v>
      </c>
      <c r="AE323" t="n">
        <v>0.6980436</v>
      </c>
    </row>
    <row r="324">
      <c r="A324" s="90" t="n">
        <v>28430</v>
      </c>
      <c r="B324" t="n">
        <v>2.443045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8.053176000000001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10.4806</v>
      </c>
      <c r="AE324" t="n">
        <v>0.7027519</v>
      </c>
    </row>
    <row r="325">
      <c r="A325" s="90" t="n">
        <v>28460</v>
      </c>
      <c r="B325" t="n">
        <v>2.465458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8.141828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10.54618</v>
      </c>
      <c r="AE325" t="n">
        <v>0.7105621</v>
      </c>
    </row>
    <row r="326">
      <c r="A326" s="90" t="n">
        <v>28491</v>
      </c>
      <c r="B326" t="n">
        <v>2.48507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8.239439000000001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10.62422</v>
      </c>
      <c r="AE326" t="n">
        <v>0.7260501</v>
      </c>
    </row>
    <row r="327">
      <c r="A327" s="90" t="n">
        <v>28522</v>
      </c>
      <c r="B327" t="n">
        <v>2.507483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8.323847000000001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10.67237</v>
      </c>
      <c r="AE327" t="n">
        <v>0.7393022</v>
      </c>
    </row>
    <row r="328">
      <c r="A328" s="90" t="n">
        <v>28550</v>
      </c>
      <c r="B328" t="n">
        <v>2.538301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10.728</v>
      </c>
      <c r="AE328" t="n">
        <v>0.7458967</v>
      </c>
    </row>
    <row r="329">
      <c r="A329" s="90" t="n">
        <v>28581</v>
      </c>
      <c r="B329" t="n">
        <v>2.569119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10.79608</v>
      </c>
      <c r="AE329" t="n">
        <v>0.7577389</v>
      </c>
    </row>
    <row r="330">
      <c r="A330" s="90" t="n">
        <v>28611</v>
      </c>
      <c r="B330" t="n">
        <v>2.599937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8.581785999999999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10.87993</v>
      </c>
      <c r="AE330" t="n">
        <v>0.7711066</v>
      </c>
    </row>
    <row r="331">
      <c r="A331" s="90" t="n">
        <v>28642</v>
      </c>
      <c r="B331" t="n">
        <v>2.625152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8.685528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10.94634</v>
      </c>
      <c r="AE331" t="n">
        <v>0.7821346</v>
      </c>
    </row>
    <row r="332">
      <c r="A332" s="90" t="n">
        <v>28672</v>
      </c>
      <c r="B332" t="n">
        <v>2.647566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10.99284</v>
      </c>
      <c r="AE332" t="n">
        <v>0.794615</v>
      </c>
    </row>
    <row r="333">
      <c r="A333" s="90" t="n">
        <v>28703</v>
      </c>
      <c r="B333" t="n">
        <v>2.675582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11.07088</v>
      </c>
      <c r="AE333" t="n">
        <v>0.8113272</v>
      </c>
    </row>
    <row r="334">
      <c r="A334" s="90" t="n">
        <v>28734</v>
      </c>
      <c r="B334" t="n">
        <v>2.703599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11.16635</v>
      </c>
      <c r="AE334" t="n">
        <v>0.8056955</v>
      </c>
    </row>
    <row r="335">
      <c r="A335" s="90" t="n">
        <v>28764</v>
      </c>
      <c r="B335" t="n">
        <v>2.726012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9.120298999999999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11.22696</v>
      </c>
      <c r="AE335" t="n">
        <v>0.8108849</v>
      </c>
    </row>
    <row r="336">
      <c r="A336" s="90" t="n">
        <v>28795</v>
      </c>
      <c r="B336" t="n">
        <v>2.748425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11.28341</v>
      </c>
      <c r="AE336" t="n">
        <v>0.8378706</v>
      </c>
    </row>
    <row r="337">
      <c r="A337" s="90" t="n">
        <v>28825</v>
      </c>
      <c r="B337" t="n">
        <v>2.77364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9.304205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11.3407</v>
      </c>
      <c r="AE337" t="n">
        <v>0.8464968</v>
      </c>
    </row>
    <row r="338">
      <c r="A338" s="90" t="n">
        <v>28856</v>
      </c>
      <c r="B338" t="n">
        <v>2.80726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11.38719</v>
      </c>
      <c r="AE338" t="n">
        <v>0.8501735</v>
      </c>
    </row>
    <row r="339">
      <c r="A339" s="90" t="n">
        <v>28887</v>
      </c>
      <c r="B339" t="n">
        <v>2.849285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11.43866</v>
      </c>
      <c r="AE339" t="n">
        <v>0.8581127</v>
      </c>
    </row>
    <row r="340">
      <c r="A340" s="90" t="n">
        <v>28915</v>
      </c>
      <c r="B340" t="n">
        <v>2.885706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11.52168</v>
      </c>
      <c r="AE340" t="n">
        <v>0.8688436</v>
      </c>
    </row>
    <row r="341">
      <c r="A341" s="90" t="n">
        <v>28946</v>
      </c>
      <c r="B341" t="n">
        <v>2.922128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11.6404</v>
      </c>
      <c r="AE341" t="n">
        <v>0.8765429</v>
      </c>
    </row>
    <row r="342">
      <c r="A342" s="90" t="n">
        <v>28976</v>
      </c>
      <c r="B342" t="n">
        <v>2.952946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9.734733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11.70765</v>
      </c>
      <c r="AE342" t="n">
        <v>0.884212</v>
      </c>
    </row>
    <row r="343">
      <c r="A343" s="90" t="n">
        <v>29007</v>
      </c>
      <c r="B343" t="n">
        <v>2.972558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11.81392</v>
      </c>
      <c r="AE343" t="n">
        <v>0.8909767</v>
      </c>
    </row>
    <row r="344">
      <c r="A344" s="90" t="n">
        <v>29037</v>
      </c>
      <c r="B344" t="n">
        <v>2.989368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11.91188</v>
      </c>
      <c r="AE344" t="n">
        <v>0.8980928</v>
      </c>
    </row>
    <row r="345">
      <c r="A345" s="90" t="n">
        <v>29068</v>
      </c>
      <c r="B345" t="n">
        <v>3.011781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12.00985</v>
      </c>
      <c r="AE345" t="n">
        <v>0.9114954</v>
      </c>
    </row>
    <row r="346">
      <c r="A346" s="90" t="n">
        <v>29099</v>
      </c>
      <c r="B346" t="n">
        <v>3.036996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12.07211</v>
      </c>
      <c r="AE346" t="n">
        <v>0.9245378</v>
      </c>
    </row>
    <row r="347">
      <c r="A347" s="90" t="n">
        <v>29129</v>
      </c>
      <c r="B347" t="n">
        <v>3.062211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12.12442</v>
      </c>
      <c r="AE347" t="n">
        <v>0.9387982</v>
      </c>
    </row>
    <row r="348">
      <c r="A348" s="90" t="n">
        <v>29160</v>
      </c>
      <c r="B348" t="n">
        <v>3.098632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12.17008</v>
      </c>
      <c r="AE348" t="n">
        <v>0.9564963</v>
      </c>
    </row>
    <row r="349">
      <c r="A349" s="90" t="n">
        <v>29190</v>
      </c>
      <c r="B349" t="n">
        <v>3.137856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12.23483</v>
      </c>
      <c r="AE349" t="n">
        <v>0.9732311</v>
      </c>
    </row>
    <row r="350">
      <c r="A350" s="90" t="n">
        <v>29221</v>
      </c>
      <c r="B350" t="n">
        <v>3.191087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3.121305</v>
      </c>
      <c r="Y350" t="n">
        <v>0.2636058</v>
      </c>
      <c r="Z350" t="n">
        <v/>
      </c>
      <c r="AA350" t="n">
        <v/>
      </c>
      <c r="AB350" t="n">
        <v>9.969514</v>
      </c>
      <c r="AC350" t="n">
        <v>6.0787e-05</v>
      </c>
      <c r="AD350" t="n">
        <v>12.30955</v>
      </c>
      <c r="AE350" t="n">
        <v>0.987341</v>
      </c>
    </row>
    <row r="351">
      <c r="A351" s="90" t="n">
        <v>29252</v>
      </c>
      <c r="B351" t="n">
        <v>3.24712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0.4614888</v>
      </c>
      <c r="U351" t="n">
        <v>0.007497021</v>
      </c>
      <c r="V351" t="n">
        <v>6.933142</v>
      </c>
      <c r="W351" t="n">
        <v>2.3681</v>
      </c>
      <c r="X351" t="n">
        <v>3.156078</v>
      </c>
      <c r="Y351" t="n">
        <v>0.2695279</v>
      </c>
      <c r="Z351" t="n">
        <v/>
      </c>
      <c r="AA351" t="n">
        <v/>
      </c>
      <c r="AB351" t="n">
        <v>10.2362</v>
      </c>
      <c r="AC351" t="n">
        <v>6.3339e-05</v>
      </c>
      <c r="AD351" t="n">
        <v>12.40835</v>
      </c>
      <c r="AE351" t="n">
        <v>0.9988517</v>
      </c>
    </row>
    <row r="352">
      <c r="A352" s="90" t="n">
        <v>29281</v>
      </c>
      <c r="B352" t="n">
        <v>3.275137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0.4768703</v>
      </c>
      <c r="U352" t="n">
        <v>0.007717619</v>
      </c>
      <c r="V352" t="n">
        <v>6.983389</v>
      </c>
      <c r="W352" t="n">
        <v>2.384577</v>
      </c>
      <c r="X352" t="n">
        <v>3.17864</v>
      </c>
      <c r="Y352" t="n">
        <v>0.271882</v>
      </c>
      <c r="Z352" t="n">
        <v/>
      </c>
      <c r="AA352" t="n">
        <v/>
      </c>
      <c r="AB352" t="n">
        <v>10.31415</v>
      </c>
      <c r="AC352" t="n">
        <v>6.4175e-05</v>
      </c>
      <c r="AD352" t="n">
        <v>12.45152</v>
      </c>
      <c r="AE352" t="n">
        <v>1.018906</v>
      </c>
    </row>
    <row r="353">
      <c r="A353" s="90" t="n">
        <v>29312</v>
      </c>
      <c r="B353" t="n">
        <v>3.294748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0.4884493</v>
      </c>
      <c r="U353" t="n">
        <v>0.007916764999999999</v>
      </c>
      <c r="V353" t="n">
        <v>7.0443</v>
      </c>
      <c r="W353" t="n">
        <v>2.408262</v>
      </c>
      <c r="X353" t="n">
        <v>3.199174</v>
      </c>
      <c r="Y353" t="n">
        <v>0.2754061</v>
      </c>
      <c r="Z353" t="n">
        <v/>
      </c>
      <c r="AA353" t="n">
        <v/>
      </c>
      <c r="AB353" t="n">
        <v>10.37246</v>
      </c>
      <c r="AC353" t="n">
        <v>6.611200000000001e-05</v>
      </c>
      <c r="AD353" t="n">
        <v>12.47144</v>
      </c>
      <c r="AE353" t="n">
        <v>1.029501</v>
      </c>
    </row>
    <row r="354">
      <c r="A354" s="90" t="n">
        <v>29342</v>
      </c>
      <c r="B354" t="n">
        <v>3.322765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0.497136</v>
      </c>
      <c r="U354" t="n">
        <v>0.008132708000000001</v>
      </c>
      <c r="V354" t="n">
        <v>7.156661</v>
      </c>
      <c r="W354" t="n">
        <v>2.435349</v>
      </c>
      <c r="X354" t="n">
        <v>3.230575</v>
      </c>
      <c r="Y354" t="n">
        <v>0.2792599</v>
      </c>
      <c r="Z354" t="n">
        <v/>
      </c>
      <c r="AA354" t="n">
        <v/>
      </c>
      <c r="AB354" t="n">
        <v>10.44545</v>
      </c>
      <c r="AC354" t="n">
        <v>6.8255e-05</v>
      </c>
      <c r="AD354" t="n">
        <v>12.5553</v>
      </c>
      <c r="AE354" t="n">
        <v>1.033571</v>
      </c>
    </row>
    <row r="355">
      <c r="A355" s="90" t="n">
        <v>29373</v>
      </c>
      <c r="B355" t="n">
        <v>3.356385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0.5087127</v>
      </c>
      <c r="U355" t="n">
        <v>0.008431284000000001</v>
      </c>
      <c r="V355" t="n">
        <v>7.2332</v>
      </c>
      <c r="W355" t="n">
        <v>2.478129</v>
      </c>
      <c r="X355" t="n">
        <v>3.269583</v>
      </c>
      <c r="Y355" t="n">
        <v>0.2828594</v>
      </c>
      <c r="Z355" t="n">
        <v/>
      </c>
      <c r="AA355" t="n">
        <v/>
      </c>
      <c r="AB355" t="n">
        <v>10.53694</v>
      </c>
      <c r="AC355" t="n">
        <v>7.0181e-05</v>
      </c>
      <c r="AD355" t="n">
        <v>12.6956</v>
      </c>
      <c r="AE355" t="n">
        <v>1.053681</v>
      </c>
    </row>
    <row r="356">
      <c r="A356" s="90" t="n">
        <v>29403</v>
      </c>
      <c r="B356" t="n">
        <v>3.39841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0.5191749</v>
      </c>
      <c r="U356" t="n">
        <v>0.008682034999999999</v>
      </c>
      <c r="V356" t="n">
        <v>7.268801</v>
      </c>
      <c r="W356" t="n">
        <v>2.526233</v>
      </c>
      <c r="X356" t="n">
        <v>3.315252</v>
      </c>
      <c r="Y356" t="n">
        <v>0.2942909</v>
      </c>
      <c r="Z356" t="n">
        <v/>
      </c>
      <c r="AA356" t="n">
        <v/>
      </c>
      <c r="AB356" t="n">
        <v>10.65679</v>
      </c>
      <c r="AC356" t="n">
        <v>7.7606e-05</v>
      </c>
      <c r="AD356" t="n">
        <v>12.83093</v>
      </c>
      <c r="AE356" t="n">
        <v>1.082661</v>
      </c>
    </row>
    <row r="357">
      <c r="A357" s="90" t="n">
        <v>29434</v>
      </c>
      <c r="B357" t="n">
        <v>3.440434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0.5306684</v>
      </c>
      <c r="U357" t="n">
        <v>0.008893781</v>
      </c>
      <c r="V357" t="n">
        <v>7.373771</v>
      </c>
      <c r="W357" t="n">
        <v>2.565848</v>
      </c>
      <c r="X357" t="n">
        <v>3.358242</v>
      </c>
      <c r="Y357" t="n">
        <v>0.3064792</v>
      </c>
      <c r="Z357" t="n">
        <v/>
      </c>
      <c r="AA357" t="n">
        <v/>
      </c>
      <c r="AB357" t="n">
        <v>10.74394</v>
      </c>
      <c r="AC357" t="n">
        <v>8.5264e-05</v>
      </c>
      <c r="AD357" t="n">
        <v>12.96376</v>
      </c>
      <c r="AE357" t="n">
        <v>1.107053</v>
      </c>
    </row>
    <row r="358">
      <c r="A358" s="90" t="n">
        <v>29465</v>
      </c>
      <c r="B358" t="n">
        <v>3.471253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0.5452309</v>
      </c>
      <c r="U358" t="n">
        <v>0.009134246</v>
      </c>
      <c r="V358" t="n">
        <v>7.465675</v>
      </c>
      <c r="W358" t="n">
        <v>2.627764</v>
      </c>
      <c r="X358" t="n">
        <v>3.394341</v>
      </c>
      <c r="Y358" t="n">
        <v>0.3139985</v>
      </c>
      <c r="Z358" t="n">
        <v/>
      </c>
      <c r="AA358" t="n">
        <v/>
      </c>
      <c r="AB358" t="n">
        <v>10.78914</v>
      </c>
      <c r="AC358" t="n">
        <v>8.9515e-05</v>
      </c>
      <c r="AD358" t="n">
        <v>13.06754</v>
      </c>
      <c r="AE358" t="n">
        <v>1.130301</v>
      </c>
    </row>
    <row r="359">
      <c r="A359" s="90" t="n">
        <v>29495</v>
      </c>
      <c r="B359" t="n">
        <v>3.510476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0.5536673</v>
      </c>
      <c r="U359" t="n">
        <v>0.009402506999999999</v>
      </c>
      <c r="V359" t="n">
        <v>7.541241</v>
      </c>
      <c r="W359" t="n">
        <v>2.667152</v>
      </c>
      <c r="X359" t="n">
        <v>3.433034</v>
      </c>
      <c r="Y359" t="n">
        <v>0.3235877</v>
      </c>
      <c r="Z359" t="n">
        <v/>
      </c>
      <c r="AA359" t="n">
        <v/>
      </c>
      <c r="AB359" t="n">
        <v>10.86918</v>
      </c>
      <c r="AC359" t="n">
        <v>9.5027e-05</v>
      </c>
      <c r="AD359" t="n">
        <v>13.1572</v>
      </c>
      <c r="AE359" t="n">
        <v>1.158936</v>
      </c>
    </row>
    <row r="360">
      <c r="A360" s="90" t="n">
        <v>29526</v>
      </c>
      <c r="B360" t="n">
        <v>3.555302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0.559927</v>
      </c>
      <c r="U360" t="n">
        <v>0.009720447</v>
      </c>
      <c r="V360" t="n">
        <v>7.639981</v>
      </c>
      <c r="W360" t="n">
        <v>2.702134</v>
      </c>
      <c r="X360" t="n">
        <v>3.473228</v>
      </c>
      <c r="Y360" t="n">
        <v>0.331144</v>
      </c>
      <c r="Z360" t="n">
        <v/>
      </c>
      <c r="AA360" t="n">
        <v/>
      </c>
      <c r="AB360" t="n">
        <v>10.98007</v>
      </c>
      <c r="AC360" t="n">
        <v>9.891900000000001e-05</v>
      </c>
      <c r="AD360" t="n">
        <v>13.24852</v>
      </c>
      <c r="AE360" t="n">
        <v>1.180304</v>
      </c>
    </row>
    <row r="361">
      <c r="A361" s="90" t="n">
        <v>29556</v>
      </c>
      <c r="B361" t="n">
        <v>3.594526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0.5796772</v>
      </c>
      <c r="U361" t="n">
        <v>0.01012419</v>
      </c>
      <c r="V361" t="n">
        <v>7.740711</v>
      </c>
      <c r="W361" t="n">
        <v>2.756258</v>
      </c>
      <c r="X361" t="n">
        <v>3.505597</v>
      </c>
      <c r="Y361" t="n">
        <v>0.3370323</v>
      </c>
      <c r="Z361" t="n">
        <v/>
      </c>
      <c r="AA361" t="n">
        <v/>
      </c>
      <c r="AB361" t="n">
        <v>11.16738</v>
      </c>
      <c r="AC361" t="n">
        <v>0.000101481</v>
      </c>
      <c r="AD361" t="n">
        <v>13.28173</v>
      </c>
      <c r="AE361" t="n">
        <v>1.198539</v>
      </c>
    </row>
    <row r="362">
      <c r="A362" s="90" t="n">
        <v>29587</v>
      </c>
      <c r="B362" t="n">
        <v>3.628145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0.5970965</v>
      </c>
      <c r="U362" t="n">
        <v>0.01045117</v>
      </c>
      <c r="V362" t="n">
        <v>7.854198</v>
      </c>
      <c r="W362" t="n">
        <v>2.978422</v>
      </c>
      <c r="X362" t="n">
        <v>3.541543</v>
      </c>
      <c r="Y362" t="n">
        <v>0.342583</v>
      </c>
      <c r="Z362" t="n">
        <v/>
      </c>
      <c r="AA362" t="n">
        <v/>
      </c>
      <c r="AB362" t="n">
        <v>11.25028</v>
      </c>
      <c r="AC362" t="n">
        <v>0.000104351</v>
      </c>
      <c r="AD362" t="n">
        <v>13.34068</v>
      </c>
      <c r="AE362" t="n">
        <v>1.220656</v>
      </c>
    </row>
    <row r="363">
      <c r="A363" s="90" t="n">
        <v>29618</v>
      </c>
      <c r="B363" t="n">
        <v>3.656162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0.6093075999999999</v>
      </c>
      <c r="U363" t="n">
        <v>0.01068727</v>
      </c>
      <c r="V363" t="n">
        <v>7.929842</v>
      </c>
      <c r="W363" t="n">
        <v>3.249067</v>
      </c>
      <c r="X363" t="n">
        <v>3.579475</v>
      </c>
      <c r="Y363" t="n">
        <v>0.3475537</v>
      </c>
      <c r="Z363" t="n">
        <v/>
      </c>
      <c r="AA363" t="n">
        <v/>
      </c>
      <c r="AB363" t="n">
        <v>11.1776</v>
      </c>
      <c r="AC363" t="n">
        <v>0.000108357</v>
      </c>
      <c r="AD363" t="n">
        <v>13.43864</v>
      </c>
      <c r="AE363" t="n">
        <v>1.244737</v>
      </c>
    </row>
    <row r="364">
      <c r="A364" s="90" t="n">
        <v>29646</v>
      </c>
      <c r="B364" t="n">
        <v>3.68698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0.6265978</v>
      </c>
      <c r="U364" t="n">
        <v>0.01108111</v>
      </c>
      <c r="V364" t="n">
        <v>7.914538</v>
      </c>
      <c r="W364" t="n">
        <v>3.241671</v>
      </c>
      <c r="X364" t="n">
        <v>3.622394</v>
      </c>
      <c r="Y364" t="n">
        <v>0.3527138</v>
      </c>
      <c r="Z364" t="n">
        <v/>
      </c>
      <c r="AA364" t="n">
        <v/>
      </c>
      <c r="AB364" t="n">
        <v>11.23761</v>
      </c>
      <c r="AC364" t="n">
        <v>0.000112224</v>
      </c>
      <c r="AD364" t="n">
        <v>13.58725</v>
      </c>
      <c r="AE364" t="n">
        <v>1.272779</v>
      </c>
    </row>
    <row r="365">
      <c r="A365" s="90" t="n">
        <v>29677</v>
      </c>
      <c r="B365" t="n">
        <v>3.7206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0.6423146</v>
      </c>
      <c r="U365" t="n">
        <v>0.01161029</v>
      </c>
      <c r="V365" t="n">
        <v>7.989538</v>
      </c>
      <c r="W365" t="n">
        <v>3.242064</v>
      </c>
      <c r="X365" t="n">
        <v>3.684194</v>
      </c>
      <c r="Y365" t="n">
        <v>0.3644117</v>
      </c>
      <c r="Z365" t="n">
        <v/>
      </c>
      <c r="AA365" t="n">
        <v/>
      </c>
      <c r="AB365" t="n">
        <v>11.43051</v>
      </c>
      <c r="AC365" t="n">
        <v>0.000120819</v>
      </c>
      <c r="AD365" t="n">
        <v>13.77488</v>
      </c>
      <c r="AE365" t="n">
        <v>1.307369</v>
      </c>
    </row>
    <row r="366">
      <c r="A366" s="90" t="n">
        <v>29707</v>
      </c>
      <c r="B366" t="n">
        <v>3.759823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0.6546888</v>
      </c>
      <c r="U366" t="n">
        <v>0.01210499</v>
      </c>
      <c r="V366" t="n">
        <v>8.102182000000001</v>
      </c>
      <c r="W366" t="n">
        <v>3.406044</v>
      </c>
      <c r="X366" t="n">
        <v>3.723258</v>
      </c>
      <c r="Y366" t="n">
        <v>0.3779699</v>
      </c>
      <c r="Z366" t="n">
        <v/>
      </c>
      <c r="AA366" t="n">
        <v/>
      </c>
      <c r="AB366" t="n">
        <v>11.55608</v>
      </c>
      <c r="AC366" t="n">
        <v>0.000131271</v>
      </c>
      <c r="AD366" t="n">
        <v>13.81639</v>
      </c>
      <c r="AE366" t="n">
        <v>1.334731</v>
      </c>
    </row>
    <row r="367">
      <c r="A367" s="90" t="n">
        <v>29738</v>
      </c>
      <c r="B367" t="n">
        <v>3.80465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0.6670887</v>
      </c>
      <c r="U367" t="n">
        <v>0.01254493</v>
      </c>
      <c r="V367" t="n">
        <v>8.161056</v>
      </c>
      <c r="W367" t="n">
        <v>3.542017</v>
      </c>
      <c r="X367" t="n">
        <v>3.763454</v>
      </c>
      <c r="Y367" t="n">
        <v>0.3856542</v>
      </c>
      <c r="Z367" t="n">
        <v/>
      </c>
      <c r="AA367" t="n">
        <v/>
      </c>
      <c r="AB367" t="n">
        <v>11.59058</v>
      </c>
      <c r="AC367" t="n">
        <v>0.000137117</v>
      </c>
      <c r="AD367" t="n">
        <v>13.86703</v>
      </c>
      <c r="AE367" t="n">
        <v>1.348952</v>
      </c>
    </row>
    <row r="368">
      <c r="A368" s="90" t="n">
        <v>29768</v>
      </c>
      <c r="B368" t="n">
        <v>3.841071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0.6781814</v>
      </c>
      <c r="U368" t="n">
        <v>0.01296565</v>
      </c>
      <c r="V368" t="n">
        <v>8.246729</v>
      </c>
      <c r="W368" t="n">
        <v>3.634371</v>
      </c>
      <c r="X368" t="n">
        <v>3.811142</v>
      </c>
      <c r="Y368" t="n">
        <v>0.3988339</v>
      </c>
      <c r="Z368" t="n">
        <v/>
      </c>
      <c r="AA368" t="n">
        <v/>
      </c>
      <c r="AB368" t="n">
        <v>11.53765</v>
      </c>
      <c r="AC368" t="n">
        <v>0.000148328</v>
      </c>
      <c r="AD368" t="n">
        <v>13.96334</v>
      </c>
      <c r="AE368" t="n">
        <v>1.366034</v>
      </c>
    </row>
    <row r="369">
      <c r="A369" s="90" t="n">
        <v>29799</v>
      </c>
      <c r="B369" t="n">
        <v>3.869088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0.6905159</v>
      </c>
      <c r="U369" t="n">
        <v>0.01336107</v>
      </c>
      <c r="V369" t="n">
        <v>8.326178000000001</v>
      </c>
      <c r="W369" t="n">
        <v>3.719534</v>
      </c>
      <c r="X369" t="n">
        <v>3.860147</v>
      </c>
      <c r="Y369" t="n">
        <v>0.410809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14.06628</v>
      </c>
      <c r="AE369" t="n">
        <v>1.381538</v>
      </c>
    </row>
    <row r="370">
      <c r="A370" s="90" t="n">
        <v>29830</v>
      </c>
      <c r="B370" t="n">
        <v>3.899906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0.7048416</v>
      </c>
      <c r="U370" t="n">
        <v>0.01380726</v>
      </c>
      <c r="V370" t="n">
        <v>8.44197</v>
      </c>
      <c r="W370" t="n">
        <v>3.783665</v>
      </c>
      <c r="X370" t="n">
        <v>3.899918</v>
      </c>
      <c r="Y370" t="n">
        <v>0.4153807</v>
      </c>
      <c r="Z370" t="n">
        <v/>
      </c>
      <c r="AA370" t="n">
        <v/>
      </c>
      <c r="AB370" t="n">
        <v>11.7979</v>
      </c>
      <c r="AC370" t="n">
        <v>0.000159778</v>
      </c>
      <c r="AD370" t="n">
        <v>14.16342</v>
      </c>
      <c r="AE370" t="n">
        <v>1.381235</v>
      </c>
    </row>
    <row r="371">
      <c r="A371" s="90" t="n">
        <v>29860</v>
      </c>
      <c r="B371" t="n">
        <v>3.936328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0.7212936</v>
      </c>
      <c r="U371" t="n">
        <v>0.01426318</v>
      </c>
      <c r="V371" t="n">
        <v>8.530984999999999</v>
      </c>
      <c r="W371" t="n">
        <v>3.860488</v>
      </c>
      <c r="X371" t="n">
        <v>3.953428</v>
      </c>
      <c r="Y371" t="n">
        <v>0.4293071</v>
      </c>
      <c r="Z371" t="n">
        <v/>
      </c>
      <c r="AA371" t="n">
        <v/>
      </c>
      <c r="AB371" t="n">
        <v>11.94102</v>
      </c>
      <c r="AC371" t="n">
        <v>0.000171874</v>
      </c>
      <c r="AD371" t="n">
        <v>14.29459</v>
      </c>
      <c r="AE371" t="n">
        <v>1.388174</v>
      </c>
    </row>
    <row r="372">
      <c r="A372" s="90" t="n">
        <v>29891</v>
      </c>
      <c r="B372" t="n">
        <v>3.972749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0.7400307</v>
      </c>
      <c r="U372" t="n">
        <v>0.01465469</v>
      </c>
      <c r="V372" t="n">
        <v>8.560876</v>
      </c>
      <c r="W372" t="n">
        <v>3.926356</v>
      </c>
      <c r="X372" t="n">
        <v>4.000424</v>
      </c>
      <c r="Y372" t="n">
        <v>0.4450071</v>
      </c>
      <c r="Z372" t="n">
        <v/>
      </c>
      <c r="AA372" t="n">
        <v/>
      </c>
      <c r="AB372" t="n">
        <v>12.00661</v>
      </c>
      <c r="AC372" t="n">
        <v>0.000185035</v>
      </c>
      <c r="AD372" t="n">
        <v>14.41331</v>
      </c>
      <c r="AE372" t="n">
        <v>1.40994</v>
      </c>
    </row>
    <row r="373">
      <c r="A373" s="90" t="n">
        <v>29921</v>
      </c>
      <c r="B373" t="n">
        <v>4.003567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0.7615425</v>
      </c>
      <c r="U373" t="n">
        <v>0.01509401</v>
      </c>
      <c r="V373" t="n">
        <v>8.603138</v>
      </c>
      <c r="W373" t="n">
        <v>3.942002</v>
      </c>
      <c r="X373" t="n">
        <v>4.05944</v>
      </c>
      <c r="Y373" t="n">
        <v>0.4598692</v>
      </c>
      <c r="Z373" t="n">
        <v/>
      </c>
      <c r="AA373" t="n">
        <v/>
      </c>
      <c r="AB373" t="n">
        <v>12.33992</v>
      </c>
      <c r="AC373" t="n">
        <v>0.00019667</v>
      </c>
      <c r="AD373" t="n">
        <v>14.57437</v>
      </c>
      <c r="AE373" t="n">
        <v>1.422759</v>
      </c>
    </row>
    <row r="374">
      <c r="A374" s="90" t="n">
        <v>29952</v>
      </c>
      <c r="B374" t="n">
        <v>4.037187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0.7826685</v>
      </c>
      <c r="U374" t="n">
        <v>0.01560373</v>
      </c>
      <c r="V374" t="n">
        <v>8.690974000000001</v>
      </c>
      <c r="W374" t="n">
        <v>3.975161</v>
      </c>
      <c r="X374" t="n">
        <v>4.110188</v>
      </c>
      <c r="Y374" t="n">
        <v>0.472733</v>
      </c>
      <c r="Z374" t="n">
        <v/>
      </c>
      <c r="AA374" t="n">
        <v/>
      </c>
      <c r="AB374" t="n">
        <v>12.64484</v>
      </c>
      <c r="AC374" t="n">
        <v>0.000206895</v>
      </c>
      <c r="AD374" t="n">
        <v>14.69807</v>
      </c>
      <c r="AE374" t="n">
        <v>1.428206</v>
      </c>
    </row>
    <row r="375">
      <c r="A375" s="90" t="n">
        <v>29983</v>
      </c>
      <c r="B375" t="n">
        <v>4.073609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0.1771601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0.798596</v>
      </c>
      <c r="U375" t="n">
        <v>0.01717754</v>
      </c>
      <c r="V375" t="n">
        <v>8.731602000000001</v>
      </c>
      <c r="W375" t="n">
        <v>4.022623</v>
      </c>
      <c r="X375" t="n">
        <v>4.159519</v>
      </c>
      <c r="Y375" t="n">
        <v>0.4780664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14.73211</v>
      </c>
      <c r="AE375" t="n">
        <v>1.436037</v>
      </c>
    </row>
    <row r="376">
      <c r="A376" s="90" t="n">
        <v>30011</v>
      </c>
      <c r="B376" t="n">
        <v>4.107229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0.1804298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0.8166357</v>
      </c>
      <c r="U376" t="n">
        <v>0.01864573</v>
      </c>
      <c r="V376" t="n">
        <v>8.827809</v>
      </c>
      <c r="W376" t="n">
        <v>3.954267</v>
      </c>
      <c r="X376" t="n">
        <v>4.217949</v>
      </c>
      <c r="Y376" t="n">
        <v>0.483679</v>
      </c>
      <c r="Z376" t="n">
        <v/>
      </c>
      <c r="AA376" t="n">
        <v/>
      </c>
      <c r="AB376" t="n">
        <v>12.80865</v>
      </c>
      <c r="AC376" t="n">
        <v>0.000216311</v>
      </c>
      <c r="AD376" t="n">
        <v>14.83174</v>
      </c>
      <c r="AE376" t="n">
        <v>1.458421</v>
      </c>
    </row>
    <row r="377">
      <c r="A377" s="90" t="n">
        <v>30042</v>
      </c>
      <c r="B377" t="n">
        <v>4.149253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0.1843362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0.8392429</v>
      </c>
      <c r="U377" t="n">
        <v>0.01878851</v>
      </c>
      <c r="V377" t="n">
        <v>8.960488</v>
      </c>
      <c r="W377" t="n">
        <v>3.953799</v>
      </c>
      <c r="X377" t="n">
        <v>4.257176</v>
      </c>
      <c r="Y377" t="n">
        <v>0.4927545</v>
      </c>
      <c r="Z377" t="n">
        <v/>
      </c>
      <c r="AA377" t="n">
        <v/>
      </c>
      <c r="AB377" t="n">
        <v>12.91643</v>
      </c>
      <c r="AC377" t="n">
        <v>0.000225299</v>
      </c>
      <c r="AD377" t="n">
        <v>14.97619</v>
      </c>
      <c r="AE377" t="n">
        <v>1.469753</v>
      </c>
    </row>
    <row r="378">
      <c r="A378" s="90" t="n">
        <v>30072</v>
      </c>
      <c r="B378" t="n">
        <v>4.21089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0.1894794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0.8623723</v>
      </c>
      <c r="U378" t="n">
        <v>0.01893954</v>
      </c>
      <c r="V378" t="n">
        <v>9.040450999999999</v>
      </c>
      <c r="W378" t="n">
        <v>4.093322</v>
      </c>
      <c r="X378" t="n">
        <v>4.291296</v>
      </c>
      <c r="Y378" t="n">
        <v>0.5011253</v>
      </c>
      <c r="Z378" t="n">
        <v/>
      </c>
      <c r="AA378" t="n">
        <v/>
      </c>
      <c r="AB378" t="n">
        <v>13.01475</v>
      </c>
      <c r="AC378" t="n">
        <v>0.000233798</v>
      </c>
      <c r="AD378" t="n">
        <v>15.07167</v>
      </c>
      <c r="AE378" t="n">
        <v>1.465473</v>
      </c>
    </row>
    <row r="379">
      <c r="A379" s="90" t="n">
        <v>30103</v>
      </c>
      <c r="B379" t="n">
        <v>4.252915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0.1929924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0.8859428</v>
      </c>
      <c r="U379" t="n">
        <v>0.01934244</v>
      </c>
      <c r="V379" t="n">
        <v>9.120132</v>
      </c>
      <c r="W379" t="n">
        <v>4.245547</v>
      </c>
      <c r="X379" t="n">
        <v>4.327036</v>
      </c>
      <c r="Y379" t="n">
        <v>0.5068849</v>
      </c>
      <c r="Z379" t="n">
        <v/>
      </c>
      <c r="AA379" t="n">
        <v/>
      </c>
      <c r="AB379" t="n">
        <v>13.23277</v>
      </c>
      <c r="AC379" t="n">
        <v>0.000238043</v>
      </c>
      <c r="AD379" t="n">
        <v>15.15967</v>
      </c>
      <c r="AE379" t="n">
        <v>1.478107</v>
      </c>
    </row>
    <row r="380">
      <c r="A380" s="90" t="n">
        <v>30133</v>
      </c>
      <c r="B380" t="n">
        <v>4.269725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0.1952641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0.9152022</v>
      </c>
      <c r="U380" t="n">
        <v>0.01994151</v>
      </c>
      <c r="V380" t="n">
        <v>9.167441</v>
      </c>
      <c r="W380" t="n">
        <v>4.323359</v>
      </c>
      <c r="X380" t="n">
        <v>4.36526</v>
      </c>
      <c r="Y380" t="n">
        <v>0.5162002</v>
      </c>
      <c r="Z380" t="n">
        <v/>
      </c>
      <c r="AA380" t="n">
        <v/>
      </c>
      <c r="AB380" t="n">
        <v>13.35188</v>
      </c>
      <c r="AC380" t="n">
        <v>0.000247192</v>
      </c>
      <c r="AD380" t="n">
        <v>15.20533</v>
      </c>
      <c r="AE380" t="n">
        <v>1.498143</v>
      </c>
    </row>
    <row r="381">
      <c r="A381" s="90" t="n">
        <v>30164</v>
      </c>
      <c r="B381" t="n">
        <v>4.292138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0.1968184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0.9389111999999999</v>
      </c>
      <c r="U381" t="n">
        <v>0.02171556</v>
      </c>
      <c r="V381" t="n">
        <v>9.213243</v>
      </c>
      <c r="W381" t="n">
        <v>4.307176</v>
      </c>
      <c r="X381" t="n">
        <v>4.437089</v>
      </c>
      <c r="Y381" t="n">
        <v>0.5262583</v>
      </c>
      <c r="Z381" t="n">
        <v/>
      </c>
      <c r="AA381" t="n">
        <v/>
      </c>
      <c r="AB381" t="n">
        <v>13.34699</v>
      </c>
      <c r="AC381" t="n">
        <v>0.000258082</v>
      </c>
      <c r="AD381" t="n">
        <v>15.31907</v>
      </c>
      <c r="AE381" t="n">
        <v>1.520349</v>
      </c>
    </row>
    <row r="382">
      <c r="A382" s="90" t="n">
        <v>30195</v>
      </c>
      <c r="B382" t="n">
        <v>4.328559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0.1985208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0.9620603</v>
      </c>
      <c r="U382" t="n">
        <v>0.02363807</v>
      </c>
      <c r="V382" t="n">
        <v>9.269256</v>
      </c>
      <c r="W382" t="n">
        <v>4.29113</v>
      </c>
      <c r="X382" t="n">
        <v>4.508678</v>
      </c>
      <c r="Y382" t="n">
        <v>0.5360085</v>
      </c>
      <c r="Z382" t="n">
        <v/>
      </c>
      <c r="AA382" t="n">
        <v/>
      </c>
      <c r="AB382" t="n">
        <v>13.37656</v>
      </c>
      <c r="AC382" t="n">
        <v>0.000268331</v>
      </c>
      <c r="AD382" t="n">
        <v>15.42866</v>
      </c>
      <c r="AE382" t="n">
        <v>1.548351</v>
      </c>
    </row>
    <row r="383">
      <c r="A383" s="90" t="n">
        <v>30225</v>
      </c>
      <c r="B383" t="n">
        <v>4.362179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0.199678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0.9910311000000001</v>
      </c>
      <c r="U383" t="n">
        <v>0.0245368</v>
      </c>
      <c r="V383" t="n">
        <v>9.317335</v>
      </c>
      <c r="W383" t="n">
        <v>4.275642</v>
      </c>
      <c r="X383" t="n">
        <v>4.557348</v>
      </c>
      <c r="Y383" t="n">
        <v>0.5446571</v>
      </c>
      <c r="Z383" t="n">
        <v/>
      </c>
      <c r="AA383" t="n">
        <v/>
      </c>
      <c r="AB383" t="n">
        <v>13.42534</v>
      </c>
      <c r="AC383" t="n">
        <v>0.000276752</v>
      </c>
      <c r="AD383" t="n">
        <v>15.52247</v>
      </c>
      <c r="AE383" t="n">
        <v>1.571618</v>
      </c>
    </row>
    <row r="384">
      <c r="A384" s="90" t="n">
        <v>30256</v>
      </c>
      <c r="B384" t="n">
        <v>4.395799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0.2011368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1.014143</v>
      </c>
      <c r="U384" t="n">
        <v>0.0254745</v>
      </c>
      <c r="V384" t="n">
        <v>9.352713</v>
      </c>
      <c r="W384" t="n">
        <v>4.358589</v>
      </c>
      <c r="X384" t="n">
        <v>4.609121</v>
      </c>
      <c r="Y384" t="n">
        <v>0.5523295</v>
      </c>
      <c r="Z384" t="n">
        <v/>
      </c>
      <c r="AA384" t="n">
        <v/>
      </c>
      <c r="AB384" t="n">
        <v>13.46736</v>
      </c>
      <c r="AC384" t="n">
        <v>0.000283995</v>
      </c>
      <c r="AD384" t="n">
        <v>15.6387</v>
      </c>
      <c r="AE384" t="n">
        <v>1.59784</v>
      </c>
    </row>
    <row r="385">
      <c r="A385" s="90" t="n">
        <v>30286</v>
      </c>
      <c r="B385" t="n">
        <v>4.449031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0.2044386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1.028345</v>
      </c>
      <c r="U385" t="n">
        <v>0.02648265</v>
      </c>
      <c r="V385" t="n">
        <v>9.451589999999999</v>
      </c>
      <c r="W385" t="n">
        <v>4.533742</v>
      </c>
      <c r="X385" t="n">
        <v>4.673552</v>
      </c>
      <c r="Y385" t="n">
        <v>0.5638151</v>
      </c>
      <c r="Z385" t="n">
        <v/>
      </c>
      <c r="AA385" t="n">
        <v/>
      </c>
      <c r="AB385" t="n">
        <v>13.52073</v>
      </c>
      <c r="AC385" t="n">
        <v>0.000296013</v>
      </c>
      <c r="AD385" t="n">
        <v>15.82301</v>
      </c>
      <c r="AE385" t="n">
        <v>1.629446</v>
      </c>
    </row>
    <row r="386">
      <c r="A386" s="90" t="n">
        <v>30317</v>
      </c>
      <c r="B386" t="n">
        <v>4.493857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0.2080067</v>
      </c>
      <c r="I386" t="n">
        <v/>
      </c>
      <c r="J386" t="n">
        <v/>
      </c>
      <c r="K386" t="n">
        <v>12.12848</v>
      </c>
      <c r="L386" t="n">
        <v>14.2273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0.02095619</v>
      </c>
      <c r="S386" t="n">
        <v>30.8223</v>
      </c>
      <c r="T386" t="n">
        <v>1.036702</v>
      </c>
      <c r="U386" t="n">
        <v>0.02744468</v>
      </c>
      <c r="V386" t="n">
        <v>9.511203</v>
      </c>
      <c r="W386" t="n">
        <v>4.695979</v>
      </c>
      <c r="X386" t="n">
        <v>4.774265</v>
      </c>
      <c r="Y386" t="n">
        <v>0.5716894</v>
      </c>
      <c r="Z386" t="n">
        <v/>
      </c>
      <c r="AA386" t="n">
        <v/>
      </c>
      <c r="AB386" t="n">
        <v>13.72822</v>
      </c>
      <c r="AC386" t="n">
        <v>0.000302232</v>
      </c>
      <c r="AD386" t="n">
        <v>16.26717</v>
      </c>
      <c r="AE386" t="n">
        <v>1.660487</v>
      </c>
    </row>
    <row r="387">
      <c r="A387" s="90" t="n">
        <v>30348</v>
      </c>
      <c r="B387" t="n">
        <v>4.535882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0.2107538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0.02273081</v>
      </c>
      <c r="S387" t="n">
        <v>30.9859</v>
      </c>
      <c r="T387" t="n">
        <v>1.056398</v>
      </c>
      <c r="U387" t="n">
        <v>0.02837446</v>
      </c>
      <c r="V387" t="n">
        <v>9.577389</v>
      </c>
      <c r="W387" t="n">
        <v>4.831162</v>
      </c>
      <c r="X387" t="n">
        <v>4.84826</v>
      </c>
      <c r="Y387" t="n">
        <v>0.5754946</v>
      </c>
      <c r="Z387" t="n">
        <v/>
      </c>
      <c r="AA387" t="n">
        <v/>
      </c>
      <c r="AB387" t="n">
        <v>13.93952</v>
      </c>
      <c r="AC387" t="n">
        <v>0.000301942</v>
      </c>
      <c r="AD387" t="n">
        <v>16.57767</v>
      </c>
      <c r="AE387" t="n">
        <v>1.689751</v>
      </c>
    </row>
    <row r="388">
      <c r="A388" s="90" t="n">
        <v>30376</v>
      </c>
      <c r="B388" t="n">
        <v>4.608725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0.2120934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0.02456594</v>
      </c>
      <c r="S388" t="n">
        <v>31.1495</v>
      </c>
      <c r="T388" t="n">
        <v>1.079296</v>
      </c>
      <c r="U388" t="n">
        <v>0.02923939</v>
      </c>
      <c r="V388" t="n">
        <v>9.659592999999999</v>
      </c>
      <c r="W388" t="n">
        <v>4.734241</v>
      </c>
      <c r="X388" t="n">
        <v>4.899868</v>
      </c>
      <c r="Y388" t="n">
        <v>0.5841446</v>
      </c>
      <c r="Z388" t="n">
        <v/>
      </c>
      <c r="AA388" t="n">
        <v/>
      </c>
      <c r="AB388" t="n">
        <v>14.04092</v>
      </c>
      <c r="AC388" t="n">
        <v>0.000308987</v>
      </c>
      <c r="AD388" t="n">
        <v>16.73043</v>
      </c>
      <c r="AE388" t="n">
        <v>1.720347</v>
      </c>
    </row>
    <row r="389">
      <c r="A389" s="90" t="n">
        <v>30407</v>
      </c>
      <c r="B389" t="n">
        <v>4.670362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0.2164136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0.02604921</v>
      </c>
      <c r="S389" t="n">
        <v>31.37854</v>
      </c>
      <c r="T389" t="n">
        <v>1.096327</v>
      </c>
      <c r="U389" t="n">
        <v>0.03025216</v>
      </c>
      <c r="V389" t="n">
        <v>9.706</v>
      </c>
      <c r="W389" t="n">
        <v>4.561956</v>
      </c>
      <c r="X389" t="n">
        <v>4.948088</v>
      </c>
      <c r="Y389" t="n">
        <v>0.5923749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16.84168</v>
      </c>
      <c r="AE389" t="n">
        <v>1.749402</v>
      </c>
    </row>
    <row r="390">
      <c r="A390" s="90" t="n">
        <v>30437</v>
      </c>
      <c r="B390" t="n">
        <v>4.71799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0.2239998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0.02811928</v>
      </c>
      <c r="S390" t="n">
        <v>31.57486</v>
      </c>
      <c r="T390" t="n">
        <v>1.117672</v>
      </c>
      <c r="U390" t="n">
        <v>0.03150535</v>
      </c>
      <c r="V390" t="n">
        <v>9.781976</v>
      </c>
      <c r="W390" t="n">
        <v>4.63286</v>
      </c>
      <c r="X390" t="n">
        <v>5.002798</v>
      </c>
      <c r="Y390" t="n">
        <v>0.6004322</v>
      </c>
      <c r="Z390" t="n">
        <v/>
      </c>
      <c r="AA390" t="n">
        <v/>
      </c>
      <c r="AB390" t="n">
        <v>14.03833</v>
      </c>
      <c r="AC390" t="n">
        <v>0.00032415</v>
      </c>
      <c r="AD390" t="n">
        <v>16.96206</v>
      </c>
      <c r="AE390" t="n">
        <v>1.775752</v>
      </c>
    </row>
    <row r="391">
      <c r="A391" s="90" t="n">
        <v>30468</v>
      </c>
      <c r="B391" t="n">
        <v>4.776824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0.2301078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0.03042464</v>
      </c>
      <c r="S391" t="n">
        <v>31.78754</v>
      </c>
      <c r="T391" t="n">
        <v>1.139173</v>
      </c>
      <c r="U391" t="n">
        <v>0.03301629</v>
      </c>
      <c r="V391" t="n">
        <v>9.873263</v>
      </c>
      <c r="W391" t="n">
        <v>4.756926</v>
      </c>
      <c r="X391" t="n">
        <v>5.058337</v>
      </c>
      <c r="Y391" t="n">
        <v>0.6104006</v>
      </c>
      <c r="Z391" t="n">
        <v/>
      </c>
      <c r="AA391" t="n">
        <v/>
      </c>
      <c r="AB391" t="n">
        <v>14.15845</v>
      </c>
      <c r="AC391" t="n">
        <v>0.000332312</v>
      </c>
      <c r="AD391" t="n">
        <v>17.0484</v>
      </c>
      <c r="AE391" t="n">
        <v>1.803113</v>
      </c>
    </row>
    <row r="392">
      <c r="A392" s="90" t="n">
        <v>30498</v>
      </c>
      <c r="B392" t="n">
        <v>4.824453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0.2363056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0.03285156</v>
      </c>
      <c r="S392" t="n">
        <v>31.93478</v>
      </c>
      <c r="T392" t="n">
        <v>1.157869</v>
      </c>
      <c r="U392" t="n">
        <v>0.03484663</v>
      </c>
      <c r="V392" t="n">
        <v>10.03738</v>
      </c>
      <c r="W392" t="n">
        <v>4.855741</v>
      </c>
      <c r="X392" t="n">
        <v>5.117199</v>
      </c>
      <c r="Y392" t="n">
        <v>0.6195744</v>
      </c>
      <c r="Z392" t="n">
        <v/>
      </c>
      <c r="AA392" t="n">
        <v/>
      </c>
      <c r="AB392" t="n">
        <v>14.31264</v>
      </c>
      <c r="AC392" t="n">
        <v>0.000338924</v>
      </c>
      <c r="AD392" t="n">
        <v>17.14222</v>
      </c>
      <c r="AE392" t="n">
        <v>1.815187</v>
      </c>
    </row>
    <row r="393">
      <c r="A393" s="90" t="n">
        <v>30529</v>
      </c>
      <c r="B393" t="n">
        <v>4.872081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0.2426288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0.03660553</v>
      </c>
      <c r="S393" t="n">
        <v>32.11474</v>
      </c>
      <c r="T393" t="n">
        <v>1.176128</v>
      </c>
      <c r="U393" t="n">
        <v>0.03670263</v>
      </c>
      <c r="V393" t="n">
        <v>10.14108</v>
      </c>
      <c r="W393" t="n">
        <v>4.96856</v>
      </c>
      <c r="X393" t="n">
        <v>5.174604</v>
      </c>
      <c r="Y393" t="n">
        <v>0.6251597</v>
      </c>
      <c r="Z393" t="n">
        <v/>
      </c>
      <c r="AA393" t="n">
        <v/>
      </c>
      <c r="AB393" t="n">
        <v>14.42652</v>
      </c>
      <c r="AC393" t="n">
        <v>0.00034178</v>
      </c>
      <c r="AD393" t="n">
        <v>17.2186</v>
      </c>
      <c r="AE393" t="n">
        <v>1.826455</v>
      </c>
    </row>
    <row r="394">
      <c r="A394" s="90" t="n">
        <v>30560</v>
      </c>
      <c r="B394" t="n">
        <v>4.922511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0.2478384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0.0408835</v>
      </c>
      <c r="S394" t="n">
        <v>32.32742</v>
      </c>
      <c r="T394" t="n">
        <v>1.194362</v>
      </c>
      <c r="U394" t="n">
        <v>0.03831557</v>
      </c>
      <c r="V394" t="n">
        <v>10.13828</v>
      </c>
      <c r="W394" t="n">
        <v>5.081468</v>
      </c>
      <c r="X394" t="n">
        <v>5.229508</v>
      </c>
      <c r="Y394" t="n">
        <v>0.630084</v>
      </c>
      <c r="Z394" t="n">
        <v/>
      </c>
      <c r="AA394" t="n">
        <v/>
      </c>
      <c r="AB394" t="n">
        <v>14.5254</v>
      </c>
      <c r="AC394" t="n">
        <v>0.000344043</v>
      </c>
      <c r="AD394" t="n">
        <v>17.29498</v>
      </c>
      <c r="AE394" t="n">
        <v>1.857829</v>
      </c>
    </row>
    <row r="395">
      <c r="A395" s="90" t="n">
        <v>30590</v>
      </c>
      <c r="B395" t="n">
        <v>4.970139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0.2550697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0.04735051</v>
      </c>
      <c r="S395" t="n">
        <v>32.52374</v>
      </c>
      <c r="T395" t="n">
        <v>1.210164</v>
      </c>
      <c r="U395" t="n">
        <v>0.0400954</v>
      </c>
      <c r="V395" t="n">
        <v>10.17922</v>
      </c>
      <c r="W395" t="n">
        <v>5.1701</v>
      </c>
      <c r="X395" t="n">
        <v>5.299476</v>
      </c>
      <c r="Y395" t="n">
        <v>0.638765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17.42781</v>
      </c>
      <c r="AE395" t="n">
        <v>1.873138</v>
      </c>
    </row>
    <row r="396">
      <c r="A396" s="90" t="n">
        <v>30621</v>
      </c>
      <c r="B396" t="n">
        <v>5.020569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0.2631028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0.05619353</v>
      </c>
      <c r="S396" t="n">
        <v>32.65462</v>
      </c>
      <c r="T396" t="n">
        <v>1.227169</v>
      </c>
      <c r="U396" t="n">
        <v>0.04204137</v>
      </c>
      <c r="V396" t="n">
        <v>10.26783</v>
      </c>
      <c r="W396" t="n">
        <v>5.283453</v>
      </c>
      <c r="X396" t="n">
        <v>5.370051</v>
      </c>
      <c r="Y396" t="n">
        <v>0.6489055</v>
      </c>
      <c r="Z396" t="n">
        <v/>
      </c>
      <c r="AA396" t="n">
        <v/>
      </c>
      <c r="AB396" t="n">
        <v>14.53533</v>
      </c>
      <c r="AC396" t="n">
        <v>0.000366414</v>
      </c>
      <c r="AD396" t="n">
        <v>17.53657</v>
      </c>
      <c r="AE396" t="n">
        <v>1.880028</v>
      </c>
    </row>
    <row r="397">
      <c r="A397" s="90" t="n">
        <v>30651</v>
      </c>
      <c r="B397" t="n">
        <v>5.082205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0.2669075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0.06447896</v>
      </c>
      <c r="S397" t="n">
        <v>32.96547</v>
      </c>
      <c r="T397" t="n">
        <v>1.247247</v>
      </c>
      <c r="U397" t="n">
        <v>0.04396788</v>
      </c>
      <c r="V397" t="n">
        <v>10.37255</v>
      </c>
      <c r="W397" t="n">
        <v>5.417884</v>
      </c>
      <c r="X397" t="n">
        <v>5.443462</v>
      </c>
      <c r="Y397" t="n">
        <v>0.659382</v>
      </c>
      <c r="Z397" t="n">
        <v/>
      </c>
      <c r="AA397" t="n">
        <v/>
      </c>
      <c r="AB397" t="n">
        <v>14.54432</v>
      </c>
      <c r="AC397" t="n">
        <v>0.000376476</v>
      </c>
      <c r="AD397" t="n">
        <v>17.62955</v>
      </c>
      <c r="AE397" t="n">
        <v>1.902195</v>
      </c>
    </row>
    <row r="398">
      <c r="A398" s="90" t="n">
        <v>30682</v>
      </c>
      <c r="B398" t="n">
        <v>5.146643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0.2689405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0.07366744</v>
      </c>
      <c r="S398" t="n">
        <v>33.1536</v>
      </c>
      <c r="T398" t="n">
        <v>1.265955</v>
      </c>
      <c r="U398" t="n">
        <v>0.04600075</v>
      </c>
      <c r="V398" t="n">
        <v>10.4756</v>
      </c>
      <c r="W398" t="n">
        <v>5.528678</v>
      </c>
      <c r="X398" t="n">
        <v>5.516827</v>
      </c>
      <c r="Y398" t="n">
        <v>0.6677519</v>
      </c>
      <c r="Z398" t="n">
        <v/>
      </c>
      <c r="AA398" t="n">
        <v/>
      </c>
      <c r="AB398" t="n">
        <v>14.53624</v>
      </c>
      <c r="AC398" t="n">
        <v>0.000384076</v>
      </c>
      <c r="AD398" t="n">
        <v>17.75159</v>
      </c>
      <c r="AE398" t="n">
        <v>1.932488</v>
      </c>
    </row>
    <row r="399">
      <c r="A399" s="90" t="n">
        <v>30713</v>
      </c>
      <c r="B399" t="n">
        <v>5.213883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0.2721786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0.08497456</v>
      </c>
      <c r="S399" t="n">
        <v>33.37447</v>
      </c>
      <c r="T399" t="n">
        <v>1.281826</v>
      </c>
      <c r="U399" t="n">
        <v>0.04815287</v>
      </c>
      <c r="V399" t="n">
        <v>10.59868</v>
      </c>
      <c r="W399" t="n">
        <v>5.622452</v>
      </c>
      <c r="X399" t="n">
        <v>5.585195</v>
      </c>
      <c r="Y399" t="n">
        <v>0.6768331</v>
      </c>
      <c r="Z399" t="n">
        <v/>
      </c>
      <c r="AA399" t="n">
        <v/>
      </c>
      <c r="AB399" t="n">
        <v>14.55841</v>
      </c>
      <c r="AC399" t="n">
        <v>0.000393712</v>
      </c>
      <c r="AD399" t="n">
        <v>17.91763</v>
      </c>
      <c r="AE399" t="n">
        <v>1.963846</v>
      </c>
    </row>
    <row r="400">
      <c r="A400" s="90" t="n">
        <v>30742</v>
      </c>
      <c r="B400" t="n">
        <v>5.272718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0.2759507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0.09761161</v>
      </c>
      <c r="S400" t="n">
        <v>33.66077</v>
      </c>
      <c r="T400" t="n">
        <v>1.297812</v>
      </c>
      <c r="U400" t="n">
        <v>0.05049831</v>
      </c>
      <c r="V400" t="n">
        <v>10.73885</v>
      </c>
      <c r="W400" t="n">
        <v>5.529034</v>
      </c>
      <c r="X400" t="n">
        <v>5.658072</v>
      </c>
      <c r="Y400" t="n">
        <v>0.6907424</v>
      </c>
      <c r="Z400" t="n">
        <v/>
      </c>
      <c r="AA400" t="n">
        <v/>
      </c>
      <c r="AB400" t="n">
        <v>14.6418</v>
      </c>
      <c r="AC400" t="n">
        <v>0.00041063</v>
      </c>
      <c r="AD400" t="n">
        <v>18.05877</v>
      </c>
      <c r="AE400" t="n">
        <v>1.97961</v>
      </c>
    </row>
    <row r="401">
      <c r="A401" s="90" t="n">
        <v>30773</v>
      </c>
      <c r="B401" t="n">
        <v>5.306338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0.2804757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0.1130167</v>
      </c>
      <c r="S401" t="n">
        <v>33.74257</v>
      </c>
      <c r="T401" t="n">
        <v>1.306741</v>
      </c>
      <c r="U401" t="n">
        <v>0.05289715</v>
      </c>
      <c r="V401" t="n">
        <v>10.87809</v>
      </c>
      <c r="W401" t="n">
        <v>5.535796</v>
      </c>
      <c r="X401" t="n">
        <v>5.723195</v>
      </c>
      <c r="Y401" t="n">
        <v>0.703075</v>
      </c>
      <c r="Z401" t="n">
        <v/>
      </c>
      <c r="AA401" t="n">
        <v/>
      </c>
      <c r="AB401" t="n">
        <v>14.73688</v>
      </c>
      <c r="AC401" t="n">
        <v>0.000425251</v>
      </c>
      <c r="AD401" t="n">
        <v>18.19576</v>
      </c>
      <c r="AE401" t="n">
        <v>2.003437</v>
      </c>
    </row>
    <row r="402">
      <c r="A402" s="90" t="n">
        <v>30803</v>
      </c>
      <c r="B402" t="n">
        <v>5.337156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0.2839647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0.1299318</v>
      </c>
      <c r="S402" t="n">
        <v>33.97979</v>
      </c>
      <c r="T402" t="n">
        <v>1.322954</v>
      </c>
      <c r="U402" t="n">
        <v>0.05522592</v>
      </c>
      <c r="V402" t="n">
        <v>11.00437</v>
      </c>
      <c r="W402" t="n">
        <v>5.743718</v>
      </c>
      <c r="X402" t="n">
        <v>5.788454</v>
      </c>
      <c r="Y402" t="n">
        <v>0.7133722</v>
      </c>
      <c r="Z402" t="n">
        <v/>
      </c>
      <c r="AA402" t="n">
        <v/>
      </c>
      <c r="AB402" t="n">
        <v>14.67159</v>
      </c>
      <c r="AC402" t="n">
        <v>0.000438507</v>
      </c>
      <c r="AD402" t="n">
        <v>18.2987</v>
      </c>
      <c r="AE402" t="n">
        <v>2.033954</v>
      </c>
    </row>
    <row r="403">
      <c r="A403" s="90" t="n">
        <v>30834</v>
      </c>
      <c r="B403" t="n">
        <v>5.379181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0.2875637</v>
      </c>
      <c r="I403" t="n">
        <v/>
      </c>
      <c r="J403" t="n">
        <v/>
      </c>
      <c r="K403" t="n">
        <v>16.39417</v>
      </c>
      <c r="L403" t="n">
        <v>15.66174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0.1477868</v>
      </c>
      <c r="S403" t="n">
        <v>34.20883</v>
      </c>
      <c r="T403" t="n">
        <v>1.354109</v>
      </c>
      <c r="U403" t="n">
        <v>0.05764966</v>
      </c>
      <c r="V403" t="n">
        <v>11.12586</v>
      </c>
      <c r="W403" t="n">
        <v>5.851186</v>
      </c>
      <c r="X403" t="n">
        <v>5.857325</v>
      </c>
      <c r="Y403" t="n">
        <v>0.7276692</v>
      </c>
      <c r="Z403" t="n">
        <v/>
      </c>
      <c r="AA403" t="n">
        <v/>
      </c>
      <c r="AB403" t="n">
        <v>14.50934</v>
      </c>
      <c r="AC403" t="n">
        <v>0.00045955</v>
      </c>
      <c r="AD403" t="n">
        <v>18.39003</v>
      </c>
      <c r="AE403" t="n">
        <v>2.056708</v>
      </c>
    </row>
    <row r="404">
      <c r="A404" s="90" t="n">
        <v>30864</v>
      </c>
      <c r="B404" t="n">
        <v>5.435214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0.2922285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0.1693412</v>
      </c>
      <c r="S404" t="n">
        <v>34.4215</v>
      </c>
      <c r="T404" t="n">
        <v>1.384063</v>
      </c>
      <c r="U404" t="n">
        <v>0.06000213</v>
      </c>
      <c r="V404" t="n">
        <v>11.26769</v>
      </c>
      <c r="W404" t="n">
        <v>5.984647</v>
      </c>
      <c r="X404" t="n">
        <v>5.921254</v>
      </c>
      <c r="Y404" t="n">
        <v>0.738989</v>
      </c>
      <c r="Z404" t="n">
        <v/>
      </c>
      <c r="AA404" t="n">
        <v/>
      </c>
      <c r="AB404" t="n">
        <v>14.54618</v>
      </c>
      <c r="AC404" t="n">
        <v>0.000473703</v>
      </c>
      <c r="AD404" t="n">
        <v>18.45976</v>
      </c>
      <c r="AE404" t="n">
        <v>2.087083</v>
      </c>
    </row>
    <row r="405">
      <c r="A405" s="90" t="n">
        <v>30895</v>
      </c>
      <c r="B405" t="n">
        <v>5.508057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0.2977994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0.1977083</v>
      </c>
      <c r="S405" t="n">
        <v>34.64237</v>
      </c>
      <c r="T405" t="n">
        <v>1.415374</v>
      </c>
      <c r="U405" t="n">
        <v>0.06244386</v>
      </c>
      <c r="V405" t="n">
        <v>11.39157</v>
      </c>
      <c r="W405" t="n">
        <v>6.211764</v>
      </c>
      <c r="X405" t="n">
        <v>5.98621</v>
      </c>
      <c r="Y405" t="n">
        <v>0.7506080000000001</v>
      </c>
      <c r="Z405" t="n">
        <v/>
      </c>
      <c r="AA405" t="n">
        <v/>
      </c>
      <c r="AB405" t="n">
        <v>14.68725</v>
      </c>
      <c r="AC405" t="n">
        <v>0.000485887</v>
      </c>
      <c r="AD405" t="n">
        <v>18.51705</v>
      </c>
      <c r="AE405" t="n">
        <v>2.115305</v>
      </c>
    </row>
    <row r="406">
      <c r="A406" s="90" t="n">
        <v>30926</v>
      </c>
      <c r="B406" t="n">
        <v>5.575297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0.3064968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0.2353653</v>
      </c>
      <c r="S406" t="n">
        <v>34.90413</v>
      </c>
      <c r="T406" t="n">
        <v>1.434484</v>
      </c>
      <c r="U406" t="n">
        <v>0.06494071</v>
      </c>
      <c r="V406" t="n">
        <v>11.59661</v>
      </c>
      <c r="W406" t="n">
        <v>6.415709</v>
      </c>
      <c r="X406" t="n">
        <v>6.069496</v>
      </c>
      <c r="Y406" t="n">
        <v>0.7662427000000001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18.63328</v>
      </c>
      <c r="AE406" t="n">
        <v>2.145564</v>
      </c>
    </row>
    <row r="407">
      <c r="A407" s="90" t="n">
        <v>30956</v>
      </c>
      <c r="B407" t="n">
        <v>5.634131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0.3144126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0.2814258</v>
      </c>
      <c r="S407" t="n">
        <v>35.07591</v>
      </c>
      <c r="T407" t="n">
        <v>1.454072</v>
      </c>
      <c r="U407" t="n">
        <v>0.06739870000000001</v>
      </c>
      <c r="V407" t="n">
        <v>11.79886</v>
      </c>
      <c r="W407" t="n">
        <v>6.567493</v>
      </c>
      <c r="X407" t="n">
        <v>6.152273</v>
      </c>
      <c r="Y407" t="n">
        <v>0.7788713</v>
      </c>
      <c r="Z407" t="n">
        <v/>
      </c>
      <c r="AA407" t="n">
        <v/>
      </c>
      <c r="AB407" t="n">
        <v>14.83623</v>
      </c>
      <c r="AC407" t="n">
        <v>0.000516969</v>
      </c>
      <c r="AD407" t="n">
        <v>18.75366</v>
      </c>
      <c r="AE407" t="n">
        <v>2.185947</v>
      </c>
    </row>
    <row r="408">
      <c r="A408" s="90" t="n">
        <v>30987</v>
      </c>
      <c r="B408" t="n">
        <v>5.709776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0.3203236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0.3354024</v>
      </c>
      <c r="S408" t="n">
        <v>35.30495</v>
      </c>
      <c r="T408" t="n">
        <v>1.482165</v>
      </c>
      <c r="U408" t="n">
        <v>0.07034174</v>
      </c>
      <c r="V408" t="n">
        <v>11.94015</v>
      </c>
      <c r="W408" t="n">
        <v>6.693426</v>
      </c>
      <c r="X408" t="n">
        <v>6.255156</v>
      </c>
      <c r="Y408" t="n">
        <v>0.7970012</v>
      </c>
      <c r="Z408" t="n">
        <v/>
      </c>
      <c r="AA408" t="n">
        <v/>
      </c>
      <c r="AB408" t="n">
        <v>14.97422</v>
      </c>
      <c r="AC408" t="n">
        <v>0.000538652</v>
      </c>
      <c r="AD408" t="n">
        <v>18.94046</v>
      </c>
      <c r="AE408" t="n">
        <v>2.232666</v>
      </c>
    </row>
    <row r="409">
      <c r="A409" s="90" t="n">
        <v>31017</v>
      </c>
      <c r="B409" t="n">
        <v>5.793826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0.3286073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0.3871036</v>
      </c>
      <c r="S409" t="n">
        <v>35.49309</v>
      </c>
      <c r="T409" t="n">
        <v>1.505045</v>
      </c>
      <c r="U409" t="n">
        <v>0.07434909000000001</v>
      </c>
      <c r="V409" t="n">
        <v>12.2685</v>
      </c>
      <c r="W409" t="n">
        <v>6.804257</v>
      </c>
      <c r="X409" t="n">
        <v>6.376669</v>
      </c>
      <c r="Y409" t="n">
        <v>0.8192207</v>
      </c>
      <c r="Z409" t="n">
        <v/>
      </c>
      <c r="AA409" t="n">
        <v/>
      </c>
      <c r="AB409" t="n">
        <v>15.26634</v>
      </c>
      <c r="AC409" t="n">
        <v>0.000562953</v>
      </c>
      <c r="AD409" t="n">
        <v>19.14801</v>
      </c>
      <c r="AE409" t="n">
        <v>2.256589</v>
      </c>
    </row>
    <row r="410">
      <c r="A410" s="90" t="n">
        <v>31048</v>
      </c>
      <c r="B410" t="n">
        <v>5.886281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0.3373962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0.4360012</v>
      </c>
      <c r="S410" t="n">
        <v>35.77121</v>
      </c>
      <c r="T410" t="n">
        <v>1.531863</v>
      </c>
      <c r="U410" t="n">
        <v>0.07779700000000001</v>
      </c>
      <c r="V410" t="n">
        <v>12.43956</v>
      </c>
      <c r="W410" t="n">
        <v>6.899369</v>
      </c>
      <c r="X410" t="n">
        <v>6.48788</v>
      </c>
      <c r="Y410" t="n">
        <v>0.8320708999999999</v>
      </c>
      <c r="Z410" t="n">
        <v/>
      </c>
      <c r="AA410" t="n">
        <v/>
      </c>
      <c r="AB410" t="n">
        <v>15.27805</v>
      </c>
      <c r="AC410" t="n">
        <v>0.000577652</v>
      </c>
      <c r="AD410" t="n">
        <v>19.36386</v>
      </c>
      <c r="AE410" t="n">
        <v>2.268608</v>
      </c>
    </row>
    <row r="411">
      <c r="A411" s="90" t="n">
        <v>31079</v>
      </c>
      <c r="B411" t="n">
        <v>5.975934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0.3438235</v>
      </c>
      <c r="I411" t="n">
        <v/>
      </c>
      <c r="J411" t="n">
        <v/>
      </c>
      <c r="K411" t="n">
        <v>18.19077</v>
      </c>
      <c r="L411" t="n">
        <v>16.77267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0.4852661</v>
      </c>
      <c r="S411" t="n">
        <v>36.01661</v>
      </c>
      <c r="T411" t="n">
        <v>1.56041</v>
      </c>
      <c r="U411" t="n">
        <v>0.07987536000000001</v>
      </c>
      <c r="V411" t="n">
        <v>12.40736</v>
      </c>
      <c r="W411" t="n">
        <v>6.971493</v>
      </c>
      <c r="X411" t="n">
        <v>6.561759</v>
      </c>
      <c r="Y411" t="n">
        <v>0.8443291000000001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19.54402</v>
      </c>
      <c r="AE411" t="n">
        <v>2.293169</v>
      </c>
    </row>
    <row r="412">
      <c r="A412" s="90" t="n">
        <v>31107</v>
      </c>
      <c r="B412" t="n">
        <v>6.051579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0.3510438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0.5413507</v>
      </c>
      <c r="S412" t="n">
        <v>36.28655</v>
      </c>
      <c r="T412" t="n">
        <v>1.585288</v>
      </c>
      <c r="U412" t="n">
        <v>0.08260018</v>
      </c>
      <c r="V412" t="n">
        <v>12.57775</v>
      </c>
      <c r="W412" t="n">
        <v>7.069933</v>
      </c>
      <c r="X412" t="n">
        <v>6.628419</v>
      </c>
      <c r="Y412" t="n">
        <v>0.861726</v>
      </c>
      <c r="Z412" t="n">
        <v/>
      </c>
      <c r="AA412" t="n">
        <v/>
      </c>
      <c r="AB412" t="n">
        <v>15.00089</v>
      </c>
      <c r="AC412" t="n">
        <v>0.000631074</v>
      </c>
      <c r="AD412" t="n">
        <v>19.64448</v>
      </c>
      <c r="AE412" t="n">
        <v>2.305591</v>
      </c>
    </row>
    <row r="413">
      <c r="A413" s="90" t="n">
        <v>31138</v>
      </c>
      <c r="B413" t="n">
        <v>6.124422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0.3577805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0.6177118</v>
      </c>
      <c r="S413" t="n">
        <v>36.58921</v>
      </c>
      <c r="T413" t="n">
        <v>1.612409</v>
      </c>
      <c r="U413" t="n">
        <v>0.08567561</v>
      </c>
      <c r="V413" t="n">
        <v>12.65944</v>
      </c>
      <c r="W413" t="n">
        <v>7.278556</v>
      </c>
      <c r="X413" t="n">
        <v>6.696738</v>
      </c>
      <c r="Y413" t="n">
        <v>0.8776803</v>
      </c>
      <c r="Z413" t="n">
        <v/>
      </c>
      <c r="AA413" t="n">
        <v/>
      </c>
      <c r="AB413" t="n">
        <v>15.01838</v>
      </c>
      <c r="AC413" t="n">
        <v>0.000657241</v>
      </c>
      <c r="AD413" t="n">
        <v>19.72086</v>
      </c>
      <c r="AE413" t="n">
        <v>2.322314</v>
      </c>
    </row>
    <row r="414">
      <c r="A414" s="90" t="n">
        <v>31168</v>
      </c>
      <c r="B414" t="n">
        <v>6.200066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0.3643512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0.687917</v>
      </c>
      <c r="S414" t="n">
        <v>36.82643</v>
      </c>
      <c r="T414" t="n">
        <v>1.636843</v>
      </c>
      <c r="U414" t="n">
        <v>0.08909824</v>
      </c>
      <c r="V414" t="n">
        <v>12.72197</v>
      </c>
      <c r="W414" t="n">
        <v>7.52564</v>
      </c>
      <c r="X414" t="n">
        <v>6.77173</v>
      </c>
      <c r="Y414" t="n">
        <v>0.8940718</v>
      </c>
      <c r="Z414" t="n">
        <v/>
      </c>
      <c r="AA414" t="n">
        <v/>
      </c>
      <c r="AB414" t="n">
        <v>15.01582</v>
      </c>
      <c r="AC414" t="n">
        <v>0.000683192</v>
      </c>
      <c r="AD414" t="n">
        <v>19.83792</v>
      </c>
      <c r="AE414" t="n">
        <v>2.353278</v>
      </c>
    </row>
    <row r="415">
      <c r="A415" s="90" t="n">
        <v>31199</v>
      </c>
      <c r="B415" t="n">
        <v>6.244893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0.3732316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0.7560958</v>
      </c>
      <c r="S415" t="n">
        <v>37.04729</v>
      </c>
      <c r="T415" t="n">
        <v>1.652723</v>
      </c>
      <c r="U415" t="n">
        <v>0.09239435</v>
      </c>
      <c r="V415" t="n">
        <v>12.90263</v>
      </c>
      <c r="W415" t="n">
        <v>7.774296</v>
      </c>
      <c r="X415" t="n">
        <v>6.855989</v>
      </c>
      <c r="Y415" t="n">
        <v>0.9104719</v>
      </c>
      <c r="Z415" t="n">
        <v/>
      </c>
      <c r="AA415" t="n">
        <v/>
      </c>
      <c r="AB415" t="n">
        <v>14.84312</v>
      </c>
      <c r="AC415" t="n">
        <v>0.000711622</v>
      </c>
      <c r="AD415" t="n">
        <v>20.02969</v>
      </c>
      <c r="AE415" t="n">
        <v>2.389041</v>
      </c>
    </row>
    <row r="416">
      <c r="A416" s="90" t="n">
        <v>31229</v>
      </c>
      <c r="B416" t="n">
        <v>6.328942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0.3834623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0.9078365</v>
      </c>
      <c r="S416" t="n">
        <v>37.29269</v>
      </c>
      <c r="T416" t="n">
        <v>1.674055</v>
      </c>
      <c r="U416" t="n">
        <v>0.09603361000000001</v>
      </c>
      <c r="V416" t="n">
        <v>13.08079</v>
      </c>
      <c r="W416" t="n">
        <v>8.104157000000001</v>
      </c>
      <c r="X416" t="n">
        <v>6.944645</v>
      </c>
      <c r="Y416" t="n">
        <v>0.9286423</v>
      </c>
      <c r="Z416" t="n">
        <v/>
      </c>
      <c r="AA416" t="n">
        <v/>
      </c>
      <c r="AB416" t="n">
        <v>14.84823</v>
      </c>
      <c r="AC416" t="n">
        <v>0.0007405480000000001</v>
      </c>
      <c r="AD416" t="n">
        <v>20.17</v>
      </c>
      <c r="AE416" t="n">
        <v>2.41753</v>
      </c>
    </row>
    <row r="417">
      <c r="A417" s="90" t="n">
        <v>31260</v>
      </c>
      <c r="B417" t="n">
        <v>6.446612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0.3955097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1.02494</v>
      </c>
      <c r="S417" t="n">
        <v>37.52991</v>
      </c>
      <c r="T417" t="n">
        <v>1.703139</v>
      </c>
      <c r="U417" t="n">
        <v>0.1004015</v>
      </c>
      <c r="V417" t="n">
        <v>13.29608</v>
      </c>
      <c r="W417" t="n">
        <v>8.299205000000001</v>
      </c>
      <c r="X417" t="n">
        <v>7.036315</v>
      </c>
      <c r="Y417" t="n">
        <v>0.9519417</v>
      </c>
      <c r="Z417" t="n">
        <v/>
      </c>
      <c r="AA417" t="n">
        <v/>
      </c>
      <c r="AB417" t="n">
        <v>14.93588</v>
      </c>
      <c r="AC417" t="n">
        <v>0.000775427</v>
      </c>
      <c r="AD417" t="n">
        <v>20.29038</v>
      </c>
      <c r="AE417" t="n">
        <v>2.442</v>
      </c>
    </row>
    <row r="418">
      <c r="A418" s="90" t="n">
        <v>31291</v>
      </c>
      <c r="B418" t="n">
        <v>6.525058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0.40439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1.04712</v>
      </c>
      <c r="S418" t="n">
        <v>37.79985</v>
      </c>
      <c r="T418" t="n">
        <v>1.737249</v>
      </c>
      <c r="U418" t="n">
        <v>0.1042746</v>
      </c>
      <c r="V418" t="n">
        <v>13.47439</v>
      </c>
      <c r="W418" t="n">
        <v>8.423455000000001</v>
      </c>
      <c r="X418" t="n">
        <v>7.112935</v>
      </c>
      <c r="Y418" t="n">
        <v>0.9725755</v>
      </c>
      <c r="Z418" t="n">
        <v/>
      </c>
      <c r="AA418" t="n">
        <v/>
      </c>
      <c r="AB418" t="n">
        <v>14.86674</v>
      </c>
      <c r="AC418" t="n">
        <v>0.000809064</v>
      </c>
      <c r="AD418" t="n">
        <v>20.39333</v>
      </c>
      <c r="AE418" t="n">
        <v>2.448328</v>
      </c>
    </row>
    <row r="419">
      <c r="A419" s="90" t="n">
        <v>31321</v>
      </c>
      <c r="B419" t="n">
        <v>6.586695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0.4145185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1.076959</v>
      </c>
      <c r="S419" t="n">
        <v>38.11887</v>
      </c>
      <c r="T419" t="n">
        <v>1.765805</v>
      </c>
      <c r="U419" t="n">
        <v>0.1070225</v>
      </c>
      <c r="V419" t="n">
        <v>13.57277</v>
      </c>
      <c r="W419" t="n">
        <v>8.562561000000001</v>
      </c>
      <c r="X419" t="n">
        <v>7.177382</v>
      </c>
      <c r="Y419" t="n">
        <v>0.9845487000000001</v>
      </c>
      <c r="Z419" t="n">
        <v/>
      </c>
      <c r="AA419" t="n">
        <v/>
      </c>
      <c r="AB419" t="n">
        <v>14.89697</v>
      </c>
      <c r="AC419" t="n">
        <v>0.00082675</v>
      </c>
      <c r="AD419" t="n">
        <v>20.48963</v>
      </c>
      <c r="AE419" t="n">
        <v>2.461045</v>
      </c>
    </row>
    <row r="420">
      <c r="A420" s="90" t="n">
        <v>31352</v>
      </c>
      <c r="B420" t="n">
        <v>6.634323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0.4281402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1.115028</v>
      </c>
      <c r="S420" t="n">
        <v>38.44608</v>
      </c>
      <c r="T420" t="n">
        <v>1.795212</v>
      </c>
      <c r="U420" t="n">
        <v>0.1095315</v>
      </c>
      <c r="V420" t="n">
        <v>13.68146</v>
      </c>
      <c r="W420" t="n">
        <v>8.717511999999999</v>
      </c>
      <c r="X420" t="n">
        <v>7.239542</v>
      </c>
      <c r="Y420" t="n">
        <v>0.9961981</v>
      </c>
      <c r="Z420" t="n">
        <v/>
      </c>
      <c r="AA420" t="n">
        <v/>
      </c>
      <c r="AB420" t="n">
        <v>14.93735</v>
      </c>
      <c r="AC420" t="n">
        <v>0.000842903</v>
      </c>
      <c r="AD420" t="n">
        <v>20.57099</v>
      </c>
      <c r="AE420" t="n">
        <v>2.486035</v>
      </c>
    </row>
    <row r="421">
      <c r="A421" s="90" t="n">
        <v>31382</v>
      </c>
      <c r="B421" t="n">
        <v>6.673546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0.4399305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1.142655</v>
      </c>
      <c r="S421" t="n">
        <v>38.77327</v>
      </c>
      <c r="T421" t="n">
        <v>1.82884</v>
      </c>
      <c r="U421" t="n">
        <v>0.1409878</v>
      </c>
      <c r="V421" t="n">
        <v>14.03137</v>
      </c>
      <c r="W421" t="n">
        <v>8.897497</v>
      </c>
      <c r="X421" t="n">
        <v>7.483295</v>
      </c>
      <c r="Y421" t="n">
        <v>1.018164</v>
      </c>
      <c r="Z421" t="n">
        <v/>
      </c>
      <c r="AA421" t="n">
        <v/>
      </c>
      <c r="AB421" t="n">
        <v>15.21611</v>
      </c>
      <c r="AC421" t="n">
        <v>0.000867983</v>
      </c>
      <c r="AD421" t="n">
        <v>20.68971</v>
      </c>
      <c r="AE421" t="n">
        <v>2.508467</v>
      </c>
    </row>
    <row r="422">
      <c r="A422" s="90" t="n">
        <v>31413</v>
      </c>
      <c r="B422" t="n">
        <v>6.693158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0.4526617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1.149863</v>
      </c>
      <c r="S422" t="n">
        <v>38.9696</v>
      </c>
      <c r="T422" t="n">
        <v>1.876403</v>
      </c>
      <c r="U422" t="n">
        <v>0.1715862</v>
      </c>
      <c r="V422" t="n">
        <v>14.1522</v>
      </c>
      <c r="W422" t="n">
        <v>9.031952</v>
      </c>
      <c r="X422" t="n">
        <v>7.714451</v>
      </c>
      <c r="Y422" t="n">
        <v>1.042914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20.77273</v>
      </c>
      <c r="AE422" t="n">
        <v>2.52803</v>
      </c>
    </row>
    <row r="423">
      <c r="A423" s="90" t="n">
        <v>31444</v>
      </c>
      <c r="B423" t="n">
        <v>6.707166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0.465004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1.172299</v>
      </c>
      <c r="S423" t="n">
        <v>39.22318</v>
      </c>
      <c r="T423" t="n">
        <v>1.927131</v>
      </c>
      <c r="U423" t="n">
        <v>0.1727196</v>
      </c>
      <c r="V423" t="n">
        <v>13.98903</v>
      </c>
      <c r="W423" t="n">
        <v>9.190341</v>
      </c>
      <c r="X423" t="n">
        <v>7.767266</v>
      </c>
      <c r="Y423" t="n">
        <v>1.059516</v>
      </c>
      <c r="Z423" t="n">
        <v/>
      </c>
      <c r="AA423" t="n">
        <v/>
      </c>
      <c r="AB423" t="n">
        <v>15.3806</v>
      </c>
      <c r="AC423" t="n">
        <v>0.000940554</v>
      </c>
      <c r="AD423" t="n">
        <v>20.8624</v>
      </c>
      <c r="AE423" t="n">
        <v>2.566039</v>
      </c>
    </row>
    <row r="424">
      <c r="A424" s="90" t="n">
        <v>31472</v>
      </c>
      <c r="B424" t="n">
        <v>6.766001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0.4760326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1.195881</v>
      </c>
      <c r="S424" t="n">
        <v>39.49311</v>
      </c>
      <c r="T424" t="n">
        <v>1.964746</v>
      </c>
      <c r="U424" t="n">
        <v>0.1733179</v>
      </c>
      <c r="V424" t="n">
        <v>13.97229</v>
      </c>
      <c r="W424" t="n">
        <v>9.428877</v>
      </c>
      <c r="X424" t="n">
        <v>7.843068</v>
      </c>
      <c r="Y424" t="n">
        <v>1.085413</v>
      </c>
      <c r="Z424" t="n">
        <v/>
      </c>
      <c r="AA424" t="n">
        <v/>
      </c>
      <c r="AB424" t="n">
        <v>15.44312</v>
      </c>
      <c r="AC424" t="n">
        <v>0.0009972500000000001</v>
      </c>
      <c r="AD424" t="n">
        <v>21.0301</v>
      </c>
      <c r="AE424" t="n">
        <v>2.581367</v>
      </c>
    </row>
    <row r="425">
      <c r="A425" s="90" t="n">
        <v>31503</v>
      </c>
      <c r="B425" t="n">
        <v>6.875266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0.4847502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1.199038</v>
      </c>
      <c r="S425" t="n">
        <v>39.69762</v>
      </c>
      <c r="T425" t="n">
        <v>2.00659</v>
      </c>
      <c r="U425" t="n">
        <v>0.1738291</v>
      </c>
      <c r="V425" t="n">
        <v>14.01908</v>
      </c>
      <c r="W425" t="n">
        <v>9.660170000000001</v>
      </c>
      <c r="X425" t="n">
        <v>7.923268</v>
      </c>
      <c r="Y425" t="n">
        <v>1.110453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21.23516</v>
      </c>
      <c r="AE425" t="n">
        <v>2.586592</v>
      </c>
    </row>
    <row r="426">
      <c r="A426" s="90" t="n">
        <v>31533</v>
      </c>
      <c r="B426" t="n">
        <v>6.964919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0.494508</v>
      </c>
      <c r="I426" t="n">
        <v/>
      </c>
      <c r="J426" t="n">
        <v/>
      </c>
      <c r="K426" t="n">
        <v>22.20981</v>
      </c>
      <c r="L426" t="n">
        <v>18.0765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1.187802</v>
      </c>
      <c r="S426" t="n">
        <v>39.93484</v>
      </c>
      <c r="T426" t="n">
        <v>2.051426</v>
      </c>
      <c r="U426" t="n">
        <v>0.1747761</v>
      </c>
      <c r="V426" t="n">
        <v>14.11022</v>
      </c>
      <c r="W426" t="n">
        <v>9.786033</v>
      </c>
      <c r="X426" t="n">
        <v>8.000322000000001</v>
      </c>
      <c r="Y426" t="n">
        <v>1.134888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21.45932</v>
      </c>
      <c r="AE426" t="n">
        <v>2.621361</v>
      </c>
    </row>
    <row r="427">
      <c r="A427" s="90" t="n">
        <v>31564</v>
      </c>
      <c r="B427" t="n">
        <v>7.015348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0.5069457000000001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1.175239</v>
      </c>
      <c r="S427" t="n">
        <v>40.26204</v>
      </c>
      <c r="T427" t="n">
        <v>2.093241</v>
      </c>
      <c r="U427" t="n">
        <v>0.1756083</v>
      </c>
      <c r="V427" t="n">
        <v>14.19369</v>
      </c>
      <c r="W427" t="n">
        <v>9.847531999999999</v>
      </c>
      <c r="X427" t="n">
        <v>8.073916000000001</v>
      </c>
      <c r="Y427" t="n">
        <v>1.16111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21.62702</v>
      </c>
      <c r="AE427" t="n">
        <v>2.638045</v>
      </c>
    </row>
    <row r="428">
      <c r="A428" s="90" t="n">
        <v>31594</v>
      </c>
      <c r="B428" t="n">
        <v>7.057373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0.5173836000000001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1.184654</v>
      </c>
      <c r="S428" t="n">
        <v>40.55652</v>
      </c>
      <c r="T428" t="n">
        <v>2.13144</v>
      </c>
      <c r="U428" t="n">
        <v>0.176451</v>
      </c>
      <c r="V428" t="n">
        <v>14.2236</v>
      </c>
      <c r="W428" t="n">
        <v>9.905913999999999</v>
      </c>
      <c r="X428" t="n">
        <v>8.146359</v>
      </c>
      <c r="Y428" t="n">
        <v>1.181309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21.80635</v>
      </c>
      <c r="AE428" t="n">
        <v>2.653097</v>
      </c>
    </row>
    <row r="429">
      <c r="A429" s="90" t="n">
        <v>31625</v>
      </c>
      <c r="B429" t="n">
        <v>7.105001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0.5252472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1.219647</v>
      </c>
      <c r="S429" t="n">
        <v>40.82646</v>
      </c>
      <c r="T429" t="n">
        <v>2.171464</v>
      </c>
      <c r="U429" t="n">
        <v>0.1834797</v>
      </c>
      <c r="V429" t="n">
        <v>14.26584</v>
      </c>
      <c r="W429" t="n">
        <v>10.02725</v>
      </c>
      <c r="X429" t="n">
        <v>8.233207</v>
      </c>
      <c r="Y429" t="n">
        <v>1.197808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21.97156</v>
      </c>
      <c r="AE429" t="n">
        <v>2.673688</v>
      </c>
    </row>
    <row r="430">
      <c r="A430" s="90" t="n">
        <v>31656</v>
      </c>
      <c r="B430" t="n">
        <v>7.138621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0.5320978</v>
      </c>
      <c r="I430" t="n">
        <v/>
      </c>
      <c r="J430" t="n">
        <v/>
      </c>
      <c r="K430" t="n">
        <v>22.33207</v>
      </c>
      <c r="L430" t="n">
        <v>18.45782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1.256724</v>
      </c>
      <c r="S430" t="n">
        <v>41.1373</v>
      </c>
      <c r="T430" t="n">
        <v>2.21204</v>
      </c>
      <c r="U430" t="n">
        <v>0.1954433</v>
      </c>
      <c r="V430" t="n">
        <v>14.26829</v>
      </c>
      <c r="W430" t="n">
        <v>10.22722</v>
      </c>
      <c r="X430" t="n">
        <v>8.337255000000001</v>
      </c>
      <c r="Y430" t="n">
        <v>1.212625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22.1484</v>
      </c>
      <c r="AE430" t="n">
        <v>2.694715</v>
      </c>
    </row>
    <row r="431">
      <c r="A431" s="90" t="n">
        <v>31686</v>
      </c>
      <c r="B431" t="n">
        <v>7.180646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0.541903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1.292025</v>
      </c>
      <c r="S431" t="n">
        <v>41.36634</v>
      </c>
      <c r="T431" t="n">
        <v>2.257774</v>
      </c>
      <c r="U431" t="n">
        <v>0.2092311</v>
      </c>
      <c r="V431" t="n">
        <v>14.35822</v>
      </c>
      <c r="W431" t="n">
        <v>10.48647</v>
      </c>
      <c r="X431" t="n">
        <v>8.447429</v>
      </c>
      <c r="Y431" t="n">
        <v>1.230884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22.31112</v>
      </c>
      <c r="AE431" t="n">
        <v>2.718864</v>
      </c>
    </row>
    <row r="432">
      <c r="A432" s="90" t="n">
        <v>31717</v>
      </c>
      <c r="B432" t="n">
        <v>7.211464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0.5543398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1.321324</v>
      </c>
      <c r="S432" t="n">
        <v>41.61174</v>
      </c>
      <c r="T432" t="n">
        <v>2.304554</v>
      </c>
      <c r="U432" t="n">
        <v>0.2249735</v>
      </c>
      <c r="V432" t="n">
        <v>14.5099</v>
      </c>
      <c r="W432" t="n">
        <v>10.74393</v>
      </c>
      <c r="X432" t="n">
        <v>8.557174</v>
      </c>
      <c r="Y432" t="n">
        <v>1.252016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22.42652</v>
      </c>
      <c r="AE432" t="n">
        <v>2.739918</v>
      </c>
    </row>
    <row r="433">
      <c r="A433" s="90" t="n">
        <v>31747</v>
      </c>
      <c r="B433" t="n">
        <v>7.253489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0.5672227</v>
      </c>
      <c r="I433" t="n">
        <v/>
      </c>
      <c r="J433" t="n">
        <v/>
      </c>
      <c r="K433" t="n">
        <v>22.65631</v>
      </c>
      <c r="L433" t="n">
        <v>19.13979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1.351359</v>
      </c>
      <c r="S433" t="n">
        <v>42.0371</v>
      </c>
      <c r="T433" t="n">
        <v>2.353115</v>
      </c>
      <c r="U433" t="n">
        <v>0.2405682</v>
      </c>
      <c r="V433" t="n">
        <v>14.58352</v>
      </c>
      <c r="W433" t="n">
        <v>10.97117</v>
      </c>
      <c r="X433" t="n">
        <v>8.697246</v>
      </c>
      <c r="Y433" t="n">
        <v>1.275742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22.64818</v>
      </c>
      <c r="AE433" t="n">
        <v>2.751057</v>
      </c>
    </row>
    <row r="434">
      <c r="A434" s="90" t="n">
        <v>31778</v>
      </c>
      <c r="B434" t="n">
        <v>7.343142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0.579311</v>
      </c>
      <c r="I434" t="n">
        <v/>
      </c>
      <c r="J434" t="n">
        <v/>
      </c>
      <c r="K434" t="n">
        <v>22.63851</v>
      </c>
      <c r="L434" t="n">
        <v>19.34158</v>
      </c>
      <c r="M434" t="n">
        <v>9.223367</v>
      </c>
      <c r="N434" t="n">
        <v/>
      </c>
      <c r="O434" t="n">
        <v/>
      </c>
      <c r="P434" t="n">
        <v>1.260513</v>
      </c>
      <c r="Q434" t="n">
        <v>3.097813</v>
      </c>
      <c r="R434" t="n">
        <v>1.40226</v>
      </c>
      <c r="S434" t="n">
        <v>42.35612</v>
      </c>
      <c r="T434" t="n">
        <v>2.402224</v>
      </c>
      <c r="U434" t="n">
        <v>0.2566681</v>
      </c>
      <c r="V434" t="n">
        <v>14.61435</v>
      </c>
      <c r="W434" t="n">
        <v>11.23449</v>
      </c>
      <c r="X434" t="n">
        <v>8.815678</v>
      </c>
      <c r="Y434" t="n">
        <v>1.298692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22.78019</v>
      </c>
      <c r="AE434" t="n">
        <v>2.747724</v>
      </c>
    </row>
    <row r="435">
      <c r="A435" s="90" t="n">
        <v>31809</v>
      </c>
      <c r="B435" t="n">
        <v>7.421588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0.5926049</v>
      </c>
      <c r="I435" t="n">
        <v/>
      </c>
      <c r="J435" t="n">
        <v/>
      </c>
      <c r="K435" t="n">
        <v>22.56106</v>
      </c>
      <c r="L435" t="n">
        <v>19.25452</v>
      </c>
      <c r="M435" t="n">
        <v>11.16499</v>
      </c>
      <c r="N435" t="n">
        <v/>
      </c>
      <c r="O435" t="n">
        <v/>
      </c>
      <c r="P435" t="n">
        <v>1.280062</v>
      </c>
      <c r="Q435" t="n">
        <v>3.176628</v>
      </c>
      <c r="R435" t="n">
        <v>1.451133</v>
      </c>
      <c r="S435" t="n">
        <v>42.66696</v>
      </c>
      <c r="T435" t="n">
        <v>2.457591</v>
      </c>
      <c r="U435" t="n">
        <v>0.2750925</v>
      </c>
      <c r="V435" t="n">
        <v>14.76739</v>
      </c>
      <c r="W435" t="n">
        <v>11.52059</v>
      </c>
      <c r="X435" t="n">
        <v>9.048494</v>
      </c>
      <c r="Y435" t="n">
        <v>1.44313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22.81007</v>
      </c>
      <c r="AE435" t="n">
        <v>2.765377</v>
      </c>
    </row>
    <row r="436">
      <c r="A436" s="90" t="n">
        <v>31837</v>
      </c>
      <c r="B436" t="n">
        <v>7.455208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0.6074626</v>
      </c>
      <c r="I436" t="n">
        <v/>
      </c>
      <c r="J436" t="n">
        <v/>
      </c>
      <c r="K436" t="n">
        <v>22.76226</v>
      </c>
      <c r="L436" t="n">
        <v>19.28458</v>
      </c>
      <c r="M436" t="n">
        <v>11.32884</v>
      </c>
      <c r="N436" t="n">
        <v/>
      </c>
      <c r="O436" t="n">
        <v/>
      </c>
      <c r="P436" t="n">
        <v>1.295625</v>
      </c>
      <c r="Q436" t="n">
        <v>3.294622</v>
      </c>
      <c r="R436" t="n">
        <v>1.499276</v>
      </c>
      <c r="S436" t="n">
        <v>43.11686</v>
      </c>
      <c r="T436" t="n">
        <v>2.513788</v>
      </c>
      <c r="U436" t="n">
        <v>0.2968611</v>
      </c>
      <c r="V436" t="n">
        <v>14.9351</v>
      </c>
      <c r="W436" t="n">
        <v>11.62466</v>
      </c>
      <c r="X436" t="n">
        <v>9.154033</v>
      </c>
      <c r="Y436" t="n">
        <v>1.461778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22.86155</v>
      </c>
      <c r="AE436" t="n">
        <v>2.803522</v>
      </c>
    </row>
    <row r="437">
      <c r="A437" s="90" t="n">
        <v>31868</v>
      </c>
      <c r="B437" t="n">
        <v>7.480423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0.624094</v>
      </c>
      <c r="I437" t="n">
        <v/>
      </c>
      <c r="J437" t="n">
        <v/>
      </c>
      <c r="K437" t="n">
        <v>22.9657</v>
      </c>
      <c r="L437" t="n">
        <v>19.39494</v>
      </c>
      <c r="M437" t="n">
        <v>11.51295</v>
      </c>
      <c r="N437" t="n">
        <v/>
      </c>
      <c r="O437" t="n">
        <v/>
      </c>
      <c r="P437" t="n">
        <v>1.311164</v>
      </c>
      <c r="Q437" t="n">
        <v>3.401168</v>
      </c>
      <c r="R437" t="n">
        <v>1.557031</v>
      </c>
      <c r="S437" t="n">
        <v>43.58313</v>
      </c>
      <c r="T437" t="n">
        <v>2.594146</v>
      </c>
      <c r="U437" t="n">
        <v>0.3216515</v>
      </c>
      <c r="V437" t="n">
        <v>15.06556</v>
      </c>
      <c r="W437" t="n">
        <v>11.53679</v>
      </c>
      <c r="X437" t="n">
        <v>9.286621999999999</v>
      </c>
      <c r="Y437" t="n">
        <v>1.485518</v>
      </c>
      <c r="Z437" t="n">
        <v/>
      </c>
      <c r="AA437" t="n">
        <v/>
      </c>
      <c r="AB437" t="n">
        <v>17.0949</v>
      </c>
      <c r="AC437" t="n">
        <v>0.001515242</v>
      </c>
      <c r="AD437" t="n">
        <v>22.97778</v>
      </c>
      <c r="AE437" t="n">
        <v>2.843594</v>
      </c>
    </row>
    <row r="438">
      <c r="A438" s="90" t="n">
        <v>31898</v>
      </c>
      <c r="B438" t="n">
        <v>7.561671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0.6405281</v>
      </c>
      <c r="I438" t="n">
        <v/>
      </c>
      <c r="J438" t="n">
        <v/>
      </c>
      <c r="K438" t="n">
        <v>23.04919</v>
      </c>
      <c r="L438" t="n">
        <v>19.5495</v>
      </c>
      <c r="M438" t="n">
        <v>11.67351</v>
      </c>
      <c r="N438" t="n">
        <v/>
      </c>
      <c r="O438" t="n">
        <v/>
      </c>
      <c r="P438" t="n">
        <v>1.32282</v>
      </c>
      <c r="Q438" t="n">
        <v>3.530192</v>
      </c>
      <c r="R438" t="n">
        <v>1.606642</v>
      </c>
      <c r="S438" t="n">
        <v>44.00031</v>
      </c>
      <c r="T438" t="n">
        <v>2.673805</v>
      </c>
      <c r="U438" t="n">
        <v>0.3485421</v>
      </c>
      <c r="V438" t="n">
        <v>15.08597</v>
      </c>
      <c r="W438" t="n">
        <v>11.53573</v>
      </c>
      <c r="X438" t="n">
        <v>9.409660000000001</v>
      </c>
      <c r="Y438" t="n">
        <v>1.509249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23.02095</v>
      </c>
      <c r="AE438" t="n">
        <v>2.881439</v>
      </c>
    </row>
    <row r="439">
      <c r="A439" s="90" t="n">
        <v>31929</v>
      </c>
      <c r="B439" t="n">
        <v>7.662531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0.6531696</v>
      </c>
      <c r="I439" t="n">
        <v/>
      </c>
      <c r="J439" t="n">
        <v/>
      </c>
      <c r="K439" t="n">
        <v>23.31146</v>
      </c>
      <c r="L439" t="n">
        <v>19.7154</v>
      </c>
      <c r="M439" t="n">
        <v>11.78807</v>
      </c>
      <c r="N439" t="n">
        <v/>
      </c>
      <c r="O439" t="n">
        <v/>
      </c>
      <c r="P439" t="n">
        <v>1.336125</v>
      </c>
      <c r="Q439" t="n">
        <v>3.6236</v>
      </c>
      <c r="R439" t="n">
        <v>1.648796</v>
      </c>
      <c r="S439" t="n">
        <v>44.38477</v>
      </c>
      <c r="T439" t="n">
        <v>2.727663</v>
      </c>
      <c r="U439" t="n">
        <v>0.3790073</v>
      </c>
      <c r="V439" t="n">
        <v>15.16761</v>
      </c>
      <c r="W439" t="n">
        <v>11.68109</v>
      </c>
      <c r="X439" t="n">
        <v>9.527849</v>
      </c>
      <c r="Y439" t="n">
        <v>1.529601</v>
      </c>
      <c r="Z439" t="n">
        <v/>
      </c>
      <c r="AA439" t="n">
        <v/>
      </c>
      <c r="AB439" t="n">
        <v>17.54369</v>
      </c>
      <c r="AC439" t="n">
        <v>0.0016218</v>
      </c>
      <c r="AD439" t="n">
        <v>23.03506</v>
      </c>
      <c r="AE439" t="n">
        <v>2.90212</v>
      </c>
    </row>
    <row r="440">
      <c r="A440" s="90" t="n">
        <v>31959</v>
      </c>
      <c r="B440" t="n">
        <v>7.757787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0.6665502</v>
      </c>
      <c r="I440" t="n">
        <v/>
      </c>
      <c r="J440" t="n">
        <v/>
      </c>
      <c r="K440" t="n">
        <v>23.43208</v>
      </c>
      <c r="L440" t="n">
        <v>19.81458</v>
      </c>
      <c r="M440" t="n">
        <v>11.95063</v>
      </c>
      <c r="N440" t="n">
        <v/>
      </c>
      <c r="O440" t="n">
        <v/>
      </c>
      <c r="P440" t="n">
        <v>1.355901</v>
      </c>
      <c r="Q440" t="n">
        <v>3.749668</v>
      </c>
      <c r="R440" t="n">
        <v>1.683799</v>
      </c>
      <c r="S440" t="n">
        <v>44.79377</v>
      </c>
      <c r="T440" t="n">
        <v>2.782832</v>
      </c>
      <c r="U440" t="n">
        <v>0.4130578</v>
      </c>
      <c r="V440" t="n">
        <v>15.52818</v>
      </c>
      <c r="W440" t="n">
        <v>11.77384</v>
      </c>
      <c r="X440" t="n">
        <v>9.665092</v>
      </c>
      <c r="Y440" t="n">
        <v>1.557462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23.07159</v>
      </c>
      <c r="AE440" t="n">
        <v>2.9459</v>
      </c>
    </row>
    <row r="441">
      <c r="A441" s="90" t="n">
        <v>31990</v>
      </c>
      <c r="B441" t="n">
        <v>7.84744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0.6823823999999999</v>
      </c>
      <c r="I441" t="n">
        <v/>
      </c>
      <c r="J441" t="n">
        <v/>
      </c>
      <c r="K441" t="n">
        <v>23.48534</v>
      </c>
      <c r="L441" t="n">
        <v>19.86186</v>
      </c>
      <c r="M441" t="n">
        <v>12.1298</v>
      </c>
      <c r="N441" t="n">
        <v/>
      </c>
      <c r="O441" t="n">
        <v/>
      </c>
      <c r="P441" t="n">
        <v>1.376741</v>
      </c>
      <c r="Q441" t="n">
        <v>3.866318</v>
      </c>
      <c r="R441" t="n">
        <v>1.70183</v>
      </c>
      <c r="S441" t="n">
        <v>45.24367</v>
      </c>
      <c r="T441" t="n">
        <v>2.837162</v>
      </c>
      <c r="U441" t="n">
        <v>0.4472899</v>
      </c>
      <c r="V441" t="n">
        <v>15.73751</v>
      </c>
      <c r="W441" t="n">
        <v>11.84956</v>
      </c>
      <c r="X441" t="n">
        <v>9.810283</v>
      </c>
      <c r="Y441" t="n">
        <v>1.585986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23.14797</v>
      </c>
      <c r="AE441" t="n">
        <v>2.977798</v>
      </c>
    </row>
    <row r="442">
      <c r="A442" s="90" t="n">
        <v>32021</v>
      </c>
      <c r="B442" t="n">
        <v>7.925887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0.7040807</v>
      </c>
      <c r="I442" t="n">
        <v/>
      </c>
      <c r="J442" t="n">
        <v/>
      </c>
      <c r="K442" t="n">
        <v>23.4671</v>
      </c>
      <c r="L442" t="n">
        <v>19.96626</v>
      </c>
      <c r="M442" t="n">
        <v>12.21369</v>
      </c>
      <c r="N442" t="n">
        <v/>
      </c>
      <c r="O442" t="n">
        <v/>
      </c>
      <c r="P442" t="n">
        <v>1.397702</v>
      </c>
      <c r="Q442" t="n">
        <v>3.924559</v>
      </c>
      <c r="R442" t="n">
        <v>1.710488</v>
      </c>
      <c r="S442" t="n">
        <v>45.70175</v>
      </c>
      <c r="T442" t="n">
        <v>2.895451</v>
      </c>
      <c r="U442" t="n">
        <v>0.4813524</v>
      </c>
      <c r="V442" t="n">
        <v>15.82284</v>
      </c>
      <c r="W442" t="n">
        <v>12.04193</v>
      </c>
      <c r="X442" t="n">
        <v>9.95181</v>
      </c>
      <c r="Y442" t="n">
        <v>1.605824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23.24178</v>
      </c>
      <c r="AE442" t="n">
        <v>3.026915</v>
      </c>
    </row>
    <row r="443">
      <c r="A443" s="90" t="n">
        <v>32051</v>
      </c>
      <c r="B443" t="n">
        <v>8.01554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0.7225004</v>
      </c>
      <c r="I443" t="n">
        <v/>
      </c>
      <c r="J443" t="n">
        <v/>
      </c>
      <c r="K443" t="n">
        <v>23.46243</v>
      </c>
      <c r="L443" t="n">
        <v>20.09507</v>
      </c>
      <c r="M443" t="n">
        <v>12.35507</v>
      </c>
      <c r="N443" t="n">
        <v/>
      </c>
      <c r="O443" t="n">
        <v/>
      </c>
      <c r="P443" t="n">
        <v>1.417164</v>
      </c>
      <c r="Q443" t="n">
        <v>3.984225</v>
      </c>
      <c r="R443" t="n">
        <v>1.713315</v>
      </c>
      <c r="S443" t="n">
        <v>46.08621</v>
      </c>
      <c r="T443" t="n">
        <v>2.940802</v>
      </c>
      <c r="U443" t="n">
        <v>0.5169406</v>
      </c>
      <c r="V443" t="n">
        <v>16.16628</v>
      </c>
      <c r="W443" t="n">
        <v>12.34059</v>
      </c>
      <c r="X443" t="n">
        <v>10.10615</v>
      </c>
      <c r="Y443" t="n">
        <v>1.631471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23.36881</v>
      </c>
      <c r="AE443" t="n">
        <v>3.092947</v>
      </c>
    </row>
    <row r="444">
      <c r="A444" s="90" t="n">
        <v>32082</v>
      </c>
      <c r="B444" t="n">
        <v>8.122002999999999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0.7300133</v>
      </c>
      <c r="I444" t="n">
        <v/>
      </c>
      <c r="J444" t="n">
        <v/>
      </c>
      <c r="K444" t="n">
        <v>23.59049</v>
      </c>
      <c r="L444" t="n">
        <v>20.2728</v>
      </c>
      <c r="M444" t="n">
        <v>12.5027</v>
      </c>
      <c r="N444" t="n">
        <v/>
      </c>
      <c r="O444" t="n">
        <v/>
      </c>
      <c r="P444" t="n">
        <v>1.432946</v>
      </c>
      <c r="Q444" t="n">
        <v>4.059226</v>
      </c>
      <c r="R444" t="n">
        <v>1.736819</v>
      </c>
      <c r="S444" t="n">
        <v>46.62609</v>
      </c>
      <c r="T444" t="n">
        <v>3.009744</v>
      </c>
      <c r="U444" t="n">
        <v>0.5472872</v>
      </c>
      <c r="V444" t="n">
        <v>16.61929</v>
      </c>
      <c r="W444" t="n">
        <v>12.54499</v>
      </c>
      <c r="X444" t="n">
        <v>10.23211</v>
      </c>
      <c r="Y444" t="n">
        <v>1.657873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23.40285</v>
      </c>
      <c r="AE444" t="n">
        <v>3.167684</v>
      </c>
    </row>
    <row r="445">
      <c r="A445" s="90" t="n">
        <v>32112</v>
      </c>
      <c r="B445" t="n">
        <v>8.197647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0.73932</v>
      </c>
      <c r="I445" t="n">
        <v/>
      </c>
      <c r="J445" t="n">
        <v/>
      </c>
      <c r="K445" t="n">
        <v>23.6166</v>
      </c>
      <c r="L445" t="n">
        <v>20.67437</v>
      </c>
      <c r="M445" t="n">
        <v>12.61755</v>
      </c>
      <c r="N445" t="n">
        <v/>
      </c>
      <c r="O445" t="n">
        <v/>
      </c>
      <c r="P445" t="n">
        <v>1.450064</v>
      </c>
      <c r="Q445" t="n">
        <v>4.14712</v>
      </c>
      <c r="R445" t="n">
        <v>1.769484</v>
      </c>
      <c r="S445" t="n">
        <v>46.91239</v>
      </c>
      <c r="T445" t="n">
        <v>3.085724</v>
      </c>
      <c r="U445" t="n">
        <v>0.5772753</v>
      </c>
      <c r="V445" t="n">
        <v>16.85977</v>
      </c>
      <c r="W445" t="n">
        <v>12.68686</v>
      </c>
      <c r="X445" t="n">
        <v>10.36388</v>
      </c>
      <c r="Y445" t="n">
        <v>1.686936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23.46511</v>
      </c>
      <c r="AE445" t="n">
        <v>3.231989</v>
      </c>
    </row>
    <row r="446">
      <c r="A446" s="90" t="n">
        <v>32143</v>
      </c>
      <c r="B446" t="n">
        <v>8.234069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0.7532759</v>
      </c>
      <c r="I446" t="n">
        <v/>
      </c>
      <c r="J446" t="n">
        <v/>
      </c>
      <c r="K446" t="n">
        <v>23.64436</v>
      </c>
      <c r="L446" t="n">
        <v>20.89334</v>
      </c>
      <c r="M446" t="n">
        <v>12.78179</v>
      </c>
      <c r="N446" t="n">
        <v/>
      </c>
      <c r="O446" t="n">
        <v/>
      </c>
      <c r="P446" t="n">
        <v>1.470109</v>
      </c>
      <c r="Q446" t="n">
        <v>4.252719</v>
      </c>
      <c r="R446" t="n">
        <v>1.785412</v>
      </c>
      <c r="S446" t="n">
        <v>47.34593</v>
      </c>
      <c r="T446" t="n">
        <v>3.134476</v>
      </c>
      <c r="U446" t="n">
        <v>0.6119086</v>
      </c>
      <c r="V446" t="n">
        <v>17.2906</v>
      </c>
      <c r="W446" t="n">
        <v>12.772</v>
      </c>
      <c r="X446" t="n">
        <v>10.52894</v>
      </c>
      <c r="Y446" t="n">
        <v>1.718272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23.63946</v>
      </c>
      <c r="AE446" t="n">
        <v>3.270913</v>
      </c>
    </row>
    <row r="447">
      <c r="A447" s="90" t="n">
        <v>32174</v>
      </c>
      <c r="B447" t="n">
        <v>8.278895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0.7677735999999999</v>
      </c>
      <c r="I447" t="n">
        <v/>
      </c>
      <c r="J447" t="n">
        <v/>
      </c>
      <c r="K447" t="n">
        <v>23.62288</v>
      </c>
      <c r="L447" t="n">
        <v>20.8135</v>
      </c>
      <c r="M447" t="n">
        <v>12.9057</v>
      </c>
      <c r="N447" t="n">
        <v/>
      </c>
      <c r="O447" t="n">
        <v/>
      </c>
      <c r="P447" t="n">
        <v>1.48905</v>
      </c>
      <c r="Q447" t="n">
        <v>4.319077</v>
      </c>
      <c r="R447" t="n">
        <v>1.811557</v>
      </c>
      <c r="S447" t="n">
        <v>47.84491</v>
      </c>
      <c r="T447" t="n">
        <v>3.190561</v>
      </c>
      <c r="U447" t="n">
        <v>0.6583872</v>
      </c>
      <c r="V447" t="n">
        <v>17.57699</v>
      </c>
      <c r="W447" t="n">
        <v>12.89683</v>
      </c>
      <c r="X447" t="n">
        <v>10.66584</v>
      </c>
      <c r="Y447" t="n">
        <v>1.735189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23.8304</v>
      </c>
      <c r="AE447" t="n">
        <v>3.330125</v>
      </c>
    </row>
    <row r="448">
      <c r="A448" s="90" t="n">
        <v>32203</v>
      </c>
      <c r="B448" t="n">
        <v>8.35454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0.7795636</v>
      </c>
      <c r="I448" t="n">
        <v/>
      </c>
      <c r="J448" t="n">
        <v/>
      </c>
      <c r="K448" t="n">
        <v>23.45168</v>
      </c>
      <c r="L448" t="n">
        <v>20.78639</v>
      </c>
      <c r="M448" t="n">
        <v>13.08588</v>
      </c>
      <c r="N448" t="n">
        <v/>
      </c>
      <c r="O448" t="n">
        <v/>
      </c>
      <c r="P448" t="n">
        <v>1.505517</v>
      </c>
      <c r="Q448" t="n">
        <v>4.396917</v>
      </c>
      <c r="R448" t="n">
        <v>1.852931</v>
      </c>
      <c r="S448" t="n">
        <v>48.19665</v>
      </c>
      <c r="T448" t="n">
        <v>3.260644</v>
      </c>
      <c r="U448" t="n">
        <v>0.7171009</v>
      </c>
      <c r="V448" t="n">
        <v>17.69511</v>
      </c>
      <c r="W448" t="n">
        <v>13.92068</v>
      </c>
      <c r="X448" t="n">
        <v>10.81556</v>
      </c>
      <c r="Y448" t="n">
        <v>1.755523</v>
      </c>
      <c r="Z448" t="n">
        <v/>
      </c>
      <c r="AA448" t="n">
        <v/>
      </c>
      <c r="AB448" t="n">
        <v>17.78161</v>
      </c>
      <c r="AC448" t="n">
        <v>0.002265637</v>
      </c>
      <c r="AD448" t="n">
        <v>23.99894</v>
      </c>
      <c r="AE448" t="n">
        <v>3.403881</v>
      </c>
    </row>
    <row r="449">
      <c r="A449" s="90" t="n">
        <v>32234</v>
      </c>
      <c r="B449" t="n">
        <v>8.444193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0.7908522</v>
      </c>
      <c r="I449" t="n">
        <v/>
      </c>
      <c r="J449" t="n">
        <v/>
      </c>
      <c r="K449" t="n">
        <v>23.48208</v>
      </c>
      <c r="L449" t="n">
        <v>20.90091</v>
      </c>
      <c r="M449" t="n">
        <v>13.25298</v>
      </c>
      <c r="N449" t="n">
        <v/>
      </c>
      <c r="O449" t="n">
        <v/>
      </c>
      <c r="P449" t="n">
        <v>1.522268</v>
      </c>
      <c r="Q449" t="n">
        <v>4.450884</v>
      </c>
      <c r="R449" t="n">
        <v>1.892307</v>
      </c>
      <c r="S449" t="n">
        <v>48.56475</v>
      </c>
      <c r="T449" t="n">
        <v>3.324575</v>
      </c>
      <c r="U449" t="n">
        <v>0.7598406</v>
      </c>
      <c r="V449" t="n">
        <v>17.88847</v>
      </c>
      <c r="W449" t="n">
        <v>14.69014</v>
      </c>
      <c r="X449" t="n">
        <v>10.95155</v>
      </c>
      <c r="Y449" t="n">
        <v>1.777845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24.16498</v>
      </c>
      <c r="AE449" t="n">
        <v>3.46525</v>
      </c>
    </row>
    <row r="450">
      <c r="A450" s="90" t="n">
        <v>32264</v>
      </c>
      <c r="B450" t="n">
        <v>8.525441000000001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0.8049686</v>
      </c>
      <c r="I450" t="n">
        <v/>
      </c>
      <c r="J450" t="n">
        <v/>
      </c>
      <c r="K450" t="n">
        <v>23.74325</v>
      </c>
      <c r="L450" t="n">
        <v>21.10526</v>
      </c>
      <c r="M450" t="n">
        <v>13.34986</v>
      </c>
      <c r="N450" t="n">
        <v/>
      </c>
      <c r="O450" t="n">
        <v/>
      </c>
      <c r="P450" t="n">
        <v>1.542621</v>
      </c>
      <c r="Q450" t="n">
        <v>4.491276</v>
      </c>
      <c r="R450" t="n">
        <v>1.918444</v>
      </c>
      <c r="S450" t="n">
        <v>49.07191</v>
      </c>
      <c r="T450" t="n">
        <v>3.399499</v>
      </c>
      <c r="U450" t="n">
        <v>0.7906901</v>
      </c>
      <c r="V450" t="n">
        <v>17.91864</v>
      </c>
      <c r="W450" t="n">
        <v>14.54165</v>
      </c>
      <c r="X450" t="n">
        <v>11.073</v>
      </c>
      <c r="Y450" t="n">
        <v>1.803368</v>
      </c>
      <c r="Z450" t="n">
        <v/>
      </c>
      <c r="AA450" t="n">
        <v/>
      </c>
      <c r="AB450" t="n">
        <v>17.87968</v>
      </c>
      <c r="AC450" t="n">
        <v>0.00242129</v>
      </c>
      <c r="AD450" t="n">
        <v>24.292</v>
      </c>
      <c r="AE450" t="n">
        <v>3.521785</v>
      </c>
    </row>
    <row r="451">
      <c r="A451" s="90" t="n">
        <v>32295</v>
      </c>
      <c r="B451" t="n">
        <v>8.631905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0.8258454</v>
      </c>
      <c r="I451" t="n">
        <v/>
      </c>
      <c r="J451" t="n">
        <v/>
      </c>
      <c r="K451" t="n">
        <v>24.00524</v>
      </c>
      <c r="L451" t="n">
        <v>21.27416</v>
      </c>
      <c r="M451" t="n">
        <v>13.54973</v>
      </c>
      <c r="N451" t="n">
        <v/>
      </c>
      <c r="O451" t="n">
        <v/>
      </c>
      <c r="P451" t="n">
        <v>1.548043</v>
      </c>
      <c r="Q451" t="n">
        <v>4.611727</v>
      </c>
      <c r="R451" t="n">
        <v>1.947155</v>
      </c>
      <c r="S451" t="n">
        <v>49.44001</v>
      </c>
      <c r="T451" t="n">
        <v>3.486741</v>
      </c>
      <c r="U451" t="n">
        <v>0.8149745</v>
      </c>
      <c r="V451" t="n">
        <v>17.97002</v>
      </c>
      <c r="W451" t="n">
        <v>14.63362</v>
      </c>
      <c r="X451" t="n">
        <v>11.18867</v>
      </c>
      <c r="Y451" t="n">
        <v>1.83391</v>
      </c>
      <c r="Z451" t="n">
        <v/>
      </c>
      <c r="AA451" t="n">
        <v/>
      </c>
      <c r="AB451" t="n">
        <v>18.0264</v>
      </c>
      <c r="AC451" t="n">
        <v>0.002513368</v>
      </c>
      <c r="AD451" t="n">
        <v>24.39495</v>
      </c>
      <c r="AE451" t="n">
        <v>3.602152</v>
      </c>
    </row>
    <row r="452">
      <c r="A452" s="90" t="n">
        <v>32325</v>
      </c>
      <c r="B452" t="n">
        <v>8.72716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0.841677</v>
      </c>
      <c r="I452" t="n">
        <v/>
      </c>
      <c r="J452" t="n">
        <v/>
      </c>
      <c r="K452" t="n">
        <v>24.33787</v>
      </c>
      <c r="L452" t="n">
        <v>21.45646</v>
      </c>
      <c r="M452" t="n">
        <v>13.82048</v>
      </c>
      <c r="N452" t="n">
        <v/>
      </c>
      <c r="O452" t="n">
        <v/>
      </c>
      <c r="P452" t="n">
        <v>1.580273</v>
      </c>
      <c r="Q452" t="n">
        <v>4.739569</v>
      </c>
      <c r="R452" t="n">
        <v>1.990684</v>
      </c>
      <c r="S452" t="n">
        <v>49.82448</v>
      </c>
      <c r="T452" t="n">
        <v>3.565418</v>
      </c>
      <c r="U452" t="n">
        <v>0.8242766</v>
      </c>
      <c r="V452" t="n">
        <v>17.95637</v>
      </c>
      <c r="W452" t="n">
        <v>14.76795</v>
      </c>
      <c r="X452" t="n">
        <v>11.28419</v>
      </c>
      <c r="Y452" t="n">
        <v>1.868354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24.46801</v>
      </c>
      <c r="AE452" t="n">
        <v>3.671961</v>
      </c>
    </row>
    <row r="453">
      <c r="A453" s="90" t="n">
        <v>32356</v>
      </c>
      <c r="B453" t="n">
        <v>8.802804999999999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0.8551164999999999</v>
      </c>
      <c r="I453" t="n">
        <v/>
      </c>
      <c r="J453" t="n">
        <v/>
      </c>
      <c r="K453" t="n">
        <v>24.46678</v>
      </c>
      <c r="L453" t="n">
        <v>21.5388</v>
      </c>
      <c r="M453" t="n">
        <v>14.05594</v>
      </c>
      <c r="N453" t="n">
        <v/>
      </c>
      <c r="O453" t="n">
        <v/>
      </c>
      <c r="P453" t="n">
        <v>1.624457</v>
      </c>
      <c r="Q453" t="n">
        <v>4.820896</v>
      </c>
      <c r="R453" t="n">
        <v>2.034296</v>
      </c>
      <c r="S453" t="n">
        <v>50.25802</v>
      </c>
      <c r="T453" t="n">
        <v>3.644701</v>
      </c>
      <c r="U453" t="n">
        <v>0.8294367</v>
      </c>
      <c r="V453" t="n">
        <v>17.83703</v>
      </c>
      <c r="W453" t="n">
        <v>14.78829</v>
      </c>
      <c r="X453" t="n">
        <v>11.37643</v>
      </c>
      <c r="Y453" t="n">
        <v>1.907029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24.50786</v>
      </c>
      <c r="AE453" t="n">
        <v>3.750467</v>
      </c>
    </row>
    <row r="454">
      <c r="A454" s="90" t="n">
        <v>32387</v>
      </c>
      <c r="B454" t="n">
        <v>8.917673000000001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0.8723915</v>
      </c>
      <c r="I454" t="n">
        <v/>
      </c>
      <c r="J454" t="n">
        <v/>
      </c>
      <c r="K454" t="n">
        <v>24.49899</v>
      </c>
      <c r="L454" t="n">
        <v>21.58034</v>
      </c>
      <c r="M454" t="n">
        <v>14.26285</v>
      </c>
      <c r="N454" t="n">
        <v/>
      </c>
      <c r="O454" t="n">
        <v/>
      </c>
      <c r="P454" t="n">
        <v>1.635664</v>
      </c>
      <c r="Q454" t="n">
        <v>4.942592</v>
      </c>
      <c r="R454" t="n">
        <v>2.066081</v>
      </c>
      <c r="S454" t="n">
        <v>50.62612</v>
      </c>
      <c r="T454" t="n">
        <v>3.730263</v>
      </c>
      <c r="U454" t="n">
        <v>0.8445106</v>
      </c>
      <c r="V454" t="n">
        <v>17.84242</v>
      </c>
      <c r="W454" t="n">
        <v>14.66895</v>
      </c>
      <c r="X454" t="n">
        <v>11.47191</v>
      </c>
      <c r="Y454" t="n">
        <v>1.94489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24.54854</v>
      </c>
      <c r="AE454" t="n">
        <v>3.850092</v>
      </c>
    </row>
    <row r="455">
      <c r="A455" s="90" t="n">
        <v>32417</v>
      </c>
      <c r="B455" t="n">
        <v>9.088573999999999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0.8864497</v>
      </c>
      <c r="I455" t="n">
        <v/>
      </c>
      <c r="J455" t="n">
        <v/>
      </c>
      <c r="K455" t="n">
        <v>24.56776</v>
      </c>
      <c r="L455" t="n">
        <v>21.7571</v>
      </c>
      <c r="M455" t="n">
        <v>14.42649</v>
      </c>
      <c r="N455" t="n">
        <v/>
      </c>
      <c r="O455" t="n">
        <v/>
      </c>
      <c r="P455" t="n">
        <v>1.650658</v>
      </c>
      <c r="Q455" t="n">
        <v>5.047574</v>
      </c>
      <c r="R455" t="n">
        <v>2.052305</v>
      </c>
      <c r="S455" t="n">
        <v>51.07602</v>
      </c>
      <c r="T455" t="n">
        <v>3.81536</v>
      </c>
      <c r="U455" t="n">
        <v>0.8570874000000001</v>
      </c>
      <c r="V455" t="n">
        <v>17.92791</v>
      </c>
      <c r="W455" t="n">
        <v>14.74822</v>
      </c>
      <c r="X455" t="n">
        <v>11.57162</v>
      </c>
      <c r="Y455" t="n">
        <v>1.980026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24.61827</v>
      </c>
      <c r="AE455" t="n">
        <v>3.933592</v>
      </c>
    </row>
    <row r="456">
      <c r="A456" s="90" t="n">
        <v>32448</v>
      </c>
      <c r="B456" t="n">
        <v>9.276285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0.9108421</v>
      </c>
      <c r="I456" t="n">
        <v/>
      </c>
      <c r="J456" t="n">
        <v/>
      </c>
      <c r="K456" t="n">
        <v>24.49643</v>
      </c>
      <c r="L456" t="n">
        <v>21.98185</v>
      </c>
      <c r="M456" t="n">
        <v>14.54304</v>
      </c>
      <c r="N456" t="n">
        <v/>
      </c>
      <c r="O456" t="n">
        <v/>
      </c>
      <c r="P456" t="n">
        <v>1.672618</v>
      </c>
      <c r="Q456" t="n">
        <v>5.072921</v>
      </c>
      <c r="R456" t="n">
        <v>2.003011</v>
      </c>
      <c r="S456" t="n">
        <v>51.44412</v>
      </c>
      <c r="T456" t="n">
        <v>3.901155</v>
      </c>
      <c r="U456" t="n">
        <v>0.8717667</v>
      </c>
      <c r="V456" t="n">
        <v>17.71589</v>
      </c>
      <c r="W456" t="n">
        <v>14.7825</v>
      </c>
      <c r="X456" t="n">
        <v>11.68378</v>
      </c>
      <c r="Y456" t="n">
        <v>2.015257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24.74198</v>
      </c>
      <c r="AE456" t="n">
        <v>3.994583</v>
      </c>
    </row>
    <row r="457">
      <c r="A457" s="90" t="n">
        <v>32478</v>
      </c>
      <c r="B457" t="n">
        <v>9.475203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0.9283661</v>
      </c>
      <c r="I457" t="n">
        <v/>
      </c>
      <c r="J457" t="n">
        <v/>
      </c>
      <c r="K457" t="n">
        <v>24.75491</v>
      </c>
      <c r="L457" t="n">
        <v>22.4078</v>
      </c>
      <c r="M457" t="n">
        <v>14.72147</v>
      </c>
      <c r="N457" t="n">
        <v/>
      </c>
      <c r="O457" t="n">
        <v/>
      </c>
      <c r="P457" t="n">
        <v>1.723676</v>
      </c>
      <c r="Q457" t="n">
        <v>5.142262</v>
      </c>
      <c r="R457" t="n">
        <v>1.969082</v>
      </c>
      <c r="S457" t="n">
        <v>51.84494</v>
      </c>
      <c r="T457" t="n">
        <v>3.972349</v>
      </c>
      <c r="U457" t="n">
        <v>0.8925168</v>
      </c>
      <c r="V457" t="n">
        <v>17.66353</v>
      </c>
      <c r="W457" t="n">
        <v>14.66795</v>
      </c>
      <c r="X457" t="n">
        <v>11.79195</v>
      </c>
      <c r="Y457" t="n">
        <v>2.054017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24.80839</v>
      </c>
      <c r="AE457" t="n">
        <v>4.072427</v>
      </c>
    </row>
    <row r="458">
      <c r="A458" s="90" t="n">
        <v>32509</v>
      </c>
      <c r="B458" t="n">
        <v>9.702137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0.9395211</v>
      </c>
      <c r="I458" t="n">
        <v/>
      </c>
      <c r="J458" t="n">
        <v/>
      </c>
      <c r="K458" t="n">
        <v>22.49386</v>
      </c>
      <c r="L458" t="n">
        <v>22.64933</v>
      </c>
      <c r="M458" t="n">
        <v>14.93184</v>
      </c>
      <c r="N458" t="n">
        <v/>
      </c>
      <c r="O458" t="n">
        <v/>
      </c>
      <c r="P458" t="n">
        <v>1.751553</v>
      </c>
      <c r="Q458" t="n">
        <v>5.248433</v>
      </c>
      <c r="R458" t="n">
        <v>2.019776</v>
      </c>
      <c r="S458" t="n">
        <v>51.984</v>
      </c>
      <c r="T458" t="n">
        <v>4.036789</v>
      </c>
      <c r="U458" t="n">
        <v>0.9219609</v>
      </c>
      <c r="V458" t="n">
        <v>17.90216</v>
      </c>
      <c r="W458" t="n">
        <v>14.77255</v>
      </c>
      <c r="X458" t="n">
        <v>11.87943</v>
      </c>
      <c r="Y458" t="n">
        <v>2.076806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24.83745</v>
      </c>
      <c r="AE458" t="n">
        <v>4.157771</v>
      </c>
    </row>
    <row r="459">
      <c r="A459" s="90" t="n">
        <v>32540</v>
      </c>
      <c r="B459" t="n">
        <v>9.917865000000001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0.9619216</v>
      </c>
      <c r="I459" t="n">
        <v/>
      </c>
      <c r="J459" t="n">
        <v/>
      </c>
      <c r="K459" t="n">
        <v>20.39935</v>
      </c>
      <c r="L459" t="n">
        <v>22.59151</v>
      </c>
      <c r="M459" t="n">
        <v>15.15627</v>
      </c>
      <c r="N459" t="n">
        <v/>
      </c>
      <c r="O459" t="n">
        <v/>
      </c>
      <c r="P459" t="n">
        <v>1.747706</v>
      </c>
      <c r="Q459" t="n">
        <v>5.357343</v>
      </c>
      <c r="R459" t="n">
        <v>2.121229</v>
      </c>
      <c r="S459" t="n">
        <v>52.76928</v>
      </c>
      <c r="T459" t="n">
        <v>4.093583</v>
      </c>
      <c r="U459" t="n">
        <v>0.9565951</v>
      </c>
      <c r="V459" t="n">
        <v>17.94696</v>
      </c>
      <c r="W459" t="n">
        <v>15.0218</v>
      </c>
      <c r="X459" t="n">
        <v>11.99056</v>
      </c>
      <c r="Y459" t="n">
        <v>2.107393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24.8416</v>
      </c>
      <c r="AE459" t="n">
        <v>4.231204</v>
      </c>
    </row>
    <row r="460">
      <c r="A460" s="90" t="n">
        <v>32568</v>
      </c>
      <c r="B460" t="n">
        <v>10.11398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0.9873355</v>
      </c>
      <c r="I460" t="n">
        <v/>
      </c>
      <c r="J460" t="n">
        <v/>
      </c>
      <c r="K460" t="n">
        <v>20.56858</v>
      </c>
      <c r="L460" t="n">
        <v>22.67284</v>
      </c>
      <c r="M460" t="n">
        <v>15.40816</v>
      </c>
      <c r="N460" t="n">
        <v/>
      </c>
      <c r="O460" t="n">
        <v/>
      </c>
      <c r="P460" t="n">
        <v>1.769631</v>
      </c>
      <c r="Q460" t="n">
        <v>5.43048</v>
      </c>
      <c r="R460" t="n">
        <v>2.190822</v>
      </c>
      <c r="S460" t="n">
        <v>53.18646</v>
      </c>
      <c r="T460" t="n">
        <v>4.162031</v>
      </c>
      <c r="U460" t="n">
        <v>0.9809871</v>
      </c>
      <c r="V460" t="n">
        <v>17.97729</v>
      </c>
      <c r="W460" t="n">
        <v>15.24085</v>
      </c>
      <c r="X460" t="n">
        <v>12.10925</v>
      </c>
      <c r="Y460" t="n">
        <v>2.151604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24.90387</v>
      </c>
      <c r="AE460" t="n">
        <v>4.313416</v>
      </c>
    </row>
    <row r="461">
      <c r="A461" s="90" t="n">
        <v>32599</v>
      </c>
      <c r="B461" t="n">
        <v>10.29609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1.006974</v>
      </c>
      <c r="I461" t="n">
        <v/>
      </c>
      <c r="J461" t="n">
        <v/>
      </c>
      <c r="K461" t="n">
        <v>20.10524</v>
      </c>
      <c r="L461" t="n">
        <v>22.84181</v>
      </c>
      <c r="M461" t="n">
        <v>15.59642</v>
      </c>
      <c r="N461" t="n">
        <v/>
      </c>
      <c r="O461" t="n">
        <v/>
      </c>
      <c r="P461" t="n">
        <v>1.800939</v>
      </c>
      <c r="Q461" t="n">
        <v>5.563546</v>
      </c>
      <c r="R461" t="n">
        <v>2.250221</v>
      </c>
      <c r="S461" t="n">
        <v>53.48094</v>
      </c>
      <c r="T461" t="n">
        <v>4.250572</v>
      </c>
      <c r="U461" t="n">
        <v>1.020793</v>
      </c>
      <c r="V461" t="n">
        <v>18.20759</v>
      </c>
      <c r="W461" t="n">
        <v>15.21931</v>
      </c>
      <c r="X461" t="n">
        <v>12.21377</v>
      </c>
      <c r="Y461" t="n">
        <v>2.182779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24.95617</v>
      </c>
      <c r="AE461" t="n">
        <v>4.351058</v>
      </c>
    </row>
    <row r="462">
      <c r="A462" s="90" t="n">
        <v>32629</v>
      </c>
      <c r="B462" t="n">
        <v>10.45578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1.036173</v>
      </c>
      <c r="I462" t="n">
        <v/>
      </c>
      <c r="J462" t="n">
        <v/>
      </c>
      <c r="K462" t="n">
        <v>19.84241</v>
      </c>
      <c r="L462" t="n">
        <v>23.01213</v>
      </c>
      <c r="M462" t="n">
        <v>15.78401</v>
      </c>
      <c r="N462" t="n">
        <v/>
      </c>
      <c r="O462" t="n">
        <v/>
      </c>
      <c r="P462" t="n">
        <v>1.829601</v>
      </c>
      <c r="Q462" t="n">
        <v>5.669227</v>
      </c>
      <c r="R462" t="n">
        <v>2.305684</v>
      </c>
      <c r="S462" t="n">
        <v>53.75089</v>
      </c>
      <c r="T462" t="n">
        <v>4.327132</v>
      </c>
      <c r="U462" t="n">
        <v>1.056403</v>
      </c>
      <c r="V462" t="n">
        <v>18.62574</v>
      </c>
      <c r="W462" t="n">
        <v>15.25783</v>
      </c>
      <c r="X462" t="n">
        <v>12.31835</v>
      </c>
      <c r="Y462" t="n">
        <v>2.216293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25.00266</v>
      </c>
      <c r="AE462" t="n">
        <v>4.421566</v>
      </c>
    </row>
    <row r="463">
      <c r="A463" s="90" t="n">
        <v>32660</v>
      </c>
      <c r="B463" t="n">
        <v>10.66591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1.075355</v>
      </c>
      <c r="I463" t="n">
        <v/>
      </c>
      <c r="J463" t="n">
        <v/>
      </c>
      <c r="K463" t="n">
        <v>20.02153</v>
      </c>
      <c r="L463" t="n">
        <v>23.22037</v>
      </c>
      <c r="M463" t="n">
        <v>16.1907</v>
      </c>
      <c r="N463" t="n">
        <v/>
      </c>
      <c r="O463" t="n">
        <v/>
      </c>
      <c r="P463" t="n">
        <v>1.857993</v>
      </c>
      <c r="Q463" t="n">
        <v>5.760977</v>
      </c>
      <c r="R463" t="n">
        <v>2.348818</v>
      </c>
      <c r="S463" t="n">
        <v>54.20897</v>
      </c>
      <c r="T463" t="n">
        <v>4.40799</v>
      </c>
      <c r="U463" t="n">
        <v>1.092513</v>
      </c>
      <c r="V463" t="n">
        <v>18.83692</v>
      </c>
      <c r="W463" t="n">
        <v>15.42736</v>
      </c>
      <c r="X463" t="n">
        <v>12.4699</v>
      </c>
      <c r="Y463" t="n">
        <v>2.265816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25.13799</v>
      </c>
      <c r="AE463" t="n">
        <v>4.54816</v>
      </c>
    </row>
    <row r="464">
      <c r="A464" s="90" t="n">
        <v>32690</v>
      </c>
      <c r="B464" t="n">
        <v>10.89844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1.109027</v>
      </c>
      <c r="I464" t="n">
        <v/>
      </c>
      <c r="J464" t="n">
        <v/>
      </c>
      <c r="K464" t="n">
        <v>20.13582</v>
      </c>
      <c r="L464" t="n">
        <v>23.49319</v>
      </c>
      <c r="M464" t="n">
        <v>16.5161</v>
      </c>
      <c r="N464" t="n">
        <v/>
      </c>
      <c r="O464" t="n">
        <v/>
      </c>
      <c r="P464" t="n">
        <v>1.8845</v>
      </c>
      <c r="Q464" t="n">
        <v>5.854302</v>
      </c>
      <c r="R464" t="n">
        <v>2.383178</v>
      </c>
      <c r="S464" t="n">
        <v>54.68341</v>
      </c>
      <c r="T464" t="n">
        <v>4.497608</v>
      </c>
      <c r="U464" t="n">
        <v>1.157504</v>
      </c>
      <c r="V464" t="n">
        <v>18.84729</v>
      </c>
      <c r="W464" t="n">
        <v>15.61483</v>
      </c>
      <c r="X464" t="n">
        <v>12.6521</v>
      </c>
      <c r="Y464" t="n">
        <v>2.311033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25.34139</v>
      </c>
      <c r="AE464" t="n">
        <v>4.635023</v>
      </c>
    </row>
    <row r="465">
      <c r="A465" s="90" t="n">
        <v>32721</v>
      </c>
      <c r="B465" t="n">
        <v>11.09736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1.145248</v>
      </c>
      <c r="I465" t="n">
        <v/>
      </c>
      <c r="J465" t="n">
        <v/>
      </c>
      <c r="K465" t="n">
        <v>19.95938</v>
      </c>
      <c r="L465" t="n">
        <v>23.58496</v>
      </c>
      <c r="M465" t="n">
        <v>16.7139</v>
      </c>
      <c r="N465" t="n">
        <v/>
      </c>
      <c r="O465" t="n">
        <v/>
      </c>
      <c r="P465" t="n">
        <v>1.912364</v>
      </c>
      <c r="Q465" t="n">
        <v>5.940197</v>
      </c>
      <c r="R465" t="n">
        <v>2.404596</v>
      </c>
      <c r="S465" t="n">
        <v>55.12513</v>
      </c>
      <c r="T465" t="n">
        <v>4.59507</v>
      </c>
      <c r="U465" t="n">
        <v>1.208756</v>
      </c>
      <c r="V465" t="n">
        <v>19.06669</v>
      </c>
      <c r="W465" t="n">
        <v>15.77112</v>
      </c>
      <c r="X465" t="n">
        <v>12.81073</v>
      </c>
      <c r="Y465" t="n">
        <v>2.346453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25.52404</v>
      </c>
      <c r="AE465" t="n">
        <v>4.719935</v>
      </c>
    </row>
    <row r="466">
      <c r="A466" s="90" t="n">
        <v>32752</v>
      </c>
      <c r="B466" t="n">
        <v>11.20663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1.166666</v>
      </c>
      <c r="I466" t="n">
        <v/>
      </c>
      <c r="J466" t="n">
        <v/>
      </c>
      <c r="K466" t="n">
        <v>20.14634</v>
      </c>
      <c r="L466" t="n">
        <v>23.63899</v>
      </c>
      <c r="M466" t="n">
        <v>16.97459</v>
      </c>
      <c r="N466" t="n">
        <v/>
      </c>
      <c r="O466" t="n">
        <v/>
      </c>
      <c r="P466" t="n">
        <v>1.942242</v>
      </c>
      <c r="Q466" t="n">
        <v>6.058738</v>
      </c>
      <c r="R466" t="n">
        <v>2.452006</v>
      </c>
      <c r="S466" t="n">
        <v>55.50141</v>
      </c>
      <c r="T466" t="n">
        <v>4.6836</v>
      </c>
      <c r="U466" t="n">
        <v>1.241866</v>
      </c>
      <c r="V466" t="n">
        <v>19.178</v>
      </c>
      <c r="W466" t="n">
        <v>15.96184</v>
      </c>
      <c r="X466" t="n">
        <v>12.9484</v>
      </c>
      <c r="Y466" t="n">
        <v>2.390859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25.6743</v>
      </c>
      <c r="AE466" t="n">
        <v>4.778428</v>
      </c>
    </row>
    <row r="467">
      <c r="A467" s="90" t="n">
        <v>32782</v>
      </c>
      <c r="B467" t="n">
        <v>11.26266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1.180009</v>
      </c>
      <c r="I467" t="n">
        <v/>
      </c>
      <c r="J467" t="n">
        <v/>
      </c>
      <c r="K467" t="n">
        <v>20.29394</v>
      </c>
      <c r="L467" t="n">
        <v>23.79332</v>
      </c>
      <c r="M467" t="n">
        <v>17.22874</v>
      </c>
      <c r="N467" t="n">
        <v/>
      </c>
      <c r="O467" t="n">
        <v/>
      </c>
      <c r="P467" t="n">
        <v>1.97581</v>
      </c>
      <c r="Q467" t="n">
        <v>6.180325</v>
      </c>
      <c r="R467" t="n">
        <v>2.500688</v>
      </c>
      <c r="S467" t="n">
        <v>55.91859</v>
      </c>
      <c r="T467" t="n">
        <v>4.768754</v>
      </c>
      <c r="U467" t="n">
        <v>1.281769</v>
      </c>
      <c r="V467" t="n">
        <v>19.18657</v>
      </c>
      <c r="W467" t="n">
        <v>16.05169</v>
      </c>
      <c r="X467" t="n">
        <v>13.10347</v>
      </c>
      <c r="Y467" t="n">
        <v>2.443396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25.85363</v>
      </c>
      <c r="AE467" t="n">
        <v>4.861646</v>
      </c>
    </row>
    <row r="468">
      <c r="A468" s="90" t="n">
        <v>32813</v>
      </c>
      <c r="B468" t="n">
        <v>11.35792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1.208202</v>
      </c>
      <c r="I468" t="n">
        <v/>
      </c>
      <c r="J468" t="n">
        <v/>
      </c>
      <c r="K468" t="n">
        <v>20.40583</v>
      </c>
      <c r="L468" t="n">
        <v>23.99078</v>
      </c>
      <c r="M468" t="n">
        <v>17.43821</v>
      </c>
      <c r="N468" t="n">
        <v/>
      </c>
      <c r="O468" t="n">
        <v/>
      </c>
      <c r="P468" t="n">
        <v>2.008104</v>
      </c>
      <c r="Q468" t="n">
        <v>6.34579</v>
      </c>
      <c r="R468" t="n">
        <v>2.528948</v>
      </c>
      <c r="S468" t="n">
        <v>56.46665</v>
      </c>
      <c r="T468" t="n">
        <v>4.859221</v>
      </c>
      <c r="U468" t="n">
        <v>1.324292</v>
      </c>
      <c r="V468" t="n">
        <v>19.34149</v>
      </c>
      <c r="W468" t="n">
        <v>16.01685</v>
      </c>
      <c r="X468" t="n">
        <v>13.26668</v>
      </c>
      <c r="Y468" t="n">
        <v>2.495169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26.01303</v>
      </c>
      <c r="AE468" t="n">
        <v>4.952192</v>
      </c>
    </row>
    <row r="469">
      <c r="A469" s="90" t="n">
        <v>32843</v>
      </c>
      <c r="B469" t="n">
        <v>11.45037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1.236183</v>
      </c>
      <c r="I469" t="n">
        <v/>
      </c>
      <c r="J469" t="n">
        <v/>
      </c>
      <c r="K469" t="n">
        <v>20.75683</v>
      </c>
      <c r="L469" t="n">
        <v>24.60379</v>
      </c>
      <c r="M469" t="n">
        <v>17.65483</v>
      </c>
      <c r="N469" t="n">
        <v/>
      </c>
      <c r="O469" t="n">
        <v/>
      </c>
      <c r="P469" t="n">
        <v>2.035583</v>
      </c>
      <c r="Q469" t="n">
        <v>6.499479</v>
      </c>
      <c r="R469" t="n">
        <v>2.555798</v>
      </c>
      <c r="S469" t="n">
        <v>57.39099</v>
      </c>
      <c r="T469" t="n">
        <v>5.005574</v>
      </c>
      <c r="U469" t="n">
        <v>1.37142</v>
      </c>
      <c r="V469" t="n">
        <v>19.37458</v>
      </c>
      <c r="W469" t="n">
        <v>15.89918</v>
      </c>
      <c r="X469" t="n">
        <v>13.43952</v>
      </c>
      <c r="Y469" t="n">
        <v>2.533233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26.17243</v>
      </c>
      <c r="AE469" t="n">
        <v>5.006632</v>
      </c>
    </row>
    <row r="470">
      <c r="A470" s="90" t="n">
        <v>32874</v>
      </c>
      <c r="B470" t="n">
        <v>11.55123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1.262644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17.93729</v>
      </c>
      <c r="N470" t="n">
        <v>3.722147</v>
      </c>
      <c r="O470" t="n">
        <v/>
      </c>
      <c r="P470" t="n">
        <v>2.062484</v>
      </c>
      <c r="Q470" t="n">
        <v>6.589669</v>
      </c>
      <c r="R470" t="n">
        <v>2.586458</v>
      </c>
      <c r="S470" t="n">
        <v>57.97177</v>
      </c>
      <c r="T470" t="n">
        <v>5.194434</v>
      </c>
      <c r="U470" t="n">
        <v>1.410608</v>
      </c>
      <c r="V470" t="n">
        <v>19.35483</v>
      </c>
      <c r="W470" t="n">
        <v>15.91531</v>
      </c>
      <c r="X470" t="n">
        <v>13.60152</v>
      </c>
      <c r="Y470" t="n">
        <v>2.590243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26.29115</v>
      </c>
      <c r="AE470" t="n">
        <v>5.114633</v>
      </c>
    </row>
    <row r="471">
      <c r="A471" s="90" t="n">
        <v>32905</v>
      </c>
      <c r="B471" t="n">
        <v>11.6745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1.300539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18.13568</v>
      </c>
      <c r="N471" t="n">
        <v>3.847601</v>
      </c>
      <c r="O471" t="n">
        <v>1.361583</v>
      </c>
      <c r="P471" t="n">
        <v>2.089263</v>
      </c>
      <c r="Q471" t="n">
        <v>6.712185</v>
      </c>
      <c r="R471" t="n">
        <v>2.632549</v>
      </c>
      <c r="S471" t="n">
        <v>59.08426</v>
      </c>
      <c r="T471" t="n">
        <v>5.318003</v>
      </c>
      <c r="U471" t="n">
        <v>1.444117</v>
      </c>
      <c r="V471" t="n">
        <v>19.45727</v>
      </c>
      <c r="W471" t="n">
        <v>15.97168</v>
      </c>
      <c r="X471" t="n">
        <v>13.75262</v>
      </c>
      <c r="Y471" t="n">
        <v>2.631114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26.3941</v>
      </c>
      <c r="AE471" t="n">
        <v>5.184311</v>
      </c>
    </row>
    <row r="472">
      <c r="A472" s="90" t="n">
        <v>32933</v>
      </c>
      <c r="B472" t="n">
        <v>11.79778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1.337721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18.36308</v>
      </c>
      <c r="N472" t="n">
        <v>3.973862</v>
      </c>
      <c r="O472" t="n">
        <v>1.438037</v>
      </c>
      <c r="P472" t="n">
        <v>2.118918</v>
      </c>
      <c r="Q472" t="n">
        <v>6.892989</v>
      </c>
      <c r="R472" t="n">
        <v>2.696064</v>
      </c>
      <c r="S472" t="n">
        <v>59.46872</v>
      </c>
      <c r="T472" t="n">
        <v>5.403842</v>
      </c>
      <c r="U472" t="n">
        <v>1.490892</v>
      </c>
      <c r="V472" t="n">
        <v>19.65489</v>
      </c>
      <c r="W472" t="n">
        <v>15.99402</v>
      </c>
      <c r="X472" t="n">
        <v>13.86465</v>
      </c>
      <c r="Y472" t="n">
        <v>2.661985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26.48459</v>
      </c>
      <c r="AE472" t="n">
        <v>5.208068</v>
      </c>
    </row>
    <row r="473">
      <c r="A473" s="90" t="n">
        <v>32964</v>
      </c>
      <c r="B473" t="n">
        <v>11.92945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1.371762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18.58254</v>
      </c>
      <c r="N473" t="n">
        <v>4.100931</v>
      </c>
      <c r="O473" t="n">
        <v>1.5416</v>
      </c>
      <c r="P473" t="n">
        <v>2.155439</v>
      </c>
      <c r="Q473" t="n">
        <v>6.972162</v>
      </c>
      <c r="R473" t="n">
        <v>2.779174</v>
      </c>
      <c r="S473" t="n">
        <v>60.51576</v>
      </c>
      <c r="T473" t="n">
        <v>5.507859</v>
      </c>
      <c r="U473" t="n">
        <v>1.536594</v>
      </c>
      <c r="V473" t="n">
        <v>19.74269</v>
      </c>
      <c r="W473" t="n">
        <v>16.25387</v>
      </c>
      <c r="X473" t="n">
        <v>14.02086</v>
      </c>
      <c r="Y473" t="n">
        <v>2.703057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26.58007</v>
      </c>
      <c r="AE473" t="n">
        <v>5.270365</v>
      </c>
    </row>
    <row r="474">
      <c r="A474" s="90" t="n">
        <v>32994</v>
      </c>
      <c r="B474" t="n">
        <v>12.03031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1.387664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18.71504</v>
      </c>
      <c r="N474" t="n">
        <v>4.228807</v>
      </c>
      <c r="O474" t="n">
        <v>1.569356</v>
      </c>
      <c r="P474" t="n">
        <v>2.18222</v>
      </c>
      <c r="Q474" t="n">
        <v>7.055731</v>
      </c>
      <c r="R474" t="n">
        <v>2.851353</v>
      </c>
      <c r="S474" t="n">
        <v>60.81842</v>
      </c>
      <c r="T474" t="n">
        <v>5.619999</v>
      </c>
      <c r="U474" t="n">
        <v>1.583569</v>
      </c>
      <c r="V474" t="n">
        <v>19.84506</v>
      </c>
      <c r="W474" t="n">
        <v>16.44296</v>
      </c>
      <c r="X474" t="n">
        <v>14.1075</v>
      </c>
      <c r="Y474" t="n">
        <v>2.735665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26.57176</v>
      </c>
      <c r="AE474" t="n">
        <v>5.337186</v>
      </c>
    </row>
    <row r="475">
      <c r="A475" s="90" t="n">
        <v>33025</v>
      </c>
      <c r="B475" t="n">
        <v>12.09475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1.40635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18.8775</v>
      </c>
      <c r="N475" t="n">
        <v>4.357222</v>
      </c>
      <c r="O475" t="n">
        <v>1.590602</v>
      </c>
      <c r="P475" t="n">
        <v>2.198584</v>
      </c>
      <c r="Q475" t="n">
        <v>7.166275</v>
      </c>
      <c r="R475" t="n">
        <v>2.915813</v>
      </c>
      <c r="S475" t="n">
        <v>60.9902</v>
      </c>
      <c r="T475" t="n">
        <v>5.7468</v>
      </c>
      <c r="U475" t="n">
        <v>1.640134</v>
      </c>
      <c r="V475" t="n">
        <v>20.15364</v>
      </c>
      <c r="W475" t="n">
        <v>16.34025</v>
      </c>
      <c r="X475" t="n">
        <v>14.22145</v>
      </c>
      <c r="Y475" t="n">
        <v>2.772322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26.68052</v>
      </c>
      <c r="AE475" t="n">
        <v>5.361627</v>
      </c>
    </row>
    <row r="476">
      <c r="A476" s="90" t="n">
        <v>33055</v>
      </c>
      <c r="B476" t="n">
        <v>12.14518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1.445053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18.98512</v>
      </c>
      <c r="N476" t="n">
        <v>4.486444</v>
      </c>
      <c r="O476" t="n">
        <v>1.648504</v>
      </c>
      <c r="P476" t="n">
        <v>2.222058</v>
      </c>
      <c r="Q476" t="n">
        <v>7.212004</v>
      </c>
      <c r="R476" t="n">
        <v>2.975235</v>
      </c>
      <c r="S476" t="n">
        <v>61.33376</v>
      </c>
      <c r="T476" t="n">
        <v>5.863594</v>
      </c>
      <c r="U476" t="n">
        <v>1.698425</v>
      </c>
      <c r="V476" t="n">
        <v>20.32719</v>
      </c>
      <c r="W476" t="n">
        <v>16.14572</v>
      </c>
      <c r="X476" t="n">
        <v>14.34107</v>
      </c>
      <c r="Y476" t="n">
        <v>2.806764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26.77019</v>
      </c>
      <c r="AE476" t="n">
        <v>5.374277</v>
      </c>
    </row>
    <row r="477">
      <c r="A477" s="90" t="n">
        <v>33086</v>
      </c>
      <c r="B477" t="n">
        <v>12.21522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1.480581</v>
      </c>
      <c r="I477" t="n">
        <v/>
      </c>
      <c r="J477" t="n">
        <v>10.96382</v>
      </c>
      <c r="K477" t="n">
        <v>21.49126</v>
      </c>
      <c r="L477" t="n">
        <v>26.38313</v>
      </c>
      <c r="M477" t="n">
        <v>19.07314</v>
      </c>
      <c r="N477" t="n">
        <v>4.616475</v>
      </c>
      <c r="O477" t="n">
        <v>1.686617</v>
      </c>
      <c r="P477" t="n">
        <v>2.241195</v>
      </c>
      <c r="Q477" t="n">
        <v>7.277062</v>
      </c>
      <c r="R477" t="n">
        <v>3.048343</v>
      </c>
      <c r="S477" t="n">
        <v>61.66096</v>
      </c>
      <c r="T477" t="n">
        <v>5.969479</v>
      </c>
      <c r="U477" t="n">
        <v>1.755306</v>
      </c>
      <c r="V477" t="n">
        <v>20.36525</v>
      </c>
      <c r="W477" t="n">
        <v>16.33568</v>
      </c>
      <c r="X477" t="n">
        <v>14.46722</v>
      </c>
      <c r="Y477" t="n">
        <v>2.833472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26.91547</v>
      </c>
      <c r="AE477" t="n">
        <v>5.405008</v>
      </c>
    </row>
    <row r="478">
      <c r="A478" s="90" t="n">
        <v>33117</v>
      </c>
      <c r="B478" t="n">
        <v>12.3469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1.520686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19.25335</v>
      </c>
      <c r="N478" t="n">
        <v>4.747313</v>
      </c>
      <c r="O478" t="n">
        <v>1.730471</v>
      </c>
      <c r="P478" t="n">
        <v>2.266864</v>
      </c>
      <c r="Q478" t="n">
        <v>7.382695</v>
      </c>
      <c r="R478" t="n">
        <v>3.108576</v>
      </c>
      <c r="S478" t="n">
        <v>62.0536</v>
      </c>
      <c r="T478" t="n">
        <v>6.080902</v>
      </c>
      <c r="U478" t="n">
        <v>1.804872</v>
      </c>
      <c r="V478" t="n">
        <v>20.40226</v>
      </c>
      <c r="W478" t="n">
        <v>16.74463</v>
      </c>
      <c r="X478" t="n">
        <v>14.5915</v>
      </c>
      <c r="Y478" t="n">
        <v>2.866561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27.02008</v>
      </c>
      <c r="AE478" t="n">
        <v>5.4036</v>
      </c>
    </row>
    <row r="479">
      <c r="A479" s="90" t="n">
        <v>33147</v>
      </c>
      <c r="B479" t="n">
        <v>12.45617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1.563629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19.38211</v>
      </c>
      <c r="N479" t="n">
        <v>4.879227</v>
      </c>
      <c r="O479" t="n">
        <v>1.766847</v>
      </c>
      <c r="P479" t="n">
        <v>2.295778</v>
      </c>
      <c r="Q479" t="n">
        <v>7.495289</v>
      </c>
      <c r="R479" t="n">
        <v>3.142846</v>
      </c>
      <c r="S479" t="n">
        <v>62.34808</v>
      </c>
      <c r="T479" t="n">
        <v>6.194297</v>
      </c>
      <c r="U479" t="n">
        <v>1.86196</v>
      </c>
      <c r="V479" t="n">
        <v>20.32588</v>
      </c>
      <c r="W479" t="n">
        <v>16.85504</v>
      </c>
      <c r="X479" t="n">
        <v>14.69247</v>
      </c>
      <c r="Y479" t="n">
        <v>2.893828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27.0591</v>
      </c>
      <c r="AE479" t="n">
        <v>5.411447</v>
      </c>
    </row>
    <row r="480">
      <c r="A480" s="90" t="n">
        <v>33178</v>
      </c>
      <c r="B480" t="n">
        <v>12.55983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1.595482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19.50473</v>
      </c>
      <c r="N480" t="n">
        <v>5.01195</v>
      </c>
      <c r="O480" t="n">
        <v>1.810111</v>
      </c>
      <c r="P480" t="n">
        <v>2.324341</v>
      </c>
      <c r="Q480" t="n">
        <v>7.585234</v>
      </c>
      <c r="R480" t="n">
        <v>3.194166</v>
      </c>
      <c r="S480" t="n">
        <v>62.02088</v>
      </c>
      <c r="T480" t="n">
        <v>6.324221</v>
      </c>
      <c r="U480" t="n">
        <v>1.934631</v>
      </c>
      <c r="V480" t="n">
        <v>20.25237</v>
      </c>
      <c r="W480" t="n">
        <v>16.94505</v>
      </c>
      <c r="X480" t="n">
        <v>14.77521</v>
      </c>
      <c r="Y480" t="n">
        <v>2.926099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27.0865</v>
      </c>
      <c r="AE480" t="n">
        <v>5.523596</v>
      </c>
    </row>
    <row r="481">
      <c r="A481" s="90" t="n">
        <v>33208</v>
      </c>
      <c r="B481" t="n">
        <v>12.6747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1.627678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19.60099</v>
      </c>
      <c r="N481" t="n">
        <v>5.160891</v>
      </c>
      <c r="O481" t="n">
        <v>1.869222</v>
      </c>
      <c r="P481" t="n">
        <v>2.354901</v>
      </c>
      <c r="Q481" t="n">
        <v>7.566935</v>
      </c>
      <c r="R481" t="n">
        <v>3.279588</v>
      </c>
      <c r="S481" t="n">
        <v>62.23356</v>
      </c>
      <c r="T481" t="n">
        <v>6.496979</v>
      </c>
      <c r="U481" t="n">
        <v>1.994534</v>
      </c>
      <c r="V481" t="n">
        <v>20.2807</v>
      </c>
      <c r="W481" t="n">
        <v>17.40953</v>
      </c>
      <c r="X481" t="n">
        <v>14.90108</v>
      </c>
      <c r="Y481" t="n">
        <v>2.967163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27.16287</v>
      </c>
      <c r="AE481" t="n">
        <v>5.62982</v>
      </c>
    </row>
    <row r="482">
      <c r="A482" s="90" t="n">
        <v>33239</v>
      </c>
      <c r="B482" t="n">
        <v>12.66629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1.660724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19.65844</v>
      </c>
      <c r="N482" t="n">
        <v>5.276528</v>
      </c>
      <c r="O482" t="n">
        <v>1.913423</v>
      </c>
      <c r="P482" t="n">
        <v>2.378565</v>
      </c>
      <c r="Q482" t="n">
        <v>7.50345</v>
      </c>
      <c r="R482" t="n">
        <v>3.438786</v>
      </c>
      <c r="S482" t="n">
        <v>62.36444</v>
      </c>
      <c r="T482" t="n">
        <v>6.651659</v>
      </c>
      <c r="U482" t="n">
        <v>2.032381</v>
      </c>
      <c r="V482" t="n">
        <v>20.41824</v>
      </c>
      <c r="W482" t="n">
        <v>17.55264</v>
      </c>
      <c r="X482" t="n">
        <v>15.00736</v>
      </c>
      <c r="Y482" t="n">
        <v>2.99305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27.29488</v>
      </c>
      <c r="AE482" t="n">
        <v>5.667765</v>
      </c>
    </row>
    <row r="483">
      <c r="A483" s="90" t="n">
        <v>33270</v>
      </c>
      <c r="B483" t="n">
        <v>12.60185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1.684307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19.72371</v>
      </c>
      <c r="N483" t="n">
        <v>5.37127</v>
      </c>
      <c r="O483" t="n">
        <v>1.934546</v>
      </c>
      <c r="P483" t="n">
        <v>2.411737</v>
      </c>
      <c r="Q483" t="n">
        <v>7.583294</v>
      </c>
      <c r="R483" t="n">
        <v>3.565717</v>
      </c>
      <c r="S483" t="n">
        <v>62.51168</v>
      </c>
      <c r="T483" t="n">
        <v>6.76343</v>
      </c>
      <c r="U483" t="n">
        <v>2.079064</v>
      </c>
      <c r="V483" t="n">
        <v>20.60383</v>
      </c>
      <c r="W483" t="n">
        <v>17.26489</v>
      </c>
      <c r="X483" t="n">
        <v>15.10144</v>
      </c>
      <c r="Y483" t="n">
        <v>3.013944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27.43435</v>
      </c>
      <c r="AE483" t="n">
        <v>5.837503</v>
      </c>
    </row>
    <row r="484">
      <c r="A484" s="90" t="n">
        <v>33298</v>
      </c>
      <c r="B484" t="n">
        <v>12.62146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1.704031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19.79836</v>
      </c>
      <c r="N484" t="n">
        <v>5.488769</v>
      </c>
      <c r="O484" t="n">
        <v>1.911813</v>
      </c>
      <c r="P484" t="n">
        <v>2.445956</v>
      </c>
      <c r="Q484" t="n">
        <v>7.735173</v>
      </c>
      <c r="R484" t="n">
        <v>3.63281</v>
      </c>
      <c r="S484" t="n">
        <v>62.6262</v>
      </c>
      <c r="T484" t="n">
        <v>6.89005</v>
      </c>
      <c r="U484" t="n">
        <v>2.142543</v>
      </c>
      <c r="V484" t="n">
        <v>20.75665</v>
      </c>
      <c r="W484" t="n">
        <v>17.17398</v>
      </c>
      <c r="X484" t="n">
        <v>15.21636</v>
      </c>
      <c r="Y484" t="n">
        <v>3.049859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27.57881</v>
      </c>
      <c r="AE484" t="n">
        <v>5.97605</v>
      </c>
    </row>
    <row r="485">
      <c r="A485" s="90" t="n">
        <v>33329</v>
      </c>
      <c r="B485" t="n">
        <v>12.64948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1.740003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19.91042</v>
      </c>
      <c r="N485" t="n">
        <v>5.598551</v>
      </c>
      <c r="O485" t="n">
        <v>1.918892</v>
      </c>
      <c r="P485" t="n">
        <v>2.474186</v>
      </c>
      <c r="Q485" t="n">
        <v>7.842461</v>
      </c>
      <c r="R485" t="n">
        <v>3.695137</v>
      </c>
      <c r="S485" t="n">
        <v>62.82252</v>
      </c>
      <c r="T485" t="n">
        <v>7.026153</v>
      </c>
      <c r="U485" t="n">
        <v>2.204623</v>
      </c>
      <c r="V485" t="n">
        <v>20.89923</v>
      </c>
      <c r="W485" t="n">
        <v>17.19172</v>
      </c>
      <c r="X485" t="n">
        <v>15.32941</v>
      </c>
      <c r="Y485" t="n">
        <v>3.095515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27.66598</v>
      </c>
      <c r="AE485" t="n">
        <v>6.004212</v>
      </c>
    </row>
    <row r="486">
      <c r="A486" s="90" t="n">
        <v>33359</v>
      </c>
      <c r="B486" t="n">
        <v>12.69991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1.786224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19.98456</v>
      </c>
      <c r="N486" t="n">
        <v>5.755967</v>
      </c>
      <c r="O486" t="n">
        <v>1.973093</v>
      </c>
      <c r="P486" t="n">
        <v>2.513268</v>
      </c>
      <c r="Q486" t="n">
        <v>7.930514</v>
      </c>
      <c r="R486" t="n">
        <v>3.759854</v>
      </c>
      <c r="S486" t="n">
        <v>62.96976</v>
      </c>
      <c r="T486" t="n">
        <v>7.149438</v>
      </c>
      <c r="U486" t="n">
        <v>2.270242</v>
      </c>
      <c r="V486" t="n">
        <v>20.94503</v>
      </c>
      <c r="W486" t="n">
        <v>17.29126</v>
      </c>
      <c r="X486" t="n">
        <v>15.44674</v>
      </c>
      <c r="Y486" t="n">
        <v>3.142676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27.75399</v>
      </c>
      <c r="AE486" t="n">
        <v>6.117739</v>
      </c>
    </row>
    <row r="487">
      <c r="A487" s="90" t="n">
        <v>33390</v>
      </c>
      <c r="B487" t="n">
        <v>12.76995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1.814197</v>
      </c>
      <c r="I487" t="n">
        <v/>
      </c>
      <c r="J487" t="n">
        <v>14.18794</v>
      </c>
      <c r="K487" t="n">
        <v>23.30735</v>
      </c>
      <c r="L487" t="n">
        <v>28.24822</v>
      </c>
      <c r="M487" t="n">
        <v>20.02439</v>
      </c>
      <c r="N487" t="n">
        <v>5.897105</v>
      </c>
      <c r="O487" t="n">
        <v>2.016941</v>
      </c>
      <c r="P487" t="n">
        <v>2.543087</v>
      </c>
      <c r="Q487" t="n">
        <v>7.988161</v>
      </c>
      <c r="R487" t="n">
        <v>3.791998</v>
      </c>
      <c r="S487" t="n">
        <v>63.10882</v>
      </c>
      <c r="T487" t="n">
        <v>7.254722</v>
      </c>
      <c r="U487" t="n">
        <v>2.320424</v>
      </c>
      <c r="V487" t="n">
        <v>20.91187</v>
      </c>
      <c r="W487" t="n">
        <v>17.55813</v>
      </c>
      <c r="X487" t="n">
        <v>15.54297</v>
      </c>
      <c r="Y487" t="n">
        <v>3.186077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27.82788</v>
      </c>
      <c r="AE487" t="n">
        <v>6.196452</v>
      </c>
    </row>
    <row r="488">
      <c r="A488" s="90" t="n">
        <v>33420</v>
      </c>
      <c r="B488" t="n">
        <v>12.80917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1.814973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20.03496</v>
      </c>
      <c r="N488" t="n">
        <v>6.010403</v>
      </c>
      <c r="O488" t="n">
        <v>2.091114</v>
      </c>
      <c r="P488" t="n">
        <v>2.562158</v>
      </c>
      <c r="Q488" t="n">
        <v>8.067864</v>
      </c>
      <c r="R488" t="n">
        <v>3.782961</v>
      </c>
      <c r="S488" t="n">
        <v>63.33786</v>
      </c>
      <c r="T488" t="n">
        <v>7.366498</v>
      </c>
      <c r="U488" t="n">
        <v>2.363013</v>
      </c>
      <c r="V488" t="n">
        <v>21.00706</v>
      </c>
      <c r="W488" t="n">
        <v>17.61871</v>
      </c>
      <c r="X488" t="n">
        <v>15.62407</v>
      </c>
      <c r="Y488" t="n">
        <v>3.227612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27.86274</v>
      </c>
      <c r="AE488" t="n">
        <v>6.178376</v>
      </c>
    </row>
    <row r="489">
      <c r="A489" s="90" t="n">
        <v>33451</v>
      </c>
      <c r="B489" t="n">
        <v>12.8484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1.812272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20.04701</v>
      </c>
      <c r="N489" t="n">
        <v>6.135751</v>
      </c>
      <c r="O489" t="n">
        <v>2.120657</v>
      </c>
      <c r="P489" t="n">
        <v>2.593009</v>
      </c>
      <c r="Q489" t="n">
        <v>8.189533000000001</v>
      </c>
      <c r="R489" t="n">
        <v>3.84865</v>
      </c>
      <c r="S489" t="n">
        <v>63.32968</v>
      </c>
      <c r="T489" t="n">
        <v>7.50425</v>
      </c>
      <c r="U489" t="n">
        <v>2.419734</v>
      </c>
      <c r="V489" t="n">
        <v>21.12787</v>
      </c>
      <c r="W489" t="n">
        <v>17.4857</v>
      </c>
      <c r="X489" t="n">
        <v>15.69205</v>
      </c>
      <c r="Y489" t="n">
        <v>3.27119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27.85361</v>
      </c>
      <c r="AE489" t="n">
        <v>6.189117</v>
      </c>
    </row>
    <row r="490">
      <c r="A490" s="90" t="n">
        <v>33482</v>
      </c>
      <c r="B490" t="n">
        <v>12.90723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1.865261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20.08515</v>
      </c>
      <c r="N490" t="n">
        <v>6.266954</v>
      </c>
      <c r="O490" t="n">
        <v>2.114997</v>
      </c>
      <c r="P490" t="n">
        <v>2.631315</v>
      </c>
      <c r="Q490" t="n">
        <v>8.287991</v>
      </c>
      <c r="R490" t="n">
        <v>3.876185</v>
      </c>
      <c r="S490" t="n">
        <v>63.50146</v>
      </c>
      <c r="T490" t="n">
        <v>7.664619</v>
      </c>
      <c r="U490" t="n">
        <v>2.442573</v>
      </c>
      <c r="V490" t="n">
        <v>21.83629</v>
      </c>
      <c r="W490" t="n">
        <v>17.52026</v>
      </c>
      <c r="X490" t="n">
        <v>15.7842</v>
      </c>
      <c r="Y490" t="n">
        <v>3.333054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27.85278</v>
      </c>
      <c r="AE490" t="n">
        <v>6.246459</v>
      </c>
    </row>
    <row r="491">
      <c r="A491" s="90" t="n">
        <v>33512</v>
      </c>
      <c r="B491" t="n">
        <v>12.93245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1.966895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20.11444</v>
      </c>
      <c r="N491" t="n">
        <v>6.415782</v>
      </c>
      <c r="O491" t="n">
        <v>2.149671</v>
      </c>
      <c r="P491" t="n">
        <v>2.680513</v>
      </c>
      <c r="Q491" t="n">
        <v>8.353813000000001</v>
      </c>
      <c r="R491" t="n">
        <v>3.871718</v>
      </c>
      <c r="S491" t="n">
        <v>63.64052</v>
      </c>
      <c r="T491" t="n">
        <v>7.815595</v>
      </c>
      <c r="U491" t="n">
        <v>2.482954</v>
      </c>
      <c r="V491" t="n">
        <v>22.32757</v>
      </c>
      <c r="W491" t="n">
        <v>17.72756</v>
      </c>
      <c r="X491" t="n">
        <v>15.90273</v>
      </c>
      <c r="Y491" t="n">
        <v>3.400384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27.89595</v>
      </c>
      <c r="AE491" t="n">
        <v>6.298707</v>
      </c>
    </row>
    <row r="492">
      <c r="A492" s="90" t="n">
        <v>33543</v>
      </c>
      <c r="B492" t="n">
        <v>12.91003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2.067235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20.13518</v>
      </c>
      <c r="N492" t="n">
        <v>6.608004</v>
      </c>
      <c r="O492" t="n">
        <v>2.17834</v>
      </c>
      <c r="P492" t="n">
        <v>2.743272</v>
      </c>
      <c r="Q492" t="n">
        <v>8.412444000000001</v>
      </c>
      <c r="R492" t="n">
        <v>4.015462</v>
      </c>
      <c r="S492" t="n">
        <v>63.61598</v>
      </c>
      <c r="T492" t="n">
        <v>7.900486</v>
      </c>
      <c r="U492" t="n">
        <v>2.561093</v>
      </c>
      <c r="V492" t="n">
        <v>22.29456</v>
      </c>
      <c r="W492" t="n">
        <v>17.82046</v>
      </c>
      <c r="X492" t="n">
        <v>16.01386</v>
      </c>
      <c r="Y492" t="n">
        <v>3.454381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27.94078</v>
      </c>
      <c r="AE492" t="n">
        <v>6.347534</v>
      </c>
    </row>
    <row r="493">
      <c r="A493" s="90" t="n">
        <v>33573</v>
      </c>
      <c r="B493" t="n">
        <v>12.94085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2.150632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20.18356</v>
      </c>
      <c r="N493" t="n">
        <v>6.923152</v>
      </c>
      <c r="O493" t="n">
        <v>2.204942</v>
      </c>
      <c r="P493" t="n">
        <v>2.792468</v>
      </c>
      <c r="Q493" t="n">
        <v>8.500567</v>
      </c>
      <c r="R493" t="n">
        <v>4.47643</v>
      </c>
      <c r="S493" t="n">
        <v>63.61598</v>
      </c>
      <c r="T493" t="n">
        <v>8.036427</v>
      </c>
      <c r="U493" t="n">
        <v>2.593085</v>
      </c>
      <c r="V493" t="n">
        <v>22.62472</v>
      </c>
      <c r="W493" t="n">
        <v>17.90046</v>
      </c>
      <c r="X493" t="n">
        <v>16.11953</v>
      </c>
      <c r="Y493" t="n">
        <v>3.508612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27.99641</v>
      </c>
      <c r="AE493" t="n">
        <v>6.364502</v>
      </c>
    </row>
    <row r="494">
      <c r="A494" s="90" t="n">
        <v>33604</v>
      </c>
      <c r="B494" t="n">
        <v>12.98848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2.236672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20.29474</v>
      </c>
      <c r="N494" t="n">
        <v>7.224789</v>
      </c>
      <c r="O494" t="n">
        <v>2.239434</v>
      </c>
      <c r="P494" t="n">
        <v>2.831384</v>
      </c>
      <c r="Q494" t="n">
        <v>8.575295000000001</v>
      </c>
      <c r="R494" t="n">
        <v>4.982426</v>
      </c>
      <c r="S494" t="n">
        <v>63.62416</v>
      </c>
      <c r="T494" t="n">
        <v>8.243826</v>
      </c>
      <c r="U494" t="n">
        <v>2.599951</v>
      </c>
      <c r="V494" t="n">
        <v>22.76298</v>
      </c>
      <c r="W494" t="n">
        <v>18.21936</v>
      </c>
      <c r="X494" t="n">
        <v>16.23412</v>
      </c>
      <c r="Y494" t="n">
        <v>3.572979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28.07113</v>
      </c>
      <c r="AE494" t="n">
        <v>6.435836</v>
      </c>
    </row>
    <row r="495">
      <c r="A495" s="90" t="n">
        <v>33635</v>
      </c>
      <c r="B495" t="n">
        <v>13.0193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2.312159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20.41528</v>
      </c>
      <c r="N495" t="n">
        <v>7.372231</v>
      </c>
      <c r="O495" t="n">
        <v>2.263876</v>
      </c>
      <c r="P495" t="n">
        <v>2.877242</v>
      </c>
      <c r="Q495" t="n">
        <v>8.598919</v>
      </c>
      <c r="R495" t="n">
        <v>5.263614</v>
      </c>
      <c r="S495" t="n">
        <v>63.54236</v>
      </c>
      <c r="T495" t="n">
        <v>8.366861999999999</v>
      </c>
      <c r="U495" t="n">
        <v>2.635613</v>
      </c>
      <c r="V495" t="n">
        <v>22.86904</v>
      </c>
      <c r="W495" t="n">
        <v>18.5097</v>
      </c>
      <c r="X495" t="n">
        <v>16.34893</v>
      </c>
      <c r="Y495" t="n">
        <v>3.625692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28.22721</v>
      </c>
      <c r="AE495" t="n">
        <v>6.525487</v>
      </c>
    </row>
    <row r="496">
      <c r="A496" s="90" t="n">
        <v>33664</v>
      </c>
      <c r="B496" t="n">
        <v>13.00809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2.391189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20.49104</v>
      </c>
      <c r="N496" t="n">
        <v>7.508776</v>
      </c>
      <c r="O496" t="n">
        <v>2.305664</v>
      </c>
      <c r="P496" t="n">
        <v>2.916583</v>
      </c>
      <c r="Q496" t="n">
        <v>8.602059000000001</v>
      </c>
      <c r="R496" t="n">
        <v>5.393078</v>
      </c>
      <c r="S496" t="n">
        <v>63.7305</v>
      </c>
      <c r="T496" t="n">
        <v>8.475436</v>
      </c>
      <c r="U496" t="n">
        <v>2.670815</v>
      </c>
      <c r="V496" t="n">
        <v>22.80292</v>
      </c>
      <c r="W496" t="n">
        <v>18.82857</v>
      </c>
      <c r="X496" t="n">
        <v>16.44205</v>
      </c>
      <c r="Y496" t="n">
        <v>3.678507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28.25958</v>
      </c>
      <c r="AE496" t="n">
        <v>6.527075</v>
      </c>
    </row>
    <row r="497">
      <c r="A497" s="90" t="n">
        <v>33695</v>
      </c>
      <c r="B497" t="n">
        <v>13.03051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2.478042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20.53953</v>
      </c>
      <c r="N497" t="n">
        <v>7.758096</v>
      </c>
      <c r="O497" t="n">
        <v>2.370161</v>
      </c>
      <c r="P497" t="n">
        <v>2.947616</v>
      </c>
      <c r="Q497" t="n">
        <v>8.637072</v>
      </c>
      <c r="R497" t="n">
        <v>5.50618</v>
      </c>
      <c r="S497" t="n">
        <v>63.61598</v>
      </c>
      <c r="T497" t="n">
        <v>8.625351999999999</v>
      </c>
      <c r="U497" t="n">
        <v>2.701557</v>
      </c>
      <c r="V497" t="n">
        <v>22.74905</v>
      </c>
      <c r="W497" t="n">
        <v>18.95553</v>
      </c>
      <c r="X497" t="n">
        <v>16.49728</v>
      </c>
      <c r="Y497" t="n">
        <v>3.730627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28.22472</v>
      </c>
      <c r="AE497" t="n">
        <v>6.571207</v>
      </c>
    </row>
    <row r="498">
      <c r="A498" s="90" t="n">
        <v>33725</v>
      </c>
      <c r="B498" t="n">
        <v>13.12016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2.542717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20.50252</v>
      </c>
      <c r="N498" t="n">
        <v>7.951921</v>
      </c>
      <c r="O498" t="n">
        <v>2.439597</v>
      </c>
      <c r="P498" t="n">
        <v>2.993605</v>
      </c>
      <c r="Q498" t="n">
        <v>8.687632000000001</v>
      </c>
      <c r="R498" t="n">
        <v>5.59589</v>
      </c>
      <c r="S498" t="n">
        <v>63.45238</v>
      </c>
      <c r="T498" t="n">
        <v>8.779113000000001</v>
      </c>
      <c r="U498" t="n">
        <v>2.745855</v>
      </c>
      <c r="V498" t="n">
        <v>23.04223</v>
      </c>
      <c r="W498" t="n">
        <v>18.83998</v>
      </c>
      <c r="X498" t="n">
        <v>16.56014</v>
      </c>
      <c r="Y498" t="n">
        <v>3.780325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28.21558</v>
      </c>
      <c r="AE498" t="n">
        <v>6.589915</v>
      </c>
    </row>
    <row r="499">
      <c r="A499" s="90" t="n">
        <v>33756</v>
      </c>
      <c r="B499" t="n">
        <v>13.15938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2.618661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20.50661</v>
      </c>
      <c r="N499" t="n">
        <v>8.118290999999999</v>
      </c>
      <c r="O499" t="n">
        <v>2.483678</v>
      </c>
      <c r="P499" t="n">
        <v>3.044239</v>
      </c>
      <c r="Q499" t="n">
        <v>8.666492</v>
      </c>
      <c r="R499" t="n">
        <v>5.671523</v>
      </c>
      <c r="S499" t="n">
        <v>63.526</v>
      </c>
      <c r="T499" t="n">
        <v>8.911339999999999</v>
      </c>
      <c r="U499" t="n">
        <v>2.775203</v>
      </c>
      <c r="V499" t="n">
        <v>23.17638</v>
      </c>
      <c r="W499" t="n">
        <v>18.70082</v>
      </c>
      <c r="X499" t="n">
        <v>16.62469</v>
      </c>
      <c r="Y499" t="n">
        <v>3.834173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28.17241</v>
      </c>
      <c r="AE499" t="n">
        <v>6.594224</v>
      </c>
    </row>
    <row r="500">
      <c r="A500" s="90" t="n">
        <v>33786</v>
      </c>
      <c r="B500" t="n">
        <v>13.21542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2.667939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20.58723</v>
      </c>
      <c r="N500" t="n">
        <v>8.324598</v>
      </c>
      <c r="O500" t="n">
        <v>2.503967</v>
      </c>
      <c r="P500" t="n">
        <v>3.087719</v>
      </c>
      <c r="Q500" t="n">
        <v>8.76732</v>
      </c>
      <c r="R500" t="n">
        <v>5.764955</v>
      </c>
      <c r="S500" t="n">
        <v>63.4033</v>
      </c>
      <c r="T500" t="n">
        <v>9.04256</v>
      </c>
      <c r="U500" t="n">
        <v>2.834255</v>
      </c>
      <c r="V500" t="n">
        <v>23.3115</v>
      </c>
      <c r="W500" t="n">
        <v>18.68005</v>
      </c>
      <c r="X500" t="n">
        <v>16.70391</v>
      </c>
      <c r="Y500" t="n">
        <v>3.889282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28.17656</v>
      </c>
      <c r="AE500" t="n">
        <v>6.692327</v>
      </c>
    </row>
    <row r="501">
      <c r="A501" s="90" t="n">
        <v>33817</v>
      </c>
      <c r="B501" t="n">
        <v>13.32468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2.673825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20.61325</v>
      </c>
      <c r="N501" t="n">
        <v>8.517288000000001</v>
      </c>
      <c r="O501" t="n">
        <v>2.5298</v>
      </c>
      <c r="P501" t="n">
        <v>3.125258</v>
      </c>
      <c r="Q501" t="n">
        <v>8.794103</v>
      </c>
      <c r="R501" t="n">
        <v>5.770147</v>
      </c>
      <c r="S501" t="n">
        <v>63.42784</v>
      </c>
      <c r="T501" t="n">
        <v>9.174828</v>
      </c>
      <c r="U501" t="n">
        <v>2.877285</v>
      </c>
      <c r="V501" t="n">
        <v>23.54208</v>
      </c>
      <c r="W501" t="n">
        <v>18.76402</v>
      </c>
      <c r="X501" t="n">
        <v>16.78869</v>
      </c>
      <c r="Y501" t="n">
        <v>3.945359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28.21725</v>
      </c>
      <c r="AE501" t="n">
        <v>6.749621</v>
      </c>
    </row>
    <row r="502">
      <c r="A502" s="90" t="n">
        <v>33848</v>
      </c>
      <c r="B502" t="n">
        <v>13.38071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2.722702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20.69834</v>
      </c>
      <c r="N502" t="n">
        <v>8.685371</v>
      </c>
      <c r="O502" t="n">
        <v>2.566596</v>
      </c>
      <c r="P502" t="n">
        <v>3.144758</v>
      </c>
      <c r="Q502" t="n">
        <v>8.722004</v>
      </c>
      <c r="R502" t="n">
        <v>5.981716</v>
      </c>
      <c r="S502" t="n">
        <v>63.3215</v>
      </c>
      <c r="T502" t="n">
        <v>9.31188</v>
      </c>
      <c r="U502" t="n">
        <v>2.899365</v>
      </c>
      <c r="V502" t="n">
        <v>23.65923</v>
      </c>
      <c r="W502" t="n">
        <v>18.82891</v>
      </c>
      <c r="X502" t="n">
        <v>16.87776</v>
      </c>
      <c r="Y502" t="n">
        <v>4.000279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28.31272</v>
      </c>
      <c r="AE502" t="n">
        <v>6.782862</v>
      </c>
    </row>
    <row r="503">
      <c r="A503" s="90" t="n">
        <v>33878</v>
      </c>
      <c r="B503" t="n">
        <v>13.37791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2.813915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20.91181</v>
      </c>
      <c r="N503" t="n">
        <v>8.804539</v>
      </c>
      <c r="O503" t="n">
        <v>2.618265</v>
      </c>
      <c r="P503" t="n">
        <v>3.181611</v>
      </c>
      <c r="Q503" t="n">
        <v>8.752135000000001</v>
      </c>
      <c r="R503" t="n">
        <v>6.129112</v>
      </c>
      <c r="S503" t="n">
        <v>63.37058</v>
      </c>
      <c r="T503" t="n">
        <v>9.493648</v>
      </c>
      <c r="U503" t="n">
        <v>2.960435</v>
      </c>
      <c r="V503" t="n">
        <v>23.7615</v>
      </c>
      <c r="W503" t="n">
        <v>18.91908</v>
      </c>
      <c r="X503" t="n">
        <v>16.99847</v>
      </c>
      <c r="Y503" t="n">
        <v>4.054163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28.4248</v>
      </c>
      <c r="AE503" t="n">
        <v>6.843244</v>
      </c>
    </row>
    <row r="504">
      <c r="A504" s="90" t="n">
        <v>33909</v>
      </c>
      <c r="B504" t="n">
        <v>13.41433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2.893694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21.0254</v>
      </c>
      <c r="N504" t="n">
        <v>8.926242</v>
      </c>
      <c r="O504" t="n">
        <v>2.674046</v>
      </c>
      <c r="P504" t="n">
        <v>3.22471</v>
      </c>
      <c r="Q504" t="n">
        <v>8.777243</v>
      </c>
      <c r="R504" t="n">
        <v>6.09692</v>
      </c>
      <c r="S504" t="n">
        <v>63.41148</v>
      </c>
      <c r="T504" t="n">
        <v>9.674473000000001</v>
      </c>
      <c r="U504" t="n">
        <v>3.021608</v>
      </c>
      <c r="V504" t="n">
        <v>23.90055</v>
      </c>
      <c r="W504" t="n">
        <v>19.08778</v>
      </c>
      <c r="X504" t="n">
        <v>17.09743</v>
      </c>
      <c r="Y504" t="n">
        <v>4.110576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28.44721</v>
      </c>
      <c r="AE504" t="n">
        <v>6.898299</v>
      </c>
    </row>
    <row r="505">
      <c r="A505" s="90" t="n">
        <v>33939</v>
      </c>
      <c r="B505" t="n">
        <v>13.47597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2.989665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20.98215</v>
      </c>
      <c r="N505" t="n">
        <v>9.020144</v>
      </c>
      <c r="O505" t="n">
        <v>2.690278</v>
      </c>
      <c r="P505" t="n">
        <v>3.246403</v>
      </c>
      <c r="Q505" t="n">
        <v>8.829141999999999</v>
      </c>
      <c r="R505" t="n">
        <v>6.216874</v>
      </c>
      <c r="S505" t="n">
        <v>63.54236</v>
      </c>
      <c r="T505" t="n">
        <v>9.841677000000001</v>
      </c>
      <c r="U505" t="n">
        <v>3.069907</v>
      </c>
      <c r="V505" t="n">
        <v>24.38677</v>
      </c>
      <c r="W505" t="n">
        <v>19.08506</v>
      </c>
      <c r="X505" t="n">
        <v>17.17907</v>
      </c>
      <c r="Y505" t="n">
        <v>4.161851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28.43227</v>
      </c>
      <c r="AE505" t="n">
        <v>6.895753</v>
      </c>
    </row>
    <row r="506">
      <c r="A506" s="90" t="n">
        <v>33970</v>
      </c>
      <c r="B506" t="n">
        <v>13.56002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3.070397</v>
      </c>
      <c r="I506" t="n">
        <v/>
      </c>
      <c r="J506" t="n">
        <v>16.91379</v>
      </c>
      <c r="K506" t="n">
        <v>25.64733</v>
      </c>
      <c r="L506" t="n">
        <v>32.21136</v>
      </c>
      <c r="M506" t="n">
        <v>20.95664</v>
      </c>
      <c r="N506" t="n">
        <v>9.139120999999999</v>
      </c>
      <c r="O506" t="n">
        <v>2.701066</v>
      </c>
      <c r="P506" t="n">
        <v>3.275181</v>
      </c>
      <c r="Q506" t="n">
        <v>8.854608000000001</v>
      </c>
      <c r="R506" t="n">
        <v>6.42297</v>
      </c>
      <c r="S506" t="n">
        <v>63.58326</v>
      </c>
      <c r="T506" t="n">
        <v>10.01238</v>
      </c>
      <c r="U506" t="n">
        <v>3.143966</v>
      </c>
      <c r="V506" t="n">
        <v>24.62577</v>
      </c>
      <c r="W506" t="n">
        <v>18.96963</v>
      </c>
      <c r="X506" t="n">
        <v>17.26387</v>
      </c>
      <c r="Y506" t="n">
        <v>4.217304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28.38578</v>
      </c>
      <c r="AE506" t="n">
        <v>6.865025</v>
      </c>
    </row>
    <row r="507">
      <c r="A507" s="90" t="n">
        <v>34001</v>
      </c>
      <c r="B507" t="n">
        <v>13.66088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3.140598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21.02749</v>
      </c>
      <c r="N507" t="n">
        <v>9.307586000000001</v>
      </c>
      <c r="O507" t="n">
        <v>2.753246</v>
      </c>
      <c r="P507" t="n">
        <v>3.306375</v>
      </c>
      <c r="Q507" t="n">
        <v>8.875814</v>
      </c>
      <c r="R507" t="n">
        <v>6.574753</v>
      </c>
      <c r="S507" t="n">
        <v>63.72232</v>
      </c>
      <c r="T507" t="n">
        <v>10.18918</v>
      </c>
      <c r="U507" t="n">
        <v>3.225786</v>
      </c>
      <c r="V507" t="n">
        <v>24.45052</v>
      </c>
      <c r="W507" t="n">
        <v>19.03575</v>
      </c>
      <c r="X507" t="n">
        <v>17.34548</v>
      </c>
      <c r="Y507" t="n">
        <v>4.26793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28.34759</v>
      </c>
      <c r="AE507" t="n">
        <v>6.868108</v>
      </c>
    </row>
    <row r="508">
      <c r="A508" s="90" t="n">
        <v>34029</v>
      </c>
      <c r="B508" t="n">
        <v>13.73372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3.226201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21.10281</v>
      </c>
      <c r="N508" t="n">
        <v>9.434601000000001</v>
      </c>
      <c r="O508" t="n">
        <v>2.818631</v>
      </c>
      <c r="P508" t="n">
        <v>3.342468</v>
      </c>
      <c r="Q508" t="n">
        <v>8.860041000000001</v>
      </c>
      <c r="R508" t="n">
        <v>6.686469</v>
      </c>
      <c r="S508" t="n">
        <v>63.61598</v>
      </c>
      <c r="T508" t="n">
        <v>10.35159</v>
      </c>
      <c r="U508" t="n">
        <v>3.283189</v>
      </c>
      <c r="V508" t="n">
        <v>24.39298</v>
      </c>
      <c r="W508" t="n">
        <v>19.03161</v>
      </c>
      <c r="X508" t="n">
        <v>17.40723</v>
      </c>
      <c r="Y508" t="n">
        <v>4.319959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28.32434</v>
      </c>
      <c r="AE508" t="n">
        <v>6.876754</v>
      </c>
    </row>
    <row r="509">
      <c r="A509" s="90" t="n">
        <v>34060</v>
      </c>
      <c r="B509" t="n">
        <v>13.77014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3.300754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21.1171</v>
      </c>
      <c r="N509" t="n">
        <v>9.563901</v>
      </c>
      <c r="O509" t="n">
        <v>2.844302</v>
      </c>
      <c r="P509" t="n">
        <v>3.411236</v>
      </c>
      <c r="Q509" t="n">
        <v>8.862294</v>
      </c>
      <c r="R509" t="n">
        <v>6.792988</v>
      </c>
      <c r="S509" t="n">
        <v>63.86956</v>
      </c>
      <c r="T509" t="n">
        <v>10.50361</v>
      </c>
      <c r="U509" t="n">
        <v>3.357902</v>
      </c>
      <c r="V509" t="n">
        <v>24.4296</v>
      </c>
      <c r="W509" t="n">
        <v>19.11148</v>
      </c>
      <c r="X509" t="n">
        <v>17.4894</v>
      </c>
      <c r="Y509" t="n">
        <v>4.362003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28.32102</v>
      </c>
      <c r="AE509" t="n">
        <v>6.868587</v>
      </c>
    </row>
    <row r="510">
      <c r="A510" s="90" t="n">
        <v>34090</v>
      </c>
      <c r="B510" t="n">
        <v>13.79816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3.395696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21.1317</v>
      </c>
      <c r="N510" t="n">
        <v>9.679970000000001</v>
      </c>
      <c r="O510" t="n">
        <v>2.843684</v>
      </c>
      <c r="P510" t="n">
        <v>3.466968</v>
      </c>
      <c r="Q510" t="n">
        <v>8.869861999999999</v>
      </c>
      <c r="R510" t="n">
        <v>6.843987</v>
      </c>
      <c r="S510" t="n">
        <v>64.1395</v>
      </c>
      <c r="T510" t="n">
        <v>10.64356</v>
      </c>
      <c r="U510" t="n">
        <v>3.436906</v>
      </c>
      <c r="V510" t="n">
        <v>24.53684</v>
      </c>
      <c r="W510" t="n">
        <v>19.34547</v>
      </c>
      <c r="X510" t="n">
        <v>17.64266</v>
      </c>
      <c r="Y510" t="n">
        <v>4.413082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28.53356</v>
      </c>
      <c r="AE510" t="n">
        <v>6.856938</v>
      </c>
    </row>
    <row r="511">
      <c r="A511" s="90" t="n">
        <v>34121</v>
      </c>
      <c r="B511" t="n">
        <v>13.91023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3.521673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21.20316</v>
      </c>
      <c r="N511" t="n">
        <v>9.747685000000001</v>
      </c>
      <c r="O511" t="n">
        <v>2.875759</v>
      </c>
      <c r="P511" t="n">
        <v>3.490485</v>
      </c>
      <c r="Q511" t="n">
        <v>8.937452</v>
      </c>
      <c r="R511" t="n">
        <v>6.921058</v>
      </c>
      <c r="S511" t="n">
        <v>64.27856</v>
      </c>
      <c r="T511" t="n">
        <v>10.79278</v>
      </c>
      <c r="U511" t="n">
        <v>3.520147</v>
      </c>
      <c r="V511" t="n">
        <v>24.64669</v>
      </c>
      <c r="W511" t="n">
        <v>19.53069</v>
      </c>
      <c r="X511" t="n">
        <v>17.74137</v>
      </c>
      <c r="Y511" t="n">
        <v>4.453121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28.57922</v>
      </c>
      <c r="AE511" t="n">
        <v>6.854609</v>
      </c>
    </row>
    <row r="512">
      <c r="A512" s="90" t="n">
        <v>34151</v>
      </c>
      <c r="B512" t="n">
        <v>14.02789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3.673384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21.34291</v>
      </c>
      <c r="N512" t="n">
        <v>9.881327000000001</v>
      </c>
      <c r="O512" t="n">
        <v>2.93056</v>
      </c>
      <c r="P512" t="n">
        <v>3.526952</v>
      </c>
      <c r="Q512" t="n">
        <v>9.141386000000001</v>
      </c>
      <c r="R512" t="n">
        <v>7.067329</v>
      </c>
      <c r="S512" t="n">
        <v>64.27039000000001</v>
      </c>
      <c r="T512" t="n">
        <v>10.97024</v>
      </c>
      <c r="U512" t="n">
        <v>3.598607</v>
      </c>
      <c r="V512" t="n">
        <v>24.7487</v>
      </c>
      <c r="W512" t="n">
        <v>19.99483</v>
      </c>
      <c r="X512" t="n">
        <v>17.82579</v>
      </c>
      <c r="Y512" t="n">
        <v>4.497339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28.5759</v>
      </c>
      <c r="AE512" t="n">
        <v>6.868515</v>
      </c>
    </row>
    <row r="513">
      <c r="A513" s="90" t="n">
        <v>34182</v>
      </c>
      <c r="B513" t="n">
        <v>14.0363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3.809706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21.45733</v>
      </c>
      <c r="N513" t="n">
        <v>9.994789000000001</v>
      </c>
      <c r="O513" t="n">
        <v>3.009543</v>
      </c>
      <c r="P513" t="n">
        <v>3.577121</v>
      </c>
      <c r="Q513" t="n">
        <v>9.220406000000001</v>
      </c>
      <c r="R513" t="n">
        <v>7.219908</v>
      </c>
      <c r="S513" t="n">
        <v>64.40945000000001</v>
      </c>
      <c r="T513" t="n">
        <v>11.15917</v>
      </c>
      <c r="U513" t="n">
        <v>3.652821</v>
      </c>
      <c r="V513" t="n">
        <v>24.80101</v>
      </c>
      <c r="W513" t="n">
        <v>20.28486</v>
      </c>
      <c r="X513" t="n">
        <v>17.92823</v>
      </c>
      <c r="Y513" t="n">
        <v>4.565297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28.60661</v>
      </c>
      <c r="AE513" t="n">
        <v>6.964565</v>
      </c>
    </row>
    <row r="514">
      <c r="A514" s="90" t="n">
        <v>34213</v>
      </c>
      <c r="B514" t="n">
        <v>14.07272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3.90695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21.50611</v>
      </c>
      <c r="N514" t="n">
        <v>10.09269</v>
      </c>
      <c r="O514" t="n">
        <v>3.087968</v>
      </c>
      <c r="P514" t="n">
        <v>3.615468</v>
      </c>
      <c r="Q514" t="n">
        <v>9.144838</v>
      </c>
      <c r="R514" t="n">
        <v>7.366661</v>
      </c>
      <c r="S514" t="n">
        <v>64.40945000000001</v>
      </c>
      <c r="T514" t="n">
        <v>11.37181</v>
      </c>
      <c r="U514" t="n">
        <v>3.714485</v>
      </c>
      <c r="V514" t="n">
        <v>24.7827</v>
      </c>
      <c r="W514" t="n">
        <v>20.16297</v>
      </c>
      <c r="X514" t="n">
        <v>18.02644</v>
      </c>
      <c r="Y514" t="n">
        <v>4.62285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28.66058</v>
      </c>
      <c r="AE514" t="n">
        <v>7.072468</v>
      </c>
    </row>
    <row r="515">
      <c r="A515" s="90" t="n">
        <v>34243</v>
      </c>
      <c r="B515" t="n">
        <v>14.16518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4.022388</v>
      </c>
      <c r="I515" t="n">
        <v/>
      </c>
      <c r="J515" t="n">
        <v>18.54488</v>
      </c>
      <c r="K515" t="n">
        <v>28.64165</v>
      </c>
      <c r="L515" t="n">
        <v>33.02143</v>
      </c>
      <c r="M515" t="n">
        <v>21.60711</v>
      </c>
      <c r="N515" t="n">
        <v>10.19196</v>
      </c>
      <c r="O515" t="n">
        <v>3.138422</v>
      </c>
      <c r="P515" t="n">
        <v>3.646096</v>
      </c>
      <c r="Q515" t="n">
        <v>9.119567</v>
      </c>
      <c r="R515" t="n">
        <v>7.567389</v>
      </c>
      <c r="S515" t="n">
        <v>64.52396</v>
      </c>
      <c r="T515" t="n">
        <v>11.49145</v>
      </c>
      <c r="U515" t="n">
        <v>3.769654</v>
      </c>
      <c r="V515" t="n">
        <v>24.72516</v>
      </c>
      <c r="W515" t="n">
        <v>20.18353</v>
      </c>
      <c r="X515" t="n">
        <v>18.13154</v>
      </c>
      <c r="Y515" t="n">
        <v>4.691842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28.69794</v>
      </c>
      <c r="AE515" t="n">
        <v>7.151015</v>
      </c>
    </row>
    <row r="516">
      <c r="A516" s="90" t="n">
        <v>34274</v>
      </c>
      <c r="B516" t="n">
        <v>14.23242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4.176896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21.77121</v>
      </c>
      <c r="N516" t="n">
        <v>10.26215</v>
      </c>
      <c r="O516" t="n">
        <v>3.190482</v>
      </c>
      <c r="P516" t="n">
        <v>3.698002</v>
      </c>
      <c r="Q516" t="n">
        <v>9.179973</v>
      </c>
      <c r="R516" t="n">
        <v>7.867367</v>
      </c>
      <c r="S516" t="n">
        <v>64.46671000000001</v>
      </c>
      <c r="T516" t="n">
        <v>11.59835</v>
      </c>
      <c r="U516" t="n">
        <v>3.783435</v>
      </c>
      <c r="V516" t="n">
        <v>24.70162</v>
      </c>
      <c r="W516" t="n">
        <v>20.31519</v>
      </c>
      <c r="X516" t="n">
        <v>18.24383</v>
      </c>
      <c r="Y516" t="n">
        <v>4.777142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28.80919</v>
      </c>
      <c r="AE516" t="n">
        <v>7.262046</v>
      </c>
    </row>
    <row r="517">
      <c r="A517" s="90" t="n">
        <v>34304</v>
      </c>
      <c r="B517" t="n">
        <v>14.29405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4.319402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21.94093</v>
      </c>
      <c r="N517" t="n">
        <v>10.39155</v>
      </c>
      <c r="O517" t="n">
        <v>3.248032</v>
      </c>
      <c r="P517" t="n">
        <v>3.765539</v>
      </c>
      <c r="Q517" t="n">
        <v>9.312113999999999</v>
      </c>
      <c r="R517" t="n">
        <v>8.124453000000001</v>
      </c>
      <c r="S517" t="n">
        <v>64.54031999999999</v>
      </c>
      <c r="T517" t="n">
        <v>11.75858</v>
      </c>
      <c r="U517" t="n">
        <v>3.844779</v>
      </c>
      <c r="V517" t="n">
        <v>24.631</v>
      </c>
      <c r="W517" t="n">
        <v>20.45062</v>
      </c>
      <c r="X517" t="n">
        <v>18.35406</v>
      </c>
      <c r="Y517" t="n">
        <v>4.850875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28.84571</v>
      </c>
      <c r="AE517" t="n">
        <v>7.332573</v>
      </c>
    </row>
    <row r="518">
      <c r="A518" s="90" t="n">
        <v>34335</v>
      </c>
      <c r="B518" t="n">
        <v>14.40612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4.476153</v>
      </c>
      <c r="I518" t="n">
        <v/>
      </c>
      <c r="J518" t="n">
        <v>19.84448</v>
      </c>
      <c r="K518" t="n">
        <v>29.66182</v>
      </c>
      <c r="L518" t="n">
        <v>34.27484</v>
      </c>
      <c r="M518" t="n">
        <v>22.06298</v>
      </c>
      <c r="N518" t="n">
        <v>10.51918</v>
      </c>
      <c r="O518" t="n">
        <v>3.306293</v>
      </c>
      <c r="P518" t="n">
        <v>3.836406</v>
      </c>
      <c r="Q518" t="n">
        <v>9.396003</v>
      </c>
      <c r="R518" t="n">
        <v>8.250249999999999</v>
      </c>
      <c r="S518" t="n">
        <v>64.61395</v>
      </c>
      <c r="T518" t="n">
        <v>11.91754</v>
      </c>
      <c r="U518" t="n">
        <v>3.94185</v>
      </c>
      <c r="V518" t="n">
        <v>24.65977</v>
      </c>
      <c r="W518" t="n">
        <v>20.23956</v>
      </c>
      <c r="X518" t="n">
        <v>18.49461</v>
      </c>
      <c r="Y518" t="n">
        <v>4.964315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28.84904</v>
      </c>
      <c r="AE518" t="n">
        <v>7.422632</v>
      </c>
    </row>
    <row r="519">
      <c r="A519" s="90" t="n">
        <v>34366</v>
      </c>
      <c r="B519" t="n">
        <v>14.52379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4.628301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22.18217</v>
      </c>
      <c r="N519" t="n">
        <v>10.61088</v>
      </c>
      <c r="O519" t="n">
        <v>3.404782</v>
      </c>
      <c r="P519" t="n">
        <v>3.905887</v>
      </c>
      <c r="Q519" t="n">
        <v>9.383606</v>
      </c>
      <c r="R519" t="n">
        <v>8.441926</v>
      </c>
      <c r="S519" t="n">
        <v>64.70393</v>
      </c>
      <c r="T519" t="n">
        <v>12.14842</v>
      </c>
      <c r="U519" t="n">
        <v>4.043735</v>
      </c>
      <c r="V519" t="n">
        <v>24.69116</v>
      </c>
      <c r="W519" t="n">
        <v>20.24284</v>
      </c>
      <c r="X519" t="n">
        <v>18.62476</v>
      </c>
      <c r="Y519" t="n">
        <v>5.081391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28.85568</v>
      </c>
      <c r="AE519" t="n">
        <v>7.577426</v>
      </c>
    </row>
    <row r="520">
      <c r="A520" s="90" t="n">
        <v>34394</v>
      </c>
      <c r="B520" t="n">
        <v>14.64706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4.747704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22.32772</v>
      </c>
      <c r="N520" t="n">
        <v>10.72475</v>
      </c>
      <c r="O520" t="n">
        <v>3.459284</v>
      </c>
      <c r="P520" t="n">
        <v>3.960797</v>
      </c>
      <c r="Q520" t="n">
        <v>9.502678</v>
      </c>
      <c r="R520" t="n">
        <v>8.844563000000001</v>
      </c>
      <c r="S520" t="n">
        <v>64.86752</v>
      </c>
      <c r="T520" t="n">
        <v>12.4085</v>
      </c>
      <c r="U520" t="n">
        <v>4.123775</v>
      </c>
      <c r="V520" t="n">
        <v>24.95533</v>
      </c>
      <c r="W520" t="n">
        <v>20.84425</v>
      </c>
      <c r="X520" t="n">
        <v>18.75104</v>
      </c>
      <c r="Y520" t="n">
        <v>5.171577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28.89221</v>
      </c>
      <c r="AE520" t="n">
        <v>7.674795</v>
      </c>
    </row>
    <row r="521">
      <c r="A521" s="90" t="n">
        <v>34425</v>
      </c>
      <c r="B521" t="n">
        <v>14.78714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4.888045</v>
      </c>
      <c r="I521" t="n">
        <v/>
      </c>
      <c r="J521" t="n">
        <v>20.80084</v>
      </c>
      <c r="K521" t="n">
        <v>29.78154</v>
      </c>
      <c r="L521" t="n">
        <v>34.26827</v>
      </c>
      <c r="M521" t="n">
        <v>22.3653</v>
      </c>
      <c r="N521" t="n">
        <v>10.89163</v>
      </c>
      <c r="O521" t="n">
        <v>3.476745</v>
      </c>
      <c r="P521" t="n">
        <v>4.026421</v>
      </c>
      <c r="Q521" t="n">
        <v>9.546569999999999</v>
      </c>
      <c r="R521" t="n">
        <v>9.040813</v>
      </c>
      <c r="S521" t="n">
        <v>65.17019000000001</v>
      </c>
      <c r="T521" t="n">
        <v>12.63951</v>
      </c>
      <c r="U521" t="n">
        <v>4.072993</v>
      </c>
      <c r="V521" t="n">
        <v>25.19858</v>
      </c>
      <c r="W521" t="n">
        <v>21.06191</v>
      </c>
      <c r="X521" t="n">
        <v>18.89583</v>
      </c>
      <c r="Y521" t="n">
        <v>5.351683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28.90217</v>
      </c>
      <c r="AE521" t="n">
        <v>7.74404</v>
      </c>
    </row>
    <row r="522">
      <c r="A522" s="90" t="n">
        <v>34455</v>
      </c>
      <c r="B522" t="n">
        <v>14.89921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5.068696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22.43832</v>
      </c>
      <c r="N522" t="n">
        <v>11.04291</v>
      </c>
      <c r="O522" t="n">
        <v>3.518213</v>
      </c>
      <c r="P522" t="n">
        <v>4.093244</v>
      </c>
      <c r="Q522" t="n">
        <v>9.437055000000001</v>
      </c>
      <c r="R522" t="n">
        <v>9.074785</v>
      </c>
      <c r="S522" t="n">
        <v>65.22745</v>
      </c>
      <c r="T522" t="n">
        <v>12.89973</v>
      </c>
      <c r="U522" t="n">
        <v>4.054078</v>
      </c>
      <c r="V522" t="n">
        <v>25.24043</v>
      </c>
      <c r="W522" t="n">
        <v>21.03008</v>
      </c>
      <c r="X522" t="n">
        <v>19.0705</v>
      </c>
      <c r="Y522" t="n">
        <v>5.562459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28.98104</v>
      </c>
      <c r="AE522" t="n">
        <v>7.865991</v>
      </c>
    </row>
    <row r="523">
      <c r="A523" s="90" t="n">
        <v>34486</v>
      </c>
      <c r="B523" t="n">
        <v>14.98046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5.215224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22.52295</v>
      </c>
      <c r="N523" t="n">
        <v>11.18497</v>
      </c>
      <c r="O523" t="n">
        <v>3.540255</v>
      </c>
      <c r="P523" t="n">
        <v>4.142064</v>
      </c>
      <c r="Q523" t="n">
        <v>9.433172000000001</v>
      </c>
      <c r="R523" t="n">
        <v>9.297202</v>
      </c>
      <c r="S523" t="n">
        <v>65.26835</v>
      </c>
      <c r="T523" t="n">
        <v>13.19137</v>
      </c>
      <c r="U523" t="n">
        <v>4.137399</v>
      </c>
      <c r="V523" t="n">
        <v>25.4863</v>
      </c>
      <c r="W523" t="n">
        <v>21.17017</v>
      </c>
      <c r="X523" t="n">
        <v>19.20253</v>
      </c>
      <c r="Y523" t="n">
        <v>5.732695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28.88723</v>
      </c>
      <c r="AE523" t="n">
        <v>7.90074</v>
      </c>
    </row>
    <row r="524">
      <c r="A524" s="90" t="n">
        <v>34516</v>
      </c>
      <c r="B524" t="n">
        <v>15.0421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5.348234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22.52924</v>
      </c>
      <c r="N524" t="n">
        <v>11.27491</v>
      </c>
      <c r="O524" t="n">
        <v>3.572779</v>
      </c>
      <c r="P524" t="n">
        <v>4.208702</v>
      </c>
      <c r="Q524" t="n">
        <v>9.449413</v>
      </c>
      <c r="R524" t="n">
        <v>9.503928</v>
      </c>
      <c r="S524" t="n">
        <v>65.59555</v>
      </c>
      <c r="T524" t="n">
        <v>13.45387</v>
      </c>
      <c r="U524" t="n">
        <v>4.22351</v>
      </c>
      <c r="V524" t="n">
        <v>25.60138</v>
      </c>
      <c r="W524" t="n">
        <v>21.27758</v>
      </c>
      <c r="X524" t="n">
        <v>19.40804</v>
      </c>
      <c r="Y524" t="n">
        <v>5.920468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28.95945</v>
      </c>
      <c r="AE524" t="n">
        <v>7.940683</v>
      </c>
    </row>
    <row r="525">
      <c r="A525" s="90" t="n">
        <v>34547</v>
      </c>
      <c r="B525" t="n">
        <v>15.14295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5.514242</v>
      </c>
      <c r="I525" t="n">
        <v/>
      </c>
      <c r="J525" t="n">
        <v>22.00949</v>
      </c>
      <c r="K525" t="n">
        <v>29.14133</v>
      </c>
      <c r="L525" t="n">
        <v>34.32075</v>
      </c>
      <c r="M525" t="n">
        <v>22.58631</v>
      </c>
      <c r="N525" t="n">
        <v>11.39017</v>
      </c>
      <c r="O525" t="n">
        <v>3.630134</v>
      </c>
      <c r="P525" t="n">
        <v>4.264457</v>
      </c>
      <c r="Q525" t="n">
        <v>9.451738000000001</v>
      </c>
      <c r="R525" t="n">
        <v>9.72242</v>
      </c>
      <c r="S525" t="n">
        <v>65.71007</v>
      </c>
      <c r="T525" t="n">
        <v>13.66969</v>
      </c>
      <c r="U525" t="n">
        <v>4.327377</v>
      </c>
      <c r="V525" t="n">
        <v>25.60661</v>
      </c>
      <c r="W525" t="n">
        <v>21.37614</v>
      </c>
      <c r="X525" t="n">
        <v>19.54525</v>
      </c>
      <c r="Y525" t="n">
        <v>6.047505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28.9387</v>
      </c>
      <c r="AE525" t="n">
        <v>8.064133999999999</v>
      </c>
    </row>
    <row r="526">
      <c r="A526" s="90" t="n">
        <v>34578</v>
      </c>
      <c r="B526" t="n">
        <v>15.19899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5.684278</v>
      </c>
      <c r="I526" t="n">
        <v/>
      </c>
      <c r="J526" t="n">
        <v>22.16497</v>
      </c>
      <c r="K526" t="n">
        <v>28.79664</v>
      </c>
      <c r="L526" t="n">
        <v>34.19672</v>
      </c>
      <c r="M526" t="n">
        <v>22.701</v>
      </c>
      <c r="N526" t="n">
        <v>11.5368</v>
      </c>
      <c r="O526" t="n">
        <v>3.699441</v>
      </c>
      <c r="P526" t="n">
        <v>4.337437</v>
      </c>
      <c r="Q526" t="n">
        <v>9.486117</v>
      </c>
      <c r="R526" t="n">
        <v>9.904237999999999</v>
      </c>
      <c r="S526" t="n">
        <v>65.98000999999999</v>
      </c>
      <c r="T526" t="n">
        <v>13.88356</v>
      </c>
      <c r="U526" t="n">
        <v>4.437713</v>
      </c>
      <c r="V526" t="n">
        <v>25.75047</v>
      </c>
      <c r="W526" t="n">
        <v>21.47886</v>
      </c>
      <c r="X526" t="n">
        <v>19.69044</v>
      </c>
      <c r="Y526" t="n">
        <v>6.166414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28.94202</v>
      </c>
      <c r="AE526" t="n">
        <v>8.107493</v>
      </c>
    </row>
    <row r="527">
      <c r="A527" s="90" t="n">
        <v>34608</v>
      </c>
      <c r="B527" t="n">
        <v>15.29705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5.849613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22.771</v>
      </c>
      <c r="N527" t="n">
        <v>11.66629</v>
      </c>
      <c r="O527" t="n">
        <v>3.757281</v>
      </c>
      <c r="P527" t="n">
        <v>4.435031</v>
      </c>
      <c r="Q527" t="n">
        <v>9.530014</v>
      </c>
      <c r="R527" t="n">
        <v>10.01556</v>
      </c>
      <c r="S527" t="n">
        <v>66.10271</v>
      </c>
      <c r="T527" t="n">
        <v>14.13598</v>
      </c>
      <c r="U527" t="n">
        <v>4.515057</v>
      </c>
      <c r="V527" t="n">
        <v>25.78447</v>
      </c>
      <c r="W527" t="n">
        <v>21.58343</v>
      </c>
      <c r="X527" t="n">
        <v>19.82471</v>
      </c>
      <c r="Y527" t="n">
        <v>6.303372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28.92708</v>
      </c>
      <c r="AE527" t="n">
        <v>8.18741</v>
      </c>
    </row>
    <row r="528">
      <c r="A528" s="90" t="n">
        <v>34639</v>
      </c>
      <c r="B528" t="n">
        <v>15.49036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6.007698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22.87215</v>
      </c>
      <c r="N528" t="n">
        <v>11.8683</v>
      </c>
      <c r="O528" t="n">
        <v>3.814572</v>
      </c>
      <c r="P528" t="n">
        <v>4.49903</v>
      </c>
      <c r="Q528" t="n">
        <v>9.559862000000001</v>
      </c>
      <c r="R528" t="n">
        <v>10.15151</v>
      </c>
      <c r="S528" t="n">
        <v>66.19269</v>
      </c>
      <c r="T528" t="n">
        <v>14.35733</v>
      </c>
      <c r="U528" t="n">
        <v>4.539572</v>
      </c>
      <c r="V528" t="n">
        <v>25.81063</v>
      </c>
      <c r="W528" t="n">
        <v>21.71699</v>
      </c>
      <c r="X528" t="n">
        <v>19.94774</v>
      </c>
      <c r="Y528" t="n">
        <v>6.426597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28.95115</v>
      </c>
      <c r="AE528" t="n">
        <v>8.335099</v>
      </c>
    </row>
    <row r="529">
      <c r="A529" s="90" t="n">
        <v>34669</v>
      </c>
      <c r="B529" t="n">
        <v>15.65286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6.173738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23.01182</v>
      </c>
      <c r="N529" t="n">
        <v>11.90049</v>
      </c>
      <c r="O529" t="n">
        <v>3.893908</v>
      </c>
      <c r="P529" t="n">
        <v>4.548928</v>
      </c>
      <c r="Q529" t="n">
        <v>9.590674999999999</v>
      </c>
      <c r="R529" t="n">
        <v>10.22186</v>
      </c>
      <c r="S529" t="n">
        <v>66.38083</v>
      </c>
      <c r="T529" t="n">
        <v>14.59662</v>
      </c>
      <c r="U529" t="n">
        <v>4.643118</v>
      </c>
      <c r="V529" t="n">
        <v>25.85771</v>
      </c>
      <c r="W529" t="n">
        <v>22.03489</v>
      </c>
      <c r="X529" t="n">
        <v>20.07555</v>
      </c>
      <c r="Y529" t="n">
        <v>6.527067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28.94451</v>
      </c>
      <c r="AE529" t="n">
        <v>8.446875</v>
      </c>
    </row>
    <row r="530">
      <c r="A530" s="90" t="n">
        <v>34700</v>
      </c>
      <c r="B530" t="n">
        <v>15.7201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6.332554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23.10786</v>
      </c>
      <c r="N530" t="n">
        <v>11.92522</v>
      </c>
      <c r="O530" t="n">
        <v>3.986418</v>
      </c>
      <c r="P530" t="n">
        <v>4.585485</v>
      </c>
      <c r="Q530" t="n">
        <v>9.585978000000001</v>
      </c>
      <c r="R530" t="n">
        <v>10.23498</v>
      </c>
      <c r="S530" t="n">
        <v>66.57715</v>
      </c>
      <c r="T530" t="n">
        <v>14.89996</v>
      </c>
      <c r="U530" t="n">
        <v>4.750486</v>
      </c>
      <c r="V530" t="n">
        <v>25.77662</v>
      </c>
      <c r="W530" t="n">
        <v>22.39903</v>
      </c>
      <c r="X530" t="n">
        <v>20.24075</v>
      </c>
      <c r="Y530" t="n">
        <v>6.661559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28.99432</v>
      </c>
      <c r="AE530" t="n">
        <v>8.474339000000001</v>
      </c>
    </row>
    <row r="531">
      <c r="A531" s="90" t="n">
        <v>34731</v>
      </c>
      <c r="B531" t="n">
        <v>15.75091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6.478167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23.25363</v>
      </c>
      <c r="N531" t="n">
        <v>12.09276</v>
      </c>
      <c r="O531" t="n">
        <v>4.085904</v>
      </c>
      <c r="P531" t="n">
        <v>4.628234</v>
      </c>
      <c r="Q531" t="n">
        <v>9.587081</v>
      </c>
      <c r="R531" t="n">
        <v>10.35775</v>
      </c>
      <c r="S531" t="n">
        <v>66.87981000000001</v>
      </c>
      <c r="T531" t="n">
        <v>15.02008</v>
      </c>
      <c r="U531" t="n">
        <v>4.76458</v>
      </c>
      <c r="V531" t="n">
        <v>25.8891</v>
      </c>
      <c r="W531" t="n">
        <v>22.74401</v>
      </c>
      <c r="X531" t="n">
        <v>20.33866</v>
      </c>
      <c r="Y531" t="n">
        <v>6.782956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28.97357</v>
      </c>
      <c r="AE531" t="n">
        <v>8.466618</v>
      </c>
    </row>
    <row r="532">
      <c r="A532" s="90" t="n">
        <v>34759</v>
      </c>
      <c r="B532" t="n">
        <v>15.87979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6.668707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23.53143</v>
      </c>
      <c r="N532" t="n">
        <v>12.26575</v>
      </c>
      <c r="O532" t="n">
        <v>4.17741</v>
      </c>
      <c r="P532" t="n">
        <v>4.764046</v>
      </c>
      <c r="Q532" t="n">
        <v>9.615411</v>
      </c>
      <c r="R532" t="n">
        <v>10.56682</v>
      </c>
      <c r="S532" t="n">
        <v>67.02705</v>
      </c>
      <c r="T532" t="n">
        <v>15.09925</v>
      </c>
      <c r="U532" t="n">
        <v>4.850297</v>
      </c>
      <c r="V532" t="n">
        <v>26.07742</v>
      </c>
      <c r="W532" t="n">
        <v>22.99413</v>
      </c>
      <c r="X532" t="n">
        <v>20.47999</v>
      </c>
      <c r="Y532" t="n">
        <v>6.931834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28.98353</v>
      </c>
      <c r="AE532" t="n">
        <v>8.575653000000001</v>
      </c>
    </row>
    <row r="533">
      <c r="A533" s="90" t="n">
        <v>34790</v>
      </c>
      <c r="B533" t="n">
        <v>16.01147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6.867689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23.72351</v>
      </c>
      <c r="N533" t="n">
        <v>12.41137</v>
      </c>
      <c r="O533" t="n">
        <v>4.238122</v>
      </c>
      <c r="P533" t="n">
        <v>4.822098</v>
      </c>
      <c r="Q533" t="n">
        <v>9.597218</v>
      </c>
      <c r="R533" t="n">
        <v>10.75701</v>
      </c>
      <c r="S533" t="n">
        <v>67.10885</v>
      </c>
      <c r="T533" t="n">
        <v>15.32482</v>
      </c>
      <c r="U533" t="n">
        <v>4.895271</v>
      </c>
      <c r="V533" t="n">
        <v>26.28928</v>
      </c>
      <c r="W533" t="n">
        <v>23.11274</v>
      </c>
      <c r="X533" t="n">
        <v>20.62518</v>
      </c>
      <c r="Y533" t="n">
        <v>7.070233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29.05078</v>
      </c>
      <c r="AE533" t="n">
        <v>8.777251</v>
      </c>
    </row>
    <row r="534">
      <c r="A534" s="90" t="n">
        <v>34820</v>
      </c>
      <c r="B534" t="n">
        <v>16.09832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7.038503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23.82278</v>
      </c>
      <c r="N534" t="n">
        <v>12.52533</v>
      </c>
      <c r="O534" t="n">
        <v>4.291777</v>
      </c>
      <c r="P534" t="n">
        <v>4.806061</v>
      </c>
      <c r="Q534" t="n">
        <v>9.601129999999999</v>
      </c>
      <c r="R534" t="n">
        <v>11.00673</v>
      </c>
      <c r="S534" t="n">
        <v>67.20701</v>
      </c>
      <c r="T534" t="n">
        <v>15.54126</v>
      </c>
      <c r="U534" t="n">
        <v>4.910354</v>
      </c>
      <c r="V534" t="n">
        <v>26.50376</v>
      </c>
      <c r="W534" t="n">
        <v>23.23631</v>
      </c>
      <c r="X534" t="n">
        <v>20.7978</v>
      </c>
      <c r="Y534" t="n">
        <v>7.193333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29.25833</v>
      </c>
      <c r="AE534" t="n">
        <v>9.033828</v>
      </c>
    </row>
    <row r="535">
      <c r="A535" s="90" t="n">
        <v>34851</v>
      </c>
      <c r="B535" t="n">
        <v>16.14595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7.205764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23.99684</v>
      </c>
      <c r="N535" t="n">
        <v>12.70832</v>
      </c>
      <c r="O535" t="n">
        <v>4.383917</v>
      </c>
      <c r="P535" t="n">
        <v>4.858943</v>
      </c>
      <c r="Q535" t="n">
        <v>9.658422</v>
      </c>
      <c r="R535" t="n">
        <v>11.25083</v>
      </c>
      <c r="S535" t="n">
        <v>67.32153</v>
      </c>
      <c r="T535" t="n">
        <v>15.76464</v>
      </c>
      <c r="U535" t="n">
        <v>4.988491</v>
      </c>
      <c r="V535" t="n">
        <v>26.59792</v>
      </c>
      <c r="W535" t="n">
        <v>23.37521</v>
      </c>
      <c r="X535" t="n">
        <v>20.98658</v>
      </c>
      <c r="Y535" t="n">
        <v>7.317745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29.46339</v>
      </c>
      <c r="AE535" t="n">
        <v>9.194853</v>
      </c>
    </row>
    <row r="536">
      <c r="A536" s="90" t="n">
        <v>34881</v>
      </c>
      <c r="B536" t="n">
        <v>16.20758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7.330545</v>
      </c>
      <c r="I536" t="n">
        <v/>
      </c>
      <c r="J536" t="n">
        <v>25.56504</v>
      </c>
      <c r="K536" t="n">
        <v>28.76387</v>
      </c>
      <c r="L536" t="n">
        <v>35.41511</v>
      </c>
      <c r="M536" t="n">
        <v>24.23412</v>
      </c>
      <c r="N536" t="n">
        <v>12.91941</v>
      </c>
      <c r="O536" t="n">
        <v>4.495667</v>
      </c>
      <c r="P536" t="n">
        <v>4.904411</v>
      </c>
      <c r="Q536" t="n">
        <v>9.660066</v>
      </c>
      <c r="R536" t="n">
        <v>11.41749</v>
      </c>
      <c r="S536" t="n">
        <v>67.37879</v>
      </c>
      <c r="T536" t="n">
        <v>16.00284</v>
      </c>
      <c r="U536" t="n">
        <v>5.032389</v>
      </c>
      <c r="V536" t="n">
        <v>26.66854</v>
      </c>
      <c r="W536" t="n">
        <v>23.45288</v>
      </c>
      <c r="X536" t="n">
        <v>21.15625</v>
      </c>
      <c r="Y536" t="n">
        <v>7.462962</v>
      </c>
      <c r="Z536" t="n">
        <v>8.576559</v>
      </c>
      <c r="AA536" t="n">
        <v>0.4704401</v>
      </c>
      <c r="AB536" t="n">
        <v>26.57784</v>
      </c>
      <c r="AC536" t="n">
        <v>0.1642164</v>
      </c>
      <c r="AD536" t="n">
        <v>29.61698</v>
      </c>
      <c r="AE536" t="n">
        <v>9.256536000000001</v>
      </c>
    </row>
    <row r="537">
      <c r="A537" s="90" t="n">
        <v>34912</v>
      </c>
      <c r="B537" t="n">
        <v>16.33926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7.420647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24.52665</v>
      </c>
      <c r="N537" t="n">
        <v>13.09743</v>
      </c>
      <c r="O537" t="n">
        <v>4.601474</v>
      </c>
      <c r="P537" t="n">
        <v>4.962574</v>
      </c>
      <c r="Q537" t="n">
        <v>9.686919</v>
      </c>
      <c r="R537" t="n">
        <v>11.6151</v>
      </c>
      <c r="S537" t="n">
        <v>67.55875</v>
      </c>
      <c r="T537" t="n">
        <v>16.2443</v>
      </c>
      <c r="U537" t="n">
        <v>5.095764</v>
      </c>
      <c r="V537" t="n">
        <v>26.84379</v>
      </c>
      <c r="W537" t="n">
        <v>23.55938</v>
      </c>
      <c r="X537" t="n">
        <v>21.35528</v>
      </c>
      <c r="Y537" t="n">
        <v>7.625272</v>
      </c>
      <c r="Z537" t="n">
        <v>8.815132999999999</v>
      </c>
      <c r="AA537" t="n">
        <v>0.4819394</v>
      </c>
      <c r="AB537" t="n">
        <v>26.74956</v>
      </c>
      <c r="AC537" t="n">
        <v>0.1726184</v>
      </c>
      <c r="AD537" t="n">
        <v>29.79631</v>
      </c>
      <c r="AE537" t="n">
        <v>9.321443</v>
      </c>
    </row>
    <row r="538">
      <c r="A538" s="90" t="n">
        <v>34943</v>
      </c>
      <c r="B538" t="n">
        <v>16.50736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7.613428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24.73674</v>
      </c>
      <c r="N538" t="n">
        <v>13.34952</v>
      </c>
      <c r="O538" t="n">
        <v>4.694549</v>
      </c>
      <c r="P538" t="n">
        <v>5.037403</v>
      </c>
      <c r="Q538" t="n">
        <v>9.764265</v>
      </c>
      <c r="R538" t="n">
        <v>11.85596</v>
      </c>
      <c r="S538" t="n">
        <v>67.80415000000001</v>
      </c>
      <c r="T538" t="n">
        <v>16.48296</v>
      </c>
      <c r="U538" t="n">
        <v>5.186029</v>
      </c>
      <c r="V538" t="n">
        <v>26.87779</v>
      </c>
      <c r="W538" t="n">
        <v>23.86822</v>
      </c>
      <c r="X538" t="n">
        <v>21.53516</v>
      </c>
      <c r="Y538" t="n">
        <v>7.760347</v>
      </c>
      <c r="Z538" t="n">
        <v>9.037318000000001</v>
      </c>
      <c r="AA538" t="n">
        <v>0.5115801</v>
      </c>
      <c r="AB538" t="n">
        <v>26.98697</v>
      </c>
      <c r="AC538" t="n">
        <v>0.1798101</v>
      </c>
      <c r="AD538" t="n">
        <v>29.90507</v>
      </c>
      <c r="AE538" t="n">
        <v>9.364589</v>
      </c>
    </row>
    <row r="539">
      <c r="A539" s="90" t="n">
        <v>34973</v>
      </c>
      <c r="B539" t="n">
        <v>16.68387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7.88191</v>
      </c>
      <c r="I539" t="n">
        <v/>
      </c>
      <c r="J539" t="n">
        <v>27.51003</v>
      </c>
      <c r="K539" t="n">
        <v>28.95426</v>
      </c>
      <c r="L539" t="n">
        <v>35.65858</v>
      </c>
      <c r="M539" t="n">
        <v>24.93887</v>
      </c>
      <c r="N539" t="n">
        <v>13.59312</v>
      </c>
      <c r="O539" t="n">
        <v>4.788361</v>
      </c>
      <c r="P539" t="n">
        <v>5.1109</v>
      </c>
      <c r="Q539" t="n">
        <v>9.77097</v>
      </c>
      <c r="R539" t="n">
        <v>12.06148</v>
      </c>
      <c r="S539" t="n">
        <v>67.88594999999999</v>
      </c>
      <c r="T539" t="n">
        <v>16.75223</v>
      </c>
      <c r="U539" t="n">
        <v>5.294719</v>
      </c>
      <c r="V539" t="n">
        <v>27.34598</v>
      </c>
      <c r="W539" t="n">
        <v>24.20768</v>
      </c>
      <c r="X539" t="n">
        <v>21.70054</v>
      </c>
      <c r="Y539" t="n">
        <v>7.887931</v>
      </c>
      <c r="Z539" t="n">
        <v>9.24896</v>
      </c>
      <c r="AA539" t="n">
        <v>0.5339732</v>
      </c>
      <c r="AB539" t="n">
        <v>27.17811</v>
      </c>
      <c r="AC539" t="n">
        <v>0.1863189</v>
      </c>
      <c r="AD539" t="n">
        <v>29.99888</v>
      </c>
      <c r="AE539" t="n">
        <v>9.420667</v>
      </c>
    </row>
    <row r="540">
      <c r="A540" s="90" t="n">
        <v>35004</v>
      </c>
      <c r="B540" t="n">
        <v>16.83235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7.999505</v>
      </c>
      <c r="I540" t="n">
        <v/>
      </c>
      <c r="J540" t="n">
        <v>28.04542</v>
      </c>
      <c r="K540" t="n">
        <v>29.03315</v>
      </c>
      <c r="L540" t="n">
        <v>35.8789</v>
      </c>
      <c r="M540" t="n">
        <v>25.13888</v>
      </c>
      <c r="N540" t="n">
        <v>13.78572</v>
      </c>
      <c r="O540" t="n">
        <v>4.893164</v>
      </c>
      <c r="P540" t="n">
        <v>5.158834</v>
      </c>
      <c r="Q540" t="n">
        <v>9.727136</v>
      </c>
      <c r="R540" t="n">
        <v>12.26636</v>
      </c>
      <c r="S540" t="n">
        <v>68.31131000000001</v>
      </c>
      <c r="T540" t="n">
        <v>17.05175</v>
      </c>
      <c r="U540" t="n">
        <v>5.448874</v>
      </c>
      <c r="V540" t="n">
        <v>27.92402</v>
      </c>
      <c r="W540" t="n">
        <v>24.56487</v>
      </c>
      <c r="X540" t="n">
        <v>21.91495</v>
      </c>
      <c r="Y540" t="n">
        <v>8.069094</v>
      </c>
      <c r="Z540" t="n">
        <v>9.498862000000001</v>
      </c>
      <c r="AA540" t="n">
        <v>0.5498039</v>
      </c>
      <c r="AB540" t="n">
        <v>27.28294</v>
      </c>
      <c r="AC540" t="n">
        <v>0.1980051</v>
      </c>
      <c r="AD540" t="n">
        <v>30.05284</v>
      </c>
      <c r="AE540" t="n">
        <v>9.505252</v>
      </c>
    </row>
    <row r="541">
      <c r="A541" s="90" t="n">
        <v>35034</v>
      </c>
      <c r="B541" t="n">
        <v>17.02287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8.049106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25.62262</v>
      </c>
      <c r="N541" t="n">
        <v>14.04975</v>
      </c>
      <c r="O541" t="n">
        <v>4.987531</v>
      </c>
      <c r="P541" t="n">
        <v>5.206399</v>
      </c>
      <c r="Q541" t="n">
        <v>9.769175000000001</v>
      </c>
      <c r="R541" t="n">
        <v>12.43729</v>
      </c>
      <c r="S541" t="n">
        <v>68.48309</v>
      </c>
      <c r="T541" t="n">
        <v>17.37717</v>
      </c>
      <c r="U541" t="n">
        <v>5.59952</v>
      </c>
      <c r="V541" t="n">
        <v>28.11232</v>
      </c>
      <c r="W541" t="n">
        <v>24.83197</v>
      </c>
      <c r="X541" t="n">
        <v>22.1589</v>
      </c>
      <c r="Y541" t="n">
        <v>8.325545</v>
      </c>
      <c r="Z541" t="n">
        <v>9.720267</v>
      </c>
      <c r="AA541" t="n">
        <v>0.5677819</v>
      </c>
      <c r="AB541" t="n">
        <v>27.32328</v>
      </c>
      <c r="AC541" t="n">
        <v>0.2145036</v>
      </c>
      <c r="AD541" t="n">
        <v>30.13254</v>
      </c>
      <c r="AE541" t="n">
        <v>9.668532000000001</v>
      </c>
    </row>
    <row r="542">
      <c r="A542" s="90" t="n">
        <v>35065</v>
      </c>
      <c r="B542" t="n">
        <v>17.17416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8.16193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26.42816</v>
      </c>
      <c r="N542" t="n">
        <v>14.33189</v>
      </c>
      <c r="O542" t="n">
        <v>5.067066</v>
      </c>
      <c r="P542" t="n">
        <v>5.27354</v>
      </c>
      <c r="Q542" t="n">
        <v>9.899778</v>
      </c>
      <c r="R542" t="n">
        <v>12.65895</v>
      </c>
      <c r="S542" t="n">
        <v>68.61398</v>
      </c>
      <c r="T542" t="n">
        <v>17.62449</v>
      </c>
      <c r="U542" t="n">
        <v>5.742058</v>
      </c>
      <c r="V542" t="n">
        <v>28.48972</v>
      </c>
      <c r="W542" t="n">
        <v>24.92008</v>
      </c>
      <c r="X542" t="n">
        <v>22.44931</v>
      </c>
      <c r="Y542" t="n">
        <v>8.630782</v>
      </c>
      <c r="Z542" t="n">
        <v>9.970124</v>
      </c>
      <c r="AA542" t="n">
        <v>0.5897741</v>
      </c>
      <c r="AB542" t="n">
        <v>27.48259</v>
      </c>
      <c r="AC542" t="n">
        <v>0.2313573</v>
      </c>
      <c r="AD542" t="n">
        <v>30.2853</v>
      </c>
      <c r="AE542" t="n">
        <v>9.828851999999999</v>
      </c>
    </row>
    <row r="543">
      <c r="A543" s="90" t="n">
        <v>35096</v>
      </c>
      <c r="B543" t="n">
        <v>17.26381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8.321144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26.92262</v>
      </c>
      <c r="N543" t="n">
        <v>14.65198</v>
      </c>
      <c r="O543" t="n">
        <v>5.178958</v>
      </c>
      <c r="P543" t="n">
        <v>5.337564</v>
      </c>
      <c r="Q543" t="n">
        <v>9.973144</v>
      </c>
      <c r="R543" t="n">
        <v>12.96841</v>
      </c>
      <c r="S543" t="n">
        <v>68.73667</v>
      </c>
      <c r="T543" t="n">
        <v>17.78668</v>
      </c>
      <c r="U543" t="n">
        <v>5.871922</v>
      </c>
      <c r="V543" t="n">
        <v>29.01365</v>
      </c>
      <c r="W543" t="n">
        <v>25.05894</v>
      </c>
      <c r="X543" t="n">
        <v>22.65963</v>
      </c>
      <c r="Y543" t="n">
        <v>8.85331</v>
      </c>
      <c r="Z543" t="n">
        <v>10.26811</v>
      </c>
      <c r="AA543" t="n">
        <v>0.6153263</v>
      </c>
      <c r="AB543" t="n">
        <v>27.82173</v>
      </c>
      <c r="AC543" t="n">
        <v>0.2465764</v>
      </c>
      <c r="AD543" t="n">
        <v>30.4007</v>
      </c>
      <c r="AE543" t="n">
        <v>10.02118</v>
      </c>
    </row>
    <row r="544">
      <c r="A544" s="90" t="n">
        <v>35125</v>
      </c>
      <c r="B544" t="n">
        <v>17.37027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8.510602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27.12751</v>
      </c>
      <c r="N544" t="n">
        <v>14.93521</v>
      </c>
      <c r="O544" t="n">
        <v>5.332672</v>
      </c>
      <c r="P544" t="n">
        <v>5.44497</v>
      </c>
      <c r="Q544" t="n">
        <v>10.02459</v>
      </c>
      <c r="R544" t="n">
        <v>13.21596</v>
      </c>
      <c r="S544" t="n">
        <v>69.05569</v>
      </c>
      <c r="T544" t="n">
        <v>18.06224</v>
      </c>
      <c r="U544" t="n">
        <v>6.012116</v>
      </c>
      <c r="V544" t="n">
        <v>29.45537</v>
      </c>
      <c r="W544" t="n">
        <v>25.3563</v>
      </c>
      <c r="X544" t="n">
        <v>22.88714</v>
      </c>
      <c r="Y544" t="n">
        <v>9.018807000000001</v>
      </c>
      <c r="Z544" t="n">
        <v>10.51237</v>
      </c>
      <c r="AA544" t="n">
        <v>0.6371533</v>
      </c>
      <c r="AB544" t="n">
        <v>28.34458</v>
      </c>
      <c r="AC544" t="n">
        <v>0.2598142</v>
      </c>
      <c r="AD544" t="n">
        <v>30.60909</v>
      </c>
      <c r="AE544" t="n">
        <v>10.24998</v>
      </c>
    </row>
    <row r="545">
      <c r="A545" s="90" t="n">
        <v>35156</v>
      </c>
      <c r="B545" t="n">
        <v>17.46553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8.680263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27.37837</v>
      </c>
      <c r="N545" t="n">
        <v>15.16897</v>
      </c>
      <c r="O545" t="n">
        <v>5.475049</v>
      </c>
      <c r="P545" t="n">
        <v>5.532153</v>
      </c>
      <c r="Q545" t="n">
        <v>10.10721</v>
      </c>
      <c r="R545" t="n">
        <v>13.49567</v>
      </c>
      <c r="S545" t="n">
        <v>69.08023</v>
      </c>
      <c r="T545" t="n">
        <v>18.4067</v>
      </c>
      <c r="U545" t="n">
        <v>6.190065</v>
      </c>
      <c r="V545" t="n">
        <v>29.57449</v>
      </c>
      <c r="W545" t="n">
        <v>25.68765</v>
      </c>
      <c r="X545" t="n">
        <v>23.08513</v>
      </c>
      <c r="Y545" t="n">
        <v>9.219661</v>
      </c>
      <c r="Z545" t="n">
        <v>10.78925</v>
      </c>
      <c r="AA545" t="n">
        <v>0.6554801</v>
      </c>
      <c r="AB545" t="n">
        <v>28.80081</v>
      </c>
      <c r="AC545" t="n">
        <v>0.2777974</v>
      </c>
      <c r="AD545" t="n">
        <v>30.69875</v>
      </c>
      <c r="AE545" t="n">
        <v>10.39091</v>
      </c>
    </row>
    <row r="546">
      <c r="A546" s="90" t="n">
        <v>35186</v>
      </c>
      <c r="B546" t="n">
        <v>17.51876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8.818773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27.53256</v>
      </c>
      <c r="N546" t="n">
        <v>15.4513</v>
      </c>
      <c r="O546" t="n">
        <v>5.58922</v>
      </c>
      <c r="P546" t="n">
        <v>5.561161</v>
      </c>
      <c r="Q546" t="n">
        <v>10.17305</v>
      </c>
      <c r="R546" t="n">
        <v>13.86037</v>
      </c>
      <c r="S546" t="n">
        <v>69.36653</v>
      </c>
      <c r="T546" t="n">
        <v>18.68559</v>
      </c>
      <c r="U546" t="n">
        <v>6.359149</v>
      </c>
      <c r="V546" t="n">
        <v>29.55785</v>
      </c>
      <c r="W546" t="n">
        <v>26.29074</v>
      </c>
      <c r="X546" t="n">
        <v>23.30079</v>
      </c>
      <c r="Y546" t="n">
        <v>9.421734000000001</v>
      </c>
      <c r="Z546" t="n">
        <v>11.04136</v>
      </c>
      <c r="AA546" t="n">
        <v>0.6705449999999999</v>
      </c>
      <c r="AB546" t="n">
        <v>29.15482</v>
      </c>
      <c r="AC546" t="n">
        <v>0.2990035</v>
      </c>
      <c r="AD546" t="n">
        <v>30.79754</v>
      </c>
      <c r="AE546" t="n">
        <v>10.55751</v>
      </c>
    </row>
    <row r="547">
      <c r="A547" s="90" t="n">
        <v>35217</v>
      </c>
      <c r="B547" t="n">
        <v>17.61402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8.967641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27.78544</v>
      </c>
      <c r="N547" t="n">
        <v>15.73587</v>
      </c>
      <c r="O547" t="n">
        <v>5.691286</v>
      </c>
      <c r="P547" t="n">
        <v>5.631154</v>
      </c>
      <c r="Q547" t="n">
        <v>10.18427</v>
      </c>
      <c r="R547" t="n">
        <v>14.12696</v>
      </c>
      <c r="S547" t="n">
        <v>69.67738</v>
      </c>
      <c r="T547" t="n">
        <v>18.92051</v>
      </c>
      <c r="U547" t="n">
        <v>6.48078</v>
      </c>
      <c r="V547" t="n">
        <v>29.52497</v>
      </c>
      <c r="W547" t="n">
        <v>26.82611</v>
      </c>
      <c r="X547" t="n">
        <v>23.49499</v>
      </c>
      <c r="Y547" t="n">
        <v>9.601519</v>
      </c>
      <c r="Z547" t="n">
        <v>11.21425</v>
      </c>
      <c r="AA547" t="n">
        <v>0.685908</v>
      </c>
      <c r="AB547" t="n">
        <v>29.31986</v>
      </c>
      <c r="AC547" t="n">
        <v>0.3173686</v>
      </c>
      <c r="AD547" t="n">
        <v>30.90464</v>
      </c>
      <c r="AE547" t="n">
        <v>10.81016</v>
      </c>
    </row>
    <row r="548">
      <c r="A548" s="90" t="n">
        <v>35247</v>
      </c>
      <c r="B548" t="n">
        <v>17.80453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9.163494999999999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28.16914</v>
      </c>
      <c r="N548" t="n">
        <v>15.98204</v>
      </c>
      <c r="O548" t="n">
        <v>5.784675</v>
      </c>
      <c r="P548" t="n">
        <v>5.713132</v>
      </c>
      <c r="Q548" t="n">
        <v>10.17818</v>
      </c>
      <c r="R548" t="n">
        <v>14.39441</v>
      </c>
      <c r="S548" t="n">
        <v>69.81644</v>
      </c>
      <c r="T548" t="n">
        <v>19.13025</v>
      </c>
      <c r="U548" t="n">
        <v>6.608271</v>
      </c>
      <c r="V548" t="n">
        <v>29.6206</v>
      </c>
      <c r="W548" t="n">
        <v>26.85933</v>
      </c>
      <c r="X548" t="n">
        <v>23.68859</v>
      </c>
      <c r="Y548" t="n">
        <v>9.786675000000001</v>
      </c>
      <c r="Z548" t="n">
        <v>11.39647</v>
      </c>
      <c r="AA548" t="n">
        <v>0.7081499</v>
      </c>
      <c r="AB548" t="n">
        <v>29.48055</v>
      </c>
      <c r="AC548" t="n">
        <v>0.3336817</v>
      </c>
      <c r="AD548" t="n">
        <v>31.02585</v>
      </c>
      <c r="AE548" t="n">
        <v>10.99222</v>
      </c>
    </row>
    <row r="549">
      <c r="A549" s="90" t="n">
        <v>35278</v>
      </c>
      <c r="B549" t="n">
        <v>17.95021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9.350892999999999</v>
      </c>
      <c r="I549" t="n">
        <v/>
      </c>
      <c r="J549" t="n">
        <v>30.6578</v>
      </c>
      <c r="K549" t="n">
        <v>30.89207</v>
      </c>
      <c r="L549" t="n">
        <v>37.30007</v>
      </c>
      <c r="M549" t="n">
        <v>28.41344</v>
      </c>
      <c r="N549" t="n">
        <v>16.2716</v>
      </c>
      <c r="O549" t="n">
        <v>5.848485</v>
      </c>
      <c r="P549" t="n">
        <v>5.774502</v>
      </c>
      <c r="Q549" t="n">
        <v>10.22822</v>
      </c>
      <c r="R549" t="n">
        <v>14.80018</v>
      </c>
      <c r="S549" t="n">
        <v>69.96368</v>
      </c>
      <c r="T549" t="n">
        <v>19.34138</v>
      </c>
      <c r="U549" t="n">
        <v>6.746043</v>
      </c>
      <c r="V549" t="n">
        <v>29.611</v>
      </c>
      <c r="W549" t="n">
        <v>26.84695</v>
      </c>
      <c r="X549" t="n">
        <v>23.88303</v>
      </c>
      <c r="Y549" t="n">
        <v>10.00748</v>
      </c>
      <c r="Z549" t="n">
        <v>11.57491</v>
      </c>
      <c r="AA549" t="n">
        <v>0.7318665</v>
      </c>
      <c r="AB549" t="n">
        <v>29.68313</v>
      </c>
      <c r="AC549" t="n">
        <v>0.3579074</v>
      </c>
      <c r="AD549" t="n">
        <v>31.08314</v>
      </c>
      <c r="AE549" t="n">
        <v>11.10688</v>
      </c>
    </row>
    <row r="550">
      <c r="A550" s="90" t="n">
        <v>35309</v>
      </c>
      <c r="B550" t="n">
        <v>17.96702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9.542045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28.66135</v>
      </c>
      <c r="N550" t="n">
        <v>16.53496</v>
      </c>
      <c r="O550" t="n">
        <v>5.923763</v>
      </c>
      <c r="P550" t="n">
        <v>5.842963</v>
      </c>
      <c r="Q550" t="n">
        <v>10.28307</v>
      </c>
      <c r="R550" t="n">
        <v>15.03875</v>
      </c>
      <c r="S550" t="n">
        <v>70.11909</v>
      </c>
      <c r="T550" t="n">
        <v>19.64301</v>
      </c>
      <c r="U550" t="n">
        <v>6.899707</v>
      </c>
      <c r="V550" t="n">
        <v>29.53881</v>
      </c>
      <c r="W550" t="n">
        <v>27.00853</v>
      </c>
      <c r="X550" t="n">
        <v>24.10007</v>
      </c>
      <c r="Y550" t="n">
        <v>10.26424</v>
      </c>
      <c r="Z550" t="n">
        <v>11.78214</v>
      </c>
      <c r="AA550" t="n">
        <v>0.7501377</v>
      </c>
      <c r="AB550" t="n">
        <v>29.86357</v>
      </c>
      <c r="AC550" t="n">
        <v>0.3877662</v>
      </c>
      <c r="AD550" t="n">
        <v>31.16118</v>
      </c>
      <c r="AE550" t="n">
        <v>11.16728</v>
      </c>
    </row>
    <row r="551">
      <c r="A551" s="90" t="n">
        <v>35339</v>
      </c>
      <c r="B551" t="n">
        <v>18.12392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9.723088000000001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28.87132</v>
      </c>
      <c r="N551" t="n">
        <v>16.77688</v>
      </c>
      <c r="O551" t="n">
        <v>6.077827</v>
      </c>
      <c r="P551" t="n">
        <v>5.897906</v>
      </c>
      <c r="Q551" t="n">
        <v>10.27889</v>
      </c>
      <c r="R551" t="n">
        <v>15.26377</v>
      </c>
      <c r="S551" t="n">
        <v>70.38903999999999</v>
      </c>
      <c r="T551" t="n">
        <v>19.8932</v>
      </c>
      <c r="U551" t="n">
        <v>7.080871</v>
      </c>
      <c r="V551" t="n">
        <v>29.73864</v>
      </c>
      <c r="W551" t="n">
        <v>27.66727</v>
      </c>
      <c r="X551" t="n">
        <v>24.36094</v>
      </c>
      <c r="Y551" t="n">
        <v>10.50711</v>
      </c>
      <c r="Z551" t="n">
        <v>12.01356</v>
      </c>
      <c r="AA551" t="n">
        <v>0.7628026999999999</v>
      </c>
      <c r="AB551" t="n">
        <v>29.99244</v>
      </c>
      <c r="AC551" t="n">
        <v>0.4158096</v>
      </c>
      <c r="AD551" t="n">
        <v>31.32224</v>
      </c>
      <c r="AE551" t="n">
        <v>11.28855</v>
      </c>
    </row>
    <row r="552">
      <c r="A552" s="90" t="n">
        <v>35370</v>
      </c>
      <c r="B552" t="n">
        <v>18.40689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9.843087000000001</v>
      </c>
      <c r="I552" t="n">
        <v/>
      </c>
      <c r="J552" t="n">
        <v>30.84556</v>
      </c>
      <c r="K552" t="n">
        <v>32.00305</v>
      </c>
      <c r="L552" t="n">
        <v>37.57867</v>
      </c>
      <c r="M552" t="n">
        <v>29.27388</v>
      </c>
      <c r="N552" t="n">
        <v>17.05242</v>
      </c>
      <c r="O552" t="n">
        <v>6.27933</v>
      </c>
      <c r="P552" t="n">
        <v>5.962363</v>
      </c>
      <c r="Q552" t="n">
        <v>10.31674</v>
      </c>
      <c r="R552" t="n">
        <v>15.55514</v>
      </c>
      <c r="S552" t="n">
        <v>70.47083000000001</v>
      </c>
      <c r="T552" t="n">
        <v>20.06962</v>
      </c>
      <c r="U552" t="n">
        <v>7.204772</v>
      </c>
      <c r="V552" t="n">
        <v>29.89644</v>
      </c>
      <c r="W552" t="n">
        <v>27.92607</v>
      </c>
      <c r="X552" t="n">
        <v>24.62262</v>
      </c>
      <c r="Y552" t="n">
        <v>10.79719</v>
      </c>
      <c r="Z552" t="n">
        <v>12.23526</v>
      </c>
      <c r="AA552" t="n">
        <v>0.7750648999999999</v>
      </c>
      <c r="AB552" t="n">
        <v>30.18898</v>
      </c>
      <c r="AC552" t="n">
        <v>0.4461176</v>
      </c>
      <c r="AD552" t="n">
        <v>31.50737</v>
      </c>
      <c r="AE552" t="n">
        <v>11.40055</v>
      </c>
    </row>
    <row r="553">
      <c r="A553" s="90" t="n">
        <v>35400</v>
      </c>
      <c r="B553" t="n">
        <v>18.56098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10.18248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29.5394</v>
      </c>
      <c r="N553" t="n">
        <v>17.27207</v>
      </c>
      <c r="O553" t="n">
        <v>6.4574</v>
      </c>
      <c r="P553" t="n">
        <v>6.050006</v>
      </c>
      <c r="Q553" t="n">
        <v>10.45908</v>
      </c>
      <c r="R553" t="n">
        <v>15.76165</v>
      </c>
      <c r="S553" t="n">
        <v>70.50355999999999</v>
      </c>
      <c r="T553" t="n">
        <v>20.38235</v>
      </c>
      <c r="U553" t="n">
        <v>7.326551</v>
      </c>
      <c r="V553" t="n">
        <v>29.97258</v>
      </c>
      <c r="W553" t="n">
        <v>27.6258</v>
      </c>
      <c r="X553" t="n">
        <v>24.90179</v>
      </c>
      <c r="Y553" t="n">
        <v>11.10783</v>
      </c>
      <c r="Z553" t="n">
        <v>12.51805</v>
      </c>
      <c r="AA553" t="n">
        <v>0.7881104</v>
      </c>
      <c r="AB553" t="n">
        <v>30.45578</v>
      </c>
      <c r="AC553" t="n">
        <v>0.4823274</v>
      </c>
      <c r="AD553" t="n">
        <v>31.70247</v>
      </c>
      <c r="AE553" t="n">
        <v>11.43086</v>
      </c>
    </row>
    <row r="554">
      <c r="A554" s="90" t="n">
        <v>35431</v>
      </c>
      <c r="B554" t="n">
        <v>18.67024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10.51249</v>
      </c>
      <c r="I554" t="n">
        <v/>
      </c>
      <c r="J554" t="n">
        <v>31.33547</v>
      </c>
      <c r="K554" t="n">
        <v>32.44167</v>
      </c>
      <c r="L554" t="n">
        <v>38.39734</v>
      </c>
      <c r="M554" t="n">
        <v>29.82674</v>
      </c>
      <c r="N554" t="n">
        <v>17.4437</v>
      </c>
      <c r="O554" t="n">
        <v>6.598531</v>
      </c>
      <c r="P554" t="n">
        <v>6.157489</v>
      </c>
      <c r="Q554" t="n">
        <v>10.50854</v>
      </c>
      <c r="R554" t="n">
        <v>16.07461</v>
      </c>
      <c r="S554" t="n">
        <v>70.64261999999999</v>
      </c>
      <c r="T554" t="n">
        <v>20.66908</v>
      </c>
      <c r="U554" t="n">
        <v>7.479947</v>
      </c>
      <c r="V554" t="n">
        <v>29.94015</v>
      </c>
      <c r="W554" t="n">
        <v>27.73085</v>
      </c>
      <c r="X554" t="n">
        <v>25.15746</v>
      </c>
      <c r="Y554" t="n">
        <v>11.38847</v>
      </c>
      <c r="Z554" t="n">
        <v>12.78282</v>
      </c>
      <c r="AA554" t="n">
        <v>0.7873362</v>
      </c>
      <c r="AB554" t="n">
        <v>30.09051</v>
      </c>
      <c r="AC554" t="n">
        <v>0.5164651</v>
      </c>
      <c r="AD554" t="n">
        <v>31.83531</v>
      </c>
      <c r="AE554" t="n">
        <v>11.59726</v>
      </c>
    </row>
    <row r="555">
      <c r="A555" s="90" t="n">
        <v>35462</v>
      </c>
      <c r="B555" t="n">
        <v>18.79912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10.60055</v>
      </c>
      <c r="I555" t="n">
        <v/>
      </c>
      <c r="J555" t="n">
        <v>31.16679</v>
      </c>
      <c r="K555" t="n">
        <v>32.74386</v>
      </c>
      <c r="L555" t="n">
        <v>38.25386</v>
      </c>
      <c r="M555" t="n">
        <v>30.31394</v>
      </c>
      <c r="N555" t="n">
        <v>17.61111</v>
      </c>
      <c r="O555" t="n">
        <v>6.718781</v>
      </c>
      <c r="P555" t="n">
        <v>6.260836</v>
      </c>
      <c r="Q555" t="n">
        <v>10.57753</v>
      </c>
      <c r="R555" t="n">
        <v>16.40217</v>
      </c>
      <c r="S555" t="n">
        <v>70.6917</v>
      </c>
      <c r="T555" t="n">
        <v>20.89647</v>
      </c>
      <c r="U555" t="n">
        <v>7.645288</v>
      </c>
      <c r="V555" t="n">
        <v>29.69232</v>
      </c>
      <c r="W555" t="n">
        <v>27.85063</v>
      </c>
      <c r="X555" t="n">
        <v>25.34561</v>
      </c>
      <c r="Y555" t="n">
        <v>11.60291</v>
      </c>
      <c r="Z555" t="n">
        <v>12.98265</v>
      </c>
      <c r="AA555" t="n">
        <v>0.7975748</v>
      </c>
      <c r="AB555" t="n">
        <v>29.95451</v>
      </c>
      <c r="AC555" t="n">
        <v>0.5456225</v>
      </c>
      <c r="AD555" t="n">
        <v>31.93244</v>
      </c>
      <c r="AE555" t="n">
        <v>11.78414</v>
      </c>
    </row>
    <row r="556">
      <c r="A556" s="90" t="n">
        <v>35490</v>
      </c>
      <c r="B556" t="n">
        <v>18.91398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10.71256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30.54691</v>
      </c>
      <c r="N556" t="n">
        <v>17.7664</v>
      </c>
      <c r="O556" t="n">
        <v>6.824524</v>
      </c>
      <c r="P556" t="n">
        <v>6.354182</v>
      </c>
      <c r="Q556" t="n">
        <v>10.64474</v>
      </c>
      <c r="R556" t="n">
        <v>16.61232</v>
      </c>
      <c r="S556" t="n">
        <v>70.91256</v>
      </c>
      <c r="T556" t="n">
        <v>21.18862</v>
      </c>
      <c r="U556" t="n">
        <v>7.843302</v>
      </c>
      <c r="V556" t="n">
        <v>29.59722</v>
      </c>
      <c r="W556" t="n">
        <v>27.8828</v>
      </c>
      <c r="X556" t="n">
        <v>25.55237</v>
      </c>
      <c r="Y556" t="n">
        <v>11.79618</v>
      </c>
      <c r="Z556" t="n">
        <v>13.22568</v>
      </c>
      <c r="AA556" t="n">
        <v>0.8230659</v>
      </c>
      <c r="AB556" t="n">
        <v>30.3448</v>
      </c>
      <c r="AC556" t="n">
        <v>0.5767538</v>
      </c>
      <c r="AD556" t="n">
        <v>32.05614</v>
      </c>
      <c r="AE556" t="n">
        <v>11.95954</v>
      </c>
    </row>
    <row r="557">
      <c r="A557" s="90" t="n">
        <v>35521</v>
      </c>
      <c r="B557" t="n">
        <v>19.02885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10.92676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30.65025</v>
      </c>
      <c r="N557" t="n">
        <v>17.94179</v>
      </c>
      <c r="O557" t="n">
        <v>6.913844</v>
      </c>
      <c r="P557" t="n">
        <v>6.42922</v>
      </c>
      <c r="Q557" t="n">
        <v>10.74691</v>
      </c>
      <c r="R557" t="n">
        <v>16.84616</v>
      </c>
      <c r="S557" t="n">
        <v>71.33792</v>
      </c>
      <c r="T557" t="n">
        <v>21.40802</v>
      </c>
      <c r="U557" t="n">
        <v>8.059464999999999</v>
      </c>
      <c r="V557" t="n">
        <v>29.69263</v>
      </c>
      <c r="W557" t="n">
        <v>28.16994</v>
      </c>
      <c r="X557" t="n">
        <v>25.75886</v>
      </c>
      <c r="Y557" t="n">
        <v>11.96185</v>
      </c>
      <c r="Z557" t="n">
        <v>13.53003</v>
      </c>
      <c r="AA557" t="n">
        <v>0.8416177</v>
      </c>
      <c r="AB557" t="n">
        <v>30.32062</v>
      </c>
      <c r="AC557" t="n">
        <v>0.606689</v>
      </c>
      <c r="AD557" t="n">
        <v>32.18732</v>
      </c>
      <c r="AE557" t="n">
        <v>12.14758</v>
      </c>
    </row>
    <row r="558">
      <c r="A558" s="90" t="n">
        <v>35551</v>
      </c>
      <c r="B558" t="n">
        <v>19.17734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11.12397</v>
      </c>
      <c r="I558" t="n">
        <v/>
      </c>
      <c r="J558" t="n">
        <v>31.87966</v>
      </c>
      <c r="K558" t="n">
        <v>32.8327</v>
      </c>
      <c r="L558" t="n">
        <v>38.61496</v>
      </c>
      <c r="M558" t="n">
        <v>30.79851</v>
      </c>
      <c r="N558" t="n">
        <v>18.25888</v>
      </c>
      <c r="O558" t="n">
        <v>6.994459</v>
      </c>
      <c r="P558" t="n">
        <v>6.495253</v>
      </c>
      <c r="Q558" t="n">
        <v>10.86526</v>
      </c>
      <c r="R558" t="n">
        <v>17.10832</v>
      </c>
      <c r="S558" t="n">
        <v>71.45244</v>
      </c>
      <c r="T558" t="n">
        <v>21.61107</v>
      </c>
      <c r="U558" t="n">
        <v>8.253190999999999</v>
      </c>
      <c r="V558" t="n">
        <v>29.81617</v>
      </c>
      <c r="W558" t="n">
        <v>28.37377</v>
      </c>
      <c r="X558" t="n">
        <v>25.94045</v>
      </c>
      <c r="Y558" t="n">
        <v>12.14704</v>
      </c>
      <c r="Z558" t="n">
        <v>13.86675</v>
      </c>
      <c r="AA558" t="n">
        <v>0.864831</v>
      </c>
      <c r="AB558" t="n">
        <v>30.32071</v>
      </c>
      <c r="AC558" t="n">
        <v>0.6342878</v>
      </c>
      <c r="AD558" t="n">
        <v>32.2886</v>
      </c>
      <c r="AE558" t="n">
        <v>12.33898</v>
      </c>
    </row>
    <row r="559">
      <c r="A559" s="90" t="n">
        <v>35582</v>
      </c>
      <c r="B559" t="n">
        <v>19.29221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11.35058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31.35886</v>
      </c>
      <c r="N559" t="n">
        <v>18.56118</v>
      </c>
      <c r="O559" t="n">
        <v>7.104663</v>
      </c>
      <c r="P559" t="n">
        <v>6.591904</v>
      </c>
      <c r="Q559" t="n">
        <v>10.84021</v>
      </c>
      <c r="R559" t="n">
        <v>17.42074</v>
      </c>
      <c r="S559" t="n">
        <v>71.72238</v>
      </c>
      <c r="T559" t="n">
        <v>21.91967</v>
      </c>
      <c r="U559" t="n">
        <v>8.466509</v>
      </c>
      <c r="V559" t="n">
        <v>30.05842</v>
      </c>
      <c r="W559" t="n">
        <v>28.39077</v>
      </c>
      <c r="X559" t="n">
        <v>26.19042</v>
      </c>
      <c r="Y559" t="n">
        <v>12.4218</v>
      </c>
      <c r="Z559" t="n">
        <v>14.18745</v>
      </c>
      <c r="AA559" t="n">
        <v>0.8869088000000001</v>
      </c>
      <c r="AB559" t="n">
        <v>30.60115</v>
      </c>
      <c r="AC559" t="n">
        <v>0.6678741</v>
      </c>
      <c r="AD559" t="n">
        <v>32.42808</v>
      </c>
      <c r="AE559" t="n">
        <v>12.46334</v>
      </c>
    </row>
    <row r="560">
      <c r="A560" s="90" t="n">
        <v>35612</v>
      </c>
      <c r="B560" t="n">
        <v>19.36505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11.64689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32.03414</v>
      </c>
      <c r="N560" t="n">
        <v>18.89872</v>
      </c>
      <c r="O560" t="n">
        <v>7.220211</v>
      </c>
      <c r="P560" t="n">
        <v>6.673553</v>
      </c>
      <c r="Q560" t="n">
        <v>10.92542</v>
      </c>
      <c r="R560" t="n">
        <v>17.68906</v>
      </c>
      <c r="S560" t="n">
        <v>71.96778</v>
      </c>
      <c r="T560" t="n">
        <v>22.21608</v>
      </c>
      <c r="U560" t="n">
        <v>8.677898000000001</v>
      </c>
      <c r="V560" t="n">
        <v>30.35822</v>
      </c>
      <c r="W560" t="n">
        <v>28.59347</v>
      </c>
      <c r="X560" t="n">
        <v>26.46423</v>
      </c>
      <c r="Y560" t="n">
        <v>12.75882</v>
      </c>
      <c r="Z560" t="n">
        <v>14.56986</v>
      </c>
      <c r="AA560" t="n">
        <v>0.9112382</v>
      </c>
      <c r="AB560" t="n">
        <v>30.65915</v>
      </c>
      <c r="AC560" t="n">
        <v>0.7129062</v>
      </c>
      <c r="AD560" t="n">
        <v>32.57669</v>
      </c>
      <c r="AE560" t="n">
        <v>12.56517</v>
      </c>
    </row>
    <row r="561">
      <c r="A561" s="90" t="n">
        <v>35643</v>
      </c>
      <c r="B561" t="n">
        <v>19.43229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11.84519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32.39712</v>
      </c>
      <c r="N561" t="n">
        <v>19.21554</v>
      </c>
      <c r="O561" t="n">
        <v>7.380085</v>
      </c>
      <c r="P561" t="n">
        <v>6.733028</v>
      </c>
      <c r="Q561" t="n">
        <v>11.01565</v>
      </c>
      <c r="R561" t="n">
        <v>17.87148</v>
      </c>
      <c r="S561" t="n">
        <v>72.205</v>
      </c>
      <c r="T561" t="n">
        <v>22.48274</v>
      </c>
      <c r="U561" t="n">
        <v>8.869699000000001</v>
      </c>
      <c r="V561" t="n">
        <v>30.5852</v>
      </c>
      <c r="W561" t="n">
        <v>29.04001</v>
      </c>
      <c r="X561" t="n">
        <v>26.7741</v>
      </c>
      <c r="Y561" t="n">
        <v>13.07127</v>
      </c>
      <c r="Z561" t="n">
        <v>14.87917</v>
      </c>
      <c r="AA561" t="n">
        <v>0.9424809</v>
      </c>
      <c r="AB561" t="n">
        <v>30.73143</v>
      </c>
      <c r="AC561" t="n">
        <v>0.7659566</v>
      </c>
      <c r="AD561" t="n">
        <v>32.85481</v>
      </c>
      <c r="AE561" t="n">
        <v>12.74658</v>
      </c>
    </row>
    <row r="562">
      <c r="A562" s="90" t="n">
        <v>35674</v>
      </c>
      <c r="B562" t="n">
        <v>19.46311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12.07899</v>
      </c>
      <c r="I562" t="n">
        <v/>
      </c>
      <c r="J562" t="n">
        <v>32.95923</v>
      </c>
      <c r="K562" t="n">
        <v>33.32341</v>
      </c>
      <c r="L562" t="n">
        <v>38.94899</v>
      </c>
      <c r="M562" t="n">
        <v>31.63629</v>
      </c>
      <c r="N562" t="n">
        <v>19.45385</v>
      </c>
      <c r="O562" t="n">
        <v>7.535261</v>
      </c>
      <c r="P562" t="n">
        <v>6.807507</v>
      </c>
      <c r="Q562" t="n">
        <v>11.09088</v>
      </c>
      <c r="R562" t="n">
        <v>18.1395</v>
      </c>
      <c r="S562" t="n">
        <v>72.34406</v>
      </c>
      <c r="T562" t="n">
        <v>22.74024</v>
      </c>
      <c r="U562" t="n">
        <v>9.039892</v>
      </c>
      <c r="V562" t="n">
        <v>30.93669</v>
      </c>
      <c r="W562" t="n">
        <v>29.58066</v>
      </c>
      <c r="X562" t="n">
        <v>26.94623</v>
      </c>
      <c r="Y562" t="n">
        <v>13.2025</v>
      </c>
      <c r="Z562" t="n">
        <v>15.12022</v>
      </c>
      <c r="AA562" t="n">
        <v>0.97084</v>
      </c>
      <c r="AB562" t="n">
        <v>30.76234</v>
      </c>
      <c r="AC562" t="n">
        <v>0.8213317</v>
      </c>
      <c r="AD562" t="n">
        <v>32.98515</v>
      </c>
      <c r="AE562" t="n">
        <v>13.00674</v>
      </c>
    </row>
    <row r="563">
      <c r="A563" s="90" t="n">
        <v>35704</v>
      </c>
      <c r="B563" t="n">
        <v>19.54716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12.39377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31.33528</v>
      </c>
      <c r="N563" t="n">
        <v>19.87743</v>
      </c>
      <c r="O563" t="n">
        <v>7.729321</v>
      </c>
      <c r="P563" t="n">
        <v>6.900248</v>
      </c>
      <c r="Q563" t="n">
        <v>11.21893</v>
      </c>
      <c r="R563" t="n">
        <v>18.39275</v>
      </c>
      <c r="S563" t="n">
        <v>72.55674</v>
      </c>
      <c r="T563" t="n">
        <v>23.0299</v>
      </c>
      <c r="U563" t="n">
        <v>9.197709</v>
      </c>
      <c r="V563" t="n">
        <v>31.14988</v>
      </c>
      <c r="W563" t="n">
        <v>29.61273</v>
      </c>
      <c r="X563" t="n">
        <v>27.18116</v>
      </c>
      <c r="Y563" t="n">
        <v>13.43988</v>
      </c>
      <c r="Z563" t="n">
        <v>15.49076</v>
      </c>
      <c r="AA563" t="n">
        <v>0.9902111</v>
      </c>
      <c r="AB563" t="n">
        <v>30.71762</v>
      </c>
      <c r="AC563" t="n">
        <v>0.8797743</v>
      </c>
      <c r="AD563" t="n">
        <v>33.14455</v>
      </c>
      <c r="AE563" t="n">
        <v>13.30424</v>
      </c>
    </row>
    <row r="564">
      <c r="A564" s="90" t="n">
        <v>35735</v>
      </c>
      <c r="B564" t="n">
        <v>19.67603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12.71941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32.01274</v>
      </c>
      <c r="N564" t="n">
        <v>20.14896</v>
      </c>
      <c r="O564" t="n">
        <v>7.756963</v>
      </c>
      <c r="P564" t="n">
        <v>7.008625</v>
      </c>
      <c r="Q564" t="n">
        <v>11.31841</v>
      </c>
      <c r="R564" t="n">
        <v>18.60901</v>
      </c>
      <c r="S564" t="n">
        <v>72.7367</v>
      </c>
      <c r="T564" t="n">
        <v>23.31915</v>
      </c>
      <c r="U564" t="n">
        <v>9.389153</v>
      </c>
      <c r="V564" t="n">
        <v>31.17156</v>
      </c>
      <c r="W564" t="n">
        <v>29.46295</v>
      </c>
      <c r="X564" t="n">
        <v>27.48256</v>
      </c>
      <c r="Y564" t="n">
        <v>13.81674</v>
      </c>
      <c r="Z564" t="n">
        <v>15.87218</v>
      </c>
      <c r="AA564" t="n">
        <v>1.013776</v>
      </c>
      <c r="AB564" t="n">
        <v>30.77787</v>
      </c>
      <c r="AC564" t="n">
        <v>0.9361539</v>
      </c>
      <c r="AD564" t="n">
        <v>33.33135</v>
      </c>
      <c r="AE564" t="n">
        <v>13.45254</v>
      </c>
    </row>
    <row r="565">
      <c r="A565" s="90" t="n">
        <v>35765</v>
      </c>
      <c r="B565" t="n">
        <v>19.7797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13.0716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32.38591</v>
      </c>
      <c r="N565" t="n">
        <v>20.48278</v>
      </c>
      <c r="O565" t="n">
        <v>7.851746</v>
      </c>
      <c r="P565" t="n">
        <v>7.115165</v>
      </c>
      <c r="Q565" t="n">
        <v>11.43372</v>
      </c>
      <c r="R565" t="n">
        <v>18.92455</v>
      </c>
      <c r="S565" t="n">
        <v>73.1866</v>
      </c>
      <c r="T565" t="n">
        <v>23.45733</v>
      </c>
      <c r="U565" t="n">
        <v>9.591018999999999</v>
      </c>
      <c r="V565" t="n">
        <v>31.03409</v>
      </c>
      <c r="W565" t="n">
        <v>29.58231</v>
      </c>
      <c r="X565" t="n">
        <v>27.75468</v>
      </c>
      <c r="Y565" t="n">
        <v>14.09521</v>
      </c>
      <c r="Z565" t="n">
        <v>16.14701</v>
      </c>
      <c r="AA565" t="n">
        <v>1.017778</v>
      </c>
      <c r="AB565" t="n">
        <v>30.84664</v>
      </c>
      <c r="AC565" t="n">
        <v>0.9816454999999999</v>
      </c>
      <c r="AD565" t="n">
        <v>33.48162</v>
      </c>
      <c r="AE565" t="n">
        <v>13.46525</v>
      </c>
    </row>
    <row r="566">
      <c r="A566" s="90" t="n">
        <v>35796</v>
      </c>
      <c r="B566" t="n">
        <v>19.88896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13.28342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32.79856</v>
      </c>
      <c r="N566" t="n">
        <v>20.51317</v>
      </c>
      <c r="O566" t="n">
        <v>9.1999</v>
      </c>
      <c r="P566" t="n">
        <v>7.197979</v>
      </c>
      <c r="Q566" t="n">
        <v>11.57543</v>
      </c>
      <c r="R566" t="n">
        <v>19.20267</v>
      </c>
      <c r="S566" t="n">
        <v>73.60378</v>
      </c>
      <c r="T566" t="n">
        <v>23.71819</v>
      </c>
      <c r="U566" t="n">
        <v>9.818723</v>
      </c>
      <c r="V566" t="n">
        <v>31.14287</v>
      </c>
      <c r="W566" t="n">
        <v>29.94646</v>
      </c>
      <c r="X566" t="n">
        <v>28.03098</v>
      </c>
      <c r="Y566" t="n">
        <v>14.38036</v>
      </c>
      <c r="Z566" t="n">
        <v>16.36671</v>
      </c>
      <c r="AA566" t="n">
        <v>1.005227</v>
      </c>
      <c r="AB566" t="n">
        <v>30.87088</v>
      </c>
      <c r="AC566" t="n">
        <v>1.032217</v>
      </c>
      <c r="AD566" t="n">
        <v>33.67506</v>
      </c>
      <c r="AE566" t="n">
        <v>13.59869</v>
      </c>
    </row>
    <row r="567">
      <c r="A567" s="90" t="n">
        <v>35827</v>
      </c>
      <c r="B567" t="n">
        <v>19.98141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13.38232</v>
      </c>
      <c r="I567" t="n">
        <v/>
      </c>
      <c r="J567" t="n">
        <v>33.08538</v>
      </c>
      <c r="K567" t="n">
        <v>34.63265</v>
      </c>
      <c r="L567" t="n">
        <v>40.19445</v>
      </c>
      <c r="M567" t="n">
        <v>33.08463</v>
      </c>
      <c r="N567" t="n">
        <v>20.42122</v>
      </c>
      <c r="O567" t="n">
        <v>10.13579</v>
      </c>
      <c r="P567" t="n">
        <v>7.301435</v>
      </c>
      <c r="Q567" t="n">
        <v>11.71373</v>
      </c>
      <c r="R567" t="n">
        <v>19.40948</v>
      </c>
      <c r="S567" t="n">
        <v>73.9637</v>
      </c>
      <c r="T567" t="n">
        <v>24.04285</v>
      </c>
      <c r="U567" t="n">
        <v>10.04383</v>
      </c>
      <c r="V567" t="n">
        <v>31.54311</v>
      </c>
      <c r="W567" t="n">
        <v>30.11696</v>
      </c>
      <c r="X567" t="n">
        <v>28.28372</v>
      </c>
      <c r="Y567" t="n">
        <v>14.57936</v>
      </c>
      <c r="Z567" t="n">
        <v>16.59349</v>
      </c>
      <c r="AA567" t="n">
        <v>0.9918361999999999</v>
      </c>
      <c r="AB567" t="n">
        <v>30.91277</v>
      </c>
      <c r="AC567" t="n">
        <v>1.08533</v>
      </c>
      <c r="AD567" t="n">
        <v>33.94654</v>
      </c>
      <c r="AE567" t="n">
        <v>13.90755</v>
      </c>
    </row>
    <row r="568">
      <c r="A568" s="90" t="n">
        <v>35855</v>
      </c>
      <c r="B568" t="n">
        <v>20.05426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13.57975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33.26148</v>
      </c>
      <c r="N568" t="n">
        <v>20.99392</v>
      </c>
      <c r="O568" t="n">
        <v>10.21984</v>
      </c>
      <c r="P568" t="n">
        <v>7.467092</v>
      </c>
      <c r="Q568" t="n">
        <v>11.86561</v>
      </c>
      <c r="R568" t="n">
        <v>19.38006</v>
      </c>
      <c r="S568" t="n">
        <v>74.06187</v>
      </c>
      <c r="T568" t="n">
        <v>24.25603</v>
      </c>
      <c r="U568" t="n">
        <v>10.25363</v>
      </c>
      <c r="V568" t="n">
        <v>31.65472</v>
      </c>
      <c r="W568" t="n">
        <v>30.05574</v>
      </c>
      <c r="X568" t="n">
        <v>28.50272</v>
      </c>
      <c r="Y568" t="n">
        <v>14.80562</v>
      </c>
      <c r="Z568" t="n">
        <v>16.7987</v>
      </c>
      <c r="AA568" t="n">
        <v>0.982036</v>
      </c>
      <c r="AB568" t="n">
        <v>30.70568</v>
      </c>
      <c r="AC568" t="n">
        <v>1.149293</v>
      </c>
      <c r="AD568" t="n">
        <v>34.15741</v>
      </c>
      <c r="AE568" t="n">
        <v>14.0296</v>
      </c>
    </row>
    <row r="569">
      <c r="A569" s="90" t="n">
        <v>35886</v>
      </c>
      <c r="B569" t="n">
        <v>20.15792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13.74264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33.41079</v>
      </c>
      <c r="N569" t="n">
        <v>21.54125</v>
      </c>
      <c r="O569" t="n">
        <v>10.50697</v>
      </c>
      <c r="P569" t="n">
        <v>7.595877</v>
      </c>
      <c r="Q569" t="n">
        <v>12.02549</v>
      </c>
      <c r="R569" t="n">
        <v>19.55494</v>
      </c>
      <c r="S569" t="n">
        <v>74.23363999999999</v>
      </c>
      <c r="T569" t="n">
        <v>24.56082</v>
      </c>
      <c r="U569" t="n">
        <v>10.44661</v>
      </c>
      <c r="V569" t="n">
        <v>31.69126</v>
      </c>
      <c r="W569" t="n">
        <v>30.11765</v>
      </c>
      <c r="X569" t="n">
        <v>28.75537</v>
      </c>
      <c r="Y569" t="n">
        <v>15.09497</v>
      </c>
      <c r="Z569" t="n">
        <v>17.05557</v>
      </c>
      <c r="AA569" t="n">
        <v>0.9895749</v>
      </c>
      <c r="AB569" t="n">
        <v>30.61753</v>
      </c>
      <c r="AC569" t="n">
        <v>1.236946</v>
      </c>
      <c r="AD569" t="n">
        <v>34.37244</v>
      </c>
      <c r="AE569" t="n">
        <v>14.13862</v>
      </c>
    </row>
    <row r="570">
      <c r="A570" s="90" t="n">
        <v>35916</v>
      </c>
      <c r="B570" t="n">
        <v>20.28399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13.94115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33.69233</v>
      </c>
      <c r="N570" t="n">
        <v>21.88182</v>
      </c>
      <c r="O570" t="n">
        <v>10.94937</v>
      </c>
      <c r="P570" t="n">
        <v>7.678203</v>
      </c>
      <c r="Q570" t="n">
        <v>12.19087</v>
      </c>
      <c r="R570" t="n">
        <v>19.9341</v>
      </c>
      <c r="S570" t="n">
        <v>74.54449</v>
      </c>
      <c r="T570" t="n">
        <v>24.8321</v>
      </c>
      <c r="U570" t="n">
        <v>10.67014</v>
      </c>
      <c r="V570" t="n">
        <v>31.95716</v>
      </c>
      <c r="W570" t="n">
        <v>30.19068</v>
      </c>
      <c r="X570" t="n">
        <v>29.04686</v>
      </c>
      <c r="Y570" t="n">
        <v>15.43911</v>
      </c>
      <c r="Z570" t="n">
        <v>17.44366</v>
      </c>
      <c r="AA570" t="n">
        <v>1.000055</v>
      </c>
      <c r="AB570" t="n">
        <v>31.0512</v>
      </c>
      <c r="AC570" t="n">
        <v>1.326741</v>
      </c>
      <c r="AD570" t="n">
        <v>34.57335</v>
      </c>
      <c r="AE570" t="n">
        <v>14.32537</v>
      </c>
    </row>
    <row r="571">
      <c r="A571" s="90" t="n">
        <v>35947</v>
      </c>
      <c r="B571" t="n">
        <v>20.42408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14.14612</v>
      </c>
      <c r="I571" t="n">
        <v/>
      </c>
      <c r="J571" t="n">
        <v>34.16201</v>
      </c>
      <c r="K571" t="n">
        <v>35.10186</v>
      </c>
      <c r="L571" t="n">
        <v>41.02006</v>
      </c>
      <c r="M571" t="n">
        <v>33.97709</v>
      </c>
      <c r="N571" t="n">
        <v>22.1853</v>
      </c>
      <c r="O571" t="n">
        <v>12.16559</v>
      </c>
      <c r="P571" t="n">
        <v>7.781397</v>
      </c>
      <c r="Q571" t="n">
        <v>12.35153</v>
      </c>
      <c r="R571" t="n">
        <v>20.18357</v>
      </c>
      <c r="S571" t="n">
        <v>74.60175</v>
      </c>
      <c r="T571" t="n">
        <v>24.96483</v>
      </c>
      <c r="U571" t="n">
        <v>10.90117</v>
      </c>
      <c r="V571" t="n">
        <v>32.0402</v>
      </c>
      <c r="W571" t="n">
        <v>30.31744</v>
      </c>
      <c r="X571" t="n">
        <v>29.30602</v>
      </c>
      <c r="Y571" t="n">
        <v>15.79082</v>
      </c>
      <c r="Z571" t="n">
        <v>17.88143</v>
      </c>
      <c r="AA571" t="n">
        <v>1.013685</v>
      </c>
      <c r="AB571" t="n">
        <v>31.50948</v>
      </c>
      <c r="AC571" t="n">
        <v>1.417856</v>
      </c>
      <c r="AD571" t="n">
        <v>34.7369</v>
      </c>
      <c r="AE571" t="n">
        <v>14.4754</v>
      </c>
    </row>
    <row r="572">
      <c r="A572" s="90" t="n">
        <v>35977</v>
      </c>
      <c r="B572" t="n">
        <v>20.65661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14.22245</v>
      </c>
      <c r="I572" t="n">
        <v/>
      </c>
      <c r="J572" t="n">
        <v>34.46564</v>
      </c>
      <c r="K572" t="n">
        <v>35.29499</v>
      </c>
      <c r="L572" t="n">
        <v>41.08394</v>
      </c>
      <c r="M572" t="n">
        <v>34.3041</v>
      </c>
      <c r="N572" t="n">
        <v>22.52053</v>
      </c>
      <c r="O572" t="n">
        <v>12.83269</v>
      </c>
      <c r="P572" t="n">
        <v>7.901356</v>
      </c>
      <c r="Q572" t="n">
        <v>12.49437</v>
      </c>
      <c r="R572" t="n">
        <v>20.5578</v>
      </c>
      <c r="S572" t="n">
        <v>74.96984999999999</v>
      </c>
      <c r="T572" t="n">
        <v>25.27797</v>
      </c>
      <c r="U572" t="n">
        <v>11.10265</v>
      </c>
      <c r="V572" t="n">
        <v>31.96642</v>
      </c>
      <c r="W572" t="n">
        <v>30.32456</v>
      </c>
      <c r="X572" t="n">
        <v>29.58271</v>
      </c>
      <c r="Y572" t="n">
        <v>16.15408</v>
      </c>
      <c r="Z572" t="n">
        <v>18.25863</v>
      </c>
      <c r="AA572" t="n">
        <v>1.007955</v>
      </c>
      <c r="AB572" t="n">
        <v>32.07583</v>
      </c>
      <c r="AC572" t="n">
        <v>1.511153</v>
      </c>
      <c r="AD572" t="n">
        <v>34.90045</v>
      </c>
      <c r="AE572" t="n">
        <v>14.60595</v>
      </c>
    </row>
    <row r="573">
      <c r="A573" s="90" t="n">
        <v>36008</v>
      </c>
      <c r="B573" t="n">
        <v>20.87234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14.33692</v>
      </c>
      <c r="I573" t="n">
        <v/>
      </c>
      <c r="J573" t="n">
        <v>34.85875</v>
      </c>
      <c r="K573" t="n">
        <v>35.48505</v>
      </c>
      <c r="L573" t="n">
        <v>40.99917</v>
      </c>
      <c r="M573" t="n">
        <v>34.56443</v>
      </c>
      <c r="N573" t="n">
        <v>22.8941</v>
      </c>
      <c r="O573" t="n">
        <v>12.58121</v>
      </c>
      <c r="P573" t="n">
        <v>8.079919</v>
      </c>
      <c r="Q573" t="n">
        <v>12.626</v>
      </c>
      <c r="R573" t="n">
        <v>20.86177</v>
      </c>
      <c r="S573" t="n">
        <v>75.30522999999999</v>
      </c>
      <c r="T573" t="n">
        <v>25.68536</v>
      </c>
      <c r="U573" t="n">
        <v>11.2934</v>
      </c>
      <c r="V573" t="n">
        <v>32.04104</v>
      </c>
      <c r="W573" t="n">
        <v>30.12686</v>
      </c>
      <c r="X573" t="n">
        <v>29.83918</v>
      </c>
      <c r="Y573" t="n">
        <v>16.41448</v>
      </c>
      <c r="Z573" t="n">
        <v>18.67018</v>
      </c>
      <c r="AA573" t="n">
        <v>0.993524</v>
      </c>
      <c r="AB573" t="n">
        <v>32.28146</v>
      </c>
      <c r="AC573" t="n">
        <v>1.569285</v>
      </c>
      <c r="AD573" t="n">
        <v>35.10717</v>
      </c>
      <c r="AE573" t="n">
        <v>14.72964</v>
      </c>
    </row>
    <row r="574">
      <c r="A574" s="90" t="n">
        <v>36039</v>
      </c>
      <c r="B574" t="n">
        <v>21.01523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14.34125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34.71765</v>
      </c>
      <c r="N574" t="n">
        <v>23.13168</v>
      </c>
      <c r="O574" t="n">
        <v>12.57286</v>
      </c>
      <c r="P574" t="n">
        <v>8.246589</v>
      </c>
      <c r="Q574" t="n">
        <v>12.78166</v>
      </c>
      <c r="R574" t="n">
        <v>21.15083</v>
      </c>
      <c r="S574" t="n">
        <v>75.56699</v>
      </c>
      <c r="T574" t="n">
        <v>25.88502</v>
      </c>
      <c r="U574" t="n">
        <v>11.46706</v>
      </c>
      <c r="V574" t="n">
        <v>32.06657</v>
      </c>
      <c r="W574" t="n">
        <v>29.84823</v>
      </c>
      <c r="X574" t="n">
        <v>30.17327</v>
      </c>
      <c r="Y574" t="n">
        <v>16.82757</v>
      </c>
      <c r="Z574" t="n">
        <v>19.01336</v>
      </c>
      <c r="AA574" t="n">
        <v>0.9971866</v>
      </c>
      <c r="AB574" t="n">
        <v>32.20287</v>
      </c>
      <c r="AC574" t="n">
        <v>1.706612</v>
      </c>
      <c r="AD574" t="n">
        <v>35.43013</v>
      </c>
      <c r="AE574" t="n">
        <v>14.85268</v>
      </c>
    </row>
    <row r="575">
      <c r="A575" s="90" t="n">
        <v>36069</v>
      </c>
      <c r="B575" t="n">
        <v>21.12169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14.24595</v>
      </c>
      <c r="I575" t="n">
        <v/>
      </c>
      <c r="J575" t="n">
        <v>34.94823</v>
      </c>
      <c r="K575" t="n">
        <v>36.02051</v>
      </c>
      <c r="L575" t="n">
        <v>41.04991</v>
      </c>
      <c r="M575" t="n">
        <v>34.88289</v>
      </c>
      <c r="N575" t="n">
        <v>23.27001</v>
      </c>
      <c r="O575" t="n">
        <v>12.519</v>
      </c>
      <c r="P575" t="n">
        <v>8.376474999999999</v>
      </c>
      <c r="Q575" t="n">
        <v>12.97385</v>
      </c>
      <c r="R575" t="n">
        <v>21.62453</v>
      </c>
      <c r="S575" t="n">
        <v>75.69786999999999</v>
      </c>
      <c r="T575" t="n">
        <v>26.08717</v>
      </c>
      <c r="U575" t="n">
        <v>11.65709</v>
      </c>
      <c r="V575" t="n">
        <v>32.03026</v>
      </c>
      <c r="W575" t="n">
        <v>29.87235</v>
      </c>
      <c r="X575" t="n">
        <v>30.43946</v>
      </c>
      <c r="Y575" t="n">
        <v>17.04237</v>
      </c>
      <c r="Z575" t="n">
        <v>19.11622</v>
      </c>
      <c r="AA575" t="n">
        <v>1.106459</v>
      </c>
      <c r="AB575" t="n">
        <v>32.41929</v>
      </c>
      <c r="AC575" t="n">
        <v>1.77298</v>
      </c>
      <c r="AD575" t="n">
        <v>35.76304</v>
      </c>
      <c r="AE575" t="n">
        <v>14.87623</v>
      </c>
    </row>
    <row r="576">
      <c r="A576" s="90" t="n">
        <v>36100</v>
      </c>
      <c r="B576" t="n">
        <v>21.19453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14.23278</v>
      </c>
      <c r="I576" t="n">
        <v/>
      </c>
      <c r="J576" t="n">
        <v>34.95849</v>
      </c>
      <c r="K576" t="n">
        <v>35.92303</v>
      </c>
      <c r="L576" t="n">
        <v>41.34289</v>
      </c>
      <c r="M576" t="n">
        <v>34.95138</v>
      </c>
      <c r="N576" t="n">
        <v>23.52865</v>
      </c>
      <c r="O576" t="n">
        <v>12.54263</v>
      </c>
      <c r="P576" t="n">
        <v>8.477225000000001</v>
      </c>
      <c r="Q576" t="n">
        <v>13.17164</v>
      </c>
      <c r="R576" t="n">
        <v>21.9467</v>
      </c>
      <c r="S576" t="n">
        <v>76.17231</v>
      </c>
      <c r="T576" t="n">
        <v>26.3376</v>
      </c>
      <c r="U576" t="n">
        <v>11.88545</v>
      </c>
      <c r="V576" t="n">
        <v>32.04324</v>
      </c>
      <c r="W576" t="n">
        <v>30.2343</v>
      </c>
      <c r="X576" t="n">
        <v>30.6428</v>
      </c>
      <c r="Y576" t="n">
        <v>17.04726</v>
      </c>
      <c r="Z576" t="n">
        <v>19.29577</v>
      </c>
      <c r="AA576" t="n">
        <v>1.214591</v>
      </c>
      <c r="AB576" t="n">
        <v>32.5724</v>
      </c>
      <c r="AC576" t="n">
        <v>1.756922</v>
      </c>
      <c r="AD576" t="n">
        <v>36.08433</v>
      </c>
      <c r="AE576" t="n">
        <v>15.02681</v>
      </c>
    </row>
    <row r="577">
      <c r="A577" s="90" t="n">
        <v>36130</v>
      </c>
      <c r="B577" t="n">
        <v>21.31781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14.25678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35.10299</v>
      </c>
      <c r="N577" t="n">
        <v>23.83754</v>
      </c>
      <c r="O577" t="n">
        <v>12.93419</v>
      </c>
      <c r="P577" t="n">
        <v>8.552349</v>
      </c>
      <c r="Q577" t="n">
        <v>13.36471</v>
      </c>
      <c r="R577" t="n">
        <v>22.16284</v>
      </c>
      <c r="S577" t="n">
        <v>76.42589</v>
      </c>
      <c r="T577" t="n">
        <v>26.44364</v>
      </c>
      <c r="U577" t="n">
        <v>12.15017</v>
      </c>
      <c r="V577" t="n">
        <v>32.19729</v>
      </c>
      <c r="W577" t="n">
        <v>30.17796</v>
      </c>
      <c r="X577" t="n">
        <v>30.93228</v>
      </c>
      <c r="Y577" t="n">
        <v>17.34749</v>
      </c>
      <c r="Z577" t="n">
        <v>19.88132</v>
      </c>
      <c r="AA577" t="n">
        <v>1.256824</v>
      </c>
      <c r="AB577" t="n">
        <v>32.1797</v>
      </c>
      <c r="AC577" t="n">
        <v>1.83922</v>
      </c>
      <c r="AD577" t="n">
        <v>36.32343</v>
      </c>
      <c r="AE577" t="n">
        <v>15.21245</v>
      </c>
    </row>
    <row r="578">
      <c r="A578" s="90" t="n">
        <v>36161</v>
      </c>
      <c r="B578" t="n">
        <v>21.49711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14.37053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35.12124</v>
      </c>
      <c r="N578" t="n">
        <v>24.15351</v>
      </c>
      <c r="O578" t="n">
        <v>13.39988</v>
      </c>
      <c r="P578" t="n">
        <v>8.667878999999999</v>
      </c>
      <c r="Q578" t="n">
        <v>13.55872</v>
      </c>
      <c r="R578" t="n">
        <v>22.50513</v>
      </c>
      <c r="S578" t="n">
        <v>76.61403</v>
      </c>
      <c r="T578" t="n">
        <v>26.80129</v>
      </c>
      <c r="U578" t="n">
        <v>12.39581</v>
      </c>
      <c r="V578" t="n">
        <v>32.56162</v>
      </c>
      <c r="W578" t="n">
        <v>30.2201</v>
      </c>
      <c r="X578" t="n">
        <v>31.22047</v>
      </c>
      <c r="Y578" t="n">
        <v>17.72884</v>
      </c>
      <c r="Z578" t="n">
        <v>20.62853</v>
      </c>
      <c r="AA578" t="n">
        <v>1.33908</v>
      </c>
      <c r="AB578" t="n">
        <v>34.83103</v>
      </c>
      <c r="AC578" t="n">
        <v>1.921589</v>
      </c>
      <c r="AD578" t="n">
        <v>36.55091</v>
      </c>
      <c r="AE578" t="n">
        <v>15.26565</v>
      </c>
    </row>
    <row r="579">
      <c r="A579" s="90" t="n">
        <v>36192</v>
      </c>
      <c r="B579" t="n">
        <v>21.6484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14.56322</v>
      </c>
      <c r="I579" t="n">
        <v/>
      </c>
      <c r="J579" t="n">
        <v>36.33436</v>
      </c>
      <c r="K579" t="n">
        <v>36.00417</v>
      </c>
      <c r="L579" t="n">
        <v>42.02086</v>
      </c>
      <c r="M579" t="n">
        <v>35.01526</v>
      </c>
      <c r="N579" t="n">
        <v>24.53633</v>
      </c>
      <c r="O579" t="n">
        <v>13.79843</v>
      </c>
      <c r="P579" t="n">
        <v>8.793066</v>
      </c>
      <c r="Q579" t="n">
        <v>13.74295</v>
      </c>
      <c r="R579" t="n">
        <v>22.75257</v>
      </c>
      <c r="S579" t="n">
        <v>76.79398999999999</v>
      </c>
      <c r="T579" t="n">
        <v>27.30093</v>
      </c>
      <c r="U579" t="n">
        <v>12.67777</v>
      </c>
      <c r="V579" t="n">
        <v>32.813</v>
      </c>
      <c r="W579" t="n">
        <v>30.89733</v>
      </c>
      <c r="X579" t="n">
        <v>31.49374</v>
      </c>
      <c r="Y579" t="n">
        <v>18.06156</v>
      </c>
      <c r="Z579" t="n">
        <v>21.26293</v>
      </c>
      <c r="AA579" t="n">
        <v>1.420597</v>
      </c>
      <c r="AB579" t="n">
        <v>37.86425</v>
      </c>
      <c r="AC579" t="n">
        <v>2.024119</v>
      </c>
      <c r="AD579" t="n">
        <v>36.73937</v>
      </c>
      <c r="AE579" t="n">
        <v>15.08</v>
      </c>
    </row>
    <row r="580">
      <c r="A580" s="90" t="n">
        <v>36220</v>
      </c>
      <c r="B580" t="n">
        <v>21.8221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14.63428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35.01624</v>
      </c>
      <c r="N580" t="n">
        <v>24.72225</v>
      </c>
      <c r="O580" t="n">
        <v>13.98854</v>
      </c>
      <c r="P580" t="n">
        <v>8.949646</v>
      </c>
      <c r="Q580" t="n">
        <v>13.91555</v>
      </c>
      <c r="R580" t="n">
        <v>23.08866</v>
      </c>
      <c r="S580" t="n">
        <v>77.11301</v>
      </c>
      <c r="T580" t="n">
        <v>27.50686</v>
      </c>
      <c r="U580" t="n">
        <v>12.99342</v>
      </c>
      <c r="V580" t="n">
        <v>32.93926</v>
      </c>
      <c r="W580" t="n">
        <v>31.05005</v>
      </c>
      <c r="X580" t="n">
        <v>31.70333</v>
      </c>
      <c r="Y580" t="n">
        <v>18.35</v>
      </c>
      <c r="Z580" t="n">
        <v>21.69757</v>
      </c>
      <c r="AA580" t="n">
        <v>1.474064</v>
      </c>
      <c r="AB580" t="n">
        <v>37.776</v>
      </c>
      <c r="AC580" t="n">
        <v>2.162853</v>
      </c>
      <c r="AD580" t="n">
        <v>36.79583</v>
      </c>
      <c r="AE580" t="n">
        <v>15.07491</v>
      </c>
    </row>
    <row r="581">
      <c r="A581" s="90" t="n">
        <v>36251</v>
      </c>
      <c r="B581" t="n">
        <v>22.05184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14.70112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35.07267</v>
      </c>
      <c r="N581" t="n">
        <v>24.736</v>
      </c>
      <c r="O581" t="n">
        <v>14.12927</v>
      </c>
      <c r="P581" t="n">
        <v>9.056244</v>
      </c>
      <c r="Q581" t="n">
        <v>14.08532</v>
      </c>
      <c r="R581" t="n">
        <v>23.54916</v>
      </c>
      <c r="S581" t="n">
        <v>77.20299</v>
      </c>
      <c r="T581" t="n">
        <v>27.66664</v>
      </c>
      <c r="U581" t="n">
        <v>13.18569</v>
      </c>
      <c r="V581" t="n">
        <v>33.18238</v>
      </c>
      <c r="W581" t="n">
        <v>30.69409</v>
      </c>
      <c r="X581" t="n">
        <v>31.95347</v>
      </c>
      <c r="Y581" t="n">
        <v>18.63256</v>
      </c>
      <c r="Z581" t="n">
        <v>21.89099</v>
      </c>
      <c r="AA581" t="n">
        <v>1.516542</v>
      </c>
      <c r="AB581" t="n">
        <v>38.03074</v>
      </c>
      <c r="AC581" t="n">
        <v>2.301165</v>
      </c>
      <c r="AD581" t="n">
        <v>37.03326</v>
      </c>
      <c r="AE581" t="n">
        <v>15.32684</v>
      </c>
    </row>
    <row r="582">
      <c r="A582" s="90" t="n">
        <v>36281</v>
      </c>
      <c r="B582" t="n">
        <v>22.28998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14.78385</v>
      </c>
      <c r="I582" t="n">
        <v/>
      </c>
      <c r="J582" t="n">
        <v>37.16018</v>
      </c>
      <c r="K582" t="n">
        <v>36.57549</v>
      </c>
      <c r="L582" t="n">
        <v>42.55934</v>
      </c>
      <c r="M582" t="n">
        <v>35.16449</v>
      </c>
      <c r="N582" t="n">
        <v>24.97765</v>
      </c>
      <c r="O582" t="n">
        <v>14.31181</v>
      </c>
      <c r="P582" t="n">
        <v>9.122043</v>
      </c>
      <c r="Q582" t="n">
        <v>14.26329</v>
      </c>
      <c r="R582" t="n">
        <v>23.82897</v>
      </c>
      <c r="S582" t="n">
        <v>77.48111</v>
      </c>
      <c r="T582" t="n">
        <v>27.88689</v>
      </c>
      <c r="U582" t="n">
        <v>13.38374</v>
      </c>
      <c r="V582" t="n">
        <v>33.20445</v>
      </c>
      <c r="W582" t="n">
        <v>30.27276</v>
      </c>
      <c r="X582" t="n">
        <v>32.22702</v>
      </c>
      <c r="Y582" t="n">
        <v>18.98465</v>
      </c>
      <c r="Z582" t="n">
        <v>22.07282</v>
      </c>
      <c r="AA582" t="n">
        <v>1.58744</v>
      </c>
      <c r="AB582" t="n">
        <v>39.18481</v>
      </c>
      <c r="AC582" t="n">
        <v>2.457563</v>
      </c>
      <c r="AD582" t="n">
        <v>37.2375</v>
      </c>
      <c r="AE582" t="n">
        <v>15.41034</v>
      </c>
    </row>
    <row r="583">
      <c r="A583" s="90" t="n">
        <v>36312</v>
      </c>
      <c r="B583" t="n">
        <v>22.4973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14.82193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35.24524</v>
      </c>
      <c r="N583" t="n">
        <v>25.17254</v>
      </c>
      <c r="O583" t="n">
        <v>14.2508</v>
      </c>
      <c r="P583" t="n">
        <v>9.221332</v>
      </c>
      <c r="Q583" t="n">
        <v>14.45124</v>
      </c>
      <c r="R583" t="n">
        <v>24.02791</v>
      </c>
      <c r="S583" t="n">
        <v>77.77558999999999</v>
      </c>
      <c r="T583" t="n">
        <v>28.00818</v>
      </c>
      <c r="U583" t="n">
        <v>13.60325</v>
      </c>
      <c r="V583" t="n">
        <v>33.53511</v>
      </c>
      <c r="W583" t="n">
        <v>30.28488</v>
      </c>
      <c r="X583" t="n">
        <v>32.48378</v>
      </c>
      <c r="Y583" t="n">
        <v>19.30266</v>
      </c>
      <c r="Z583" t="n">
        <v>22.32683</v>
      </c>
      <c r="AA583" t="n">
        <v>1.675916</v>
      </c>
      <c r="AB583" t="n">
        <v>39.97429</v>
      </c>
      <c r="AC583" t="n">
        <v>2.598006</v>
      </c>
      <c r="AD583" t="n">
        <v>37.41932</v>
      </c>
      <c r="AE583" t="n">
        <v>15.61409</v>
      </c>
    </row>
    <row r="584">
      <c r="A584" s="90" t="n">
        <v>36342</v>
      </c>
      <c r="B584" t="n">
        <v>22.6542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14.83727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35.31704</v>
      </c>
      <c r="N584" t="n">
        <v>25.29418</v>
      </c>
      <c r="O584" t="n">
        <v>14.20318</v>
      </c>
      <c r="P584" t="n">
        <v>9.353161999999999</v>
      </c>
      <c r="Q584" t="n">
        <v>14.64447</v>
      </c>
      <c r="R584" t="n">
        <v>24.42309</v>
      </c>
      <c r="S584" t="n">
        <v>77.91464999999999</v>
      </c>
      <c r="T584" t="n">
        <v>28.17506</v>
      </c>
      <c r="U584" t="n">
        <v>13.83837</v>
      </c>
      <c r="V584" t="n">
        <v>34.19626</v>
      </c>
      <c r="W584" t="n">
        <v>30.85591</v>
      </c>
      <c r="X584" t="n">
        <v>32.71814</v>
      </c>
      <c r="Y584" t="n">
        <v>19.53418</v>
      </c>
      <c r="Z584" t="n">
        <v>22.48635</v>
      </c>
      <c r="AA584" t="n">
        <v>1.737838</v>
      </c>
      <c r="AB584" t="n">
        <v>40.1792</v>
      </c>
      <c r="AC584" t="n">
        <v>2.701561</v>
      </c>
      <c r="AD584" t="n">
        <v>37.64596</v>
      </c>
      <c r="AE584" t="n">
        <v>15.79737</v>
      </c>
    </row>
    <row r="585">
      <c r="A585" s="90" t="n">
        <v>36373</v>
      </c>
      <c r="B585" t="n">
        <v>22.78868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14.89207</v>
      </c>
      <c r="I585" t="n">
        <v/>
      </c>
      <c r="J585" t="n">
        <v>37.44327</v>
      </c>
      <c r="K585" t="n">
        <v>36.98897</v>
      </c>
      <c r="L585" t="n">
        <v>42.92963</v>
      </c>
      <c r="M585" t="n">
        <v>35.42234</v>
      </c>
      <c r="N585" t="n">
        <v>25.60929</v>
      </c>
      <c r="O585" t="n">
        <v>14.50525</v>
      </c>
      <c r="P585" t="n">
        <v>9.500515</v>
      </c>
      <c r="Q585" t="n">
        <v>14.83462</v>
      </c>
      <c r="R585" t="n">
        <v>24.86646</v>
      </c>
      <c r="S585" t="n">
        <v>78.00463000000001</v>
      </c>
      <c r="T585" t="n">
        <v>28.29458</v>
      </c>
      <c r="U585" t="n">
        <v>14.11893</v>
      </c>
      <c r="V585" t="n">
        <v>34.53746</v>
      </c>
      <c r="W585" t="n">
        <v>31.23355</v>
      </c>
      <c r="X585" t="n">
        <v>32.94923</v>
      </c>
      <c r="Y585" t="n">
        <v>19.85458</v>
      </c>
      <c r="Z585" t="n">
        <v>22.67171</v>
      </c>
      <c r="AA585" t="n">
        <v>1.773913</v>
      </c>
      <c r="AB585" t="n">
        <v>40.64315</v>
      </c>
      <c r="AC585" t="n">
        <v>2.845474</v>
      </c>
      <c r="AD585" t="n">
        <v>37.78876</v>
      </c>
      <c r="AE585" t="n">
        <v>15.79073</v>
      </c>
    </row>
    <row r="586">
      <c r="A586" s="90" t="n">
        <v>36404</v>
      </c>
      <c r="B586" t="n">
        <v>22.94277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14.98092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35.42476</v>
      </c>
      <c r="N586" t="n">
        <v>25.90858</v>
      </c>
      <c r="O586" t="n">
        <v>14.88413</v>
      </c>
      <c r="P586" t="n">
        <v>9.623896999999999</v>
      </c>
      <c r="Q586" t="n">
        <v>15.01057</v>
      </c>
      <c r="R586" t="n">
        <v>25.18589</v>
      </c>
      <c r="S586" t="n">
        <v>78.02099</v>
      </c>
      <c r="T586" t="n">
        <v>28.28809</v>
      </c>
      <c r="U586" t="n">
        <v>14.37713</v>
      </c>
      <c r="V586" t="n">
        <v>34.53555</v>
      </c>
      <c r="W586" t="n">
        <v>31.38915</v>
      </c>
      <c r="X586" t="n">
        <v>33.15832</v>
      </c>
      <c r="Y586" t="n">
        <v>20.17744</v>
      </c>
      <c r="Z586" t="n">
        <v>23.05414</v>
      </c>
      <c r="AA586" t="n">
        <v>1.83364</v>
      </c>
      <c r="AB586" t="n">
        <v>40.8618</v>
      </c>
      <c r="AC586" t="n">
        <v>3.007553</v>
      </c>
      <c r="AD586" t="n">
        <v>37.92159</v>
      </c>
      <c r="AE586" t="n">
        <v>15.98156</v>
      </c>
    </row>
    <row r="587">
      <c r="A587" s="90" t="n">
        <v>36434</v>
      </c>
      <c r="B587" t="n">
        <v>23.12768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15.02836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35.37809</v>
      </c>
      <c r="N587" t="n">
        <v>26.12495</v>
      </c>
      <c r="O587" t="n">
        <v>14.84825</v>
      </c>
      <c r="P587" t="n">
        <v>9.752648000000001</v>
      </c>
      <c r="Q587" t="n">
        <v>15.17673</v>
      </c>
      <c r="R587" t="n">
        <v>25.52028</v>
      </c>
      <c r="S587" t="n">
        <v>78.27457</v>
      </c>
      <c r="T587" t="n">
        <v>28.31615</v>
      </c>
      <c r="U587" t="n">
        <v>14.57652</v>
      </c>
      <c r="V587" t="n">
        <v>34.90571</v>
      </c>
      <c r="W587" t="n">
        <v>31.41692</v>
      </c>
      <c r="X587" t="n">
        <v>33.42667</v>
      </c>
      <c r="Y587" t="n">
        <v>20.51687</v>
      </c>
      <c r="Z587" t="n">
        <v>23.45243</v>
      </c>
      <c r="AA587" t="n">
        <v>1.891346</v>
      </c>
      <c r="AB587" t="n">
        <v>41.27076</v>
      </c>
      <c r="AC587" t="n">
        <v>3.180906</v>
      </c>
      <c r="AD587" t="n">
        <v>38.11918</v>
      </c>
      <c r="AE587" t="n">
        <v>16.2601</v>
      </c>
    </row>
    <row r="588">
      <c r="A588" s="90" t="n">
        <v>36465</v>
      </c>
      <c r="B588" t="n">
        <v>23.31819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15.08507</v>
      </c>
      <c r="I588" t="n">
        <v/>
      </c>
      <c r="J588" t="n">
        <v>38.17961</v>
      </c>
      <c r="K588" t="n">
        <v>37.1091</v>
      </c>
      <c r="L588" t="n">
        <v>43.40089</v>
      </c>
      <c r="M588" t="n">
        <v>35.70238</v>
      </c>
      <c r="N588" t="n">
        <v>26.39345</v>
      </c>
      <c r="O588" t="n">
        <v>14.70467</v>
      </c>
      <c r="P588" t="n">
        <v>9.855180000000001</v>
      </c>
      <c r="Q588" t="n">
        <v>15.34073</v>
      </c>
      <c r="R588" t="n">
        <v>25.85291</v>
      </c>
      <c r="S588" t="n">
        <v>78.34001000000001</v>
      </c>
      <c r="T588" t="n">
        <v>28.46693</v>
      </c>
      <c r="U588" t="n">
        <v>14.77014</v>
      </c>
      <c r="V588" t="n">
        <v>35.30903</v>
      </c>
      <c r="W588" t="n">
        <v>31.33285</v>
      </c>
      <c r="X588" t="n">
        <v>33.71507</v>
      </c>
      <c r="Y588" t="n">
        <v>21.02209</v>
      </c>
      <c r="Z588" t="n">
        <v>23.88944</v>
      </c>
      <c r="AA588" t="n">
        <v>1.965065</v>
      </c>
      <c r="AB588" t="n">
        <v>41.62099</v>
      </c>
      <c r="AC588" t="n">
        <v>3.397039</v>
      </c>
      <c r="AD588" t="n">
        <v>38.27692</v>
      </c>
      <c r="AE588" t="n">
        <v>16.52213</v>
      </c>
    </row>
    <row r="589">
      <c r="A589" s="90" t="n">
        <v>36495</v>
      </c>
      <c r="B589" t="n">
        <v>23.41344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15.17106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35.99012</v>
      </c>
      <c r="N589" t="n">
        <v>26.85606</v>
      </c>
      <c r="O589" t="n">
        <v>14.74371</v>
      </c>
      <c r="P589" t="n">
        <v>10.04146</v>
      </c>
      <c r="Q589" t="n">
        <v>15.50191</v>
      </c>
      <c r="R589" t="n">
        <v>26.15936</v>
      </c>
      <c r="S589" t="n">
        <v>78.60177</v>
      </c>
      <c r="T589" t="n">
        <v>28.61957</v>
      </c>
      <c r="U589" t="n">
        <v>14.90413</v>
      </c>
      <c r="V589" t="n">
        <v>35.53172</v>
      </c>
      <c r="W589" t="n">
        <v>31.46424</v>
      </c>
      <c r="X589" t="n">
        <v>34.03472</v>
      </c>
      <c r="Y589" t="n">
        <v>21.52904</v>
      </c>
      <c r="Z589" t="n">
        <v>24.29217</v>
      </c>
      <c r="AA589" t="n">
        <v>2.070705</v>
      </c>
      <c r="AB589" t="n">
        <v>41.1742</v>
      </c>
      <c r="AC589" t="n">
        <v>3.633562</v>
      </c>
      <c r="AD589" t="n">
        <v>38.50523</v>
      </c>
      <c r="AE589" t="n">
        <v>16.78071</v>
      </c>
    </row>
    <row r="590">
      <c r="A590" s="90" t="n">
        <v>36526</v>
      </c>
      <c r="B590" t="n">
        <v>23.44426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15.33657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35.93281</v>
      </c>
      <c r="N590" t="n">
        <v>27.25705</v>
      </c>
      <c r="O590" t="n">
        <v>14.80523</v>
      </c>
      <c r="P590" t="n">
        <v>10.1776</v>
      </c>
      <c r="Q590" t="n">
        <v>15.6591</v>
      </c>
      <c r="R590" t="n">
        <v>26.58354</v>
      </c>
      <c r="S590" t="n">
        <v>78.62631</v>
      </c>
      <c r="T590" t="n">
        <v>28.62196</v>
      </c>
      <c r="U590" t="n">
        <v>15.12249</v>
      </c>
      <c r="V590" t="n">
        <v>35.72271</v>
      </c>
      <c r="W590" t="n">
        <v>31.50834</v>
      </c>
      <c r="X590" t="n">
        <v>34.3038</v>
      </c>
      <c r="Y590" t="n">
        <v>21.91829</v>
      </c>
      <c r="Z590" t="n">
        <v>24.32207</v>
      </c>
      <c r="AA590" t="n">
        <v>2.142438</v>
      </c>
      <c r="AB590" t="n">
        <v>41.58322</v>
      </c>
      <c r="AC590" t="n">
        <v>3.858876</v>
      </c>
      <c r="AD590" t="n">
        <v>38.73935</v>
      </c>
      <c r="AE590" t="n">
        <v>16.80905</v>
      </c>
    </row>
    <row r="591">
      <c r="A591" s="90" t="n">
        <v>36557</v>
      </c>
      <c r="B591" t="n">
        <v>23.51991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15.20102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36.16718</v>
      </c>
      <c r="N591" t="n">
        <v>27.6414</v>
      </c>
      <c r="O591" t="n">
        <v>14.98777</v>
      </c>
      <c r="P591" t="n">
        <v>10.25099</v>
      </c>
      <c r="Q591" t="n">
        <v>15.81323</v>
      </c>
      <c r="R591" t="n">
        <v>27.0091</v>
      </c>
      <c r="S591" t="n">
        <v>78.77355</v>
      </c>
      <c r="T591" t="n">
        <v>28.73204</v>
      </c>
      <c r="U591" t="n">
        <v>15.44941</v>
      </c>
      <c r="V591" t="n">
        <v>35.90107</v>
      </c>
      <c r="W591" t="n">
        <v>31.50061</v>
      </c>
      <c r="X591" t="n">
        <v>34.50748</v>
      </c>
      <c r="Y591" t="n">
        <v>22.21242</v>
      </c>
      <c r="Z591" t="n">
        <v>24.3294</v>
      </c>
      <c r="AA591" t="n">
        <v>2.22862</v>
      </c>
      <c r="AB591" t="n">
        <v>42.87687</v>
      </c>
      <c r="AC591" t="n">
        <v>4.045871</v>
      </c>
      <c r="AD591" t="n">
        <v>38.84894</v>
      </c>
      <c r="AE591" t="n">
        <v>16.79707</v>
      </c>
    </row>
    <row r="592">
      <c r="A592" s="90" t="n">
        <v>36586</v>
      </c>
      <c r="B592" t="n">
        <v>23.62357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15.01364</v>
      </c>
      <c r="I592" t="n">
        <v/>
      </c>
      <c r="J592" t="n">
        <v>39.33252</v>
      </c>
      <c r="K592" t="n">
        <v>37.55172</v>
      </c>
      <c r="L592" t="n">
        <v>44.83219</v>
      </c>
      <c r="M592" t="n">
        <v>36.82701</v>
      </c>
      <c r="N592" t="n">
        <v>28.24742</v>
      </c>
      <c r="O592" t="n">
        <v>15.15074</v>
      </c>
      <c r="P592" t="n">
        <v>10.35824</v>
      </c>
      <c r="Q592" t="n">
        <v>15.96292</v>
      </c>
      <c r="R592" t="n">
        <v>27.48182</v>
      </c>
      <c r="S592" t="n">
        <v>78.83899</v>
      </c>
      <c r="T592" t="n">
        <v>28.9308</v>
      </c>
      <c r="U592" t="n">
        <v>15.66273</v>
      </c>
      <c r="V592" t="n">
        <v>36.33215</v>
      </c>
      <c r="W592" t="n">
        <v>31.46038</v>
      </c>
      <c r="X592" t="n">
        <v>34.78336</v>
      </c>
      <c r="Y592" t="n">
        <v>22.60103</v>
      </c>
      <c r="Z592" t="n">
        <v>24.66117</v>
      </c>
      <c r="AA592" t="n">
        <v>2.350161</v>
      </c>
      <c r="AB592" t="n">
        <v>43.52835</v>
      </c>
      <c r="AC592" t="n">
        <v>4.182989</v>
      </c>
      <c r="AD592" t="n">
        <v>39.10464</v>
      </c>
      <c r="AE592" t="n">
        <v>16.77214</v>
      </c>
    </row>
    <row r="593">
      <c r="A593" s="90" t="n">
        <v>36617</v>
      </c>
      <c r="B593" t="n">
        <v>23.78046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15.07329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37.29018</v>
      </c>
      <c r="N593" t="n">
        <v>28.83653</v>
      </c>
      <c r="O593" t="n">
        <v>15.32567</v>
      </c>
      <c r="P593" t="n">
        <v>10.45477</v>
      </c>
      <c r="Q593" t="n">
        <v>16.10706</v>
      </c>
      <c r="R593" t="n">
        <v>27.84983</v>
      </c>
      <c r="S593" t="n">
        <v>79.02713</v>
      </c>
      <c r="T593" t="n">
        <v>29.17218</v>
      </c>
      <c r="U593" t="n">
        <v>15.90492</v>
      </c>
      <c r="V593" t="n">
        <v>36.78896</v>
      </c>
      <c r="W593" t="n">
        <v>31.44389</v>
      </c>
      <c r="X593" t="n">
        <v>35.13774</v>
      </c>
      <c r="Y593" t="n">
        <v>22.90922</v>
      </c>
      <c r="Z593" t="n">
        <v>25.1083</v>
      </c>
      <c r="AA593" t="n">
        <v>2.447946</v>
      </c>
      <c r="AB593" t="n">
        <v>43.80904</v>
      </c>
      <c r="AC593" t="n">
        <v>4.311923</v>
      </c>
      <c r="AD593" t="n">
        <v>39.56873</v>
      </c>
      <c r="AE593" t="n">
        <v>16.7872</v>
      </c>
    </row>
    <row r="594">
      <c r="A594" s="90" t="n">
        <v>36647</v>
      </c>
      <c r="B594" t="n">
        <v>23.97938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15.1166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37.75167</v>
      </c>
      <c r="N594" t="n">
        <v>29.26122</v>
      </c>
      <c r="O594" t="n">
        <v>15.53429</v>
      </c>
      <c r="P594" t="n">
        <v>10.57086</v>
      </c>
      <c r="Q594" t="n">
        <v>16.24347</v>
      </c>
      <c r="R594" t="n">
        <v>28.13278</v>
      </c>
      <c r="S594" t="n">
        <v>79.04349999999999</v>
      </c>
      <c r="T594" t="n">
        <v>29.34984</v>
      </c>
      <c r="U594" t="n">
        <v>16.15365</v>
      </c>
      <c r="V594" t="n">
        <v>37.14052</v>
      </c>
      <c r="W594" t="n">
        <v>31.6638</v>
      </c>
      <c r="X594" t="n">
        <v>35.24303</v>
      </c>
      <c r="Y594" t="n">
        <v>23.24827</v>
      </c>
      <c r="Z594" t="n">
        <v>25.4723</v>
      </c>
      <c r="AA594" t="n">
        <v>2.519451</v>
      </c>
      <c r="AB594" t="n">
        <v>43.85705</v>
      </c>
      <c r="AC594" t="n">
        <v>4.472923</v>
      </c>
      <c r="AD594" t="n">
        <v>39.46745</v>
      </c>
      <c r="AE594" t="n">
        <v>16.86239</v>
      </c>
    </row>
    <row r="595">
      <c r="A595" s="90" t="n">
        <v>36678</v>
      </c>
      <c r="B595" t="n">
        <v>24.14188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15.14025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38.31799</v>
      </c>
      <c r="N595" t="n">
        <v>29.55802</v>
      </c>
      <c r="O595" t="n">
        <v>15.67749</v>
      </c>
      <c r="P595" t="n">
        <v>10.70087</v>
      </c>
      <c r="Q595" t="n">
        <v>16.37674</v>
      </c>
      <c r="R595" t="n">
        <v>28.48055</v>
      </c>
      <c r="S595" t="n">
        <v>79.12529000000001</v>
      </c>
      <c r="T595" t="n">
        <v>29.47004</v>
      </c>
      <c r="U595" t="n">
        <v>16.37621</v>
      </c>
      <c r="V595" t="n">
        <v>37.46064</v>
      </c>
      <c r="W595" t="n">
        <v>31.58727</v>
      </c>
      <c r="X595" t="n">
        <v>35.47112</v>
      </c>
      <c r="Y595" t="n">
        <v>23.64042</v>
      </c>
      <c r="Z595" t="n">
        <v>26.30262</v>
      </c>
      <c r="AA595" t="n">
        <v>2.604004</v>
      </c>
      <c r="AB595" t="n">
        <v>43.66156</v>
      </c>
      <c r="AC595" t="n">
        <v>4.62368</v>
      </c>
      <c r="AD595" t="n">
        <v>39.61605</v>
      </c>
      <c r="AE595" t="n">
        <v>16.92791</v>
      </c>
    </row>
    <row r="596">
      <c r="A596" s="90" t="n">
        <v>36708</v>
      </c>
      <c r="B596" t="n">
        <v>24.29036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15.24119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38.47515</v>
      </c>
      <c r="N596" t="n">
        <v>29.84241</v>
      </c>
      <c r="O596" t="n">
        <v>15.74661</v>
      </c>
      <c r="P596" t="n">
        <v>10.82681</v>
      </c>
      <c r="Q596" t="n">
        <v>16.5167</v>
      </c>
      <c r="R596" t="n">
        <v>28.7978</v>
      </c>
      <c r="S596" t="n">
        <v>79.14165</v>
      </c>
      <c r="T596" t="n">
        <v>29.64851</v>
      </c>
      <c r="U596" t="n">
        <v>16.63985</v>
      </c>
      <c r="V596" t="n">
        <v>37.82044</v>
      </c>
      <c r="W596" t="n">
        <v>31.61743</v>
      </c>
      <c r="X596" t="n">
        <v>35.66753</v>
      </c>
      <c r="Y596" t="n">
        <v>23.84285</v>
      </c>
      <c r="Z596" t="n">
        <v>26.60752</v>
      </c>
      <c r="AA596" t="n">
        <v>2.714358</v>
      </c>
      <c r="AB596" t="n">
        <v>43.49865</v>
      </c>
      <c r="AC596" t="n">
        <v>4.796945</v>
      </c>
      <c r="AD596" t="n">
        <v>39.76217</v>
      </c>
      <c r="AE596" t="n">
        <v>16.90158</v>
      </c>
    </row>
    <row r="597">
      <c r="A597" s="90" t="n">
        <v>36739</v>
      </c>
      <c r="B597" t="n">
        <v>24.46687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15.29615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38.63866</v>
      </c>
      <c r="N597" t="n">
        <v>30.47935</v>
      </c>
      <c r="O597" t="n">
        <v>15.82709</v>
      </c>
      <c r="P597" t="n">
        <v>10.91949</v>
      </c>
      <c r="Q597" t="n">
        <v>16.66068</v>
      </c>
      <c r="R597" t="n">
        <v>29.11098</v>
      </c>
      <c r="S597" t="n">
        <v>79.28072</v>
      </c>
      <c r="T597" t="n">
        <v>29.86609</v>
      </c>
      <c r="U597" t="n">
        <v>16.83659</v>
      </c>
      <c r="V597" t="n">
        <v>38.16745</v>
      </c>
      <c r="W597" t="n">
        <v>31.88256</v>
      </c>
      <c r="X597" t="n">
        <v>35.88044</v>
      </c>
      <c r="Y597" t="n">
        <v>23.97156</v>
      </c>
      <c r="Z597" t="n">
        <v>26.25238</v>
      </c>
      <c r="AA597" t="n">
        <v>2.852458</v>
      </c>
      <c r="AB597" t="n">
        <v>43.4716</v>
      </c>
      <c r="AC597" t="n">
        <v>4.900766</v>
      </c>
      <c r="AD597" t="n">
        <v>39.99546</v>
      </c>
      <c r="AE597" t="n">
        <v>16.96479</v>
      </c>
    </row>
    <row r="598">
      <c r="A598" s="90" t="n">
        <v>36770</v>
      </c>
      <c r="B598" t="n">
        <v>24.60695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15.3471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38.77523</v>
      </c>
      <c r="N598" t="n">
        <v>31.28315</v>
      </c>
      <c r="O598" t="n">
        <v>15.87884</v>
      </c>
      <c r="P598" t="n">
        <v>11.04442</v>
      </c>
      <c r="Q598" t="n">
        <v>16.81042</v>
      </c>
      <c r="R598" t="n">
        <v>29.39069</v>
      </c>
      <c r="S598" t="n">
        <v>79.46066999999999</v>
      </c>
      <c r="T598" t="n">
        <v>30.0334</v>
      </c>
      <c r="U598" t="n">
        <v>17.04598</v>
      </c>
      <c r="V598" t="n">
        <v>38.81308</v>
      </c>
      <c r="W598" t="n">
        <v>32.12715</v>
      </c>
      <c r="X598" t="n">
        <v>36.11724</v>
      </c>
      <c r="Y598" t="n">
        <v>24.1402</v>
      </c>
      <c r="Z598" t="n">
        <v>26.47404</v>
      </c>
      <c r="AA598" t="n">
        <v>2.98524</v>
      </c>
      <c r="AB598" t="n">
        <v>43.46398</v>
      </c>
      <c r="AC598" t="n">
        <v>4.953609</v>
      </c>
      <c r="AD598" t="n">
        <v>40.29185</v>
      </c>
      <c r="AE598" t="n">
        <v>17.29513</v>
      </c>
    </row>
    <row r="599">
      <c r="A599" s="90" t="n">
        <v>36800</v>
      </c>
      <c r="B599" t="n">
        <v>24.71902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15.54081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38.99149</v>
      </c>
      <c r="N599" t="n">
        <v>31.75638</v>
      </c>
      <c r="O599" t="n">
        <v>16.16258</v>
      </c>
      <c r="P599" t="n">
        <v>11.21075</v>
      </c>
      <c r="Q599" t="n">
        <v>16.98198</v>
      </c>
      <c r="R599" t="n">
        <v>29.65748</v>
      </c>
      <c r="S599" t="n">
        <v>79.62428</v>
      </c>
      <c r="T599" t="n">
        <v>30.17164</v>
      </c>
      <c r="U599" t="n">
        <v>17.30095</v>
      </c>
      <c r="V599" t="n">
        <v>38.98443</v>
      </c>
      <c r="W599" t="n">
        <v>32.2446</v>
      </c>
      <c r="X599" t="n">
        <v>36.29381</v>
      </c>
      <c r="Y599" t="n">
        <v>24.33477</v>
      </c>
      <c r="Z599" t="n">
        <v>26.90085</v>
      </c>
      <c r="AA599" t="n">
        <v>3.110444</v>
      </c>
      <c r="AB599" t="n">
        <v>43.27105</v>
      </c>
      <c r="AC599" t="n">
        <v>5.050842</v>
      </c>
      <c r="AD599" t="n">
        <v>40.42468</v>
      </c>
      <c r="AE599" t="n">
        <v>17.51264</v>
      </c>
    </row>
    <row r="600">
      <c r="A600" s="90" t="n">
        <v>36831</v>
      </c>
      <c r="B600" t="n">
        <v>24.62376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15.73134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39.4349</v>
      </c>
      <c r="N600" t="n">
        <v>32.08614</v>
      </c>
      <c r="O600" t="n">
        <v>16.52472</v>
      </c>
      <c r="P600" t="n">
        <v>11.44868</v>
      </c>
      <c r="Q600" t="n">
        <v>17.17207</v>
      </c>
      <c r="R600" t="n">
        <v>30.13965</v>
      </c>
      <c r="S600" t="n">
        <v>79.657</v>
      </c>
      <c r="T600" t="n">
        <v>30.35191</v>
      </c>
      <c r="U600" t="n">
        <v>17.45423</v>
      </c>
      <c r="V600" t="n">
        <v>39.06706</v>
      </c>
      <c r="W600" t="n">
        <v>32.16275</v>
      </c>
      <c r="X600" t="n">
        <v>36.45594</v>
      </c>
      <c r="Y600" t="n">
        <v>24.62217</v>
      </c>
      <c r="Z600" t="n">
        <v>27.37924</v>
      </c>
      <c r="AA600" t="n">
        <v>3.227493</v>
      </c>
      <c r="AB600" t="n">
        <v>43.38767</v>
      </c>
      <c r="AC600" t="n">
        <v>5.158082</v>
      </c>
      <c r="AD600" t="n">
        <v>40.51683</v>
      </c>
      <c r="AE600" t="n">
        <v>17.61206</v>
      </c>
    </row>
    <row r="601">
      <c r="A601" s="90" t="n">
        <v>36861</v>
      </c>
      <c r="B601" t="n">
        <v>24.5145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15.79481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39.83585</v>
      </c>
      <c r="N601" t="n">
        <v>32.1683</v>
      </c>
      <c r="O601" t="n">
        <v>16.79229</v>
      </c>
      <c r="P601" t="n">
        <v>11.70729</v>
      </c>
      <c r="Q601" t="n">
        <v>17.35549</v>
      </c>
      <c r="R601" t="n">
        <v>30.67148</v>
      </c>
      <c r="S601" t="n">
        <v>79.6161</v>
      </c>
      <c r="T601" t="n">
        <v>30.51723</v>
      </c>
      <c r="U601" t="n">
        <v>18.81943</v>
      </c>
      <c r="V601" t="n">
        <v>39.40491</v>
      </c>
      <c r="W601" t="n">
        <v>32.23411</v>
      </c>
      <c r="X601" t="n">
        <v>36.89098</v>
      </c>
      <c r="Y601" t="n">
        <v>24.86829</v>
      </c>
      <c r="Z601" t="n">
        <v>27.5067</v>
      </c>
      <c r="AA601" t="n">
        <v>3.318488</v>
      </c>
      <c r="AB601" t="n">
        <v>43.33724</v>
      </c>
      <c r="AC601" t="n">
        <v>5.268686</v>
      </c>
      <c r="AD601" t="n">
        <v>40.88794</v>
      </c>
      <c r="AE601" t="n">
        <v>17.87616</v>
      </c>
    </row>
    <row r="602">
      <c r="A602" s="90" t="n">
        <v>36892</v>
      </c>
      <c r="B602" t="n">
        <v>24.70221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15.82271</v>
      </c>
      <c r="I602" t="n">
        <v/>
      </c>
      <c r="J602" t="n">
        <v>41.72195</v>
      </c>
      <c r="K602" t="n">
        <v>35.88235</v>
      </c>
      <c r="L602" t="n">
        <v>46.85896</v>
      </c>
      <c r="M602" t="n">
        <v>40.34105</v>
      </c>
      <c r="N602" t="n">
        <v>32.3005</v>
      </c>
      <c r="O602" t="n">
        <v>16.95087</v>
      </c>
      <c r="P602" t="n">
        <v>11.84291</v>
      </c>
      <c r="Q602" t="n">
        <v>17.52728</v>
      </c>
      <c r="R602" t="n">
        <v>31.09314</v>
      </c>
      <c r="S602" t="n">
        <v>79.75516</v>
      </c>
      <c r="T602" t="n">
        <v>30.72741</v>
      </c>
      <c r="U602" t="n">
        <v>20.08912</v>
      </c>
      <c r="V602" t="n">
        <v>39.65475</v>
      </c>
      <c r="W602" t="n">
        <v>32.42273</v>
      </c>
      <c r="X602" t="n">
        <v>37.35046</v>
      </c>
      <c r="Y602" t="n">
        <v>25.15841</v>
      </c>
      <c r="Z602" t="n">
        <v>27.60328</v>
      </c>
      <c r="AA602" t="n">
        <v>3.397426</v>
      </c>
      <c r="AB602" t="n">
        <v>43.14142</v>
      </c>
      <c r="AC602" t="n">
        <v>5.389837</v>
      </c>
      <c r="AD602" t="n">
        <v>41.30886</v>
      </c>
      <c r="AE602" t="n">
        <v>18.21089</v>
      </c>
    </row>
    <row r="603">
      <c r="A603" s="90" t="n">
        <v>36923</v>
      </c>
      <c r="B603" t="n">
        <v>24.99078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15.95621</v>
      </c>
      <c r="I603" t="n">
        <v>12.03452</v>
      </c>
      <c r="J603" t="n">
        <v>42.09893</v>
      </c>
      <c r="K603" t="n">
        <v>36.69334</v>
      </c>
      <c r="L603" t="n">
        <v>47.50601</v>
      </c>
      <c r="M603" t="n">
        <v>40.51453</v>
      </c>
      <c r="N603" t="n">
        <v>32.78416</v>
      </c>
      <c r="O603" t="n">
        <v>17.17239</v>
      </c>
      <c r="P603" t="n">
        <v>11.93126</v>
      </c>
      <c r="Q603" t="n">
        <v>17.70635</v>
      </c>
      <c r="R603" t="n">
        <v>31.85416</v>
      </c>
      <c r="S603" t="n">
        <v>79.9024</v>
      </c>
      <c r="T603" t="n">
        <v>31.00329</v>
      </c>
      <c r="U603" t="n">
        <v>20.20574</v>
      </c>
      <c r="V603" t="n">
        <v>40.14575</v>
      </c>
      <c r="W603" t="n">
        <v>32.57542</v>
      </c>
      <c r="X603" t="n">
        <v>37.68395</v>
      </c>
      <c r="Y603" t="n">
        <v>25.67922</v>
      </c>
      <c r="Z603" t="n">
        <v>27.94683</v>
      </c>
      <c r="AA603" t="n">
        <v>3.473006</v>
      </c>
      <c r="AB603" t="n">
        <v>42.77682</v>
      </c>
      <c r="AC603" t="n">
        <v>5.858421</v>
      </c>
      <c r="AD603" t="n">
        <v>41.62766</v>
      </c>
      <c r="AE603" t="n">
        <v>18.42745</v>
      </c>
    </row>
    <row r="604">
      <c r="A604" s="90" t="n">
        <v>36951</v>
      </c>
      <c r="B604" t="n">
        <v>25.27655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16.03375</v>
      </c>
      <c r="I604" t="n">
        <v>12.41537</v>
      </c>
      <c r="J604" t="n">
        <v>42.22361</v>
      </c>
      <c r="K604" t="n">
        <v>37.14583</v>
      </c>
      <c r="L604" t="n">
        <v>47.80643</v>
      </c>
      <c r="M604" t="n">
        <v>40.8614</v>
      </c>
      <c r="N604" t="n">
        <v>33.27289</v>
      </c>
      <c r="O604" t="n">
        <v>17.58521</v>
      </c>
      <c r="P604" t="n">
        <v>12.06677</v>
      </c>
      <c r="Q604" t="n">
        <v>17.90319</v>
      </c>
      <c r="R604" t="n">
        <v>32.41607</v>
      </c>
      <c r="S604" t="n">
        <v>79.96783000000001</v>
      </c>
      <c r="T604" t="n">
        <v>31.19406</v>
      </c>
      <c r="U604" t="n">
        <v>20.45307</v>
      </c>
      <c r="V604" t="n">
        <v>40.44921</v>
      </c>
      <c r="W604" t="n">
        <v>32.93687</v>
      </c>
      <c r="X604" t="n">
        <v>38.17135</v>
      </c>
      <c r="Y604" t="n">
        <v>26.47633</v>
      </c>
      <c r="Z604" t="n">
        <v>28.32005</v>
      </c>
      <c r="AA604" t="n">
        <v>3.585397</v>
      </c>
      <c r="AB604" t="n">
        <v>42.64083</v>
      </c>
      <c r="AC604" t="n">
        <v>6.641609</v>
      </c>
      <c r="AD604" t="n">
        <v>42.10835</v>
      </c>
      <c r="AE604" t="n">
        <v>18.68356</v>
      </c>
    </row>
    <row r="605">
      <c r="A605" s="90" t="n">
        <v>36982</v>
      </c>
      <c r="B605" t="n">
        <v>25.5315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16.03559</v>
      </c>
      <c r="I605" t="n">
        <v>12.47053</v>
      </c>
      <c r="J605" t="n">
        <v>42.64311</v>
      </c>
      <c r="K605" t="n">
        <v>37.22532</v>
      </c>
      <c r="L605" t="n">
        <v>48.22163</v>
      </c>
      <c r="M605" t="n">
        <v>41.39292</v>
      </c>
      <c r="N605" t="n">
        <v>33.70102</v>
      </c>
      <c r="O605" t="n">
        <v>18.05528</v>
      </c>
      <c r="P605" t="n">
        <v>12.22381</v>
      </c>
      <c r="Q605" t="n">
        <v>18.10699</v>
      </c>
      <c r="R605" t="n">
        <v>32.5296</v>
      </c>
      <c r="S605" t="n">
        <v>80.1069</v>
      </c>
      <c r="T605" t="n">
        <v>31.3532</v>
      </c>
      <c r="U605" t="n">
        <v>20.71972</v>
      </c>
      <c r="V605" t="n">
        <v>40.52355</v>
      </c>
      <c r="W605" t="n">
        <v>33.28064</v>
      </c>
      <c r="X605" t="n">
        <v>38.63735</v>
      </c>
      <c r="Y605" t="n">
        <v>27.16184</v>
      </c>
      <c r="Z605" t="n">
        <v>28.68064</v>
      </c>
      <c r="AA605" t="n">
        <v>3.691728</v>
      </c>
      <c r="AB605" t="n">
        <v>43.09443</v>
      </c>
      <c r="AC605" t="n">
        <v>7.212993</v>
      </c>
      <c r="AD605" t="n">
        <v>42.63885</v>
      </c>
      <c r="AE605" t="n">
        <v>18.89667</v>
      </c>
    </row>
    <row r="606">
      <c r="A606" s="90" t="n">
        <v>37012</v>
      </c>
      <c r="B606" t="n">
        <v>25.81446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16.11854</v>
      </c>
      <c r="I606" t="n">
        <v>12.50014</v>
      </c>
      <c r="J606" t="n">
        <v>43.69921</v>
      </c>
      <c r="K606" t="n">
        <v>37.1704</v>
      </c>
      <c r="L606" t="n">
        <v>48.61637</v>
      </c>
      <c r="M606" t="n">
        <v>41.46016</v>
      </c>
      <c r="N606" t="n">
        <v>34.19259</v>
      </c>
      <c r="O606" t="n">
        <v>18.21256</v>
      </c>
      <c r="P606" t="n">
        <v>12.41516</v>
      </c>
      <c r="Q606" t="n">
        <v>18.31321</v>
      </c>
      <c r="R606" t="n">
        <v>32.8139</v>
      </c>
      <c r="S606" t="n">
        <v>80.26231</v>
      </c>
      <c r="T606" t="n">
        <v>31.6367</v>
      </c>
      <c r="U606" t="n">
        <v>21.00297</v>
      </c>
      <c r="V606" t="n">
        <v>40.86562</v>
      </c>
      <c r="W606" t="n">
        <v>33.48443</v>
      </c>
      <c r="X606" t="n">
        <v>38.81586</v>
      </c>
      <c r="Y606" t="n">
        <v>27.55464</v>
      </c>
      <c r="Z606" t="n">
        <v>28.87013</v>
      </c>
      <c r="AA606" t="n">
        <v>3.785321</v>
      </c>
      <c r="AB606" t="n">
        <v>43.39737</v>
      </c>
      <c r="AC606" t="n">
        <v>7.556115</v>
      </c>
      <c r="AD606" t="n">
        <v>42.61478</v>
      </c>
      <c r="AE606" t="n">
        <v>19.06473</v>
      </c>
    </row>
    <row r="607">
      <c r="A607" s="90" t="n">
        <v>37043</v>
      </c>
      <c r="B607" t="n">
        <v>26.11424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16.2677</v>
      </c>
      <c r="I607" t="n">
        <v>12.60956</v>
      </c>
      <c r="J607" t="n">
        <v>44.39595</v>
      </c>
      <c r="K607" t="n">
        <v>37.57505</v>
      </c>
      <c r="L607" t="n">
        <v>48.9962</v>
      </c>
      <c r="M607" t="n">
        <v>41.56565</v>
      </c>
      <c r="N607" t="n">
        <v>34.52328</v>
      </c>
      <c r="O607" t="n">
        <v>18.19463</v>
      </c>
      <c r="P607" t="n">
        <v>12.59801</v>
      </c>
      <c r="Q607" t="n">
        <v>18.52725</v>
      </c>
      <c r="R607" t="n">
        <v>33.18882</v>
      </c>
      <c r="S607" t="n">
        <v>80.41773000000001</v>
      </c>
      <c r="T607" t="n">
        <v>32.0428</v>
      </c>
      <c r="U607" t="n">
        <v>21.23309</v>
      </c>
      <c r="V607" t="n">
        <v>41.18037</v>
      </c>
      <c r="W607" t="n">
        <v>33.70679</v>
      </c>
      <c r="X607" t="n">
        <v>39.15133</v>
      </c>
      <c r="Y607" t="n">
        <v>27.98714</v>
      </c>
      <c r="Z607" t="n">
        <v>29.0166</v>
      </c>
      <c r="AA607" t="n">
        <v>3.885535</v>
      </c>
      <c r="AB607" t="n">
        <v>44.47362</v>
      </c>
      <c r="AC607" t="n">
        <v>7.915514</v>
      </c>
      <c r="AD607" t="n">
        <v>42.95102</v>
      </c>
      <c r="AE607" t="n">
        <v>19.31937</v>
      </c>
    </row>
    <row r="608">
      <c r="A608" s="90" t="n">
        <v>37073</v>
      </c>
      <c r="B608" t="n">
        <v>26.2039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16.37705</v>
      </c>
      <c r="I608" t="n">
        <v>12.68941</v>
      </c>
      <c r="J608" t="n">
        <v>44.63211</v>
      </c>
      <c r="K608" t="n">
        <v>37.82822</v>
      </c>
      <c r="L608" t="n">
        <v>49.16439</v>
      </c>
      <c r="M608" t="n">
        <v>41.95937</v>
      </c>
      <c r="N608" t="n">
        <v>34.71278</v>
      </c>
      <c r="O608" t="n">
        <v>18.00674</v>
      </c>
      <c r="P608" t="n">
        <v>12.73767</v>
      </c>
      <c r="Q608" t="n">
        <v>18.74914</v>
      </c>
      <c r="R608" t="n">
        <v>33.43198</v>
      </c>
      <c r="S608" t="n">
        <v>80.54044</v>
      </c>
      <c r="T608" t="n">
        <v>32.43216</v>
      </c>
      <c r="U608" t="n">
        <v>21.44032</v>
      </c>
      <c r="V608" t="n">
        <v>41.28309</v>
      </c>
      <c r="W608" t="n">
        <v>33.91681</v>
      </c>
      <c r="X608" t="n">
        <v>39.42744</v>
      </c>
      <c r="Y608" t="n">
        <v>28.37606</v>
      </c>
      <c r="Z608" t="n">
        <v>29.33099</v>
      </c>
      <c r="AA608" t="n">
        <v>3.97285</v>
      </c>
      <c r="AB608" t="n">
        <v>44.76649</v>
      </c>
      <c r="AC608" t="n">
        <v>8.193991</v>
      </c>
      <c r="AD608" t="n">
        <v>43.19925</v>
      </c>
      <c r="AE608" t="n">
        <v>19.63999</v>
      </c>
    </row>
    <row r="609">
      <c r="A609" s="90" t="n">
        <v>37104</v>
      </c>
      <c r="B609" t="n">
        <v>26.36639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16.50525</v>
      </c>
      <c r="I609" t="n">
        <v>12.82344</v>
      </c>
      <c r="J609" t="n">
        <v>45.12789</v>
      </c>
      <c r="K609" t="n">
        <v>38.18191</v>
      </c>
      <c r="L609" t="n">
        <v>49.14432</v>
      </c>
      <c r="M609" t="n">
        <v>42.45982</v>
      </c>
      <c r="N609" t="n">
        <v>35.27332</v>
      </c>
      <c r="O609" t="n">
        <v>17.81949</v>
      </c>
      <c r="P609" t="n">
        <v>12.86392</v>
      </c>
      <c r="Q609" t="n">
        <v>18.98635</v>
      </c>
      <c r="R609" t="n">
        <v>33.7075</v>
      </c>
      <c r="S609" t="n">
        <v>80.6386</v>
      </c>
      <c r="T609" t="n">
        <v>32.76596</v>
      </c>
      <c r="U609" t="n">
        <v>21.78383</v>
      </c>
      <c r="V609" t="n">
        <v>41.58705</v>
      </c>
      <c r="W609" t="n">
        <v>34.07694</v>
      </c>
      <c r="X609" t="n">
        <v>39.78549</v>
      </c>
      <c r="Y609" t="n">
        <v>28.94679</v>
      </c>
      <c r="Z609" t="n">
        <v>29.75009</v>
      </c>
      <c r="AA609" t="n">
        <v>4.085084</v>
      </c>
      <c r="AB609" t="n">
        <v>44.34686</v>
      </c>
      <c r="AC609" t="n">
        <v>8.651270999999999</v>
      </c>
      <c r="AD609" t="n">
        <v>43.47986</v>
      </c>
      <c r="AE609" t="n">
        <v>20.06904</v>
      </c>
    </row>
    <row r="610">
      <c r="A610" s="90" t="n">
        <v>37135</v>
      </c>
      <c r="B610" t="n">
        <v>26.76423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16.64544</v>
      </c>
      <c r="I610" t="n">
        <v>13.32555</v>
      </c>
      <c r="J610" t="n">
        <v>45.18363</v>
      </c>
      <c r="K610" t="n">
        <v>38.84314</v>
      </c>
      <c r="L610" t="n">
        <v>49.39537</v>
      </c>
      <c r="M610" t="n">
        <v>42.76073</v>
      </c>
      <c r="N610" t="n">
        <v>35.87148</v>
      </c>
      <c r="O610" t="n">
        <v>18.04943</v>
      </c>
      <c r="P610" t="n">
        <v>12.97775</v>
      </c>
      <c r="Q610" t="n">
        <v>19.23208</v>
      </c>
      <c r="R610" t="n">
        <v>34.19415</v>
      </c>
      <c r="S610" t="n">
        <v>80.81037999999999</v>
      </c>
      <c r="T610" t="n">
        <v>33.31082</v>
      </c>
      <c r="U610" t="n">
        <v>22.15535</v>
      </c>
      <c r="V610" t="n">
        <v>41.94164</v>
      </c>
      <c r="W610" t="n">
        <v>34.46535</v>
      </c>
      <c r="X610" t="n">
        <v>40.49923</v>
      </c>
      <c r="Y610" t="n">
        <v>29.65874</v>
      </c>
      <c r="Z610" t="n">
        <v>30.04326</v>
      </c>
      <c r="AA610" t="n">
        <v>4.218205</v>
      </c>
      <c r="AB610" t="n">
        <v>45.01808</v>
      </c>
      <c r="AC610" t="n">
        <v>9.299973</v>
      </c>
      <c r="AD610" t="n">
        <v>44.40306</v>
      </c>
      <c r="AE610" t="n">
        <v>20.20996</v>
      </c>
    </row>
    <row r="611">
      <c r="A611" s="90" t="n">
        <v>37165</v>
      </c>
      <c r="B611" t="n">
        <v>27.15926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16.89518</v>
      </c>
      <c r="I611" t="n">
        <v>13.83937</v>
      </c>
      <c r="J611" t="n">
        <v>45.07508</v>
      </c>
      <c r="K611" t="n">
        <v>39.073</v>
      </c>
      <c r="L611" t="n">
        <v>49.76244</v>
      </c>
      <c r="M611" t="n">
        <v>43.10655</v>
      </c>
      <c r="N611" t="n">
        <v>36.38953</v>
      </c>
      <c r="O611" t="n">
        <v>18.43945</v>
      </c>
      <c r="P611" t="n">
        <v>13.08113</v>
      </c>
      <c r="Q611" t="n">
        <v>19.45749</v>
      </c>
      <c r="R611" t="n">
        <v>34.56884</v>
      </c>
      <c r="S611" t="n">
        <v>80.89216999999999</v>
      </c>
      <c r="T611" t="n">
        <v>33.68596</v>
      </c>
      <c r="U611" t="n">
        <v>22.4266</v>
      </c>
      <c r="V611" t="n">
        <v>42.14647</v>
      </c>
      <c r="W611" t="n">
        <v>34.82935</v>
      </c>
      <c r="X611" t="n">
        <v>40.6801</v>
      </c>
      <c r="Y611" t="n">
        <v>30.16337</v>
      </c>
      <c r="Z611" t="n">
        <v>30.26114</v>
      </c>
      <c r="AA611" t="n">
        <v>4.347397</v>
      </c>
      <c r="AB611" t="n">
        <v>45.61308</v>
      </c>
      <c r="AC611" t="n">
        <v>9.709228</v>
      </c>
      <c r="AD611" t="n">
        <v>44.30924</v>
      </c>
      <c r="AE611" t="n">
        <v>20.2001</v>
      </c>
    </row>
    <row r="612">
      <c r="A612" s="90" t="n">
        <v>37196</v>
      </c>
      <c r="B612" t="n">
        <v>27.52628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17.08307</v>
      </c>
      <c r="I612" t="n">
        <v>14.12193</v>
      </c>
      <c r="J612" t="n">
        <v>45.54887</v>
      </c>
      <c r="K612" t="n">
        <v>39.37552</v>
      </c>
      <c r="L612" t="n">
        <v>50.14284</v>
      </c>
      <c r="M612" t="n">
        <v>43.53143</v>
      </c>
      <c r="N612" t="n">
        <v>36.70467</v>
      </c>
      <c r="O612" t="n">
        <v>18.80783</v>
      </c>
      <c r="P612" t="n">
        <v>13.23063</v>
      </c>
      <c r="Q612" t="n">
        <v>19.65967</v>
      </c>
      <c r="R612" t="n">
        <v>34.74983</v>
      </c>
      <c r="S612" t="n">
        <v>81.03122999999999</v>
      </c>
      <c r="T612" t="n">
        <v>33.7134</v>
      </c>
      <c r="U612" t="n">
        <v>22.76315</v>
      </c>
      <c r="V612" t="n">
        <v>42.34332</v>
      </c>
      <c r="W612" t="n">
        <v>34.62373</v>
      </c>
      <c r="X612" t="n">
        <v>40.97657</v>
      </c>
      <c r="Y612" t="n">
        <v>30.40157</v>
      </c>
      <c r="Z612" t="n">
        <v>30.09591</v>
      </c>
      <c r="AA612" t="n">
        <v>4.489439</v>
      </c>
      <c r="AB612" t="n">
        <v>45.84876</v>
      </c>
      <c r="AC612" t="n">
        <v>9.810295</v>
      </c>
      <c r="AD612" t="n">
        <v>44.67205</v>
      </c>
      <c r="AE612" t="n">
        <v>20.48095</v>
      </c>
    </row>
    <row r="613">
      <c r="A613" s="90" t="n">
        <v>37226</v>
      </c>
      <c r="B613" t="n">
        <v>27.81205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17.13853</v>
      </c>
      <c r="I613" t="n">
        <v>14.4059</v>
      </c>
      <c r="J613" t="n">
        <v>46.36295</v>
      </c>
      <c r="K613" t="n">
        <v>38.89782</v>
      </c>
      <c r="L613" t="n">
        <v>50.88321</v>
      </c>
      <c r="M613" t="n">
        <v>43.70556</v>
      </c>
      <c r="N613" t="n">
        <v>37.13829</v>
      </c>
      <c r="O613" t="n">
        <v>19.00094</v>
      </c>
      <c r="P613" t="n">
        <v>13.40002</v>
      </c>
      <c r="Q613" t="n">
        <v>19.863</v>
      </c>
      <c r="R613" t="n">
        <v>34.8479</v>
      </c>
      <c r="S613" t="n">
        <v>81.19484</v>
      </c>
      <c r="T613" t="n">
        <v>33.87769</v>
      </c>
      <c r="U613" t="n">
        <v>22.75622</v>
      </c>
      <c r="V613" t="n">
        <v>42.65719</v>
      </c>
      <c r="W613" t="n">
        <v>34.44542</v>
      </c>
      <c r="X613" t="n">
        <v>41.21476</v>
      </c>
      <c r="Y613" t="n">
        <v>30.44322</v>
      </c>
      <c r="Z613" t="n">
        <v>29.9631</v>
      </c>
      <c r="AA613" t="n">
        <v>4.58225</v>
      </c>
      <c r="AB613" t="n">
        <v>44.45295</v>
      </c>
      <c r="AC613" t="n">
        <v>9.840127000000001</v>
      </c>
      <c r="AD613" t="n">
        <v>45.11206</v>
      </c>
      <c r="AE613" t="n">
        <v>20.87076</v>
      </c>
    </row>
    <row r="614">
      <c r="A614" s="90" t="n">
        <v>37257</v>
      </c>
      <c r="B614" t="n">
        <v>28.0754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17.14332</v>
      </c>
      <c r="I614" t="n">
        <v>14.61114</v>
      </c>
      <c r="J614" t="n">
        <v>43.05083</v>
      </c>
      <c r="K614" t="n">
        <v>37.96696</v>
      </c>
      <c r="L614" t="n">
        <v>51.29074</v>
      </c>
      <c r="M614" t="n">
        <v>43.44493</v>
      </c>
      <c r="N614" t="n">
        <v>37.61094</v>
      </c>
      <c r="O614" t="n">
        <v>19.16421</v>
      </c>
      <c r="P614" t="n">
        <v>13.51709</v>
      </c>
      <c r="Q614" t="n">
        <v>20.07222</v>
      </c>
      <c r="R614" t="n">
        <v>34.68172</v>
      </c>
      <c r="S614" t="n">
        <v>81.40752000000001</v>
      </c>
      <c r="T614" t="n">
        <v>34.34463</v>
      </c>
      <c r="U614" t="n">
        <v>22.5799</v>
      </c>
      <c r="V614" t="n">
        <v>43.27732</v>
      </c>
      <c r="W614" t="n">
        <v>34.597</v>
      </c>
      <c r="X614" t="n">
        <v>41.23146</v>
      </c>
      <c r="Y614" t="n">
        <v>30.09356</v>
      </c>
      <c r="Z614" t="n">
        <v>30.11077</v>
      </c>
      <c r="AA614" t="n">
        <v>4.626133</v>
      </c>
      <c r="AB614" t="n">
        <v>43.03252</v>
      </c>
      <c r="AC614" t="n">
        <v>9.646126000000001</v>
      </c>
      <c r="AD614" t="n">
        <v>45.28059</v>
      </c>
      <c r="AE614" t="n">
        <v>21.56531</v>
      </c>
    </row>
    <row r="615">
      <c r="A615" s="90" t="n">
        <v>37288</v>
      </c>
      <c r="B615" t="n">
        <v>28.29113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17.14559</v>
      </c>
      <c r="I615" t="n">
        <v>14.82305</v>
      </c>
      <c r="J615" t="n">
        <v>39.34455</v>
      </c>
      <c r="K615" t="n">
        <v>37.72788</v>
      </c>
      <c r="L615" t="n">
        <v>51.21761</v>
      </c>
      <c r="M615" t="n">
        <v>43.28376</v>
      </c>
      <c r="N615" t="n">
        <v>37.22895</v>
      </c>
      <c r="O615" t="n">
        <v>19.25138</v>
      </c>
      <c r="P615" t="n">
        <v>13.6293</v>
      </c>
      <c r="Q615" t="n">
        <v>20.27951</v>
      </c>
      <c r="R615" t="n">
        <v>34.48689</v>
      </c>
      <c r="S615" t="n">
        <v>81.51385000000001</v>
      </c>
      <c r="T615" t="n">
        <v>34.8883</v>
      </c>
      <c r="U615" t="n">
        <v>22.69387</v>
      </c>
      <c r="V615" t="n">
        <v>43.64259</v>
      </c>
      <c r="W615" t="n">
        <v>34.79866</v>
      </c>
      <c r="X615" t="n">
        <v>41.36915</v>
      </c>
      <c r="Y615" t="n">
        <v>29.96995</v>
      </c>
      <c r="Z615" t="n">
        <v>30.14452</v>
      </c>
      <c r="AA615" t="n">
        <v>4.685274</v>
      </c>
      <c r="AB615" t="n">
        <v>42.95807</v>
      </c>
      <c r="AC615" t="n">
        <v>9.743899000000001</v>
      </c>
      <c r="AD615" t="n">
        <v>45.52384</v>
      </c>
      <c r="AE615" t="n">
        <v>22.21117</v>
      </c>
    </row>
    <row r="616">
      <c r="A616" s="90" t="n">
        <v>37316</v>
      </c>
      <c r="B616" t="n">
        <v>28.56289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17.252</v>
      </c>
      <c r="I616" t="n">
        <v>15.02411</v>
      </c>
      <c r="J616" t="n">
        <v>39.22802</v>
      </c>
      <c r="K616" t="n">
        <v>37.69255</v>
      </c>
      <c r="L616" t="n">
        <v>51.39721</v>
      </c>
      <c r="M616" t="n">
        <v>43.54344</v>
      </c>
      <c r="N616" t="n">
        <v>36.7953</v>
      </c>
      <c r="O616" t="n">
        <v>19.26405</v>
      </c>
      <c r="P616" t="n">
        <v>13.76843</v>
      </c>
      <c r="Q616" t="n">
        <v>20.49522</v>
      </c>
      <c r="R616" t="n">
        <v>34.59703</v>
      </c>
      <c r="S616" t="n">
        <v>81.67746</v>
      </c>
      <c r="T616" t="n">
        <v>35.43617</v>
      </c>
      <c r="U616" t="n">
        <v>22.89443</v>
      </c>
      <c r="V616" t="n">
        <v>43.66885</v>
      </c>
      <c r="W616" t="n">
        <v>35.49131</v>
      </c>
      <c r="X616" t="n">
        <v>41.55024</v>
      </c>
      <c r="Y616" t="n">
        <v>30.1928</v>
      </c>
      <c r="Z616" t="n">
        <v>29.91855</v>
      </c>
      <c r="AA616" t="n">
        <v>4.741384</v>
      </c>
      <c r="AB616" t="n">
        <v>43.35147</v>
      </c>
      <c r="AC616" t="n">
        <v>10.06746</v>
      </c>
      <c r="AD616" t="n">
        <v>45.62181</v>
      </c>
      <c r="AE616" t="n">
        <v>22.47052</v>
      </c>
    </row>
    <row r="617">
      <c r="A617" s="90" t="n">
        <v>37347</v>
      </c>
      <c r="B617" t="n">
        <v>28.36397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17.41844</v>
      </c>
      <c r="I617" t="n">
        <v>15.15088</v>
      </c>
      <c r="J617" t="n">
        <v>39.3511</v>
      </c>
      <c r="K617" t="n">
        <v>37.92851</v>
      </c>
      <c r="L617" t="n">
        <v>51.7527</v>
      </c>
      <c r="M617" t="n">
        <v>43.6649</v>
      </c>
      <c r="N617" t="n">
        <v>37.14492</v>
      </c>
      <c r="O617" t="n">
        <v>19.22424</v>
      </c>
      <c r="P617" t="n">
        <v>13.94097</v>
      </c>
      <c r="Q617" t="n">
        <v>20.7202</v>
      </c>
      <c r="R617" t="n">
        <v>34.92786</v>
      </c>
      <c r="S617" t="n">
        <v>81.79198</v>
      </c>
      <c r="T617" t="n">
        <v>35.93548</v>
      </c>
      <c r="U617" t="n">
        <v>23.06218</v>
      </c>
      <c r="V617" t="n">
        <v>43.81077</v>
      </c>
      <c r="W617" t="n">
        <v>35.93718</v>
      </c>
      <c r="X617" t="n">
        <v>41.64082</v>
      </c>
      <c r="Y617" t="n">
        <v>30.32602</v>
      </c>
      <c r="Z617" t="n">
        <v>29.65802</v>
      </c>
      <c r="AA617" t="n">
        <v>4.823774</v>
      </c>
      <c r="AB617" t="n">
        <v>44.17275</v>
      </c>
      <c r="AC617" t="n">
        <v>10.1795</v>
      </c>
      <c r="AD617" t="n">
        <v>45.62347</v>
      </c>
      <c r="AE617" t="n">
        <v>22.73351</v>
      </c>
    </row>
    <row r="618">
      <c r="A618" s="90" t="n">
        <v>37377</v>
      </c>
      <c r="B618" t="n">
        <v>28.0754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17.58132</v>
      </c>
      <c r="I618" t="n">
        <v>15.33922</v>
      </c>
      <c r="J618" t="n">
        <v>39.91948</v>
      </c>
      <c r="K618" t="n">
        <v>38.17521</v>
      </c>
      <c r="L618" t="n">
        <v>52.13582</v>
      </c>
      <c r="M618" t="n">
        <v>43.86477</v>
      </c>
      <c r="N618" t="n">
        <v>37.55031</v>
      </c>
      <c r="O618" t="n">
        <v>19.1845</v>
      </c>
      <c r="P618" t="n">
        <v>14.35914</v>
      </c>
      <c r="Q618" t="n">
        <v>20.94656</v>
      </c>
      <c r="R618" t="n">
        <v>35.28466</v>
      </c>
      <c r="S618" t="n">
        <v>81.90649999999999</v>
      </c>
      <c r="T618" t="n">
        <v>36.25738</v>
      </c>
      <c r="U618" t="n">
        <v>23.16734</v>
      </c>
      <c r="V618" t="n">
        <v>43.89497</v>
      </c>
      <c r="W618" t="n">
        <v>35.85844</v>
      </c>
      <c r="X618" t="n">
        <v>41.84613</v>
      </c>
      <c r="Y618" t="n">
        <v>30.65156</v>
      </c>
      <c r="Z618" t="n">
        <v>29.83765</v>
      </c>
      <c r="AA618" t="n">
        <v>4.959793</v>
      </c>
      <c r="AB618" t="n">
        <v>44.46016</v>
      </c>
      <c r="AC618" t="n">
        <v>10.56251</v>
      </c>
      <c r="AD618" t="n">
        <v>45.84015</v>
      </c>
      <c r="AE618" t="n">
        <v>23.25074</v>
      </c>
    </row>
    <row r="619">
      <c r="A619" s="90" t="n">
        <v>37408</v>
      </c>
      <c r="B619" t="n">
        <v>27.99415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17.62736</v>
      </c>
      <c r="I619" t="n">
        <v>15.39474</v>
      </c>
      <c r="J619" t="n">
        <v>39.55446</v>
      </c>
      <c r="K619" t="n">
        <v>38.42575</v>
      </c>
      <c r="L619" t="n">
        <v>52.43296</v>
      </c>
      <c r="M619" t="n">
        <v>43.99125</v>
      </c>
      <c r="N619" t="n">
        <v>37.65195</v>
      </c>
      <c r="O619" t="n">
        <v>19.24552</v>
      </c>
      <c r="P619" t="n">
        <v>14.70696</v>
      </c>
      <c r="Q619" t="n">
        <v>21.18389</v>
      </c>
      <c r="R619" t="n">
        <v>35.43072</v>
      </c>
      <c r="S619" t="n">
        <v>81.97194</v>
      </c>
      <c r="T619" t="n">
        <v>36.45958</v>
      </c>
      <c r="U619" t="n">
        <v>23.28827</v>
      </c>
      <c r="V619" t="n">
        <v>44.43647</v>
      </c>
      <c r="W619" t="n">
        <v>36.35333</v>
      </c>
      <c r="X619" t="n">
        <v>42.05817</v>
      </c>
      <c r="Y619" t="n">
        <v>31.00506</v>
      </c>
      <c r="Z619" t="n">
        <v>30.00146</v>
      </c>
      <c r="AA619" t="n">
        <v>5.116888</v>
      </c>
      <c r="AB619" t="n">
        <v>44.82401</v>
      </c>
      <c r="AC619" t="n">
        <v>11.05595</v>
      </c>
      <c r="AD619" t="n">
        <v>46.04771</v>
      </c>
      <c r="AE619" t="n">
        <v>23.46191</v>
      </c>
    </row>
    <row r="620">
      <c r="A620" s="90" t="n">
        <v>37438</v>
      </c>
      <c r="B620" t="n">
        <v>28.08661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17.72612</v>
      </c>
      <c r="I620" t="n">
        <v>15.51408</v>
      </c>
      <c r="J620" t="n">
        <v>39.25058</v>
      </c>
      <c r="K620" t="n">
        <v>38.91029</v>
      </c>
      <c r="L620" t="n">
        <v>52.49494</v>
      </c>
      <c r="M620" t="n">
        <v>43.96528</v>
      </c>
      <c r="N620" t="n">
        <v>37.8603</v>
      </c>
      <c r="O620" t="n">
        <v>19.48093</v>
      </c>
      <c r="P620" t="n">
        <v>14.81467</v>
      </c>
      <c r="Q620" t="n">
        <v>21.42385</v>
      </c>
      <c r="R620" t="n">
        <v>35.24339</v>
      </c>
      <c r="S620" t="n">
        <v>82.08646</v>
      </c>
      <c r="T620" t="n">
        <v>36.67141</v>
      </c>
      <c r="U620" t="n">
        <v>23.44107</v>
      </c>
      <c r="V620" t="n">
        <v>44.86679</v>
      </c>
      <c r="W620" t="n">
        <v>36.74871</v>
      </c>
      <c r="X620" t="n">
        <v>42.36614</v>
      </c>
      <c r="Y620" t="n">
        <v>31.37605</v>
      </c>
      <c r="Z620" t="n">
        <v>30.06733</v>
      </c>
      <c r="AA620" t="n">
        <v>5.229802</v>
      </c>
      <c r="AB620" t="n">
        <v>45.34597</v>
      </c>
      <c r="AC620" t="n">
        <v>11.63259</v>
      </c>
      <c r="AD620" t="n">
        <v>46.40138</v>
      </c>
      <c r="AE620" t="n">
        <v>23.42545</v>
      </c>
    </row>
    <row r="621">
      <c r="A621" s="90" t="n">
        <v>37469</v>
      </c>
      <c r="B621" t="n">
        <v>28.56009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17.87828</v>
      </c>
      <c r="I621" t="n">
        <v>15.91788</v>
      </c>
      <c r="J621" t="n">
        <v>39.98293</v>
      </c>
      <c r="K621" t="n">
        <v>39.31642</v>
      </c>
      <c r="L621" t="n">
        <v>52.52822</v>
      </c>
      <c r="M621" t="n">
        <v>44.2438</v>
      </c>
      <c r="N621" t="n">
        <v>38.40334</v>
      </c>
      <c r="O621" t="n">
        <v>19.75081</v>
      </c>
      <c r="P621" t="n">
        <v>14.97889</v>
      </c>
      <c r="Q621" t="n">
        <v>21.64597</v>
      </c>
      <c r="R621" t="n">
        <v>35.27935</v>
      </c>
      <c r="S621" t="n">
        <v>82.19280000000001</v>
      </c>
      <c r="T621" t="n">
        <v>37.01773</v>
      </c>
      <c r="U621" t="n">
        <v>23.53311</v>
      </c>
      <c r="V621" t="n">
        <v>44.80066</v>
      </c>
      <c r="W621" t="n">
        <v>36.96954</v>
      </c>
      <c r="X621" t="n">
        <v>42.66776</v>
      </c>
      <c r="Y621" t="n">
        <v>31.69063</v>
      </c>
      <c r="Z621" t="n">
        <v>30.10386</v>
      </c>
      <c r="AA621" t="n">
        <v>5.33934</v>
      </c>
      <c r="AB621" t="n">
        <v>46.31201</v>
      </c>
      <c r="AC621" t="n">
        <v>11.87934</v>
      </c>
      <c r="AD621" t="n">
        <v>46.75422</v>
      </c>
      <c r="AE621" t="n">
        <v>23.71426</v>
      </c>
    </row>
    <row r="622">
      <c r="A622" s="90" t="n">
        <v>37500</v>
      </c>
      <c r="B622" t="n">
        <v>28.83185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18.05272</v>
      </c>
      <c r="I622" t="n">
        <v>16.32835</v>
      </c>
      <c r="J622" t="n">
        <v>40.28891</v>
      </c>
      <c r="K622" t="n">
        <v>39.81149</v>
      </c>
      <c r="L622" t="n">
        <v>52.81079</v>
      </c>
      <c r="M622" t="n">
        <v>44.6713</v>
      </c>
      <c r="N622" t="n">
        <v>38.71056</v>
      </c>
      <c r="O622" t="n">
        <v>19.89742</v>
      </c>
      <c r="P622" t="n">
        <v>15.12812</v>
      </c>
      <c r="Q622" t="n">
        <v>21.85909</v>
      </c>
      <c r="R622" t="n">
        <v>35.63161</v>
      </c>
      <c r="S622" t="n">
        <v>82.27460000000001</v>
      </c>
      <c r="T622" t="n">
        <v>37.43818</v>
      </c>
      <c r="U622" t="n">
        <v>23.52755</v>
      </c>
      <c r="V622" t="n">
        <v>44.66327</v>
      </c>
      <c r="W622" t="n">
        <v>37.20802</v>
      </c>
      <c r="X622" t="n">
        <v>42.8516</v>
      </c>
      <c r="Y622" t="n">
        <v>31.83808</v>
      </c>
      <c r="Z622" t="n">
        <v>29.9701</v>
      </c>
      <c r="AA622" t="n">
        <v>5.494407</v>
      </c>
      <c r="AB622" t="n">
        <v>46.52808</v>
      </c>
      <c r="AC622" t="n">
        <v>11.87021</v>
      </c>
      <c r="AD622" t="n">
        <v>46.95679</v>
      </c>
      <c r="AE622" t="n">
        <v>23.86353</v>
      </c>
    </row>
    <row r="623">
      <c r="A623" s="90" t="n">
        <v>37530</v>
      </c>
      <c r="B623" t="n">
        <v>29.00555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18.2034</v>
      </c>
      <c r="I623" t="n">
        <v>16.69778</v>
      </c>
      <c r="J623" t="n">
        <v>40.7126</v>
      </c>
      <c r="K623" t="n">
        <v>40.35091</v>
      </c>
      <c r="L623" t="n">
        <v>53.12784</v>
      </c>
      <c r="M623" t="n">
        <v>45.04079</v>
      </c>
      <c r="N623" t="n">
        <v>39.11728</v>
      </c>
      <c r="O623" t="n">
        <v>19.90388</v>
      </c>
      <c r="P623" t="n">
        <v>15.26559</v>
      </c>
      <c r="Q623" t="n">
        <v>22.08961</v>
      </c>
      <c r="R623" t="n">
        <v>35.89474</v>
      </c>
      <c r="S623" t="n">
        <v>82.38094</v>
      </c>
      <c r="T623" t="n">
        <v>37.93062</v>
      </c>
      <c r="U623" t="n">
        <v>23.57153</v>
      </c>
      <c r="V623" t="n">
        <v>45.10368</v>
      </c>
      <c r="W623" t="n">
        <v>37.31771</v>
      </c>
      <c r="X623" t="n">
        <v>43.11374</v>
      </c>
      <c r="Y623" t="n">
        <v>32.05062</v>
      </c>
      <c r="Z623" t="n">
        <v>29.83474</v>
      </c>
      <c r="AA623" t="n">
        <v>5.633698</v>
      </c>
      <c r="AB623" t="n">
        <v>46.15462</v>
      </c>
      <c r="AC623" t="n">
        <v>12.01448</v>
      </c>
      <c r="AD623" t="n">
        <v>47.3254</v>
      </c>
      <c r="AE623" t="n">
        <v>24.15259</v>
      </c>
    </row>
    <row r="624">
      <c r="A624" s="90" t="n">
        <v>37561</v>
      </c>
      <c r="B624" t="n">
        <v>29.29412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18.30539</v>
      </c>
      <c r="I624" t="n">
        <v>17.01289</v>
      </c>
      <c r="J624" t="n">
        <v>41.34471</v>
      </c>
      <c r="K624" t="n">
        <v>41.04187</v>
      </c>
      <c r="L624" t="n">
        <v>53.56094</v>
      </c>
      <c r="M624" t="n">
        <v>45.33271</v>
      </c>
      <c r="N624" t="n">
        <v>39.96012</v>
      </c>
      <c r="O624" t="n">
        <v>19.9094</v>
      </c>
      <c r="P624" t="n">
        <v>15.42774</v>
      </c>
      <c r="Q624" t="n">
        <v>22.36234</v>
      </c>
      <c r="R624" t="n">
        <v>36.05685</v>
      </c>
      <c r="S624" t="n">
        <v>82.44638</v>
      </c>
      <c r="T624" t="n">
        <v>38.34205</v>
      </c>
      <c r="U624" t="n">
        <v>24.17541</v>
      </c>
      <c r="V624" t="n">
        <v>45.59497</v>
      </c>
      <c r="W624" t="n">
        <v>37.81037</v>
      </c>
      <c r="X624" t="n">
        <v>43.45625</v>
      </c>
      <c r="Y624" t="n">
        <v>32.24197</v>
      </c>
      <c r="Z624" t="n">
        <v>29.79882</v>
      </c>
      <c r="AA624" t="n">
        <v>5.776512</v>
      </c>
      <c r="AB624" t="n">
        <v>46.08729</v>
      </c>
      <c r="AC624" t="n">
        <v>12.05636</v>
      </c>
      <c r="AD624" t="n">
        <v>47.74217</v>
      </c>
      <c r="AE624" t="n">
        <v>24.6135</v>
      </c>
    </row>
    <row r="625">
      <c r="A625" s="90" t="n">
        <v>37591</v>
      </c>
      <c r="B625" t="n">
        <v>29.63593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18.48113</v>
      </c>
      <c r="I625" t="n">
        <v>17.25681</v>
      </c>
      <c r="J625" t="n">
        <v>41.41206</v>
      </c>
      <c r="K625" t="n">
        <v>42.05749</v>
      </c>
      <c r="L625" t="n">
        <v>54.33383</v>
      </c>
      <c r="M625" t="n">
        <v>45.44656</v>
      </c>
      <c r="N625" t="n">
        <v>40.74373</v>
      </c>
      <c r="O625" t="n">
        <v>19.9397</v>
      </c>
      <c r="P625" t="n">
        <v>15.57108</v>
      </c>
      <c r="Q625" t="n">
        <v>22.68001</v>
      </c>
      <c r="R625" t="n">
        <v>36.3578</v>
      </c>
      <c r="S625" t="n">
        <v>82.34822</v>
      </c>
      <c r="T625" t="n">
        <v>38.58829</v>
      </c>
      <c r="U625" t="n">
        <v>24.5085</v>
      </c>
      <c r="V625" t="n">
        <v>45.82195</v>
      </c>
      <c r="W625" t="n">
        <v>38.43751</v>
      </c>
      <c r="X625" t="n">
        <v>43.65184</v>
      </c>
      <c r="Y625" t="n">
        <v>32.46356</v>
      </c>
      <c r="Z625" t="n">
        <v>29.822</v>
      </c>
      <c r="AA625" t="n">
        <v>5.940103</v>
      </c>
      <c r="AB625" t="n">
        <v>46.08027</v>
      </c>
      <c r="AC625" t="n">
        <v>12.24594</v>
      </c>
      <c r="AD625" t="n">
        <v>47.91983</v>
      </c>
      <c r="AE625" t="n">
        <v>24.82866</v>
      </c>
    </row>
    <row r="626">
      <c r="A626" s="90" t="n">
        <v>37622</v>
      </c>
      <c r="B626" t="n">
        <v>29.95531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18.67055</v>
      </c>
      <c r="I626" t="n">
        <v>17.63545</v>
      </c>
      <c r="J626" t="n">
        <v>41.43931</v>
      </c>
      <c r="K626" t="n">
        <v>43.41941</v>
      </c>
      <c r="L626" t="n">
        <v>54.76493</v>
      </c>
      <c r="M626" t="n">
        <v>45.36987</v>
      </c>
      <c r="N626" t="n">
        <v>41.50994</v>
      </c>
      <c r="O626" t="n">
        <v>19.98559</v>
      </c>
      <c r="P626" t="n">
        <v>15.69335</v>
      </c>
      <c r="Q626" t="n">
        <v>22.99959</v>
      </c>
      <c r="R626" t="n">
        <v>36.80295</v>
      </c>
      <c r="S626" t="n">
        <v>82.3973</v>
      </c>
      <c r="T626" t="n">
        <v>38.89969</v>
      </c>
      <c r="U626" t="n">
        <v>24.50071</v>
      </c>
      <c r="V626" t="n">
        <v>46.23803</v>
      </c>
      <c r="W626" t="n">
        <v>38.67625</v>
      </c>
      <c r="X626" t="n">
        <v>43.88786</v>
      </c>
      <c r="Y626" t="n">
        <v>32.75629</v>
      </c>
      <c r="Z626" t="n">
        <v>29.90573</v>
      </c>
      <c r="AA626" t="n">
        <v>6.11818</v>
      </c>
      <c r="AB626" t="n">
        <v>46.36288</v>
      </c>
      <c r="AC626" t="n">
        <v>12.61259</v>
      </c>
      <c r="AD626" t="n">
        <v>48.19048</v>
      </c>
      <c r="AE626" t="n">
        <v>25.11057</v>
      </c>
    </row>
    <row r="627">
      <c r="A627" s="90" t="n">
        <v>37653</v>
      </c>
      <c r="B627" t="n">
        <v>30.20746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18.89323</v>
      </c>
      <c r="I627" t="n">
        <v>18.00921</v>
      </c>
      <c r="J627" t="n">
        <v>41.54031</v>
      </c>
      <c r="K627" t="n">
        <v>44.778</v>
      </c>
      <c r="L627" t="n">
        <v>54.94232</v>
      </c>
      <c r="M627" t="n">
        <v>45.65807</v>
      </c>
      <c r="N627" t="n">
        <v>41.99231</v>
      </c>
      <c r="O627" t="n">
        <v>20.18415</v>
      </c>
      <c r="P627" t="n">
        <v>15.80506</v>
      </c>
      <c r="Q627" t="n">
        <v>23.30667</v>
      </c>
      <c r="R627" t="n">
        <v>37.23157</v>
      </c>
      <c r="S627" t="n">
        <v>82.45456</v>
      </c>
      <c r="T627" t="n">
        <v>39.17622</v>
      </c>
      <c r="U627" t="n">
        <v>24.64912</v>
      </c>
      <c r="V627" t="n">
        <v>46.29919</v>
      </c>
      <c r="W627" t="n">
        <v>38.85704</v>
      </c>
      <c r="X627" t="n">
        <v>44.13488</v>
      </c>
      <c r="Y627" t="n">
        <v>33.05837</v>
      </c>
      <c r="Z627" t="n">
        <v>30.04069</v>
      </c>
      <c r="AA627" t="n">
        <v>6.272846</v>
      </c>
      <c r="AB627" t="n">
        <v>46.68241</v>
      </c>
      <c r="AC627" t="n">
        <v>12.84485</v>
      </c>
      <c r="AD627" t="n">
        <v>48.49019</v>
      </c>
      <c r="AE627" t="n">
        <v>25.39423</v>
      </c>
    </row>
    <row r="628">
      <c r="A628" s="90" t="n">
        <v>37681</v>
      </c>
      <c r="B628" t="n">
        <v>30.48483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19.1116</v>
      </c>
      <c r="I628" t="n">
        <v>18.27651</v>
      </c>
      <c r="J628" t="n">
        <v>41.47478</v>
      </c>
      <c r="K628" t="n">
        <v>44.75307</v>
      </c>
      <c r="L628" t="n">
        <v>55.33726</v>
      </c>
      <c r="M628" t="n">
        <v>45.8807</v>
      </c>
      <c r="N628" t="n">
        <v>42.06785</v>
      </c>
      <c r="O628" t="n">
        <v>20.35237</v>
      </c>
      <c r="P628" t="n">
        <v>15.84547</v>
      </c>
      <c r="Q628" t="n">
        <v>23.65201</v>
      </c>
      <c r="R628" t="n">
        <v>37.3133</v>
      </c>
      <c r="S628" t="n">
        <v>82.45456</v>
      </c>
      <c r="T628" t="n">
        <v>39.30568</v>
      </c>
      <c r="U628" t="n">
        <v>24.51815</v>
      </c>
      <c r="V628" t="n">
        <v>46.15046</v>
      </c>
      <c r="W628" t="n">
        <v>38.94387</v>
      </c>
      <c r="X628" t="n">
        <v>44.29059</v>
      </c>
      <c r="Y628" t="n">
        <v>33.22318</v>
      </c>
      <c r="Z628" t="n">
        <v>30.09305</v>
      </c>
      <c r="AA628" t="n">
        <v>6.453861</v>
      </c>
      <c r="AB628" t="n">
        <v>47.05596</v>
      </c>
      <c r="AC628" t="n">
        <v>12.9497</v>
      </c>
      <c r="AD628" t="n">
        <v>48.66204</v>
      </c>
      <c r="AE628" t="n">
        <v>25.57475</v>
      </c>
    </row>
    <row r="629">
      <c r="A629" s="90" t="n">
        <v>37712</v>
      </c>
      <c r="B629" t="n">
        <v>30.83503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19.21267</v>
      </c>
      <c r="I629" t="n">
        <v>18.59538</v>
      </c>
      <c r="J629" t="n">
        <v>41.77652</v>
      </c>
      <c r="K629" t="n">
        <v>44.90879</v>
      </c>
      <c r="L629" t="n">
        <v>55.96</v>
      </c>
      <c r="M629" t="n">
        <v>45.97111</v>
      </c>
      <c r="N629" t="n">
        <v>42.3191</v>
      </c>
      <c r="O629" t="n">
        <v>20.43513</v>
      </c>
      <c r="P629" t="n">
        <v>15.96908</v>
      </c>
      <c r="Q629" t="n">
        <v>24.04226</v>
      </c>
      <c r="R629" t="n">
        <v>37.166</v>
      </c>
      <c r="S629" t="n">
        <v>82.49545999999999</v>
      </c>
      <c r="T629" t="n">
        <v>39.34804</v>
      </c>
      <c r="U629" t="n">
        <v>24.47899</v>
      </c>
      <c r="V629" t="n">
        <v>46.17019</v>
      </c>
      <c r="W629" t="n">
        <v>38.85934</v>
      </c>
      <c r="X629" t="n">
        <v>44.47096</v>
      </c>
      <c r="Y629" t="n">
        <v>33.27574</v>
      </c>
      <c r="Z629" t="n">
        <v>30.09495</v>
      </c>
      <c r="AA629" t="n">
        <v>6.679556</v>
      </c>
      <c r="AB629" t="n">
        <v>47.02227</v>
      </c>
      <c r="AC629" t="n">
        <v>12.86963</v>
      </c>
      <c r="AD629" t="n">
        <v>48.97254</v>
      </c>
      <c r="AE629" t="n">
        <v>26.02061</v>
      </c>
    </row>
    <row r="630">
      <c r="A630" s="90" t="n">
        <v>37742</v>
      </c>
      <c r="B630" t="n">
        <v>31.2889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19.42821</v>
      </c>
      <c r="I630" t="n">
        <v>18.9321</v>
      </c>
      <c r="J630" t="n">
        <v>42.11084</v>
      </c>
      <c r="K630" t="n">
        <v>46.08746</v>
      </c>
      <c r="L630" t="n">
        <v>56.57998</v>
      </c>
      <c r="M630" t="n">
        <v>46.06039</v>
      </c>
      <c r="N630" t="n">
        <v>42.86979</v>
      </c>
      <c r="O630" t="n">
        <v>20.57022</v>
      </c>
      <c r="P630" t="n">
        <v>16.21034</v>
      </c>
      <c r="Q630" t="n">
        <v>24.43196</v>
      </c>
      <c r="R630" t="n">
        <v>37.2487</v>
      </c>
      <c r="S630" t="n">
        <v>82.66724000000001</v>
      </c>
      <c r="T630" t="n">
        <v>39.4149</v>
      </c>
      <c r="U630" t="n">
        <v>24.64578</v>
      </c>
      <c r="V630" t="n">
        <v>46.39353</v>
      </c>
      <c r="W630" t="n">
        <v>38.89518</v>
      </c>
      <c r="X630" t="n">
        <v>44.78294</v>
      </c>
      <c r="Y630" t="n">
        <v>33.34623</v>
      </c>
      <c r="Z630" t="n">
        <v>30.1843</v>
      </c>
      <c r="AA630" t="n">
        <v>6.858319</v>
      </c>
      <c r="AB630" t="n">
        <v>46.99745</v>
      </c>
      <c r="AC630" t="n">
        <v>12.73953</v>
      </c>
      <c r="AD630" t="n">
        <v>49.47482</v>
      </c>
      <c r="AE630" t="n">
        <v>26.53008</v>
      </c>
    </row>
    <row r="631">
      <c r="A631" s="90" t="n">
        <v>37773</v>
      </c>
      <c r="B631" t="n">
        <v>31.60549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19.80623</v>
      </c>
      <c r="I631" t="n">
        <v>19.33538</v>
      </c>
      <c r="J631" t="n">
        <v>41.89084</v>
      </c>
      <c r="K631" t="n">
        <v>46.46999</v>
      </c>
      <c r="L631" t="n">
        <v>56.7838</v>
      </c>
      <c r="M631" t="n">
        <v>46.30543</v>
      </c>
      <c r="N631" t="n">
        <v>43.55464</v>
      </c>
      <c r="O631" t="n">
        <v>20.6298</v>
      </c>
      <c r="P631" t="n">
        <v>16.42286</v>
      </c>
      <c r="Q631" t="n">
        <v>24.79387</v>
      </c>
      <c r="R631" t="n">
        <v>37.31485</v>
      </c>
      <c r="S631" t="n">
        <v>82.80629999999999</v>
      </c>
      <c r="T631" t="n">
        <v>39.51024</v>
      </c>
      <c r="U631" t="n">
        <v>24.55582</v>
      </c>
      <c r="V631" t="n">
        <v>46.4687</v>
      </c>
      <c r="W631" t="n">
        <v>39.19223</v>
      </c>
      <c r="X631" t="n">
        <v>44.993</v>
      </c>
      <c r="Y631" t="n">
        <v>33.47256</v>
      </c>
      <c r="Z631" t="n">
        <v>30.39019</v>
      </c>
      <c r="AA631" t="n">
        <v>7.044024</v>
      </c>
      <c r="AB631" t="n">
        <v>46.92306</v>
      </c>
      <c r="AC631" t="n">
        <v>12.741</v>
      </c>
      <c r="AD631" t="n">
        <v>49.77951</v>
      </c>
      <c r="AE631" t="n">
        <v>26.81152</v>
      </c>
    </row>
    <row r="632">
      <c r="A632" s="90" t="n">
        <v>37803</v>
      </c>
      <c r="B632" t="n">
        <v>31.44299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20.02832</v>
      </c>
      <c r="I632" t="n">
        <v>19.69591</v>
      </c>
      <c r="J632" t="n">
        <v>42.33925</v>
      </c>
      <c r="K632" t="n">
        <v>46.59403</v>
      </c>
      <c r="L632" t="n">
        <v>56.81773</v>
      </c>
      <c r="M632" t="n">
        <v>46.84838</v>
      </c>
      <c r="N632" t="n">
        <v>44.10196</v>
      </c>
      <c r="O632" t="n">
        <v>20.7093</v>
      </c>
      <c r="P632" t="n">
        <v>16.60148</v>
      </c>
      <c r="Q632" t="n">
        <v>25.14957</v>
      </c>
      <c r="R632" t="n">
        <v>37.48903</v>
      </c>
      <c r="S632" t="n">
        <v>82.90446</v>
      </c>
      <c r="T632" t="n">
        <v>39.70315</v>
      </c>
      <c r="U632" t="n">
        <v>24.71745</v>
      </c>
      <c r="V632" t="n">
        <v>46.58696</v>
      </c>
      <c r="W632" t="n">
        <v>39.58644</v>
      </c>
      <c r="X632" t="n">
        <v>45.27949</v>
      </c>
      <c r="Y632" t="n">
        <v>33.75186</v>
      </c>
      <c r="Z632" t="n">
        <v>30.54515</v>
      </c>
      <c r="AA632" t="n">
        <v>7.284465</v>
      </c>
      <c r="AB632" t="n">
        <v>46.69656</v>
      </c>
      <c r="AC632" t="n">
        <v>12.88372</v>
      </c>
      <c r="AD632" t="n">
        <v>50.16722</v>
      </c>
      <c r="AE632" t="n">
        <v>27.04331</v>
      </c>
    </row>
    <row r="633">
      <c r="A633" s="90" t="n">
        <v>37834</v>
      </c>
      <c r="B633" t="n">
        <v>31.6223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20.17424</v>
      </c>
      <c r="I633" t="n">
        <v>19.83928</v>
      </c>
      <c r="J633" t="n">
        <v>43.22275</v>
      </c>
      <c r="K633" t="n">
        <v>46.80818</v>
      </c>
      <c r="L633" t="n">
        <v>56.84973</v>
      </c>
      <c r="M633" t="n">
        <v>47.12766</v>
      </c>
      <c r="N633" t="n">
        <v>44.12283</v>
      </c>
      <c r="O633" t="n">
        <v>20.88194</v>
      </c>
      <c r="P633" t="n">
        <v>16.7388</v>
      </c>
      <c r="Q633" t="n">
        <v>25.53171</v>
      </c>
      <c r="R633" t="n">
        <v>37.83514</v>
      </c>
      <c r="S633" t="n">
        <v>83.1335</v>
      </c>
      <c r="T633" t="n">
        <v>39.94563</v>
      </c>
      <c r="U633" t="n">
        <v>25.17798</v>
      </c>
      <c r="V633" t="n">
        <v>46.99208</v>
      </c>
      <c r="W633" t="n">
        <v>39.7575</v>
      </c>
      <c r="X633" t="n">
        <v>45.61417</v>
      </c>
      <c r="Y633" t="n">
        <v>33.94295</v>
      </c>
      <c r="Z633" t="n">
        <v>30.65388</v>
      </c>
      <c r="AA633" t="n">
        <v>7.52268</v>
      </c>
      <c r="AB633" t="n">
        <v>46.54638</v>
      </c>
      <c r="AC633" t="n">
        <v>12.96383</v>
      </c>
      <c r="AD633" t="n">
        <v>50.64957</v>
      </c>
      <c r="AE633" t="n">
        <v>27.0423</v>
      </c>
    </row>
    <row r="634">
      <c r="A634" s="90" t="n">
        <v>37865</v>
      </c>
      <c r="B634" t="n">
        <v>32.17983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20.29445</v>
      </c>
      <c r="I634" t="n">
        <v>20.00942</v>
      </c>
      <c r="J634" t="n">
        <v>43.41062</v>
      </c>
      <c r="K634" t="n">
        <v>46.55619</v>
      </c>
      <c r="L634" t="n">
        <v>56.80082</v>
      </c>
      <c r="M634" t="n">
        <v>47.42838</v>
      </c>
      <c r="N634" t="n">
        <v>44.43005</v>
      </c>
      <c r="O634" t="n">
        <v>21.01863</v>
      </c>
      <c r="P634" t="n">
        <v>16.87585</v>
      </c>
      <c r="Q634" t="n">
        <v>25.94106</v>
      </c>
      <c r="R634" t="n">
        <v>38.18661</v>
      </c>
      <c r="S634" t="n">
        <v>83.0108</v>
      </c>
      <c r="T634" t="n">
        <v>40.1195</v>
      </c>
      <c r="U634" t="n">
        <v>25.41706</v>
      </c>
      <c r="V634" t="n">
        <v>46.92962</v>
      </c>
      <c r="W634" t="n">
        <v>40.30029</v>
      </c>
      <c r="X634" t="n">
        <v>45.63163</v>
      </c>
      <c r="Y634" t="n">
        <v>34.16153</v>
      </c>
      <c r="Z634" t="n">
        <v>30.86336</v>
      </c>
      <c r="AA634" t="n">
        <v>7.726106</v>
      </c>
      <c r="AB634" t="n">
        <v>46.79406</v>
      </c>
      <c r="AC634" t="n">
        <v>13.10701</v>
      </c>
      <c r="AD634" t="n">
        <v>50.41711</v>
      </c>
      <c r="AE634" t="n">
        <v>27.12009</v>
      </c>
    </row>
    <row r="635">
      <c r="A635" s="90" t="n">
        <v>37895</v>
      </c>
      <c r="B635" t="n">
        <v>32.50482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20.28049</v>
      </c>
      <c r="I635" t="n">
        <v>20.17447</v>
      </c>
      <c r="J635" t="n">
        <v>43.43303</v>
      </c>
      <c r="K635" t="n">
        <v>47.45485</v>
      </c>
      <c r="L635" t="n">
        <v>56.99654</v>
      </c>
      <c r="M635" t="n">
        <v>47.78971</v>
      </c>
      <c r="N635" t="n">
        <v>45.19606</v>
      </c>
      <c r="O635" t="n">
        <v>21.15718</v>
      </c>
      <c r="P635" t="n">
        <v>17.10302</v>
      </c>
      <c r="Q635" t="n">
        <v>26.35884</v>
      </c>
      <c r="R635" t="n">
        <v>38.45029</v>
      </c>
      <c r="S635" t="n">
        <v>83.0517</v>
      </c>
      <c r="T635" t="n">
        <v>40.29374</v>
      </c>
      <c r="U635" t="n">
        <v>25.48916</v>
      </c>
      <c r="V635" t="n">
        <v>46.93705</v>
      </c>
      <c r="W635" t="n">
        <v>41.1644</v>
      </c>
      <c r="X635" t="n">
        <v>45.75311</v>
      </c>
      <c r="Y635" t="n">
        <v>34.59842</v>
      </c>
      <c r="Z635" t="n">
        <v>31.17385</v>
      </c>
      <c r="AA635" t="n">
        <v>7.973096</v>
      </c>
      <c r="AB635" t="n">
        <v>47.16284</v>
      </c>
      <c r="AC635" t="n">
        <v>13.56899</v>
      </c>
      <c r="AD635" t="n">
        <v>50.34073</v>
      </c>
      <c r="AE635" t="n">
        <v>27.49162</v>
      </c>
    </row>
    <row r="636">
      <c r="A636" s="90" t="n">
        <v>37926</v>
      </c>
      <c r="B636" t="n">
        <v>32.76818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</v>
      </c>
      <c r="I636" t="n">
        <v>20.48772</v>
      </c>
      <c r="J636" t="n">
        <v>43.70603</v>
      </c>
      <c r="K636" t="n">
        <v>48.99732</v>
      </c>
      <c r="L636" t="n">
        <v>57.47627</v>
      </c>
      <c r="M636" t="n">
        <v>48.20357</v>
      </c>
      <c r="N636" t="n">
        <v>45.81667</v>
      </c>
      <c r="O636" t="n">
        <v>21.42836</v>
      </c>
      <c r="P636" t="n">
        <v>17.32626</v>
      </c>
      <c r="Q636" t="n">
        <v>26.74733</v>
      </c>
      <c r="R636" t="n">
        <v>38.57627</v>
      </c>
      <c r="S636" t="n">
        <v>83.08441999999999</v>
      </c>
      <c r="T636" t="n">
        <v>40.44424</v>
      </c>
      <c r="U636" t="n">
        <v>25.35578</v>
      </c>
      <c r="V636" t="n">
        <v>47.17633</v>
      </c>
      <c r="W636" t="n">
        <v>41.87666</v>
      </c>
      <c r="X636" t="n">
        <v>45.91967</v>
      </c>
      <c r="Y636" t="n">
        <v>35.0658</v>
      </c>
      <c r="Z636" t="n">
        <v>31.47654</v>
      </c>
      <c r="AA636" t="n">
        <v>8.138855</v>
      </c>
      <c r="AB636" t="n">
        <v>47.45575</v>
      </c>
      <c r="AC636" t="n">
        <v>14.05024</v>
      </c>
      <c r="AD636" t="n">
        <v>50.38639</v>
      </c>
      <c r="AE636" t="n">
        <v>27.81684</v>
      </c>
    </row>
    <row r="637">
      <c r="A637" s="90" t="n">
        <v>37956</v>
      </c>
      <c r="B637" t="n">
        <v>33.09877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20.72436</v>
      </c>
      <c r="I637" t="n">
        <v>21.25383</v>
      </c>
      <c r="J637" t="n">
        <v>44.10286</v>
      </c>
      <c r="K637" t="n">
        <v>48.28476</v>
      </c>
      <c r="L637" t="n">
        <v>58.00396</v>
      </c>
      <c r="M637" t="n">
        <v>48.83935</v>
      </c>
      <c r="N637" t="n">
        <v>46.07876</v>
      </c>
      <c r="O637" t="n">
        <v>21.55904</v>
      </c>
      <c r="P637" t="n">
        <v>17.51785</v>
      </c>
      <c r="Q637" t="n">
        <v>27.09871</v>
      </c>
      <c r="R637" t="n">
        <v>38.63213</v>
      </c>
      <c r="S637" t="n">
        <v>83.12532</v>
      </c>
      <c r="T637" t="n">
        <v>40.4797</v>
      </c>
      <c r="U637" t="n">
        <v>25.73104</v>
      </c>
      <c r="V637" t="n">
        <v>47.13068</v>
      </c>
      <c r="W637" t="n">
        <v>42.42301</v>
      </c>
      <c r="X637" t="n">
        <v>46.0644</v>
      </c>
      <c r="Y637" t="n">
        <v>35.36939</v>
      </c>
      <c r="Z637" t="n">
        <v>31.60649</v>
      </c>
      <c r="AA637" t="n">
        <v>8.25263</v>
      </c>
      <c r="AB637" t="n">
        <v>47.75187</v>
      </c>
      <c r="AC637" t="n">
        <v>14.27344</v>
      </c>
      <c r="AD637" t="n">
        <v>50.37145</v>
      </c>
      <c r="AE637" t="n">
        <v>28.04889</v>
      </c>
    </row>
    <row r="638">
      <c r="A638" s="90" t="n">
        <v>37987</v>
      </c>
      <c r="B638" t="n">
        <v>33.32851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21.05401</v>
      </c>
      <c r="I638" t="n">
        <v>21.81728</v>
      </c>
      <c r="J638" t="n">
        <v>44.23612</v>
      </c>
      <c r="K638" t="n">
        <v>49.14007</v>
      </c>
      <c r="L638" t="n">
        <v>58.25239</v>
      </c>
      <c r="M638" t="n">
        <v>49.91689</v>
      </c>
      <c r="N638" t="n">
        <v>46.69582</v>
      </c>
      <c r="O638" t="n">
        <v>21.51542</v>
      </c>
      <c r="P638" t="n">
        <v>17.76559</v>
      </c>
      <c r="Q638" t="n">
        <v>27.46705</v>
      </c>
      <c r="R638" t="n">
        <v>38.83504</v>
      </c>
      <c r="S638" t="n">
        <v>83.23166000000001</v>
      </c>
      <c r="T638" t="n">
        <v>40.57904</v>
      </c>
      <c r="U638" t="n">
        <v>26.22403</v>
      </c>
      <c r="V638" t="n">
        <v>47.23695</v>
      </c>
      <c r="W638" t="n">
        <v>42.8866</v>
      </c>
      <c r="X638" t="n">
        <v>46.34092</v>
      </c>
      <c r="Y638" t="n">
        <v>35.86951</v>
      </c>
      <c r="Z638" t="n">
        <v>31.6207</v>
      </c>
      <c r="AA638" t="n">
        <v>8.463576</v>
      </c>
      <c r="AB638" t="n">
        <v>47.78617</v>
      </c>
      <c r="AC638" t="n">
        <v>14.53837</v>
      </c>
      <c r="AD638" t="n">
        <v>50.43953</v>
      </c>
      <c r="AE638" t="n">
        <v>28.66742</v>
      </c>
    </row>
    <row r="639">
      <c r="A639" s="90" t="n">
        <v>38018</v>
      </c>
      <c r="B639" t="n">
        <v>33.59747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21.28078</v>
      </c>
      <c r="I639" t="n">
        <v>21.79004</v>
      </c>
      <c r="J639" t="n">
        <v>44.22281</v>
      </c>
      <c r="K639" t="n">
        <v>51.41348</v>
      </c>
      <c r="L639" t="n">
        <v>58.33032</v>
      </c>
      <c r="M639" t="n">
        <v>50.38926</v>
      </c>
      <c r="N639" t="n">
        <v>47.23179</v>
      </c>
      <c r="O639" t="n">
        <v>21.48142</v>
      </c>
      <c r="P639" t="n">
        <v>18.03639</v>
      </c>
      <c r="Q639" t="n">
        <v>27.84657</v>
      </c>
      <c r="R639" t="n">
        <v>38.99691</v>
      </c>
      <c r="S639" t="n">
        <v>83.3789</v>
      </c>
      <c r="T639" t="n">
        <v>40.95882</v>
      </c>
      <c r="U639" t="n">
        <v>26.27566</v>
      </c>
      <c r="V639" t="n">
        <v>47.41785</v>
      </c>
      <c r="W639" t="n">
        <v>43.29431</v>
      </c>
      <c r="X639" t="n">
        <v>46.63937</v>
      </c>
      <c r="Y639" t="n">
        <v>36.26994</v>
      </c>
      <c r="Z639" t="n">
        <v>31.67077</v>
      </c>
      <c r="AA639" t="n">
        <v>8.747824</v>
      </c>
      <c r="AB639" t="n">
        <v>47.80943</v>
      </c>
      <c r="AC639" t="n">
        <v>14.88588</v>
      </c>
      <c r="AD639" t="n">
        <v>50.76165</v>
      </c>
      <c r="AE639" t="n">
        <v>29.81041</v>
      </c>
    </row>
    <row r="640">
      <c r="A640" s="90" t="n">
        <v>38047</v>
      </c>
      <c r="B640" t="n">
        <v>34.01772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21.5378</v>
      </c>
      <c r="I640" t="n">
        <v>21.79338</v>
      </c>
      <c r="J640" t="n">
        <v>44.32655</v>
      </c>
      <c r="K640" t="n">
        <v>51.95177</v>
      </c>
      <c r="L640" t="n">
        <v>58.58255</v>
      </c>
      <c r="M640" t="n">
        <v>50.39872</v>
      </c>
      <c r="N640" t="n">
        <v>47.10115</v>
      </c>
      <c r="O640" t="n">
        <v>21.5072</v>
      </c>
      <c r="P640" t="n">
        <v>18.31292</v>
      </c>
      <c r="Q640" t="n">
        <v>28.19962</v>
      </c>
      <c r="R640" t="n">
        <v>39.11028</v>
      </c>
      <c r="S640" t="n">
        <v>83.45252000000001</v>
      </c>
      <c r="T640" t="n">
        <v>41.2898</v>
      </c>
      <c r="U640" t="n">
        <v>26.36745</v>
      </c>
      <c r="V640" t="n">
        <v>47.74495</v>
      </c>
      <c r="W640" t="n">
        <v>43.56604</v>
      </c>
      <c r="X640" t="n">
        <v>46.87641</v>
      </c>
      <c r="Y640" t="n">
        <v>36.40997</v>
      </c>
      <c r="Z640" t="n">
        <v>31.83132</v>
      </c>
      <c r="AA640" t="n">
        <v>9.054568</v>
      </c>
      <c r="AB640" t="n">
        <v>47.71036</v>
      </c>
      <c r="AC640" t="n">
        <v>15.10175</v>
      </c>
      <c r="AD640" t="n">
        <v>51.05886</v>
      </c>
      <c r="AE640" t="n">
        <v>29.95231</v>
      </c>
    </row>
    <row r="641">
      <c r="A641" s="90" t="n">
        <v>38078</v>
      </c>
      <c r="B641" t="n">
        <v>34.36512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21.70017</v>
      </c>
      <c r="I641" t="n">
        <v>22.22815</v>
      </c>
      <c r="J641" t="n">
        <v>44.8116</v>
      </c>
      <c r="K641" t="n">
        <v>52.45382</v>
      </c>
      <c r="L641" t="n">
        <v>58.97062</v>
      </c>
      <c r="M641" t="n">
        <v>50.84052</v>
      </c>
      <c r="N641" t="n">
        <v>47.32808</v>
      </c>
      <c r="O641" t="n">
        <v>21.58955</v>
      </c>
      <c r="P641" t="n">
        <v>18.57175</v>
      </c>
      <c r="Q641" t="n">
        <v>28.57566</v>
      </c>
      <c r="R641" t="n">
        <v>39.4899</v>
      </c>
      <c r="S641" t="n">
        <v>83.47705999999999</v>
      </c>
      <c r="T641" t="n">
        <v>41.51998</v>
      </c>
      <c r="U641" t="n">
        <v>26.44096</v>
      </c>
      <c r="V641" t="n">
        <v>48.22031</v>
      </c>
      <c r="W641" t="n">
        <v>43.70331</v>
      </c>
      <c r="X641" t="n">
        <v>47.18256</v>
      </c>
      <c r="Y641" t="n">
        <v>36.81681</v>
      </c>
      <c r="Z641" t="n">
        <v>32.35956</v>
      </c>
      <c r="AA641" t="n">
        <v>9.309381999999999</v>
      </c>
      <c r="AB641" t="n">
        <v>47.5995</v>
      </c>
      <c r="AC641" t="n">
        <v>15.48062</v>
      </c>
      <c r="AD641" t="n">
        <v>51.40008</v>
      </c>
      <c r="AE641" t="n">
        <v>29.70591</v>
      </c>
    </row>
    <row r="642">
      <c r="A642" s="90" t="n">
        <v>38108</v>
      </c>
      <c r="B642" t="n">
        <v>34.53322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21.71334</v>
      </c>
      <c r="I642" t="n">
        <v>23.43065</v>
      </c>
      <c r="J642" t="n">
        <v>45.35804</v>
      </c>
      <c r="K642" t="n">
        <v>52.95974</v>
      </c>
      <c r="L642" t="n">
        <v>59.33781</v>
      </c>
      <c r="M642" t="n">
        <v>50.995</v>
      </c>
      <c r="N642" t="n">
        <v>47.79276</v>
      </c>
      <c r="O642" t="n">
        <v>21.84179</v>
      </c>
      <c r="P642" t="n">
        <v>18.75677</v>
      </c>
      <c r="Q642" t="n">
        <v>28.97564</v>
      </c>
      <c r="R642" t="n">
        <v>39.8467</v>
      </c>
      <c r="S642" t="n">
        <v>83.69792</v>
      </c>
      <c r="T642" t="n">
        <v>41.81376</v>
      </c>
      <c r="U642" t="n">
        <v>26.41368</v>
      </c>
      <c r="V642" t="n">
        <v>48.5811</v>
      </c>
      <c r="W642" t="n">
        <v>44.29564</v>
      </c>
      <c r="X642" t="n">
        <v>47.625</v>
      </c>
      <c r="Y642" t="n">
        <v>37.22441</v>
      </c>
      <c r="Z642" t="n">
        <v>32.51569</v>
      </c>
      <c r="AA642" t="n">
        <v>9.601253</v>
      </c>
      <c r="AB642" t="n">
        <v>47.63603</v>
      </c>
      <c r="AC642" t="n">
        <v>16.11405</v>
      </c>
      <c r="AD642" t="n">
        <v>52.03852</v>
      </c>
      <c r="AE642" t="n">
        <v>29.70729</v>
      </c>
    </row>
    <row r="643">
      <c r="A643" s="90" t="n">
        <v>38139</v>
      </c>
      <c r="B643" t="n">
        <v>34.67891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22.16974</v>
      </c>
      <c r="I643" t="n">
        <v>24.30405</v>
      </c>
      <c r="J643" t="n">
        <v>45.50792</v>
      </c>
      <c r="K643" t="n">
        <v>52.73102</v>
      </c>
      <c r="L643" t="n">
        <v>59.5944</v>
      </c>
      <c r="M643" t="n">
        <v>51.33129</v>
      </c>
      <c r="N643" t="n">
        <v>48.26618</v>
      </c>
      <c r="O643" t="n">
        <v>22.27279</v>
      </c>
      <c r="P643" t="n">
        <v>18.88158</v>
      </c>
      <c r="Q643" t="n">
        <v>29.34883</v>
      </c>
      <c r="R643" t="n">
        <v>40.14888</v>
      </c>
      <c r="S643" t="n">
        <v>83.68974</v>
      </c>
      <c r="T643" t="n">
        <v>42.03855</v>
      </c>
      <c r="U643" t="n">
        <v>26.67652</v>
      </c>
      <c r="V643" t="n">
        <v>48.82048</v>
      </c>
      <c r="W643" t="n">
        <v>44.48297</v>
      </c>
      <c r="X643" t="n">
        <v>47.7389</v>
      </c>
      <c r="Y643" t="n">
        <v>37.43087</v>
      </c>
      <c r="Z643" t="n">
        <v>32.52868</v>
      </c>
      <c r="AA643" t="n">
        <v>9.795092</v>
      </c>
      <c r="AB643" t="n">
        <v>47.32349</v>
      </c>
      <c r="AC643" t="n">
        <v>16.34474</v>
      </c>
      <c r="AD643" t="n">
        <v>52.05844</v>
      </c>
      <c r="AE643" t="n">
        <v>29.88152</v>
      </c>
    </row>
    <row r="644">
      <c r="A644" s="90" t="n">
        <v>38169</v>
      </c>
      <c r="B644" t="n">
        <v>35.0123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22.60471</v>
      </c>
      <c r="I644" t="n">
        <v>24.54325</v>
      </c>
      <c r="J644" t="n">
        <v>45.77584</v>
      </c>
      <c r="K644" t="n">
        <v>52.73014</v>
      </c>
      <c r="L644" t="n">
        <v>59.87024</v>
      </c>
      <c r="M644" t="n">
        <v>51.74897</v>
      </c>
      <c r="N644" t="n">
        <v>48.93482</v>
      </c>
      <c r="O644" t="n">
        <v>22.48644</v>
      </c>
      <c r="P644" t="n">
        <v>18.9977</v>
      </c>
      <c r="Q644" t="n">
        <v>29.70762</v>
      </c>
      <c r="R644" t="n">
        <v>40.4989</v>
      </c>
      <c r="S644" t="n">
        <v>83.85334</v>
      </c>
      <c r="T644" t="n">
        <v>42.20819</v>
      </c>
      <c r="U644" t="n">
        <v>26.86992</v>
      </c>
      <c r="V644" t="n">
        <v>48.97151</v>
      </c>
      <c r="W644" t="n">
        <v>44.15567</v>
      </c>
      <c r="X644" t="n">
        <v>47.90939</v>
      </c>
      <c r="Y644" t="n">
        <v>37.59296</v>
      </c>
      <c r="Z644" t="n">
        <v>32.83386</v>
      </c>
      <c r="AA644" t="n">
        <v>9.921867000000001</v>
      </c>
      <c r="AB644" t="n">
        <v>47.42359</v>
      </c>
      <c r="AC644" t="n">
        <v>16.2727</v>
      </c>
      <c r="AD644" t="n">
        <v>52.17301</v>
      </c>
      <c r="AE644" t="n">
        <v>29.97438</v>
      </c>
    </row>
    <row r="645">
      <c r="A645" s="90" t="n">
        <v>38200</v>
      </c>
      <c r="B645" t="n">
        <v>35.30368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22.71756</v>
      </c>
      <c r="I645" t="n">
        <v>25.02805</v>
      </c>
      <c r="J645" t="n">
        <v>46.17813</v>
      </c>
      <c r="K645" t="n">
        <v>53.28978</v>
      </c>
      <c r="L645" t="n">
        <v>59.92378</v>
      </c>
      <c r="M645" t="n">
        <v>52.08262</v>
      </c>
      <c r="N645" t="n">
        <v>49.58363</v>
      </c>
      <c r="O645" t="n">
        <v>22.61004</v>
      </c>
      <c r="P645" t="n">
        <v>19.14314</v>
      </c>
      <c r="Q645" t="n">
        <v>30.0749</v>
      </c>
      <c r="R645" t="n">
        <v>40.84134</v>
      </c>
      <c r="S645" t="n">
        <v>84.05785</v>
      </c>
      <c r="T645" t="n">
        <v>42.47295</v>
      </c>
      <c r="U645" t="n">
        <v>26.8519</v>
      </c>
      <c r="V645" t="n">
        <v>49.02152</v>
      </c>
      <c r="W645" t="n">
        <v>44.10348</v>
      </c>
      <c r="X645" t="n">
        <v>48.14573</v>
      </c>
      <c r="Y645" t="n">
        <v>37.91147</v>
      </c>
      <c r="Z645" t="n">
        <v>33.0296</v>
      </c>
      <c r="AA645" t="n">
        <v>10.10758</v>
      </c>
      <c r="AB645" t="n">
        <v>47.90796</v>
      </c>
      <c r="AC645" t="n">
        <v>16.54558</v>
      </c>
      <c r="AD645" t="n">
        <v>52.39136</v>
      </c>
      <c r="AE645" t="n">
        <v>29.90012</v>
      </c>
    </row>
    <row r="646">
      <c r="A646" s="90" t="n">
        <v>38231</v>
      </c>
      <c r="B646" t="n">
        <v>35.40454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23.05387</v>
      </c>
      <c r="I646" t="n">
        <v>25.38822</v>
      </c>
      <c r="J646" t="n">
        <v>46.40273</v>
      </c>
      <c r="K646" t="n">
        <v>53.2958</v>
      </c>
      <c r="L646" t="n">
        <v>59.99165</v>
      </c>
      <c r="M646" t="n">
        <v>52.35234</v>
      </c>
      <c r="N646" t="n">
        <v>50.02063</v>
      </c>
      <c r="O646" t="n">
        <v>22.74047</v>
      </c>
      <c r="P646" t="n">
        <v>19.27585</v>
      </c>
      <c r="Q646" t="n">
        <v>30.43938</v>
      </c>
      <c r="R646" t="n">
        <v>41.07614</v>
      </c>
      <c r="S646" t="n">
        <v>83.92695999999999</v>
      </c>
      <c r="T646" t="n">
        <v>42.70232</v>
      </c>
      <c r="U646" t="n">
        <v>26.92208</v>
      </c>
      <c r="V646" t="n">
        <v>49.16752</v>
      </c>
      <c r="W646" t="n">
        <v>43.88992</v>
      </c>
      <c r="X646" t="n">
        <v>48.37777</v>
      </c>
      <c r="Y646" t="n">
        <v>38.21669</v>
      </c>
      <c r="Z646" t="n">
        <v>33.24492</v>
      </c>
      <c r="AA646" t="n">
        <v>10.24947</v>
      </c>
      <c r="AB646" t="n">
        <v>48.42654</v>
      </c>
      <c r="AC646" t="n">
        <v>16.8805</v>
      </c>
      <c r="AD646" t="n">
        <v>52.67944</v>
      </c>
      <c r="AE646" t="n">
        <v>30.52115</v>
      </c>
    </row>
    <row r="647">
      <c r="A647" s="90" t="n">
        <v>38261</v>
      </c>
      <c r="B647" t="n">
        <v>35.53902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23.35347</v>
      </c>
      <c r="I647" t="n">
        <v>25.75088</v>
      </c>
      <c r="J647" t="n">
        <v>46.63136</v>
      </c>
      <c r="K647" t="n">
        <v>53.30204</v>
      </c>
      <c r="L647" t="n">
        <v>60.41854</v>
      </c>
      <c r="M647" t="n">
        <v>52.55749</v>
      </c>
      <c r="N647" t="n">
        <v>50.35627</v>
      </c>
      <c r="O647" t="n">
        <v>22.79824</v>
      </c>
      <c r="P647" t="n">
        <v>19.43704</v>
      </c>
      <c r="Q647" t="n">
        <v>30.81153</v>
      </c>
      <c r="R647" t="n">
        <v>41.42209</v>
      </c>
      <c r="S647" t="n">
        <v>83.94332</v>
      </c>
      <c r="T647" t="n">
        <v>42.8463</v>
      </c>
      <c r="U647" t="n">
        <v>27.21833</v>
      </c>
      <c r="V647" t="n">
        <v>49.40528</v>
      </c>
      <c r="W647" t="n">
        <v>43.979</v>
      </c>
      <c r="X647" t="n">
        <v>48.63057</v>
      </c>
      <c r="Y647" t="n">
        <v>38.52375</v>
      </c>
      <c r="Z647" t="n">
        <v>34.12419</v>
      </c>
      <c r="AA647" t="n">
        <v>10.39496</v>
      </c>
      <c r="AB647" t="n">
        <v>48.99923</v>
      </c>
      <c r="AC647" t="n">
        <v>17.07384</v>
      </c>
      <c r="AD647" t="n">
        <v>52.9119</v>
      </c>
      <c r="AE647" t="n">
        <v>31.25816</v>
      </c>
    </row>
    <row r="648">
      <c r="A648" s="90" t="n">
        <v>38292</v>
      </c>
      <c r="B648" t="n">
        <v>35.86681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23.56961</v>
      </c>
      <c r="I648" t="n">
        <v>26.16035</v>
      </c>
      <c r="J648" t="n">
        <v>46.74953</v>
      </c>
      <c r="K648" t="n">
        <v>53.7118</v>
      </c>
      <c r="L648" t="n">
        <v>60.85713</v>
      </c>
      <c r="M648" t="n">
        <v>53.10993</v>
      </c>
      <c r="N648" t="n">
        <v>50.91421</v>
      </c>
      <c r="O648" t="n">
        <v>22.85875</v>
      </c>
      <c r="P648" t="n">
        <v>19.62199</v>
      </c>
      <c r="Q648" t="n">
        <v>31.2238</v>
      </c>
      <c r="R648" t="n">
        <v>41.93512</v>
      </c>
      <c r="S648" t="n">
        <v>83.94332</v>
      </c>
      <c r="T648" t="n">
        <v>43.06141</v>
      </c>
      <c r="U648" t="n">
        <v>27.53703</v>
      </c>
      <c r="V648" t="n">
        <v>50.34652</v>
      </c>
      <c r="W648" t="n">
        <v>44.25934</v>
      </c>
      <c r="X648" t="n">
        <v>48.90856</v>
      </c>
      <c r="Y648" t="n">
        <v>38.94736</v>
      </c>
      <c r="Z648" t="n">
        <v>34.41983</v>
      </c>
      <c r="AA648" t="n">
        <v>10.66232</v>
      </c>
      <c r="AB648" t="n">
        <v>49.32876</v>
      </c>
      <c r="AC648" t="n">
        <v>17.3736</v>
      </c>
      <c r="AD648" t="n">
        <v>53.1319</v>
      </c>
      <c r="AE648" t="n">
        <v>31.43837</v>
      </c>
    </row>
    <row r="649">
      <c r="A649" s="90" t="n">
        <v>38322</v>
      </c>
      <c r="B649" t="n">
        <v>36.15818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24.08908</v>
      </c>
      <c r="I649" t="n">
        <v>26.54036</v>
      </c>
      <c r="J649" t="n">
        <v>46.48536</v>
      </c>
      <c r="K649" t="n">
        <v>51.11067</v>
      </c>
      <c r="L649" t="n">
        <v>61.48021</v>
      </c>
      <c r="M649" t="n">
        <v>53.57645</v>
      </c>
      <c r="N649" t="n">
        <v>51.40148</v>
      </c>
      <c r="O649" t="n">
        <v>23.06058</v>
      </c>
      <c r="P649" t="n">
        <v>19.82857</v>
      </c>
      <c r="Q649" t="n">
        <v>31.68365</v>
      </c>
      <c r="R649" t="n">
        <v>42.33928</v>
      </c>
      <c r="S649" t="n">
        <v>83.9515</v>
      </c>
      <c r="T649" t="n">
        <v>43.28983</v>
      </c>
      <c r="U649" t="n">
        <v>27.68275</v>
      </c>
      <c r="V649" t="n">
        <v>50.88748</v>
      </c>
      <c r="W649" t="n">
        <v>44.45438</v>
      </c>
      <c r="X649" t="n">
        <v>49.09991</v>
      </c>
      <c r="Y649" t="n">
        <v>39.1165</v>
      </c>
      <c r="Z649" t="n">
        <v>34.24634</v>
      </c>
      <c r="AA649" t="n">
        <v>11.0095</v>
      </c>
      <c r="AB649" t="n">
        <v>49.59037</v>
      </c>
      <c r="AC649" t="n">
        <v>17.58027</v>
      </c>
      <c r="AD649" t="n">
        <v>53.2855</v>
      </c>
      <c r="AE649" t="n">
        <v>31.62221</v>
      </c>
    </row>
    <row r="650">
      <c r="A650" s="90" t="n">
        <v>38353</v>
      </c>
      <c r="B650" t="n">
        <v>36.39072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24.66472</v>
      </c>
      <c r="I650" t="n">
        <v>27.01543</v>
      </c>
      <c r="J650" t="n">
        <v>46.21528</v>
      </c>
      <c r="K650" t="n">
        <v>48.13997</v>
      </c>
      <c r="L650" t="n">
        <v>62.00828</v>
      </c>
      <c r="M650" t="n">
        <v>54.07267</v>
      </c>
      <c r="N650" t="n">
        <v>51.75672</v>
      </c>
      <c r="O650" t="n">
        <v>23.27019</v>
      </c>
      <c r="P650" t="n">
        <v>20.25499</v>
      </c>
      <c r="Q650" t="n">
        <v>32.17133</v>
      </c>
      <c r="R650" t="n">
        <v>42.71303</v>
      </c>
      <c r="S650" t="n">
        <v>83.98421999999999</v>
      </c>
      <c r="T650" t="n">
        <v>43.56325</v>
      </c>
      <c r="U650" t="n">
        <v>27.86948</v>
      </c>
      <c r="V650" t="n">
        <v>50.67405</v>
      </c>
      <c r="W650" t="n">
        <v>44.7117</v>
      </c>
      <c r="X650" t="n">
        <v>49.23523</v>
      </c>
      <c r="Y650" t="n">
        <v>39.24496</v>
      </c>
      <c r="Z650" t="n">
        <v>34.80701</v>
      </c>
      <c r="AA650" t="n">
        <v>11.30877</v>
      </c>
      <c r="AB650" t="n">
        <v>49.6881</v>
      </c>
      <c r="AC650" t="n">
        <v>17.55759</v>
      </c>
      <c r="AD650" t="n">
        <v>53.33697</v>
      </c>
      <c r="AE650" t="n">
        <v>32.42761</v>
      </c>
    </row>
    <row r="651">
      <c r="A651" s="90" t="n">
        <v>38384</v>
      </c>
      <c r="B651" t="n">
        <v>36.63166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24.90389</v>
      </c>
      <c r="I651" t="n">
        <v>27.73107</v>
      </c>
      <c r="J651" t="n">
        <v>46.43981</v>
      </c>
      <c r="K651" t="n">
        <v>48.1693</v>
      </c>
      <c r="L651" t="n">
        <v>62.15745</v>
      </c>
      <c r="M651" t="n">
        <v>54.45609</v>
      </c>
      <c r="N651" t="n">
        <v>52.31344</v>
      </c>
      <c r="O651" t="n">
        <v>23.4021</v>
      </c>
      <c r="P651" t="n">
        <v>20.53226</v>
      </c>
      <c r="Q651" t="n">
        <v>32.66627</v>
      </c>
      <c r="R651" t="n">
        <v>43.1423</v>
      </c>
      <c r="S651" t="n">
        <v>83.9924</v>
      </c>
      <c r="T651" t="n">
        <v>43.91758</v>
      </c>
      <c r="U651" t="n">
        <v>28.01537</v>
      </c>
      <c r="V651" t="n">
        <v>51.15657</v>
      </c>
      <c r="W651" t="n">
        <v>45.16766</v>
      </c>
      <c r="X651" t="n">
        <v>49.40765</v>
      </c>
      <c r="Y651" t="n">
        <v>39.49471</v>
      </c>
      <c r="Z651" t="n">
        <v>35.11959</v>
      </c>
      <c r="AA651" t="n">
        <v>11.57603</v>
      </c>
      <c r="AB651" t="n">
        <v>50.08786</v>
      </c>
      <c r="AC651" t="n">
        <v>17.60101</v>
      </c>
      <c r="AD651" t="n">
        <v>53.40588</v>
      </c>
      <c r="AE651" t="n">
        <v>33.50933</v>
      </c>
    </row>
    <row r="652">
      <c r="A652" s="90" t="n">
        <v>38412</v>
      </c>
      <c r="B652" t="n">
        <v>36.80817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25.19954</v>
      </c>
      <c r="I652" t="n">
        <v>28.39303</v>
      </c>
      <c r="J652" t="n">
        <v>46.68879</v>
      </c>
      <c r="K652" t="n">
        <v>48.04032</v>
      </c>
      <c r="L652" t="n">
        <v>62.37503</v>
      </c>
      <c r="M652" t="n">
        <v>54.77991</v>
      </c>
      <c r="N652" t="n">
        <v>53.19286</v>
      </c>
      <c r="O652" t="n">
        <v>23.67588</v>
      </c>
      <c r="P652" t="n">
        <v>20.56539</v>
      </c>
      <c r="Q652" t="n">
        <v>33.13094</v>
      </c>
      <c r="R652" t="n">
        <v>43.37708</v>
      </c>
      <c r="S652" t="n">
        <v>84.15600999999999</v>
      </c>
      <c r="T652" t="n">
        <v>44.02971</v>
      </c>
      <c r="U652" t="n">
        <v>28.11267</v>
      </c>
      <c r="V652" t="n">
        <v>52.03962</v>
      </c>
      <c r="W652" t="n">
        <v>45.66505</v>
      </c>
      <c r="X652" t="n">
        <v>49.60073</v>
      </c>
      <c r="Y652" t="n">
        <v>39.89377</v>
      </c>
      <c r="Z652" t="n">
        <v>35.67332</v>
      </c>
      <c r="AA652" t="n">
        <v>11.86582</v>
      </c>
      <c r="AB652" t="n">
        <v>50.5237</v>
      </c>
      <c r="AC652" t="n">
        <v>17.97128</v>
      </c>
      <c r="AD652" t="n">
        <v>53.48143</v>
      </c>
      <c r="AE652" t="n">
        <v>33.69832</v>
      </c>
    </row>
    <row r="653">
      <c r="A653" s="90" t="n">
        <v>38443</v>
      </c>
      <c r="B653" t="n">
        <v>37.0239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25.58139</v>
      </c>
      <c r="I653" t="n">
        <v>28.9515</v>
      </c>
      <c r="J653" t="n">
        <v>47.15639</v>
      </c>
      <c r="K653" t="n">
        <v>48.85154</v>
      </c>
      <c r="L653" t="n">
        <v>62.91018</v>
      </c>
      <c r="M653" t="n">
        <v>55.31128</v>
      </c>
      <c r="N653" t="n">
        <v>54.32391</v>
      </c>
      <c r="O653" t="n">
        <v>24.12606</v>
      </c>
      <c r="P653" t="n">
        <v>20.8876</v>
      </c>
      <c r="Q653" t="n">
        <v>33.56136</v>
      </c>
      <c r="R653" t="n">
        <v>43.70795</v>
      </c>
      <c r="S653" t="n">
        <v>83.97604</v>
      </c>
      <c r="T653" t="n">
        <v>44.26842</v>
      </c>
      <c r="U653" t="n">
        <v>28.24663</v>
      </c>
      <c r="V653" t="n">
        <v>52.60456</v>
      </c>
      <c r="W653" t="n">
        <v>46.04211</v>
      </c>
      <c r="X653" t="n">
        <v>49.84459</v>
      </c>
      <c r="Y653" t="n">
        <v>40.48259</v>
      </c>
      <c r="Z653" t="n">
        <v>36.41202</v>
      </c>
      <c r="AA653" t="n">
        <v>12.19579</v>
      </c>
      <c r="AB653" t="n">
        <v>50.49871</v>
      </c>
      <c r="AC653" t="n">
        <v>18.56349</v>
      </c>
      <c r="AD653" t="n">
        <v>53.59766</v>
      </c>
      <c r="AE653" t="n">
        <v>33.74708</v>
      </c>
    </row>
    <row r="654">
      <c r="A654" s="90" t="n">
        <v>38473</v>
      </c>
      <c r="B654" t="n">
        <v>37.35729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25.94507</v>
      </c>
      <c r="I654" t="n">
        <v>29.52913</v>
      </c>
      <c r="J654" t="n">
        <v>48.07209</v>
      </c>
      <c r="K654" t="n">
        <v>49.72163</v>
      </c>
      <c r="L654" t="n">
        <v>63.56118</v>
      </c>
      <c r="M654" t="n">
        <v>55.9814</v>
      </c>
      <c r="N654" t="n">
        <v>55.23232</v>
      </c>
      <c r="O654" t="n">
        <v>24.40152</v>
      </c>
      <c r="P654" t="n">
        <v>21.25314</v>
      </c>
      <c r="Q654" t="n">
        <v>34.08271</v>
      </c>
      <c r="R654" t="n">
        <v>44.37241</v>
      </c>
      <c r="S654" t="n">
        <v>83.97604</v>
      </c>
      <c r="T654" t="n">
        <v>44.63684</v>
      </c>
      <c r="U654" t="n">
        <v>28.36508</v>
      </c>
      <c r="V654" t="n">
        <v>52.87588</v>
      </c>
      <c r="W654" t="n">
        <v>46.37922</v>
      </c>
      <c r="X654" t="n">
        <v>50.11715</v>
      </c>
      <c r="Y654" t="n">
        <v>41.05984</v>
      </c>
      <c r="Z654" t="n">
        <v>36.96402</v>
      </c>
      <c r="AA654" t="n">
        <v>12.50533</v>
      </c>
      <c r="AB654" t="n">
        <v>50.85361</v>
      </c>
      <c r="AC654" t="n">
        <v>19.01084</v>
      </c>
      <c r="AD654" t="n">
        <v>53.74211</v>
      </c>
      <c r="AE654" t="n">
        <v>34.26422</v>
      </c>
    </row>
    <row r="655">
      <c r="A655" s="90" t="n">
        <v>38504</v>
      </c>
      <c r="B655" t="n">
        <v>37.74112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26.30382</v>
      </c>
      <c r="I655" t="n">
        <v>30.02948</v>
      </c>
      <c r="J655" t="n">
        <v>48.51795</v>
      </c>
      <c r="K655" t="n">
        <v>51.22858</v>
      </c>
      <c r="L655" t="n">
        <v>64.14462</v>
      </c>
      <c r="M655" t="n">
        <v>56.65672</v>
      </c>
      <c r="N655" t="n">
        <v>55.6117</v>
      </c>
      <c r="O655" t="n">
        <v>24.61522</v>
      </c>
      <c r="P655" t="n">
        <v>21.45936</v>
      </c>
      <c r="Q655" t="n">
        <v>34.71707</v>
      </c>
      <c r="R655" t="n">
        <v>44.96046</v>
      </c>
      <c r="S655" t="n">
        <v>83.9515</v>
      </c>
      <c r="T655" t="n">
        <v>44.96999</v>
      </c>
      <c r="U655" t="n">
        <v>28.54842</v>
      </c>
      <c r="V655" t="n">
        <v>53.32688</v>
      </c>
      <c r="W655" t="n">
        <v>46.82032</v>
      </c>
      <c r="X655" t="n">
        <v>50.44881</v>
      </c>
      <c r="Y655" t="n">
        <v>41.62736</v>
      </c>
      <c r="Z655" t="n">
        <v>37.22631</v>
      </c>
      <c r="AA655" t="n">
        <v>12.77731</v>
      </c>
      <c r="AB655" t="n">
        <v>52.07392</v>
      </c>
      <c r="AC655" t="n">
        <v>19.37633</v>
      </c>
      <c r="AD655" t="n">
        <v>54.01193</v>
      </c>
      <c r="AE655" t="n">
        <v>34.84028</v>
      </c>
    </row>
    <row r="656">
      <c r="A656" s="90" t="n">
        <v>38534</v>
      </c>
      <c r="B656" t="n">
        <v>37.97646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26.47292</v>
      </c>
      <c r="I656" t="n">
        <v>30.68645</v>
      </c>
      <c r="J656" t="n">
        <v>48.81116</v>
      </c>
      <c r="K656" t="n">
        <v>52.99106</v>
      </c>
      <c r="L656" t="n">
        <v>64.72659</v>
      </c>
      <c r="M656" t="n">
        <v>57.2772</v>
      </c>
      <c r="N656" t="n">
        <v>55.94059</v>
      </c>
      <c r="O656" t="n">
        <v>25.0488</v>
      </c>
      <c r="P656" t="n">
        <v>21.68746</v>
      </c>
      <c r="Q656" t="n">
        <v>35.31264</v>
      </c>
      <c r="R656" t="n">
        <v>45.31012</v>
      </c>
      <c r="S656" t="n">
        <v>84.1151</v>
      </c>
      <c r="T656" t="n">
        <v>45.3913</v>
      </c>
      <c r="U656" t="n">
        <v>29.01718</v>
      </c>
      <c r="V656" t="n">
        <v>53.85254</v>
      </c>
      <c r="W656" t="n">
        <v>47.26359</v>
      </c>
      <c r="X656" t="n">
        <v>50.80815</v>
      </c>
      <c r="Y656" t="n">
        <v>42.16827</v>
      </c>
      <c r="Z656" t="n">
        <v>37.25824</v>
      </c>
      <c r="AA656" t="n">
        <v>13.09421</v>
      </c>
      <c r="AB656" t="n">
        <v>52.96393</v>
      </c>
      <c r="AC656" t="n">
        <v>19.78846</v>
      </c>
      <c r="AD656" t="n">
        <v>54.27428</v>
      </c>
      <c r="AE656" t="n">
        <v>35.50487</v>
      </c>
    </row>
    <row r="657">
      <c r="A657" s="90" t="n">
        <v>38565</v>
      </c>
      <c r="B657" t="n">
        <v>38.09413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26.6108</v>
      </c>
      <c r="I657" t="n">
        <v>31.30913</v>
      </c>
      <c r="J657" t="n">
        <v>49.08056</v>
      </c>
      <c r="K657" t="n">
        <v>53.33559</v>
      </c>
      <c r="L657" t="n">
        <v>64.87823</v>
      </c>
      <c r="M657" t="n">
        <v>57.45078</v>
      </c>
      <c r="N657" t="n">
        <v>56.34932</v>
      </c>
      <c r="O657" t="n">
        <v>25.55486</v>
      </c>
      <c r="P657" t="n">
        <v>21.91241</v>
      </c>
      <c r="Q657" t="n">
        <v>35.83746</v>
      </c>
      <c r="R657" t="n">
        <v>45.50826</v>
      </c>
      <c r="S657" t="n">
        <v>84.24598</v>
      </c>
      <c r="T657" t="n">
        <v>45.67742</v>
      </c>
      <c r="U657" t="n">
        <v>29.46974</v>
      </c>
      <c r="V657" t="n">
        <v>54.27048</v>
      </c>
      <c r="W657" t="n">
        <v>47.7089</v>
      </c>
      <c r="X657" t="n">
        <v>51.09801</v>
      </c>
      <c r="Y657" t="n">
        <v>42.53706</v>
      </c>
      <c r="Z657" t="n">
        <v>37.54126</v>
      </c>
      <c r="AA657" t="n">
        <v>13.46325</v>
      </c>
      <c r="AB657" t="n">
        <v>53.25996</v>
      </c>
      <c r="AC657" t="n">
        <v>20.28823</v>
      </c>
      <c r="AD657" t="n">
        <v>54.54659</v>
      </c>
      <c r="AE657" t="n">
        <v>35.78053</v>
      </c>
    </row>
    <row r="658">
      <c r="A658" s="90" t="n">
        <v>38596</v>
      </c>
      <c r="B658" t="n">
        <v>38.41912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27.02942</v>
      </c>
      <c r="I658" t="n">
        <v>31.81762</v>
      </c>
      <c r="J658" t="n">
        <v>49.10284</v>
      </c>
      <c r="K658" t="n">
        <v>53.76122</v>
      </c>
      <c r="L658" t="n">
        <v>65.04797000000001</v>
      </c>
      <c r="M658" t="n">
        <v>57.93161</v>
      </c>
      <c r="N658" t="n">
        <v>56.99405</v>
      </c>
      <c r="O658" t="n">
        <v>26.18155</v>
      </c>
      <c r="P658" t="n">
        <v>22.41583</v>
      </c>
      <c r="Q658" t="n">
        <v>36.41407</v>
      </c>
      <c r="R658" t="n">
        <v>45.51949</v>
      </c>
      <c r="S658" t="n">
        <v>84.32778</v>
      </c>
      <c r="T658" t="n">
        <v>45.897</v>
      </c>
      <c r="U658" t="n">
        <v>29.90033</v>
      </c>
      <c r="V658" t="n">
        <v>54.92255</v>
      </c>
      <c r="W658" t="n">
        <v>48.60467</v>
      </c>
      <c r="X658" t="n">
        <v>51.42009</v>
      </c>
      <c r="Y658" t="n">
        <v>42.98855</v>
      </c>
      <c r="Z658" t="n">
        <v>38.0673</v>
      </c>
      <c r="AA658" t="n">
        <v>13.91869</v>
      </c>
      <c r="AB658" t="n">
        <v>53.30558</v>
      </c>
      <c r="AC658" t="n">
        <v>20.74949</v>
      </c>
      <c r="AD658" t="n">
        <v>54.82969</v>
      </c>
      <c r="AE658" t="n">
        <v>36.14792</v>
      </c>
    </row>
    <row r="659">
      <c r="A659" s="90" t="n">
        <v>38626</v>
      </c>
      <c r="B659" t="n">
        <v>38.61523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27.57959</v>
      </c>
      <c r="I659" t="n">
        <v>32.44872</v>
      </c>
      <c r="J659" t="n">
        <v>49.49739</v>
      </c>
      <c r="K659" t="n">
        <v>54.01084</v>
      </c>
      <c r="L659" t="n">
        <v>65.51672000000001</v>
      </c>
      <c r="M659" t="n">
        <v>58.85676</v>
      </c>
      <c r="N659" t="n">
        <v>57.60891</v>
      </c>
      <c r="O659" t="n">
        <v>26.61066</v>
      </c>
      <c r="P659" t="n">
        <v>22.83817</v>
      </c>
      <c r="Q659" t="n">
        <v>37.10153</v>
      </c>
      <c r="R659" t="n">
        <v>45.55461</v>
      </c>
      <c r="S659" t="n">
        <v>84.28688</v>
      </c>
      <c r="T659" t="n">
        <v>46.01929</v>
      </c>
      <c r="U659" t="n">
        <v>30.44931</v>
      </c>
      <c r="V659" t="n">
        <v>55.40439</v>
      </c>
      <c r="W659" t="n">
        <v>49.03799</v>
      </c>
      <c r="X659" t="n">
        <v>51.76965</v>
      </c>
      <c r="Y659" t="n">
        <v>43.55605</v>
      </c>
      <c r="Z659" t="n">
        <v>38.6686</v>
      </c>
      <c r="AA659" t="n">
        <v>14.38303</v>
      </c>
      <c r="AB659" t="n">
        <v>54.3091</v>
      </c>
      <c r="AC659" t="n">
        <v>21.01513</v>
      </c>
      <c r="AD659" t="n">
        <v>55.11445</v>
      </c>
      <c r="AE659" t="n">
        <v>36.6041</v>
      </c>
    </row>
    <row r="660">
      <c r="A660" s="90" t="n">
        <v>38657</v>
      </c>
      <c r="B660" t="n">
        <v>38.67687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28.22033</v>
      </c>
      <c r="I660" t="n">
        <v>33.22792</v>
      </c>
      <c r="J660" t="n">
        <v>50.38005</v>
      </c>
      <c r="K660" t="n">
        <v>54.43851</v>
      </c>
      <c r="L660" t="n">
        <v>65.87474</v>
      </c>
      <c r="M660" t="n">
        <v>59.21748</v>
      </c>
      <c r="N660" t="n">
        <v>58.18975</v>
      </c>
      <c r="O660" t="n">
        <v>26.69896</v>
      </c>
      <c r="P660" t="n">
        <v>23.00184</v>
      </c>
      <c r="Q660" t="n">
        <v>37.81456</v>
      </c>
      <c r="R660" t="n">
        <v>45.92039</v>
      </c>
      <c r="S660" t="n">
        <v>84.32778</v>
      </c>
      <c r="T660" t="n">
        <v>46.12765</v>
      </c>
      <c r="U660" t="n">
        <v>30.82542</v>
      </c>
      <c r="V660" t="n">
        <v>55.85548</v>
      </c>
      <c r="W660" t="n">
        <v>48.85994</v>
      </c>
      <c r="X660" t="n">
        <v>51.9978</v>
      </c>
      <c r="Y660" t="n">
        <v>43.96304</v>
      </c>
      <c r="Z660" t="n">
        <v>39.0327</v>
      </c>
      <c r="AA660" t="n">
        <v>14.73689</v>
      </c>
      <c r="AB660" t="n">
        <v>54.96763</v>
      </c>
      <c r="AC660" t="n">
        <v>21.32644</v>
      </c>
      <c r="AD660" t="n">
        <v>55.25061</v>
      </c>
      <c r="AE660" t="n">
        <v>36.77314</v>
      </c>
    </row>
    <row r="661">
      <c r="A661" s="90" t="n">
        <v>38687</v>
      </c>
      <c r="B661" t="n">
        <v>39.00747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28.51992</v>
      </c>
      <c r="I661" t="n">
        <v>33.95321</v>
      </c>
      <c r="J661" t="n">
        <v>51.03147</v>
      </c>
      <c r="K661" t="n">
        <v>54.92216</v>
      </c>
      <c r="L661" t="n">
        <v>66.63905</v>
      </c>
      <c r="M661" t="n">
        <v>59.92926</v>
      </c>
      <c r="N661" t="n">
        <v>58.91279</v>
      </c>
      <c r="O661" t="n">
        <v>26.84932</v>
      </c>
      <c r="P661" t="n">
        <v>23.29244</v>
      </c>
      <c r="Q661" t="n">
        <v>38.46975</v>
      </c>
      <c r="R661" t="n">
        <v>46.08501</v>
      </c>
      <c r="S661" t="n">
        <v>84.25417</v>
      </c>
      <c r="T661" t="n">
        <v>46.35608</v>
      </c>
      <c r="U661" t="n">
        <v>31.13875</v>
      </c>
      <c r="V661" t="n">
        <v>56.37477</v>
      </c>
      <c r="W661" t="n">
        <v>49.01691</v>
      </c>
      <c r="X661" t="n">
        <v>52.28316</v>
      </c>
      <c r="Y661" t="n">
        <v>44.46328</v>
      </c>
      <c r="Z661" t="n">
        <v>39.10976</v>
      </c>
      <c r="AA661" t="n">
        <v>15.03363</v>
      </c>
      <c r="AB661" t="n">
        <v>55.21341</v>
      </c>
      <c r="AC661" t="n">
        <v>21.79631</v>
      </c>
      <c r="AD661" t="n">
        <v>55.47393</v>
      </c>
      <c r="AE661" t="n">
        <v>37.60492</v>
      </c>
    </row>
    <row r="662">
      <c r="A662" s="90" t="n">
        <v>38718</v>
      </c>
      <c r="B662" t="n">
        <v>39.45013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28.55877</v>
      </c>
      <c r="I662" t="n">
        <v>34.36285</v>
      </c>
      <c r="J662" t="n">
        <v>51.51576</v>
      </c>
      <c r="K662" t="n">
        <v>57.20307</v>
      </c>
      <c r="L662" t="n">
        <v>67.20077000000001</v>
      </c>
      <c r="M662" t="n">
        <v>60.39851</v>
      </c>
      <c r="N662" t="n">
        <v>59.787</v>
      </c>
      <c r="O662" t="n">
        <v>27.19197</v>
      </c>
      <c r="P662" t="n">
        <v>23.46516</v>
      </c>
      <c r="Q662" t="n">
        <v>39.08581</v>
      </c>
      <c r="R662" t="n">
        <v>45.78491</v>
      </c>
      <c r="S662" t="n">
        <v>84.17236</v>
      </c>
      <c r="T662" t="n">
        <v>46.63291</v>
      </c>
      <c r="U662" t="n">
        <v>31.4246</v>
      </c>
      <c r="V662" t="n">
        <v>56.484</v>
      </c>
      <c r="W662" t="n">
        <v>49.34933</v>
      </c>
      <c r="X662" t="n">
        <v>52.59055</v>
      </c>
      <c r="Y662" t="n">
        <v>44.84395</v>
      </c>
      <c r="Z662" t="n">
        <v>39.11385</v>
      </c>
      <c r="AA662" t="n">
        <v>15.37637</v>
      </c>
      <c r="AB662" t="n">
        <v>56.2474</v>
      </c>
      <c r="AC662" t="n">
        <v>22.00918</v>
      </c>
      <c r="AD662" t="n">
        <v>55.82594</v>
      </c>
      <c r="AE662" t="n">
        <v>38.94925</v>
      </c>
    </row>
    <row r="663">
      <c r="A663" s="90" t="n">
        <v>38749</v>
      </c>
      <c r="B663" t="n">
        <v>39.76672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28.83844</v>
      </c>
      <c r="I663" t="n">
        <v>34.69572</v>
      </c>
      <c r="J663" t="n">
        <v>52.03088</v>
      </c>
      <c r="K663" t="n">
        <v>57.46348</v>
      </c>
      <c r="L663" t="n">
        <v>67.30381</v>
      </c>
      <c r="M663" t="n">
        <v>60.7911</v>
      </c>
      <c r="N663" t="n">
        <v>60.89355</v>
      </c>
      <c r="O663" t="n">
        <v>27.56912</v>
      </c>
      <c r="P663" t="n">
        <v>23.62107</v>
      </c>
      <c r="Q663" t="n">
        <v>39.6841</v>
      </c>
      <c r="R663" t="n">
        <v>45.8398</v>
      </c>
      <c r="S663" t="n">
        <v>84.09056</v>
      </c>
      <c r="T663" t="n">
        <v>46.95507</v>
      </c>
      <c r="U663" t="n">
        <v>31.93121</v>
      </c>
      <c r="V663" t="n">
        <v>56.78859</v>
      </c>
      <c r="W663" t="n">
        <v>49.58443</v>
      </c>
      <c r="X663" t="n">
        <v>52.8599</v>
      </c>
      <c r="Y663" t="n">
        <v>45.19366</v>
      </c>
      <c r="Z663" t="n">
        <v>39.38215</v>
      </c>
      <c r="AA663" t="n">
        <v>15.71363</v>
      </c>
      <c r="AB663" t="n">
        <v>56.631</v>
      </c>
      <c r="AC663" t="n">
        <v>22.30262</v>
      </c>
      <c r="AD663" t="n">
        <v>56.02768</v>
      </c>
      <c r="AE663" t="n">
        <v>40.33771</v>
      </c>
    </row>
    <row r="664">
      <c r="A664" s="90" t="n">
        <v>38777</v>
      </c>
      <c r="B664" t="n">
        <v>40.14494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28.85606</v>
      </c>
      <c r="I664" t="n">
        <v>35.54024</v>
      </c>
      <c r="J664" t="n">
        <v>52.26886</v>
      </c>
      <c r="K664" t="n">
        <v>56.268</v>
      </c>
      <c r="L664" t="n">
        <v>67.73877</v>
      </c>
      <c r="M664" t="n">
        <v>62.09684</v>
      </c>
      <c r="N664" t="n">
        <v>62.83817</v>
      </c>
      <c r="O664" t="n">
        <v>27.86011</v>
      </c>
      <c r="P664" t="n">
        <v>24.33838</v>
      </c>
      <c r="Q664" t="n">
        <v>40.24675</v>
      </c>
      <c r="R664" t="n">
        <v>46.66138</v>
      </c>
      <c r="S664" t="n">
        <v>84.06601999999999</v>
      </c>
      <c r="T664" t="n">
        <v>47.19645</v>
      </c>
      <c r="U664" t="n">
        <v>32.95387</v>
      </c>
      <c r="V664" t="n">
        <v>57.41615</v>
      </c>
      <c r="W664" t="n">
        <v>49.84689</v>
      </c>
      <c r="X664" t="n">
        <v>53.24176</v>
      </c>
      <c r="Y664" t="n">
        <v>45.98247</v>
      </c>
      <c r="Z664" t="n">
        <v>39.84482</v>
      </c>
      <c r="AA664" t="n">
        <v>15.96418</v>
      </c>
      <c r="AB664" t="n">
        <v>57.35555</v>
      </c>
      <c r="AC664" t="n">
        <v>22.95119</v>
      </c>
      <c r="AD664" t="n">
        <v>56.1464</v>
      </c>
      <c r="AE664" t="n">
        <v>41.67496</v>
      </c>
    </row>
    <row r="665">
      <c r="A665" s="90" t="n">
        <v>38808</v>
      </c>
      <c r="B665" t="n">
        <v>40.87057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29.40665</v>
      </c>
      <c r="I665" t="n">
        <v>36.28638</v>
      </c>
      <c r="J665" t="n">
        <v>53.00813</v>
      </c>
      <c r="K665" t="n">
        <v>56.88713</v>
      </c>
      <c r="L665" t="n">
        <v>68.62699000000001</v>
      </c>
      <c r="M665" t="n">
        <v>62.95477</v>
      </c>
      <c r="N665" t="n">
        <v>63.93486</v>
      </c>
      <c r="O665" t="n">
        <v>27.95644</v>
      </c>
      <c r="P665" t="n">
        <v>25.00314</v>
      </c>
      <c r="Q665" t="n">
        <v>40.80737</v>
      </c>
      <c r="R665" t="n">
        <v>47.2472</v>
      </c>
      <c r="S665" t="n">
        <v>84.06601999999999</v>
      </c>
      <c r="T665" t="n">
        <v>47.41754</v>
      </c>
      <c r="U665" t="n">
        <v>34.09891</v>
      </c>
      <c r="V665" t="n">
        <v>58.02592</v>
      </c>
      <c r="W665" t="n">
        <v>50.35183</v>
      </c>
      <c r="X665" t="n">
        <v>53.6908</v>
      </c>
      <c r="Y665" t="n">
        <v>46.66463</v>
      </c>
      <c r="Z665" t="n">
        <v>40.2368</v>
      </c>
      <c r="AA665" t="n">
        <v>16.34115</v>
      </c>
      <c r="AB665" t="n">
        <v>58.52439</v>
      </c>
      <c r="AC665" t="n">
        <v>23.47533</v>
      </c>
      <c r="AD665" t="n">
        <v>56.45524</v>
      </c>
      <c r="AE665" t="n">
        <v>42.27646</v>
      </c>
    </row>
    <row r="666">
      <c r="A666" s="90" t="n">
        <v>38838</v>
      </c>
      <c r="B666" t="n">
        <v>41.38887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30.19623</v>
      </c>
      <c r="I666" t="n">
        <v>36.59255</v>
      </c>
      <c r="J666" t="n">
        <v>53.80474</v>
      </c>
      <c r="K666" t="n">
        <v>57.15881</v>
      </c>
      <c r="L666" t="n">
        <v>69.3781</v>
      </c>
      <c r="M666" t="n">
        <v>62.9738</v>
      </c>
      <c r="N666" t="n">
        <v>63.55436</v>
      </c>
      <c r="O666" t="n">
        <v>28.43944</v>
      </c>
      <c r="P666" t="n">
        <v>25.23626</v>
      </c>
      <c r="Q666" t="n">
        <v>41.33091</v>
      </c>
      <c r="R666" t="n">
        <v>47.53452</v>
      </c>
      <c r="S666" t="n">
        <v>83.90242000000001</v>
      </c>
      <c r="T666" t="n">
        <v>47.84118</v>
      </c>
      <c r="U666" t="n">
        <v>34.68013</v>
      </c>
      <c r="V666" t="n">
        <v>58.56925</v>
      </c>
      <c r="W666" t="n">
        <v>50.90573</v>
      </c>
      <c r="X666" t="n">
        <v>53.98828</v>
      </c>
      <c r="Y666" t="n">
        <v>47.36224</v>
      </c>
      <c r="Z666" t="n">
        <v>40.86657</v>
      </c>
      <c r="AA666" t="n">
        <v>16.80084</v>
      </c>
      <c r="AB666" t="n">
        <v>59.33286</v>
      </c>
      <c r="AC666" t="n">
        <v>24.80253</v>
      </c>
      <c r="AD666" t="n">
        <v>56.5117</v>
      </c>
      <c r="AE666" t="n">
        <v>42.60885</v>
      </c>
    </row>
    <row r="667">
      <c r="A667" s="90" t="n">
        <v>38869</v>
      </c>
      <c r="B667" t="n">
        <v>41.64383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30.60679</v>
      </c>
      <c r="I667" t="n">
        <v>37.03216</v>
      </c>
      <c r="J667" t="n">
        <v>54.12254</v>
      </c>
      <c r="K667" t="n">
        <v>57.8941</v>
      </c>
      <c r="L667" t="n">
        <v>69.69190999999999</v>
      </c>
      <c r="M667" t="n">
        <v>63.35112</v>
      </c>
      <c r="N667" t="n">
        <v>64.65564999999999</v>
      </c>
      <c r="O667" t="n">
        <v>28.94695</v>
      </c>
      <c r="P667" t="n">
        <v>25.46471</v>
      </c>
      <c r="Q667" t="n">
        <v>41.79917</v>
      </c>
      <c r="R667" t="n">
        <v>47.82661</v>
      </c>
      <c r="S667" t="n">
        <v>83.76336000000001</v>
      </c>
      <c r="T667" t="n">
        <v>48.36247</v>
      </c>
      <c r="U667" t="n">
        <v>34.99825</v>
      </c>
      <c r="V667" t="n">
        <v>59.51934</v>
      </c>
      <c r="W667" t="n">
        <v>51.4488</v>
      </c>
      <c r="X667" t="n">
        <v>54.38847</v>
      </c>
      <c r="Y667" t="n">
        <v>48.17421</v>
      </c>
      <c r="Z667" t="n">
        <v>41.54684</v>
      </c>
      <c r="AA667" t="n">
        <v>17.35095</v>
      </c>
      <c r="AB667" t="n">
        <v>60.55233</v>
      </c>
      <c r="AC667" t="n">
        <v>25.97089</v>
      </c>
      <c r="AD667" t="n">
        <v>56.82718</v>
      </c>
      <c r="AE667" t="n">
        <v>43.13977</v>
      </c>
    </row>
    <row r="668">
      <c r="A668" s="90" t="n">
        <v>38899</v>
      </c>
      <c r="B668" t="n">
        <v>42.00524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31.30387</v>
      </c>
      <c r="I668" t="n">
        <v>37.62827</v>
      </c>
      <c r="J668" t="n">
        <v>54.62064</v>
      </c>
      <c r="K668" t="n">
        <v>58.16055</v>
      </c>
      <c r="L668" t="n">
        <v>69.90903</v>
      </c>
      <c r="M668" t="n">
        <v>64.09172</v>
      </c>
      <c r="N668" t="n">
        <v>65.94164000000001</v>
      </c>
      <c r="O668" t="n">
        <v>28.99599</v>
      </c>
      <c r="P668" t="n">
        <v>25.83794</v>
      </c>
      <c r="Q668" t="n">
        <v>42.30915</v>
      </c>
      <c r="R668" t="n">
        <v>48.16966</v>
      </c>
      <c r="S668" t="n">
        <v>83.59157999999999</v>
      </c>
      <c r="T668" t="n">
        <v>48.79758</v>
      </c>
      <c r="U668" t="n">
        <v>34.98788</v>
      </c>
      <c r="V668" t="n">
        <v>60.23525</v>
      </c>
      <c r="W668" t="n">
        <v>52.07419</v>
      </c>
      <c r="X668" t="n">
        <v>54.66874</v>
      </c>
      <c r="Y668" t="n">
        <v>48.50581</v>
      </c>
      <c r="Z668" t="n">
        <v>42.04191</v>
      </c>
      <c r="AA668" t="n">
        <v>18.00585</v>
      </c>
      <c r="AB668" t="n">
        <v>61.83969</v>
      </c>
      <c r="AC668" t="n">
        <v>25.64908</v>
      </c>
      <c r="AD668" t="n">
        <v>57.17089</v>
      </c>
      <c r="AE668" t="n">
        <v>43.42159</v>
      </c>
    </row>
    <row r="669">
      <c r="A669" s="90" t="n">
        <v>38930</v>
      </c>
      <c r="B669" t="n">
        <v>42.42549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31.90458</v>
      </c>
      <c r="I669" t="n">
        <v>38.41827</v>
      </c>
      <c r="J669" t="n">
        <v>55.3434</v>
      </c>
      <c r="K669" t="n">
        <v>58.29176</v>
      </c>
      <c r="L669" t="n">
        <v>70.06609</v>
      </c>
      <c r="M669" t="n">
        <v>64.67328000000001</v>
      </c>
      <c r="N669" t="n">
        <v>66.09114</v>
      </c>
      <c r="O669" t="n">
        <v>29.22624</v>
      </c>
      <c r="P669" t="n">
        <v>26.39097</v>
      </c>
      <c r="Q669" t="n">
        <v>42.84776</v>
      </c>
      <c r="R669" t="n">
        <v>48.81121</v>
      </c>
      <c r="S669" t="n">
        <v>83.64066</v>
      </c>
      <c r="T669" t="n">
        <v>49.21878</v>
      </c>
      <c r="U669" t="n">
        <v>34.77387</v>
      </c>
      <c r="V669" t="n">
        <v>60.5854</v>
      </c>
      <c r="W669" t="n">
        <v>52.71755</v>
      </c>
      <c r="X669" t="n">
        <v>54.8914</v>
      </c>
      <c r="Y669" t="n">
        <v>48.71669</v>
      </c>
      <c r="Z669" t="n">
        <v>42.4836</v>
      </c>
      <c r="AA669" t="n">
        <v>18.59041</v>
      </c>
      <c r="AB669" t="n">
        <v>62.5967</v>
      </c>
      <c r="AC669" t="n">
        <v>25.31731</v>
      </c>
      <c r="AD669" t="n">
        <v>57.42659</v>
      </c>
      <c r="AE669" t="n">
        <v>43.56567</v>
      </c>
    </row>
    <row r="670">
      <c r="A670" s="90" t="n">
        <v>38961</v>
      </c>
      <c r="B670" t="n">
        <v>42.82893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32.0134</v>
      </c>
      <c r="I670" t="n">
        <v>39.43589</v>
      </c>
      <c r="J670" t="n">
        <v>55.63648</v>
      </c>
      <c r="K670" t="n">
        <v>59.13096</v>
      </c>
      <c r="L670" t="n">
        <v>70.66681</v>
      </c>
      <c r="M670" t="n">
        <v>65.56684</v>
      </c>
      <c r="N670" t="n">
        <v>66.30186</v>
      </c>
      <c r="O670" t="n">
        <v>29.57489</v>
      </c>
      <c r="P670" t="n">
        <v>26.89985</v>
      </c>
      <c r="Q670" t="n">
        <v>43.38371</v>
      </c>
      <c r="R670" t="n">
        <v>49.43005</v>
      </c>
      <c r="S670" t="n">
        <v>83.76336000000001</v>
      </c>
      <c r="T670" t="n">
        <v>49.75171</v>
      </c>
      <c r="U670" t="n">
        <v>35.02473</v>
      </c>
      <c r="V670" t="n">
        <v>61.32104</v>
      </c>
      <c r="W670" t="n">
        <v>53.09537</v>
      </c>
      <c r="X670" t="n">
        <v>55.23316</v>
      </c>
      <c r="Y670" t="n">
        <v>49.2737</v>
      </c>
      <c r="Z670" t="n">
        <v>43.12127</v>
      </c>
      <c r="AA670" t="n">
        <v>19.10063</v>
      </c>
      <c r="AB670" t="n">
        <v>63.12055</v>
      </c>
      <c r="AC670" t="n">
        <v>25.60769</v>
      </c>
      <c r="AD670" t="n">
        <v>57.65158</v>
      </c>
      <c r="AE670" t="n">
        <v>44.14303</v>
      </c>
    </row>
    <row r="671">
      <c r="A671" s="90" t="n">
        <v>38991</v>
      </c>
      <c r="B671" t="n">
        <v>43.25758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32.18111</v>
      </c>
      <c r="I671" t="n">
        <v>40.38157</v>
      </c>
      <c r="J671" t="n">
        <v>56.0471</v>
      </c>
      <c r="K671" t="n">
        <v>60.1908</v>
      </c>
      <c r="L671" t="n">
        <v>71.26898</v>
      </c>
      <c r="M671" t="n">
        <v>66.58504000000001</v>
      </c>
      <c r="N671" t="n">
        <v>66.3532</v>
      </c>
      <c r="O671" t="n">
        <v>30.05068</v>
      </c>
      <c r="P671" t="n">
        <v>27.16799</v>
      </c>
      <c r="Q671" t="n">
        <v>44.0172</v>
      </c>
      <c r="R671" t="n">
        <v>49.88899</v>
      </c>
      <c r="S671" t="n">
        <v>83.71428</v>
      </c>
      <c r="T671" t="n">
        <v>50.1956</v>
      </c>
      <c r="U671" t="n">
        <v>35.02005</v>
      </c>
      <c r="V671" t="n">
        <v>61.93491</v>
      </c>
      <c r="W671" t="n">
        <v>53.25428</v>
      </c>
      <c r="X671" t="n">
        <v>55.60484</v>
      </c>
      <c r="Y671" t="n">
        <v>49.87424</v>
      </c>
      <c r="Z671" t="n">
        <v>43.80297</v>
      </c>
      <c r="AA671" t="n">
        <v>19.7167</v>
      </c>
      <c r="AB671" t="n">
        <v>63.23695</v>
      </c>
      <c r="AC671" t="n">
        <v>25.93095</v>
      </c>
      <c r="AD671" t="n">
        <v>58.05921</v>
      </c>
      <c r="AE671" t="n">
        <v>45.04009</v>
      </c>
    </row>
    <row r="672">
      <c r="A672" s="90" t="n">
        <v>39022</v>
      </c>
      <c r="B672" t="n">
        <v>43.65822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32.8766</v>
      </c>
      <c r="I672" t="n">
        <v>41.33211</v>
      </c>
      <c r="J672" t="n">
        <v>56.87092</v>
      </c>
      <c r="K672" t="n">
        <v>60.92974</v>
      </c>
      <c r="L672" t="n">
        <v>71.66408</v>
      </c>
      <c r="M672" t="n">
        <v>67.15600999999999</v>
      </c>
      <c r="N672" t="n">
        <v>66.58216</v>
      </c>
      <c r="O672" t="n">
        <v>30.50355</v>
      </c>
      <c r="P672" t="n">
        <v>27.4556</v>
      </c>
      <c r="Q672" t="n">
        <v>44.85639</v>
      </c>
      <c r="R672" t="n">
        <v>50.37474</v>
      </c>
      <c r="S672" t="n">
        <v>83.77972</v>
      </c>
      <c r="T672" t="n">
        <v>50.5481</v>
      </c>
      <c r="U672" t="n">
        <v>35.20051</v>
      </c>
      <c r="V672" t="n">
        <v>62.53189</v>
      </c>
      <c r="W672" t="n">
        <v>54.01063</v>
      </c>
      <c r="X672" t="n">
        <v>55.92632</v>
      </c>
      <c r="Y672" t="n">
        <v>50.30767</v>
      </c>
      <c r="Z672" t="n">
        <v>44.4305</v>
      </c>
      <c r="AA672" t="n">
        <v>20.38812</v>
      </c>
      <c r="AB672" t="n">
        <v>63.32087</v>
      </c>
      <c r="AC672" t="n">
        <v>26.16482</v>
      </c>
      <c r="AD672" t="n">
        <v>58.35062</v>
      </c>
      <c r="AE672" t="n">
        <v>45.94409</v>
      </c>
    </row>
    <row r="673">
      <c r="A673" s="90" t="n">
        <v>39052</v>
      </c>
      <c r="B673" t="n">
        <v>44.07006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33.29496</v>
      </c>
      <c r="I673" t="n">
        <v>42.01144</v>
      </c>
      <c r="J673" t="n">
        <v>57.66341</v>
      </c>
      <c r="K673" t="n">
        <v>61.26351</v>
      </c>
      <c r="L673" t="n">
        <v>72.76392</v>
      </c>
      <c r="M673" t="n">
        <v>67.86056000000001</v>
      </c>
      <c r="N673" t="n">
        <v>67.14539000000001</v>
      </c>
      <c r="O673" t="n">
        <v>30.81024</v>
      </c>
      <c r="P673" t="n">
        <v>27.88753</v>
      </c>
      <c r="Q673" t="n">
        <v>45.8675</v>
      </c>
      <c r="R673" t="n">
        <v>51.057</v>
      </c>
      <c r="S673" t="n">
        <v>83.80426</v>
      </c>
      <c r="T673" t="n">
        <v>51.05955</v>
      </c>
      <c r="U673" t="n">
        <v>35.96661</v>
      </c>
      <c r="V673" t="n">
        <v>63.53942</v>
      </c>
      <c r="W673" t="n">
        <v>54.55961</v>
      </c>
      <c r="X673" t="n">
        <v>56.37829</v>
      </c>
      <c r="Y673" t="n">
        <v>50.91168</v>
      </c>
      <c r="Z673" t="n">
        <v>45.07062</v>
      </c>
      <c r="AA673" t="n">
        <v>20.92935</v>
      </c>
      <c r="AB673" t="n">
        <v>63.89422</v>
      </c>
      <c r="AC673" t="n">
        <v>26.64478</v>
      </c>
      <c r="AD673" t="n">
        <v>58.70927</v>
      </c>
      <c r="AE673" t="n">
        <v>46.72229</v>
      </c>
    </row>
    <row r="674">
      <c r="A674" s="90" t="n">
        <v>39083</v>
      </c>
      <c r="B674" t="n">
        <v>44.51833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33.24561</v>
      </c>
      <c r="I674" t="n">
        <v>42.50506</v>
      </c>
      <c r="J674" t="n">
        <v>58.57141</v>
      </c>
      <c r="K674" t="n">
        <v>61.66805</v>
      </c>
      <c r="L674" t="n">
        <v>73.68704</v>
      </c>
      <c r="M674" t="n">
        <v>68.5004</v>
      </c>
      <c r="N674" t="n">
        <v>67.64413999999999</v>
      </c>
      <c r="O674" t="n">
        <v>31.17442</v>
      </c>
      <c r="P674" t="n">
        <v>28.2892</v>
      </c>
      <c r="Q674" t="n">
        <v>47.02999</v>
      </c>
      <c r="R674" t="n">
        <v>51.70663</v>
      </c>
      <c r="S674" t="n">
        <v>83.8288</v>
      </c>
      <c r="T674" t="n">
        <v>51.51984</v>
      </c>
      <c r="U674" t="n">
        <v>36.14719</v>
      </c>
      <c r="V674" t="n">
        <v>64.40199</v>
      </c>
      <c r="W674" t="n">
        <v>54.86212</v>
      </c>
      <c r="X674" t="n">
        <v>56.75036</v>
      </c>
      <c r="Y674" t="n">
        <v>51.58463</v>
      </c>
      <c r="Z674" t="n">
        <v>45.93355</v>
      </c>
      <c r="AA674" t="n">
        <v>21.51536</v>
      </c>
      <c r="AB674" t="n">
        <v>65.05459999999999</v>
      </c>
      <c r="AC674" t="n">
        <v>27.17323</v>
      </c>
      <c r="AD674" t="n">
        <v>59.02475</v>
      </c>
      <c r="AE674" t="n">
        <v>47.55091</v>
      </c>
    </row>
    <row r="675">
      <c r="A675" s="90" t="n">
        <v>39114</v>
      </c>
      <c r="B675" t="n">
        <v>45.1599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33.69466</v>
      </c>
      <c r="I675" t="n">
        <v>43.2662</v>
      </c>
      <c r="J675" t="n">
        <v>59.30701</v>
      </c>
      <c r="K675" t="n">
        <v>62.37133</v>
      </c>
      <c r="L675" t="n">
        <v>73.94446000000001</v>
      </c>
      <c r="M675" t="n">
        <v>68.99102999999999</v>
      </c>
      <c r="N675" t="n">
        <v>67.9953</v>
      </c>
      <c r="O675" t="n">
        <v>31.5383</v>
      </c>
      <c r="P675" t="n">
        <v>28.77255</v>
      </c>
      <c r="Q675" t="n">
        <v>48.37229</v>
      </c>
      <c r="R675" t="n">
        <v>52.18278</v>
      </c>
      <c r="S675" t="n">
        <v>83.81244</v>
      </c>
      <c r="T675" t="n">
        <v>51.74482</v>
      </c>
      <c r="U675" t="n">
        <v>36.06145</v>
      </c>
      <c r="V675" t="n">
        <v>65.21198</v>
      </c>
      <c r="W675" t="n">
        <v>55.56318</v>
      </c>
      <c r="X675" t="n">
        <v>56.98514</v>
      </c>
      <c r="Y675" t="n">
        <v>52.13134</v>
      </c>
      <c r="Z675" t="n">
        <v>46.63795</v>
      </c>
      <c r="AA675" t="n">
        <v>22.04899</v>
      </c>
      <c r="AB675" t="n">
        <v>66.16</v>
      </c>
      <c r="AC675" t="n">
        <v>27.58206</v>
      </c>
      <c r="AD675" t="n">
        <v>59.15509</v>
      </c>
      <c r="AE675" t="n">
        <v>49.23785</v>
      </c>
    </row>
    <row r="676">
      <c r="A676" s="90" t="n">
        <v>39142</v>
      </c>
      <c r="B676" t="n">
        <v>45.94437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34.973</v>
      </c>
      <c r="I676" t="n">
        <v>44.30969</v>
      </c>
      <c r="J676" t="n">
        <v>59.77803</v>
      </c>
      <c r="K676" t="n">
        <v>63.36587</v>
      </c>
      <c r="L676" t="n">
        <v>74.83857999999999</v>
      </c>
      <c r="M676" t="n">
        <v>69.8395</v>
      </c>
      <c r="N676" t="n">
        <v>68.31413999999999</v>
      </c>
      <c r="O676" t="n">
        <v>31.92796</v>
      </c>
      <c r="P676" t="n">
        <v>29.65061</v>
      </c>
      <c r="Q676" t="n">
        <v>49.96592</v>
      </c>
      <c r="R676" t="n">
        <v>52.50628</v>
      </c>
      <c r="S676" t="n">
        <v>83.86971</v>
      </c>
      <c r="T676" t="n">
        <v>52.04313</v>
      </c>
      <c r="U676" t="n">
        <v>36.56516</v>
      </c>
      <c r="V676" t="n">
        <v>66.67928000000001</v>
      </c>
      <c r="W676" t="n">
        <v>56.12113</v>
      </c>
      <c r="X676" t="n">
        <v>57.38659</v>
      </c>
      <c r="Y676" t="n">
        <v>52.67924</v>
      </c>
      <c r="Z676" t="n">
        <v>46.97087</v>
      </c>
      <c r="AA676" t="n">
        <v>22.54857</v>
      </c>
      <c r="AB676" t="n">
        <v>66.90176</v>
      </c>
      <c r="AC676" t="n">
        <v>27.86996</v>
      </c>
      <c r="AD676" t="n">
        <v>59.4357</v>
      </c>
      <c r="AE676" t="n">
        <v>50.59858</v>
      </c>
    </row>
    <row r="677">
      <c r="A677" s="90" t="n">
        <v>39173</v>
      </c>
      <c r="B677" t="n">
        <v>46.64198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36.00227</v>
      </c>
      <c r="I677" t="n">
        <v>44.94527</v>
      </c>
      <c r="J677" t="n">
        <v>60.85343</v>
      </c>
      <c r="K677" t="n">
        <v>63.76192</v>
      </c>
      <c r="L677" t="n">
        <v>75.87624</v>
      </c>
      <c r="M677" t="n">
        <v>70.67683</v>
      </c>
      <c r="N677" t="n">
        <v>68.57644999999999</v>
      </c>
      <c r="O677" t="n">
        <v>32.26581</v>
      </c>
      <c r="P677" t="n">
        <v>30.16648</v>
      </c>
      <c r="Q677" t="n">
        <v>51.80834</v>
      </c>
      <c r="R677" t="n">
        <v>52.80778</v>
      </c>
      <c r="S677" t="n">
        <v>83.91879</v>
      </c>
      <c r="T677" t="n">
        <v>52.38091</v>
      </c>
      <c r="U677" t="n">
        <v>36.67766</v>
      </c>
      <c r="V677" t="n">
        <v>67.27422</v>
      </c>
      <c r="W677" t="n">
        <v>56.93914</v>
      </c>
      <c r="X677" t="n">
        <v>57.87188</v>
      </c>
      <c r="Y677" t="n">
        <v>53.22641</v>
      </c>
      <c r="Z677" t="n">
        <v>47.43393</v>
      </c>
      <c r="AA677" t="n">
        <v>23.64906</v>
      </c>
      <c r="AB677" t="n">
        <v>67.52734</v>
      </c>
      <c r="AC677" t="n">
        <v>28.21742</v>
      </c>
      <c r="AD677" t="n">
        <v>60.03512</v>
      </c>
      <c r="AE677" t="n">
        <v>51.20173</v>
      </c>
    </row>
    <row r="678">
      <c r="A678" s="90" t="n">
        <v>39203</v>
      </c>
      <c r="B678" t="n">
        <v>47.22472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36.5468</v>
      </c>
      <c r="I678" t="n">
        <v>45.1314</v>
      </c>
      <c r="J678" t="n">
        <v>62.24747</v>
      </c>
      <c r="K678" t="n">
        <v>63.84542</v>
      </c>
      <c r="L678" t="n">
        <v>76.59356</v>
      </c>
      <c r="M678" t="n">
        <v>71.80273</v>
      </c>
      <c r="N678" t="n">
        <v>68.95139</v>
      </c>
      <c r="O678" t="n">
        <v>32.47444</v>
      </c>
      <c r="P678" t="n">
        <v>30.2391</v>
      </c>
      <c r="Q678" t="n">
        <v>53.67901</v>
      </c>
      <c r="R678" t="n">
        <v>53.12116</v>
      </c>
      <c r="S678" t="n">
        <v>83.93514</v>
      </c>
      <c r="T678" t="n">
        <v>52.78371</v>
      </c>
      <c r="U678" t="n">
        <v>36.80132</v>
      </c>
      <c r="V678" t="n">
        <v>67.85336</v>
      </c>
      <c r="W678" t="n">
        <v>57.64344</v>
      </c>
      <c r="X678" t="n">
        <v>58.16518</v>
      </c>
      <c r="Y678" t="n">
        <v>53.92883</v>
      </c>
      <c r="Z678" t="n">
        <v>47.78672</v>
      </c>
      <c r="AA678" t="n">
        <v>24.85877</v>
      </c>
      <c r="AB678" t="n">
        <v>68.17231</v>
      </c>
      <c r="AC678" t="n">
        <v>28.75617</v>
      </c>
      <c r="AD678" t="n">
        <v>60.15218</v>
      </c>
      <c r="AE678" t="n">
        <v>52.10322</v>
      </c>
    </row>
    <row r="679">
      <c r="A679" s="90" t="n">
        <v>39234</v>
      </c>
      <c r="B679" t="n">
        <v>48.07923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36.52514</v>
      </c>
      <c r="I679" t="n">
        <v>45.97964</v>
      </c>
      <c r="J679" t="n">
        <v>62.69596</v>
      </c>
      <c r="K679" t="n">
        <v>64.89478</v>
      </c>
      <c r="L679" t="n">
        <v>77.3759</v>
      </c>
      <c r="M679" t="n">
        <v>72.84442</v>
      </c>
      <c r="N679" t="n">
        <v>69.88396</v>
      </c>
      <c r="O679" t="n">
        <v>32.99313</v>
      </c>
      <c r="P679" t="n">
        <v>30.80192</v>
      </c>
      <c r="Q679" t="n">
        <v>55.58387</v>
      </c>
      <c r="R679" t="n">
        <v>53.66385</v>
      </c>
      <c r="S679" t="n">
        <v>84.00058</v>
      </c>
      <c r="T679" t="n">
        <v>53.35777</v>
      </c>
      <c r="U679" t="n">
        <v>37.25092</v>
      </c>
      <c r="V679" t="n">
        <v>69.26748000000001</v>
      </c>
      <c r="W679" t="n">
        <v>57.96732</v>
      </c>
      <c r="X679" t="n">
        <v>58.56514</v>
      </c>
      <c r="Y679" t="n">
        <v>54.63739</v>
      </c>
      <c r="Z679" t="n">
        <v>47.96987</v>
      </c>
      <c r="AA679" t="n">
        <v>26.01052</v>
      </c>
      <c r="AB679" t="n">
        <v>68.99571</v>
      </c>
      <c r="AC679" t="n">
        <v>29.29412</v>
      </c>
      <c r="AD679" t="n">
        <v>60.42781</v>
      </c>
      <c r="AE679" t="n">
        <v>53.04712</v>
      </c>
    </row>
    <row r="680">
      <c r="A680" s="90" t="n">
        <v>39264</v>
      </c>
      <c r="B680" t="n">
        <v>49.02619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36.72445</v>
      </c>
      <c r="I680" t="n">
        <v>46.7565</v>
      </c>
      <c r="J680" t="n">
        <v>63.09424</v>
      </c>
      <c r="K680" t="n">
        <v>66.21314</v>
      </c>
      <c r="L680" t="n">
        <v>77.99590999999999</v>
      </c>
      <c r="M680" t="n">
        <v>73.67606000000001</v>
      </c>
      <c r="N680" t="n">
        <v>70.82850999999999</v>
      </c>
      <c r="O680" t="n">
        <v>33.82523</v>
      </c>
      <c r="P680" t="n">
        <v>31.54329</v>
      </c>
      <c r="Q680" t="n">
        <v>57.63438</v>
      </c>
      <c r="R680" t="n">
        <v>54.64963</v>
      </c>
      <c r="S680" t="n">
        <v>83.9924</v>
      </c>
      <c r="T680" t="n">
        <v>53.80435</v>
      </c>
      <c r="U680" t="n">
        <v>37.35649</v>
      </c>
      <c r="V680" t="n">
        <v>70.15107999999999</v>
      </c>
      <c r="W680" t="n">
        <v>58.31068</v>
      </c>
      <c r="X680" t="n">
        <v>58.92264</v>
      </c>
      <c r="Y680" t="n">
        <v>55.28296</v>
      </c>
      <c r="Z680" t="n">
        <v>48.46305</v>
      </c>
      <c r="AA680" t="n">
        <v>26.69476</v>
      </c>
      <c r="AB680" t="n">
        <v>69.62703999999999</v>
      </c>
      <c r="AC680" t="n">
        <v>29.79032</v>
      </c>
      <c r="AD680" t="n">
        <v>60.68019</v>
      </c>
      <c r="AE680" t="n">
        <v>53.80827</v>
      </c>
    </row>
    <row r="681">
      <c r="A681" s="90" t="n">
        <v>39295</v>
      </c>
      <c r="B681" t="n">
        <v>49.84988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37.04224</v>
      </c>
      <c r="I681" t="n">
        <v>47.4838</v>
      </c>
      <c r="J681" t="n">
        <v>63.85078</v>
      </c>
      <c r="K681" t="n">
        <v>67.42412</v>
      </c>
      <c r="L681" t="n">
        <v>78.28655999999999</v>
      </c>
      <c r="M681" t="n">
        <v>74.39234999999999</v>
      </c>
      <c r="N681" t="n">
        <v>71.76585</v>
      </c>
      <c r="O681" t="n">
        <v>34.36432</v>
      </c>
      <c r="P681" t="n">
        <v>32.06529</v>
      </c>
      <c r="Q681" t="n">
        <v>59.66856</v>
      </c>
      <c r="R681" t="n">
        <v>54.97286</v>
      </c>
      <c r="S681" t="n">
        <v>83.87788</v>
      </c>
      <c r="T681" t="n">
        <v>54.1823</v>
      </c>
      <c r="U681" t="n">
        <v>38.26392</v>
      </c>
      <c r="V681" t="n">
        <v>70.95419</v>
      </c>
      <c r="W681" t="n">
        <v>58.54468</v>
      </c>
      <c r="X681" t="n">
        <v>59.51628</v>
      </c>
      <c r="Y681" t="n">
        <v>55.92555</v>
      </c>
      <c r="Z681" t="n">
        <v>49.24147</v>
      </c>
      <c r="AA681" t="n">
        <v>26.90796</v>
      </c>
      <c r="AB681" t="n">
        <v>70.86176</v>
      </c>
      <c r="AC681" t="n">
        <v>30.18801</v>
      </c>
      <c r="AD681" t="n">
        <v>61.31199</v>
      </c>
      <c r="AE681" t="n">
        <v>54.6107</v>
      </c>
    </row>
    <row r="682">
      <c r="A682" s="90" t="n">
        <v>39326</v>
      </c>
      <c r="B682" t="n">
        <v>50.76322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37.56874</v>
      </c>
      <c r="I682" t="n">
        <v>48.57309</v>
      </c>
      <c r="J682" t="n">
        <v>63.97276</v>
      </c>
      <c r="K682" t="n">
        <v>68.35054</v>
      </c>
      <c r="L682" t="n">
        <v>78.74497</v>
      </c>
      <c r="M682" t="n">
        <v>74.88633</v>
      </c>
      <c r="N682" t="n">
        <v>72.74003</v>
      </c>
      <c r="O682" t="n">
        <v>34.66786</v>
      </c>
      <c r="P682" t="n">
        <v>32.65668</v>
      </c>
      <c r="Q682" t="n">
        <v>61.7862</v>
      </c>
      <c r="R682" t="n">
        <v>54.95522</v>
      </c>
      <c r="S682" t="n">
        <v>83.96786</v>
      </c>
      <c r="T682" t="n">
        <v>54.61276</v>
      </c>
      <c r="U682" t="n">
        <v>39.2056</v>
      </c>
      <c r="V682" t="n">
        <v>71.82214999999999</v>
      </c>
      <c r="W682" t="n">
        <v>59.132</v>
      </c>
      <c r="X682" t="n">
        <v>59.88158</v>
      </c>
      <c r="Y682" t="n">
        <v>56.35691</v>
      </c>
      <c r="Z682" t="n">
        <v>49.73889</v>
      </c>
      <c r="AA682" t="n">
        <v>27.55918</v>
      </c>
      <c r="AB682" t="n">
        <v>72.91373</v>
      </c>
      <c r="AC682" t="n">
        <v>30.19838</v>
      </c>
      <c r="AD682" t="n">
        <v>61.46225</v>
      </c>
      <c r="AE682" t="n">
        <v>55.45543</v>
      </c>
    </row>
    <row r="683">
      <c r="A683" s="90" t="n">
        <v>39356</v>
      </c>
      <c r="B683" t="n">
        <v>51.86707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38.61744</v>
      </c>
      <c r="I683" t="n">
        <v>49.4035</v>
      </c>
      <c r="J683" t="n">
        <v>64.39105000000001</v>
      </c>
      <c r="K683" t="n">
        <v>68.83432000000001</v>
      </c>
      <c r="L683" t="n">
        <v>79.6703</v>
      </c>
      <c r="M683" t="n">
        <v>74.93895000000001</v>
      </c>
      <c r="N683" t="n">
        <v>73.88521</v>
      </c>
      <c r="O683" t="n">
        <v>34.96779</v>
      </c>
      <c r="P683" t="n">
        <v>33.28186</v>
      </c>
      <c r="Q683" t="n">
        <v>64.06158000000001</v>
      </c>
      <c r="R683" t="n">
        <v>55.18631</v>
      </c>
      <c r="S683" t="n">
        <v>84.1969</v>
      </c>
      <c r="T683" t="n">
        <v>55.33545</v>
      </c>
      <c r="U683" t="n">
        <v>39.36834</v>
      </c>
      <c r="V683" t="n">
        <v>72.58450000000001</v>
      </c>
      <c r="W683" t="n">
        <v>59.86744</v>
      </c>
      <c r="X683" t="n">
        <v>60.13057</v>
      </c>
      <c r="Y683" t="n">
        <v>56.61259</v>
      </c>
      <c r="Z683" t="n">
        <v>50.05168</v>
      </c>
      <c r="AA683" t="n">
        <v>28.34094</v>
      </c>
      <c r="AB683" t="n">
        <v>74.87245</v>
      </c>
      <c r="AC683" t="n">
        <v>30.14376</v>
      </c>
      <c r="AD683" t="n">
        <v>61.57848</v>
      </c>
      <c r="AE683" t="n">
        <v>55.99046</v>
      </c>
    </row>
    <row r="684">
      <c r="A684" s="90" t="n">
        <v>39387</v>
      </c>
      <c r="B684" t="n">
        <v>53.25949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39.25306</v>
      </c>
      <c r="I684" t="n">
        <v>50.06745</v>
      </c>
      <c r="J684" t="n">
        <v>65.69898000000001</v>
      </c>
      <c r="K684" t="n">
        <v>69.55422</v>
      </c>
      <c r="L684" t="n">
        <v>80.6054</v>
      </c>
      <c r="M684" t="n">
        <v>75.21302</v>
      </c>
      <c r="N684" t="n">
        <v>74.44901</v>
      </c>
      <c r="O684" t="n">
        <v>35.35355</v>
      </c>
      <c r="P684" t="n">
        <v>33.84077</v>
      </c>
      <c r="Q684" t="n">
        <v>66.1571</v>
      </c>
      <c r="R684" t="n">
        <v>55.03815</v>
      </c>
      <c r="S684" t="n">
        <v>84.29506000000001</v>
      </c>
      <c r="T684" t="n">
        <v>55.92913</v>
      </c>
      <c r="U684" t="n">
        <v>39.87521</v>
      </c>
      <c r="V684" t="n">
        <v>72.82599</v>
      </c>
      <c r="W684" t="n">
        <v>60.21325</v>
      </c>
      <c r="X684" t="n">
        <v>60.49555</v>
      </c>
      <c r="Y684" t="n">
        <v>57.02874</v>
      </c>
      <c r="Z684" t="n">
        <v>50.55756</v>
      </c>
      <c r="AA684" t="n">
        <v>29.0272</v>
      </c>
      <c r="AB684" t="n">
        <v>76.27435</v>
      </c>
      <c r="AC684" t="n">
        <v>30.36072</v>
      </c>
      <c r="AD684" t="n">
        <v>61.78271</v>
      </c>
      <c r="AE684" t="n">
        <v>56.72097</v>
      </c>
    </row>
    <row r="685">
      <c r="A685" s="90" t="n">
        <v>39417</v>
      </c>
      <c r="B685" t="n">
        <v>54.19525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39.44942</v>
      </c>
      <c r="I685" t="n">
        <v>50.6069</v>
      </c>
      <c r="J685" t="n">
        <v>67.01763</v>
      </c>
      <c r="K685" t="n">
        <v>71.0359</v>
      </c>
      <c r="L685" t="n">
        <v>81.5077</v>
      </c>
      <c r="M685" t="n">
        <v>76.40149</v>
      </c>
      <c r="N685" t="n">
        <v>74.55462</v>
      </c>
      <c r="O685" t="n">
        <v>36.25618</v>
      </c>
      <c r="P685" t="n">
        <v>34.40535</v>
      </c>
      <c r="Q685" t="n">
        <v>68.10549</v>
      </c>
      <c r="R685" t="n">
        <v>55.06414</v>
      </c>
      <c r="S685" t="n">
        <v>84.40141</v>
      </c>
      <c r="T685" t="n">
        <v>56.39021</v>
      </c>
      <c r="U685" t="n">
        <v>40.27956</v>
      </c>
      <c r="V685" t="n">
        <v>73.80409</v>
      </c>
      <c r="W685" t="n">
        <v>60.70097</v>
      </c>
      <c r="X685" t="n">
        <v>60.89905</v>
      </c>
      <c r="Y685" t="n">
        <v>57.78368</v>
      </c>
      <c r="Z685" t="n">
        <v>51.10683</v>
      </c>
      <c r="AA685" t="n">
        <v>29.72718</v>
      </c>
      <c r="AB685" t="n">
        <v>76.52672</v>
      </c>
      <c r="AC685" t="n">
        <v>30.78401</v>
      </c>
      <c r="AD685" t="n">
        <v>62.03012</v>
      </c>
      <c r="AE685" t="n">
        <v>57.71618</v>
      </c>
    </row>
    <row r="686">
      <c r="A686" s="90" t="n">
        <v>39448</v>
      </c>
      <c r="B686" t="n">
        <v>54.80321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39.61495</v>
      </c>
      <c r="I686" t="n">
        <v>52.47636</v>
      </c>
      <c r="J686" t="n">
        <v>67.82338</v>
      </c>
      <c r="K686" t="n">
        <v>72.26685000000001</v>
      </c>
      <c r="L686" t="n">
        <v>82.41399</v>
      </c>
      <c r="M686" t="n">
        <v>78.35516</v>
      </c>
      <c r="N686" t="n">
        <v>75.06761</v>
      </c>
      <c r="O686" t="n">
        <v>36.76052</v>
      </c>
      <c r="P686" t="n">
        <v>34.97416</v>
      </c>
      <c r="Q686" t="n">
        <v>70.05381</v>
      </c>
      <c r="R686" t="n">
        <v>55.31546</v>
      </c>
      <c r="S686" t="n">
        <v>84.45865999999999</v>
      </c>
      <c r="T686" t="n">
        <v>57.17829</v>
      </c>
      <c r="U686" t="n">
        <v>40.80426</v>
      </c>
      <c r="V686" t="n">
        <v>72.66973</v>
      </c>
      <c r="W686" t="n">
        <v>61.48307</v>
      </c>
      <c r="X686" t="n">
        <v>61.36671</v>
      </c>
      <c r="Y686" t="n">
        <v>58.66906</v>
      </c>
      <c r="Z686" t="n">
        <v>51.88093</v>
      </c>
      <c r="AA686" t="n">
        <v>30.47481</v>
      </c>
      <c r="AB686" t="n">
        <v>75.6069</v>
      </c>
      <c r="AC686" t="n">
        <v>31.3584</v>
      </c>
      <c r="AD686" t="n">
        <v>62.31156</v>
      </c>
      <c r="AE686" t="n">
        <v>58.89767</v>
      </c>
    </row>
    <row r="687">
      <c r="A687" s="90" t="n">
        <v>39479</v>
      </c>
      <c r="B687" t="n">
        <v>55.36914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39.94357</v>
      </c>
      <c r="I687" t="n">
        <v>54.6561</v>
      </c>
      <c r="J687" t="n">
        <v>68.17534000000001</v>
      </c>
      <c r="K687" t="n">
        <v>74.40993</v>
      </c>
      <c r="L687" t="n">
        <v>82.95396</v>
      </c>
      <c r="M687" t="n">
        <v>79.92297000000001</v>
      </c>
      <c r="N687" t="n">
        <v>76.73578000000001</v>
      </c>
      <c r="O687" t="n">
        <v>36.86916</v>
      </c>
      <c r="P687" t="n">
        <v>35.61239</v>
      </c>
      <c r="Q687" t="n">
        <v>71.93932</v>
      </c>
      <c r="R687" t="n">
        <v>55.6479</v>
      </c>
      <c r="S687" t="n">
        <v>84.5241</v>
      </c>
      <c r="T687" t="n">
        <v>57.90693</v>
      </c>
      <c r="U687" t="n">
        <v>41.46519</v>
      </c>
      <c r="V687" t="n">
        <v>70.71384999999999</v>
      </c>
      <c r="W687" t="n">
        <v>61.65698</v>
      </c>
      <c r="X687" t="n">
        <v>61.9894</v>
      </c>
      <c r="Y687" t="n">
        <v>59.4941</v>
      </c>
      <c r="Z687" t="n">
        <v>52.71478</v>
      </c>
      <c r="AA687" t="n">
        <v>31.13425</v>
      </c>
      <c r="AB687" t="n">
        <v>75.2496</v>
      </c>
      <c r="AC687" t="n">
        <v>31.98899</v>
      </c>
      <c r="AD687" t="n">
        <v>63.01807</v>
      </c>
      <c r="AE687" t="n">
        <v>60.12882</v>
      </c>
    </row>
    <row r="688">
      <c r="A688" s="90" t="n">
        <v>39508</v>
      </c>
      <c r="B688" t="n">
        <v>55.84822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40.16496</v>
      </c>
      <c r="I688" t="n">
        <v>55.52033</v>
      </c>
      <c r="J688" t="n">
        <v>68.43114</v>
      </c>
      <c r="K688" t="n">
        <v>75.56547</v>
      </c>
      <c r="L688" t="n">
        <v>83.38482999999999</v>
      </c>
      <c r="M688" t="n">
        <v>80.88393000000001</v>
      </c>
      <c r="N688" t="n">
        <v>78.10793</v>
      </c>
      <c r="O688" t="n">
        <v>37.09291</v>
      </c>
      <c r="P688" t="n">
        <v>36.30758</v>
      </c>
      <c r="Q688" t="n">
        <v>73.63397999999999</v>
      </c>
      <c r="R688" t="n">
        <v>55.97733</v>
      </c>
      <c r="S688" t="n">
        <v>84.51591999999999</v>
      </c>
      <c r="T688" t="n">
        <v>58.48093</v>
      </c>
      <c r="U688" t="n">
        <v>41.62394</v>
      </c>
      <c r="V688" t="n">
        <v>71.06209</v>
      </c>
      <c r="W688" t="n">
        <v>62.06397</v>
      </c>
      <c r="X688" t="n">
        <v>62.53378</v>
      </c>
      <c r="Y688" t="n">
        <v>60.42699</v>
      </c>
      <c r="Z688" t="n">
        <v>53.27646</v>
      </c>
      <c r="AA688" t="n">
        <v>31.78699</v>
      </c>
      <c r="AB688" t="n">
        <v>76.11665000000001</v>
      </c>
      <c r="AC688" t="n">
        <v>33.13153</v>
      </c>
      <c r="AD688" t="n">
        <v>63.56269</v>
      </c>
      <c r="AE688" t="n">
        <v>60.94813</v>
      </c>
    </row>
    <row r="689">
      <c r="A689" s="90" t="n">
        <v>39539</v>
      </c>
      <c r="B689" t="n">
        <v>56.42817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41.03552</v>
      </c>
      <c r="I689" t="n">
        <v>56.5693</v>
      </c>
      <c r="J689" t="n">
        <v>69.00036</v>
      </c>
      <c r="K689" t="n">
        <v>75.25105000000001</v>
      </c>
      <c r="L689" t="n">
        <v>84.16901</v>
      </c>
      <c r="M689" t="n">
        <v>81.69280999999999</v>
      </c>
      <c r="N689" t="n">
        <v>78.16777999999999</v>
      </c>
      <c r="O689" t="n">
        <v>37.38252</v>
      </c>
      <c r="P689" t="n">
        <v>36.73304</v>
      </c>
      <c r="Q689" t="n">
        <v>75.22147</v>
      </c>
      <c r="R689" t="n">
        <v>56.26139</v>
      </c>
      <c r="S689" t="n">
        <v>84.33596</v>
      </c>
      <c r="T689" t="n">
        <v>59.31044</v>
      </c>
      <c r="U689" t="n">
        <v>42.04082</v>
      </c>
      <c r="V689" t="n">
        <v>71.38760000000001</v>
      </c>
      <c r="W689" t="n">
        <v>62.62004</v>
      </c>
      <c r="X689" t="n">
        <v>62.99493</v>
      </c>
      <c r="Y689" t="n">
        <v>61.29253</v>
      </c>
      <c r="Z689" t="n">
        <v>54.21083</v>
      </c>
      <c r="AA689" t="n">
        <v>32.4278</v>
      </c>
      <c r="AB689" t="n">
        <v>77.6349</v>
      </c>
      <c r="AC689" t="n">
        <v>34.12496</v>
      </c>
      <c r="AD689" t="n">
        <v>63.91968</v>
      </c>
      <c r="AE689" t="n">
        <v>61.75613</v>
      </c>
    </row>
    <row r="690">
      <c r="A690" s="90" t="n">
        <v>39569</v>
      </c>
      <c r="B690" t="n">
        <v>56.84562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41.54245</v>
      </c>
      <c r="I690" t="n">
        <v>57.84962</v>
      </c>
      <c r="J690" t="n">
        <v>69.97266</v>
      </c>
      <c r="K690" t="n">
        <v>76.00723000000001</v>
      </c>
      <c r="L690" t="n">
        <v>85.03422999999999</v>
      </c>
      <c r="M690" t="n">
        <v>81.96436</v>
      </c>
      <c r="N690" t="n">
        <v>77.5583</v>
      </c>
      <c r="O690" t="n">
        <v>38.00879</v>
      </c>
      <c r="P690" t="n">
        <v>37.1142</v>
      </c>
      <c r="Q690" t="n">
        <v>77.15434999999999</v>
      </c>
      <c r="R690" t="n">
        <v>56.50409</v>
      </c>
      <c r="S690" t="n">
        <v>84.49139</v>
      </c>
      <c r="T690" t="n">
        <v>59.96994</v>
      </c>
      <c r="U690" t="n">
        <v>42.74259</v>
      </c>
      <c r="V690" t="n">
        <v>71.42364999999999</v>
      </c>
      <c r="W690" t="n">
        <v>62.87851</v>
      </c>
      <c r="X690" t="n">
        <v>63.27154</v>
      </c>
      <c r="Y690" t="n">
        <v>61.56446</v>
      </c>
      <c r="Z690" t="n">
        <v>55.02856</v>
      </c>
      <c r="AA690" t="n">
        <v>32.78512</v>
      </c>
      <c r="AB690" t="n">
        <v>78.36812999999999</v>
      </c>
      <c r="AC690" t="n">
        <v>34.10747</v>
      </c>
      <c r="AD690" t="n">
        <v>64.0193</v>
      </c>
      <c r="AE690" t="n">
        <v>62.84327</v>
      </c>
    </row>
    <row r="691">
      <c r="A691" s="90" t="n">
        <v>39600</v>
      </c>
      <c r="B691" t="n">
        <v>57.48719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41.50274</v>
      </c>
      <c r="I691" t="n">
        <v>58.44344</v>
      </c>
      <c r="J691" t="n">
        <v>70.13713</v>
      </c>
      <c r="K691" t="n">
        <v>76.09008</v>
      </c>
      <c r="L691" t="n">
        <v>85.52795</v>
      </c>
      <c r="M691" t="n">
        <v>82.29613999999999</v>
      </c>
      <c r="N691" t="n">
        <v>76.38149</v>
      </c>
      <c r="O691" t="n">
        <v>38.71209</v>
      </c>
      <c r="P691" t="n">
        <v>37.70275</v>
      </c>
      <c r="Q691" t="n">
        <v>79.34676</v>
      </c>
      <c r="R691" t="n">
        <v>56.91592</v>
      </c>
      <c r="S691" t="n">
        <v>84.70406</v>
      </c>
      <c r="T691" t="n">
        <v>60.00093</v>
      </c>
      <c r="U691" t="n">
        <v>43.06432</v>
      </c>
      <c r="V691" t="n">
        <v>71.43337</v>
      </c>
      <c r="W691" t="n">
        <v>63.65556</v>
      </c>
      <c r="X691" t="n">
        <v>63.47197</v>
      </c>
      <c r="Y691" t="n">
        <v>61.65031</v>
      </c>
      <c r="Z691" t="n">
        <v>55.58471</v>
      </c>
      <c r="AA691" t="n">
        <v>33.37289</v>
      </c>
      <c r="AB691" t="n">
        <v>77.32256</v>
      </c>
      <c r="AC691" t="n">
        <v>34.16924</v>
      </c>
      <c r="AD691" t="n">
        <v>64.16625000000001</v>
      </c>
      <c r="AE691" t="n">
        <v>63.76631</v>
      </c>
    </row>
    <row r="692">
      <c r="A692" s="90" t="n">
        <v>39630</v>
      </c>
      <c r="B692" t="n">
        <v>58.62747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41.96372</v>
      </c>
      <c r="I692" t="n">
        <v>59.16784</v>
      </c>
      <c r="J692" t="n">
        <v>70.63339999999999</v>
      </c>
      <c r="K692" t="n">
        <v>76.08338999999999</v>
      </c>
      <c r="L692" t="n">
        <v>85.75548999999999</v>
      </c>
      <c r="M692" t="n">
        <v>82.55418</v>
      </c>
      <c r="N692" t="n">
        <v>77.2991</v>
      </c>
      <c r="O692" t="n">
        <v>39.12234</v>
      </c>
      <c r="P692" t="n">
        <v>38.07385</v>
      </c>
      <c r="Q692" t="n">
        <v>81.38454</v>
      </c>
      <c r="R692" t="n">
        <v>57.59686</v>
      </c>
      <c r="S692" t="n">
        <v>84.63043999999999</v>
      </c>
      <c r="T692" t="n">
        <v>60.09734</v>
      </c>
      <c r="U692" t="n">
        <v>43.57814</v>
      </c>
      <c r="V692" t="n">
        <v>71.63021999999999</v>
      </c>
      <c r="W692" t="n">
        <v>64.20903</v>
      </c>
      <c r="X692" t="n">
        <v>63.83943</v>
      </c>
      <c r="Y692" t="n">
        <v>62.06356</v>
      </c>
      <c r="Z692" t="n">
        <v>56.54437</v>
      </c>
      <c r="AA692" t="n">
        <v>34.30618</v>
      </c>
      <c r="AB692" t="n">
        <v>77.42921</v>
      </c>
      <c r="AC692" t="n">
        <v>34.64274</v>
      </c>
      <c r="AD692" t="n">
        <v>64.5523</v>
      </c>
      <c r="AE692" t="n">
        <v>64.28667</v>
      </c>
    </row>
    <row r="693">
      <c r="A693" s="90" t="n">
        <v>39661</v>
      </c>
      <c r="B693" t="n">
        <v>59.57443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42.71111</v>
      </c>
      <c r="I693" t="n">
        <v>59.95674</v>
      </c>
      <c r="J693" t="n">
        <v>71.88742999999999</v>
      </c>
      <c r="K693" t="n">
        <v>76.34856000000001</v>
      </c>
      <c r="L693" t="n">
        <v>86.01992</v>
      </c>
      <c r="M693" t="n">
        <v>83.18259</v>
      </c>
      <c r="N693" t="n">
        <v>78.29052</v>
      </c>
      <c r="O693" t="n">
        <v>39.02028</v>
      </c>
      <c r="P693" t="n">
        <v>38.6682</v>
      </c>
      <c r="Q693" t="n">
        <v>83.35777</v>
      </c>
      <c r="R693" t="n">
        <v>58.21679</v>
      </c>
      <c r="S693" t="n">
        <v>84.72042</v>
      </c>
      <c r="T693" t="n">
        <v>60.57497</v>
      </c>
      <c r="U693" t="n">
        <v>44.08302</v>
      </c>
      <c r="V693" t="n">
        <v>72.06294</v>
      </c>
      <c r="W693" t="n">
        <v>64.68434999999999</v>
      </c>
      <c r="X693" t="n">
        <v>64.15067000000001</v>
      </c>
      <c r="Y693" t="n">
        <v>62.57922</v>
      </c>
      <c r="Z693" t="n">
        <v>57.54346</v>
      </c>
      <c r="AA693" t="n">
        <v>34.78072</v>
      </c>
      <c r="AB693" t="n">
        <v>78.19653</v>
      </c>
      <c r="AC693" t="n">
        <v>34.80141</v>
      </c>
      <c r="AD693" t="n">
        <v>64.67516999999999</v>
      </c>
      <c r="AE693" t="n">
        <v>64.33398</v>
      </c>
    </row>
    <row r="694">
      <c r="A694" s="90" t="n">
        <v>39692</v>
      </c>
      <c r="B694" t="n">
        <v>60.47656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43.68888</v>
      </c>
      <c r="I694" t="n">
        <v>60.2387</v>
      </c>
      <c r="J694" t="n">
        <v>72.44374999999999</v>
      </c>
      <c r="K694" t="n">
        <v>76.35550000000001</v>
      </c>
      <c r="L694" t="n">
        <v>86.44452</v>
      </c>
      <c r="M694" t="n">
        <v>83.61767999999999</v>
      </c>
      <c r="N694" t="n">
        <v>78.34334</v>
      </c>
      <c r="O694" t="n">
        <v>39.88288</v>
      </c>
      <c r="P694" t="n">
        <v>39.34351</v>
      </c>
      <c r="Q694" t="n">
        <v>85.1036</v>
      </c>
      <c r="R694" t="n">
        <v>58.74668</v>
      </c>
      <c r="S694" t="n">
        <v>84.74496000000001</v>
      </c>
      <c r="T694" t="n">
        <v>61.01928</v>
      </c>
      <c r="U694" t="n">
        <v>44.23081</v>
      </c>
      <c r="V694" t="n">
        <v>72.54066</v>
      </c>
      <c r="W694" t="n">
        <v>65.16446999999999</v>
      </c>
      <c r="X694" t="n">
        <v>64.63471</v>
      </c>
      <c r="Y694" t="n">
        <v>63.09144</v>
      </c>
      <c r="Z694" t="n">
        <v>58.25437</v>
      </c>
      <c r="AA694" t="n">
        <v>35.46977</v>
      </c>
      <c r="AB694" t="n">
        <v>77.58879</v>
      </c>
      <c r="AC694" t="n">
        <v>35.52542</v>
      </c>
      <c r="AD694" t="n">
        <v>65.25051000000001</v>
      </c>
      <c r="AE694" t="n">
        <v>64.59796</v>
      </c>
    </row>
    <row r="695">
      <c r="A695" s="90" t="n">
        <v>39722</v>
      </c>
      <c r="B695" t="n">
        <v>61.41512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44.44708</v>
      </c>
      <c r="I695" t="n">
        <v>60.53063</v>
      </c>
      <c r="J695" t="n">
        <v>73.06119</v>
      </c>
      <c r="K695" t="n">
        <v>78.05504999999999</v>
      </c>
      <c r="L695" t="n">
        <v>87.35616</v>
      </c>
      <c r="M695" t="n">
        <v>85.21388</v>
      </c>
      <c r="N695" t="n">
        <v>79.19627</v>
      </c>
      <c r="O695" t="n">
        <v>41.23006</v>
      </c>
      <c r="P695" t="n">
        <v>39.96434</v>
      </c>
      <c r="Q695" t="n">
        <v>86.43982</v>
      </c>
      <c r="R695" t="n">
        <v>59.63961</v>
      </c>
      <c r="S695" t="n">
        <v>84.6468</v>
      </c>
      <c r="T695" t="n">
        <v>61.39886</v>
      </c>
      <c r="U695" t="n">
        <v>44.43873</v>
      </c>
      <c r="V695" t="n">
        <v>72.88709</v>
      </c>
      <c r="W695" t="n">
        <v>65.6572</v>
      </c>
      <c r="X695" t="n">
        <v>65.37939</v>
      </c>
      <c r="Y695" t="n">
        <v>64.26437</v>
      </c>
      <c r="Z695" t="n">
        <v>58.75585</v>
      </c>
      <c r="AA695" t="n">
        <v>35.98734</v>
      </c>
      <c r="AB695" t="n">
        <v>76.96893</v>
      </c>
      <c r="AC695" t="n">
        <v>37.01697</v>
      </c>
      <c r="AD695" t="n">
        <v>66.12888</v>
      </c>
      <c r="AE695" t="n">
        <v>65.36953</v>
      </c>
    </row>
    <row r="696">
      <c r="A696" s="90" t="n">
        <v>39753</v>
      </c>
      <c r="B696" t="n">
        <v>62.53858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44.95335</v>
      </c>
      <c r="I696" t="n">
        <v>60.8592</v>
      </c>
      <c r="J696" t="n">
        <v>74.20063</v>
      </c>
      <c r="K696" t="n">
        <v>80.1621</v>
      </c>
      <c r="L696" t="n">
        <v>88.1511</v>
      </c>
      <c r="M696" t="n">
        <v>88.00149</v>
      </c>
      <c r="N696" t="n">
        <v>79.8223</v>
      </c>
      <c r="O696" t="n">
        <v>41.94718</v>
      </c>
      <c r="P696" t="n">
        <v>40.56256</v>
      </c>
      <c r="Q696" t="n">
        <v>87.78527</v>
      </c>
      <c r="R696" t="n">
        <v>60.9142</v>
      </c>
      <c r="S696" t="n">
        <v>84.83495000000001</v>
      </c>
      <c r="T696" t="n">
        <v>61.7072</v>
      </c>
      <c r="U696" t="n">
        <v>44.74079</v>
      </c>
      <c r="V696" t="n">
        <v>73.17501</v>
      </c>
      <c r="W696" t="n">
        <v>66.32666</v>
      </c>
      <c r="X696" t="n">
        <v>65.99536000000001</v>
      </c>
      <c r="Y696" t="n">
        <v>65.68289</v>
      </c>
      <c r="Z696" t="n">
        <v>59.516</v>
      </c>
      <c r="AA696" t="n">
        <v>35.5312</v>
      </c>
      <c r="AB696" t="n">
        <v>76.75702</v>
      </c>
      <c r="AC696" t="n">
        <v>38.01305</v>
      </c>
      <c r="AD696" t="n">
        <v>66.54813</v>
      </c>
      <c r="AE696" t="n">
        <v>66.57652</v>
      </c>
    </row>
    <row r="697">
      <c r="A697" s="90" t="n">
        <v>39783</v>
      </c>
      <c r="B697" t="n">
        <v>63.32024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45.78327</v>
      </c>
      <c r="I697" t="n">
        <v>61.65524</v>
      </c>
      <c r="J697" t="n">
        <v>76.01403999999999</v>
      </c>
      <c r="K697" t="n">
        <v>78.92831</v>
      </c>
      <c r="L697" t="n">
        <v>88.61053</v>
      </c>
      <c r="M697" t="n">
        <v>89.89854</v>
      </c>
      <c r="N697" t="n">
        <v>80.33824</v>
      </c>
      <c r="O697" t="n">
        <v>42.31048</v>
      </c>
      <c r="P697" t="n">
        <v>41.13558</v>
      </c>
      <c r="Q697" t="n">
        <v>89.18861</v>
      </c>
      <c r="R697" t="n">
        <v>61.88251</v>
      </c>
      <c r="S697" t="n">
        <v>85.04761999999999</v>
      </c>
      <c r="T697" t="n">
        <v>61.69191</v>
      </c>
      <c r="U697" t="n">
        <v>45.57988</v>
      </c>
      <c r="V697" t="n">
        <v>73.43273000000001</v>
      </c>
      <c r="W697" t="n">
        <v>66.49405</v>
      </c>
      <c r="X697" t="n">
        <v>67.00864</v>
      </c>
      <c r="Y697" t="n">
        <v>66.67010000000001</v>
      </c>
      <c r="Z697" t="n">
        <v>60.38609</v>
      </c>
      <c r="AA697" t="n">
        <v>34.9093</v>
      </c>
      <c r="AB697" t="n">
        <v>77.92988</v>
      </c>
      <c r="AC697" t="n">
        <v>38.51681</v>
      </c>
      <c r="AD697" t="n">
        <v>68.01179999999999</v>
      </c>
      <c r="AE697" t="n">
        <v>67.12298</v>
      </c>
    </row>
    <row r="698">
      <c r="A698" s="90" t="n">
        <v>39814</v>
      </c>
      <c r="B698" t="n">
        <v>63.7573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46.57056</v>
      </c>
      <c r="I698" t="n">
        <v>62.82725</v>
      </c>
      <c r="J698" t="n">
        <v>77.45556000000001</v>
      </c>
      <c r="K698" t="n">
        <v>78.80119000000001</v>
      </c>
      <c r="L698" t="n">
        <v>88.76407</v>
      </c>
      <c r="M698" t="n">
        <v>91.39798</v>
      </c>
      <c r="N698" t="n">
        <v>81.89375</v>
      </c>
      <c r="O698" t="n">
        <v>42.64483</v>
      </c>
      <c r="P698" t="n">
        <v>41.97978</v>
      </c>
      <c r="Q698" t="n">
        <v>90.44477000000001</v>
      </c>
      <c r="R698" t="n">
        <v>62.96416</v>
      </c>
      <c r="S698" t="n">
        <v>85.26351</v>
      </c>
      <c r="T698" t="n">
        <v>62.05084</v>
      </c>
      <c r="U698" t="n">
        <v>46.61365</v>
      </c>
      <c r="V698" t="n">
        <v>73.70043</v>
      </c>
      <c r="W698" t="n">
        <v>65.95818</v>
      </c>
      <c r="X698" t="n">
        <v>67.664</v>
      </c>
      <c r="Y698" t="n">
        <v>67.62305000000001</v>
      </c>
      <c r="Z698" t="n">
        <v>61.16327</v>
      </c>
      <c r="AA698" t="n">
        <v>34.90487</v>
      </c>
      <c r="AB698" t="n">
        <v>79.14561999999999</v>
      </c>
      <c r="AC698" t="n">
        <v>39.1078</v>
      </c>
      <c r="AD698" t="n">
        <v>68.68925</v>
      </c>
      <c r="AE698" t="n">
        <v>67.43598</v>
      </c>
    </row>
    <row r="699">
      <c r="A699" s="90" t="n">
        <v>39845</v>
      </c>
      <c r="B699" t="n">
        <v>64.68185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47.16076</v>
      </c>
      <c r="I699" t="n">
        <v>63.57594</v>
      </c>
      <c r="J699" t="n">
        <v>77.84271</v>
      </c>
      <c r="K699" t="n">
        <v>80.5073</v>
      </c>
      <c r="L699" t="n">
        <v>88.71981</v>
      </c>
      <c r="M699" t="n">
        <v>92.2123</v>
      </c>
      <c r="N699" t="n">
        <v>83.60760000000001</v>
      </c>
      <c r="O699" t="n">
        <v>43.4848</v>
      </c>
      <c r="P699" t="n">
        <v>42.79417</v>
      </c>
      <c r="Q699" t="n">
        <v>91.63162</v>
      </c>
      <c r="R699" t="n">
        <v>64.45296</v>
      </c>
      <c r="S699" t="n">
        <v>85.52857</v>
      </c>
      <c r="T699" t="n">
        <v>62.913</v>
      </c>
      <c r="U699" t="n">
        <v>47.35182</v>
      </c>
      <c r="V699" t="n">
        <v>73.81196</v>
      </c>
      <c r="W699" t="n">
        <v>65.92345</v>
      </c>
      <c r="X699" t="n">
        <v>68.09403</v>
      </c>
      <c r="Y699" t="n">
        <v>68.43617999999999</v>
      </c>
      <c r="Z699" t="n">
        <v>62.03027</v>
      </c>
      <c r="AA699" t="n">
        <v>35.35991</v>
      </c>
      <c r="AB699" t="n">
        <v>79.52621000000001</v>
      </c>
      <c r="AC699" t="n">
        <v>39.9133</v>
      </c>
      <c r="AD699" t="n">
        <v>68.93333</v>
      </c>
      <c r="AE699" t="n">
        <v>68.60704</v>
      </c>
    </row>
    <row r="700">
      <c r="A700" s="90" t="n">
        <v>39873</v>
      </c>
      <c r="B700" t="n">
        <v>64.6062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47.60213</v>
      </c>
      <c r="I700" t="n">
        <v>64.24184</v>
      </c>
      <c r="J700" t="n">
        <v>77.60903</v>
      </c>
      <c r="K700" t="n">
        <v>80.21089000000001</v>
      </c>
      <c r="L700" t="n">
        <v>88.75161</v>
      </c>
      <c r="M700" t="n">
        <v>92.21368</v>
      </c>
      <c r="N700" t="n">
        <v>84.53963</v>
      </c>
      <c r="O700" t="n">
        <v>44.22987</v>
      </c>
      <c r="P700" t="n">
        <v>43.48389</v>
      </c>
      <c r="Q700" t="n">
        <v>92.79858</v>
      </c>
      <c r="R700" t="n">
        <v>65.28008</v>
      </c>
      <c r="S700" t="n">
        <v>85.62985</v>
      </c>
      <c r="T700" t="n">
        <v>63.47815</v>
      </c>
      <c r="U700" t="n">
        <v>47.61078</v>
      </c>
      <c r="V700" t="n">
        <v>74.07075</v>
      </c>
      <c r="W700" t="n">
        <v>66.08954</v>
      </c>
      <c r="X700" t="n">
        <v>68.47750000000001</v>
      </c>
      <c r="Y700" t="n">
        <v>68.72638000000001</v>
      </c>
      <c r="Z700" t="n">
        <v>62.67338</v>
      </c>
      <c r="AA700" t="n">
        <v>35.59549</v>
      </c>
      <c r="AB700" t="n">
        <v>79.50556</v>
      </c>
      <c r="AC700" t="n">
        <v>40.34041</v>
      </c>
      <c r="AD700" t="n">
        <v>69.48293</v>
      </c>
      <c r="AE700" t="n">
        <v>68.45565000000001</v>
      </c>
    </row>
    <row r="701">
      <c r="A701" s="90" t="n">
        <v>39904</v>
      </c>
      <c r="B701" t="n">
        <v>64.53896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47.74538</v>
      </c>
      <c r="I701" t="n">
        <v>64.94843</v>
      </c>
      <c r="J701" t="n">
        <v>77.53395</v>
      </c>
      <c r="K701" t="n">
        <v>80.40585</v>
      </c>
      <c r="L701" t="n">
        <v>89.10888</v>
      </c>
      <c r="M701" t="n">
        <v>91.57776</v>
      </c>
      <c r="N701" t="n">
        <v>85.30856</v>
      </c>
      <c r="O701" t="n">
        <v>44.60754</v>
      </c>
      <c r="P701" t="n">
        <v>44.24037</v>
      </c>
      <c r="Q701" t="n">
        <v>93.752</v>
      </c>
      <c r="R701" t="n">
        <v>65.42977999999999</v>
      </c>
      <c r="S701" t="n">
        <v>85.75909</v>
      </c>
      <c r="T701" t="n">
        <v>63.7618</v>
      </c>
      <c r="U701" t="n">
        <v>47.66989</v>
      </c>
      <c r="V701" t="n">
        <v>74.1596</v>
      </c>
      <c r="W701" t="n">
        <v>65.85120000000001</v>
      </c>
      <c r="X701" t="n">
        <v>68.51021</v>
      </c>
      <c r="Y701" t="n">
        <v>68.59645</v>
      </c>
      <c r="Z701" t="n">
        <v>62.88032</v>
      </c>
      <c r="AA701" t="n">
        <v>35.59827</v>
      </c>
      <c r="AB701" t="n">
        <v>79.37859</v>
      </c>
      <c r="AC701" t="n">
        <v>40.22566</v>
      </c>
      <c r="AD701" t="n">
        <v>69.51282</v>
      </c>
      <c r="AE701" t="n">
        <v>67.72993</v>
      </c>
    </row>
    <row r="702">
      <c r="A702" s="90" t="n">
        <v>39934</v>
      </c>
      <c r="B702" t="n">
        <v>65.25339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48.02694</v>
      </c>
      <c r="I702" t="n">
        <v>65.60561</v>
      </c>
      <c r="J702" t="n">
        <v>78.22072</v>
      </c>
      <c r="K702" t="n">
        <v>81.45643</v>
      </c>
      <c r="L702" t="n">
        <v>89.37362</v>
      </c>
      <c r="M702" t="n">
        <v>90.74403</v>
      </c>
      <c r="N702" t="n">
        <v>85.67512000000001</v>
      </c>
      <c r="O702" t="n">
        <v>44.85314</v>
      </c>
      <c r="P702" t="n">
        <v>44.97268</v>
      </c>
      <c r="Q702" t="n">
        <v>94.21514000000001</v>
      </c>
      <c r="R702" t="n">
        <v>65.55081</v>
      </c>
      <c r="S702" t="n">
        <v>85.97064</v>
      </c>
      <c r="T702" t="n">
        <v>64.13658</v>
      </c>
      <c r="U702" t="n">
        <v>47.48226</v>
      </c>
      <c r="V702" t="n">
        <v>74.43719</v>
      </c>
      <c r="W702" t="n">
        <v>65.79028</v>
      </c>
      <c r="X702" t="n">
        <v>68.764</v>
      </c>
      <c r="Y702" t="n">
        <v>68.52782999999999</v>
      </c>
      <c r="Z702" t="n">
        <v>62.97614</v>
      </c>
      <c r="AA702" t="n">
        <v>35.75613</v>
      </c>
      <c r="AB702" t="n">
        <v>79.76007</v>
      </c>
      <c r="AC702" t="n">
        <v>40.30639</v>
      </c>
      <c r="AD702" t="n">
        <v>69.99267999999999</v>
      </c>
      <c r="AE702" t="n">
        <v>67.98874000000001</v>
      </c>
    </row>
    <row r="703">
      <c r="A703" s="90" t="n">
        <v>39965</v>
      </c>
      <c r="B703" t="n">
        <v>65.74648000000001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48.45786</v>
      </c>
      <c r="I703" t="n">
        <v>66.51447</v>
      </c>
      <c r="J703" t="n">
        <v>77.75484</v>
      </c>
      <c r="K703" t="n">
        <v>81.89323</v>
      </c>
      <c r="L703" t="n">
        <v>89.21963</v>
      </c>
      <c r="M703" t="n">
        <v>90.35509999999999</v>
      </c>
      <c r="N703" t="n">
        <v>85.85356</v>
      </c>
      <c r="O703" t="n">
        <v>45.15517</v>
      </c>
      <c r="P703" t="n">
        <v>45.54815</v>
      </c>
      <c r="Q703" t="n">
        <v>94.27115999999999</v>
      </c>
      <c r="R703" t="n">
        <v>65.63518000000001</v>
      </c>
      <c r="S703" t="n">
        <v>86.07977</v>
      </c>
      <c r="T703" t="n">
        <v>64.57071000000001</v>
      </c>
      <c r="U703" t="n">
        <v>47.57645</v>
      </c>
      <c r="V703" t="n">
        <v>74.72784</v>
      </c>
      <c r="W703" t="n">
        <v>65.79253</v>
      </c>
      <c r="X703" t="n">
        <v>68.88455</v>
      </c>
      <c r="Y703" t="n">
        <v>68.58989</v>
      </c>
      <c r="Z703" t="n">
        <v>63.576</v>
      </c>
      <c r="AA703" t="n">
        <v>36.12968</v>
      </c>
      <c r="AB703" t="n">
        <v>79.14709999999999</v>
      </c>
      <c r="AC703" t="n">
        <v>40.56779</v>
      </c>
      <c r="AD703" t="n">
        <v>70.07404</v>
      </c>
      <c r="AE703" t="n">
        <v>68.15989999999999</v>
      </c>
    </row>
    <row r="704">
      <c r="A704" s="90" t="n">
        <v>39995</v>
      </c>
      <c r="B704" t="n">
        <v>66.11909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48.91022</v>
      </c>
      <c r="I704" t="n">
        <v>67.2607</v>
      </c>
      <c r="J704" t="n">
        <v>76.72939</v>
      </c>
      <c r="K704" t="n">
        <v>81.77426</v>
      </c>
      <c r="L704" t="n">
        <v>89.02157</v>
      </c>
      <c r="M704" t="n">
        <v>90.4926</v>
      </c>
      <c r="N704" t="n">
        <v>85.60632</v>
      </c>
      <c r="O704" t="n">
        <v>45.43369</v>
      </c>
      <c r="P704" t="n">
        <v>46.12276</v>
      </c>
      <c r="Q704" t="n">
        <v>94.22166</v>
      </c>
      <c r="R704" t="n">
        <v>65.4324</v>
      </c>
      <c r="S704" t="n">
        <v>86.24323</v>
      </c>
      <c r="T704" t="n">
        <v>64.89643</v>
      </c>
      <c r="U704" t="n">
        <v>48.11725</v>
      </c>
      <c r="V704" t="n">
        <v>74.65429</v>
      </c>
      <c r="W704" t="n">
        <v>65.94128000000001</v>
      </c>
      <c r="X704" t="n">
        <v>69.04116</v>
      </c>
      <c r="Y704" t="n">
        <v>68.72631</v>
      </c>
      <c r="Z704" t="n">
        <v>64.00772000000001</v>
      </c>
      <c r="AA704" t="n">
        <v>36.69014</v>
      </c>
      <c r="AB704" t="n">
        <v>78.33105</v>
      </c>
      <c r="AC704" t="n">
        <v>40.85394</v>
      </c>
      <c r="AD704" t="n">
        <v>70.11223</v>
      </c>
      <c r="AE704" t="n">
        <v>67.94150999999999</v>
      </c>
    </row>
    <row r="705">
      <c r="A705" s="90" t="n">
        <v>40026</v>
      </c>
      <c r="B705" t="n">
        <v>66.29559999999999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49.16475</v>
      </c>
      <c r="I705" t="n">
        <v>68.09390999999999</v>
      </c>
      <c r="J705" t="n">
        <v>76.41887</v>
      </c>
      <c r="K705" t="n">
        <v>81.95395000000001</v>
      </c>
      <c r="L705" t="n">
        <v>88.65608</v>
      </c>
      <c r="M705" t="n">
        <v>91.20974</v>
      </c>
      <c r="N705" t="n">
        <v>85.61494999999999</v>
      </c>
      <c r="O705" t="n">
        <v>45.82233</v>
      </c>
      <c r="P705" t="n">
        <v>46.66395</v>
      </c>
      <c r="Q705" t="n">
        <v>94.1589</v>
      </c>
      <c r="R705" t="n">
        <v>65.2347</v>
      </c>
      <c r="S705" t="n">
        <v>86.42588000000001</v>
      </c>
      <c r="T705" t="n">
        <v>65.42695000000001</v>
      </c>
      <c r="U705" t="n">
        <v>48.19072</v>
      </c>
      <c r="V705" t="n">
        <v>74.49926000000001</v>
      </c>
      <c r="W705" t="n">
        <v>66.15622999999999</v>
      </c>
      <c r="X705" t="n">
        <v>69.16324</v>
      </c>
      <c r="Y705" t="n">
        <v>69.01683</v>
      </c>
      <c r="Z705" t="n">
        <v>63.58854</v>
      </c>
      <c r="AA705" t="n">
        <v>37.47092</v>
      </c>
      <c r="AB705" t="n">
        <v>78.29253</v>
      </c>
      <c r="AC705" t="n">
        <v>41.25157</v>
      </c>
      <c r="AD705" t="n">
        <v>70.1114</v>
      </c>
      <c r="AE705" t="n">
        <v>67.53018</v>
      </c>
    </row>
    <row r="706">
      <c r="A706" s="90" t="n">
        <v>40057</v>
      </c>
      <c r="B706" t="n">
        <v>66.40206999999999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49.11019</v>
      </c>
      <c r="I706" t="n">
        <v>68.76544</v>
      </c>
      <c r="J706" t="n">
        <v>75.79257</v>
      </c>
      <c r="K706" t="n">
        <v>82.87061</v>
      </c>
      <c r="L706" t="n">
        <v>88.45489999999999</v>
      </c>
      <c r="M706" t="n">
        <v>92.11033999999999</v>
      </c>
      <c r="N706" t="n">
        <v>85.66459</v>
      </c>
      <c r="O706" t="n">
        <v>46.27817</v>
      </c>
      <c r="P706" t="n">
        <v>47.14355</v>
      </c>
      <c r="Q706" t="n">
        <v>94.09206</v>
      </c>
      <c r="R706" t="n">
        <v>65.4983</v>
      </c>
      <c r="S706" t="n">
        <v>86.52460000000001</v>
      </c>
      <c r="T706" t="n">
        <v>65.91434</v>
      </c>
      <c r="U706" t="n">
        <v>48.26933</v>
      </c>
      <c r="V706" t="n">
        <v>74.29213</v>
      </c>
      <c r="W706" t="n">
        <v>66.29626</v>
      </c>
      <c r="X706" t="n">
        <v>69.30994</v>
      </c>
      <c r="Y706" t="n">
        <v>69.48804</v>
      </c>
      <c r="Z706" t="n">
        <v>63.69664</v>
      </c>
      <c r="AA706" t="n">
        <v>38.16514</v>
      </c>
      <c r="AB706" t="n">
        <v>78.05629</v>
      </c>
      <c r="AC706" t="n">
        <v>41.86341</v>
      </c>
      <c r="AD706" t="n">
        <v>70.10476</v>
      </c>
      <c r="AE706" t="n">
        <v>67.36320000000001</v>
      </c>
    </row>
    <row r="707">
      <c r="A707" s="90" t="n">
        <v>40087</v>
      </c>
      <c r="B707" t="n">
        <v>66.35444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49.26636</v>
      </c>
      <c r="I707" t="n">
        <v>69.27068</v>
      </c>
      <c r="J707" t="n">
        <v>75.66386</v>
      </c>
      <c r="K707" t="n">
        <v>83.05549999999999</v>
      </c>
      <c r="L707" t="n">
        <v>88.37059000000001</v>
      </c>
      <c r="M707" t="n">
        <v>93.10231</v>
      </c>
      <c r="N707" t="n">
        <v>85.18503</v>
      </c>
      <c r="O707" t="n">
        <v>46.4633</v>
      </c>
      <c r="P707" t="n">
        <v>47.68745</v>
      </c>
      <c r="Q707" t="n">
        <v>93.96486</v>
      </c>
      <c r="R707" t="n">
        <v>65.68105</v>
      </c>
      <c r="S707" t="n">
        <v>86.67303</v>
      </c>
      <c r="T707" t="n">
        <v>66.28570000000001</v>
      </c>
      <c r="U707" t="n">
        <v>48.9075</v>
      </c>
      <c r="V707" t="n">
        <v>74.21602</v>
      </c>
      <c r="W707" t="n">
        <v>66.29543</v>
      </c>
      <c r="X707" t="n">
        <v>69.63435</v>
      </c>
      <c r="Y707" t="n">
        <v>70.1583</v>
      </c>
      <c r="Z707" t="n">
        <v>65.07482</v>
      </c>
      <c r="AA707" t="n">
        <v>38.61142</v>
      </c>
      <c r="AB707" t="n">
        <v>77.88074</v>
      </c>
      <c r="AC707" t="n">
        <v>42.50012</v>
      </c>
      <c r="AD707" t="n">
        <v>70.32809</v>
      </c>
      <c r="AE707" t="n">
        <v>67.39654</v>
      </c>
    </row>
    <row r="708">
      <c r="A708" s="90" t="n">
        <v>40118</v>
      </c>
      <c r="B708" t="n">
        <v>66.28158999999999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49.62049</v>
      </c>
      <c r="I708" t="n">
        <v>69.04649000000001</v>
      </c>
      <c r="J708" t="n">
        <v>76.28717</v>
      </c>
      <c r="K708" t="n">
        <v>82.636</v>
      </c>
      <c r="L708" t="n">
        <v>88.19508</v>
      </c>
      <c r="M708" t="n">
        <v>93.68009000000001</v>
      </c>
      <c r="N708" t="n">
        <v>84.78513</v>
      </c>
      <c r="O708" t="n">
        <v>46.85012</v>
      </c>
      <c r="P708" t="n">
        <v>48.27664</v>
      </c>
      <c r="Q708" t="n">
        <v>93.62202000000001</v>
      </c>
      <c r="R708" t="n">
        <v>66.06327</v>
      </c>
      <c r="S708" t="n">
        <v>86.84863</v>
      </c>
      <c r="T708" t="n">
        <v>66.87917</v>
      </c>
      <c r="U708" t="n">
        <v>49.59504</v>
      </c>
      <c r="V708" t="n">
        <v>73.85373</v>
      </c>
      <c r="W708" t="n">
        <v>66.41313</v>
      </c>
      <c r="X708" t="n">
        <v>69.95406</v>
      </c>
      <c r="Y708" t="n">
        <v>70.65452000000001</v>
      </c>
      <c r="Z708" t="n">
        <v>65.3856</v>
      </c>
      <c r="AA708" t="n">
        <v>39.22062</v>
      </c>
      <c r="AB708" t="n">
        <v>78.27843</v>
      </c>
      <c r="AC708" t="n">
        <v>43.24037</v>
      </c>
      <c r="AD708" t="n">
        <v>70.57465999999999</v>
      </c>
      <c r="AE708" t="n">
        <v>67.51667999999999</v>
      </c>
    </row>
    <row r="709">
      <c r="A709" s="90" t="n">
        <v>40148</v>
      </c>
      <c r="B709" t="n">
        <v>66.13591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49.67703</v>
      </c>
      <c r="I709" t="n">
        <v>68.15779000000001</v>
      </c>
      <c r="J709" t="n">
        <v>77.10876</v>
      </c>
      <c r="K709" t="n">
        <v>81.84174</v>
      </c>
      <c r="L709" t="n">
        <v>88.29002</v>
      </c>
      <c r="M709" t="n">
        <v>93.37465</v>
      </c>
      <c r="N709" t="n">
        <v>84.37492</v>
      </c>
      <c r="O709" t="n">
        <v>47.47656</v>
      </c>
      <c r="P709" t="n">
        <v>48.75244</v>
      </c>
      <c r="Q709" t="n">
        <v>93.08241</v>
      </c>
      <c r="R709" t="n">
        <v>66.12895</v>
      </c>
      <c r="S709" t="n">
        <v>86.95071</v>
      </c>
      <c r="T709" t="n">
        <v>67.30168999999999</v>
      </c>
      <c r="U709" t="n">
        <v>49.65327</v>
      </c>
      <c r="V709" t="n">
        <v>74.02309</v>
      </c>
      <c r="W709" t="n">
        <v>66.86190000000001</v>
      </c>
      <c r="X709" t="n">
        <v>69.99878</v>
      </c>
      <c r="Y709" t="n">
        <v>70.74298</v>
      </c>
      <c r="Z709" t="n">
        <v>65.12603</v>
      </c>
      <c r="AA709" t="n">
        <v>40.10461</v>
      </c>
      <c r="AB709" t="n">
        <v>78.44956999999999</v>
      </c>
      <c r="AC709" t="n">
        <v>43.78679</v>
      </c>
      <c r="AD709" t="n">
        <v>70.53480999999999</v>
      </c>
      <c r="AE709" t="n">
        <v>67.97889000000001</v>
      </c>
    </row>
    <row r="710">
      <c r="A710" s="90" t="n">
        <v>40179</v>
      </c>
      <c r="B710" t="n">
        <v>66.15833000000001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50.09468</v>
      </c>
      <c r="I710" t="n">
        <v>67.49791999999999</v>
      </c>
      <c r="J710" t="n">
        <v>77.19212</v>
      </c>
      <c r="K710" t="n">
        <v>80.95308</v>
      </c>
      <c r="L710" t="n">
        <v>88.22002000000001</v>
      </c>
      <c r="M710" t="n">
        <v>96.96146</v>
      </c>
      <c r="N710" t="n">
        <v>84.4522</v>
      </c>
      <c r="O710" t="n">
        <v>47.64731</v>
      </c>
      <c r="P710" t="n">
        <v>49.36239</v>
      </c>
      <c r="Q710" t="n">
        <v>92.45927</v>
      </c>
      <c r="R710" t="n">
        <v>66.12264999999999</v>
      </c>
      <c r="S710" t="n">
        <v>87.12202000000001</v>
      </c>
      <c r="T710" t="n">
        <v>67.82964</v>
      </c>
      <c r="U710" t="n">
        <v>49.38572</v>
      </c>
      <c r="V710" t="n">
        <v>74.41394</v>
      </c>
      <c r="W710" t="n">
        <v>66.83981</v>
      </c>
      <c r="X710" t="n">
        <v>70.12157000000001</v>
      </c>
      <c r="Y710" t="n">
        <v>71.9046</v>
      </c>
      <c r="Z710" t="n">
        <v>65.47638999999999</v>
      </c>
      <c r="AA710" t="n">
        <v>40.88416</v>
      </c>
      <c r="AB710" t="n">
        <v>78.7852</v>
      </c>
      <c r="AC710" t="n">
        <v>44.12033</v>
      </c>
      <c r="AD710" t="n">
        <v>70.22016000000001</v>
      </c>
      <c r="AE710" t="n">
        <v>68.33632</v>
      </c>
    </row>
    <row r="711">
      <c r="A711" s="90" t="n">
        <v>40210</v>
      </c>
      <c r="B711" t="n">
        <v>66.65141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50.66786</v>
      </c>
      <c r="I711" t="n">
        <v>67.11382999999999</v>
      </c>
      <c r="J711" t="n">
        <v>76.53442</v>
      </c>
      <c r="K711" t="n">
        <v>80.45186</v>
      </c>
      <c r="L711" t="n">
        <v>87.84820999999999</v>
      </c>
      <c r="M711" t="n">
        <v>101.3928</v>
      </c>
      <c r="N711" t="n">
        <v>85.24585999999999</v>
      </c>
      <c r="O711" t="n">
        <v>47.71336</v>
      </c>
      <c r="P711" t="n">
        <v>50.14887</v>
      </c>
      <c r="Q711" t="n">
        <v>91.81712</v>
      </c>
      <c r="R711" t="n">
        <v>66.08935</v>
      </c>
      <c r="S711" t="n">
        <v>87.24796000000001</v>
      </c>
      <c r="T711" t="n">
        <v>68.45775999999999</v>
      </c>
      <c r="U711" t="n">
        <v>49.43088</v>
      </c>
      <c r="V711" t="n">
        <v>74.4307</v>
      </c>
      <c r="W711" t="n">
        <v>66.64353</v>
      </c>
      <c r="X711" t="n">
        <v>70.69598999999999</v>
      </c>
      <c r="Y711" t="n">
        <v>73.39436000000001</v>
      </c>
      <c r="Z711" t="n">
        <v>65.59350000000001</v>
      </c>
      <c r="AA711" t="n">
        <v>41.66953</v>
      </c>
      <c r="AB711" t="n">
        <v>79.35886000000001</v>
      </c>
      <c r="AC711" t="n">
        <v>44.81744</v>
      </c>
      <c r="AD711" t="n">
        <v>70.62945999999999</v>
      </c>
      <c r="AE711" t="n">
        <v>68.84856000000001</v>
      </c>
    </row>
    <row r="712">
      <c r="A712" s="90" t="n">
        <v>40238</v>
      </c>
      <c r="B712" t="n">
        <v>67.39664999999999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50.80762</v>
      </c>
      <c r="I712" t="n">
        <v>66.73514</v>
      </c>
      <c r="J712" t="n">
        <v>76.56847</v>
      </c>
      <c r="K712" t="n">
        <v>80.41434</v>
      </c>
      <c r="L712" t="n">
        <v>87.78699</v>
      </c>
      <c r="M712" t="n">
        <v>101.7396</v>
      </c>
      <c r="N712" t="n">
        <v>85.83156</v>
      </c>
      <c r="O712" t="n">
        <v>48.39354</v>
      </c>
      <c r="P712" t="n">
        <v>50.89152</v>
      </c>
      <c r="Q712" t="n">
        <v>91.13728</v>
      </c>
      <c r="R712" t="n">
        <v>65.89456</v>
      </c>
      <c r="S712" t="n">
        <v>87.30970000000001</v>
      </c>
      <c r="T712" t="n">
        <v>69.12242000000001</v>
      </c>
      <c r="U712" t="n">
        <v>49.87571</v>
      </c>
      <c r="V712" t="n">
        <v>74.63142000000001</v>
      </c>
      <c r="W712" t="n">
        <v>66.82040000000001</v>
      </c>
      <c r="X712" t="n">
        <v>70.86888</v>
      </c>
      <c r="Y712" t="n">
        <v>73.79519999999999</v>
      </c>
      <c r="Z712" t="n">
        <v>66.0201</v>
      </c>
      <c r="AA712" t="n">
        <v>42.44017</v>
      </c>
      <c r="AB712" t="n">
        <v>79.60847</v>
      </c>
      <c r="AC712" t="n">
        <v>45.36288</v>
      </c>
      <c r="AD712" t="n">
        <v>70.60538</v>
      </c>
      <c r="AE712" t="n">
        <v>69.05627</v>
      </c>
    </row>
    <row r="713">
      <c r="A713" s="90" t="n">
        <v>40269</v>
      </c>
      <c r="B713" t="n">
        <v>67.9794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51.1963</v>
      </c>
      <c r="I713" t="n">
        <v>66.24912</v>
      </c>
      <c r="J713" t="n">
        <v>77.35645</v>
      </c>
      <c r="K713" t="n">
        <v>81.21259000000001</v>
      </c>
      <c r="L713" t="n">
        <v>88.24196999999999</v>
      </c>
      <c r="M713" t="n">
        <v>100.8589</v>
      </c>
      <c r="N713" t="n">
        <v>86.67194000000001</v>
      </c>
      <c r="O713" t="n">
        <v>49.18651</v>
      </c>
      <c r="P713" t="n">
        <v>51.37198</v>
      </c>
      <c r="Q713" t="n">
        <v>90.35993000000001</v>
      </c>
      <c r="R713" t="n">
        <v>66.26862</v>
      </c>
      <c r="S713" t="n">
        <v>87.58446000000001</v>
      </c>
      <c r="T713" t="n">
        <v>69.76502000000001</v>
      </c>
      <c r="U713" t="n">
        <v>50.45894</v>
      </c>
      <c r="V713" t="n">
        <v>74.79087</v>
      </c>
      <c r="W713" t="n">
        <v>67.18333</v>
      </c>
      <c r="X713" t="n">
        <v>71.17815</v>
      </c>
      <c r="Y713" t="n">
        <v>73.85123</v>
      </c>
      <c r="Z713" t="n">
        <v>66.53712</v>
      </c>
      <c r="AA713" t="n">
        <v>43.08006</v>
      </c>
      <c r="AB713" t="n">
        <v>79.58385</v>
      </c>
      <c r="AC713" t="n">
        <v>45.6802</v>
      </c>
      <c r="AD713" t="n">
        <v>70.86024999999999</v>
      </c>
      <c r="AE713" t="n">
        <v>68.81847999999999</v>
      </c>
    </row>
    <row r="714">
      <c r="A714" s="90" t="n">
        <v>40299</v>
      </c>
      <c r="B714" t="n">
        <v>68.3156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51.57972</v>
      </c>
      <c r="I714" t="n">
        <v>66.62931</v>
      </c>
      <c r="J714" t="n">
        <v>78.68528000000001</v>
      </c>
      <c r="K714" t="n">
        <v>82.16173999999999</v>
      </c>
      <c r="L714" t="n">
        <v>88.77915</v>
      </c>
      <c r="M714" t="n">
        <v>100.2586</v>
      </c>
      <c r="N714" t="n">
        <v>87.66043000000001</v>
      </c>
      <c r="O714" t="n">
        <v>49.70914</v>
      </c>
      <c r="P714" t="n">
        <v>51.81095</v>
      </c>
      <c r="Q714" t="n">
        <v>89.54711</v>
      </c>
      <c r="R714" t="n">
        <v>66.48862</v>
      </c>
      <c r="S714" t="n">
        <v>87.95377999999999</v>
      </c>
      <c r="T714" t="n">
        <v>70.22904</v>
      </c>
      <c r="U714" t="n">
        <v>51.11324</v>
      </c>
      <c r="V714" t="n">
        <v>74.84692</v>
      </c>
      <c r="W714" t="n">
        <v>67.53506</v>
      </c>
      <c r="X714" t="n">
        <v>71.61859</v>
      </c>
      <c r="Y714" t="n">
        <v>74.14536</v>
      </c>
      <c r="Z714" t="n">
        <v>67.3522</v>
      </c>
      <c r="AA714" t="n">
        <v>43.98682</v>
      </c>
      <c r="AB714" t="n">
        <v>79.66764999999999</v>
      </c>
      <c r="AC714" t="n">
        <v>46.18777</v>
      </c>
      <c r="AD714" t="n">
        <v>71.31438</v>
      </c>
      <c r="AE714" t="n">
        <v>68.97855</v>
      </c>
    </row>
    <row r="715">
      <c r="A715" s="90" t="n">
        <v>40330</v>
      </c>
      <c r="B715" t="n">
        <v>68.73023999999999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52.06015</v>
      </c>
      <c r="I715" t="n">
        <v>67.71527</v>
      </c>
      <c r="J715" t="n">
        <v>79.29201999999999</v>
      </c>
      <c r="K715" t="n">
        <v>82.90407999999999</v>
      </c>
      <c r="L715" t="n">
        <v>88.10312999999999</v>
      </c>
      <c r="M715" t="n">
        <v>100.2318</v>
      </c>
      <c r="N715" t="n">
        <v>88.37212</v>
      </c>
      <c r="O715" t="n">
        <v>50.56684</v>
      </c>
      <c r="P715" t="n">
        <v>52.44637</v>
      </c>
      <c r="Q715" t="n">
        <v>88.76714</v>
      </c>
      <c r="R715" t="n">
        <v>67.03346999999999</v>
      </c>
      <c r="S715" t="n">
        <v>87.92392</v>
      </c>
      <c r="T715" t="n">
        <v>70.5596</v>
      </c>
      <c r="U715" t="n">
        <v>51.70588</v>
      </c>
      <c r="V715" t="n">
        <v>75.36398</v>
      </c>
      <c r="W715" t="n">
        <v>67.4653</v>
      </c>
      <c r="X715" t="n">
        <v>71.91305</v>
      </c>
      <c r="Y715" t="n">
        <v>74.72566999999999</v>
      </c>
      <c r="Z715" t="n">
        <v>68.29809</v>
      </c>
      <c r="AA715" t="n">
        <v>44.99685</v>
      </c>
      <c r="AB715" t="n">
        <v>79.74033</v>
      </c>
      <c r="AC715" t="n">
        <v>47.08384</v>
      </c>
      <c r="AD715" t="n">
        <v>71.47295</v>
      </c>
      <c r="AE715" t="n">
        <v>69.45453000000001</v>
      </c>
    </row>
    <row r="716">
      <c r="A716" s="90" t="n">
        <v>40360</v>
      </c>
      <c r="B716" t="n">
        <v>69.31859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52.55653</v>
      </c>
      <c r="I716" t="n">
        <v>67.77367</v>
      </c>
      <c r="J716" t="n">
        <v>79.03061</v>
      </c>
      <c r="K716" t="n">
        <v>84.56697</v>
      </c>
      <c r="L716" t="n">
        <v>87.23394999999999</v>
      </c>
      <c r="M716" t="n">
        <v>100.1059</v>
      </c>
      <c r="N716" t="n">
        <v>88.73716</v>
      </c>
      <c r="O716" t="n">
        <v>51.29067</v>
      </c>
      <c r="P716" t="n">
        <v>53.21127</v>
      </c>
      <c r="Q716" t="n">
        <v>88.01714</v>
      </c>
      <c r="R716" t="n">
        <v>67.25461</v>
      </c>
      <c r="S716" t="n">
        <v>88.02627</v>
      </c>
      <c r="T716" t="n">
        <v>70.65228</v>
      </c>
      <c r="U716" t="n">
        <v>52.33278</v>
      </c>
      <c r="V716" t="n">
        <v>76.28076</v>
      </c>
      <c r="W716" t="n">
        <v>67.50626</v>
      </c>
      <c r="X716" t="n">
        <v>72.14623</v>
      </c>
      <c r="Y716" t="n">
        <v>75.15358999999999</v>
      </c>
      <c r="Z716" t="n">
        <v>68.80833</v>
      </c>
      <c r="AA716" t="n">
        <v>45.75359</v>
      </c>
      <c r="AB716" t="n">
        <v>80.36462</v>
      </c>
      <c r="AC716" t="n">
        <v>47.81548</v>
      </c>
      <c r="AD716" t="n">
        <v>71.55431</v>
      </c>
      <c r="AE716" t="n">
        <v>70.06393</v>
      </c>
    </row>
    <row r="717">
      <c r="A717" s="90" t="n">
        <v>40391</v>
      </c>
      <c r="B717" t="n">
        <v>69.91813999999999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52.8081</v>
      </c>
      <c r="I717" t="n">
        <v>67.25167</v>
      </c>
      <c r="J717" t="n">
        <v>78.68764</v>
      </c>
      <c r="K717" t="n">
        <v>87.09063</v>
      </c>
      <c r="L717" t="n">
        <v>87.21083</v>
      </c>
      <c r="M717" t="n">
        <v>99.86136</v>
      </c>
      <c r="N717" t="n">
        <v>88.84188</v>
      </c>
      <c r="O717" t="n">
        <v>51.54492</v>
      </c>
      <c r="P717" t="n">
        <v>53.93836</v>
      </c>
      <c r="Q717" t="n">
        <v>87.30452</v>
      </c>
      <c r="R717" t="n">
        <v>66.90508</v>
      </c>
      <c r="S717" t="n">
        <v>88.23672999999999</v>
      </c>
      <c r="T717" t="n">
        <v>70.76949</v>
      </c>
      <c r="U717" t="n">
        <v>53.3356</v>
      </c>
      <c r="V717" t="n">
        <v>76.93026999999999</v>
      </c>
      <c r="W717" t="n">
        <v>68.00821000000001</v>
      </c>
      <c r="X717" t="n">
        <v>72.52515</v>
      </c>
      <c r="Y717" t="n">
        <v>75.34523</v>
      </c>
      <c r="Z717" t="n">
        <v>69.08750999999999</v>
      </c>
      <c r="AA717" t="n">
        <v>46.5936</v>
      </c>
      <c r="AB717" t="n">
        <v>80.58204000000001</v>
      </c>
      <c r="AC717" t="n">
        <v>48.1311</v>
      </c>
      <c r="AD717" t="n">
        <v>71.97190999999999</v>
      </c>
      <c r="AE717" t="n">
        <v>70.31703</v>
      </c>
    </row>
    <row r="718">
      <c r="A718" s="90" t="n">
        <v>40422</v>
      </c>
      <c r="B718" t="n">
        <v>70.42805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53.25464</v>
      </c>
      <c r="I718" t="n">
        <v>66.8875</v>
      </c>
      <c r="J718" t="n">
        <v>78.45686000000001</v>
      </c>
      <c r="K718" t="n">
        <v>86.90334</v>
      </c>
      <c r="L718" t="n">
        <v>87.23569000000001</v>
      </c>
      <c r="M718" t="n">
        <v>99.68932</v>
      </c>
      <c r="N718" t="n">
        <v>88.31372</v>
      </c>
      <c r="O718" t="n">
        <v>52.02149</v>
      </c>
      <c r="P718" t="n">
        <v>54.45184</v>
      </c>
      <c r="Q718" t="n">
        <v>86.63753</v>
      </c>
      <c r="R718" t="n">
        <v>66.93201000000001</v>
      </c>
      <c r="S718" t="n">
        <v>88.37684</v>
      </c>
      <c r="T718" t="n">
        <v>70.95948</v>
      </c>
      <c r="U718" t="n">
        <v>54.14809</v>
      </c>
      <c r="V718" t="n">
        <v>77.23699999999999</v>
      </c>
      <c r="W718" t="n">
        <v>68.49283</v>
      </c>
      <c r="X718" t="n">
        <v>72.78449999999999</v>
      </c>
      <c r="Y718" t="n">
        <v>75.48978</v>
      </c>
      <c r="Z718" t="n">
        <v>69.51988</v>
      </c>
      <c r="AA718" t="n">
        <v>47.42032</v>
      </c>
      <c r="AB718" t="n">
        <v>80.40182</v>
      </c>
      <c r="AC718" t="n">
        <v>48.58194</v>
      </c>
      <c r="AD718" t="n">
        <v>72.22927</v>
      </c>
      <c r="AE718" t="n">
        <v>70.59019000000001</v>
      </c>
    </row>
    <row r="719">
      <c r="A719" s="90" t="n">
        <v>40452</v>
      </c>
      <c r="B719" t="n">
        <v>71.0136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53.74366</v>
      </c>
      <c r="I719" t="n">
        <v>66.4995</v>
      </c>
      <c r="J719" t="n">
        <v>78.42764</v>
      </c>
      <c r="K719" t="n">
        <v>85.87415</v>
      </c>
      <c r="L719" t="n">
        <v>87.26260000000001</v>
      </c>
      <c r="M719" t="n">
        <v>99.84325</v>
      </c>
      <c r="N719" t="n">
        <v>87.66332</v>
      </c>
      <c r="O719" t="n">
        <v>52.78292</v>
      </c>
      <c r="P719" t="n">
        <v>55.49382</v>
      </c>
      <c r="Q719" t="n">
        <v>86.01361</v>
      </c>
      <c r="R719" t="n">
        <v>67.13919</v>
      </c>
      <c r="S719" t="n">
        <v>88.52056</v>
      </c>
      <c r="T719" t="n">
        <v>71.2625</v>
      </c>
      <c r="U719" t="n">
        <v>55.03181</v>
      </c>
      <c r="V719" t="n">
        <v>77.60080000000001</v>
      </c>
      <c r="W719" t="n">
        <v>69.07841000000001</v>
      </c>
      <c r="X719" t="n">
        <v>73.19844000000001</v>
      </c>
      <c r="Y719" t="n">
        <v>75.82556</v>
      </c>
      <c r="Z719" t="n">
        <v>69.97942999999999</v>
      </c>
      <c r="AA719" t="n">
        <v>48.21635</v>
      </c>
      <c r="AB719" t="n">
        <v>80.93497000000001</v>
      </c>
      <c r="AC719" t="n">
        <v>49.26577</v>
      </c>
      <c r="AD719" t="n">
        <v>72.63857</v>
      </c>
      <c r="AE719" t="n">
        <v>71.28297000000001</v>
      </c>
    </row>
    <row r="720">
      <c r="A720" s="90" t="n">
        <v>40483</v>
      </c>
      <c r="B720" t="n">
        <v>71.95215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54.18329</v>
      </c>
      <c r="I720" t="n">
        <v>67.34377000000001</v>
      </c>
      <c r="J720" t="n">
        <v>78.4434</v>
      </c>
      <c r="K720" t="n">
        <v>86.3404</v>
      </c>
      <c r="L720" t="n">
        <v>87.36653</v>
      </c>
      <c r="M720" t="n">
        <v>99.5111</v>
      </c>
      <c r="N720" t="n">
        <v>87.78734</v>
      </c>
      <c r="O720" t="n">
        <v>53.52609</v>
      </c>
      <c r="P720" t="n">
        <v>56.39669</v>
      </c>
      <c r="Q720" t="n">
        <v>85.44056999999999</v>
      </c>
      <c r="R720" t="n">
        <v>67.55211</v>
      </c>
      <c r="S720" t="n">
        <v>88.56162</v>
      </c>
      <c r="T720" t="n">
        <v>71.72028</v>
      </c>
      <c r="U720" t="n">
        <v>55.50502</v>
      </c>
      <c r="V720" t="n">
        <v>78.33382</v>
      </c>
      <c r="W720" t="n">
        <v>69.59977000000001</v>
      </c>
      <c r="X720" t="n">
        <v>73.45375</v>
      </c>
      <c r="Y720" t="n">
        <v>76.10015</v>
      </c>
      <c r="Z720" t="n">
        <v>70.36121</v>
      </c>
      <c r="AA720" t="n">
        <v>49.21817</v>
      </c>
      <c r="AB720" t="n">
        <v>81.12514</v>
      </c>
      <c r="AC720" t="n">
        <v>49.95992</v>
      </c>
      <c r="AD720" t="n">
        <v>72.80959</v>
      </c>
      <c r="AE720" t="n">
        <v>72.14709999999999</v>
      </c>
    </row>
    <row r="721">
      <c r="A721" s="90" t="n">
        <v>40513</v>
      </c>
      <c r="B721" t="n">
        <v>72.74782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54.86057</v>
      </c>
      <c r="I721" t="n">
        <v>68.26394999999999</v>
      </c>
      <c r="J721" t="n">
        <v>78.93680999999999</v>
      </c>
      <c r="K721" t="n">
        <v>87.16083999999999</v>
      </c>
      <c r="L721" t="n">
        <v>87.66569</v>
      </c>
      <c r="M721" t="n">
        <v>98.59849</v>
      </c>
      <c r="N721" t="n">
        <v>87.21821</v>
      </c>
      <c r="O721" t="n">
        <v>54.47383</v>
      </c>
      <c r="P721" t="n">
        <v>57.2337</v>
      </c>
      <c r="Q721" t="n">
        <v>84.94898000000001</v>
      </c>
      <c r="R721" t="n">
        <v>67.79607</v>
      </c>
      <c r="S721" t="n">
        <v>88.52222</v>
      </c>
      <c r="T721" t="n">
        <v>71.7038</v>
      </c>
      <c r="U721" t="n">
        <v>55.57988</v>
      </c>
      <c r="V721" t="n">
        <v>79.02903999999999</v>
      </c>
      <c r="W721" t="n">
        <v>70.06686000000001</v>
      </c>
      <c r="X721" t="n">
        <v>73.69707</v>
      </c>
      <c r="Y721" t="n">
        <v>76.37532</v>
      </c>
      <c r="Z721" t="n">
        <v>70.84219</v>
      </c>
      <c r="AA721" t="n">
        <v>50.2187</v>
      </c>
      <c r="AB721" t="n">
        <v>80.81652</v>
      </c>
      <c r="AC721" t="n">
        <v>51.14685</v>
      </c>
      <c r="AD721" t="n">
        <v>73.07359</v>
      </c>
      <c r="AE721" t="n">
        <v>72.81018</v>
      </c>
    </row>
    <row r="722">
      <c r="A722" s="90" t="n">
        <v>40544</v>
      </c>
      <c r="B722" t="n">
        <v>73.22971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55.52328</v>
      </c>
      <c r="I722" t="n">
        <v>68.72672</v>
      </c>
      <c r="J722" t="n">
        <v>79.09666</v>
      </c>
      <c r="K722" t="n">
        <v>81.30682</v>
      </c>
      <c r="L722" t="n">
        <v>87.85007</v>
      </c>
      <c r="M722" t="n">
        <v>98.11400999999999</v>
      </c>
      <c r="N722" t="n">
        <v>86.99744</v>
      </c>
      <c r="O722" t="n">
        <v>55.49007</v>
      </c>
      <c r="P722" t="n">
        <v>57.98042</v>
      </c>
      <c r="Q722" t="n">
        <v>84.60115</v>
      </c>
      <c r="R722" t="n">
        <v>67.66135</v>
      </c>
      <c r="S722" t="n">
        <v>88.69604</v>
      </c>
      <c r="T722" t="n">
        <v>71.71641</v>
      </c>
      <c r="U722" t="n">
        <v>56.11072</v>
      </c>
      <c r="V722" t="n">
        <v>79.75375</v>
      </c>
      <c r="W722" t="n">
        <v>70.79733</v>
      </c>
      <c r="X722" t="n">
        <v>73.92908</v>
      </c>
      <c r="Y722" t="n">
        <v>76.48775000000001</v>
      </c>
      <c r="Z722" t="n">
        <v>70.97681</v>
      </c>
      <c r="AA722" t="n">
        <v>50.99922</v>
      </c>
      <c r="AB722" t="n">
        <v>80.35261</v>
      </c>
      <c r="AC722" t="n">
        <v>52.38754</v>
      </c>
      <c r="AD722" t="n">
        <v>73.25042999999999</v>
      </c>
      <c r="AE722" t="n">
        <v>73.45647</v>
      </c>
    </row>
    <row r="723">
      <c r="A723" s="90" t="n">
        <v>40575</v>
      </c>
      <c r="B723" t="n">
        <v>73.87128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56.07283</v>
      </c>
      <c r="I723" t="n">
        <v>68.98918</v>
      </c>
      <c r="J723" t="n">
        <v>78.79711</v>
      </c>
      <c r="K723" t="n">
        <v>75.29831</v>
      </c>
      <c r="L723" t="n">
        <v>87.74575</v>
      </c>
      <c r="M723" t="n">
        <v>98.27451000000001</v>
      </c>
      <c r="N723" t="n">
        <v>87.52673</v>
      </c>
      <c r="O723" t="n">
        <v>56.01678</v>
      </c>
      <c r="P723" t="n">
        <v>58.48793</v>
      </c>
      <c r="Q723" t="n">
        <v>84.43562</v>
      </c>
      <c r="R723" t="n">
        <v>67.93849</v>
      </c>
      <c r="S723" t="n">
        <v>88.85655</v>
      </c>
      <c r="T723" t="n">
        <v>72.21159</v>
      </c>
      <c r="U723" t="n">
        <v>56.76329</v>
      </c>
      <c r="V723" t="n">
        <v>80.33506</v>
      </c>
      <c r="W723" t="n">
        <v>71.34256000000001</v>
      </c>
      <c r="X723" t="n">
        <v>74.36673</v>
      </c>
      <c r="Y723" t="n">
        <v>76.68861</v>
      </c>
      <c r="Z723" t="n">
        <v>71.13297</v>
      </c>
      <c r="AA723" t="n">
        <v>51.50135</v>
      </c>
      <c r="AB723" t="n">
        <v>80.00396000000001</v>
      </c>
      <c r="AC723" t="n">
        <v>53.4123</v>
      </c>
      <c r="AD723" t="n">
        <v>73.78010999999999</v>
      </c>
      <c r="AE723" t="n">
        <v>74.17673000000001</v>
      </c>
    </row>
    <row r="724">
      <c r="A724" s="90" t="n">
        <v>40603</v>
      </c>
      <c r="B724" t="n">
        <v>74.49045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56.89837</v>
      </c>
      <c r="I724" t="n">
        <v>69.0947</v>
      </c>
      <c r="J724" t="n">
        <v>78.64122</v>
      </c>
      <c r="K724" t="n">
        <v>76.02874</v>
      </c>
      <c r="L724" t="n">
        <v>87.83842</v>
      </c>
      <c r="M724" t="n">
        <v>98.80789</v>
      </c>
      <c r="N724" t="n">
        <v>87.43913000000001</v>
      </c>
      <c r="O724" t="n">
        <v>56.44234</v>
      </c>
      <c r="P724" t="n">
        <v>59.30288</v>
      </c>
      <c r="Q724" t="n">
        <v>84.49773</v>
      </c>
      <c r="R724" t="n">
        <v>68.34838999999999</v>
      </c>
      <c r="S724" t="n">
        <v>89.05833</v>
      </c>
      <c r="T724" t="n">
        <v>72.50542</v>
      </c>
      <c r="U724" t="n">
        <v>57.43894</v>
      </c>
      <c r="V724" t="n">
        <v>80.56824</v>
      </c>
      <c r="W724" t="n">
        <v>71.77231999999999</v>
      </c>
      <c r="X724" t="n">
        <v>74.88745</v>
      </c>
      <c r="Y724" t="n">
        <v>77.44843</v>
      </c>
      <c r="Z724" t="n">
        <v>72.53009</v>
      </c>
      <c r="AA724" t="n">
        <v>52.13565</v>
      </c>
      <c r="AB724" t="n">
        <v>80.57453</v>
      </c>
      <c r="AC724" t="n">
        <v>54.48426</v>
      </c>
      <c r="AD724" t="n">
        <v>74.25001</v>
      </c>
      <c r="AE724" t="n">
        <v>73.80756</v>
      </c>
    </row>
    <row r="725">
      <c r="A725" s="90" t="n">
        <v>40634</v>
      </c>
      <c r="B725" t="n">
        <v>74.98074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57.35042</v>
      </c>
      <c r="I725" t="n">
        <v>69.86154999999999</v>
      </c>
      <c r="J725" t="n">
        <v>78.88831999999999</v>
      </c>
      <c r="K725" t="n">
        <v>75.61649</v>
      </c>
      <c r="L725" t="n">
        <v>88.27630000000001</v>
      </c>
      <c r="M725" t="n">
        <v>99.00937999999999</v>
      </c>
      <c r="N725" t="n">
        <v>87.43374</v>
      </c>
      <c r="O725" t="n">
        <v>56.77438</v>
      </c>
      <c r="P725" t="n">
        <v>60.11048</v>
      </c>
      <c r="Q725" t="n">
        <v>84.7855</v>
      </c>
      <c r="R725" t="n">
        <v>68.58119000000001</v>
      </c>
      <c r="S725" t="n">
        <v>89.42379</v>
      </c>
      <c r="T725" t="n">
        <v>72.81116</v>
      </c>
      <c r="U725" t="n">
        <v>58.31168</v>
      </c>
      <c r="V725" t="n">
        <v>81.10872000000001</v>
      </c>
      <c r="W725" t="n">
        <v>72.40072000000001</v>
      </c>
      <c r="X725" t="n">
        <v>75.40219999999999</v>
      </c>
      <c r="Y725" t="n">
        <v>77.97787</v>
      </c>
      <c r="Z725" t="n">
        <v>73.42412</v>
      </c>
      <c r="AA725" t="n">
        <v>52.80531</v>
      </c>
      <c r="AB725" t="n">
        <v>80.99875</v>
      </c>
      <c r="AC725" t="n">
        <v>55.41262</v>
      </c>
      <c r="AD725" t="n">
        <v>74.75976</v>
      </c>
      <c r="AE725" t="n">
        <v>73.11787</v>
      </c>
    </row>
    <row r="726">
      <c r="A726" s="90" t="n">
        <v>40664</v>
      </c>
      <c r="B726" t="n">
        <v>75.37857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58.07783</v>
      </c>
      <c r="I726" t="n">
        <v>69.649</v>
      </c>
      <c r="J726" t="n">
        <v>79.5575</v>
      </c>
      <c r="K726" t="n">
        <v>75.28675</v>
      </c>
      <c r="L726" t="n">
        <v>88.5741</v>
      </c>
      <c r="M726" t="n">
        <v>99.08856</v>
      </c>
      <c r="N726" t="n">
        <v>87.88330999999999</v>
      </c>
      <c r="O726" t="n">
        <v>57.20158</v>
      </c>
      <c r="P726" t="n">
        <v>60.80894</v>
      </c>
      <c r="Q726" t="n">
        <v>85.16862</v>
      </c>
      <c r="R726" t="n">
        <v>69.29013999999999</v>
      </c>
      <c r="S726" t="n">
        <v>89.83651999999999</v>
      </c>
      <c r="T726" t="n">
        <v>73.11291</v>
      </c>
      <c r="U726" t="n">
        <v>59.36428</v>
      </c>
      <c r="V726" t="n">
        <v>81.90961</v>
      </c>
      <c r="W726" t="n">
        <v>72.86893000000001</v>
      </c>
      <c r="X726" t="n">
        <v>75.93691</v>
      </c>
      <c r="Y726" t="n">
        <v>78.37875</v>
      </c>
      <c r="Z726" t="n">
        <v>73.23405</v>
      </c>
      <c r="AA726" t="n">
        <v>53.30401</v>
      </c>
      <c r="AB726" t="n">
        <v>80.87933</v>
      </c>
      <c r="AC726" t="n">
        <v>56.44921</v>
      </c>
      <c r="AD726" t="n">
        <v>75.34589</v>
      </c>
      <c r="AE726" t="n">
        <v>73.22084</v>
      </c>
    </row>
    <row r="727">
      <c r="A727" s="90" t="n">
        <v>40695</v>
      </c>
      <c r="B727" t="n">
        <v>75.40098999999999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59.29404</v>
      </c>
      <c r="I727" t="n">
        <v>68.59097</v>
      </c>
      <c r="J727" t="n">
        <v>79.34805</v>
      </c>
      <c r="K727" t="n">
        <v>75.7316</v>
      </c>
      <c r="L727" t="n">
        <v>88.63485</v>
      </c>
      <c r="M727" t="n">
        <v>99.03059</v>
      </c>
      <c r="N727" t="n">
        <v>88.06113999999999</v>
      </c>
      <c r="O727" t="n">
        <v>57.7276</v>
      </c>
      <c r="P727" t="n">
        <v>61.4224</v>
      </c>
      <c r="Q727" t="n">
        <v>85.61903</v>
      </c>
      <c r="R727" t="n">
        <v>69.97123999999999</v>
      </c>
      <c r="S727" t="n">
        <v>89.89958</v>
      </c>
      <c r="T727" t="n">
        <v>73.31585</v>
      </c>
      <c r="U727" t="n">
        <v>60.27434</v>
      </c>
      <c r="V727" t="n">
        <v>81.92824</v>
      </c>
      <c r="W727" t="n">
        <v>73.33646</v>
      </c>
      <c r="X727" t="n">
        <v>76.43253</v>
      </c>
      <c r="Y727" t="n">
        <v>78.72445999999999</v>
      </c>
      <c r="Z727" t="n">
        <v>73.48196</v>
      </c>
      <c r="AA727" t="n">
        <v>53.88717</v>
      </c>
      <c r="AB727" t="n">
        <v>81.7954</v>
      </c>
      <c r="AC727" t="n">
        <v>57.24609</v>
      </c>
      <c r="AD727" t="n">
        <v>75.97269</v>
      </c>
      <c r="AE727" t="n">
        <v>73.67346000000001</v>
      </c>
    </row>
    <row r="728">
      <c r="A728" s="90" t="n">
        <v>40725</v>
      </c>
      <c r="B728" t="n">
        <v>75.53827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59.77977</v>
      </c>
      <c r="I728" t="n">
        <v>68.56579000000001</v>
      </c>
      <c r="J728" t="n">
        <v>79.31386000000001</v>
      </c>
      <c r="K728" t="n">
        <v>76.34726999999999</v>
      </c>
      <c r="L728" t="n">
        <v>88.7002</v>
      </c>
      <c r="M728" t="n">
        <v>98.62904</v>
      </c>
      <c r="N728" t="n">
        <v>88.71212</v>
      </c>
      <c r="O728" t="n">
        <v>58.60151</v>
      </c>
      <c r="P728" t="n">
        <v>62.20903</v>
      </c>
      <c r="Q728" t="n">
        <v>86.24661</v>
      </c>
      <c r="R728" t="n">
        <v>70.68922000000001</v>
      </c>
      <c r="S728" t="n">
        <v>90.11855</v>
      </c>
      <c r="T728" t="n">
        <v>73.91083999999999</v>
      </c>
      <c r="U728" t="n">
        <v>61.06907</v>
      </c>
      <c r="V728" t="n">
        <v>81.94293999999999</v>
      </c>
      <c r="W728" t="n">
        <v>73.71680000000001</v>
      </c>
      <c r="X728" t="n">
        <v>77.27386</v>
      </c>
      <c r="Y728" t="n">
        <v>78.98902</v>
      </c>
      <c r="Z728" t="n">
        <v>73.92207000000001</v>
      </c>
      <c r="AA728" t="n">
        <v>54.55669</v>
      </c>
      <c r="AB728" t="n">
        <v>82.35326000000001</v>
      </c>
      <c r="AC728" t="n">
        <v>57.99232</v>
      </c>
      <c r="AD728" t="n">
        <v>77.34753000000001</v>
      </c>
      <c r="AE728" t="n">
        <v>74.13869</v>
      </c>
    </row>
    <row r="729">
      <c r="A729" s="90" t="n">
        <v>40756</v>
      </c>
      <c r="B729" t="n">
        <v>76.37316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60.89499</v>
      </c>
      <c r="I729" t="n">
        <v>69.05620999999999</v>
      </c>
      <c r="J729" t="n">
        <v>79.57523999999999</v>
      </c>
      <c r="K729" t="n">
        <v>76.93174</v>
      </c>
      <c r="L729" t="n">
        <v>88.89707</v>
      </c>
      <c r="M729" t="n">
        <v>98.55495999999999</v>
      </c>
      <c r="N729" t="n">
        <v>89.48130999999999</v>
      </c>
      <c r="O729" t="n">
        <v>59.96376</v>
      </c>
      <c r="P729" t="n">
        <v>63.00852</v>
      </c>
      <c r="Q729" t="n">
        <v>87.04745</v>
      </c>
      <c r="R729" t="n">
        <v>71.86793</v>
      </c>
      <c r="S729" t="n">
        <v>90.18895999999999</v>
      </c>
      <c r="T729" t="n">
        <v>74.52354</v>
      </c>
      <c r="U729" t="n">
        <v>62.41095</v>
      </c>
      <c r="V729" t="n">
        <v>82.44652000000001</v>
      </c>
      <c r="W729" t="n">
        <v>73.5637</v>
      </c>
      <c r="X729" t="n">
        <v>78.36378000000001</v>
      </c>
      <c r="Y729" t="n">
        <v>79.59148</v>
      </c>
      <c r="Z729" t="n">
        <v>74.76437</v>
      </c>
      <c r="AA729" t="n">
        <v>55.31803</v>
      </c>
      <c r="AB729" t="n">
        <v>83.02489</v>
      </c>
      <c r="AC729" t="n">
        <v>59.05373</v>
      </c>
      <c r="AD729" t="n">
        <v>78.93324</v>
      </c>
      <c r="AE729" t="n">
        <v>74.51711</v>
      </c>
    </row>
    <row r="730">
      <c r="A730" s="90" t="n">
        <v>40787</v>
      </c>
      <c r="B730" t="n">
        <v>77.24448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62.10905</v>
      </c>
      <c r="I730" t="n">
        <v>69.36169</v>
      </c>
      <c r="J730" t="n">
        <v>79.90622999999999</v>
      </c>
      <c r="K730" t="n">
        <v>79.09152</v>
      </c>
      <c r="L730" t="n">
        <v>89.18055</v>
      </c>
      <c r="M730" t="n">
        <v>98.65054000000001</v>
      </c>
      <c r="N730" t="n">
        <v>90.90701</v>
      </c>
      <c r="O730" t="n">
        <v>60.70778</v>
      </c>
      <c r="P730" t="n">
        <v>63.65287</v>
      </c>
      <c r="Q730" t="n">
        <v>87.82154</v>
      </c>
      <c r="R730" t="n">
        <v>73.2028</v>
      </c>
      <c r="S730" t="n">
        <v>90.38104</v>
      </c>
      <c r="T730" t="n">
        <v>75.00078000000001</v>
      </c>
      <c r="U730" t="n">
        <v>63.70923</v>
      </c>
      <c r="V730" t="n">
        <v>83.23323000000001</v>
      </c>
      <c r="W730" t="n">
        <v>73.47382</v>
      </c>
      <c r="X730" t="n">
        <v>78.82804</v>
      </c>
      <c r="Y730" t="n">
        <v>80.29474</v>
      </c>
      <c r="Z730" t="n">
        <v>76.12429</v>
      </c>
      <c r="AA730" t="n">
        <v>56.22539</v>
      </c>
      <c r="AB730" t="n">
        <v>84.50314</v>
      </c>
      <c r="AC730" t="n">
        <v>59.57923</v>
      </c>
      <c r="AD730" t="n">
        <v>79.10509</v>
      </c>
      <c r="AE730" t="n">
        <v>75.23278000000001</v>
      </c>
    </row>
    <row r="731">
      <c r="A731" s="90" t="n">
        <v>40817</v>
      </c>
      <c r="B731" t="n">
        <v>77.72356000000001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62.60816</v>
      </c>
      <c r="I731" t="n">
        <v>70.03716</v>
      </c>
      <c r="J731" t="n">
        <v>80.45395000000001</v>
      </c>
      <c r="K731" t="n">
        <v>79.44762</v>
      </c>
      <c r="L731" t="n">
        <v>89.13708</v>
      </c>
      <c r="M731" t="n">
        <v>98.04727</v>
      </c>
      <c r="N731" t="n">
        <v>92.35527999999999</v>
      </c>
      <c r="O731" t="n">
        <v>61.28997</v>
      </c>
      <c r="P731" t="n">
        <v>64.26879</v>
      </c>
      <c r="Q731" t="n">
        <v>88.46034</v>
      </c>
      <c r="R731" t="n">
        <v>73.84614999999999</v>
      </c>
      <c r="S731" t="n">
        <v>90.57961</v>
      </c>
      <c r="T731" t="n">
        <v>75.57868999999999</v>
      </c>
      <c r="U731" t="n">
        <v>64.33879</v>
      </c>
      <c r="V731" t="n">
        <v>84.11108</v>
      </c>
      <c r="W731" t="n">
        <v>74.19101999999999</v>
      </c>
      <c r="X731" t="n">
        <v>79.12417000000001</v>
      </c>
      <c r="Y731" t="n">
        <v>80.40085999999999</v>
      </c>
      <c r="Z731" t="n">
        <v>77.10892</v>
      </c>
      <c r="AA731" t="n">
        <v>57.69751</v>
      </c>
      <c r="AB731" t="n">
        <v>85.23772</v>
      </c>
      <c r="AC731" t="n">
        <v>59.39506</v>
      </c>
      <c r="AD731" t="n">
        <v>79.3857</v>
      </c>
      <c r="AE731" t="n">
        <v>76.3271</v>
      </c>
    </row>
    <row r="732">
      <c r="A732" s="90" t="n">
        <v>40848</v>
      </c>
      <c r="B732" t="n">
        <v>78.06536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63.65227</v>
      </c>
      <c r="I732" t="n">
        <v>70.82337</v>
      </c>
      <c r="J732" t="n">
        <v>80.84435000000001</v>
      </c>
      <c r="K732" t="n">
        <v>79.29254</v>
      </c>
      <c r="L732" t="n">
        <v>89.05396</v>
      </c>
      <c r="M732" t="n">
        <v>97.2961</v>
      </c>
      <c r="N732" t="n">
        <v>92.57356</v>
      </c>
      <c r="O732" t="n">
        <v>62.23756</v>
      </c>
      <c r="P732" t="n">
        <v>64.91753</v>
      </c>
      <c r="Q732" t="n">
        <v>89.09663999999999</v>
      </c>
      <c r="R732" t="n">
        <v>74.14798</v>
      </c>
      <c r="S732" t="n">
        <v>90.75270999999999</v>
      </c>
      <c r="T732" t="n">
        <v>75.99449</v>
      </c>
      <c r="U732" t="n">
        <v>64.89573</v>
      </c>
      <c r="V732" t="n">
        <v>84.40918000000001</v>
      </c>
      <c r="W732" t="n">
        <v>75.15755</v>
      </c>
      <c r="X732" t="n">
        <v>79.47615999999999</v>
      </c>
      <c r="Y732" t="n">
        <v>80.42601999999999</v>
      </c>
      <c r="Z732" t="n">
        <v>78.11331</v>
      </c>
      <c r="AA732" t="n">
        <v>59.65435</v>
      </c>
      <c r="AB732" t="n">
        <v>85.40746</v>
      </c>
      <c r="AC732" t="n">
        <v>59.53266</v>
      </c>
      <c r="AD732" t="n">
        <v>79.80495000000001</v>
      </c>
      <c r="AE732" t="n">
        <v>77.41636</v>
      </c>
    </row>
    <row r="733">
      <c r="A733" s="90" t="n">
        <v>40878</v>
      </c>
      <c r="B733" t="n">
        <v>78.51922999999999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64.87759</v>
      </c>
      <c r="I733" t="n">
        <v>71.43483999999999</v>
      </c>
      <c r="J733" t="n">
        <v>81.92083</v>
      </c>
      <c r="K733" t="n">
        <v>81.76866</v>
      </c>
      <c r="L733" t="n">
        <v>89.51667999999999</v>
      </c>
      <c r="M733" t="n">
        <v>96.45759</v>
      </c>
      <c r="N733" t="n">
        <v>92.18149</v>
      </c>
      <c r="O733" t="n">
        <v>63.49059</v>
      </c>
      <c r="P733" t="n">
        <v>66.11778</v>
      </c>
      <c r="Q733" t="n">
        <v>89.76569000000001</v>
      </c>
      <c r="R733" t="n">
        <v>75.11960999999999</v>
      </c>
      <c r="S733" t="n">
        <v>90.8215</v>
      </c>
      <c r="T733" t="n">
        <v>76.12029</v>
      </c>
      <c r="U733" t="n">
        <v>65.93689999999999</v>
      </c>
      <c r="V733" t="n">
        <v>84.41723</v>
      </c>
      <c r="W733" t="n">
        <v>75.62839</v>
      </c>
      <c r="X733" t="n">
        <v>79.86893000000001</v>
      </c>
      <c r="Y733" t="n">
        <v>80.64798999999999</v>
      </c>
      <c r="Z733" t="n">
        <v>79.38422</v>
      </c>
      <c r="AA733" t="n">
        <v>60.3509</v>
      </c>
      <c r="AB733" t="n">
        <v>85.87872</v>
      </c>
      <c r="AC733" t="n">
        <v>59.89473</v>
      </c>
      <c r="AD733" t="n">
        <v>80.19929999999999</v>
      </c>
      <c r="AE733" t="n">
        <v>78.47779</v>
      </c>
    </row>
    <row r="734">
      <c r="A734" s="90" t="n">
        <v>40909</v>
      </c>
      <c r="B734" t="n">
        <v>79.09917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65.63503</v>
      </c>
      <c r="I734" t="n">
        <v>71.90819</v>
      </c>
      <c r="J734" t="n">
        <v>82.56328000000001</v>
      </c>
      <c r="K734" t="n">
        <v>84.16491000000001</v>
      </c>
      <c r="L734" t="n">
        <v>89.73793999999999</v>
      </c>
      <c r="M734" t="n">
        <v>96.28805</v>
      </c>
      <c r="N734" t="n">
        <v>90.45976</v>
      </c>
      <c r="O734" t="n">
        <v>64.91365999999999</v>
      </c>
      <c r="P734" t="n">
        <v>66.79622999999999</v>
      </c>
      <c r="Q734" t="n">
        <v>90.31177</v>
      </c>
      <c r="R734" t="n">
        <v>76.01151</v>
      </c>
      <c r="S734" t="n">
        <v>90.98779</v>
      </c>
      <c r="T734" t="n">
        <v>76.37707</v>
      </c>
      <c r="U734" t="n">
        <v>67.23895</v>
      </c>
      <c r="V734" t="n">
        <v>84.64346</v>
      </c>
      <c r="W734" t="n">
        <v>75.87799</v>
      </c>
      <c r="X734" t="n">
        <v>80.40546999999999</v>
      </c>
      <c r="Y734" t="n">
        <v>80.89516</v>
      </c>
      <c r="Z734" t="n">
        <v>80.27134</v>
      </c>
      <c r="AA734" t="n">
        <v>60.70028</v>
      </c>
      <c r="AB734" t="n">
        <v>87.25421</v>
      </c>
      <c r="AC734" t="n">
        <v>59.84365</v>
      </c>
      <c r="AD734" t="n">
        <v>80.80701999999999</v>
      </c>
      <c r="AE734" t="n">
        <v>78.91289999999999</v>
      </c>
    </row>
    <row r="735">
      <c r="A735" s="90" t="n">
        <v>40940</v>
      </c>
      <c r="B735" t="n">
        <v>79.58946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66.27858999999999</v>
      </c>
      <c r="I735" t="n">
        <v>72.4117</v>
      </c>
      <c r="J735" t="n">
        <v>82.83096</v>
      </c>
      <c r="K735" t="n">
        <v>86.09287</v>
      </c>
      <c r="L735" t="n">
        <v>89.59878</v>
      </c>
      <c r="M735" t="n">
        <v>96.25233</v>
      </c>
      <c r="N735" t="n">
        <v>88.76965</v>
      </c>
      <c r="O735" t="n">
        <v>65.89452</v>
      </c>
      <c r="P735" t="n">
        <v>66.89743</v>
      </c>
      <c r="Q735" t="n">
        <v>90.6636</v>
      </c>
      <c r="R735" t="n">
        <v>76.51718</v>
      </c>
      <c r="S735" t="n">
        <v>91.11139</v>
      </c>
      <c r="T735" t="n">
        <v>76.9727</v>
      </c>
      <c r="U735" t="n">
        <v>68.11811</v>
      </c>
      <c r="V735" t="n">
        <v>85.24329</v>
      </c>
      <c r="W735" t="n">
        <v>76.2486</v>
      </c>
      <c r="X735" t="n">
        <v>80.78525</v>
      </c>
      <c r="Y735" t="n">
        <v>81.05579</v>
      </c>
      <c r="Z735" t="n">
        <v>80.51809</v>
      </c>
      <c r="AA735" t="n">
        <v>61.54898</v>
      </c>
      <c r="AB735" t="n">
        <v>88.35012999999999</v>
      </c>
      <c r="AC735" t="n">
        <v>59.86065</v>
      </c>
      <c r="AD735" t="n">
        <v>81.24205000000001</v>
      </c>
      <c r="AE735" t="n">
        <v>78.76202000000001</v>
      </c>
    </row>
    <row r="736">
      <c r="A736" s="90" t="n">
        <v>40969</v>
      </c>
      <c r="B736" t="n">
        <v>80.06294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66.96593</v>
      </c>
      <c r="I736" t="n">
        <v>73.10908999999999</v>
      </c>
      <c r="J736" t="n">
        <v>83.13419</v>
      </c>
      <c r="K736" t="n">
        <v>87.40134</v>
      </c>
      <c r="L736" t="n">
        <v>90.12021</v>
      </c>
      <c r="M736" t="n">
        <v>95.75426</v>
      </c>
      <c r="N736" t="n">
        <v>88.32777</v>
      </c>
      <c r="O736" t="n">
        <v>66.83452</v>
      </c>
      <c r="P736" t="n">
        <v>67.42928000000001</v>
      </c>
      <c r="Q736" t="n">
        <v>90.82443000000001</v>
      </c>
      <c r="R736" t="n">
        <v>76.98918</v>
      </c>
      <c r="S736" t="n">
        <v>91.34921</v>
      </c>
      <c r="T736" t="n">
        <v>78.09292000000001</v>
      </c>
      <c r="U736" t="n">
        <v>69.25505</v>
      </c>
      <c r="V736" t="n">
        <v>85.86399</v>
      </c>
      <c r="W736" t="n">
        <v>76.81478</v>
      </c>
      <c r="X736" t="n">
        <v>81.2</v>
      </c>
      <c r="Y736" t="n">
        <v>81.15143</v>
      </c>
      <c r="Z736" t="n">
        <v>80.39945</v>
      </c>
      <c r="AA736" t="n">
        <v>61.96489</v>
      </c>
      <c r="AB736" t="n">
        <v>88.59372999999999</v>
      </c>
      <c r="AC736" t="n">
        <v>60.38867</v>
      </c>
      <c r="AD736" t="n">
        <v>81.61481000000001</v>
      </c>
      <c r="AE736" t="n">
        <v>78.41434</v>
      </c>
    </row>
    <row r="737">
      <c r="A737" s="90" t="n">
        <v>41000</v>
      </c>
      <c r="B737" t="n">
        <v>80.48599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67.69123</v>
      </c>
      <c r="I737" t="n">
        <v>73.66956</v>
      </c>
      <c r="J737" t="n">
        <v>83.37272</v>
      </c>
      <c r="K737" t="n">
        <v>88.92050999999999</v>
      </c>
      <c r="L737" t="n">
        <v>90.60513</v>
      </c>
      <c r="M737" t="n">
        <v>96.11611000000001</v>
      </c>
      <c r="N737" t="n">
        <v>87.70336</v>
      </c>
      <c r="O737" t="n">
        <v>67.8466</v>
      </c>
      <c r="P737" t="n">
        <v>68.09089</v>
      </c>
      <c r="Q737" t="n">
        <v>88.87139999999999</v>
      </c>
      <c r="R737" t="n">
        <v>77.33846</v>
      </c>
      <c r="S737" t="n">
        <v>91.48099999999999</v>
      </c>
      <c r="T737" t="n">
        <v>78.86241</v>
      </c>
      <c r="U737" t="n">
        <v>70.31932</v>
      </c>
      <c r="V737" t="n">
        <v>86.13030999999999</v>
      </c>
      <c r="W737" t="n">
        <v>77.51759</v>
      </c>
      <c r="X737" t="n">
        <v>81.67649</v>
      </c>
      <c r="Y737" t="n">
        <v>81.58401000000001</v>
      </c>
      <c r="Z737" t="n">
        <v>80.51199</v>
      </c>
      <c r="AA737" t="n">
        <v>62.65391</v>
      </c>
      <c r="AB737" t="n">
        <v>88.72282</v>
      </c>
      <c r="AC737" t="n">
        <v>61.15369</v>
      </c>
      <c r="AD737" t="n">
        <v>82.06313</v>
      </c>
      <c r="AE737" t="n">
        <v>77.78928000000001</v>
      </c>
    </row>
    <row r="738">
      <c r="A738" s="90" t="n">
        <v>41030</v>
      </c>
      <c r="B738" t="n">
        <v>81.15559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68.55224</v>
      </c>
      <c r="I738" t="n">
        <v>74.04001</v>
      </c>
      <c r="J738" t="n">
        <v>84.00615999999999</v>
      </c>
      <c r="K738" t="n">
        <v>89.34407</v>
      </c>
      <c r="L738" t="n">
        <v>90.7966</v>
      </c>
      <c r="M738" t="n">
        <v>96.58226000000001</v>
      </c>
      <c r="N738" t="n">
        <v>87.68114</v>
      </c>
      <c r="O738" t="n">
        <v>68.89955999999999</v>
      </c>
      <c r="P738" t="n">
        <v>68.91785</v>
      </c>
      <c r="Q738" t="n">
        <v>86.73504</v>
      </c>
      <c r="R738" t="n">
        <v>77.7594</v>
      </c>
      <c r="S738" t="n">
        <v>91.53436000000001</v>
      </c>
      <c r="T738" t="n">
        <v>79.04953</v>
      </c>
      <c r="U738" t="n">
        <v>71.10778999999999</v>
      </c>
      <c r="V738" t="n">
        <v>85.73829000000001</v>
      </c>
      <c r="W738" t="n">
        <v>78.06555</v>
      </c>
      <c r="X738" t="n">
        <v>82.06458000000001</v>
      </c>
      <c r="Y738" t="n">
        <v>82.01115</v>
      </c>
      <c r="Z738" t="n">
        <v>81.05106000000001</v>
      </c>
      <c r="AA738" t="n">
        <v>63.50146</v>
      </c>
      <c r="AB738" t="n">
        <v>88.26324</v>
      </c>
      <c r="AC738" t="n">
        <v>61.8203</v>
      </c>
      <c r="AD738" t="n">
        <v>82.42677</v>
      </c>
      <c r="AE738" t="n">
        <v>77.79736</v>
      </c>
    </row>
    <row r="739">
      <c r="A739" s="90" t="n">
        <v>41061</v>
      </c>
      <c r="B739" t="n">
        <v>81.88683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69.03901999999999</v>
      </c>
      <c r="I739" t="n">
        <v>74.44096</v>
      </c>
      <c r="J739" t="n">
        <v>84.24619</v>
      </c>
      <c r="K739" t="n">
        <v>89.5087</v>
      </c>
      <c r="L739" t="n">
        <v>91.14915000000001</v>
      </c>
      <c r="M739" t="n">
        <v>96.59979</v>
      </c>
      <c r="N739" t="n">
        <v>88.20081</v>
      </c>
      <c r="O739" t="n">
        <v>69.80886</v>
      </c>
      <c r="P739" t="n">
        <v>70.32758</v>
      </c>
      <c r="Q739" t="n">
        <v>86.40366</v>
      </c>
      <c r="R739" t="n">
        <v>78.59963999999999</v>
      </c>
      <c r="S739" t="n">
        <v>91.65026</v>
      </c>
      <c r="T739" t="n">
        <v>79.50881</v>
      </c>
      <c r="U739" t="n">
        <v>72.50288</v>
      </c>
      <c r="V739" t="n">
        <v>85.98293</v>
      </c>
      <c r="W739" t="n">
        <v>78.53787</v>
      </c>
      <c r="X739" t="n">
        <v>82.59511000000001</v>
      </c>
      <c r="Y739" t="n">
        <v>82.37723</v>
      </c>
      <c r="Z739" t="n">
        <v>81.63194</v>
      </c>
      <c r="AA739" t="n">
        <v>64.40239</v>
      </c>
      <c r="AB739" t="n">
        <v>87.53909</v>
      </c>
      <c r="AC739" t="n">
        <v>62.51052</v>
      </c>
      <c r="AD739" t="n">
        <v>83.01539</v>
      </c>
      <c r="AE739" t="n">
        <v>78.61405999999999</v>
      </c>
    </row>
    <row r="740">
      <c r="A740" s="90" t="n">
        <v>41091</v>
      </c>
      <c r="B740" t="n">
        <v>82.30146999999999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69.11098</v>
      </c>
      <c r="I740" t="n">
        <v>74.85831</v>
      </c>
      <c r="J740" t="n">
        <v>84.402</v>
      </c>
      <c r="K740" t="n">
        <v>89.12922</v>
      </c>
      <c r="L740" t="n">
        <v>91.45948</v>
      </c>
      <c r="M740" t="n">
        <v>96.70954999999999</v>
      </c>
      <c r="N740" t="n">
        <v>87.88849999999999</v>
      </c>
      <c r="O740" t="n">
        <v>70.31336</v>
      </c>
      <c r="P740" t="n">
        <v>71.29208</v>
      </c>
      <c r="Q740" t="n">
        <v>85.98086000000001</v>
      </c>
      <c r="R740" t="n">
        <v>79.46352</v>
      </c>
      <c r="S740" t="n">
        <v>91.88831</v>
      </c>
      <c r="T740" t="n">
        <v>80.07464</v>
      </c>
      <c r="U740" t="n">
        <v>73.88387</v>
      </c>
      <c r="V740" t="n">
        <v>86.76743999999999</v>
      </c>
      <c r="W740" t="n">
        <v>79.46033</v>
      </c>
      <c r="X740" t="n">
        <v>83.05228</v>
      </c>
      <c r="Y740" t="n">
        <v>82.69463</v>
      </c>
      <c r="Z740" t="n">
        <v>82.02043</v>
      </c>
      <c r="AA740" t="n">
        <v>65.32652</v>
      </c>
      <c r="AB740" t="n">
        <v>87.2321</v>
      </c>
      <c r="AC740" t="n">
        <v>62.95073</v>
      </c>
      <c r="AD740" t="n">
        <v>83.45125</v>
      </c>
      <c r="AE740" t="n">
        <v>79.80647</v>
      </c>
    </row>
    <row r="741">
      <c r="A741" s="90" t="n">
        <v>41122</v>
      </c>
      <c r="B741" t="n">
        <v>82.79456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69.96504</v>
      </c>
      <c r="I741" t="n">
        <v>75.39185000000001</v>
      </c>
      <c r="J741" t="n">
        <v>84.52585000000001</v>
      </c>
      <c r="K741" t="n">
        <v>88.96509</v>
      </c>
      <c r="L741" t="n">
        <v>91.48078</v>
      </c>
      <c r="M741" t="n">
        <v>96.86232</v>
      </c>
      <c r="N741" t="n">
        <v>87.83728000000001</v>
      </c>
      <c r="O741" t="n">
        <v>71.00194999999999</v>
      </c>
      <c r="P741" t="n">
        <v>71.69177999999999</v>
      </c>
      <c r="Q741" t="n">
        <v>85.45679</v>
      </c>
      <c r="R741" t="n">
        <v>80.17439</v>
      </c>
      <c r="S741" t="n">
        <v>92.0843</v>
      </c>
      <c r="T741" t="n">
        <v>80.49618</v>
      </c>
      <c r="U741" t="n">
        <v>74.63194</v>
      </c>
      <c r="V741" t="n">
        <v>87.10258</v>
      </c>
      <c r="W741" t="n">
        <v>79.9567</v>
      </c>
      <c r="X741" t="n">
        <v>83.51819</v>
      </c>
      <c r="Y741" t="n">
        <v>83.01994000000001</v>
      </c>
      <c r="Z741" t="n">
        <v>82.52744</v>
      </c>
      <c r="AA741" t="n">
        <v>65.85423</v>
      </c>
      <c r="AB741" t="n">
        <v>87.51266</v>
      </c>
      <c r="AC741" t="n">
        <v>63.36629</v>
      </c>
      <c r="AD741" t="n">
        <v>84.02824</v>
      </c>
      <c r="AE741" t="n">
        <v>80.56027</v>
      </c>
    </row>
    <row r="742">
      <c r="A742" s="90" t="n">
        <v>41153</v>
      </c>
      <c r="B742" t="n">
        <v>83.24843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71.61646</v>
      </c>
      <c r="I742" t="n">
        <v>76.6494</v>
      </c>
      <c r="J742" t="n">
        <v>84.28344</v>
      </c>
      <c r="K742" t="n">
        <v>90.06131999999999</v>
      </c>
      <c r="L742" t="n">
        <v>91.42383</v>
      </c>
      <c r="M742" t="n">
        <v>96.92524</v>
      </c>
      <c r="N742" t="n">
        <v>88.21718</v>
      </c>
      <c r="O742" t="n">
        <v>71.67303</v>
      </c>
      <c r="P742" t="n">
        <v>72.33672</v>
      </c>
      <c r="Q742" t="n">
        <v>85.01085</v>
      </c>
      <c r="R742" t="n">
        <v>80.47414000000001</v>
      </c>
      <c r="S742" t="n">
        <v>92.26694999999999</v>
      </c>
      <c r="T742" t="n">
        <v>80.72293999999999</v>
      </c>
      <c r="U742" t="n">
        <v>75.41701</v>
      </c>
      <c r="V742" t="n">
        <v>87.63763</v>
      </c>
      <c r="W742" t="n">
        <v>79.97619</v>
      </c>
      <c r="X742" t="n">
        <v>84.04293</v>
      </c>
      <c r="Y742" t="n">
        <v>83.47332</v>
      </c>
      <c r="Z742" t="n">
        <v>82.72402</v>
      </c>
      <c r="AA742" t="n">
        <v>66.24970999999999</v>
      </c>
      <c r="AB742" t="n">
        <v>88.43702999999999</v>
      </c>
      <c r="AC742" t="n">
        <v>64.1832</v>
      </c>
      <c r="AD742" t="n">
        <v>84.68826</v>
      </c>
      <c r="AE742" t="n">
        <v>81.05913</v>
      </c>
    </row>
    <row r="743">
      <c r="A743" s="90" t="n">
        <v>41183</v>
      </c>
      <c r="B743" t="n">
        <v>83.60142999999999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72.84723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97.20126999999999</v>
      </c>
      <c r="N743" t="n">
        <v>88.82536</v>
      </c>
      <c r="O743" t="n">
        <v>72.45862</v>
      </c>
      <c r="P743" t="n">
        <v>72.80526</v>
      </c>
      <c r="Q743" t="n">
        <v>84.74043</v>
      </c>
      <c r="R743" t="n">
        <v>80.46093999999999</v>
      </c>
      <c r="S743" t="n">
        <v>92.36005</v>
      </c>
      <c r="T743" t="n">
        <v>81.08604</v>
      </c>
      <c r="U743" t="n">
        <v>76.16461</v>
      </c>
      <c r="V743" t="n">
        <v>87.97114000000001</v>
      </c>
      <c r="W743" t="n">
        <v>80.31755</v>
      </c>
      <c r="X743" t="n">
        <v>84.52252</v>
      </c>
      <c r="Y743" t="n">
        <v>83.91661999999999</v>
      </c>
      <c r="Z743" t="n">
        <v>83.04114</v>
      </c>
      <c r="AA743" t="n">
        <v>66.88030000000001</v>
      </c>
      <c r="AB743" t="n">
        <v>88.61036</v>
      </c>
      <c r="AC743" t="n">
        <v>65.1343</v>
      </c>
      <c r="AD743" t="n">
        <v>85.24036</v>
      </c>
      <c r="AE743" t="n">
        <v>81.40819999999999</v>
      </c>
    </row>
    <row r="744">
      <c r="A744" s="90" t="n">
        <v>41214</v>
      </c>
      <c r="B744" t="n">
        <v>83.92643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73.38943</v>
      </c>
      <c r="I744" t="n">
        <v>77.55309</v>
      </c>
      <c r="J744" t="n">
        <v>85.26009000000001</v>
      </c>
      <c r="K744" t="n">
        <v>84.88836999999999</v>
      </c>
      <c r="L744" t="n">
        <v>92.01973</v>
      </c>
      <c r="M744" t="n">
        <v>97.0736</v>
      </c>
      <c r="N744" t="n">
        <v>88.83692000000001</v>
      </c>
      <c r="O744" t="n">
        <v>73.42202</v>
      </c>
      <c r="P744" t="n">
        <v>73.48820000000001</v>
      </c>
      <c r="Q744" t="n">
        <v>84.57143000000001</v>
      </c>
      <c r="R744" t="n">
        <v>80.56365</v>
      </c>
      <c r="S744" t="n">
        <v>92.39689</v>
      </c>
      <c r="T744" t="n">
        <v>81.59157999999999</v>
      </c>
      <c r="U744" t="n">
        <v>76.85172</v>
      </c>
      <c r="V744" t="n">
        <v>88.40260000000001</v>
      </c>
      <c r="W744" t="n">
        <v>80.93376000000001</v>
      </c>
      <c r="X744" t="n">
        <v>84.92834999999999</v>
      </c>
      <c r="Y744" t="n">
        <v>84.04703000000001</v>
      </c>
      <c r="Z744" t="n">
        <v>83.37549</v>
      </c>
      <c r="AA744" t="n">
        <v>67.79165</v>
      </c>
      <c r="AB744" t="n">
        <v>88.18549</v>
      </c>
      <c r="AC744" t="n">
        <v>65.77866</v>
      </c>
      <c r="AD744" t="n">
        <v>85.82398999999999</v>
      </c>
      <c r="AE744" t="n">
        <v>82.08047000000001</v>
      </c>
    </row>
    <row r="745">
      <c r="A745" s="90" t="n">
        <v>41244</v>
      </c>
      <c r="B745" t="n">
        <v>84.28784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74.64729</v>
      </c>
      <c r="I745" t="n">
        <v>78.27901</v>
      </c>
      <c r="J745" t="n">
        <v>85.96889</v>
      </c>
      <c r="K745" t="n">
        <v>84.08908</v>
      </c>
      <c r="L745" t="n">
        <v>92.27061999999999</v>
      </c>
      <c r="M745" t="n">
        <v>97.64324000000001</v>
      </c>
      <c r="N745" t="n">
        <v>88.52829</v>
      </c>
      <c r="O745" t="n">
        <v>73.95171000000001</v>
      </c>
      <c r="P745" t="n">
        <v>74.17709000000001</v>
      </c>
      <c r="Q745" t="n">
        <v>84.50312</v>
      </c>
      <c r="R745" t="n">
        <v>80.52431</v>
      </c>
      <c r="S745" t="n">
        <v>92.77562</v>
      </c>
      <c r="T745" t="n">
        <v>82.10718</v>
      </c>
      <c r="U745" t="n">
        <v>77.70562</v>
      </c>
      <c r="V745" t="n">
        <v>88.50623</v>
      </c>
      <c r="W745" t="n">
        <v>81.97331</v>
      </c>
      <c r="X745" t="n">
        <v>85.64784</v>
      </c>
      <c r="Y745" t="n">
        <v>84.41141</v>
      </c>
      <c r="Z745" t="n">
        <v>83.41615</v>
      </c>
      <c r="AA745" t="n">
        <v>68.2546</v>
      </c>
      <c r="AB745" t="n">
        <v>88.6028</v>
      </c>
      <c r="AC745" t="n">
        <v>66.17831</v>
      </c>
      <c r="AD745" t="n">
        <v>86.83768000000001</v>
      </c>
      <c r="AE745" t="n">
        <v>82.97806</v>
      </c>
    </row>
    <row r="746">
      <c r="A746" s="90" t="n">
        <v>41275</v>
      </c>
      <c r="B746" t="n">
        <v>84.82016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75.81787</v>
      </c>
      <c r="I746" t="n">
        <v>78.93903</v>
      </c>
      <c r="J746" t="n">
        <v>86.49627</v>
      </c>
      <c r="K746" t="n">
        <v>80.80392999999999</v>
      </c>
      <c r="L746" t="n">
        <v>92.21375</v>
      </c>
      <c r="M746" t="n">
        <v>98.98918999999999</v>
      </c>
      <c r="N746" t="n">
        <v>89.23398</v>
      </c>
      <c r="O746" t="n">
        <v>74.59144999999999</v>
      </c>
      <c r="P746" t="n">
        <v>74.86604</v>
      </c>
      <c r="Q746" t="n">
        <v>84.52992999999999</v>
      </c>
      <c r="R746" t="n">
        <v>80.54807</v>
      </c>
      <c r="S746" t="n">
        <v>93.01846</v>
      </c>
      <c r="T746" t="n">
        <v>82.56167000000001</v>
      </c>
      <c r="U746" t="n">
        <v>78.7556</v>
      </c>
      <c r="V746" t="n">
        <v>88.53660000000001</v>
      </c>
      <c r="W746" t="n">
        <v>82.80458</v>
      </c>
      <c r="X746" t="n">
        <v>86.04130000000001</v>
      </c>
      <c r="Y746" t="n">
        <v>85.09753000000001</v>
      </c>
      <c r="Z746" t="n">
        <v>83.88326000000001</v>
      </c>
      <c r="AA746" t="n">
        <v>68.7764</v>
      </c>
      <c r="AB746" t="n">
        <v>89.10365</v>
      </c>
      <c r="AC746" t="n">
        <v>66.96716000000001</v>
      </c>
      <c r="AD746" t="n">
        <v>87.00206</v>
      </c>
      <c r="AE746" t="n">
        <v>83.57634</v>
      </c>
    </row>
    <row r="747">
      <c r="A747" s="90" t="n">
        <v>41306</v>
      </c>
      <c r="B747" t="n">
        <v>85.19558000000001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76.30132</v>
      </c>
      <c r="I747" t="n">
        <v>78.84971</v>
      </c>
      <c r="J747" t="n">
        <v>86.72216</v>
      </c>
      <c r="K747" t="n">
        <v>76.57006</v>
      </c>
      <c r="L747" t="n">
        <v>91.96127</v>
      </c>
      <c r="M747" t="n">
        <v>99.72629000000001</v>
      </c>
      <c r="N747" t="n">
        <v>90.4409</v>
      </c>
      <c r="O747" t="n">
        <v>75.65025</v>
      </c>
      <c r="P747" t="n">
        <v>75.50530999999999</v>
      </c>
      <c r="Q747" t="n">
        <v>84.60297</v>
      </c>
      <c r="R747" t="n">
        <v>80.66862999999999</v>
      </c>
      <c r="S747" t="n">
        <v>93.31528</v>
      </c>
      <c r="T747" t="n">
        <v>83.07803</v>
      </c>
      <c r="U747" t="n">
        <v>79.49027</v>
      </c>
      <c r="V747" t="n">
        <v>88.91455000000001</v>
      </c>
      <c r="W747" t="n">
        <v>83.39748</v>
      </c>
      <c r="X747" t="n">
        <v>86.31607</v>
      </c>
      <c r="Y747" t="n">
        <v>85.57778</v>
      </c>
      <c r="Z747" t="n">
        <v>84.59865000000001</v>
      </c>
      <c r="AA747" t="n">
        <v>69.68101</v>
      </c>
      <c r="AB747" t="n">
        <v>89.14943</v>
      </c>
      <c r="AC747" t="n">
        <v>67.82664</v>
      </c>
      <c r="AD747" t="n">
        <v>87.02282</v>
      </c>
      <c r="AE747" t="n">
        <v>84.28361</v>
      </c>
    </row>
    <row r="748">
      <c r="A748" s="90" t="n">
        <v>41334</v>
      </c>
      <c r="B748" t="n">
        <v>85.58781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77.53489999999999</v>
      </c>
      <c r="I748" t="n">
        <v>79.03053</v>
      </c>
      <c r="J748" t="n">
        <v>87.02673</v>
      </c>
      <c r="K748" t="n">
        <v>75.79485</v>
      </c>
      <c r="L748" t="n">
        <v>92.22490999999999</v>
      </c>
      <c r="M748" t="n">
        <v>99.95094</v>
      </c>
      <c r="N748" t="n">
        <v>92.13078</v>
      </c>
      <c r="O748" t="n">
        <v>76.57335</v>
      </c>
      <c r="P748" t="n">
        <v>76.46850000000001</v>
      </c>
      <c r="Q748" t="n">
        <v>84.74718</v>
      </c>
      <c r="R748" t="n">
        <v>81.34851</v>
      </c>
      <c r="S748" t="n">
        <v>93.63892</v>
      </c>
      <c r="T748" t="n">
        <v>83.66037</v>
      </c>
      <c r="U748" t="n">
        <v>80.50002000000001</v>
      </c>
      <c r="V748" t="n">
        <v>89.16238</v>
      </c>
      <c r="W748" t="n">
        <v>84.03014</v>
      </c>
      <c r="X748" t="n">
        <v>86.86721</v>
      </c>
      <c r="Y748" t="n">
        <v>86.07013999999999</v>
      </c>
      <c r="Z748" t="n">
        <v>85.35046</v>
      </c>
      <c r="AA748" t="n">
        <v>70.73891</v>
      </c>
      <c r="AB748" t="n">
        <v>89.34601000000001</v>
      </c>
      <c r="AC748" t="n">
        <v>68.66079999999999</v>
      </c>
      <c r="AD748" t="n">
        <v>87.58736</v>
      </c>
      <c r="AE748" t="n">
        <v>84.48284</v>
      </c>
    </row>
    <row r="749">
      <c r="A749" s="90" t="n">
        <v>41365</v>
      </c>
      <c r="B749" t="n">
        <v>86.22939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78.74972</v>
      </c>
      <c r="I749" t="n">
        <v>79.85777</v>
      </c>
      <c r="J749" t="n">
        <v>87.29488000000001</v>
      </c>
      <c r="K749" t="n">
        <v>74.7774</v>
      </c>
      <c r="L749" t="n">
        <v>92.68789</v>
      </c>
      <c r="M749" t="n">
        <v>100.1502</v>
      </c>
      <c r="N749" t="n">
        <v>92.98969</v>
      </c>
      <c r="O749" t="n">
        <v>77.55507</v>
      </c>
      <c r="P749" t="n">
        <v>77.27903999999999</v>
      </c>
      <c r="Q749" t="n">
        <v>84.97607000000001</v>
      </c>
      <c r="R749" t="n">
        <v>82.57755</v>
      </c>
      <c r="S749" t="n">
        <v>93.84923000000001</v>
      </c>
      <c r="T749" t="n">
        <v>84.17816000000001</v>
      </c>
      <c r="U749" t="n">
        <v>81.53625</v>
      </c>
      <c r="V749" t="n">
        <v>89.54102</v>
      </c>
      <c r="W749" t="n">
        <v>84.39964000000001</v>
      </c>
      <c r="X749" t="n">
        <v>87.30826999999999</v>
      </c>
      <c r="Y749" t="n">
        <v>86.57487</v>
      </c>
      <c r="Z749" t="n">
        <v>86.14792</v>
      </c>
      <c r="AA749" t="n">
        <v>72.38599000000001</v>
      </c>
      <c r="AB749" t="n">
        <v>89.46212</v>
      </c>
      <c r="AC749" t="n">
        <v>69.63083</v>
      </c>
      <c r="AD749" t="n">
        <v>87.88540999999999</v>
      </c>
      <c r="AE749" t="n">
        <v>84.79264000000001</v>
      </c>
    </row>
    <row r="750">
      <c r="A750" s="90" t="n">
        <v>41395</v>
      </c>
      <c r="B750" t="n">
        <v>87.00825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79.65103000000001</v>
      </c>
      <c r="I750" t="n">
        <v>80.64978000000001</v>
      </c>
      <c r="J750" t="n">
        <v>87.51375</v>
      </c>
      <c r="K750" t="n">
        <v>73.7961</v>
      </c>
      <c r="L750" t="n">
        <v>92.92949</v>
      </c>
      <c r="M750" t="n">
        <v>100.6358</v>
      </c>
      <c r="N750" t="n">
        <v>92.62003</v>
      </c>
      <c r="O750" t="n">
        <v>78.809</v>
      </c>
      <c r="P750" t="n">
        <v>78.24915</v>
      </c>
      <c r="Q750" t="n">
        <v>85.24466</v>
      </c>
      <c r="R750" t="n">
        <v>83.55458</v>
      </c>
      <c r="S750" t="n">
        <v>94.11982999999999</v>
      </c>
      <c r="T750" t="n">
        <v>84.55385</v>
      </c>
      <c r="U750" t="n">
        <v>81.94837</v>
      </c>
      <c r="V750" t="n">
        <v>90.07943</v>
      </c>
      <c r="W750" t="n">
        <v>85.0979</v>
      </c>
      <c r="X750" t="n">
        <v>87.74812</v>
      </c>
      <c r="Y750" t="n">
        <v>87.17313</v>
      </c>
      <c r="Z750" t="n">
        <v>86.69123</v>
      </c>
      <c r="AA750" t="n">
        <v>73.88791999999999</v>
      </c>
      <c r="AB750" t="n">
        <v>89.72333999999999</v>
      </c>
      <c r="AC750" t="n">
        <v>70.86833</v>
      </c>
      <c r="AD750" t="n">
        <v>88.23659000000001</v>
      </c>
      <c r="AE750" t="n">
        <v>85.44537</v>
      </c>
    </row>
    <row r="751">
      <c r="A751" s="90" t="n">
        <v>41426</v>
      </c>
      <c r="B751" t="n">
        <v>87.47333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80.81780999999999</v>
      </c>
      <c r="I751" t="n">
        <v>81.76622</v>
      </c>
      <c r="J751" t="n">
        <v>87.48614000000001</v>
      </c>
      <c r="K751" t="n">
        <v>73.85035000000001</v>
      </c>
      <c r="L751" t="n">
        <v>92.90137</v>
      </c>
      <c r="M751" t="n">
        <v>101.1915</v>
      </c>
      <c r="N751" t="n">
        <v>92.34918999999999</v>
      </c>
      <c r="O751" t="n">
        <v>78.87822</v>
      </c>
      <c r="P751" t="n">
        <v>79.79736</v>
      </c>
      <c r="Q751" t="n">
        <v>85.53988</v>
      </c>
      <c r="R751" t="n">
        <v>84.07598</v>
      </c>
      <c r="S751" t="n">
        <v>94.465</v>
      </c>
      <c r="T751" t="n">
        <v>84.77843</v>
      </c>
      <c r="U751" t="n">
        <v>82.00363</v>
      </c>
      <c r="V751" t="n">
        <v>90.53559</v>
      </c>
      <c r="W751" t="n">
        <v>85.65028</v>
      </c>
      <c r="X751" t="n">
        <v>88.24764999999999</v>
      </c>
      <c r="Y751" t="n">
        <v>87.94186999999999</v>
      </c>
      <c r="Z751" t="n">
        <v>87.16758</v>
      </c>
      <c r="AA751" t="n">
        <v>74.74254000000001</v>
      </c>
      <c r="AB751" t="n">
        <v>90.3785</v>
      </c>
      <c r="AC751" t="n">
        <v>72.17899</v>
      </c>
      <c r="AD751" t="n">
        <v>88.70732</v>
      </c>
      <c r="AE751" t="n">
        <v>86.03771</v>
      </c>
    </row>
    <row r="752">
      <c r="A752" s="90" t="n">
        <v>41456</v>
      </c>
      <c r="B752" t="n">
        <v>87.6078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81.94392000000001</v>
      </c>
      <c r="I752" t="n">
        <v>82.64636</v>
      </c>
      <c r="J752" t="n">
        <v>88.12766000000001</v>
      </c>
      <c r="K752" t="n">
        <v>74.053</v>
      </c>
      <c r="L752" t="n">
        <v>92.82501000000001</v>
      </c>
      <c r="M752" t="n">
        <v>101.5308</v>
      </c>
      <c r="N752" t="n">
        <v>91.85655</v>
      </c>
      <c r="O752" t="n">
        <v>79.54201</v>
      </c>
      <c r="P752" t="n">
        <v>80.4289</v>
      </c>
      <c r="Q752" t="n">
        <v>85.92254</v>
      </c>
      <c r="R752" t="n">
        <v>84.37858</v>
      </c>
      <c r="S752" t="n">
        <v>94.67386999999999</v>
      </c>
      <c r="T752" t="n">
        <v>85.0761</v>
      </c>
      <c r="U752" t="n">
        <v>82.01170999999999</v>
      </c>
      <c r="V752" t="n">
        <v>90.96917999999999</v>
      </c>
      <c r="W752" t="n">
        <v>86.14455</v>
      </c>
      <c r="X752" t="n">
        <v>88.6405</v>
      </c>
      <c r="Y752" t="n">
        <v>88.65074</v>
      </c>
      <c r="Z752" t="n">
        <v>87.53129</v>
      </c>
      <c r="AA752" t="n">
        <v>75.99285999999999</v>
      </c>
      <c r="AB752" t="n">
        <v>90.55286</v>
      </c>
      <c r="AC752" t="n">
        <v>73.48547000000001</v>
      </c>
      <c r="AD752" t="n">
        <v>89.08839</v>
      </c>
      <c r="AE752" t="n">
        <v>86.38985</v>
      </c>
    </row>
    <row r="753">
      <c r="A753" s="90" t="n">
        <v>41487</v>
      </c>
      <c r="B753" t="n">
        <v>87.7675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82.7684</v>
      </c>
      <c r="I753" t="n">
        <v>82.92814</v>
      </c>
      <c r="J753" t="n">
        <v>88.57378</v>
      </c>
      <c r="K753" t="n">
        <v>73.55525</v>
      </c>
      <c r="L753" t="n">
        <v>92.9926</v>
      </c>
      <c r="M753" t="n">
        <v>101.8454</v>
      </c>
      <c r="N753" t="n">
        <v>91.52233</v>
      </c>
      <c r="O753" t="n">
        <v>80.85387</v>
      </c>
      <c r="P753" t="n">
        <v>80.67558</v>
      </c>
      <c r="Q753" t="n">
        <v>86.41982</v>
      </c>
      <c r="R753" t="n">
        <v>84.90658000000001</v>
      </c>
      <c r="S753" t="n">
        <v>94.90021</v>
      </c>
      <c r="T753" t="n">
        <v>85.59483</v>
      </c>
      <c r="U753" t="n">
        <v>82.7675</v>
      </c>
      <c r="V753" t="n">
        <v>92.02674</v>
      </c>
      <c r="W753" t="n">
        <v>87.089</v>
      </c>
      <c r="X753" t="n">
        <v>89.16939000000001</v>
      </c>
      <c r="Y753" t="n">
        <v>89.29156999999999</v>
      </c>
      <c r="Z753" t="n">
        <v>87.72041</v>
      </c>
      <c r="AA753" t="n">
        <v>77.48244</v>
      </c>
      <c r="AB753" t="n">
        <v>90.44996</v>
      </c>
      <c r="AC753" t="n">
        <v>75.06107</v>
      </c>
      <c r="AD753" t="n">
        <v>89.58154</v>
      </c>
      <c r="AE753" t="n">
        <v>86.34277</v>
      </c>
    </row>
    <row r="754">
      <c r="A754" s="90" t="n">
        <v>41518</v>
      </c>
      <c r="B754" t="n">
        <v>88.12051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83.4575</v>
      </c>
      <c r="I754" t="n">
        <v>83.54165999999999</v>
      </c>
      <c r="J754" t="n">
        <v>88.36441000000001</v>
      </c>
      <c r="K754" t="n">
        <v>77.86044</v>
      </c>
      <c r="L754" t="n">
        <v>93.01929</v>
      </c>
      <c r="M754" t="n">
        <v>101.5702</v>
      </c>
      <c r="N754" t="n">
        <v>91.45526</v>
      </c>
      <c r="O754" t="n">
        <v>81.60601</v>
      </c>
      <c r="P754" t="n">
        <v>81.55840999999999</v>
      </c>
      <c r="Q754" t="n">
        <v>86.92628000000001</v>
      </c>
      <c r="R754" t="n">
        <v>85.58772999999999</v>
      </c>
      <c r="S754" t="n">
        <v>95.15243</v>
      </c>
      <c r="T754" t="n">
        <v>86.12311</v>
      </c>
      <c r="U754" t="n">
        <v>83.76900999999999</v>
      </c>
      <c r="V754" t="n">
        <v>92.12748999999999</v>
      </c>
      <c r="W754" t="n">
        <v>87.83314</v>
      </c>
      <c r="X754" t="n">
        <v>89.64785999999999</v>
      </c>
      <c r="Y754" t="n">
        <v>89.75595</v>
      </c>
      <c r="Z754" t="n">
        <v>87.77283</v>
      </c>
      <c r="AA754" t="n">
        <v>78.34417000000001</v>
      </c>
      <c r="AB754" t="n">
        <v>90.36704</v>
      </c>
      <c r="AC754" t="n">
        <v>76.37061</v>
      </c>
      <c r="AD754" t="n">
        <v>90.00577</v>
      </c>
      <c r="AE754" t="n">
        <v>86.73909</v>
      </c>
    </row>
    <row r="755">
      <c r="A755" s="90" t="n">
        <v>41548</v>
      </c>
      <c r="B755" t="n">
        <v>88.75928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84.33906</v>
      </c>
      <c r="I755" t="n">
        <v>84.45466</v>
      </c>
      <c r="J755" t="n">
        <v>88.59641999999999</v>
      </c>
      <c r="K755" t="n">
        <v>82.66768999999999</v>
      </c>
      <c r="L755" t="n">
        <v>92.90276</v>
      </c>
      <c r="M755" t="n">
        <v>101.1759</v>
      </c>
      <c r="N755" t="n">
        <v>91.66771</v>
      </c>
      <c r="O755" t="n">
        <v>82.41486999999999</v>
      </c>
      <c r="P755" t="n">
        <v>82.46393</v>
      </c>
      <c r="Q755" t="n">
        <v>87.39869</v>
      </c>
      <c r="R755" t="n">
        <v>86.16082</v>
      </c>
      <c r="S755" t="n">
        <v>95.41334000000001</v>
      </c>
      <c r="T755" t="n">
        <v>86.53887</v>
      </c>
      <c r="U755" t="n">
        <v>84.73560000000001</v>
      </c>
      <c r="V755" t="n">
        <v>91.76971</v>
      </c>
      <c r="W755" t="n">
        <v>88.28783</v>
      </c>
      <c r="X755" t="n">
        <v>90.35182</v>
      </c>
      <c r="Y755" t="n">
        <v>90.15031</v>
      </c>
      <c r="Z755" t="n">
        <v>87.96783000000001</v>
      </c>
      <c r="AA755" t="n">
        <v>78.79543</v>
      </c>
      <c r="AB755" t="n">
        <v>90.55736</v>
      </c>
      <c r="AC755" t="n">
        <v>77.3801</v>
      </c>
      <c r="AD755" t="n">
        <v>90.96384</v>
      </c>
      <c r="AE755" t="n">
        <v>87.15344</v>
      </c>
    </row>
    <row r="756">
      <c r="A756" s="90" t="n">
        <v>41579</v>
      </c>
      <c r="B756" t="n">
        <v>89.36444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85.36507</v>
      </c>
      <c r="I756" t="n">
        <v>84.63914</v>
      </c>
      <c r="J756" t="n">
        <v>89.44503</v>
      </c>
      <c r="K756" t="n">
        <v>82.59157999999999</v>
      </c>
      <c r="L756" t="n">
        <v>93.0981</v>
      </c>
      <c r="M756" t="n">
        <v>101.2056</v>
      </c>
      <c r="N756" t="n">
        <v>91.99763</v>
      </c>
      <c r="O756" t="n">
        <v>82.90501999999999</v>
      </c>
      <c r="P756" t="n">
        <v>83.69793</v>
      </c>
      <c r="Q756" t="n">
        <v>87.86087999999999</v>
      </c>
      <c r="R756" t="n">
        <v>86.65411</v>
      </c>
      <c r="S756" t="n">
        <v>95.57051</v>
      </c>
      <c r="T756" t="n">
        <v>86.90875</v>
      </c>
      <c r="U756" t="n">
        <v>85.88629</v>
      </c>
      <c r="V756" t="n">
        <v>92.37908</v>
      </c>
      <c r="W756" t="n">
        <v>88.60605</v>
      </c>
      <c r="X756" t="n">
        <v>90.69392999999999</v>
      </c>
      <c r="Y756" t="n">
        <v>90.65523</v>
      </c>
      <c r="Z756" t="n">
        <v>88.1614</v>
      </c>
      <c r="AA756" t="n">
        <v>79.08553000000001</v>
      </c>
      <c r="AB756" t="n">
        <v>91.33378</v>
      </c>
      <c r="AC756" t="n">
        <v>78.54979</v>
      </c>
      <c r="AD756" t="n">
        <v>91.06595</v>
      </c>
      <c r="AE756" t="n">
        <v>87.55589000000001</v>
      </c>
    </row>
    <row r="757">
      <c r="A757" s="90" t="n">
        <v>41609</v>
      </c>
      <c r="B757" t="n">
        <v>90.03404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85.9122</v>
      </c>
      <c r="I757" t="n">
        <v>85.27315</v>
      </c>
      <c r="J757" t="n">
        <v>90.47642999999999</v>
      </c>
      <c r="K757" t="n">
        <v>82.65706</v>
      </c>
      <c r="L757" t="n">
        <v>93.06037000000001</v>
      </c>
      <c r="M757" t="n">
        <v>100.649</v>
      </c>
      <c r="N757" t="n">
        <v>92.74988999999999</v>
      </c>
      <c r="O757" t="n">
        <v>83.56206</v>
      </c>
      <c r="P757" t="n">
        <v>84.97423999999999</v>
      </c>
      <c r="Q757" t="n">
        <v>88.25217000000001</v>
      </c>
      <c r="R757" t="n">
        <v>87.21172</v>
      </c>
      <c r="S757" t="n">
        <v>95.88966000000001</v>
      </c>
      <c r="T757" t="n">
        <v>87.35195</v>
      </c>
      <c r="U757" t="n">
        <v>86.61466</v>
      </c>
      <c r="V757" t="n">
        <v>93.53426</v>
      </c>
      <c r="W757" t="n">
        <v>88.91001</v>
      </c>
      <c r="X757" t="n">
        <v>91.18464</v>
      </c>
      <c r="Y757" t="n">
        <v>91.08514</v>
      </c>
      <c r="Z757" t="n">
        <v>88.4218</v>
      </c>
      <c r="AA757" t="n">
        <v>79.63840999999999</v>
      </c>
      <c r="AB757" t="n">
        <v>91.93442</v>
      </c>
      <c r="AC757" t="n">
        <v>79.92269</v>
      </c>
      <c r="AD757" t="n">
        <v>91.56242</v>
      </c>
      <c r="AE757" t="n">
        <v>88.00694</v>
      </c>
    </row>
    <row r="758">
      <c r="A758" s="90" t="n">
        <v>41640</v>
      </c>
      <c r="B758" t="n">
        <v>90.66161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86.69450000000001</v>
      </c>
      <c r="I758" t="n">
        <v>86.62165</v>
      </c>
      <c r="J758" t="n">
        <v>90.74261</v>
      </c>
      <c r="K758" t="n">
        <v>81.28873</v>
      </c>
      <c r="L758" t="n">
        <v>92.90446</v>
      </c>
      <c r="M758" t="n">
        <v>100.7145</v>
      </c>
      <c r="N758" t="n">
        <v>93.42026</v>
      </c>
      <c r="O758" t="n">
        <v>83.96827999999999</v>
      </c>
      <c r="P758" t="n">
        <v>85.74196999999999</v>
      </c>
      <c r="Q758" t="n">
        <v>88.58984</v>
      </c>
      <c r="R758" t="n">
        <v>87.87494</v>
      </c>
      <c r="S758" t="n">
        <v>96.20341000000001</v>
      </c>
      <c r="T758" t="n">
        <v>87.98573</v>
      </c>
      <c r="U758" t="n">
        <v>86.47068</v>
      </c>
      <c r="V758" t="n">
        <v>94.42267</v>
      </c>
      <c r="W758" t="n">
        <v>89.52772</v>
      </c>
      <c r="X758" t="n">
        <v>91.65197999999999</v>
      </c>
      <c r="Y758" t="n">
        <v>91.70027</v>
      </c>
      <c r="Z758" t="n">
        <v>88.78416</v>
      </c>
      <c r="AA758" t="n">
        <v>80.28907</v>
      </c>
      <c r="AB758" t="n">
        <v>91.77261</v>
      </c>
      <c r="AC758" t="n">
        <v>81.72488</v>
      </c>
      <c r="AD758" t="n">
        <v>91.97836</v>
      </c>
      <c r="AE758" t="n">
        <v>88.62666</v>
      </c>
    </row>
    <row r="759">
      <c r="A759" s="90" t="n">
        <v>41671</v>
      </c>
      <c r="B759" t="n">
        <v>91.17431999999999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88.03434</v>
      </c>
      <c r="I759" t="n">
        <v>89.52287</v>
      </c>
      <c r="J759" t="n">
        <v>91.01698</v>
      </c>
      <c r="K759" t="n">
        <v>80.71889</v>
      </c>
      <c r="L759" t="n">
        <v>92.97651999999999</v>
      </c>
      <c r="M759" t="n">
        <v>101.8117</v>
      </c>
      <c r="N759" t="n">
        <v>93.78116</v>
      </c>
      <c r="O759" t="n">
        <v>84.23650000000001</v>
      </c>
      <c r="P759" t="n">
        <v>86.46075</v>
      </c>
      <c r="Q759" t="n">
        <v>88.95541</v>
      </c>
      <c r="R759" t="n">
        <v>88.46899999999999</v>
      </c>
      <c r="S759" t="n">
        <v>96.26797999999999</v>
      </c>
      <c r="T759" t="n">
        <v>88.65002</v>
      </c>
      <c r="U759" t="n">
        <v>87.24011</v>
      </c>
      <c r="V759" t="n">
        <v>94.71656</v>
      </c>
      <c r="W759" t="n">
        <v>90.47889000000001</v>
      </c>
      <c r="X759" t="n">
        <v>92.23902</v>
      </c>
      <c r="Y759" t="n">
        <v>92.42596</v>
      </c>
      <c r="Z759" t="n">
        <v>89.10265</v>
      </c>
      <c r="AA759" t="n">
        <v>81.41798</v>
      </c>
      <c r="AB759" t="n">
        <v>91.89433</v>
      </c>
      <c r="AC759" t="n">
        <v>82.76344</v>
      </c>
      <c r="AD759" t="n">
        <v>92.65996</v>
      </c>
      <c r="AE759" t="n">
        <v>89.33571999999999</v>
      </c>
    </row>
    <row r="760">
      <c r="A760" s="90" t="n">
        <v>41699</v>
      </c>
      <c r="B760" t="n">
        <v>91.58616000000001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88.8978</v>
      </c>
      <c r="I760" t="n">
        <v>91.78949</v>
      </c>
      <c r="J760" t="n">
        <v>91.57401</v>
      </c>
      <c r="K760" t="n">
        <v>81.36911000000001</v>
      </c>
      <c r="L760" t="n">
        <v>93.10048</v>
      </c>
      <c r="M760" t="n">
        <v>101.3109</v>
      </c>
      <c r="N760" t="n">
        <v>94.04294</v>
      </c>
      <c r="O760" t="n">
        <v>84.51299</v>
      </c>
      <c r="P760" t="n">
        <v>86.9819</v>
      </c>
      <c r="Q760" t="n">
        <v>89.31674</v>
      </c>
      <c r="R760" t="n">
        <v>89.29533000000001</v>
      </c>
      <c r="S760" t="n">
        <v>96.33376</v>
      </c>
      <c r="T760" t="n">
        <v>89.11903</v>
      </c>
      <c r="U760" t="n">
        <v>88.34956</v>
      </c>
      <c r="V760" t="n">
        <v>95.01837</v>
      </c>
      <c r="W760" t="n">
        <v>90.5099</v>
      </c>
      <c r="X760" t="n">
        <v>92.56944</v>
      </c>
      <c r="Y760" t="n">
        <v>92.50484</v>
      </c>
      <c r="Z760" t="n">
        <v>89.83784</v>
      </c>
      <c r="AA760" t="n">
        <v>83.06798999999999</v>
      </c>
      <c r="AB760" t="n">
        <v>92.26564999999999</v>
      </c>
      <c r="AC760" t="n">
        <v>82.78653</v>
      </c>
      <c r="AD760" t="n">
        <v>92.9854</v>
      </c>
      <c r="AE760" t="n">
        <v>90.11564</v>
      </c>
    </row>
    <row r="761">
      <c r="A761" s="90" t="n">
        <v>41730</v>
      </c>
      <c r="B761" t="n">
        <v>92.06244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89.36172000000001</v>
      </c>
      <c r="I761" t="n">
        <v>92.37585</v>
      </c>
      <c r="J761" t="n">
        <v>92.03448</v>
      </c>
      <c r="K761" t="n">
        <v>81.71879</v>
      </c>
      <c r="L761" t="n">
        <v>93.26803</v>
      </c>
      <c r="M761" t="n">
        <v>100.2756</v>
      </c>
      <c r="N761" t="n">
        <v>94.75475</v>
      </c>
      <c r="O761" t="n">
        <v>85.53346999999999</v>
      </c>
      <c r="P761" t="n">
        <v>87.79392</v>
      </c>
      <c r="Q761" t="n">
        <v>89.7916</v>
      </c>
      <c r="R761" t="n">
        <v>90.13884</v>
      </c>
      <c r="S761" t="n">
        <v>96.49309</v>
      </c>
      <c r="T761" t="n">
        <v>89.50961</v>
      </c>
      <c r="U761" t="n">
        <v>88.94489</v>
      </c>
      <c r="V761" t="n">
        <v>95.48180000000001</v>
      </c>
      <c r="W761" t="n">
        <v>90.48524999999999</v>
      </c>
      <c r="X761" t="n">
        <v>92.90994999999999</v>
      </c>
      <c r="Y761" t="n">
        <v>92.49544</v>
      </c>
      <c r="Z761" t="n">
        <v>90.71773</v>
      </c>
      <c r="AA761" t="n">
        <v>83.61533</v>
      </c>
      <c r="AB761" t="n">
        <v>92.61757</v>
      </c>
      <c r="AC761" t="n">
        <v>83.10655</v>
      </c>
      <c r="AD761" t="n">
        <v>93.45613</v>
      </c>
      <c r="AE761" t="n">
        <v>90.99747000000001</v>
      </c>
    </row>
    <row r="762">
      <c r="A762" s="90" t="n">
        <v>41760</v>
      </c>
      <c r="B762" t="n">
        <v>92.74044000000001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89.87791</v>
      </c>
      <c r="I762" t="n">
        <v>93.31287</v>
      </c>
      <c r="J762" t="n">
        <v>92.61409</v>
      </c>
      <c r="K762" t="n">
        <v>82.45905999999999</v>
      </c>
      <c r="L762" t="n">
        <v>93.70287</v>
      </c>
      <c r="M762" t="n">
        <v>100.1106</v>
      </c>
      <c r="N762" t="n">
        <v>95.36830999999999</v>
      </c>
      <c r="O762" t="n">
        <v>87.01186</v>
      </c>
      <c r="P762" t="n">
        <v>88.67983</v>
      </c>
      <c r="Q762" t="n">
        <v>90.50658</v>
      </c>
      <c r="R762" t="n">
        <v>90.87463</v>
      </c>
      <c r="S762" t="n">
        <v>96.5985</v>
      </c>
      <c r="T762" t="n">
        <v>89.98564</v>
      </c>
      <c r="U762" t="n">
        <v>89.95129</v>
      </c>
      <c r="V762" t="n">
        <v>95.96885</v>
      </c>
      <c r="W762" t="n">
        <v>91.16985</v>
      </c>
      <c r="X762" t="n">
        <v>93.35849</v>
      </c>
      <c r="Y762" t="n">
        <v>92.65858</v>
      </c>
      <c r="Z762" t="n">
        <v>91.31384</v>
      </c>
      <c r="AA762" t="n">
        <v>83.82539</v>
      </c>
      <c r="AB762" t="n">
        <v>93.25601</v>
      </c>
      <c r="AC762" t="n">
        <v>83.08673</v>
      </c>
      <c r="AD762" t="n">
        <v>94.03230000000001</v>
      </c>
      <c r="AE762" t="n">
        <v>91.66691</v>
      </c>
    </row>
    <row r="763">
      <c r="A763" s="90" t="n">
        <v>41791</v>
      </c>
      <c r="B763" t="n">
        <v>93.30637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90.43817</v>
      </c>
      <c r="I763" t="n">
        <v>93.38397999999999</v>
      </c>
      <c r="J763" t="n">
        <v>92.52894999999999</v>
      </c>
      <c r="K763" t="n">
        <v>83.02521</v>
      </c>
      <c r="L763" t="n">
        <v>94.11112</v>
      </c>
      <c r="M763" t="n">
        <v>99.88488</v>
      </c>
      <c r="N763" t="n">
        <v>95.22063</v>
      </c>
      <c r="O763" t="n">
        <v>87.99495</v>
      </c>
      <c r="P763" t="n">
        <v>89.3116</v>
      </c>
      <c r="Q763" t="n">
        <v>91.22573</v>
      </c>
      <c r="R763" t="n">
        <v>91.73374</v>
      </c>
      <c r="S763" t="n">
        <v>96.82079</v>
      </c>
      <c r="T763" t="n">
        <v>90.44824</v>
      </c>
      <c r="U763" t="n">
        <v>91.32165000000001</v>
      </c>
      <c r="V763" t="n">
        <v>96.6824</v>
      </c>
      <c r="W763" t="n">
        <v>91.68024</v>
      </c>
      <c r="X763" t="n">
        <v>93.80096</v>
      </c>
      <c r="Y763" t="n">
        <v>92.88164</v>
      </c>
      <c r="Z763" t="n">
        <v>91.75373</v>
      </c>
      <c r="AA763" t="n">
        <v>84.28312</v>
      </c>
      <c r="AB763" t="n">
        <v>93.95329</v>
      </c>
      <c r="AC763" t="n">
        <v>83.65872</v>
      </c>
      <c r="AD763" t="n">
        <v>94.48393</v>
      </c>
      <c r="AE763" t="n">
        <v>92.33540000000001</v>
      </c>
    </row>
    <row r="764">
      <c r="A764" s="90" t="n">
        <v>41821</v>
      </c>
      <c r="B764" t="n">
        <v>93.84429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91.17722000000001</v>
      </c>
      <c r="I764" t="n">
        <v>93.86394</v>
      </c>
      <c r="J764" t="n">
        <v>92.55727</v>
      </c>
      <c r="K764" t="n">
        <v>83.90461999999999</v>
      </c>
      <c r="L764" t="n">
        <v>94.33298000000001</v>
      </c>
      <c r="M764" t="n">
        <v>99.64901999999999</v>
      </c>
      <c r="N764" t="n">
        <v>95.62985999999999</v>
      </c>
      <c r="O764" t="n">
        <v>88.94174</v>
      </c>
      <c r="P764" t="n">
        <v>90.13514000000001</v>
      </c>
      <c r="Q764" t="n">
        <v>91.77403</v>
      </c>
      <c r="R764" t="n">
        <v>91.94436</v>
      </c>
      <c r="S764" t="n">
        <v>97.0093</v>
      </c>
      <c r="T764" t="n">
        <v>91.08920000000001</v>
      </c>
      <c r="U764" t="n">
        <v>92.69573</v>
      </c>
      <c r="V764" t="n">
        <v>97.02791999999999</v>
      </c>
      <c r="W764" t="n">
        <v>92.01904</v>
      </c>
      <c r="X764" t="n">
        <v>94.33297</v>
      </c>
      <c r="Y764" t="n">
        <v>93.40409</v>
      </c>
      <c r="Z764" t="n">
        <v>92.41628</v>
      </c>
      <c r="AA764" t="n">
        <v>84.09369</v>
      </c>
      <c r="AB764" t="n">
        <v>94.44925000000001</v>
      </c>
      <c r="AC764" t="n">
        <v>85.24516</v>
      </c>
      <c r="AD764" t="n">
        <v>94.97542</v>
      </c>
      <c r="AE764" t="n">
        <v>92.39758</v>
      </c>
    </row>
    <row r="765">
      <c r="A765" s="90" t="n">
        <v>41852</v>
      </c>
      <c r="B765" t="n">
        <v>94.5335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91.80435</v>
      </c>
      <c r="I765" t="n">
        <v>95.41991</v>
      </c>
      <c r="J765" t="n">
        <v>92.95208</v>
      </c>
      <c r="K765" t="n">
        <v>85.68725999999999</v>
      </c>
      <c r="L765" t="n">
        <v>94.71646</v>
      </c>
      <c r="M765" t="n">
        <v>99.83629999999999</v>
      </c>
      <c r="N765" t="n">
        <v>96.47474</v>
      </c>
      <c r="O765" t="n">
        <v>89.61060000000001</v>
      </c>
      <c r="P765" t="n">
        <v>91.09347</v>
      </c>
      <c r="Q765" t="n">
        <v>92.29244</v>
      </c>
      <c r="R765" t="n">
        <v>92.78008</v>
      </c>
      <c r="S765" t="n">
        <v>97.24056</v>
      </c>
      <c r="T765" t="n">
        <v>91.77240999999999</v>
      </c>
      <c r="U765" t="n">
        <v>93.50086</v>
      </c>
      <c r="V765" t="n">
        <v>97.71818</v>
      </c>
      <c r="W765" t="n">
        <v>92.56708999999999</v>
      </c>
      <c r="X765" t="n">
        <v>94.76165</v>
      </c>
      <c r="Y765" t="n">
        <v>94.05070000000001</v>
      </c>
      <c r="Z765" t="n">
        <v>93.61959</v>
      </c>
      <c r="AA765" t="n">
        <v>84.34310000000001</v>
      </c>
      <c r="AB765" t="n">
        <v>94.50387000000001</v>
      </c>
      <c r="AC765" t="n">
        <v>86.23788999999999</v>
      </c>
      <c r="AD765" t="n">
        <v>95.22033</v>
      </c>
      <c r="AE765" t="n">
        <v>92.01514</v>
      </c>
    </row>
    <row r="766">
      <c r="A766" s="90" t="n">
        <v>41883</v>
      </c>
      <c r="B766" t="n">
        <v>95.25072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92.10599999999999</v>
      </c>
      <c r="I766" t="n">
        <v>96.32461000000001</v>
      </c>
      <c r="J766" t="n">
        <v>93.00534</v>
      </c>
      <c r="K766" t="n">
        <v>87.39391000000001</v>
      </c>
      <c r="L766" t="n">
        <v>94.99536000000001</v>
      </c>
      <c r="M766" t="n">
        <v>100.0719</v>
      </c>
      <c r="N766" t="n">
        <v>96.79236</v>
      </c>
      <c r="O766" t="n">
        <v>90.8656</v>
      </c>
      <c r="P766" t="n">
        <v>91.92004</v>
      </c>
      <c r="Q766" t="n">
        <v>92.96449</v>
      </c>
      <c r="R766" t="n">
        <v>94.14834</v>
      </c>
      <c r="S766" t="n">
        <v>97.54858</v>
      </c>
      <c r="T766" t="n">
        <v>92.28127000000001</v>
      </c>
      <c r="U766" t="n">
        <v>93.52128</v>
      </c>
      <c r="V766" t="n">
        <v>98.24347</v>
      </c>
      <c r="W766" t="n">
        <v>93.52110999999999</v>
      </c>
      <c r="X766" t="n">
        <v>95.16377</v>
      </c>
      <c r="Y766" t="n">
        <v>94.70965</v>
      </c>
      <c r="Z766" t="n">
        <v>94.53576</v>
      </c>
      <c r="AA766" t="n">
        <v>85.20876</v>
      </c>
      <c r="AB766" t="n">
        <v>94.89185000000001</v>
      </c>
      <c r="AC766" t="n">
        <v>87.46462</v>
      </c>
      <c r="AD766" t="n">
        <v>95.49762</v>
      </c>
      <c r="AE766" t="n">
        <v>92.87905000000001</v>
      </c>
    </row>
    <row r="767">
      <c r="A767" s="90" t="n">
        <v>41913</v>
      </c>
      <c r="B767" t="n">
        <v>95.77184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92.7381</v>
      </c>
      <c r="I767" t="n">
        <v>96.5184</v>
      </c>
      <c r="J767" t="n">
        <v>93.48757000000001</v>
      </c>
      <c r="K767" t="n">
        <v>89.22127999999999</v>
      </c>
      <c r="L767" t="n">
        <v>95.15971</v>
      </c>
      <c r="M767" t="n">
        <v>99.71295000000001</v>
      </c>
      <c r="N767" t="n">
        <v>96.72823</v>
      </c>
      <c r="O767" t="n">
        <v>92.44128000000001</v>
      </c>
      <c r="P767" t="n">
        <v>92.89429</v>
      </c>
      <c r="Q767" t="n">
        <v>93.79935</v>
      </c>
      <c r="R767" t="n">
        <v>94.68458</v>
      </c>
      <c r="S767" t="n">
        <v>97.87739000000001</v>
      </c>
      <c r="T767" t="n">
        <v>93.04443999999999</v>
      </c>
      <c r="U767" t="n">
        <v>94.3237</v>
      </c>
      <c r="V767" t="n">
        <v>97.84849</v>
      </c>
      <c r="W767" t="n">
        <v>94.10825</v>
      </c>
      <c r="X767" t="n">
        <v>95.62607</v>
      </c>
      <c r="Y767" t="n">
        <v>94.95361</v>
      </c>
      <c r="Z767" t="n">
        <v>94.79667999999999</v>
      </c>
      <c r="AA767" t="n">
        <v>86.37576</v>
      </c>
      <c r="AB767" t="n">
        <v>95.29895999999999</v>
      </c>
      <c r="AC767" t="n">
        <v>88.27893</v>
      </c>
      <c r="AD767" t="n">
        <v>96.00073</v>
      </c>
      <c r="AE767" t="n">
        <v>94.0433</v>
      </c>
    </row>
    <row r="768">
      <c r="A768" s="90" t="n">
        <v>41944</v>
      </c>
      <c r="B768" t="n">
        <v>96.07441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93.46913000000001</v>
      </c>
      <c r="I768" t="n">
        <v>97.2193</v>
      </c>
      <c r="J768" t="n">
        <v>94.46511</v>
      </c>
      <c r="K768" t="n">
        <v>91.31644</v>
      </c>
      <c r="L768" t="n">
        <v>95.72163999999999</v>
      </c>
      <c r="M768" t="n">
        <v>99.54147</v>
      </c>
      <c r="N768" t="n">
        <v>96.72526000000001</v>
      </c>
      <c r="O768" t="n">
        <v>93.3813</v>
      </c>
      <c r="P768" t="n">
        <v>93.98775999999999</v>
      </c>
      <c r="Q768" t="n">
        <v>94.69482000000001</v>
      </c>
      <c r="R768" t="n">
        <v>96.03484</v>
      </c>
      <c r="S768" t="n">
        <v>98.295</v>
      </c>
      <c r="T768" t="n">
        <v>93.92271</v>
      </c>
      <c r="U768" t="n">
        <v>96.11221999999999</v>
      </c>
      <c r="V768" t="n">
        <v>98.4602</v>
      </c>
      <c r="W768" t="n">
        <v>94.47538</v>
      </c>
      <c r="X768" t="n">
        <v>96.08913</v>
      </c>
      <c r="Y768" t="n">
        <v>95.20505</v>
      </c>
      <c r="Z768" t="n">
        <v>95.20764</v>
      </c>
      <c r="AA768" t="n">
        <v>88.16688000000001</v>
      </c>
      <c r="AB768" t="n">
        <v>95.42379</v>
      </c>
      <c r="AC768" t="n">
        <v>88.52528</v>
      </c>
      <c r="AD768" t="n">
        <v>96.34361</v>
      </c>
      <c r="AE768" t="n">
        <v>94.71071999999999</v>
      </c>
    </row>
    <row r="769">
      <c r="A769" s="90" t="n">
        <v>41974</v>
      </c>
      <c r="B769" t="n">
        <v>96.59832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94.00223</v>
      </c>
      <c r="I769" t="n">
        <v>97.98781</v>
      </c>
      <c r="J769" t="n">
        <v>95.91947999999999</v>
      </c>
      <c r="K769" t="n">
        <v>92.51806000000001</v>
      </c>
      <c r="L769" t="n">
        <v>96.7831</v>
      </c>
      <c r="M769" t="n">
        <v>99.73608</v>
      </c>
      <c r="N769" t="n">
        <v>97.38338</v>
      </c>
      <c r="O769" t="n">
        <v>93.97318</v>
      </c>
      <c r="P769" t="n">
        <v>94.74309</v>
      </c>
      <c r="Q769" t="n">
        <v>95.63424000000001</v>
      </c>
      <c r="R769" t="n">
        <v>97.65119</v>
      </c>
      <c r="S769" t="n">
        <v>98.63459</v>
      </c>
      <c r="T769" t="n">
        <v>94.75894</v>
      </c>
      <c r="U769" t="n">
        <v>96.75355999999999</v>
      </c>
      <c r="V769" t="n">
        <v>99.82098000000001</v>
      </c>
      <c r="W769" t="n">
        <v>94.93192000000001</v>
      </c>
      <c r="X769" t="n">
        <v>96.69862000000001</v>
      </c>
      <c r="Y769" t="n">
        <v>95.85381</v>
      </c>
      <c r="Z769" t="n">
        <v>95.75127999999999</v>
      </c>
      <c r="AA769" t="n">
        <v>90.17672</v>
      </c>
      <c r="AB769" t="n">
        <v>95.86845</v>
      </c>
      <c r="AC769" t="n">
        <v>89.59627999999999</v>
      </c>
      <c r="AD769" t="n">
        <v>96.98121</v>
      </c>
      <c r="AE769" t="n">
        <v>94.84644</v>
      </c>
    </row>
    <row r="770">
      <c r="A770" s="90" t="n">
        <v>42005</v>
      </c>
      <c r="B770" t="n">
        <v>97.11942999999999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94.81322</v>
      </c>
      <c r="I770" t="n">
        <v>98.21008</v>
      </c>
      <c r="J770" t="n">
        <v>96.71068</v>
      </c>
      <c r="K770" t="n">
        <v>94.68442</v>
      </c>
      <c r="L770" t="n">
        <v>97.72409</v>
      </c>
      <c r="M770" t="n">
        <v>99.60016</v>
      </c>
      <c r="N770" t="n">
        <v>98.40147</v>
      </c>
      <c r="O770" t="n">
        <v>95.19379000000001</v>
      </c>
      <c r="P770" t="n">
        <v>95.43456</v>
      </c>
      <c r="Q770" t="n">
        <v>96.66092999999999</v>
      </c>
      <c r="R770" t="n">
        <v>98.47436</v>
      </c>
      <c r="S770" t="n">
        <v>98.84491</v>
      </c>
      <c r="T770" t="n">
        <v>95.43919</v>
      </c>
      <c r="U770" t="n">
        <v>97.46809</v>
      </c>
      <c r="V770" t="n">
        <v>100.6729</v>
      </c>
      <c r="W770" t="n">
        <v>95.51945000000001</v>
      </c>
      <c r="X770" t="n">
        <v>97.23215</v>
      </c>
      <c r="Y770" t="n">
        <v>96.41602</v>
      </c>
      <c r="Z770" t="n">
        <v>96.21702000000001</v>
      </c>
      <c r="AA770" t="n">
        <v>91.95232</v>
      </c>
      <c r="AB770" t="n">
        <v>95.83710000000001</v>
      </c>
      <c r="AC770" t="n">
        <v>90.92272</v>
      </c>
      <c r="AD770" t="n">
        <v>97.51006</v>
      </c>
      <c r="AE770" t="n">
        <v>94.99808</v>
      </c>
    </row>
    <row r="771">
      <c r="A771" s="90" t="n">
        <v>42036</v>
      </c>
      <c r="B771" t="n">
        <v>97.81704000000001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95.84532</v>
      </c>
      <c r="I771" t="n">
        <v>98.27451000000001</v>
      </c>
      <c r="J771" t="n">
        <v>97.13379999999999</v>
      </c>
      <c r="K771" t="n">
        <v>97.184</v>
      </c>
      <c r="L771" t="n">
        <v>98.14461</v>
      </c>
      <c r="M771" t="n">
        <v>99.23115</v>
      </c>
      <c r="N771" t="n">
        <v>98.87177</v>
      </c>
      <c r="O771" t="n">
        <v>97.14249</v>
      </c>
      <c r="P771" t="n">
        <v>96.15666</v>
      </c>
      <c r="Q771" t="n">
        <v>97.73345999999999</v>
      </c>
      <c r="R771" t="n">
        <v>99.06659999999999</v>
      </c>
      <c r="S771" t="n">
        <v>99.04488000000001</v>
      </c>
      <c r="T771" t="n">
        <v>96.05415000000001</v>
      </c>
      <c r="U771" t="n">
        <v>98.56570000000001</v>
      </c>
      <c r="V771" t="n">
        <v>100.6039</v>
      </c>
      <c r="W771" t="n">
        <v>96.40597</v>
      </c>
      <c r="X771" t="n">
        <v>97.98617</v>
      </c>
      <c r="Y771" t="n">
        <v>96.99169000000001</v>
      </c>
      <c r="Z771" t="n">
        <v>96.776</v>
      </c>
      <c r="AA771" t="n">
        <v>96.46104</v>
      </c>
      <c r="AB771" t="n">
        <v>96.3152</v>
      </c>
      <c r="AC771" t="n">
        <v>92.75123000000001</v>
      </c>
      <c r="AD771" t="n">
        <v>98.49551</v>
      </c>
      <c r="AE771" t="n">
        <v>96.04546000000001</v>
      </c>
    </row>
    <row r="772">
      <c r="A772" s="90" t="n">
        <v>42064</v>
      </c>
      <c r="B772" t="n">
        <v>98.48663999999999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96.71006</v>
      </c>
      <c r="I772" t="n">
        <v>98.06631</v>
      </c>
      <c r="J772" t="n">
        <v>97.72351999999999</v>
      </c>
      <c r="K772" t="n">
        <v>96.83761</v>
      </c>
      <c r="L772" t="n">
        <v>98.45128</v>
      </c>
      <c r="M772" t="n">
        <v>99.61253000000001</v>
      </c>
      <c r="N772" t="n">
        <v>98.73824999999999</v>
      </c>
      <c r="O772" t="n">
        <v>98.16839</v>
      </c>
      <c r="P772" t="n">
        <v>97.02437999999999</v>
      </c>
      <c r="Q772" t="n">
        <v>98.74702000000001</v>
      </c>
      <c r="R772" t="n">
        <v>99.29286</v>
      </c>
      <c r="S772" t="n">
        <v>99.27109</v>
      </c>
      <c r="T772" t="n">
        <v>97.19955</v>
      </c>
      <c r="U772" t="n">
        <v>98.36929000000001</v>
      </c>
      <c r="V772" t="n">
        <v>101.1244</v>
      </c>
      <c r="W772" t="n">
        <v>97.35513</v>
      </c>
      <c r="X772" t="n">
        <v>98.37408000000001</v>
      </c>
      <c r="Y772" t="n">
        <v>97.90374</v>
      </c>
      <c r="Z772" t="n">
        <v>97.69101999999999</v>
      </c>
      <c r="AA772" t="n">
        <v>98.92926</v>
      </c>
      <c r="AB772" t="n">
        <v>97.48978</v>
      </c>
      <c r="AC772" t="n">
        <v>94.89382999999999</v>
      </c>
      <c r="AD772" t="n">
        <v>98.62586</v>
      </c>
      <c r="AE772" t="n">
        <v>96.98455</v>
      </c>
    </row>
    <row r="773">
      <c r="A773" s="90" t="n">
        <v>42095</v>
      </c>
      <c r="B773" t="n">
        <v>98.87607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97.20088</v>
      </c>
      <c r="I773" t="n">
        <v>98.03945</v>
      </c>
      <c r="J773" t="n">
        <v>98.28342000000001</v>
      </c>
      <c r="K773" t="n">
        <v>97.60646</v>
      </c>
      <c r="L773" t="n">
        <v>99.13290000000001</v>
      </c>
      <c r="M773" t="n">
        <v>100.134</v>
      </c>
      <c r="N773" t="n">
        <v>98.71426</v>
      </c>
      <c r="O773" t="n">
        <v>98.78548000000001</v>
      </c>
      <c r="P773" t="n">
        <v>97.81892999999999</v>
      </c>
      <c r="Q773" t="n">
        <v>99.59853</v>
      </c>
      <c r="R773" t="n">
        <v>99.4691</v>
      </c>
      <c r="S773" t="n">
        <v>99.43508</v>
      </c>
      <c r="T773" t="n">
        <v>98.47566999999999</v>
      </c>
      <c r="U773" t="n">
        <v>98.74409</v>
      </c>
      <c r="V773" t="n">
        <v>99.81018</v>
      </c>
      <c r="W773" t="n">
        <v>98.06644</v>
      </c>
      <c r="X773" t="n">
        <v>98.85562</v>
      </c>
      <c r="Y773" t="n">
        <v>98.69746000000001</v>
      </c>
      <c r="Z773" t="n">
        <v>97.88842</v>
      </c>
      <c r="AA773" t="n">
        <v>97.53237</v>
      </c>
      <c r="AB773" t="n">
        <v>98.28146</v>
      </c>
      <c r="AC773" t="n">
        <v>97.05005</v>
      </c>
      <c r="AD773" t="n">
        <v>99.02271</v>
      </c>
      <c r="AE773" t="n">
        <v>98.04852</v>
      </c>
    </row>
    <row r="774">
      <c r="A774" s="90" t="n">
        <v>42125</v>
      </c>
      <c r="B774" t="n">
        <v>99.25149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98.24521</v>
      </c>
      <c r="I774" t="n">
        <v>98.81133</v>
      </c>
      <c r="J774" t="n">
        <v>99.13039999999999</v>
      </c>
      <c r="K774" t="n">
        <v>99.97147</v>
      </c>
      <c r="L774" t="n">
        <v>99.78095</v>
      </c>
      <c r="M774" t="n">
        <v>100.0834</v>
      </c>
      <c r="N774" t="n">
        <v>99.51012</v>
      </c>
      <c r="O774" t="n">
        <v>99.23581</v>
      </c>
      <c r="P774" t="n">
        <v>98.57868000000001</v>
      </c>
      <c r="Q774" t="n">
        <v>100.3195</v>
      </c>
      <c r="R774" t="n">
        <v>99.46478</v>
      </c>
      <c r="S774" t="n">
        <v>99.75975</v>
      </c>
      <c r="T774" t="n">
        <v>99.39574</v>
      </c>
      <c r="U774" t="n">
        <v>100.1697</v>
      </c>
      <c r="V774" t="n">
        <v>98.52934999999999</v>
      </c>
      <c r="W774" t="n">
        <v>98.56144</v>
      </c>
      <c r="X774" t="n">
        <v>99.30840000000001</v>
      </c>
      <c r="Y774" t="n">
        <v>99.23446</v>
      </c>
      <c r="Z774" t="n">
        <v>97.9697</v>
      </c>
      <c r="AA774" t="n">
        <v>96.97329999999999</v>
      </c>
      <c r="AB774" t="n">
        <v>99.36775</v>
      </c>
      <c r="AC774" t="n">
        <v>98.60757</v>
      </c>
      <c r="AD774" t="n">
        <v>99.29585</v>
      </c>
      <c r="AE774" t="n">
        <v>99.14606000000001</v>
      </c>
    </row>
    <row r="775">
      <c r="A775" s="90" t="n">
        <v>42156</v>
      </c>
      <c r="B775" t="n">
        <v>99.57648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99.49527</v>
      </c>
      <c r="I775" t="n">
        <v>100.7407</v>
      </c>
      <c r="J775" t="n">
        <v>99.26694000000001</v>
      </c>
      <c r="K775" t="n">
        <v>100.1371</v>
      </c>
      <c r="L775" t="n">
        <v>99.95408</v>
      </c>
      <c r="M775" t="n">
        <v>99.72177000000001</v>
      </c>
      <c r="N775" t="n">
        <v>99.50559</v>
      </c>
      <c r="O775" t="n">
        <v>99.48523</v>
      </c>
      <c r="P775" t="n">
        <v>99.84487</v>
      </c>
      <c r="Q775" t="n">
        <v>100.9733</v>
      </c>
      <c r="R775" t="n">
        <v>99.25819</v>
      </c>
      <c r="S775" t="n">
        <v>99.87739999999999</v>
      </c>
      <c r="T775" t="n">
        <v>100.103</v>
      </c>
      <c r="U775" t="n">
        <v>100.5627</v>
      </c>
      <c r="V775" t="n">
        <v>99.21294</v>
      </c>
      <c r="W775" t="n">
        <v>99.60728</v>
      </c>
      <c r="X775" t="n">
        <v>99.68571</v>
      </c>
      <c r="Y775" t="n">
        <v>99.5715</v>
      </c>
      <c r="Z775" t="n">
        <v>98.96714</v>
      </c>
      <c r="AA775" t="n">
        <v>96.68472</v>
      </c>
      <c r="AB775" t="n">
        <v>100.1168</v>
      </c>
      <c r="AC775" t="n">
        <v>99.5128</v>
      </c>
      <c r="AD775" t="n">
        <v>99.67359</v>
      </c>
      <c r="AE775" t="n">
        <v>100.1188</v>
      </c>
    </row>
    <row r="776">
      <c r="A776" s="90" t="n">
        <v>42186</v>
      </c>
      <c r="B776" t="n">
        <v>100.2265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100.2395</v>
      </c>
      <c r="I776" t="n">
        <v>102.0833</v>
      </c>
      <c r="J776" t="n">
        <v>99.69419000000001</v>
      </c>
      <c r="K776" t="n">
        <v>101.2812</v>
      </c>
      <c r="L776" t="n">
        <v>100.309</v>
      </c>
      <c r="M776" t="n">
        <v>99.79526</v>
      </c>
      <c r="N776" t="n">
        <v>99.03922</v>
      </c>
      <c r="O776" t="n">
        <v>100.1818</v>
      </c>
      <c r="P776" t="n">
        <v>100.6861</v>
      </c>
      <c r="Q776" t="n">
        <v>101.4503</v>
      </c>
      <c r="R776" t="n">
        <v>99.14539000000001</v>
      </c>
      <c r="S776" t="n">
        <v>100.1243</v>
      </c>
      <c r="T776" t="n">
        <v>100.8118</v>
      </c>
      <c r="U776" t="n">
        <v>100.6583</v>
      </c>
      <c r="V776" t="n">
        <v>99.46155</v>
      </c>
      <c r="W776" t="n">
        <v>100.7188</v>
      </c>
      <c r="X776" t="n">
        <v>100.2234</v>
      </c>
      <c r="Y776" t="n">
        <v>100.2167</v>
      </c>
      <c r="Z776" t="n">
        <v>100.0967</v>
      </c>
      <c r="AA776" t="n">
        <v>97.74299000000001</v>
      </c>
      <c r="AB776" t="n">
        <v>100.5607</v>
      </c>
      <c r="AC776" t="n">
        <v>101.0185</v>
      </c>
      <c r="AD776" t="n">
        <v>100.1103</v>
      </c>
      <c r="AE776" t="n">
        <v>101.1217</v>
      </c>
    </row>
    <row r="777">
      <c r="A777" s="90" t="n">
        <v>42217</v>
      </c>
      <c r="B777" t="n">
        <v>100.7224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101.4194</v>
      </c>
      <c r="I777" t="n">
        <v>101.1175</v>
      </c>
      <c r="J777" t="n">
        <v>100.4667</v>
      </c>
      <c r="K777" t="n">
        <v>101.6547</v>
      </c>
      <c r="L777" t="n">
        <v>100.6511</v>
      </c>
      <c r="M777" t="n">
        <v>100.2539</v>
      </c>
      <c r="N777" t="n">
        <v>99.53989</v>
      </c>
      <c r="O777" t="n">
        <v>101.1357</v>
      </c>
      <c r="P777" t="n">
        <v>101.3252</v>
      </c>
      <c r="Q777" t="n">
        <v>101.6116</v>
      </c>
      <c r="R777" t="n">
        <v>99.43942</v>
      </c>
      <c r="S777" t="n">
        <v>100.4721</v>
      </c>
      <c r="T777" t="n">
        <v>101.5623</v>
      </c>
      <c r="U777" t="n">
        <v>101.3523</v>
      </c>
      <c r="V777" t="n">
        <v>99.66967</v>
      </c>
      <c r="W777" t="n">
        <v>101.3967</v>
      </c>
      <c r="X777" t="n">
        <v>100.8238</v>
      </c>
      <c r="Y777" t="n">
        <v>101.1203</v>
      </c>
      <c r="Z777" t="n">
        <v>101.0039</v>
      </c>
      <c r="AA777" t="n">
        <v>99.68069</v>
      </c>
      <c r="AB777" t="n">
        <v>101.2271</v>
      </c>
      <c r="AC777" t="n">
        <v>103.0695</v>
      </c>
      <c r="AD777" t="n">
        <v>100.5345</v>
      </c>
      <c r="AE777" t="n">
        <v>101.3501</v>
      </c>
    </row>
    <row r="778">
      <c r="A778" s="90" t="n">
        <v>42248</v>
      </c>
      <c r="B778" t="n">
        <v>101.1846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102.7247</v>
      </c>
      <c r="I778" t="n">
        <v>100.3372</v>
      </c>
      <c r="J778" t="n">
        <v>101.1667</v>
      </c>
      <c r="K778" t="n">
        <v>101.4876</v>
      </c>
      <c r="L778" t="n">
        <v>100.6182</v>
      </c>
      <c r="M778" t="n">
        <v>100.2488</v>
      </c>
      <c r="N778" t="n">
        <v>100.31</v>
      </c>
      <c r="O778" t="n">
        <v>102.5197</v>
      </c>
      <c r="P778" t="n">
        <v>102.1573</v>
      </c>
      <c r="Q778" t="n">
        <v>101.4107</v>
      </c>
      <c r="R778" t="n">
        <v>100.416</v>
      </c>
      <c r="S778" t="n">
        <v>100.5208</v>
      </c>
      <c r="T778" t="n">
        <v>102.0793</v>
      </c>
      <c r="U778" t="n">
        <v>101.3167</v>
      </c>
      <c r="V778" t="n">
        <v>99.7038</v>
      </c>
      <c r="W778" t="n">
        <v>102.1661</v>
      </c>
      <c r="X778" t="n">
        <v>101.3038</v>
      </c>
      <c r="Y778" t="n">
        <v>101.9007</v>
      </c>
      <c r="Z778" t="n">
        <v>101.9448</v>
      </c>
      <c r="AA778" t="n">
        <v>103.0974</v>
      </c>
      <c r="AB778" t="n">
        <v>101.4928</v>
      </c>
      <c r="AC778" t="n">
        <v>105.408</v>
      </c>
      <c r="AD778" t="n">
        <v>100.9911</v>
      </c>
      <c r="AE778" t="n">
        <v>101.4771</v>
      </c>
    </row>
    <row r="779">
      <c r="A779" s="90" t="n">
        <v>42278</v>
      </c>
      <c r="B779" t="n">
        <v>101.7225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103.7969</v>
      </c>
      <c r="I779" t="n">
        <v>100.8056</v>
      </c>
      <c r="J779" t="n">
        <v>102.2316</v>
      </c>
      <c r="K779" t="n">
        <v>102.5333</v>
      </c>
      <c r="L779" t="n">
        <v>101.103</v>
      </c>
      <c r="M779" t="n">
        <v>100.2559</v>
      </c>
      <c r="N779" t="n">
        <v>101.115</v>
      </c>
      <c r="O779" t="n">
        <v>102.9776</v>
      </c>
      <c r="P779" t="n">
        <v>102.7561</v>
      </c>
      <c r="Q779" t="n">
        <v>100.9895</v>
      </c>
      <c r="R779" t="n">
        <v>101.5894</v>
      </c>
      <c r="S779" t="n">
        <v>100.7015</v>
      </c>
      <c r="T779" t="n">
        <v>102.5363</v>
      </c>
      <c r="U779" t="n">
        <v>101.1859</v>
      </c>
      <c r="V779" t="n">
        <v>100.1547</v>
      </c>
      <c r="W779" t="n">
        <v>102.5672</v>
      </c>
      <c r="X779" t="n">
        <v>101.6178</v>
      </c>
      <c r="Y779" t="n">
        <v>102.4312</v>
      </c>
      <c r="Z779" t="n">
        <v>102.9968</v>
      </c>
      <c r="AA779" t="n">
        <v>106.2708</v>
      </c>
      <c r="AB779" t="n">
        <v>102.3619</v>
      </c>
      <c r="AC779" t="n">
        <v>106.1984</v>
      </c>
      <c r="AD779" t="n">
        <v>101.2593</v>
      </c>
      <c r="AE779" t="n">
        <v>102.6365</v>
      </c>
    </row>
    <row r="780">
      <c r="A780" s="90" t="n">
        <v>42309</v>
      </c>
      <c r="B780" t="n">
        <v>102.2577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104.4826</v>
      </c>
      <c r="I780" t="n">
        <v>101.5092</v>
      </c>
      <c r="J780" t="n">
        <v>103.5442</v>
      </c>
      <c r="K780" t="n">
        <v>102.9909</v>
      </c>
      <c r="L780" t="n">
        <v>101.9152</v>
      </c>
      <c r="M780" t="n">
        <v>100.2975</v>
      </c>
      <c r="N780" t="n">
        <v>102.4696</v>
      </c>
      <c r="O780" t="n">
        <v>102.5325</v>
      </c>
      <c r="P780" t="n">
        <v>103.5811</v>
      </c>
      <c r="Q780" t="n">
        <v>100.5141</v>
      </c>
      <c r="R780" t="n">
        <v>102.1427</v>
      </c>
      <c r="S780" t="n">
        <v>100.8658</v>
      </c>
      <c r="T780" t="n">
        <v>102.9267</v>
      </c>
      <c r="U780" t="n">
        <v>100.7858</v>
      </c>
      <c r="V780" t="n">
        <v>100.4422</v>
      </c>
      <c r="W780" t="n">
        <v>103.3274</v>
      </c>
      <c r="X780" t="n">
        <v>102.0906</v>
      </c>
      <c r="Y780" t="n">
        <v>102.6093</v>
      </c>
      <c r="Z780" t="n">
        <v>103.9069</v>
      </c>
      <c r="AA780" t="n">
        <v>107.1198</v>
      </c>
      <c r="AB780" t="n">
        <v>103.2849</v>
      </c>
      <c r="AC780" t="n">
        <v>105.4862</v>
      </c>
      <c r="AD780" t="n">
        <v>101.9998</v>
      </c>
      <c r="AE780" t="n">
        <v>103.8064</v>
      </c>
    </row>
    <row r="781">
      <c r="A781" s="90" t="n">
        <v>42339</v>
      </c>
      <c r="B781" t="n">
        <v>102.7592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105.0269</v>
      </c>
      <c r="I781" t="n">
        <v>102.0048</v>
      </c>
      <c r="J781" t="n">
        <v>104.6478</v>
      </c>
      <c r="K781" t="n">
        <v>103.6312</v>
      </c>
      <c r="L781" t="n">
        <v>102.2157</v>
      </c>
      <c r="M781" t="n">
        <v>100.7657</v>
      </c>
      <c r="N781" t="n">
        <v>103.7848</v>
      </c>
      <c r="O781" t="n">
        <v>102.6416</v>
      </c>
      <c r="P781" t="n">
        <v>104.636</v>
      </c>
      <c r="Q781" t="n">
        <v>99.99091</v>
      </c>
      <c r="R781" t="n">
        <v>102.2412</v>
      </c>
      <c r="S781" t="n">
        <v>101.0825</v>
      </c>
      <c r="T781" t="n">
        <v>103.4163</v>
      </c>
      <c r="U781" t="n">
        <v>100.8215</v>
      </c>
      <c r="V781" t="n">
        <v>100.6144</v>
      </c>
      <c r="W781" t="n">
        <v>104.3082</v>
      </c>
      <c r="X781" t="n">
        <v>102.4984</v>
      </c>
      <c r="Y781" t="n">
        <v>102.9069</v>
      </c>
      <c r="Z781" t="n">
        <v>104.5416</v>
      </c>
      <c r="AA781" t="n">
        <v>107.5554</v>
      </c>
      <c r="AB781" t="n">
        <v>103.6645</v>
      </c>
      <c r="AC781" t="n">
        <v>105.0813</v>
      </c>
      <c r="AD781" t="n">
        <v>102.4814</v>
      </c>
      <c r="AE781" t="n">
        <v>104.2667</v>
      </c>
    </row>
    <row r="782">
      <c r="A782" s="90" t="n">
        <v>42370</v>
      </c>
      <c r="B782" t="n">
        <v>103.171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105.9113</v>
      </c>
      <c r="I782" t="n">
        <v>101.7886</v>
      </c>
      <c r="J782" t="n">
        <v>105.2835</v>
      </c>
      <c r="K782" t="n">
        <v>101.5668</v>
      </c>
      <c r="L782" t="n">
        <v>102.5261</v>
      </c>
      <c r="M782" t="n">
        <v>101.6316</v>
      </c>
      <c r="N782" t="n">
        <v>104.0247</v>
      </c>
      <c r="O782" t="n">
        <v>103.3395</v>
      </c>
      <c r="P782" t="n">
        <v>105.6285</v>
      </c>
      <c r="Q782" t="n">
        <v>99.40437</v>
      </c>
      <c r="R782" t="n">
        <v>102.5992</v>
      </c>
      <c r="S782" t="n">
        <v>101.3284</v>
      </c>
      <c r="T782" t="n">
        <v>104.0652</v>
      </c>
      <c r="U782" t="n">
        <v>102.0751</v>
      </c>
      <c r="V782" t="n">
        <v>100.8831</v>
      </c>
      <c r="W782" t="n">
        <v>104.8233</v>
      </c>
      <c r="X782" t="n">
        <v>103.2946</v>
      </c>
      <c r="Y782" t="n">
        <v>103.4639</v>
      </c>
      <c r="Z782" t="n">
        <v>105.4562</v>
      </c>
      <c r="AA782" t="n">
        <v>109.6415</v>
      </c>
      <c r="AB782" t="n">
        <v>104.5156</v>
      </c>
      <c r="AC782" t="n">
        <v>105.6236</v>
      </c>
      <c r="AD782" t="n">
        <v>103.5274</v>
      </c>
      <c r="AE782" t="n">
        <v>104.0358</v>
      </c>
    </row>
    <row r="783">
      <c r="A783" s="90" t="n">
        <v>42401</v>
      </c>
      <c r="B783" t="n">
        <v>103.6361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106.7992</v>
      </c>
      <c r="I783" t="n">
        <v>101.4436</v>
      </c>
      <c r="J783" t="n">
        <v>105.9415</v>
      </c>
      <c r="K783" t="n">
        <v>99.39754000000001</v>
      </c>
      <c r="L783" t="n">
        <v>103.0043</v>
      </c>
      <c r="M783" t="n">
        <v>102.4745</v>
      </c>
      <c r="N783" t="n">
        <v>103.4711</v>
      </c>
      <c r="O783" t="n">
        <v>104.4958</v>
      </c>
      <c r="P783" t="n">
        <v>106.6381</v>
      </c>
      <c r="Q783" t="n">
        <v>98.75668</v>
      </c>
      <c r="R783" t="n">
        <v>103.2001</v>
      </c>
      <c r="S783" t="n">
        <v>101.5395</v>
      </c>
      <c r="T783" t="n">
        <v>104.7646</v>
      </c>
      <c r="U783" t="n">
        <v>102.6425</v>
      </c>
      <c r="V783" t="n">
        <v>101.4163</v>
      </c>
      <c r="W783" t="n">
        <v>105.6437</v>
      </c>
      <c r="X783" t="n">
        <v>103.8834</v>
      </c>
      <c r="Y783" t="n">
        <v>104.1933</v>
      </c>
      <c r="Z783" t="n">
        <v>106.5334</v>
      </c>
      <c r="AA783" t="n">
        <v>112.1195</v>
      </c>
      <c r="AB783" t="n">
        <v>105.3663</v>
      </c>
      <c r="AC783" t="n">
        <v>106.7955</v>
      </c>
      <c r="AD783" t="n">
        <v>104.1551</v>
      </c>
      <c r="AE783" t="n">
        <v>104.2212</v>
      </c>
    </row>
    <row r="784">
      <c r="A784" s="90" t="n">
        <v>42430</v>
      </c>
      <c r="B784" t="n">
        <v>104.1404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107.7521</v>
      </c>
      <c r="I784" t="n">
        <v>102.4932</v>
      </c>
      <c r="J784" t="n">
        <v>106.4184</v>
      </c>
      <c r="K784" t="n">
        <v>99.33789</v>
      </c>
      <c r="L784" t="n">
        <v>103.2904</v>
      </c>
      <c r="M784" t="n">
        <v>103.1643</v>
      </c>
      <c r="N784" t="n">
        <v>103.2475</v>
      </c>
      <c r="O784" t="n">
        <v>105.3269</v>
      </c>
      <c r="P784" t="n">
        <v>107.2807</v>
      </c>
      <c r="Q784" t="n">
        <v>98.05580999999999</v>
      </c>
      <c r="R784" t="n">
        <v>103.2328</v>
      </c>
      <c r="S784" t="n">
        <v>101.8052</v>
      </c>
      <c r="T784" t="n">
        <v>105.9252</v>
      </c>
      <c r="U784" t="n">
        <v>102.8263</v>
      </c>
      <c r="V784" t="n">
        <v>101.9165</v>
      </c>
      <c r="W784" t="n">
        <v>106.571</v>
      </c>
      <c r="X784" t="n">
        <v>104.3788</v>
      </c>
      <c r="Y784" t="n">
        <v>104.846</v>
      </c>
      <c r="Z784" t="n">
        <v>107.019</v>
      </c>
      <c r="AA784" t="n">
        <v>113.338</v>
      </c>
      <c r="AB784" t="n">
        <v>106.0192</v>
      </c>
      <c r="AC784" t="n">
        <v>107.8456</v>
      </c>
      <c r="AD784" t="n">
        <v>104.6872</v>
      </c>
      <c r="AE784" t="n">
        <v>105.322</v>
      </c>
    </row>
    <row r="785">
      <c r="A785" s="90" t="n">
        <v>42461</v>
      </c>
      <c r="B785" t="n">
        <v>104.583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108.7213</v>
      </c>
      <c r="I785" t="n">
        <v>102.8176</v>
      </c>
      <c r="J785" t="n">
        <v>106.9884</v>
      </c>
      <c r="K785" t="n">
        <v>100.125</v>
      </c>
      <c r="L785" t="n">
        <v>103.8903</v>
      </c>
      <c r="M785" t="n">
        <v>103.2232</v>
      </c>
      <c r="N785" t="n">
        <v>103.2368</v>
      </c>
      <c r="O785" t="n">
        <v>105.9369</v>
      </c>
      <c r="P785" t="n">
        <v>108.4104</v>
      </c>
      <c r="Q785" t="n">
        <v>97.29808</v>
      </c>
      <c r="R785" t="n">
        <v>103.6225</v>
      </c>
      <c r="S785" t="n">
        <v>102.1635</v>
      </c>
      <c r="T785" t="n">
        <v>106.6746</v>
      </c>
      <c r="U785" t="n">
        <v>103.2707</v>
      </c>
      <c r="V785" t="n">
        <v>102.4327</v>
      </c>
      <c r="W785" t="n">
        <v>107.4952</v>
      </c>
      <c r="X785" t="n">
        <v>104.9847</v>
      </c>
      <c r="Y785" t="n">
        <v>105.3031</v>
      </c>
      <c r="Z785" t="n">
        <v>107.9957</v>
      </c>
      <c r="AA785" t="n">
        <v>113.3835</v>
      </c>
      <c r="AB785" t="n">
        <v>106.7122</v>
      </c>
      <c r="AC785" t="n">
        <v>108.5829</v>
      </c>
      <c r="AD785" t="n">
        <v>105.4236</v>
      </c>
      <c r="AE785" t="n">
        <v>105.8837</v>
      </c>
    </row>
    <row r="786">
      <c r="A786" s="90" t="n">
        <v>42491</v>
      </c>
      <c r="B786" t="n">
        <v>104.922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109.4288</v>
      </c>
      <c r="I786" t="n">
        <v>102.1395</v>
      </c>
      <c r="J786" t="n">
        <v>108.0234</v>
      </c>
      <c r="K786" t="n">
        <v>101.3857</v>
      </c>
      <c r="L786" t="n">
        <v>104.5536</v>
      </c>
      <c r="M786" t="n">
        <v>103.3667</v>
      </c>
      <c r="N786" t="n">
        <v>103.4566</v>
      </c>
      <c r="O786" t="n">
        <v>106.5111</v>
      </c>
      <c r="P786" t="n">
        <v>109.3104</v>
      </c>
      <c r="Q786" t="n">
        <v>96.46853</v>
      </c>
      <c r="R786" t="n">
        <v>104.7403</v>
      </c>
      <c r="S786" t="n">
        <v>102.4699</v>
      </c>
      <c r="T786" t="n">
        <v>107.1337</v>
      </c>
      <c r="U786" t="n">
        <v>103.6686</v>
      </c>
      <c r="V786" t="n">
        <v>102.7665</v>
      </c>
      <c r="W786" t="n">
        <v>108.2645</v>
      </c>
      <c r="X786" t="n">
        <v>105.5557</v>
      </c>
      <c r="Y786" t="n">
        <v>105.96</v>
      </c>
      <c r="Z786" t="n">
        <v>109.3193</v>
      </c>
      <c r="AA786" t="n">
        <v>112.5974</v>
      </c>
      <c r="AB786" t="n">
        <v>107.2761</v>
      </c>
      <c r="AC786" t="n">
        <v>109.8012</v>
      </c>
      <c r="AD786" t="n">
        <v>105.9815</v>
      </c>
      <c r="AE786" t="n">
        <v>105.7887</v>
      </c>
    </row>
    <row r="787">
      <c r="A787" s="90" t="n">
        <v>42522</v>
      </c>
      <c r="B787" t="n">
        <v>105.3507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109.912</v>
      </c>
      <c r="I787" t="n">
        <v>102.4898</v>
      </c>
      <c r="J787" t="n">
        <v>108.4391</v>
      </c>
      <c r="K787" t="n">
        <v>101.5321</v>
      </c>
      <c r="L787" t="n">
        <v>104.8448</v>
      </c>
      <c r="M787" t="n">
        <v>105.3983</v>
      </c>
      <c r="N787" t="n">
        <v>104.0521</v>
      </c>
      <c r="O787" t="n">
        <v>107.4927</v>
      </c>
      <c r="P787" t="n">
        <v>109.3151</v>
      </c>
      <c r="Q787" t="n">
        <v>95.72318</v>
      </c>
      <c r="R787" t="n">
        <v>105.5492</v>
      </c>
      <c r="S787" t="n">
        <v>102.7504</v>
      </c>
      <c r="T787" t="n">
        <v>107.8685</v>
      </c>
      <c r="U787" t="n">
        <v>104.1071</v>
      </c>
      <c r="V787" t="n">
        <v>103.1657</v>
      </c>
      <c r="W787" t="n">
        <v>108.7921</v>
      </c>
      <c r="X787" t="n">
        <v>106.2422</v>
      </c>
      <c r="Y787" t="n">
        <v>107.2852</v>
      </c>
      <c r="Z787" t="n">
        <v>110.3683</v>
      </c>
      <c r="AA787" t="n">
        <v>112.9677</v>
      </c>
      <c r="AB787" t="n">
        <v>107.2596</v>
      </c>
      <c r="AC787" t="n">
        <v>111.4886</v>
      </c>
      <c r="AD787" t="n">
        <v>106.532</v>
      </c>
      <c r="AE787" t="n">
        <v>105.9874</v>
      </c>
    </row>
    <row r="788">
      <c r="A788" s="90" t="n">
        <v>42552</v>
      </c>
      <c r="B788" t="n">
        <v>106.0623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110.5197</v>
      </c>
      <c r="I788" t="n">
        <v>103.3754</v>
      </c>
      <c r="J788" t="n">
        <v>108.7743</v>
      </c>
      <c r="K788" t="n">
        <v>101.3673</v>
      </c>
      <c r="L788" t="n">
        <v>105.3873</v>
      </c>
      <c r="M788" t="n">
        <v>107.7262</v>
      </c>
      <c r="N788" t="n">
        <v>104.2547</v>
      </c>
      <c r="O788" t="n">
        <v>108.5878</v>
      </c>
      <c r="P788" t="n">
        <v>110.2634</v>
      </c>
      <c r="Q788" t="n">
        <v>95.27303000000001</v>
      </c>
      <c r="R788" t="n">
        <v>106.3045</v>
      </c>
      <c r="S788" t="n">
        <v>103.0051</v>
      </c>
      <c r="T788" t="n">
        <v>108.6416</v>
      </c>
      <c r="U788" t="n">
        <v>104.6474</v>
      </c>
      <c r="V788" t="n">
        <v>103.9729</v>
      </c>
      <c r="W788" t="n">
        <v>109.4333</v>
      </c>
      <c r="X788" t="n">
        <v>106.9463</v>
      </c>
      <c r="Y788" t="n">
        <v>108.6409</v>
      </c>
      <c r="Z788" t="n">
        <v>111.1972</v>
      </c>
      <c r="AA788" t="n">
        <v>113.2045</v>
      </c>
      <c r="AB788" t="n">
        <v>108.161</v>
      </c>
      <c r="AC788" t="n">
        <v>112.7543</v>
      </c>
      <c r="AD788" t="n">
        <v>107.0309</v>
      </c>
      <c r="AE788" t="n">
        <v>106.1696</v>
      </c>
    </row>
    <row r="789">
      <c r="A789" s="90" t="n">
        <v>42583</v>
      </c>
      <c r="B789" t="n">
        <v>106.7795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111.2427</v>
      </c>
      <c r="I789" t="n">
        <v>104.1882</v>
      </c>
      <c r="J789" t="n">
        <v>109.5771</v>
      </c>
      <c r="K789" t="n">
        <v>100.8535</v>
      </c>
      <c r="L789" t="n">
        <v>105.774</v>
      </c>
      <c r="M789" t="n">
        <v>108.7093</v>
      </c>
      <c r="N789" t="n">
        <v>104.2454</v>
      </c>
      <c r="O789" t="n">
        <v>109.1512</v>
      </c>
      <c r="P789" t="n">
        <v>111.6638</v>
      </c>
      <c r="Q789" t="n">
        <v>95.12656</v>
      </c>
      <c r="R789" t="n">
        <v>106.745</v>
      </c>
      <c r="S789" t="n">
        <v>103.2341</v>
      </c>
      <c r="T789" t="n">
        <v>109.5822</v>
      </c>
      <c r="U789" t="n">
        <v>104.9644</v>
      </c>
      <c r="V789" t="n">
        <v>104.7256</v>
      </c>
      <c r="W789" t="n">
        <v>109.9494</v>
      </c>
      <c r="X789" t="n">
        <v>107.5766</v>
      </c>
      <c r="Y789" t="n">
        <v>109.3595</v>
      </c>
      <c r="Z789" t="n">
        <v>111.5546</v>
      </c>
      <c r="AA789" t="n">
        <v>113.1759</v>
      </c>
      <c r="AB789" t="n">
        <v>109.6453</v>
      </c>
      <c r="AC789" t="n">
        <v>113.4886</v>
      </c>
      <c r="AD789" t="n">
        <v>107.7466</v>
      </c>
      <c r="AE789" t="n">
        <v>106.4011</v>
      </c>
    </row>
    <row r="790">
      <c r="A790" s="90" t="n">
        <v>42614</v>
      </c>
      <c r="B790" t="n">
        <v>107.1298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111.8262</v>
      </c>
      <c r="I790" t="n">
        <v>104.7723</v>
      </c>
      <c r="J790" t="n">
        <v>110.0626</v>
      </c>
      <c r="K790" t="n">
        <v>100.2302</v>
      </c>
      <c r="L790" t="n">
        <v>105.7384</v>
      </c>
      <c r="M790" t="n">
        <v>109.5221</v>
      </c>
      <c r="N790" t="n">
        <v>104.5682</v>
      </c>
      <c r="O790" t="n">
        <v>109.0556</v>
      </c>
      <c r="P790" t="n">
        <v>112.9333</v>
      </c>
      <c r="Q790" t="n">
        <v>95.29783999999999</v>
      </c>
      <c r="R790" t="n">
        <v>106.784</v>
      </c>
      <c r="S790" t="n">
        <v>103.4768</v>
      </c>
      <c r="T790" t="n">
        <v>110.4041</v>
      </c>
      <c r="U790" t="n">
        <v>106.4222</v>
      </c>
      <c r="V790" t="n">
        <v>105.677</v>
      </c>
      <c r="W790" t="n">
        <v>110.0643</v>
      </c>
      <c r="X790" t="n">
        <v>108.1416</v>
      </c>
      <c r="Y790" t="n">
        <v>109.9883</v>
      </c>
      <c r="Z790" t="n">
        <v>111.9094</v>
      </c>
      <c r="AA790" t="n">
        <v>113.3029</v>
      </c>
      <c r="AB790" t="n">
        <v>110.2269</v>
      </c>
      <c r="AC790" t="n">
        <v>114.335</v>
      </c>
      <c r="AD790" t="n">
        <v>108.2422</v>
      </c>
      <c r="AE790" t="n">
        <v>107.1649</v>
      </c>
    </row>
    <row r="791">
      <c r="A791" s="90" t="n">
        <v>42644</v>
      </c>
      <c r="B791" t="n">
        <v>107.6228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111.9871</v>
      </c>
      <c r="I791" t="n">
        <v>105.0353</v>
      </c>
      <c r="J791" t="n">
        <v>110.6374</v>
      </c>
      <c r="K791" t="n">
        <v>99.68088</v>
      </c>
      <c r="L791" t="n">
        <v>105.9027</v>
      </c>
      <c r="M791" t="n">
        <v>110.5453</v>
      </c>
      <c r="N791" t="n">
        <v>105.1625</v>
      </c>
      <c r="O791" t="n">
        <v>109.4764</v>
      </c>
      <c r="P791" t="n">
        <v>113.9786</v>
      </c>
      <c r="Q791" t="n">
        <v>95.74462</v>
      </c>
      <c r="R791" t="n">
        <v>107.1456</v>
      </c>
      <c r="S791" t="n">
        <v>103.7598</v>
      </c>
      <c r="T791" t="n">
        <v>110.8774</v>
      </c>
      <c r="U791" t="n">
        <v>107.4048</v>
      </c>
      <c r="V791" t="n">
        <v>106.1911</v>
      </c>
      <c r="W791" t="n">
        <v>110.7789</v>
      </c>
      <c r="X791" t="n">
        <v>108.7649</v>
      </c>
      <c r="Y791" t="n">
        <v>110.9295</v>
      </c>
      <c r="Z791" t="n">
        <v>112.3453</v>
      </c>
      <c r="AA791" t="n">
        <v>112.9869</v>
      </c>
      <c r="AB791" t="n">
        <v>110.8456</v>
      </c>
      <c r="AC791" t="n">
        <v>116.0833</v>
      </c>
      <c r="AD791" t="n">
        <v>108.8026</v>
      </c>
      <c r="AE791" t="n">
        <v>108.9649</v>
      </c>
    </row>
    <row r="792">
      <c r="A792" s="90" t="n">
        <v>42675</v>
      </c>
      <c r="B792" t="n">
        <v>108.4493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112.4824</v>
      </c>
      <c r="I792" t="n">
        <v>104.8983</v>
      </c>
      <c r="J792" t="n">
        <v>111.9626</v>
      </c>
      <c r="K792" t="n">
        <v>99.73757000000001</v>
      </c>
      <c r="L792" t="n">
        <v>106.5019</v>
      </c>
      <c r="M792" t="n">
        <v>111.077</v>
      </c>
      <c r="N792" t="n">
        <v>105.9951</v>
      </c>
      <c r="O792" t="n">
        <v>111.1805</v>
      </c>
      <c r="P792" t="n">
        <v>114.4473</v>
      </c>
      <c r="Q792" t="n">
        <v>96.19054</v>
      </c>
      <c r="R792" t="n">
        <v>107.7179</v>
      </c>
      <c r="S792" t="n">
        <v>104.1268</v>
      </c>
      <c r="T792" t="n">
        <v>111.284</v>
      </c>
      <c r="U792" t="n">
        <v>107.4286</v>
      </c>
      <c r="V792" t="n">
        <v>106.4989</v>
      </c>
      <c r="W792" t="n">
        <v>111.6204</v>
      </c>
      <c r="X792" t="n">
        <v>109.4136</v>
      </c>
      <c r="Y792" t="n">
        <v>112.1725</v>
      </c>
      <c r="Z792" t="n">
        <v>113.4661</v>
      </c>
      <c r="AA792" t="n">
        <v>112.9588</v>
      </c>
      <c r="AB792" t="n">
        <v>111.9196</v>
      </c>
      <c r="AC792" t="n">
        <v>119.124</v>
      </c>
      <c r="AD792" t="n">
        <v>109.3929</v>
      </c>
      <c r="AE792" t="n">
        <v>109.742</v>
      </c>
    </row>
    <row r="793">
      <c r="A793" s="90" t="n">
        <v>42705</v>
      </c>
      <c r="B793" t="n">
        <v>109.4495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113.0085</v>
      </c>
      <c r="I793" t="n">
        <v>105.0862</v>
      </c>
      <c r="J793" t="n">
        <v>112.3868</v>
      </c>
      <c r="K793" t="n">
        <v>99.9858</v>
      </c>
      <c r="L793" t="n">
        <v>107.1984</v>
      </c>
      <c r="M793" t="n">
        <v>111.1065</v>
      </c>
      <c r="N793" t="n">
        <v>109.0607</v>
      </c>
      <c r="O793" t="n">
        <v>112.6748</v>
      </c>
      <c r="P793" t="n">
        <v>113.1645</v>
      </c>
      <c r="Q793" t="n">
        <v>96.53201</v>
      </c>
      <c r="R793" t="n">
        <v>108.1437</v>
      </c>
      <c r="S793" t="n">
        <v>104.485</v>
      </c>
      <c r="T793" t="n">
        <v>111.5782</v>
      </c>
      <c r="U793" t="n">
        <v>108.1177</v>
      </c>
      <c r="V793" t="n">
        <v>106.3611</v>
      </c>
      <c r="W793" t="n">
        <v>112.123</v>
      </c>
      <c r="X793" t="n">
        <v>109.9373</v>
      </c>
      <c r="Y793" t="n">
        <v>113.2888</v>
      </c>
      <c r="Z793" t="n">
        <v>114.5689</v>
      </c>
      <c r="AA793" t="n">
        <v>113.0665</v>
      </c>
      <c r="AB793" t="n">
        <v>112.4266</v>
      </c>
      <c r="AC793" t="n">
        <v>122.3516</v>
      </c>
      <c r="AD793" t="n">
        <v>109.6677</v>
      </c>
      <c r="AE793" t="n">
        <v>109.924</v>
      </c>
    </row>
    <row r="794">
      <c r="A794" s="90" t="n">
        <v>42736</v>
      </c>
      <c r="B794" t="n">
        <v>110.3432</v>
      </c>
      <c r="C794" t="n">
        <v>117.4995</v>
      </c>
      <c r="D794" t="n">
        <v>113.0862</v>
      </c>
      <c r="E794" t="n">
        <v>104.0666</v>
      </c>
      <c r="F794" t="n">
        <v>115.2863</v>
      </c>
      <c r="G794" t="n">
        <v>118.7757</v>
      </c>
      <c r="H794" t="n">
        <v>113.7332</v>
      </c>
      <c r="I794" t="n">
        <v>105.7677</v>
      </c>
      <c r="J794" t="n">
        <v>113.0028</v>
      </c>
      <c r="K794" t="n">
        <v>99.49997999999999</v>
      </c>
      <c r="L794" t="n">
        <v>107.5622</v>
      </c>
      <c r="M794" t="n">
        <v>111.5898</v>
      </c>
      <c r="N794" t="n">
        <v>111.0767</v>
      </c>
      <c r="O794" t="n">
        <v>113.6743</v>
      </c>
      <c r="P794" t="n">
        <v>112.252</v>
      </c>
      <c r="Q794" t="n">
        <v>96.86812999999999</v>
      </c>
      <c r="R794" t="n">
        <v>108.6865</v>
      </c>
      <c r="S794" t="n">
        <v>104.8163</v>
      </c>
      <c r="T794" t="n">
        <v>111.8674</v>
      </c>
      <c r="U794" t="n">
        <v>108.5231</v>
      </c>
      <c r="V794" t="n">
        <v>106.6376</v>
      </c>
      <c r="W794" t="n">
        <v>112.7333</v>
      </c>
      <c r="X794" t="n">
        <v>110.5634</v>
      </c>
      <c r="Y794" t="n">
        <v>114.2815</v>
      </c>
      <c r="Z794" t="n">
        <v>114.9385</v>
      </c>
      <c r="AA794" t="n">
        <v>111.9958</v>
      </c>
      <c r="AB794" t="n">
        <v>114</v>
      </c>
      <c r="AC794" t="n">
        <v>124.6684</v>
      </c>
      <c r="AD794" t="n">
        <v>110.2746</v>
      </c>
      <c r="AE794" t="n">
        <v>111.2368</v>
      </c>
    </row>
    <row r="795">
      <c r="A795" s="90" t="n">
        <v>42767</v>
      </c>
      <c r="B795" t="n">
        <v>110.9708</v>
      </c>
      <c r="C795" t="n">
        <v>118.423</v>
      </c>
      <c r="D795" t="n">
        <v>112.9328</v>
      </c>
      <c r="E795" t="n">
        <v>104.3103</v>
      </c>
      <c r="F795" t="n">
        <v>115.9566</v>
      </c>
      <c r="G795" t="n">
        <v>119.5943</v>
      </c>
      <c r="H795" t="n">
        <v>114.4502</v>
      </c>
      <c r="I795" t="n">
        <v>106.4387</v>
      </c>
      <c r="J795" t="n">
        <v>114.9421</v>
      </c>
      <c r="K795" t="n">
        <v>100.024</v>
      </c>
      <c r="L795" t="n">
        <v>107.8458</v>
      </c>
      <c r="M795" t="n">
        <v>112.6486</v>
      </c>
      <c r="N795" t="n">
        <v>110.3328</v>
      </c>
      <c r="O795" t="n">
        <v>114.5266</v>
      </c>
      <c r="P795" t="n">
        <v>113.2879</v>
      </c>
      <c r="Q795" t="n">
        <v>97.20923000000001</v>
      </c>
      <c r="R795" t="n">
        <v>109.028</v>
      </c>
      <c r="S795" t="n">
        <v>105.1601</v>
      </c>
      <c r="T795" t="n">
        <v>112.6663</v>
      </c>
      <c r="U795" t="n">
        <v>109.0174</v>
      </c>
      <c r="V795" t="n">
        <v>107.7745</v>
      </c>
      <c r="W795" t="n">
        <v>113.0227</v>
      </c>
      <c r="X795" t="n">
        <v>111.1284</v>
      </c>
      <c r="Y795" t="n">
        <v>115.0759</v>
      </c>
      <c r="Z795" t="n">
        <v>115.3637</v>
      </c>
      <c r="AA795" t="n">
        <v>112.3349</v>
      </c>
      <c r="AB795" t="n">
        <v>115.7784</v>
      </c>
      <c r="AC795" t="n">
        <v>125.1601</v>
      </c>
      <c r="AD795" t="n">
        <v>110.8449</v>
      </c>
      <c r="AE795" t="n">
        <v>111.6519</v>
      </c>
    </row>
    <row r="796">
      <c r="A796" s="90" t="n">
        <v>42795</v>
      </c>
      <c r="B796" t="n">
        <v>111.335</v>
      </c>
      <c r="C796" t="n">
        <v>119.5359</v>
      </c>
      <c r="D796" t="n">
        <v>113.7093</v>
      </c>
      <c r="E796" t="n">
        <v>104.6731</v>
      </c>
      <c r="F796" t="n">
        <v>116.9821</v>
      </c>
      <c r="G796" t="n">
        <v>120.2932</v>
      </c>
      <c r="H796" t="n">
        <v>114.5123</v>
      </c>
      <c r="I796" t="n">
        <v>106.6751</v>
      </c>
      <c r="J796" t="n">
        <v>116.796</v>
      </c>
      <c r="K796" t="n">
        <v>101.1495</v>
      </c>
      <c r="L796" t="n">
        <v>108.4999</v>
      </c>
      <c r="M796" t="n">
        <v>113.9073</v>
      </c>
      <c r="N796" t="n">
        <v>110.6311</v>
      </c>
      <c r="O796" t="n">
        <v>115.4727</v>
      </c>
      <c r="P796" t="n">
        <v>116.216</v>
      </c>
      <c r="Q796" t="n">
        <v>97.61906999999999</v>
      </c>
      <c r="R796" t="n">
        <v>109.1157</v>
      </c>
      <c r="S796" t="n">
        <v>105.4457</v>
      </c>
      <c r="T796" t="n">
        <v>113.6558</v>
      </c>
      <c r="U796" t="n">
        <v>110.1095</v>
      </c>
      <c r="V796" t="n">
        <v>108.8466</v>
      </c>
      <c r="W796" t="n">
        <v>113.4624</v>
      </c>
      <c r="X796" t="n">
        <v>111.7889</v>
      </c>
      <c r="Y796" t="n">
        <v>116.055</v>
      </c>
      <c r="Z796" t="n">
        <v>115.5592</v>
      </c>
      <c r="AA796" t="n">
        <v>113.8472</v>
      </c>
      <c r="AB796" t="n">
        <v>116.497</v>
      </c>
      <c r="AC796" t="n">
        <v>126.2807</v>
      </c>
      <c r="AD796" t="n">
        <v>111.4194</v>
      </c>
      <c r="AE796" t="n">
        <v>111.6012</v>
      </c>
    </row>
    <row r="797">
      <c r="A797" s="90" t="n">
        <v>42826</v>
      </c>
      <c r="B797" t="n">
        <v>111.9542</v>
      </c>
      <c r="C797" t="n">
        <v>120.2078</v>
      </c>
      <c r="D797" t="n">
        <v>114.8564</v>
      </c>
      <c r="E797" t="n">
        <v>104.9959</v>
      </c>
      <c r="F797" t="n">
        <v>118.152</v>
      </c>
      <c r="G797" t="n">
        <v>121.0492</v>
      </c>
      <c r="H797" t="n">
        <v>115.3661</v>
      </c>
      <c r="I797" t="n">
        <v>106.901</v>
      </c>
      <c r="J797" t="n">
        <v>118.8035</v>
      </c>
      <c r="K797" t="n">
        <v>101.1761</v>
      </c>
      <c r="L797" t="n">
        <v>109.2168</v>
      </c>
      <c r="M797" t="n">
        <v>114.7675</v>
      </c>
      <c r="N797" t="n">
        <v>111.5914</v>
      </c>
      <c r="O797" t="n">
        <v>116.4062</v>
      </c>
      <c r="P797" t="n">
        <v>117.1298</v>
      </c>
      <c r="Q797" t="n">
        <v>98.13142000000001</v>
      </c>
      <c r="R797" t="n">
        <v>109.2309</v>
      </c>
      <c r="S797" t="n">
        <v>105.5898</v>
      </c>
      <c r="T797" t="n">
        <v>114.4638</v>
      </c>
      <c r="U797" t="n">
        <v>111.036</v>
      </c>
      <c r="V797" t="n">
        <v>109.6681</v>
      </c>
      <c r="W797" t="n">
        <v>114.1808</v>
      </c>
      <c r="X797" t="n">
        <v>112.4771</v>
      </c>
      <c r="Y797" t="n">
        <v>117.3039</v>
      </c>
      <c r="Z797" t="n">
        <v>115.8415</v>
      </c>
      <c r="AA797" t="n">
        <v>114.0993</v>
      </c>
      <c r="AB797" t="n">
        <v>117.5036</v>
      </c>
      <c r="AC797" t="n">
        <v>129.1947</v>
      </c>
      <c r="AD797" t="n">
        <v>111.9366</v>
      </c>
      <c r="AE797" t="n">
        <v>111.6566</v>
      </c>
    </row>
    <row r="798">
      <c r="A798" s="90" t="n">
        <v>42856</v>
      </c>
      <c r="B798" t="n">
        <v>112.6938</v>
      </c>
      <c r="C798" t="n">
        <v>120.2673</v>
      </c>
      <c r="D798" t="n">
        <v>115.8048</v>
      </c>
      <c r="E798" t="n">
        <v>105.5074</v>
      </c>
      <c r="F798" t="n">
        <v>118.5276</v>
      </c>
      <c r="G798" t="n">
        <v>121.4682</v>
      </c>
      <c r="H798" t="n">
        <v>116.0146</v>
      </c>
      <c r="I798" t="n">
        <v>107.1887</v>
      </c>
      <c r="J798" t="n">
        <v>119.9283</v>
      </c>
      <c r="K798" t="n">
        <v>101.1185</v>
      </c>
      <c r="L798" t="n">
        <v>109.5255</v>
      </c>
      <c r="M798" t="n">
        <v>115.0322</v>
      </c>
      <c r="N798" t="n">
        <v>112.3837</v>
      </c>
      <c r="O798" t="n">
        <v>117.6562</v>
      </c>
      <c r="P798" t="n">
        <v>116.5616</v>
      </c>
      <c r="Q798" t="n">
        <v>98.63141</v>
      </c>
      <c r="R798" t="n">
        <v>109.6762</v>
      </c>
      <c r="S798" t="n">
        <v>105.7334</v>
      </c>
      <c r="T798" t="n">
        <v>114.9679</v>
      </c>
      <c r="U798" t="n">
        <v>111.0456</v>
      </c>
      <c r="V798" t="n">
        <v>109.7945</v>
      </c>
      <c r="W798" t="n">
        <v>114.8327</v>
      </c>
      <c r="X798" t="n">
        <v>112.9385</v>
      </c>
      <c r="Y798" t="n">
        <v>118.0189</v>
      </c>
      <c r="Z798" t="n">
        <v>116.4001</v>
      </c>
      <c r="AA798" t="n">
        <v>114.5633</v>
      </c>
      <c r="AB798" t="n">
        <v>118.0493</v>
      </c>
      <c r="AC798" t="n">
        <v>130.9375</v>
      </c>
      <c r="AD798" t="n">
        <v>112.3675</v>
      </c>
      <c r="AE798" t="n">
        <v>111.8853</v>
      </c>
    </row>
    <row r="799">
      <c r="A799" s="90" t="n">
        <v>42887</v>
      </c>
      <c r="B799" t="n">
        <v>113.3214</v>
      </c>
      <c r="C799" t="n">
        <v>120.7883</v>
      </c>
      <c r="D799" t="n">
        <v>115.4725</v>
      </c>
      <c r="E799" t="n">
        <v>106.084</v>
      </c>
      <c r="F799" t="n">
        <v>118.7702</v>
      </c>
      <c r="G799" t="n">
        <v>122.0975</v>
      </c>
      <c r="H799" t="n">
        <v>116.3125</v>
      </c>
      <c r="I799" t="n">
        <v>107.5265</v>
      </c>
      <c r="J799" t="n">
        <v>119.6068</v>
      </c>
      <c r="K799" t="n">
        <v>101.5493</v>
      </c>
      <c r="L799" t="n">
        <v>109.7787</v>
      </c>
      <c r="M799" t="n">
        <v>115.1666</v>
      </c>
      <c r="N799" t="n">
        <v>113.6746</v>
      </c>
      <c r="O799" t="n">
        <v>118.9115</v>
      </c>
      <c r="P799" t="n">
        <v>117.4433</v>
      </c>
      <c r="Q799" t="n">
        <v>99.06856000000001</v>
      </c>
      <c r="R799" t="n">
        <v>111.0257</v>
      </c>
      <c r="S799" t="n">
        <v>106.1545</v>
      </c>
      <c r="T799" t="n">
        <v>115.3218</v>
      </c>
      <c r="U799" t="n">
        <v>111.7549</v>
      </c>
      <c r="V799" t="n">
        <v>110.1177</v>
      </c>
      <c r="W799" t="n">
        <v>115.4981</v>
      </c>
      <c r="X799" t="n">
        <v>113.2744</v>
      </c>
      <c r="Y799" t="n">
        <v>118.5449</v>
      </c>
      <c r="Z799" t="n">
        <v>116.5683</v>
      </c>
      <c r="AA799" t="n">
        <v>115.3655</v>
      </c>
      <c r="AB799" t="n">
        <v>118.6847</v>
      </c>
      <c r="AC799" t="n">
        <v>132.3237</v>
      </c>
      <c r="AD799" t="n">
        <v>112.5676</v>
      </c>
      <c r="AE799" t="n">
        <v>112.4171</v>
      </c>
    </row>
    <row r="800">
      <c r="A800" s="90" t="n">
        <v>42917</v>
      </c>
      <c r="B800" t="n">
        <v>113.8425</v>
      </c>
      <c r="C800" t="n">
        <v>121.3684</v>
      </c>
      <c r="D800" t="n">
        <v>115.1887</v>
      </c>
      <c r="E800" t="n">
        <v>106.4488</v>
      </c>
      <c r="F800" t="n">
        <v>119.431</v>
      </c>
      <c r="G800" t="n">
        <v>123.1019</v>
      </c>
      <c r="H800" t="n">
        <v>117.0822</v>
      </c>
      <c r="I800" t="n">
        <v>107.8126</v>
      </c>
      <c r="J800" t="n">
        <v>119.6142</v>
      </c>
      <c r="K800" t="n">
        <v>101.5377</v>
      </c>
      <c r="L800" t="n">
        <v>110.1246</v>
      </c>
      <c r="M800" t="n">
        <v>115.4698</v>
      </c>
      <c r="N800" t="n">
        <v>114.5184</v>
      </c>
      <c r="O800" t="n">
        <v>119.3028</v>
      </c>
      <c r="P800" t="n">
        <v>118.0385</v>
      </c>
      <c r="Q800" t="n">
        <v>99.46514999999999</v>
      </c>
      <c r="R800" t="n">
        <v>112.1675</v>
      </c>
      <c r="S800" t="n">
        <v>106.4494</v>
      </c>
      <c r="T800" t="n">
        <v>116.0128</v>
      </c>
      <c r="U800" t="n">
        <v>113.1642</v>
      </c>
      <c r="V800" t="n">
        <v>110.9978</v>
      </c>
      <c r="W800" t="n">
        <v>116.3419</v>
      </c>
      <c r="X800" t="n">
        <v>113.8098</v>
      </c>
      <c r="Y800" t="n">
        <v>119.1008</v>
      </c>
      <c r="Z800" t="n">
        <v>116.7728</v>
      </c>
      <c r="AA800" t="n">
        <v>116.7958</v>
      </c>
      <c r="AB800" t="n">
        <v>119.3268</v>
      </c>
      <c r="AC800" t="n">
        <v>133.6095</v>
      </c>
      <c r="AD800" t="n">
        <v>113.0832</v>
      </c>
      <c r="AE800" t="n">
        <v>113.1263</v>
      </c>
    </row>
    <row r="801">
      <c r="A801" s="90" t="n">
        <v>42948</v>
      </c>
      <c r="B801" t="n">
        <v>114.0751</v>
      </c>
      <c r="C801" t="n">
        <v>122.2579</v>
      </c>
      <c r="D801" t="n">
        <v>115.4986</v>
      </c>
      <c r="E801" t="n">
        <v>106.7575</v>
      </c>
      <c r="F801" t="n">
        <v>119.3856</v>
      </c>
      <c r="G801" t="n">
        <v>123.9585</v>
      </c>
      <c r="H801" t="n">
        <v>117.2472</v>
      </c>
      <c r="I801" t="n">
        <v>108.8466</v>
      </c>
      <c r="J801" t="n">
        <v>120.5217</v>
      </c>
      <c r="K801" t="n">
        <v>101.7094</v>
      </c>
      <c r="L801" t="n">
        <v>110.5455</v>
      </c>
      <c r="M801" t="n">
        <v>116.3143</v>
      </c>
      <c r="N801" t="n">
        <v>115.2767</v>
      </c>
      <c r="O801" t="n">
        <v>119.7398</v>
      </c>
      <c r="P801" t="n">
        <v>118.535</v>
      </c>
      <c r="Q801" t="n">
        <v>99.86273</v>
      </c>
      <c r="R801" t="n">
        <v>113.058</v>
      </c>
      <c r="S801" t="n">
        <v>106.6885</v>
      </c>
      <c r="T801" t="n">
        <v>116.6068</v>
      </c>
      <c r="U801" t="n">
        <v>113.5415</v>
      </c>
      <c r="V801" t="n">
        <v>111.2591</v>
      </c>
      <c r="W801" t="n">
        <v>117.065</v>
      </c>
      <c r="X801" t="n">
        <v>114.3228</v>
      </c>
      <c r="Y801" t="n">
        <v>119.9856</v>
      </c>
      <c r="Z801" t="n">
        <v>117.4069</v>
      </c>
      <c r="AA801" t="n">
        <v>117.6383</v>
      </c>
      <c r="AB801" t="n">
        <v>120.0205</v>
      </c>
      <c r="AC801" t="n">
        <v>135.169</v>
      </c>
      <c r="AD801" t="n">
        <v>113.5697</v>
      </c>
      <c r="AE801" t="n">
        <v>113.8326</v>
      </c>
    </row>
    <row r="802">
      <c r="A802" s="90" t="n">
        <v>42979</v>
      </c>
      <c r="B802" t="n">
        <v>114.3972</v>
      </c>
      <c r="C802" t="n">
        <v>123.5425</v>
      </c>
      <c r="D802" t="n">
        <v>115.9213</v>
      </c>
      <c r="E802" t="n">
        <v>107.1083</v>
      </c>
      <c r="F802" t="n">
        <v>119.4809</v>
      </c>
      <c r="G802" t="n">
        <v>125.0239</v>
      </c>
      <c r="H802" t="n">
        <v>117.5125</v>
      </c>
      <c r="I802" t="n">
        <v>108.8051</v>
      </c>
      <c r="J802" t="n">
        <v>121.0099</v>
      </c>
      <c r="K802" t="n">
        <v>102.4581</v>
      </c>
      <c r="L802" t="n">
        <v>110.8762</v>
      </c>
      <c r="M802" t="n">
        <v>117.3147</v>
      </c>
      <c r="N802" t="n">
        <v>117.1829</v>
      </c>
      <c r="O802" t="n">
        <v>120.4274</v>
      </c>
      <c r="P802" t="n">
        <v>119.2442</v>
      </c>
      <c r="Q802" t="n">
        <v>100.2001</v>
      </c>
      <c r="R802" t="n">
        <v>113.6523</v>
      </c>
      <c r="S802" t="n">
        <v>106.9707</v>
      </c>
      <c r="T802" t="n">
        <v>116.8371</v>
      </c>
      <c r="U802" t="n">
        <v>114.4155</v>
      </c>
      <c r="V802" t="n">
        <v>111.5446</v>
      </c>
      <c r="W802" t="n">
        <v>117.5615</v>
      </c>
      <c r="X802" t="n">
        <v>114.8399</v>
      </c>
      <c r="Y802" t="n">
        <v>121.0892</v>
      </c>
      <c r="Z802" t="n">
        <v>118.0416</v>
      </c>
      <c r="AA802" t="n">
        <v>117.5083</v>
      </c>
      <c r="AB802" t="n">
        <v>121.0692</v>
      </c>
      <c r="AC802" t="n">
        <v>137.1482</v>
      </c>
      <c r="AD802" t="n">
        <v>113.9225</v>
      </c>
      <c r="AE802" t="n">
        <v>114.7182</v>
      </c>
    </row>
    <row r="803">
      <c r="A803" s="90" t="n">
        <v>43009</v>
      </c>
      <c r="B803" t="n">
        <v>114.8399</v>
      </c>
      <c r="C803" t="n">
        <v>124.5115</v>
      </c>
      <c r="D803" t="n">
        <v>116.7449</v>
      </c>
      <c r="E803" t="n">
        <v>107.3775</v>
      </c>
      <c r="F803" t="n">
        <v>120.1206</v>
      </c>
      <c r="G803" t="n">
        <v>126.0675</v>
      </c>
      <c r="H803" t="n">
        <v>118.2058</v>
      </c>
      <c r="I803" t="n">
        <v>107.6457</v>
      </c>
      <c r="J803" t="n">
        <v>120.8254</v>
      </c>
      <c r="K803" t="n">
        <v>102.0365</v>
      </c>
      <c r="L803" t="n">
        <v>111.0502</v>
      </c>
      <c r="M803" t="n">
        <v>117.9251</v>
      </c>
      <c r="N803" t="n">
        <v>118.5873</v>
      </c>
      <c r="O803" t="n">
        <v>121.2595</v>
      </c>
      <c r="P803" t="n">
        <v>121.0234</v>
      </c>
      <c r="Q803" t="n">
        <v>100.3614</v>
      </c>
      <c r="R803" t="n">
        <v>113.3628</v>
      </c>
      <c r="S803" t="n">
        <v>107.2832</v>
      </c>
      <c r="T803" t="n">
        <v>117.3732</v>
      </c>
      <c r="U803" t="n">
        <v>115.2496</v>
      </c>
      <c r="V803" t="n">
        <v>112.5092</v>
      </c>
      <c r="W803" t="n">
        <v>118.5498</v>
      </c>
      <c r="X803" t="n">
        <v>115.4556</v>
      </c>
      <c r="Y803" t="n">
        <v>122.2426</v>
      </c>
      <c r="Z803" t="n">
        <v>118.6555</v>
      </c>
      <c r="AA803" t="n">
        <v>117.6806</v>
      </c>
      <c r="AB803" t="n">
        <v>121.665</v>
      </c>
      <c r="AC803" t="n">
        <v>140.4015</v>
      </c>
      <c r="AD803" t="n">
        <v>114.3816</v>
      </c>
      <c r="AE803" t="n">
        <v>115.6006</v>
      </c>
    </row>
    <row r="804">
      <c r="A804" s="90" t="n">
        <v>43040</v>
      </c>
      <c r="B804" t="n">
        <v>115.2125</v>
      </c>
      <c r="C804" t="n">
        <v>124.9764</v>
      </c>
      <c r="D804" t="n">
        <v>117.4249</v>
      </c>
      <c r="E804" t="n">
        <v>107.5197</v>
      </c>
      <c r="F804" t="n">
        <v>120.6163</v>
      </c>
      <c r="G804" t="n">
        <v>127.1524</v>
      </c>
      <c r="H804" t="n">
        <v>119.0815</v>
      </c>
      <c r="I804" t="n">
        <v>107.4708</v>
      </c>
      <c r="J804" t="n">
        <v>121.0119</v>
      </c>
      <c r="K804" t="n">
        <v>101.29</v>
      </c>
      <c r="L804" t="n">
        <v>111.4739</v>
      </c>
      <c r="M804" t="n">
        <v>118.2333</v>
      </c>
      <c r="N804" t="n">
        <v>119.5791</v>
      </c>
      <c r="O804" t="n">
        <v>122.2036</v>
      </c>
      <c r="P804" t="n">
        <v>122.2668</v>
      </c>
      <c r="Q804" t="n">
        <v>100.5153</v>
      </c>
      <c r="R804" t="n">
        <v>113.288</v>
      </c>
      <c r="S804" t="n">
        <v>107.6396</v>
      </c>
      <c r="T804" t="n">
        <v>117.9518</v>
      </c>
      <c r="U804" t="n">
        <v>115.866</v>
      </c>
      <c r="V804" t="n">
        <v>113.0978</v>
      </c>
      <c r="W804" t="n">
        <v>119.5862</v>
      </c>
      <c r="X804" t="n">
        <v>115.922</v>
      </c>
      <c r="Y804" t="n">
        <v>123.2224</v>
      </c>
      <c r="Z804" t="n">
        <v>119.2572</v>
      </c>
      <c r="AA804" t="n">
        <v>118.4511</v>
      </c>
      <c r="AB804" t="n">
        <v>122.1007</v>
      </c>
      <c r="AC804" t="n">
        <v>143.5611</v>
      </c>
      <c r="AD804" t="n">
        <v>114.6033</v>
      </c>
      <c r="AE804" t="n">
        <v>116.1568</v>
      </c>
    </row>
    <row r="805">
      <c r="A805" s="90" t="n">
        <v>43070</v>
      </c>
      <c r="B805" t="n">
        <v>115.2349</v>
      </c>
      <c r="C805" t="n">
        <v>125.3354</v>
      </c>
      <c r="D805" t="n">
        <v>118.1107</v>
      </c>
      <c r="E805" t="n">
        <v>107.6446</v>
      </c>
      <c r="F805" t="n">
        <v>120.6695</v>
      </c>
      <c r="G805" t="n">
        <v>127.9033</v>
      </c>
      <c r="H805" t="n">
        <v>120.4739</v>
      </c>
      <c r="I805" t="n">
        <v>107.2434</v>
      </c>
      <c r="J805" t="n">
        <v>121.4602</v>
      </c>
      <c r="K805" t="n">
        <v>101.9412</v>
      </c>
      <c r="L805" t="n">
        <v>111.8837</v>
      </c>
      <c r="M805" t="n">
        <v>118.2226</v>
      </c>
      <c r="N805" t="n">
        <v>120.2968</v>
      </c>
      <c r="O805" t="n">
        <v>122.6267</v>
      </c>
      <c r="P805" t="n">
        <v>122.8887</v>
      </c>
      <c r="Q805" t="n">
        <v>100.8441</v>
      </c>
      <c r="R805" t="n">
        <v>113.7345</v>
      </c>
      <c r="S805" t="n">
        <v>107.7243</v>
      </c>
      <c r="T805" t="n">
        <v>118.5219</v>
      </c>
      <c r="U805" t="n">
        <v>116.9818</v>
      </c>
      <c r="V805" t="n">
        <v>113.0396</v>
      </c>
      <c r="W805" t="n">
        <v>120.2819</v>
      </c>
      <c r="X805" t="n">
        <v>116.3066</v>
      </c>
      <c r="Y805" t="n">
        <v>123.4331</v>
      </c>
      <c r="Z805" t="n">
        <v>119.7729</v>
      </c>
      <c r="AA805" t="n">
        <v>119.1709</v>
      </c>
      <c r="AB805" t="n">
        <v>122.1197</v>
      </c>
      <c r="AC805" t="n">
        <v>143.8664</v>
      </c>
      <c r="AD805" t="n">
        <v>115.0034</v>
      </c>
      <c r="AE805" t="n">
        <v>117.1088</v>
      </c>
    </row>
    <row r="806">
      <c r="A806" s="90" t="n">
        <v>43101</v>
      </c>
      <c r="B806" t="n">
        <v>115.3358</v>
      </c>
      <c r="C806" t="n">
        <v>125.8874</v>
      </c>
      <c r="D806" t="n">
        <v>117.8155</v>
      </c>
      <c r="E806" t="n">
        <v>107.9691</v>
      </c>
      <c r="F806" t="n">
        <v>120.5811</v>
      </c>
      <c r="G806" t="n">
        <v>129.0859</v>
      </c>
      <c r="H806" t="n">
        <v>121.162</v>
      </c>
      <c r="I806" t="n">
        <v>106.7083</v>
      </c>
      <c r="J806" t="n">
        <v>121.7839</v>
      </c>
      <c r="K806" t="n">
        <v>101.8548</v>
      </c>
      <c r="L806" t="n">
        <v>111.9393</v>
      </c>
      <c r="M806" t="n">
        <v>118.7511</v>
      </c>
      <c r="N806" t="n">
        <v>122.0535</v>
      </c>
      <c r="O806" t="n">
        <v>123.2196</v>
      </c>
      <c r="P806" t="n">
        <v>123.8216</v>
      </c>
      <c r="Q806" t="n">
        <v>101.2755</v>
      </c>
      <c r="R806" t="n">
        <v>113.9574</v>
      </c>
      <c r="S806" t="n">
        <v>107.9335</v>
      </c>
      <c r="T806" t="n">
        <v>119.5776</v>
      </c>
      <c r="U806" t="n">
        <v>116.0133</v>
      </c>
      <c r="V806" t="n">
        <v>113.6738</v>
      </c>
      <c r="W806" t="n">
        <v>120.9594</v>
      </c>
      <c r="X806" t="n">
        <v>116.4373</v>
      </c>
      <c r="Y806" t="n">
        <v>123.6553</v>
      </c>
      <c r="Z806" t="n">
        <v>120.3315</v>
      </c>
      <c r="AA806" t="n">
        <v>119.4483</v>
      </c>
      <c r="AB806" t="n">
        <v>121.8634</v>
      </c>
      <c r="AC806" t="n">
        <v>143.2557</v>
      </c>
      <c r="AD806" t="n">
        <v>115.1355</v>
      </c>
      <c r="AE806" t="n">
        <v>118.0103</v>
      </c>
    </row>
    <row r="807">
      <c r="A807" s="90" t="n">
        <v>43132</v>
      </c>
      <c r="B807" t="n">
        <v>115.5543</v>
      </c>
      <c r="C807" t="n">
        <v>126.5311</v>
      </c>
      <c r="D807" t="n">
        <v>118.7296</v>
      </c>
      <c r="E807" t="n">
        <v>108.2808</v>
      </c>
      <c r="F807" t="n">
        <v>120.8162</v>
      </c>
      <c r="G807" t="n">
        <v>130.5695</v>
      </c>
      <c r="H807" t="n">
        <v>121.2702</v>
      </c>
      <c r="I807" t="n">
        <v>106.3625</v>
      </c>
      <c r="J807" t="n">
        <v>122.7301</v>
      </c>
      <c r="K807" t="n">
        <v>100.86</v>
      </c>
      <c r="L807" t="n">
        <v>111.9041</v>
      </c>
      <c r="M807" t="n">
        <v>119.3032</v>
      </c>
      <c r="N807" t="n">
        <v>124.2946</v>
      </c>
      <c r="O807" t="n">
        <v>124.0943</v>
      </c>
      <c r="P807" t="n">
        <v>124.7564</v>
      </c>
      <c r="Q807" t="n">
        <v>101.7775</v>
      </c>
      <c r="R807" t="n">
        <v>113.671</v>
      </c>
      <c r="S807" t="n">
        <v>108.08</v>
      </c>
      <c r="T807" t="n">
        <v>120.5629</v>
      </c>
      <c r="U807" t="n">
        <v>115.1218</v>
      </c>
      <c r="V807" t="n">
        <v>114.3148</v>
      </c>
      <c r="W807" t="n">
        <v>121.4189</v>
      </c>
      <c r="X807" t="n">
        <v>116.7899</v>
      </c>
      <c r="Y807" t="n">
        <v>124.3264</v>
      </c>
      <c r="Z807" t="n">
        <v>120.9332</v>
      </c>
      <c r="AA807" t="n">
        <v>120.0566</v>
      </c>
      <c r="AB807" t="n">
        <v>122.6075</v>
      </c>
      <c r="AC807" t="n">
        <v>144.2888</v>
      </c>
      <c r="AD807" t="n">
        <v>115.4841</v>
      </c>
      <c r="AE807" t="n">
        <v>118.6648</v>
      </c>
    </row>
    <row r="808">
      <c r="A808" s="90" t="n">
        <v>43160</v>
      </c>
      <c r="B808" t="n">
        <v>115.5487</v>
      </c>
      <c r="C808" t="n">
        <v>127.3854</v>
      </c>
      <c r="D808" t="n">
        <v>119.1829</v>
      </c>
      <c r="E808" t="n">
        <v>108.2908</v>
      </c>
      <c r="F808" t="n">
        <v>121.526</v>
      </c>
      <c r="G808" t="n">
        <v>131.1126</v>
      </c>
      <c r="H808" t="n">
        <v>121.658</v>
      </c>
      <c r="I808" t="n">
        <v>106.2769</v>
      </c>
      <c r="J808" t="n">
        <v>123.4866</v>
      </c>
      <c r="K808" t="n">
        <v>100.4776</v>
      </c>
      <c r="L808" t="n">
        <v>112.2029</v>
      </c>
      <c r="M808" t="n">
        <v>118.6027</v>
      </c>
      <c r="N808" t="n">
        <v>125.5801</v>
      </c>
      <c r="O808" t="n">
        <v>124.5713</v>
      </c>
      <c r="P808" t="n">
        <v>125.6895</v>
      </c>
      <c r="Q808" t="n">
        <v>102.3663</v>
      </c>
      <c r="R808" t="n">
        <v>113.8909</v>
      </c>
      <c r="S808" t="n">
        <v>108.2662</v>
      </c>
      <c r="T808" t="n">
        <v>121.219</v>
      </c>
      <c r="U808" t="n">
        <v>117.4389</v>
      </c>
      <c r="V808" t="n">
        <v>114.8105</v>
      </c>
      <c r="W808" t="n">
        <v>121.8422</v>
      </c>
      <c r="X808" t="n">
        <v>117.3615</v>
      </c>
      <c r="Y808" t="n">
        <v>125.0269</v>
      </c>
      <c r="Z808" t="n">
        <v>121.7213</v>
      </c>
      <c r="AA808" t="n">
        <v>120.5321</v>
      </c>
      <c r="AB808" t="n">
        <v>123.8971</v>
      </c>
      <c r="AC808" t="n">
        <v>147.4226</v>
      </c>
      <c r="AD808" t="n">
        <v>115.9433</v>
      </c>
      <c r="AE808" t="n">
        <v>119.0397</v>
      </c>
    </row>
    <row r="809">
      <c r="A809" s="90" t="n">
        <v>43191</v>
      </c>
      <c r="B809" t="n">
        <v>115.4002</v>
      </c>
      <c r="C809" t="n">
        <v>128.2491</v>
      </c>
      <c r="D809" t="n">
        <v>119.3206</v>
      </c>
      <c r="E809" t="n">
        <v>108.4202</v>
      </c>
      <c r="F809" t="n">
        <v>123.4717</v>
      </c>
      <c r="G809" t="n">
        <v>131.7365</v>
      </c>
      <c r="H809" t="n">
        <v>121.7366</v>
      </c>
      <c r="I809" t="n">
        <v>106.615</v>
      </c>
      <c r="J809" t="n">
        <v>124.028</v>
      </c>
      <c r="K809" t="n">
        <v>100.7324</v>
      </c>
      <c r="L809" t="n">
        <v>112.7842</v>
      </c>
      <c r="M809" t="n">
        <v>117.8066</v>
      </c>
      <c r="N809" t="n">
        <v>127.2706</v>
      </c>
      <c r="O809" t="n">
        <v>125.1125</v>
      </c>
      <c r="P809" t="n">
        <v>126.8122</v>
      </c>
      <c r="Q809" t="n">
        <v>103.0184</v>
      </c>
      <c r="R809" t="n">
        <v>114.6582</v>
      </c>
      <c r="S809" t="n">
        <v>108.4695</v>
      </c>
      <c r="T809" t="n">
        <v>121.9051</v>
      </c>
      <c r="U809" t="n">
        <v>119.6241</v>
      </c>
      <c r="V809" t="n">
        <v>116.1457</v>
      </c>
      <c r="W809" t="n">
        <v>122.3044</v>
      </c>
      <c r="X809" t="n">
        <v>117.8207</v>
      </c>
      <c r="Y809" t="n">
        <v>125.8357</v>
      </c>
      <c r="Z809" t="n">
        <v>122.5093</v>
      </c>
      <c r="AA809" t="n">
        <v>121.9064</v>
      </c>
      <c r="AB809" t="n">
        <v>124.9401</v>
      </c>
      <c r="AC809" t="n">
        <v>150.938</v>
      </c>
      <c r="AD809" t="n">
        <v>116.1276</v>
      </c>
      <c r="AE809" t="n">
        <v>118.801</v>
      </c>
    </row>
    <row r="810">
      <c r="A810" s="90" t="n">
        <v>43221</v>
      </c>
      <c r="B810" t="n">
        <v>115.4255</v>
      </c>
      <c r="C810" t="n">
        <v>128.6957</v>
      </c>
      <c r="D810" t="n">
        <v>119.8198</v>
      </c>
      <c r="E810" t="n">
        <v>108.7153</v>
      </c>
      <c r="F810" t="n">
        <v>124.9933</v>
      </c>
      <c r="G810" t="n">
        <v>132.2975</v>
      </c>
      <c r="H810" t="n">
        <v>121.8855</v>
      </c>
      <c r="I810" t="n">
        <v>106.7625</v>
      </c>
      <c r="J810" t="n">
        <v>125.2589</v>
      </c>
      <c r="K810" t="n">
        <v>100.6316</v>
      </c>
      <c r="L810" t="n">
        <v>113.4316</v>
      </c>
      <c r="M810" t="n">
        <v>118.5797</v>
      </c>
      <c r="N810" t="n">
        <v>128.8124</v>
      </c>
      <c r="O810" t="n">
        <v>125.5814</v>
      </c>
      <c r="P810" t="n">
        <v>127.9901</v>
      </c>
      <c r="Q810" t="n">
        <v>103.7161</v>
      </c>
      <c r="R810" t="n">
        <v>114.9414</v>
      </c>
      <c r="S810" t="n">
        <v>108.5408</v>
      </c>
      <c r="T810" t="n">
        <v>122.6929</v>
      </c>
      <c r="U810" t="n">
        <v>120.6596</v>
      </c>
      <c r="V810" t="n">
        <v>116.98</v>
      </c>
      <c r="W810" t="n">
        <v>122.7216</v>
      </c>
      <c r="X810" t="n">
        <v>118.4909</v>
      </c>
      <c r="Y810" t="n">
        <v>127.452</v>
      </c>
      <c r="Z810" t="n">
        <v>123.5361</v>
      </c>
      <c r="AA810" t="n">
        <v>124.9841</v>
      </c>
      <c r="AB810" t="n">
        <v>125.1954</v>
      </c>
      <c r="AC810" t="n">
        <v>155.6444</v>
      </c>
      <c r="AD810" t="n">
        <v>116.5717</v>
      </c>
      <c r="AE810" t="n">
        <v>118.5946</v>
      </c>
    </row>
    <row r="811">
      <c r="A811" s="90" t="n">
        <v>43252</v>
      </c>
      <c r="B811" t="n">
        <v>115.6692</v>
      </c>
      <c r="C811" t="n">
        <v>129.576</v>
      </c>
      <c r="D811" t="n">
        <v>120.6109</v>
      </c>
      <c r="E811" t="n">
        <v>108.7727</v>
      </c>
      <c r="F811" t="n">
        <v>125.7396</v>
      </c>
      <c r="G811" t="n">
        <v>132.8013</v>
      </c>
      <c r="H811" t="n">
        <v>122.3268</v>
      </c>
      <c r="I811" t="n">
        <v>106.234</v>
      </c>
      <c r="J811" t="n">
        <v>125.7526</v>
      </c>
      <c r="K811" t="n">
        <v>100.31</v>
      </c>
      <c r="L811" t="n">
        <v>114.2834</v>
      </c>
      <c r="M811" t="n">
        <v>119.3624</v>
      </c>
      <c r="N811" t="n">
        <v>131.0029</v>
      </c>
      <c r="O811" t="n">
        <v>125.9678</v>
      </c>
      <c r="P811" t="n">
        <v>128.8645</v>
      </c>
      <c r="Q811" t="n">
        <v>104.3891</v>
      </c>
      <c r="R811" t="n">
        <v>114.9277</v>
      </c>
      <c r="S811" t="n">
        <v>108.9383</v>
      </c>
      <c r="T811" t="n">
        <v>123.2564</v>
      </c>
      <c r="U811" t="n">
        <v>121.7346</v>
      </c>
      <c r="V811" t="n">
        <v>117.3159</v>
      </c>
      <c r="W811" t="n">
        <v>123.5141</v>
      </c>
      <c r="X811" t="n">
        <v>119.2084</v>
      </c>
      <c r="Y811" t="n">
        <v>128.9162</v>
      </c>
      <c r="Z811" t="n">
        <v>124.6257</v>
      </c>
      <c r="AA811" t="n">
        <v>127.1347</v>
      </c>
      <c r="AB811" t="n">
        <v>125.4083</v>
      </c>
      <c r="AC811" t="n">
        <v>159.8902</v>
      </c>
      <c r="AD811" t="n">
        <v>117.0815</v>
      </c>
      <c r="AE811" t="n">
        <v>118.8725</v>
      </c>
    </row>
    <row r="812">
      <c r="A812" s="90" t="n">
        <v>43282</v>
      </c>
      <c r="B812" t="n">
        <v>115.9662</v>
      </c>
      <c r="C812" t="n">
        <v>130.4622</v>
      </c>
      <c r="D812" t="n">
        <v>121.0728</v>
      </c>
      <c r="E812" t="n">
        <v>108.9035</v>
      </c>
      <c r="F812" t="n">
        <v>126.8182</v>
      </c>
      <c r="G812" t="n">
        <v>133.9594</v>
      </c>
      <c r="H812" t="n">
        <v>123.0187</v>
      </c>
      <c r="I812" t="n">
        <v>105.6813</v>
      </c>
      <c r="J812" t="n">
        <v>125.615</v>
      </c>
      <c r="K812" t="n">
        <v>100.9931</v>
      </c>
      <c r="L812" t="n">
        <v>114.7143</v>
      </c>
      <c r="M812" t="n">
        <v>119.3128</v>
      </c>
      <c r="N812" t="n">
        <v>133.1344</v>
      </c>
      <c r="O812" t="n">
        <v>126.6165</v>
      </c>
      <c r="P812" t="n">
        <v>129.6466</v>
      </c>
      <c r="Q812" t="n">
        <v>105.0022</v>
      </c>
      <c r="R812" t="n">
        <v>115.4136</v>
      </c>
      <c r="S812" t="n">
        <v>109.1362</v>
      </c>
      <c r="T812" t="n">
        <v>123.8277</v>
      </c>
      <c r="U812" t="n">
        <v>121.573</v>
      </c>
      <c r="V812" t="n">
        <v>117.4823</v>
      </c>
      <c r="W812" t="n">
        <v>124.4688</v>
      </c>
      <c r="X812" t="n">
        <v>119.6291</v>
      </c>
      <c r="Y812" t="n">
        <v>129.886</v>
      </c>
      <c r="Z812" t="n">
        <v>125.3072</v>
      </c>
      <c r="AA812" t="n">
        <v>128.4276</v>
      </c>
      <c r="AB812" t="n">
        <v>125.7689</v>
      </c>
      <c r="AC812" t="n">
        <v>163.3858</v>
      </c>
      <c r="AD812" t="n">
        <v>117.3671</v>
      </c>
      <c r="AE812" t="n">
        <v>119.7879</v>
      </c>
    </row>
    <row r="813">
      <c r="A813" s="90" t="n">
        <v>43313</v>
      </c>
      <c r="B813" t="n">
        <v>116.5769</v>
      </c>
      <c r="C813" t="n">
        <v>131.3856</v>
      </c>
      <c r="D813" t="n">
        <v>121.7372</v>
      </c>
      <c r="E813" t="n">
        <v>109.3182</v>
      </c>
      <c r="F813" t="n">
        <v>127.7573</v>
      </c>
      <c r="G813" t="n">
        <v>134.9996</v>
      </c>
      <c r="H813" t="n">
        <v>123.893</v>
      </c>
      <c r="I813" t="n">
        <v>105.6819</v>
      </c>
      <c r="J813" t="n">
        <v>126.2549</v>
      </c>
      <c r="K813" t="n">
        <v>101.7702</v>
      </c>
      <c r="L813" t="n">
        <v>114.7083</v>
      </c>
      <c r="M813" t="n">
        <v>119.4461</v>
      </c>
      <c r="N813" t="n">
        <v>133.9352</v>
      </c>
      <c r="O813" t="n">
        <v>127.0985</v>
      </c>
      <c r="P813" t="n">
        <v>130.8387</v>
      </c>
      <c r="Q813" t="n">
        <v>105.5971</v>
      </c>
      <c r="R813" t="n">
        <v>115.9071</v>
      </c>
      <c r="S813" t="n">
        <v>109.3182</v>
      </c>
      <c r="T813" t="n">
        <v>124.6092</v>
      </c>
      <c r="U813" t="n">
        <v>121.7173</v>
      </c>
      <c r="V813" t="n">
        <v>117.5479</v>
      </c>
      <c r="W813" t="n">
        <v>125.5168</v>
      </c>
      <c r="X813" t="n">
        <v>120.157</v>
      </c>
      <c r="Y813" t="n">
        <v>130.8574</v>
      </c>
      <c r="Z813" t="n">
        <v>126.1469</v>
      </c>
      <c r="AA813" t="n">
        <v>129.0367</v>
      </c>
      <c r="AB813" t="n">
        <v>125.9273</v>
      </c>
      <c r="AC813" t="n">
        <v>166.4898</v>
      </c>
      <c r="AD813" t="n">
        <v>117.7855</v>
      </c>
      <c r="AE813" t="n">
        <v>121.2581</v>
      </c>
    </row>
    <row r="814">
      <c r="A814" s="90" t="n">
        <v>43344</v>
      </c>
      <c r="B814" t="n">
        <v>116.9888</v>
      </c>
      <c r="C814" t="n">
        <v>132.8934</v>
      </c>
      <c r="D814" t="n">
        <v>122.4611</v>
      </c>
      <c r="E814" t="n">
        <v>109.6353</v>
      </c>
      <c r="F814" t="n">
        <v>128.8906</v>
      </c>
      <c r="G814" t="n">
        <v>135.9704</v>
      </c>
      <c r="H814" t="n">
        <v>124.3137</v>
      </c>
      <c r="I814" t="n">
        <v>106.7231</v>
      </c>
      <c r="J814" t="n">
        <v>126.3901</v>
      </c>
      <c r="K814" t="n">
        <v>101.8477</v>
      </c>
      <c r="L814" t="n">
        <v>114.8442</v>
      </c>
      <c r="M814" t="n">
        <v>119.9191</v>
      </c>
      <c r="N814" t="n">
        <v>133.987</v>
      </c>
      <c r="O814" t="n">
        <v>128.0515</v>
      </c>
      <c r="P814" t="n">
        <v>131.7674</v>
      </c>
      <c r="Q814" t="n">
        <v>106.2291</v>
      </c>
      <c r="R814" t="n">
        <v>116.4787</v>
      </c>
      <c r="S814" t="n">
        <v>109.5555</v>
      </c>
      <c r="T814" t="n">
        <v>125.1817</v>
      </c>
      <c r="U814" t="n">
        <v>122.4532</v>
      </c>
      <c r="V814" t="n">
        <v>117.7965</v>
      </c>
      <c r="W814" t="n">
        <v>126.5449</v>
      </c>
      <c r="X814" t="n">
        <v>120.7749</v>
      </c>
      <c r="Y814" t="n">
        <v>132.6022</v>
      </c>
      <c r="Z814" t="n">
        <v>127.163</v>
      </c>
      <c r="AA814" t="n">
        <v>130.0297</v>
      </c>
      <c r="AB814" t="n">
        <v>126.6047</v>
      </c>
      <c r="AC814" t="n">
        <v>172.6841</v>
      </c>
      <c r="AD814" t="n">
        <v>118.0113</v>
      </c>
      <c r="AE814" t="n">
        <v>122.7796</v>
      </c>
    </row>
    <row r="815">
      <c r="A815" s="90" t="n">
        <v>43374</v>
      </c>
      <c r="B815" t="n">
        <v>117.2045</v>
      </c>
      <c r="C815" t="n">
        <v>133.8896</v>
      </c>
      <c r="D815" t="n">
        <v>123.1178</v>
      </c>
      <c r="E815" t="n">
        <v>109.9593</v>
      </c>
      <c r="F815" t="n">
        <v>129.6778</v>
      </c>
      <c r="G815" t="n">
        <v>136.975</v>
      </c>
      <c r="H815" t="n">
        <v>124.751</v>
      </c>
      <c r="I815" t="n">
        <v>108.5447</v>
      </c>
      <c r="J815" t="n">
        <v>126.6618</v>
      </c>
      <c r="K815" t="n">
        <v>101.2659</v>
      </c>
      <c r="L815" t="n">
        <v>115.1301</v>
      </c>
      <c r="M815" t="n">
        <v>120.9788</v>
      </c>
      <c r="N815" t="n">
        <v>134.2858</v>
      </c>
      <c r="O815" t="n">
        <v>129.7608</v>
      </c>
      <c r="P815" t="n">
        <v>132.5771</v>
      </c>
      <c r="Q815" t="n">
        <v>106.9454</v>
      </c>
      <c r="R815" t="n">
        <v>117.3254</v>
      </c>
      <c r="S815" t="n">
        <v>109.7687</v>
      </c>
      <c r="T815" t="n">
        <v>126.0249</v>
      </c>
      <c r="U815" t="n">
        <v>122.1739</v>
      </c>
      <c r="V815" t="n">
        <v>117.8375</v>
      </c>
      <c r="W815" t="n">
        <v>127.0077</v>
      </c>
      <c r="X815" t="n">
        <v>121.2036</v>
      </c>
      <c r="Y815" t="n">
        <v>133.9391</v>
      </c>
      <c r="Z815" t="n">
        <v>128.2795</v>
      </c>
      <c r="AA815" t="n">
        <v>130.9797</v>
      </c>
      <c r="AB815" t="n">
        <v>127.2965</v>
      </c>
      <c r="AC815" t="n">
        <v>176.0971</v>
      </c>
      <c r="AD815" t="n">
        <v>118.1267</v>
      </c>
      <c r="AE815" t="n">
        <v>123.146</v>
      </c>
    </row>
    <row r="816">
      <c r="A816" s="90" t="n">
        <v>43405</v>
      </c>
      <c r="B816" t="n">
        <v>117.4567</v>
      </c>
      <c r="C816" t="n">
        <v>134.4371</v>
      </c>
      <c r="D816" t="n">
        <v>123.9472</v>
      </c>
      <c r="E816" t="n">
        <v>110.3706</v>
      </c>
      <c r="F816" t="n">
        <v>130.9885</v>
      </c>
      <c r="G816" t="n">
        <v>137.9958</v>
      </c>
      <c r="H816" t="n">
        <v>125.611</v>
      </c>
      <c r="I816" t="n">
        <v>109.9862</v>
      </c>
      <c r="J816" t="n">
        <v>128.11</v>
      </c>
      <c r="K816" t="n">
        <v>101.4121</v>
      </c>
      <c r="L816" t="n">
        <v>115.7278</v>
      </c>
      <c r="M816" t="n">
        <v>121.68</v>
      </c>
      <c r="N816" t="n">
        <v>135.1028</v>
      </c>
      <c r="O816" t="n">
        <v>130.635</v>
      </c>
      <c r="P816" t="n">
        <v>133.7899</v>
      </c>
      <c r="Q816" t="n">
        <v>107.6995</v>
      </c>
      <c r="R816" t="n">
        <v>118.5859</v>
      </c>
      <c r="S816" t="n">
        <v>109.8841</v>
      </c>
      <c r="T816" t="n">
        <v>126.7798</v>
      </c>
      <c r="U816" t="n">
        <v>122.6025</v>
      </c>
      <c r="V816" t="n">
        <v>118.1722</v>
      </c>
      <c r="W816" t="n">
        <v>127.3549</v>
      </c>
      <c r="X816" t="n">
        <v>121.2879</v>
      </c>
      <c r="Y816" t="n">
        <v>133.3096</v>
      </c>
      <c r="Z816" t="n">
        <v>129.4469</v>
      </c>
      <c r="AA816" t="n">
        <v>131.2959</v>
      </c>
      <c r="AB816" t="n">
        <v>127.9025</v>
      </c>
      <c r="AC816" t="n">
        <v>170.5484</v>
      </c>
      <c r="AD816" t="n">
        <v>118.2355</v>
      </c>
      <c r="AE816" t="n">
        <v>122.9752</v>
      </c>
    </row>
    <row r="817">
      <c r="A817" s="90" t="n">
        <v>43435</v>
      </c>
      <c r="B817" t="n">
        <v>117.7873</v>
      </c>
      <c r="C817" t="n">
        <v>136.1795</v>
      </c>
      <c r="D817" t="n">
        <v>125.6016</v>
      </c>
      <c r="E817" t="n">
        <v>110.7943</v>
      </c>
      <c r="F817" t="n">
        <v>132.9372</v>
      </c>
      <c r="G817" t="n">
        <v>139.0737</v>
      </c>
      <c r="H817" t="n">
        <v>127.0403</v>
      </c>
      <c r="I817" t="n">
        <v>109.9362</v>
      </c>
      <c r="J817" t="n">
        <v>128.645</v>
      </c>
      <c r="K817" t="n">
        <v>100.7951</v>
      </c>
      <c r="L817" t="n">
        <v>116.3768</v>
      </c>
      <c r="M817" t="n">
        <v>122.1711</v>
      </c>
      <c r="N817" t="n">
        <v>134.9971</v>
      </c>
      <c r="O817" t="n">
        <v>130.5066</v>
      </c>
      <c r="P817" t="n">
        <v>134.8019</v>
      </c>
      <c r="Q817" t="n">
        <v>108.3908</v>
      </c>
      <c r="R817" t="n">
        <v>119.2267</v>
      </c>
      <c r="S817" t="n">
        <v>110.0519</v>
      </c>
      <c r="T817" t="n">
        <v>127.434</v>
      </c>
      <c r="U817" t="n">
        <v>123.0041</v>
      </c>
      <c r="V817" t="n">
        <v>118.8557</v>
      </c>
      <c r="W817" t="n">
        <v>127.9911</v>
      </c>
      <c r="X817" t="n">
        <v>121.9212</v>
      </c>
      <c r="Y817" t="n">
        <v>133.2378</v>
      </c>
      <c r="Z817" t="n">
        <v>130.5016</v>
      </c>
      <c r="AA817" t="n">
        <v>132.2501</v>
      </c>
      <c r="AB817" t="n">
        <v>128.6903</v>
      </c>
      <c r="AC817" t="n">
        <v>168.3227</v>
      </c>
      <c r="AD817" t="n">
        <v>119.2085</v>
      </c>
      <c r="AE817" t="n">
        <v>123.7092</v>
      </c>
    </row>
    <row r="818">
      <c r="A818" s="90" t="n">
        <v>43466</v>
      </c>
      <c r="B818" t="n">
        <v>118.3812</v>
      </c>
      <c r="C818" t="n">
        <v/>
      </c>
      <c r="D818" t="n">
        <v>125.3302</v>
      </c>
      <c r="E818" t="n">
        <v/>
      </c>
      <c r="F818" t="n">
        <v/>
      </c>
      <c r="G818" t="n">
        <v/>
      </c>
      <c r="H818" t="n">
        <v>127.6563</v>
      </c>
      <c r="I818" t="n">
        <v>109.568</v>
      </c>
      <c r="J818" t="n">
        <v>128.8671</v>
      </c>
      <c r="K818" t="n">
        <v/>
      </c>
      <c r="L818" t="n">
        <v>116.5471</v>
      </c>
      <c r="M818" t="n">
        <v>121.9944</v>
      </c>
      <c r="N818" t="n">
        <v>135.1994</v>
      </c>
      <c r="O818" t="n">
        <v/>
      </c>
      <c r="P818" t="n">
        <v/>
      </c>
      <c r="Q818" t="n">
        <v>108.9879</v>
      </c>
      <c r="R818" t="n">
        <v>119.7667</v>
      </c>
      <c r="S818" t="n">
        <v>110.23</v>
      </c>
      <c r="T818" t="n">
        <v>128.4027</v>
      </c>
      <c r="U818" t="n">
        <v/>
      </c>
      <c r="V818" t="n">
        <v>119.1628</v>
      </c>
      <c r="W818" t="n">
        <v/>
      </c>
      <c r="X818" t="n">
        <v>122.3621</v>
      </c>
      <c r="Y818" t="n">
        <v/>
      </c>
      <c r="Z818" t="n">
        <v/>
      </c>
      <c r="AA818" t="n">
        <v>133.7057</v>
      </c>
      <c r="AB818" t="n">
        <v/>
      </c>
      <c r="AC818" t="n">
        <v/>
      </c>
      <c r="AD818" t="n">
        <v>119.8062</v>
      </c>
      <c r="AE818" t="n">
        <v>124.22</v>
      </c>
    </row>
    <row r="819">
      <c r="A819" s="90" t="n">
        <v>43497</v>
      </c>
      <c r="B819" t="n">
        <v>119.0312</v>
      </c>
      <c r="C819" t="n">
        <v/>
      </c>
      <c r="D819" t="n">
        <v>126.099</v>
      </c>
      <c r="E819" t="n">
        <v/>
      </c>
      <c r="F819" t="n">
        <v/>
      </c>
      <c r="G819" t="n">
        <v/>
      </c>
      <c r="H819" t="n">
        <v>127.8392</v>
      </c>
      <c r="I819" t="n">
        <v>109.8484</v>
      </c>
      <c r="J819" t="n">
        <v>130.1007</v>
      </c>
      <c r="K819" t="n">
        <v/>
      </c>
      <c r="L819" t="n">
        <v>116.6674</v>
      </c>
      <c r="M819" t="n">
        <v>120.7753</v>
      </c>
      <c r="N819" t="n">
        <v>136.2263</v>
      </c>
      <c r="O819" t="n">
        <v/>
      </c>
      <c r="P819" t="n">
        <v/>
      </c>
      <c r="Q819" t="n">
        <v>109.5066</v>
      </c>
      <c r="R819" t="n">
        <v>121.1131</v>
      </c>
      <c r="S819" t="n">
        <v>110.3631</v>
      </c>
      <c r="T819" t="n">
        <v>129.2455</v>
      </c>
      <c r="U819" t="n">
        <v/>
      </c>
      <c r="V819" t="n">
        <v>119.5159</v>
      </c>
      <c r="W819" t="n">
        <v/>
      </c>
      <c r="X819" t="n">
        <v>122.6272</v>
      </c>
      <c r="Y819" t="n">
        <v/>
      </c>
      <c r="Z819" t="n">
        <v/>
      </c>
      <c r="AA819" t="n">
        <v>133.9917</v>
      </c>
      <c r="AB819" t="n">
        <v/>
      </c>
      <c r="AC819" t="n">
        <v/>
      </c>
      <c r="AD819" t="n">
        <v>120.1508</v>
      </c>
      <c r="AE819" t="n">
        <v>124.6852</v>
      </c>
    </row>
    <row r="820">
      <c r="A820" s="90" t="n">
        <v>43525</v>
      </c>
      <c r="B820" t="n">
        <v>119.7596</v>
      </c>
      <c r="C820" t="n">
        <v/>
      </c>
      <c r="D820" t="n">
        <v>127.8952</v>
      </c>
      <c r="E820" t="n">
        <v/>
      </c>
      <c r="F820" t="n">
        <v/>
      </c>
      <c r="G820" t="n">
        <v/>
      </c>
      <c r="H820" t="n">
        <v>128.9973</v>
      </c>
      <c r="I820" t="n">
        <v>110.108</v>
      </c>
      <c r="J820" t="n">
        <v>130.869</v>
      </c>
      <c r="K820" t="n">
        <v/>
      </c>
      <c r="L820" t="n">
        <v>117.4735</v>
      </c>
      <c r="M820" t="n">
        <v>120.3372</v>
      </c>
      <c r="N820" t="n">
        <v>137.0223</v>
      </c>
      <c r="O820" t="n">
        <v/>
      </c>
      <c r="P820" t="n">
        <v/>
      </c>
      <c r="Q820" t="n">
        <v>109.9536</v>
      </c>
      <c r="R820" t="n">
        <v>121.7087</v>
      </c>
      <c r="S820" t="n">
        <v>110.5393</v>
      </c>
      <c r="T820" t="n">
        <v>130.1355</v>
      </c>
      <c r="U820" t="n">
        <v/>
      </c>
      <c r="V820" t="n">
        <v>120.1252</v>
      </c>
      <c r="W820" t="n">
        <v/>
      </c>
      <c r="X820" t="n">
        <v>123.0157</v>
      </c>
      <c r="Y820" t="n">
        <v/>
      </c>
      <c r="Z820" t="n">
        <v/>
      </c>
      <c r="AA820" t="n">
        <v>133.9952</v>
      </c>
      <c r="AB820" t="n">
        <v/>
      </c>
      <c r="AC820" t="n">
        <v/>
      </c>
      <c r="AD820" t="n">
        <v>120.4696</v>
      </c>
      <c r="AE820" t="n">
        <v>126.1364</v>
      </c>
    </row>
    <row r="821">
      <c r="A821" s="90" t="n">
        <v>43556</v>
      </c>
      <c r="B821" t="n">
        <v>120.2359</v>
      </c>
      <c r="C821" t="n">
        <v/>
      </c>
      <c r="D821" t="n">
        <v>128.8912</v>
      </c>
      <c r="E821" t="n">
        <v/>
      </c>
      <c r="F821" t="n">
        <v/>
      </c>
      <c r="G821" t="n">
        <v/>
      </c>
      <c r="H821" t="n">
        <v>130.1199</v>
      </c>
      <c r="I821" t="n">
        <v>109.7395</v>
      </c>
      <c r="J821" t="n">
        <v>131.6797</v>
      </c>
      <c r="K821" t="n">
        <v/>
      </c>
      <c r="L821" t="n">
        <v>118.4279</v>
      </c>
      <c r="M821" t="n">
        <v>120.5785</v>
      </c>
      <c r="N821" t="n">
        <v>137.8221</v>
      </c>
      <c r="O821" t="n">
        <v/>
      </c>
      <c r="P821" t="n">
        <v/>
      </c>
      <c r="Q821" t="n">
        <v>110.3307</v>
      </c>
      <c r="R821" t="n">
        <v>122.6407</v>
      </c>
      <c r="S821" t="n">
        <v>110.6781</v>
      </c>
      <c r="T821" t="n">
        <v>131.2129</v>
      </c>
      <c r="U821" t="n">
        <v/>
      </c>
      <c r="V821" t="n">
        <v>120.375</v>
      </c>
      <c r="W821" t="n">
        <v/>
      </c>
      <c r="X821" t="n">
        <v>123.3787</v>
      </c>
      <c r="Y821" t="n">
        <v/>
      </c>
      <c r="Z821" t="n">
        <v/>
      </c>
      <c r="AA821" t="n">
        <v>135.0129</v>
      </c>
      <c r="AB821" t="n">
        <v/>
      </c>
      <c r="AC821" t="n">
        <v/>
      </c>
      <c r="AD821" t="n">
        <v>120.7211</v>
      </c>
      <c r="AE821" t="n">
        <v>128.0404</v>
      </c>
    </row>
    <row r="822">
      <c r="A822" s="90" t="n">
        <v>43586</v>
      </c>
      <c r="B822" t="n">
        <v>120.2639</v>
      </c>
      <c r="C822" t="n">
        <v/>
      </c>
      <c r="D822" t="n">
        <v>129.1729</v>
      </c>
      <c r="E822" t="n">
        <v/>
      </c>
      <c r="F822" t="n">
        <v/>
      </c>
      <c r="G822" t="n">
        <v/>
      </c>
      <c r="H822" t="n">
        <v>130.9873</v>
      </c>
      <c r="I822" t="n">
        <v>108.9371</v>
      </c>
      <c r="J822" t="n">
        <v>133.3386</v>
      </c>
      <c r="K822" t="n">
        <v/>
      </c>
      <c r="L822" t="n">
        <v>119.1582</v>
      </c>
      <c r="M822" t="n">
        <v>120.8699</v>
      </c>
      <c r="N822" t="n">
        <v>139.6395</v>
      </c>
      <c r="O822" t="n">
        <v/>
      </c>
      <c r="P822" t="n">
        <v/>
      </c>
      <c r="Q822" t="n">
        <v>110.6381</v>
      </c>
      <c r="R822" t="n">
        <v>123.6648</v>
      </c>
      <c r="S822" t="n">
        <v>110.8378</v>
      </c>
      <c r="T822" t="n">
        <v>132.1298</v>
      </c>
      <c r="U822" t="n">
        <v/>
      </c>
      <c r="V822" t="n">
        <v>121.0175</v>
      </c>
      <c r="W822" t="n">
        <v/>
      </c>
      <c r="X822" t="n">
        <v>123.9936</v>
      </c>
      <c r="Y822" t="n">
        <v/>
      </c>
      <c r="Z822" t="n">
        <v/>
      </c>
      <c r="AA822" t="n">
        <v>135.5787</v>
      </c>
      <c r="AB822" t="n">
        <v/>
      </c>
      <c r="AC822" t="n">
        <v/>
      </c>
      <c r="AD822" t="n">
        <v>121.4808</v>
      </c>
      <c r="AE822" t="n">
        <v>129.1637</v>
      </c>
    </row>
    <row r="823">
      <c r="A823" s="90" t="n">
        <v>43617</v>
      </c>
      <c r="B823" t="n">
        <v>120.2387</v>
      </c>
      <c r="C823" t="n">
        <v/>
      </c>
      <c r="D823" t="n">
        <v>129.65</v>
      </c>
      <c r="E823" t="n">
        <v/>
      </c>
      <c r="F823" t="n">
        <v/>
      </c>
      <c r="G823" t="n">
        <v/>
      </c>
      <c r="H823" t="n">
        <v>131.7825</v>
      </c>
      <c r="I823" t="n">
        <v>108.3144</v>
      </c>
      <c r="J823" t="n">
        <v>134.1232</v>
      </c>
      <c r="K823" t="n">
        <v/>
      </c>
      <c r="L823" t="n">
        <v>119.8567</v>
      </c>
      <c r="M823" t="n">
        <v>121.1564</v>
      </c>
      <c r="N823" t="n">
        <v>140.0457</v>
      </c>
      <c r="O823" t="n">
        <v/>
      </c>
      <c r="P823" t="n">
        <v/>
      </c>
      <c r="Q823" t="n">
        <v>110.9913</v>
      </c>
      <c r="R823" t="n">
        <v>124.0984</v>
      </c>
      <c r="S823" t="n">
        <v>110.9726</v>
      </c>
      <c r="T823" t="n">
        <v>132.8957</v>
      </c>
      <c r="U823" t="n">
        <v/>
      </c>
      <c r="V823" t="n">
        <v>121.613</v>
      </c>
      <c r="W823" t="n">
        <v/>
      </c>
      <c r="X823" t="n">
        <v>124.7207</v>
      </c>
      <c r="Y823" t="n">
        <v/>
      </c>
      <c r="Z823" t="n">
        <v/>
      </c>
      <c r="AA823" t="n">
        <v>136.6474</v>
      </c>
      <c r="AB823" t="n">
        <v/>
      </c>
      <c r="AC823" t="n">
        <v/>
      </c>
      <c r="AD823" t="n">
        <v>122.4961</v>
      </c>
      <c r="AE823" t="n">
        <v>129.5154</v>
      </c>
    </row>
    <row r="824">
      <c r="A824" s="90" t="n">
        <v>43647</v>
      </c>
      <c r="B824" t="n">
        <v>119.6532</v>
      </c>
      <c r="C824" t="n">
        <v/>
      </c>
      <c r="D824" t="n">
        <v>130.7486</v>
      </c>
      <c r="E824" t="n">
        <v/>
      </c>
      <c r="F824" t="n">
        <v/>
      </c>
      <c r="G824" t="n">
        <v/>
      </c>
      <c r="H824" t="n">
        <v>132.5863</v>
      </c>
      <c r="I824" t="n">
        <v>108.47</v>
      </c>
      <c r="J824" t="n">
        <v>134.3413</v>
      </c>
      <c r="K824" t="n">
        <v/>
      </c>
      <c r="L824" t="n">
        <v>120.4304</v>
      </c>
      <c r="M824" t="n">
        <v>121.5153</v>
      </c>
      <c r="N824" t="n">
        <v>139.6329</v>
      </c>
      <c r="O824" t="n">
        <v/>
      </c>
      <c r="P824" t="n">
        <v/>
      </c>
      <c r="Q824" t="n">
        <v>109.8995</v>
      </c>
      <c r="R824" t="n">
        <v>124.339</v>
      </c>
      <c r="S824" t="n">
        <v>111.1782</v>
      </c>
      <c r="T824" t="n">
        <v>133.8487</v>
      </c>
      <c r="U824" t="n">
        <v/>
      </c>
      <c r="V824" t="n">
        <v>122.0122</v>
      </c>
      <c r="W824" t="n">
        <v/>
      </c>
      <c r="X824" t="n">
        <v>125.2674</v>
      </c>
      <c r="Y824" t="n">
        <v/>
      </c>
      <c r="Z824" t="n">
        <v/>
      </c>
      <c r="AA824" t="n">
        <v>137.6479</v>
      </c>
      <c r="AB824" t="n">
        <v/>
      </c>
      <c r="AC824" t="n">
        <v/>
      </c>
      <c r="AD824" t="n">
        <v>123.152</v>
      </c>
      <c r="AE824" t="n">
        <v>130.0512</v>
      </c>
    </row>
    <row r="825">
      <c r="A825" s="90" t="n">
        <v>43678</v>
      </c>
      <c r="B825" t="n">
        <v>119.104</v>
      </c>
      <c r="C825" t="n">
        <v/>
      </c>
      <c r="D825" t="n">
        <v>131.7618</v>
      </c>
      <c r="E825" t="n">
        <v/>
      </c>
      <c r="F825" t="n">
        <v/>
      </c>
      <c r="G825" t="n">
        <v/>
      </c>
      <c r="H825" t="n">
        <v>133.7438</v>
      </c>
      <c r="I825" t="n">
        <v>109.0276</v>
      </c>
      <c r="J825" t="n">
        <v>135.4179</v>
      </c>
      <c r="K825" t="n">
        <v/>
      </c>
      <c r="L825" t="n">
        <v>121.2451</v>
      </c>
      <c r="M825" t="n">
        <v>121.9924</v>
      </c>
      <c r="N825" t="n">
        <v>140.9185</v>
      </c>
      <c r="O825" t="n">
        <v/>
      </c>
      <c r="P825" t="n">
        <v/>
      </c>
      <c r="Q825" t="n">
        <v>108.7908</v>
      </c>
      <c r="R825" t="n">
        <v>124.4438</v>
      </c>
      <c r="S825" t="n">
        <v>111.3698</v>
      </c>
      <c r="T825" t="n">
        <v>134.8647</v>
      </c>
      <c r="U825" t="n">
        <v/>
      </c>
      <c r="V825" t="n">
        <v>123.3637</v>
      </c>
      <c r="W825" t="n">
        <v/>
      </c>
      <c r="X825" t="n">
        <v>125.8945</v>
      </c>
      <c r="Y825" t="n">
        <v/>
      </c>
      <c r="Z825" t="n">
        <v/>
      </c>
      <c r="AA825" t="n">
        <v>138.1709</v>
      </c>
      <c r="AB825" t="n">
        <v/>
      </c>
      <c r="AC825" t="n">
        <v/>
      </c>
      <c r="AD825" t="n">
        <v>123.866</v>
      </c>
      <c r="AE825" t="n">
        <v>130.8189</v>
      </c>
    </row>
    <row r="826">
      <c r="A826" s="90" t="n">
        <v>43709</v>
      </c>
      <c r="B826" t="n">
        <v>119.3338</v>
      </c>
      <c r="C826" t="n">
        <v/>
      </c>
      <c r="D826" t="n">
        <v>132.68</v>
      </c>
      <c r="E826" t="n">
        <v/>
      </c>
      <c r="F826" t="n">
        <v/>
      </c>
      <c r="G826" t="n">
        <v/>
      </c>
      <c r="H826" t="n">
        <v>135.4703</v>
      </c>
      <c r="I826" t="n">
        <v>109.8979</v>
      </c>
      <c r="J826" t="n">
        <v>136.1377</v>
      </c>
      <c r="K826" t="n">
        <v/>
      </c>
      <c r="L826" t="n">
        <v>121.6436</v>
      </c>
      <c r="M826" t="n">
        <v>121.9309</v>
      </c>
      <c r="N826" t="n">
        <v>142.2369</v>
      </c>
      <c r="O826" t="n">
        <v/>
      </c>
      <c r="P826" t="n">
        <v/>
      </c>
      <c r="Q826" t="n">
        <v>109.2616</v>
      </c>
      <c r="R826" t="n">
        <v>124.9491</v>
      </c>
      <c r="S826" t="n">
        <v>111.6245</v>
      </c>
      <c r="T826" t="n">
        <v>135.7226</v>
      </c>
      <c r="U826" t="n">
        <v/>
      </c>
      <c r="V826" t="n">
        <v>123.6488</v>
      </c>
      <c r="W826" t="n">
        <v/>
      </c>
      <c r="X826" t="n">
        <v>126.4976</v>
      </c>
      <c r="Y826" t="n">
        <v/>
      </c>
      <c r="Z826" t="n">
        <v/>
      </c>
      <c r="AA826" t="n">
        <v>139.2139</v>
      </c>
      <c r="AB826" t="n">
        <v/>
      </c>
      <c r="AC826" t="n">
        <v/>
      </c>
      <c r="AD826" t="n">
        <v>124.5716</v>
      </c>
      <c r="AE826" t="n">
        <v>131.1902</v>
      </c>
    </row>
    <row r="827">
      <c r="A827" s="90" t="n">
        <v>43739</v>
      </c>
      <c r="B827" t="n">
        <v>119.7988</v>
      </c>
      <c r="C827" t="n">
        <v/>
      </c>
      <c r="D827" t="n">
        <v>133.6194</v>
      </c>
      <c r="E827" t="n">
        <v/>
      </c>
      <c r="F827" t="n">
        <v/>
      </c>
      <c r="G827" t="n">
        <v/>
      </c>
      <c r="H827" t="n">
        <v>136.6256</v>
      </c>
      <c r="I827" t="n">
        <v>109.5143</v>
      </c>
      <c r="J827" t="n">
        <v>136.7444</v>
      </c>
      <c r="K827" t="n">
        <v/>
      </c>
      <c r="L827" t="n">
        <v>121.7492</v>
      </c>
      <c r="M827" t="n">
        <v>121.3498</v>
      </c>
      <c r="N827" t="n">
        <v>143.4409</v>
      </c>
      <c r="O827" t="n">
        <v/>
      </c>
      <c r="P827" t="n">
        <v/>
      </c>
      <c r="Q827" t="n">
        <v>109.8457</v>
      </c>
      <c r="R827" t="n">
        <v>125.8882</v>
      </c>
      <c r="S827" t="n">
        <v>111.8718</v>
      </c>
      <c r="T827" t="n">
        <v>136.4365</v>
      </c>
      <c r="U827" t="n">
        <v/>
      </c>
      <c r="V827" t="n">
        <v>123.2678</v>
      </c>
      <c r="W827" t="n">
        <v/>
      </c>
      <c r="X827" t="n">
        <v>127.2936</v>
      </c>
      <c r="Y827" t="n">
        <v/>
      </c>
      <c r="Z827" t="n">
        <v/>
      </c>
      <c r="AA827" t="n">
        <v>140.1568</v>
      </c>
      <c r="AB827" t="n">
        <v/>
      </c>
      <c r="AC827" t="n">
        <v/>
      </c>
      <c r="AD827" t="n">
        <v>125.729</v>
      </c>
      <c r="AE827" t="n">
        <v>131.4595</v>
      </c>
    </row>
    <row r="828">
      <c r="A828" s="90" t="n">
        <v>43770</v>
      </c>
      <c r="B828" t="n">
        <v>120.3592</v>
      </c>
      <c r="C828" t="n">
        <v/>
      </c>
      <c r="D828" t="n">
        <v>134.3898</v>
      </c>
      <c r="E828" t="n">
        <v/>
      </c>
      <c r="F828" t="n">
        <v/>
      </c>
      <c r="G828" t="n">
        <v/>
      </c>
      <c r="H828" t="n">
        <v>137.8029</v>
      </c>
      <c r="I828" t="n">
        <v>108.515</v>
      </c>
      <c r="J828" t="n">
        <v>137.9789</v>
      </c>
      <c r="K828" t="n">
        <v/>
      </c>
      <c r="L828" t="n">
        <v>122.4963</v>
      </c>
      <c r="M828" t="n">
        <v>121.4164</v>
      </c>
      <c r="N828" t="n">
        <v>145.064</v>
      </c>
      <c r="O828" t="n">
        <v/>
      </c>
      <c r="P828" t="n">
        <v/>
      </c>
      <c r="Q828" t="n">
        <v>110.488</v>
      </c>
      <c r="R828" t="n">
        <v>126.7874</v>
      </c>
      <c r="S828" t="n">
        <v>112.245</v>
      </c>
      <c r="T828" t="n">
        <v>137.2464</v>
      </c>
      <c r="U828" t="n">
        <v/>
      </c>
      <c r="V828" t="n">
        <v>123.7453</v>
      </c>
      <c r="W828" t="n">
        <v/>
      </c>
      <c r="X828" t="n">
        <v>128.0247</v>
      </c>
      <c r="Y828" t="n">
        <v/>
      </c>
      <c r="Z828" t="n">
        <v/>
      </c>
      <c r="AA828" t="n">
        <v>141.0123</v>
      </c>
      <c r="AB828" t="n">
        <v/>
      </c>
      <c r="AC828" t="n">
        <v/>
      </c>
      <c r="AD828" t="n">
        <v>126.6065</v>
      </c>
      <c r="AE828" t="n">
        <v>132.0626</v>
      </c>
    </row>
    <row r="829">
      <c r="A829" s="90" t="n">
        <v>43800</v>
      </c>
      <c r="B829" t="n">
        <v>120.771</v>
      </c>
      <c r="C829" t="n">
        <v/>
      </c>
      <c r="D829" t="n">
        <v>135.4514</v>
      </c>
      <c r="E829" t="n">
        <v/>
      </c>
      <c r="F829" t="n">
        <v/>
      </c>
      <c r="G829" t="n">
        <v/>
      </c>
      <c r="H829" t="n">
        <v>138.3681</v>
      </c>
      <c r="I829" t="n">
        <v>111.3441</v>
      </c>
      <c r="J829" t="n">
        <v>137.9657</v>
      </c>
      <c r="K829" t="n">
        <v/>
      </c>
      <c r="L829" t="n">
        <v>122.774</v>
      </c>
      <c r="M829" t="n">
        <v>121.9033</v>
      </c>
      <c r="N829" t="n">
        <v>145.8002</v>
      </c>
      <c r="O829" t="n">
        <v/>
      </c>
      <c r="P829" t="n">
        <v/>
      </c>
      <c r="Q829" t="n">
        <v>111.1854</v>
      </c>
      <c r="R829" t="n">
        <v>127.6349</v>
      </c>
      <c r="S829" t="n">
        <v>112.5145</v>
      </c>
      <c r="T829" t="n">
        <v>137.8909</v>
      </c>
      <c r="U829" t="n">
        <v/>
      </c>
      <c r="V829" t="n">
        <v>124.0303</v>
      </c>
      <c r="W829" t="n">
        <v/>
      </c>
      <c r="X829" t="n">
        <v>128.5795</v>
      </c>
      <c r="Y829" t="n">
        <v/>
      </c>
      <c r="Z829" t="n">
        <v/>
      </c>
      <c r="AA829" t="n">
        <v>142.0623</v>
      </c>
      <c r="AB829" t="n">
        <v/>
      </c>
      <c r="AC829" t="n">
        <v/>
      </c>
      <c r="AD829" t="n">
        <v>127.181</v>
      </c>
      <c r="AE829" t="n">
        <v>132.1167</v>
      </c>
    </row>
    <row r="830">
      <c r="A830" s="90" t="n">
        <v>43831</v>
      </c>
      <c r="B830" t="n">
        <v>121.2389</v>
      </c>
      <c r="C830" t="n">
        <v/>
      </c>
      <c r="D830" t="n">
        <v>135.9837</v>
      </c>
      <c r="E830" t="n">
        <v/>
      </c>
      <c r="F830" t="n">
        <v/>
      </c>
      <c r="G830" t="n">
        <v/>
      </c>
      <c r="H830" t="n">
        <v>138.6001</v>
      </c>
      <c r="I830" t="n">
        <v>115.0051</v>
      </c>
      <c r="J830" t="n">
        <v>138.4588</v>
      </c>
      <c r="K830" t="n">
        <v/>
      </c>
      <c r="L830" t="n">
        <v>122.5947</v>
      </c>
      <c r="M830" t="n">
        <v>122.2989</v>
      </c>
      <c r="N830" t="n">
        <v>147.046</v>
      </c>
      <c r="O830" t="n">
        <v/>
      </c>
      <c r="P830" t="n">
        <v/>
      </c>
      <c r="Q830" t="n">
        <v>111.9834</v>
      </c>
      <c r="R830" t="n">
        <v>128.3794</v>
      </c>
      <c r="S830" t="n">
        <v>112.7619</v>
      </c>
      <c r="T830" t="n">
        <v>138.6937</v>
      </c>
      <c r="U830" t="n">
        <v/>
      </c>
      <c r="V830" t="n">
        <v>124.1792</v>
      </c>
      <c r="W830" t="n">
        <v/>
      </c>
      <c r="X830" t="n">
        <v>129.175</v>
      </c>
      <c r="Y830" t="n">
        <v/>
      </c>
      <c r="Z830" t="n">
        <v/>
      </c>
      <c r="AA830" t="n">
        <v>142.1672</v>
      </c>
      <c r="AB830" t="n">
        <v/>
      </c>
      <c r="AC830" t="n">
        <v/>
      </c>
      <c r="AD830" t="n">
        <v>127.8676</v>
      </c>
      <c r="AE830" t="n">
        <v>132.4212</v>
      </c>
    </row>
    <row r="831">
      <c r="A831" s="90" t="n">
        <v>43862</v>
      </c>
      <c r="B831" t="n">
        <v>121.8328</v>
      </c>
      <c r="C831" t="n">
        <v/>
      </c>
      <c r="D831" t="n">
        <v>136.9669</v>
      </c>
      <c r="E831" t="n">
        <v/>
      </c>
      <c r="F831" t="n">
        <v/>
      </c>
      <c r="G831" t="n">
        <v/>
      </c>
      <c r="H831" t="n">
        <v>139.9825</v>
      </c>
      <c r="I831" t="n">
        <v>115.4088</v>
      </c>
      <c r="J831" t="n">
        <v>140.3484</v>
      </c>
      <c r="K831" t="n">
        <v/>
      </c>
      <c r="L831" t="n">
        <v>123.0946</v>
      </c>
      <c r="M831" t="n">
        <v>123.133</v>
      </c>
      <c r="N831" t="n">
        <v>149.2707</v>
      </c>
      <c r="O831" t="n">
        <v/>
      </c>
      <c r="P831" t="n">
        <v/>
      </c>
      <c r="Q831" t="n">
        <v>112.9041</v>
      </c>
      <c r="R831" t="n">
        <v>129.1875</v>
      </c>
      <c r="S831" t="n">
        <v>113.0159</v>
      </c>
      <c r="T831" t="n">
        <v>139.86</v>
      </c>
      <c r="U831" t="n">
        <v/>
      </c>
      <c r="V831" t="n">
        <v>124.7547</v>
      </c>
      <c r="W831" t="n">
        <v/>
      </c>
      <c r="X831" t="n">
        <v>129.7755</v>
      </c>
      <c r="Y831" t="n">
        <v/>
      </c>
      <c r="Z831" t="n">
        <v/>
      </c>
      <c r="AA831" t="n">
        <v>142.2244</v>
      </c>
      <c r="AB831" t="n">
        <v/>
      </c>
      <c r="AC831" t="n">
        <v/>
      </c>
      <c r="AD831" t="n">
        <v>128.34</v>
      </c>
      <c r="AE831" t="n">
        <v>133.887</v>
      </c>
    </row>
    <row r="832">
      <c r="A832" s="90" t="n">
        <v>43891</v>
      </c>
      <c r="B832" t="n">
        <v>123.8304</v>
      </c>
      <c r="C832" t="n">
        <v/>
      </c>
      <c r="D832" t="n">
        <v>140.8966</v>
      </c>
      <c r="E832" t="n">
        <v/>
      </c>
      <c r="F832" t="n">
        <v/>
      </c>
      <c r="G832" t="n">
        <v/>
      </c>
      <c r="H832" t="n">
        <v>144.1185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127.1173</v>
      </c>
      <c r="N832" t="n">
        <v>152.2104</v>
      </c>
      <c r="O832" t="n">
        <v/>
      </c>
      <c r="P832" t="n">
        <v/>
      </c>
      <c r="Q832" t="n">
        <v>113.9457</v>
      </c>
      <c r="R832" t="n">
        <v>133.8462</v>
      </c>
      <c r="S832" t="n">
        <v>113.4515</v>
      </c>
      <c r="T832" t="n">
        <v>140.9297</v>
      </c>
      <c r="U832" t="n">
        <v/>
      </c>
      <c r="V832" t="n">
        <v>128.0392</v>
      </c>
      <c r="W832" t="n">
        <v/>
      </c>
      <c r="X832" t="n">
        <v>133.2362</v>
      </c>
      <c r="Y832" t="n">
        <v/>
      </c>
      <c r="Z832" t="n">
        <v/>
      </c>
      <c r="AA832" t="n">
        <v>144.1974</v>
      </c>
      <c r="AB832" t="n">
        <v/>
      </c>
      <c r="AC832" t="n">
        <v/>
      </c>
      <c r="AD832" t="n">
        <v>132.7393</v>
      </c>
      <c r="AE832" t="n">
        <v>137.009</v>
      </c>
    </row>
    <row r="833">
      <c r="A833" s="90" t="n">
        <v>43922</v>
      </c>
      <c r="B833" t="n">
        <v>127.439</v>
      </c>
      <c r="C833" t="n">
        <v/>
      </c>
      <c r="D833" t="n">
        <v>145.7226</v>
      </c>
      <c r="E833" t="n">
        <v/>
      </c>
      <c r="F833" t="n">
        <v/>
      </c>
      <c r="G833" t="n">
        <v/>
      </c>
      <c r="H833" t="n">
        <v>149.2629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130.9176</v>
      </c>
      <c r="N833" t="n">
        <v>155.0464</v>
      </c>
      <c r="O833" t="n">
        <v/>
      </c>
      <c r="P833" t="n">
        <v/>
      </c>
      <c r="Q833" t="n">
        <v>115.092</v>
      </c>
      <c r="R833" t="n">
        <v>139.0301</v>
      </c>
      <c r="S833" t="n">
        <v>113.9797</v>
      </c>
      <c r="T833" t="n">
        <v>142.0995</v>
      </c>
      <c r="U833" t="n">
        <v/>
      </c>
      <c r="V833" t="n">
        <v>132.0657</v>
      </c>
      <c r="W833" t="n">
        <v/>
      </c>
      <c r="X833" t="n">
        <v>139.1072</v>
      </c>
      <c r="Y833" t="n">
        <v/>
      </c>
      <c r="Z833" t="n">
        <v/>
      </c>
      <c r="AA833" t="n">
        <v>149.5191</v>
      </c>
      <c r="AB833" t="n">
        <v/>
      </c>
      <c r="AC833" t="n">
        <v/>
      </c>
      <c r="AD833" t="n">
        <v>141.1568</v>
      </c>
      <c r="AE833" t="n">
        <v>140.8256</v>
      </c>
    </row>
    <row r="834">
      <c r="A834" s="90" t="n">
        <v>43952</v>
      </c>
      <c r="B834" t="n">
        <v>129.4702</v>
      </c>
      <c r="C834" t="n">
        <v/>
      </c>
      <c r="D834" t="n">
        <v>148.3623</v>
      </c>
      <c r="E834" t="n">
        <v/>
      </c>
      <c r="F834" t="n">
        <v/>
      </c>
      <c r="G834" t="n">
        <v/>
      </c>
      <c r="H834" t="n">
        <v>151.9723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132.1656</v>
      </c>
      <c r="N834" t="n">
        <v>156.6427</v>
      </c>
      <c r="O834" t="n">
        <v/>
      </c>
      <c r="P834" t="n">
        <v/>
      </c>
      <c r="Q834" t="n">
        <v>116.294</v>
      </c>
      <c r="R834" t="n">
        <v>140.8835</v>
      </c>
      <c r="S834" t="n">
        <v>115.3938</v>
      </c>
      <c r="T834" t="n">
        <v>143.3289</v>
      </c>
      <c r="U834" t="n">
        <v/>
      </c>
      <c r="V834" t="n">
        <v>133.9946</v>
      </c>
      <c r="W834" t="n">
        <v/>
      </c>
      <c r="X834" t="n">
        <v>143.7577</v>
      </c>
      <c r="Y834" t="n">
        <v/>
      </c>
      <c r="Z834" t="n">
        <v/>
      </c>
      <c r="AA834" t="n">
        <v>153.071</v>
      </c>
      <c r="AB834" t="n">
        <v/>
      </c>
      <c r="AC834" t="n">
        <v/>
      </c>
      <c r="AD834" t="n">
        <v>148.07</v>
      </c>
      <c r="AE834" t="n">
        <v>142.7611</v>
      </c>
    </row>
    <row r="835">
      <c r="A835" s="90" t="n">
        <v>43983</v>
      </c>
      <c r="B835" t="n">
        <v>130.0333</v>
      </c>
      <c r="C835" t="n">
        <v/>
      </c>
      <c r="D835" t="n">
        <v>150.7798</v>
      </c>
      <c r="E835" t="n">
        <v/>
      </c>
      <c r="F835" t="n">
        <v/>
      </c>
      <c r="G835" t="n">
        <v/>
      </c>
      <c r="H835" t="n">
        <v>153.0811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133.6081</v>
      </c>
      <c r="N835" t="n">
        <v>158.6723</v>
      </c>
      <c r="O835" t="n">
        <v/>
      </c>
      <c r="P835" t="n">
        <v/>
      </c>
      <c r="Q835" t="n">
        <v>117.4781</v>
      </c>
      <c r="R835" t="n">
        <v>142.3016</v>
      </c>
      <c r="S835" t="n">
        <v>117.5076</v>
      </c>
      <c r="T835" t="n">
        <v>144.2846</v>
      </c>
      <c r="U835" t="n">
        <v/>
      </c>
      <c r="V835" t="n">
        <v>133.6678</v>
      </c>
      <c r="W835" t="n">
        <v/>
      </c>
      <c r="X835" t="n">
        <v>145.8806</v>
      </c>
      <c r="Y835" t="n">
        <v/>
      </c>
      <c r="Z835" t="n">
        <v/>
      </c>
      <c r="AA835" t="n">
        <v>153.0309</v>
      </c>
      <c r="AB835" t="n">
        <v/>
      </c>
      <c r="AC835" t="n">
        <v/>
      </c>
      <c r="AD835" t="n">
        <v>150.5116</v>
      </c>
      <c r="AE835" t="n">
        <v>143.536</v>
      </c>
    </row>
    <row r="836">
      <c r="A836" s="90" t="n">
        <v>44013</v>
      </c>
      <c r="B836" t="n">
        <v>131.2856</v>
      </c>
      <c r="C836" t="n">
        <v/>
      </c>
      <c r="D836" t="n">
        <v>151.6527</v>
      </c>
      <c r="E836" t="n">
        <v/>
      </c>
      <c r="F836" t="n">
        <v/>
      </c>
      <c r="G836" t="n">
        <v/>
      </c>
      <c r="H836" t="n">
        <v>153.4398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134.6767</v>
      </c>
      <c r="N836" t="n">
        <v>160.6825</v>
      </c>
      <c r="O836" t="n">
        <v/>
      </c>
      <c r="P836" t="n">
        <v/>
      </c>
      <c r="Q836" t="n">
        <v>118.5918</v>
      </c>
      <c r="R836" t="n">
        <v>144.0359</v>
      </c>
      <c r="S836" t="n">
        <v>118.4371</v>
      </c>
      <c r="T836" t="n">
        <v>145.228</v>
      </c>
      <c r="U836" t="n">
        <v/>
      </c>
      <c r="V836" t="n">
        <v>133.7984</v>
      </c>
      <c r="W836" t="n">
        <v/>
      </c>
      <c r="X836" t="n">
        <v>147.0303</v>
      </c>
      <c r="Y836" t="n">
        <v/>
      </c>
      <c r="Z836" t="n">
        <v/>
      </c>
      <c r="AA836" t="n">
        <v>154.522</v>
      </c>
      <c r="AB836" t="n">
        <v/>
      </c>
      <c r="AC836" t="n">
        <v/>
      </c>
      <c r="AD836" t="n">
        <v>151.7445</v>
      </c>
      <c r="AE836" t="n">
        <v>144.1172</v>
      </c>
    </row>
    <row r="837">
      <c r="A837" s="90" t="n">
        <v>44044</v>
      </c>
      <c r="B837" t="n">
        <v>132.6781</v>
      </c>
      <c r="C837" t="n">
        <v/>
      </c>
      <c r="D837" t="n">
        <v>152.0209</v>
      </c>
      <c r="E837" t="n">
        <v/>
      </c>
      <c r="F837" t="n">
        <v/>
      </c>
      <c r="G837" t="n">
        <v/>
      </c>
      <c r="H837" t="n">
        <v>154.0078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134.6937</v>
      </c>
      <c r="N837" t="n">
        <v>162.797</v>
      </c>
      <c r="O837" t="n">
        <v/>
      </c>
      <c r="P837" t="n">
        <v/>
      </c>
      <c r="Q837" t="n">
        <v>119.5895</v>
      </c>
      <c r="R837" t="n">
        <v>146.5499</v>
      </c>
      <c r="S837" t="n">
        <v>119.2867</v>
      </c>
      <c r="T837" t="n">
        <v>145.8374</v>
      </c>
      <c r="U837" t="n">
        <v/>
      </c>
      <c r="V837" t="n">
        <v>135.1061</v>
      </c>
      <c r="W837" t="n">
        <v/>
      </c>
      <c r="X837" t="n">
        <v>147.7337</v>
      </c>
      <c r="Y837" t="n">
        <v/>
      </c>
      <c r="Z837" t="n">
        <v/>
      </c>
      <c r="AA837" t="n">
        <v>157.4165</v>
      </c>
      <c r="AB837" t="n">
        <v/>
      </c>
      <c r="AC837" t="n">
        <v/>
      </c>
      <c r="AD837" t="n">
        <v>152.4053</v>
      </c>
      <c r="AE837" t="n">
        <v>144.893</v>
      </c>
    </row>
    <row r="838">
      <c r="A838" s="90" t="n">
        <v>44075</v>
      </c>
      <c r="B838" t="n">
        <v>133.5998</v>
      </c>
      <c r="C838" t="n">
        <v/>
      </c>
      <c r="D838" t="n">
        <v>153.3471</v>
      </c>
      <c r="E838" t="n">
        <v/>
      </c>
      <c r="F838" t="n">
        <v/>
      </c>
      <c r="G838" t="n">
        <v/>
      </c>
      <c r="H838" t="n">
        <v>154.9488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134.799</v>
      </c>
      <c r="N838" t="n">
        <v>165.4349</v>
      </c>
      <c r="O838" t="n">
        <v/>
      </c>
      <c r="P838" t="n">
        <v/>
      </c>
      <c r="Q838" t="n">
        <v>120.3922</v>
      </c>
      <c r="R838" t="n">
        <v>149.1626</v>
      </c>
      <c r="S838" t="n">
        <v>119.9406</v>
      </c>
      <c r="T838" t="n">
        <v>146.3757</v>
      </c>
      <c r="U838" t="n">
        <v/>
      </c>
      <c r="V838" t="n">
        <v>135.9797</v>
      </c>
      <c r="W838" t="n">
        <v/>
      </c>
      <c r="X838" t="n">
        <v>149.0988</v>
      </c>
      <c r="Y838" t="n">
        <v/>
      </c>
      <c r="Z838" t="n">
        <v/>
      </c>
      <c r="AA838" t="n">
        <v>159.5704</v>
      </c>
      <c r="AB838" t="n">
        <v/>
      </c>
      <c r="AC838" t="n">
        <v/>
      </c>
      <c r="AD838" t="n">
        <v>154.2135</v>
      </c>
      <c r="AE838" t="n">
        <v>144.5765</v>
      </c>
    </row>
    <row r="839">
      <c r="A839" s="90" t="n">
        <v>44105</v>
      </c>
      <c r="B839" t="n">
        <v>134.3254</v>
      </c>
      <c r="C839" t="n">
        <v/>
      </c>
      <c r="D839" t="n">
        <v>149.9773</v>
      </c>
      <c r="E839" t="n">
        <v/>
      </c>
      <c r="F839" t="n">
        <v/>
      </c>
      <c r="G839" t="n">
        <v/>
      </c>
      <c r="H839" t="n">
        <v>155.9745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135.1918</v>
      </c>
      <c r="N839" t="n">
        <v>168.012</v>
      </c>
      <c r="O839" t="n">
        <v/>
      </c>
      <c r="P839" t="n">
        <v/>
      </c>
      <c r="Q839" t="n">
        <v>121.0558</v>
      </c>
      <c r="R839" t="n">
        <v>151.3755</v>
      </c>
      <c r="S839" t="n">
        <v>120.3108</v>
      </c>
      <c r="T839" t="n">
        <v>147.6214</v>
      </c>
      <c r="U839" t="n">
        <v/>
      </c>
      <c r="V839" t="n">
        <v>137.4038</v>
      </c>
      <c r="W839" t="n">
        <v/>
      </c>
      <c r="X839" t="n">
        <v>149.9805</v>
      </c>
      <c r="Y839" t="n">
        <v/>
      </c>
      <c r="Z839" t="n">
        <v/>
      </c>
      <c r="AA839" t="n">
        <v>162.0544</v>
      </c>
      <c r="AB839" t="n">
        <v/>
      </c>
      <c r="AC839" t="n">
        <v/>
      </c>
      <c r="AD839" t="n">
        <v>155.546</v>
      </c>
      <c r="AE839" t="n">
        <v>144.166</v>
      </c>
    </row>
    <row r="840">
      <c r="A840" s="90" t="n">
        <v>44136</v>
      </c>
      <c r="B840" t="n">
        <v>135.1547</v>
      </c>
      <c r="C840" t="n">
        <v/>
      </c>
      <c r="D840" t="n">
        <v>150.6101</v>
      </c>
      <c r="E840" t="n">
        <v/>
      </c>
      <c r="F840" t="n">
        <v/>
      </c>
      <c r="G840" t="n">
        <v/>
      </c>
      <c r="H840" t="n">
        <v>156.0922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135.0945</v>
      </c>
      <c r="N840" t="n">
        <v>169.8622</v>
      </c>
      <c r="O840" t="n">
        <v/>
      </c>
      <c r="P840" t="n">
        <v/>
      </c>
      <c r="Q840" t="n">
        <v>121.751</v>
      </c>
      <c r="R840" t="n">
        <v>153.8287</v>
      </c>
      <c r="S840" t="n">
        <v>120.7966</v>
      </c>
      <c r="T840" t="n">
        <v>149.0209</v>
      </c>
      <c r="U840" t="n">
        <v/>
      </c>
      <c r="V840" t="n">
        <v>138.4662</v>
      </c>
      <c r="W840" t="n">
        <v/>
      </c>
      <c r="X840" t="n">
        <v>151.3525</v>
      </c>
      <c r="Y840" t="n">
        <v/>
      </c>
      <c r="Z840" t="n">
        <v/>
      </c>
      <c r="AA840" t="n">
        <v>164.5484</v>
      </c>
      <c r="AB840" t="n">
        <v/>
      </c>
      <c r="AC840" t="n">
        <v/>
      </c>
      <c r="AD840" t="n">
        <v>157.4895</v>
      </c>
      <c r="AE840" t="n">
        <v>143.9627</v>
      </c>
    </row>
    <row r="841">
      <c r="A841" s="90" t="n">
        <v>44166</v>
      </c>
      <c r="B841" t="n">
        <v>135.9336</v>
      </c>
      <c r="C841" t="n">
        <v/>
      </c>
      <c r="D841" t="n">
        <v>151.179</v>
      </c>
      <c r="E841" t="n">
        <v/>
      </c>
      <c r="F841" t="n">
        <v/>
      </c>
      <c r="G841" t="n">
        <v/>
      </c>
      <c r="H841" t="n">
        <v>156.4089</v>
      </c>
      <c r="I841" t="n">
        <v>133.8869</v>
      </c>
      <c r="J841" t="n">
        <v>152.7728</v>
      </c>
      <c r="K841" t="n">
        <v/>
      </c>
      <c r="L841" t="n">
        <v>135.9691</v>
      </c>
      <c r="M841" t="n">
        <v>136.2762</v>
      </c>
      <c r="N841" t="n">
        <v>173.3535</v>
      </c>
      <c r="O841" t="n">
        <v/>
      </c>
      <c r="P841" t="n">
        <v/>
      </c>
      <c r="Q841" t="n">
        <v>122.5301</v>
      </c>
      <c r="R841" t="n">
        <v>156.0851</v>
      </c>
      <c r="S841" t="n">
        <v>121.1847</v>
      </c>
      <c r="T841" t="n">
        <v>149.5323</v>
      </c>
      <c r="U841" t="n">
        <v/>
      </c>
      <c r="V841" t="n">
        <v>139.0662</v>
      </c>
      <c r="W841" t="n">
        <v/>
      </c>
      <c r="X841" t="n">
        <v>152.3953</v>
      </c>
      <c r="Y841" t="n">
        <v/>
      </c>
      <c r="Z841" t="n">
        <v/>
      </c>
      <c r="AA841" t="n">
        <v>164.907</v>
      </c>
      <c r="AB841" t="n">
        <v/>
      </c>
      <c r="AC841" t="n">
        <v/>
      </c>
      <c r="AD841" t="n">
        <v>158.7755</v>
      </c>
      <c r="AE841" t="n">
        <v>143.7466</v>
      </c>
    </row>
    <row r="842">
      <c r="A842" s="90" t="n">
        <v>44197</v>
      </c>
      <c r="B842" t="n">
        <v>136.6984</v>
      </c>
      <c r="C842" t="n">
        <v/>
      </c>
      <c r="D842" t="n">
        <v>152.2179</v>
      </c>
      <c r="E842" t="n">
        <v/>
      </c>
      <c r="F842" t="n">
        <v/>
      </c>
      <c r="G842" t="n">
        <v/>
      </c>
      <c r="H842" t="n">
        <v>157.4205</v>
      </c>
      <c r="I842" t="n">
        <v>135.3964</v>
      </c>
      <c r="J842" t="n">
        <v>153.5782</v>
      </c>
      <c r="K842" t="n">
        <v/>
      </c>
      <c r="L842" t="n">
        <v>136.8978</v>
      </c>
      <c r="M842" t="n">
        <v>137.6463</v>
      </c>
      <c r="N842" t="n">
        <v>176.9337</v>
      </c>
      <c r="O842" t="n">
        <v/>
      </c>
      <c r="P842" t="n">
        <v/>
      </c>
      <c r="Q842" t="n">
        <v>123.3292</v>
      </c>
      <c r="R842" t="n">
        <v>158.0284</v>
      </c>
      <c r="S842" t="n">
        <v>121.7173</v>
      </c>
      <c r="T842" t="n">
        <v>150.1967</v>
      </c>
      <c r="U842" t="n">
        <v/>
      </c>
      <c r="V842" t="n">
        <v>139.9136</v>
      </c>
      <c r="W842" t="n">
        <v/>
      </c>
      <c r="X842" t="n">
        <v>153.9763</v>
      </c>
      <c r="Y842" t="n">
        <v/>
      </c>
      <c r="Z842" t="n">
        <v/>
      </c>
      <c r="AA842" t="n">
        <v>165.1616</v>
      </c>
      <c r="AB842" t="n">
        <v/>
      </c>
      <c r="AC842" t="n">
        <v/>
      </c>
      <c r="AD842" t="n">
        <v>160.8328</v>
      </c>
      <c r="AE842" t="n">
        <v>144.7909</v>
      </c>
    </row>
    <row r="843">
      <c r="A843" s="90" t="n">
        <v>44228</v>
      </c>
      <c r="B843" t="n">
        <v>137.4129</v>
      </c>
      <c r="C843" t="n">
        <v/>
      </c>
      <c r="D843" t="n">
        <v>153.3678</v>
      </c>
      <c r="E843" t="n">
        <v/>
      </c>
      <c r="F843" t="n">
        <v/>
      </c>
      <c r="G843" t="n">
        <v/>
      </c>
      <c r="H843" t="n">
        <v>158.3176</v>
      </c>
      <c r="I843" t="n">
        <v>136.4446</v>
      </c>
      <c r="J843" t="n">
        <v>156.6682</v>
      </c>
      <c r="K843" t="n">
        <v/>
      </c>
      <c r="L843" t="n">
        <v>137.4831</v>
      </c>
      <c r="M843" t="n">
        <v>138.2544</v>
      </c>
      <c r="N843" t="n">
        <v>179.3358</v>
      </c>
      <c r="O843" t="n">
        <v/>
      </c>
      <c r="P843" t="n">
        <v/>
      </c>
      <c r="Q843" t="n">
        <v>124.1201</v>
      </c>
      <c r="R843" t="n">
        <v>159.9122</v>
      </c>
      <c r="S843" t="n">
        <v>122.1502</v>
      </c>
      <c r="T843" t="n">
        <v>151.631</v>
      </c>
      <c r="U843" t="n">
        <v/>
      </c>
      <c r="V843" t="n">
        <v>141.9204</v>
      </c>
      <c r="W843" t="n">
        <v/>
      </c>
      <c r="X843" t="n">
        <v>155.4931</v>
      </c>
      <c r="Y843" t="n">
        <v/>
      </c>
      <c r="Z843" t="n">
        <v/>
      </c>
      <c r="AA843" t="n">
        <v>166.4253</v>
      </c>
      <c r="AB843" t="n">
        <v/>
      </c>
      <c r="AC843" t="n">
        <v/>
      </c>
      <c r="AD843" t="n">
        <v>162.8502</v>
      </c>
      <c r="AE843" t="n">
        <v>145.1621</v>
      </c>
    </row>
    <row r="844">
      <c r="A844" s="90" t="n">
        <v>44256</v>
      </c>
      <c r="B844" t="n">
        <v>137.7995</v>
      </c>
      <c r="C844" t="n">
        <v/>
      </c>
      <c r="D844" t="n">
        <v>153.6772</v>
      </c>
      <c r="E844" t="n">
        <v/>
      </c>
      <c r="F844" t="n">
        <v/>
      </c>
      <c r="G844" t="n">
        <v/>
      </c>
      <c r="H844" t="n">
        <v>159.2607</v>
      </c>
      <c r="I844" t="n">
        <v>136.8376</v>
      </c>
      <c r="J844" t="n">
        <v>158.9986</v>
      </c>
      <c r="K844" t="n">
        <v/>
      </c>
      <c r="L844" t="n">
        <v>138.1806</v>
      </c>
      <c r="M844" t="n">
        <v>139.171</v>
      </c>
      <c r="N844" t="n">
        <v>181.8153</v>
      </c>
      <c r="O844" t="n">
        <v/>
      </c>
      <c r="P844" t="n">
        <v/>
      </c>
      <c r="Q844" t="n">
        <v>124.9445</v>
      </c>
      <c r="R844" t="n">
        <v>161.6895</v>
      </c>
      <c r="S844" t="n">
        <v>122.5467</v>
      </c>
      <c r="T844" t="n">
        <v>153.1997</v>
      </c>
      <c r="U844" t="n">
        <v/>
      </c>
      <c r="V844" t="n">
        <v>143.3533</v>
      </c>
      <c r="W844" t="n">
        <v/>
      </c>
      <c r="X844" t="n">
        <v>156.9466</v>
      </c>
      <c r="Y844" t="n">
        <v/>
      </c>
      <c r="Z844" t="n">
        <v/>
      </c>
      <c r="AA844" t="n">
        <v>167.4281</v>
      </c>
      <c r="AB844" t="n">
        <v/>
      </c>
      <c r="AC844" t="n">
        <v/>
      </c>
      <c r="AD844" t="n">
        <v>164.8286</v>
      </c>
      <c r="AE844" t="n">
        <v>144.9028</v>
      </c>
    </row>
    <row r="845">
      <c r="A845" s="90" t="n">
        <v>44287</v>
      </c>
      <c r="B845" t="n">
        <v>138.1693</v>
      </c>
      <c r="C845" t="n">
        <v/>
      </c>
      <c r="D845" t="n">
        <v>153.5755</v>
      </c>
      <c r="E845" t="n">
        <v/>
      </c>
      <c r="F845" t="n">
        <v/>
      </c>
      <c r="G845" t="n">
        <v/>
      </c>
      <c r="H845" t="n">
        <v>160.1411</v>
      </c>
      <c r="I845" t="n">
        <v>137.5715</v>
      </c>
      <c r="J845" t="n">
        <v>160.1879</v>
      </c>
      <c r="K845" t="n">
        <v/>
      </c>
      <c r="L845" t="n">
        <v>139.0144</v>
      </c>
      <c r="M845" t="n">
        <v>140.1745</v>
      </c>
      <c r="N845" t="n">
        <v>182.9675</v>
      </c>
      <c r="O845" t="n">
        <v/>
      </c>
      <c r="P845" t="n">
        <v/>
      </c>
      <c r="Q845" t="n">
        <v>125.8224</v>
      </c>
      <c r="R845" t="n">
        <v>163.6423</v>
      </c>
      <c r="S845" t="n">
        <v>122.9391</v>
      </c>
      <c r="T845" t="n">
        <v>155.7242</v>
      </c>
      <c r="U845" t="n">
        <v/>
      </c>
      <c r="V845" t="n">
        <v>144.3995</v>
      </c>
      <c r="W845" t="n">
        <v/>
      </c>
      <c r="X845" t="n">
        <v>158.5039</v>
      </c>
      <c r="Y845" t="n">
        <v/>
      </c>
      <c r="Z845" t="n">
        <v/>
      </c>
      <c r="AA845" t="n">
        <v>168.1569</v>
      </c>
      <c r="AB845" t="n">
        <v/>
      </c>
      <c r="AC845" t="n">
        <v/>
      </c>
      <c r="AD845" t="n">
        <v>166.9606</v>
      </c>
      <c r="AE845" t="n">
        <v>144.8896</v>
      </c>
    </row>
    <row r="846">
      <c r="A846" s="90" t="n">
        <v>44317</v>
      </c>
      <c r="B846" t="n">
        <v>138.5307</v>
      </c>
      <c r="C846" t="n">
        <v/>
      </c>
      <c r="D846" t="n">
        <v>155.5913</v>
      </c>
      <c r="E846" t="n">
        <v/>
      </c>
      <c r="F846" t="n">
        <v/>
      </c>
      <c r="G846" t="n">
        <v/>
      </c>
      <c r="H846" t="n">
        <v>161.4346</v>
      </c>
      <c r="I846" t="n">
        <v>138.3573</v>
      </c>
      <c r="J846" t="n">
        <v>161.0406</v>
      </c>
      <c r="K846" t="n">
        <v/>
      </c>
      <c r="L846" t="n">
        <v>139.9009</v>
      </c>
      <c r="M846" t="n">
        <v>140.9142</v>
      </c>
      <c r="N846" t="n">
        <v>183.2713</v>
      </c>
      <c r="O846" t="n">
        <v/>
      </c>
      <c r="P846" t="n">
        <v/>
      </c>
      <c r="Q846" t="n">
        <v>126.7349</v>
      </c>
      <c r="R846" t="n">
        <v>165.1279</v>
      </c>
      <c r="S846" t="n">
        <v>123.2841</v>
      </c>
      <c r="T846" t="n">
        <v>156.8199</v>
      </c>
      <c r="U846" t="n">
        <v/>
      </c>
      <c r="V846" t="n">
        <v>146.0524</v>
      </c>
      <c r="W846" t="n">
        <v/>
      </c>
      <c r="X846" t="n">
        <v>160.2736</v>
      </c>
      <c r="Y846" t="n">
        <v/>
      </c>
      <c r="Z846" t="n">
        <v/>
      </c>
      <c r="AA846" t="n">
        <v>169.8335</v>
      </c>
      <c r="AB846" t="n">
        <v/>
      </c>
      <c r="AC846" t="n">
        <v/>
      </c>
      <c r="AD846" t="n">
        <v>169.5193</v>
      </c>
      <c r="AE846" t="n">
        <v>145.1004</v>
      </c>
    </row>
    <row r="847">
      <c r="A847" s="90" t="n">
        <v>44348</v>
      </c>
      <c r="B847" t="n">
        <v>139.5925</v>
      </c>
      <c r="C847" t="n">
        <v/>
      </c>
      <c r="D847" t="n">
        <v>156.3659</v>
      </c>
      <c r="E847" t="n">
        <v/>
      </c>
      <c r="F847" t="n">
        <v/>
      </c>
      <c r="G847" t="n">
        <v/>
      </c>
      <c r="H847" t="n">
        <v>162.8677</v>
      </c>
      <c r="I847" t="n">
        <v>138.9272</v>
      </c>
      <c r="J847" t="n">
        <v>161.9499</v>
      </c>
      <c r="K847" t="n">
        <v/>
      </c>
      <c r="L847" t="n">
        <v>140.7972</v>
      </c>
      <c r="M847" t="n">
        <v>141.8278</v>
      </c>
      <c r="N847" t="n">
        <v>184.7449</v>
      </c>
      <c r="O847" t="n">
        <v/>
      </c>
      <c r="P847" t="n">
        <v/>
      </c>
      <c r="Q847" t="n">
        <v>127.7043</v>
      </c>
      <c r="R847" t="n">
        <v>167.4552</v>
      </c>
      <c r="S847" t="n">
        <v>123.5836</v>
      </c>
      <c r="T847" t="n">
        <v>156.9046</v>
      </c>
      <c r="U847" t="n">
        <v/>
      </c>
      <c r="V847" t="n">
        <v>147.1487</v>
      </c>
      <c r="W847" t="n">
        <v/>
      </c>
      <c r="X847" t="n">
        <v>160.7715</v>
      </c>
      <c r="Y847" t="n">
        <v/>
      </c>
      <c r="Z847" t="n">
        <v/>
      </c>
      <c r="AA847" t="n">
        <v>171.7946</v>
      </c>
      <c r="AB847" t="n">
        <v/>
      </c>
      <c r="AC847" t="n">
        <v/>
      </c>
      <c r="AD847" t="n">
        <v>169.8639</v>
      </c>
      <c r="AE847" t="n">
        <v>145.0896</v>
      </c>
    </row>
    <row r="848">
      <c r="A848" s="90" t="n">
        <v>44378</v>
      </c>
      <c r="B848" t="n">
        <v>141.4809</v>
      </c>
      <c r="C848" t="n">
        <v/>
      </c>
      <c r="D848" t="n">
        <v>158.9334</v>
      </c>
      <c r="E848" t="n">
        <v/>
      </c>
      <c r="F848" t="n">
        <v/>
      </c>
      <c r="G848" t="n">
        <v/>
      </c>
      <c r="H848" t="n">
        <v>164.2424</v>
      </c>
      <c r="I848" t="n">
        <v>139.4971</v>
      </c>
      <c r="J848" t="n">
        <v>162.7865</v>
      </c>
      <c r="K848" t="n">
        <v/>
      </c>
      <c r="L848" t="n">
        <v>141.908</v>
      </c>
      <c r="M848" t="n">
        <v>142.4436</v>
      </c>
      <c r="N848" t="n">
        <v>187.5241</v>
      </c>
      <c r="O848" t="n">
        <v/>
      </c>
      <c r="P848" t="n">
        <v/>
      </c>
      <c r="Q848" t="n">
        <v>128.7641</v>
      </c>
      <c r="R848" t="n">
        <v>171.2023</v>
      </c>
      <c r="S848" t="n">
        <v>123.879</v>
      </c>
      <c r="T848" t="n">
        <v>158.2462</v>
      </c>
      <c r="U848" t="n">
        <v/>
      </c>
      <c r="V848" t="n">
        <v>148.358</v>
      </c>
      <c r="W848" t="n">
        <v/>
      </c>
      <c r="X848" t="n">
        <v>162.0029</v>
      </c>
      <c r="Y848" t="n">
        <v/>
      </c>
      <c r="Z848" t="n">
        <v/>
      </c>
      <c r="AA848" t="n">
        <v>172.8092</v>
      </c>
      <c r="AB848" t="n">
        <v/>
      </c>
      <c r="AC848" t="n">
        <v/>
      </c>
      <c r="AD848" t="n">
        <v>171.1972</v>
      </c>
      <c r="AE848" t="n">
        <v>145.7646</v>
      </c>
    </row>
    <row r="849">
      <c r="A849" s="90" t="n">
        <v>44409</v>
      </c>
      <c r="B849" t="n">
        <v>142.5427</v>
      </c>
      <c r="C849" t="n">
        <v/>
      </c>
      <c r="D849" t="n">
        <v>160.1783</v>
      </c>
      <c r="E849" t="n">
        <v/>
      </c>
      <c r="F849" t="n">
        <v/>
      </c>
      <c r="G849" t="n">
        <v/>
      </c>
      <c r="H849" t="n">
        <v>165.675</v>
      </c>
      <c r="I849" t="n">
        <v>140.067</v>
      </c>
      <c r="J849" t="n">
        <v>163.5496</v>
      </c>
      <c r="K849" t="n">
        <v/>
      </c>
      <c r="L849" t="n">
        <v>142.7654</v>
      </c>
      <c r="M849" t="n">
        <v>142.8662</v>
      </c>
      <c r="N849" t="n">
        <v>189.4128</v>
      </c>
      <c r="O849" t="n">
        <v/>
      </c>
      <c r="P849" t="n">
        <v/>
      </c>
      <c r="Q849" t="n">
        <v>129.9127</v>
      </c>
      <c r="R849" t="n">
        <v>173.1899</v>
      </c>
      <c r="S849" t="n">
        <v>124.1613</v>
      </c>
      <c r="T849" t="n">
        <v>159.6352</v>
      </c>
      <c r="U849" t="n">
        <v/>
      </c>
      <c r="V849" t="n">
        <v>149.233</v>
      </c>
      <c r="W849" t="n">
        <v/>
      </c>
      <c r="X849" t="n">
        <v>163.4116</v>
      </c>
      <c r="Y849" t="n">
        <v/>
      </c>
      <c r="Z849" t="n">
        <v/>
      </c>
      <c r="AA849" t="n">
        <v>173.2626</v>
      </c>
      <c r="AB849" t="n">
        <v/>
      </c>
      <c r="AC849" t="n">
        <v/>
      </c>
      <c r="AD849" t="n">
        <v>173.1283</v>
      </c>
      <c r="AE849" t="n">
        <v>147.4242</v>
      </c>
    </row>
    <row r="850">
      <c r="A850" s="90" t="n">
        <v>44440</v>
      </c>
      <c r="B850" t="n">
        <v>143.6269</v>
      </c>
      <c r="C850" t="n">
        <v/>
      </c>
      <c r="D850" t="n">
        <v>160.9095</v>
      </c>
      <c r="E850" t="n">
        <v/>
      </c>
      <c r="F850" t="n">
        <v/>
      </c>
      <c r="G850" t="n">
        <v/>
      </c>
      <c r="H850" t="n">
        <v>166.4477</v>
      </c>
      <c r="I850" t="n">
        <v>140.637</v>
      </c>
      <c r="J850" t="n">
        <v>164.182</v>
      </c>
      <c r="K850" t="n">
        <v/>
      </c>
      <c r="L850" t="n">
        <v>143.0916</v>
      </c>
      <c r="M850" t="n">
        <v>144.4845</v>
      </c>
      <c r="N850" t="n">
        <v>191.5551</v>
      </c>
      <c r="O850" t="n">
        <v/>
      </c>
      <c r="P850" t="n">
        <v/>
      </c>
      <c r="Q850" t="n">
        <v>131.1326</v>
      </c>
      <c r="R850" t="n">
        <v>174.8229</v>
      </c>
      <c r="S850" t="n">
        <v>124.4294</v>
      </c>
      <c r="T850" t="n">
        <v>160.4632</v>
      </c>
      <c r="U850" t="n">
        <v/>
      </c>
      <c r="V850" t="n">
        <v>150.0881</v>
      </c>
      <c r="W850" t="n">
        <v/>
      </c>
      <c r="X850" t="n">
        <v>164.4312</v>
      </c>
      <c r="Y850" t="n">
        <v/>
      </c>
      <c r="Z850" t="n">
        <v/>
      </c>
      <c r="AA850" t="n">
        <v>174.219</v>
      </c>
      <c r="AB850" t="n">
        <v/>
      </c>
      <c r="AC850" t="n">
        <v/>
      </c>
      <c r="AD850" t="n">
        <v>174.2822</v>
      </c>
      <c r="AE850" t="n">
        <v>148.7814</v>
      </c>
    </row>
    <row r="851">
      <c r="A851" s="90" t="n">
        <v>44470</v>
      </c>
      <c r="B851" t="n">
        <v>145.0446</v>
      </c>
      <c r="C851" t="n">
        <v/>
      </c>
      <c r="D851" t="n">
        <v>161.0288</v>
      </c>
      <c r="E851" t="n">
        <v/>
      </c>
      <c r="F851" t="n">
        <v/>
      </c>
      <c r="G851" t="n">
        <v/>
      </c>
      <c r="H851" t="n">
        <v>167.9373</v>
      </c>
      <c r="I851" t="n">
        <v>141.2069</v>
      </c>
      <c r="J851" t="n">
        <v>164.6461</v>
      </c>
      <c r="K851" t="n">
        <v/>
      </c>
      <c r="L851" t="n">
        <v>143.8717</v>
      </c>
      <c r="M851" t="n">
        <v>145.8303</v>
      </c>
      <c r="N851" t="n">
        <v>194.8924</v>
      </c>
      <c r="O851" t="n">
        <v/>
      </c>
      <c r="P851" t="n">
        <v/>
      </c>
      <c r="Q851" t="n">
        <v>132.3727</v>
      </c>
      <c r="R851" t="n">
        <v>176.3005</v>
      </c>
      <c r="S851" t="n">
        <v>124.7843</v>
      </c>
      <c r="T851" t="n">
        <v>161.3676</v>
      </c>
      <c r="U851" t="n">
        <v/>
      </c>
      <c r="V851" t="n">
        <v>150.5596</v>
      </c>
      <c r="W851" t="n">
        <v/>
      </c>
      <c r="X851" t="n">
        <v>165.4996</v>
      </c>
      <c r="Y851" t="n">
        <v/>
      </c>
      <c r="Z851" t="n">
        <v/>
      </c>
      <c r="AA851" t="n">
        <v>175.9334</v>
      </c>
      <c r="AB851" t="n">
        <v/>
      </c>
      <c r="AC851" t="n">
        <v/>
      </c>
      <c r="AD851" t="n">
        <v>175.5392</v>
      </c>
      <c r="AE851" t="n">
        <v>149.3888</v>
      </c>
    </row>
    <row r="852">
      <c r="A852" s="90" t="n">
        <v>44501</v>
      </c>
      <c r="B852" t="n">
        <v>146.0952</v>
      </c>
      <c r="C852" t="n">
        <v/>
      </c>
      <c r="D852" t="n">
        <v>162.8716</v>
      </c>
      <c r="E852" t="n">
        <v/>
      </c>
      <c r="F852" t="n">
        <v/>
      </c>
      <c r="G852" t="n">
        <v/>
      </c>
      <c r="H852" t="n">
        <v>170.3858</v>
      </c>
      <c r="I852" t="n">
        <v>141.7768</v>
      </c>
      <c r="J852" t="n">
        <v>165.2357</v>
      </c>
      <c r="K852" t="n">
        <v/>
      </c>
      <c r="L852" t="n">
        <v>144.9218</v>
      </c>
      <c r="M852" t="n">
        <v>146.6272</v>
      </c>
      <c r="N852" t="n">
        <v>199.118</v>
      </c>
      <c r="O852" t="n">
        <v/>
      </c>
      <c r="P852" t="n">
        <v/>
      </c>
      <c r="Q852" t="n">
        <v>133.5994</v>
      </c>
      <c r="R852" t="n">
        <v>177.3211</v>
      </c>
      <c r="S852" t="n">
        <v>125.0818</v>
      </c>
      <c r="T852" t="n">
        <v>162.8601</v>
      </c>
      <c r="U852" t="n">
        <v/>
      </c>
      <c r="V852" t="n">
        <v>151.6741</v>
      </c>
      <c r="W852" t="n">
        <v/>
      </c>
      <c r="X852" t="n">
        <v>166.8886</v>
      </c>
      <c r="Y852" t="n">
        <v/>
      </c>
      <c r="Z852" t="n">
        <v/>
      </c>
      <c r="AA852" t="n">
        <v>177.5413</v>
      </c>
      <c r="AB852" t="n">
        <v/>
      </c>
      <c r="AC852" t="n">
        <v/>
      </c>
      <c r="AD852" t="n">
        <v>177.2453</v>
      </c>
      <c r="AE852" t="n">
        <v>150.8263</v>
      </c>
    </row>
    <row r="853">
      <c r="A853" s="90" t="n">
        <v>44531</v>
      </c>
      <c r="B853" t="n">
        <v>147.8182</v>
      </c>
      <c r="C853" t="n">
        <v/>
      </c>
      <c r="D853" t="n">
        <v>163.1942</v>
      </c>
      <c r="E853" t="n">
        <v/>
      </c>
      <c r="F853" t="n">
        <v/>
      </c>
      <c r="G853" t="n">
        <v/>
      </c>
      <c r="H853" t="n">
        <v>173.6771</v>
      </c>
      <c r="I853" t="n">
        <v>142.3468</v>
      </c>
      <c r="J853" t="n">
        <v>164.134</v>
      </c>
      <c r="K853" t="n">
        <v/>
      </c>
      <c r="L853" t="n">
        <v>145.7889</v>
      </c>
      <c r="M853" t="n">
        <v>147.3223</v>
      </c>
      <c r="N853" t="n">
        <v>203.1432</v>
      </c>
      <c r="O853" t="n">
        <v/>
      </c>
      <c r="P853" t="n">
        <v/>
      </c>
      <c r="Q853" t="n">
        <v>134.7799</v>
      </c>
      <c r="R853" t="n">
        <v>179.8024</v>
      </c>
      <c r="S853" t="n">
        <v>125.307</v>
      </c>
      <c r="T853" t="n">
        <v>164.0382</v>
      </c>
      <c r="U853" t="n">
        <v/>
      </c>
      <c r="V853" t="n">
        <v>153.4891</v>
      </c>
      <c r="W853" t="n">
        <v/>
      </c>
      <c r="X853" t="n">
        <v>167.9116</v>
      </c>
      <c r="Y853" t="n">
        <v/>
      </c>
      <c r="Z853" t="n">
        <v/>
      </c>
      <c r="AA853" t="n">
        <v>180.2263</v>
      </c>
      <c r="AB853" t="n">
        <v/>
      </c>
      <c r="AC853" t="n">
        <v/>
      </c>
      <c r="AD853" t="n">
        <v>178.4134</v>
      </c>
      <c r="AE853" t="n">
        <v>152.4642</v>
      </c>
    </row>
    <row r="854">
      <c r="A854" s="90" t="n">
        <v>44562</v>
      </c>
      <c r="B854" t="n">
        <v>149.0229</v>
      </c>
      <c r="C854" t="n">
        <v/>
      </c>
      <c r="D854" t="n">
        <v>164.8636</v>
      </c>
      <c r="E854" t="n">
        <v/>
      </c>
      <c r="F854" t="n">
        <v/>
      </c>
      <c r="G854" t="n">
        <v/>
      </c>
      <c r="H854" t="n">
        <v>176.5218</v>
      </c>
      <c r="I854" t="n">
        <v>142.9167</v>
      </c>
      <c r="J854" t="n">
        <v>163.8779</v>
      </c>
      <c r="K854" t="n">
        <v/>
      </c>
      <c r="L854" t="n">
        <v>146.115</v>
      </c>
      <c r="M854" t="n">
        <v>146.9934</v>
      </c>
      <c r="N854" t="n">
        <v>204.9476</v>
      </c>
      <c r="O854" t="n">
        <v/>
      </c>
      <c r="P854" t="n">
        <v/>
      </c>
      <c r="Q854" t="n">
        <v>135.8952</v>
      </c>
      <c r="R854" t="n">
        <v>180.9859</v>
      </c>
      <c r="S854" t="n">
        <v>125.7228</v>
      </c>
      <c r="T854" t="n">
        <v>165.025</v>
      </c>
      <c r="U854" t="n">
        <v/>
      </c>
      <c r="V854" t="n">
        <v>154.9875</v>
      </c>
      <c r="W854" t="n">
        <v/>
      </c>
      <c r="X854" t="n">
        <v>168.9626</v>
      </c>
      <c r="Y854" t="n">
        <v/>
      </c>
      <c r="Z854" t="n">
        <v/>
      </c>
      <c r="AA854" t="n">
        <v>183.3166</v>
      </c>
      <c r="AB854" t="n">
        <v/>
      </c>
      <c r="AC854" t="n">
        <v/>
      </c>
      <c r="AD854" t="n">
        <v>179.7376</v>
      </c>
      <c r="AE854" t="n">
        <v>152.9016</v>
      </c>
    </row>
    <row r="855">
      <c r="A855" s="90" t="n">
        <v>44593</v>
      </c>
      <c r="B855" t="n">
        <v>149.3087</v>
      </c>
      <c r="C855" t="n">
        <v/>
      </c>
      <c r="D855" t="n">
        <v>166.0644</v>
      </c>
      <c r="E855" t="n">
        <v/>
      </c>
      <c r="F855" t="n">
        <v/>
      </c>
      <c r="G855" t="n">
        <v/>
      </c>
      <c r="H855" t="n">
        <v>177.2952</v>
      </c>
      <c r="I855" t="n">
        <v>143.4866</v>
      </c>
      <c r="J855" t="n">
        <v>166.2576</v>
      </c>
      <c r="K855" t="n">
        <v/>
      </c>
      <c r="L855" t="n">
        <v>146.2132</v>
      </c>
      <c r="M855" t="n">
        <v>147.6541</v>
      </c>
      <c r="N855" t="n">
        <v>209.3387</v>
      </c>
      <c r="O855" t="n">
        <v/>
      </c>
      <c r="P855" t="n">
        <v/>
      </c>
      <c r="Q855" t="n">
        <v>136.8412</v>
      </c>
      <c r="R855" t="n">
        <v>181.9269</v>
      </c>
      <c r="S855" t="n">
        <v>126.0628</v>
      </c>
      <c r="T855" t="n">
        <v>165.9249</v>
      </c>
      <c r="U855" t="n">
        <v/>
      </c>
      <c r="V855" t="n">
        <v>155.4233</v>
      </c>
      <c r="W855" t="n">
        <v/>
      </c>
      <c r="X855" t="n">
        <v>169.5717</v>
      </c>
      <c r="Y855" t="n">
        <v/>
      </c>
      <c r="Z855" t="n">
        <v/>
      </c>
      <c r="AA855" t="n">
        <v>185.8211</v>
      </c>
      <c r="AB855" t="n">
        <v/>
      </c>
      <c r="AC855" t="n">
        <v/>
      </c>
      <c r="AD855" t="n">
        <v>180.2266</v>
      </c>
      <c r="AE855" t="n">
        <v>153.6773</v>
      </c>
    </row>
    <row r="856">
      <c r="A856" s="90" t="n">
        <v>44621</v>
      </c>
      <c r="B856" t="n">
        <v>150.1436</v>
      </c>
      <c r="C856" t="n">
        <v/>
      </c>
      <c r="D856" t="n">
        <v>166.7414</v>
      </c>
      <c r="E856" t="n">
        <v/>
      </c>
      <c r="F856" t="n">
        <v/>
      </c>
      <c r="G856" t="n">
        <v/>
      </c>
      <c r="H856" t="n">
        <v>178.3756</v>
      </c>
      <c r="I856" t="n">
        <v>144.0565</v>
      </c>
      <c r="J856" t="n">
        <v>167.8531</v>
      </c>
      <c r="K856" t="n">
        <v/>
      </c>
      <c r="L856" t="n">
        <v>146.891</v>
      </c>
      <c r="M856" t="n">
        <v>149.3378</v>
      </c>
      <c r="N856" t="n">
        <v>213.3488</v>
      </c>
      <c r="O856" t="n">
        <v/>
      </c>
      <c r="P856" t="n">
        <v/>
      </c>
      <c r="Q856" t="n">
        <v>137.4741</v>
      </c>
      <c r="R856" t="n">
        <v>182.4925</v>
      </c>
      <c r="S856" t="n">
        <v>126.3712</v>
      </c>
      <c r="T856" t="n">
        <v>166.2056</v>
      </c>
      <c r="U856" t="n">
        <v/>
      </c>
      <c r="V856" t="n">
        <v>156.3232</v>
      </c>
      <c r="W856" t="n">
        <v/>
      </c>
      <c r="X856" t="n">
        <v>170.1024</v>
      </c>
      <c r="Y856" t="n">
        <v/>
      </c>
      <c r="Z856" t="n">
        <v/>
      </c>
      <c r="AA856" t="n">
        <v>188.7562</v>
      </c>
      <c r="AB856" t="n">
        <v/>
      </c>
      <c r="AC856" t="n">
        <v/>
      </c>
      <c r="AD856" t="n">
        <v>180.4864</v>
      </c>
      <c r="AE856" t="n">
        <v>155.6474</v>
      </c>
    </row>
    <row r="857">
      <c r="A857" s="90" t="n">
        <v>44652</v>
      </c>
      <c r="B857" t="n">
        <v>151.2334</v>
      </c>
      <c r="C857" t="n">
        <v/>
      </c>
      <c r="D857" t="n">
        <v>168.0755</v>
      </c>
      <c r="E857" t="n">
        <v/>
      </c>
      <c r="F857" t="n">
        <v/>
      </c>
      <c r="G857" t="n">
        <v/>
      </c>
      <c r="H857" t="n">
        <v>180.2009</v>
      </c>
      <c r="I857" t="n">
        <v>144.6265</v>
      </c>
      <c r="J857" t="n">
        <v>168.4133</v>
      </c>
      <c r="K857" t="n">
        <v/>
      </c>
      <c r="L857" t="n">
        <v>147.9386</v>
      </c>
      <c r="M857" t="n">
        <v>149.8403</v>
      </c>
      <c r="N857" t="n">
        <v>214.4736</v>
      </c>
      <c r="O857" t="n">
        <v/>
      </c>
      <c r="P857" t="n">
        <v/>
      </c>
      <c r="Q857" t="n">
        <v>137.8867</v>
      </c>
      <c r="R857" t="n">
        <v>182.6335</v>
      </c>
      <c r="S857" t="n">
        <v>126.7353</v>
      </c>
      <c r="T857" t="n">
        <v>166.5137</v>
      </c>
      <c r="U857" t="n">
        <v/>
      </c>
      <c r="V857" t="n">
        <v>158.0526</v>
      </c>
      <c r="W857" t="n">
        <v/>
      </c>
      <c r="X857" t="n">
        <v>170.0501</v>
      </c>
      <c r="Y857" t="n">
        <v/>
      </c>
      <c r="Z857" t="n">
        <v/>
      </c>
      <c r="AA857" t="n">
        <v>190.5344</v>
      </c>
      <c r="AB857" t="n">
        <v/>
      </c>
      <c r="AC857" t="n">
        <v/>
      </c>
      <c r="AD857" t="n">
        <v>179.7866</v>
      </c>
      <c r="AE857" t="n">
        <v>156.4266</v>
      </c>
    </row>
    <row r="858">
      <c r="A858" s="90" t="n">
        <v>44682</v>
      </c>
      <c r="B858" t="n">
        <v>152.3121</v>
      </c>
      <c r="C858" t="n">
        <v/>
      </c>
      <c r="D858" t="n">
        <v>169.7496</v>
      </c>
      <c r="E858" t="n">
        <v/>
      </c>
      <c r="F858" t="n">
        <v/>
      </c>
      <c r="G858" t="n">
        <v/>
      </c>
      <c r="H858" t="n">
        <v>181.7547</v>
      </c>
      <c r="I858" t="n">
        <v>145.1964</v>
      </c>
      <c r="J858" t="n">
        <v>169.6831</v>
      </c>
      <c r="K858" t="n">
        <v/>
      </c>
      <c r="L858" t="n">
        <v>148.7137</v>
      </c>
      <c r="M858" t="n">
        <v>149.5455</v>
      </c>
      <c r="N858" t="n">
        <v>216.4847</v>
      </c>
      <c r="O858" t="n">
        <v/>
      </c>
      <c r="P858" t="n">
        <v/>
      </c>
      <c r="Q858" t="n">
        <v>138.2751</v>
      </c>
      <c r="R858" t="n">
        <v>184.4025</v>
      </c>
      <c r="S858" t="n">
        <v>126.7784</v>
      </c>
      <c r="T858" t="n">
        <v>167.6557</v>
      </c>
      <c r="U858" t="n">
        <v/>
      </c>
      <c r="V858" t="n">
        <v>158.9428</v>
      </c>
      <c r="W858" t="n">
        <v/>
      </c>
      <c r="X858" t="n">
        <v>170.4481</v>
      </c>
      <c r="Y858" t="n">
        <v/>
      </c>
      <c r="Z858" t="n">
        <v/>
      </c>
      <c r="AA858" t="n">
        <v>189.3</v>
      </c>
      <c r="AB858" t="n">
        <v/>
      </c>
      <c r="AC858" t="n">
        <v/>
      </c>
      <c r="AD858" t="n">
        <v>180.0265</v>
      </c>
      <c r="AE858" t="n">
        <v>156.0393</v>
      </c>
    </row>
    <row r="859">
      <c r="A859" s="90" t="n">
        <v>44713</v>
      </c>
      <c r="B859" t="n">
        <v>153.6429</v>
      </c>
      <c r="C859" t="n">
        <v/>
      </c>
      <c r="D859" t="n">
        <v>170.7212</v>
      </c>
      <c r="E859" t="n">
        <v/>
      </c>
      <c r="F859" t="n">
        <v/>
      </c>
      <c r="G859" t="n">
        <v/>
      </c>
      <c r="H859" t="n">
        <v>183.7922</v>
      </c>
      <c r="I859" t="n">
        <v>145.7663</v>
      </c>
      <c r="J859" t="n">
        <v>170.5555</v>
      </c>
      <c r="K859" t="n">
        <v/>
      </c>
      <c r="L859" t="n">
        <v>149.3364</v>
      </c>
      <c r="M859" t="n">
        <v>150.0723</v>
      </c>
      <c r="N859" t="n">
        <v>218.6275</v>
      </c>
      <c r="O859" t="n">
        <v/>
      </c>
      <c r="P859" t="n">
        <v/>
      </c>
      <c r="Q859" t="n">
        <v>138.7277</v>
      </c>
      <c r="R859" t="n">
        <v>186.2295</v>
      </c>
      <c r="S859" t="n">
        <v>127.2051</v>
      </c>
      <c r="T859" t="n">
        <v>168.3756</v>
      </c>
      <c r="U859" t="n">
        <v/>
      </c>
      <c r="V859" t="n">
        <v>160.0885</v>
      </c>
      <c r="W859" t="n">
        <v/>
      </c>
      <c r="X859" t="n">
        <v>170.75</v>
      </c>
      <c r="Y859" t="n">
        <v/>
      </c>
      <c r="Z859" t="n">
        <v/>
      </c>
      <c r="AA859" t="n">
        <v>187.7094</v>
      </c>
      <c r="AB859" t="n">
        <v/>
      </c>
      <c r="AC859" t="n">
        <v/>
      </c>
      <c r="AD859" t="n">
        <v>179.8845</v>
      </c>
      <c r="AE859" t="n">
        <v>156.3419</v>
      </c>
    </row>
    <row r="860">
      <c r="A860" s="90" t="n">
        <v>44743</v>
      </c>
      <c r="B860" t="n">
        <v>154.828</v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>186.12</v>
      </c>
      <c r="I860" t="n">
        <v>146.3363</v>
      </c>
      <c r="J860" t="n">
        <v>170.7508</v>
      </c>
      <c r="K860" t="n">
        <v/>
      </c>
      <c r="L860" t="n">
        <v>150.4206</v>
      </c>
      <c r="M860" t="n">
        <v>150.882</v>
      </c>
      <c r="N860" t="n">
        <v>222.6025</v>
      </c>
      <c r="O860" t="n">
        <v/>
      </c>
      <c r="P860" t="n">
        <v/>
      </c>
      <c r="Q860" t="n">
        <v>139.2593</v>
      </c>
      <c r="R860" t="n">
        <v/>
      </c>
      <c r="S860" t="n">
        <v>127.5482</v>
      </c>
      <c r="T860" t="n">
        <v/>
      </c>
      <c r="U860" t="n">
        <v/>
      </c>
      <c r="V860" t="n">
        <v>160.6662</v>
      </c>
      <c r="W860" t="n">
        <v/>
      </c>
      <c r="X860" t="n">
        <v/>
      </c>
      <c r="Y860" t="n">
        <v/>
      </c>
      <c r="Z860" t="n">
        <v/>
      </c>
      <c r="AA860" t="n">
        <v>185.9508</v>
      </c>
      <c r="AB860" t="n">
        <v/>
      </c>
      <c r="AC860" t="n">
        <v/>
      </c>
      <c r="AD860" t="n">
        <v>180.2324</v>
      </c>
      <c r="AE860" t="n">
        <v>157.7986</v>
      </c>
    </row>
    <row r="861">
      <c r="A861" s="90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>187.7464</v>
      </c>
      <c r="AB861" t="n">
        <v/>
      </c>
      <c r="AC861" t="n">
        <v/>
      </c>
      <c r="AD861" t="n">
        <v/>
      </c>
      <c r="AE861" t="n">
        <v/>
      </c>
    </row>
    <row r="862">
      <c r="A862" s="90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90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90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90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90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11" activePane="bottomLeft" state="frozen"/>
      <selection pane="bottomLeft" activeCell="M30" sqref="M30"/>
    </sheetView>
  </sheetViews>
  <sheetFormatPr baseColWidth="10" defaultRowHeight="15"/>
  <cols>
    <col width="18.5" customWidth="1" style="67" min="3" max="3"/>
  </cols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9415256</v>
      </c>
      <c r="C2" s="91" t="n">
        <v>44774</v>
      </c>
      <c r="D2" t="n">
        <v>9375021</v>
      </c>
      <c r="E2" t="inlineStr">
        <is>
          <t>ARS Million</t>
        </is>
      </c>
    </row>
    <row r="3">
      <c r="A3" t="inlineStr">
        <is>
          <t>Brazil</t>
        </is>
      </c>
      <c r="B3" t="n">
        <v>4795425</v>
      </c>
      <c r="C3" s="91" t="n">
        <v>44805</v>
      </c>
      <c r="D3" t="n">
        <v>4723684</v>
      </c>
      <c r="E3" t="inlineStr">
        <is>
          <t>BRL Million</t>
        </is>
      </c>
    </row>
    <row r="4">
      <c r="A4" t="inlineStr">
        <is>
          <t>Canada</t>
        </is>
      </c>
      <c r="B4" t="n">
        <v>2358110</v>
      </c>
      <c r="C4" s="91" t="n">
        <v>44774</v>
      </c>
      <c r="D4" t="n">
        <v>2367102</v>
      </c>
      <c r="E4" t="inlineStr">
        <is>
          <t>CAD Million</t>
        </is>
      </c>
    </row>
    <row r="5">
      <c r="A5" t="inlineStr">
        <is>
          <t>China</t>
        </is>
      </c>
      <c r="B5" t="n">
        <v>262660</v>
      </c>
      <c r="C5" s="91" t="n">
        <v>44805</v>
      </c>
      <c r="D5" t="n">
        <v>259507</v>
      </c>
      <c r="E5" t="inlineStr">
        <is>
          <t>CNY Billion</t>
        </is>
      </c>
    </row>
    <row r="6">
      <c r="A6" t="inlineStr">
        <is>
          <t>Euro Area</t>
        </is>
      </c>
      <c r="B6" t="n">
        <v>15397543</v>
      </c>
      <c r="C6" s="91" t="n">
        <v>44805</v>
      </c>
      <c r="D6" t="n">
        <v>15303375</v>
      </c>
      <c r="E6" t="inlineStr">
        <is>
          <t>EUR Million</t>
        </is>
      </c>
    </row>
    <row r="7">
      <c r="A7" t="inlineStr">
        <is>
          <t>France</t>
        </is>
      </c>
      <c r="B7" t="n">
        <v>3013596</v>
      </c>
      <c r="C7" s="91" t="n">
        <v>44774</v>
      </c>
      <c r="D7" t="n">
        <v>3013081</v>
      </c>
      <c r="E7" t="inlineStr">
        <is>
          <t>EUR Million</t>
        </is>
      </c>
    </row>
    <row r="8">
      <c r="A8" t="inlineStr">
        <is>
          <t>Germany</t>
        </is>
      </c>
      <c r="B8" t="n">
        <v>3809</v>
      </c>
      <c r="C8" s="91" t="n">
        <v>44805</v>
      </c>
      <c r="D8" t="n">
        <v>3821</v>
      </c>
      <c r="E8" t="inlineStr">
        <is>
          <t>EUR Billion</t>
        </is>
      </c>
    </row>
    <row r="9">
      <c r="A9" t="inlineStr">
        <is>
          <t>India</t>
        </is>
      </c>
      <c r="B9" t="n">
        <v>54312</v>
      </c>
      <c r="C9" s="91" t="n">
        <v>44805</v>
      </c>
      <c r="D9" t="n">
        <v>54706</v>
      </c>
      <c r="E9" t="inlineStr">
        <is>
          <t>INR Billion</t>
        </is>
      </c>
    </row>
    <row r="10">
      <c r="A10" t="inlineStr">
        <is>
          <t>Indonesia</t>
        </is>
      </c>
      <c r="B10" t="n">
        <v>7962700</v>
      </c>
      <c r="C10" s="91" t="n">
        <v>44805</v>
      </c>
      <c r="D10" t="n">
        <v>7894100</v>
      </c>
      <c r="E10" t="inlineStr">
        <is>
          <t>IDR Billion</t>
        </is>
      </c>
    </row>
    <row r="11">
      <c r="A11" t="inlineStr">
        <is>
          <t>Italy</t>
        </is>
      </c>
      <c r="B11" t="n">
        <v>1924971</v>
      </c>
      <c r="C11" s="91" t="n">
        <v>44774</v>
      </c>
      <c r="D11" t="n">
        <v>1949499</v>
      </c>
      <c r="E11" t="inlineStr">
        <is>
          <t>EUR Million</t>
        </is>
      </c>
    </row>
    <row r="12">
      <c r="A12" t="inlineStr">
        <is>
          <t>Japan</t>
        </is>
      </c>
      <c r="B12" t="n">
        <v>1207930</v>
      </c>
      <c r="C12" s="91" t="n">
        <v>44805</v>
      </c>
      <c r="D12" t="n">
        <v>1209076</v>
      </c>
      <c r="E12" t="inlineStr">
        <is>
          <t>JPY Billion</t>
        </is>
      </c>
    </row>
    <row r="13">
      <c r="A13" t="inlineStr">
        <is>
          <t>Mexico</t>
        </is>
      </c>
      <c r="B13" t="n">
        <v>11791395306</v>
      </c>
      <c r="C13" s="91" t="n">
        <v>44774</v>
      </c>
      <c r="D13" t="n">
        <v>11791260117</v>
      </c>
      <c r="E13" t="inlineStr">
        <is>
          <t>MXN Thousand</t>
        </is>
      </c>
    </row>
    <row r="14">
      <c r="A14" t="inlineStr">
        <is>
          <t>Netherlands</t>
        </is>
      </c>
      <c r="B14" t="n">
        <v>1155044</v>
      </c>
      <c r="C14" s="91" t="n">
        <v>44805</v>
      </c>
      <c r="D14" t="n">
        <v>1148750</v>
      </c>
      <c r="E14" t="inlineStr">
        <is>
          <t>EUR Million</t>
        </is>
      </c>
    </row>
    <row r="15">
      <c r="A15" t="inlineStr">
        <is>
          <t>Russia</t>
        </is>
      </c>
      <c r="B15" t="n">
        <v>73333</v>
      </c>
      <c r="C15" s="91" t="n">
        <v>44774</v>
      </c>
      <c r="D15" t="n">
        <v>70825</v>
      </c>
      <c r="E15" t="inlineStr">
        <is>
          <t>RUB Billion</t>
        </is>
      </c>
    </row>
    <row r="16">
      <c r="A16" t="inlineStr">
        <is>
          <t>Saudi Arabia</t>
        </is>
      </c>
      <c r="B16" t="n">
        <v>2120470</v>
      </c>
      <c r="C16" s="91" t="n">
        <v>44774</v>
      </c>
      <c r="D16" t="n">
        <v>2114917</v>
      </c>
      <c r="E16" t="inlineStr">
        <is>
          <t>SAR Million</t>
        </is>
      </c>
    </row>
    <row r="17">
      <c r="A17" t="inlineStr">
        <is>
          <t>Singapore</t>
        </is>
      </c>
      <c r="B17" t="n">
        <v>753645</v>
      </c>
      <c r="C17" s="91" t="n">
        <v>44774</v>
      </c>
      <c r="D17" t="n">
        <v>757672</v>
      </c>
      <c r="E17" t="inlineStr">
        <is>
          <t>SGD Million</t>
        </is>
      </c>
    </row>
    <row r="18">
      <c r="A18" t="inlineStr">
        <is>
          <t>South Africa</t>
        </is>
      </c>
      <c r="B18" t="n">
        <v>3789888</v>
      </c>
      <c r="C18" s="91" t="n">
        <v>44774</v>
      </c>
      <c r="D18" t="n">
        <v>3726652</v>
      </c>
      <c r="E18" t="inlineStr">
        <is>
          <t>ZAR Million</t>
        </is>
      </c>
    </row>
    <row r="19">
      <c r="A19" t="inlineStr">
        <is>
          <t>South Korea</t>
        </is>
      </c>
      <c r="B19" t="n">
        <v>3738504</v>
      </c>
      <c r="C19" s="91" t="n">
        <v>44774</v>
      </c>
      <c r="D19" t="n">
        <v>3719259</v>
      </c>
      <c r="E19" t="inlineStr">
        <is>
          <t>KRW Billion</t>
        </is>
      </c>
    </row>
    <row r="20">
      <c r="A20" t="inlineStr">
        <is>
          <t>Spain</t>
        </is>
      </c>
      <c r="B20" t="n">
        <v>1509170</v>
      </c>
      <c r="C20" s="91" t="n">
        <v>44774</v>
      </c>
      <c r="D20" t="n">
        <v>1501143</v>
      </c>
      <c r="E20" t="inlineStr">
        <is>
          <t>EUR Million</t>
        </is>
      </c>
    </row>
    <row r="21">
      <c r="A21" t="inlineStr">
        <is>
          <t>Switzerland</t>
        </is>
      </c>
      <c r="B21" t="n">
        <v>1085991</v>
      </c>
      <c r="C21" s="91" t="n">
        <v>44805</v>
      </c>
      <c r="D21" t="n">
        <v>1093759</v>
      </c>
      <c r="E21" t="inlineStr">
        <is>
          <t>CHF Million</t>
        </is>
      </c>
    </row>
    <row r="22">
      <c r="A22" t="inlineStr">
        <is>
          <t>Turkey</t>
        </is>
      </c>
      <c r="B22" t="n">
        <v>7429567349</v>
      </c>
      <c r="C22" s="91" t="n">
        <v>44805</v>
      </c>
      <c r="D22" t="n">
        <v>7230241222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3112903</v>
      </c>
      <c r="C23" s="91" t="n">
        <v>44774</v>
      </c>
      <c r="D23" t="n">
        <v>3082372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21503</v>
      </c>
      <c r="C24" s="91" t="n">
        <v>44805</v>
      </c>
      <c r="D24" t="n">
        <v>21711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5"/>
  <sheetViews>
    <sheetView zoomScale="180" zoomScaleNormal="180" workbookViewId="0">
      <pane ySplit="11" topLeftCell="A245" activePane="bottomLeft" state="frozen"/>
      <selection pane="bottomLeft" activeCell="A258" sqref="A258:B265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  <row r="264">
      <c r="A264" s="68" t="n">
        <v>44562</v>
      </c>
      <c r="B264" s="65">
        <f>VLOOKUP(Table1[[#This Row],[Date]],'DB Money Supply'!$A:$F,6)</f>
        <v/>
      </c>
    </row>
    <row r="265">
      <c r="A265" s="68" t="n">
        <v>44652</v>
      </c>
      <c r="B265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9"/>
  <sheetViews>
    <sheetView zoomScale="180" zoomScaleNormal="180" workbookViewId="0">
      <pane ySplit="5" topLeftCell="A755" activePane="bottomLeft" state="frozen"/>
      <selection pane="bottomLeft" activeCell="G780" sqref="G780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7" min="4" max="6"/>
    <col width="13.33203125" customWidth="1" style="77" min="7" max="7"/>
    <col width="9.1640625" customWidth="1" style="77" min="8" max="30"/>
    <col width="9.1640625" customWidth="1" style="77" min="31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  <row r="764">
      <c r="A764" s="25" t="n">
        <v>44621</v>
      </c>
      <c r="B764" s="26">
        <f>VLOOKUP(Table3032[[#This Row],[Month]],'DB Money Supply'!$A:$D,2)</f>
        <v/>
      </c>
      <c r="C764" s="63">
        <f>(Table3032[[#This Row],[Real M1 Money Stock]]-B752)/B752</f>
        <v/>
      </c>
    </row>
    <row r="765">
      <c r="A765" s="25" t="n">
        <v>44652</v>
      </c>
      <c r="B765" s="26">
        <f>VLOOKUP(Table3032[[#This Row],[Month]],'DB Money Supply'!$A:$D,2)</f>
        <v/>
      </c>
      <c r="C765" s="63">
        <f>(Table3032[[#This Row],[Real M1 Money Stock]]-B753)/B753</f>
        <v/>
      </c>
    </row>
    <row r="766">
      <c r="A766" s="25" t="n">
        <v>44682</v>
      </c>
      <c r="B766" s="26">
        <f>VLOOKUP(Table3032[[#This Row],[Month]],'DB Money Supply'!$A:$D,2)</f>
        <v/>
      </c>
      <c r="C766" s="63">
        <f>(Table3032[[#This Row],[Real M1 Money Stock]]-B754)/B754</f>
        <v/>
      </c>
    </row>
    <row r="767">
      <c r="A767" s="25" t="n">
        <v>44713</v>
      </c>
      <c r="B767" s="26">
        <f>VLOOKUP(Table3032[[#This Row],[Month]],'DB Money Supply'!$A:$D,2)</f>
        <v/>
      </c>
      <c r="C767" s="63">
        <f>(Table3032[[#This Row],[Real M1 Money Stock]]-B755)/B755</f>
        <v/>
      </c>
    </row>
    <row r="768">
      <c r="A768" s="25" t="n">
        <v>44743</v>
      </c>
      <c r="B768" s="26">
        <f>VLOOKUP(Table3032[[#This Row],[Month]],'DB Money Supply'!$A:$D,2)</f>
        <v/>
      </c>
      <c r="C768" s="63">
        <f>(Table3032[[#This Row],[Real M1 Money Stock]]-B756)/B756</f>
        <v/>
      </c>
    </row>
    <row r="769">
      <c r="A769" s="25" t="n">
        <v>44774</v>
      </c>
      <c r="B769" s="26">
        <f>VLOOKUP(Table3032[[#This Row],[Month]],'DB Money Supply'!$A:$D,2)</f>
        <v/>
      </c>
      <c r="C769" s="63">
        <f>(Table3032[[#This Row],[Real M1 Money Stock]]-B757)/B757</f>
        <v/>
      </c>
    </row>
  </sheetData>
  <conditionalFormatting sqref="C18:C76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9"/>
  <sheetViews>
    <sheetView zoomScaleNormal="100" workbookViewId="0">
      <pane ySplit="5" topLeftCell="A717" activePane="bottomLeft" state="frozen"/>
      <selection pane="bottomLeft" activeCell="A764" sqref="A764:C769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7" min="4" max="6"/>
    <col width="13.33203125" customWidth="1" style="77" min="7" max="7"/>
    <col width="9.1640625" customWidth="1" style="77" min="8" max="30"/>
    <col width="9.1640625" customWidth="1" style="77" min="31" max="16384"/>
  </cols>
  <sheetData>
    <row r="1">
      <c r="A1" s="1" t="inlineStr">
        <is>
          <t>https://fred.stlouisfed.org/series/M2REAL</t>
        </is>
      </c>
    </row>
    <row r="2">
      <c r="A2" s="77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  <row r="764">
      <c r="A764" s="22" t="n">
        <v>44621</v>
      </c>
      <c r="B764" s="24">
        <f>VLOOKUP(Table30[[#This Row],[Month]],'DB Money Supply'!$A:$D,3)</f>
        <v/>
      </c>
      <c r="C764" s="27">
        <f>(Table30[[#This Row],[Real M2 Money Stock]]-B752)/B752</f>
        <v/>
      </c>
    </row>
    <row r="765">
      <c r="A765" s="22" t="n">
        <v>44652</v>
      </c>
      <c r="B765" s="24">
        <f>VLOOKUP(Table30[[#This Row],[Month]],'DB Money Supply'!$A:$D,3)</f>
        <v/>
      </c>
      <c r="C765" s="63">
        <f>(Table30[[#This Row],[Real M2 Money Stock]]-B753)/B753</f>
        <v/>
      </c>
    </row>
    <row r="766">
      <c r="A766" s="22" t="n">
        <v>44682</v>
      </c>
      <c r="B766" s="24">
        <f>VLOOKUP(Table30[[#This Row],[Month]],'DB Money Supply'!$A:$D,3)</f>
        <v/>
      </c>
      <c r="C766" s="63">
        <f>(Table30[[#This Row],[Real M2 Money Stock]]-B754)/B754</f>
        <v/>
      </c>
    </row>
    <row r="767">
      <c r="A767" s="22" t="n">
        <v>44713</v>
      </c>
      <c r="B767" s="24">
        <f>VLOOKUP(Table30[[#This Row],[Month]],'DB Money Supply'!$A:$D,3)</f>
        <v/>
      </c>
      <c r="C767" s="63">
        <f>(Table30[[#This Row],[Real M2 Money Stock]]-B755)/B755</f>
        <v/>
      </c>
    </row>
    <row r="768">
      <c r="A768" s="22" t="n">
        <v>44743</v>
      </c>
      <c r="B768" s="24">
        <f>VLOOKUP(Table30[[#This Row],[Month]],'DB Money Supply'!$A:$D,3)</f>
        <v/>
      </c>
      <c r="C768" s="27">
        <f>(Table30[[#This Row],[Real M2 Money Stock]]-B756)/B756</f>
        <v/>
      </c>
    </row>
    <row r="769">
      <c r="A769" s="22" t="n">
        <v>44774</v>
      </c>
      <c r="B769" s="24">
        <f>VLOOKUP(Table30[[#This Row],[Month]],'DB Money Supply'!$A:$D,3)</f>
        <v/>
      </c>
      <c r="C769" s="63">
        <f>(Table30[[#This Row],[Real M2 Money Stock]]-B757)/B757</f>
        <v/>
      </c>
    </row>
  </sheetData>
  <conditionalFormatting sqref="C18:C76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10" zoomScaleNormal="110" workbookViewId="0">
      <pane ySplit="5" topLeftCell="A2382" activePane="bottomLeft" state="frozen"/>
      <selection pane="bottomLeft" activeCell="A2404" sqref="A2404:F2410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77" min="4" max="4"/>
    <col width="9.1640625" customWidth="1" style="77" min="5" max="27"/>
    <col width="9.1640625" customWidth="1" style="77" min="28" max="16384"/>
  </cols>
  <sheetData>
    <row r="1">
      <c r="A1" s="78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9"/>
  <sheetViews>
    <sheetView zoomScale="110" zoomScaleNormal="110" workbookViewId="0">
      <pane ySplit="5" topLeftCell="A738" activePane="bottomLeft" state="frozen"/>
      <selection pane="bottomLeft" activeCell="A761" sqref="A761:D769"/>
    </sheetView>
  </sheetViews>
  <sheetFormatPr baseColWidth="10" defaultColWidth="9.1640625" defaultRowHeight="15"/>
  <cols>
    <col width="16.6640625" customWidth="1" style="16" min="1" max="1"/>
    <col width="19" customWidth="1" style="77" min="2" max="2"/>
    <col width="14.6640625" customWidth="1" style="16" min="3" max="3"/>
    <col width="14.6640625" customWidth="1" style="77" min="4" max="4"/>
    <col width="9.1640625" customWidth="1" style="77" min="5" max="27"/>
    <col width="9.1640625" customWidth="1" style="77" min="28" max="16384"/>
  </cols>
  <sheetData>
    <row r="1">
      <c r="A1" t="inlineStr">
        <is>
          <t>https://fred.stlouisfed.org/series/M2SL</t>
        </is>
      </c>
    </row>
    <row r="2">
      <c r="A2" s="77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  <row r="764">
      <c r="A764" s="33" t="n">
        <v>44621</v>
      </c>
      <c r="B764" s="57">
        <f>VLOOKUP(Table26[[#This Row],[Date]],'DB Money Supply'!$A:$E,5)</f>
        <v/>
      </c>
      <c r="C764" s="30">
        <f>(Table26[[#This Row],[M2 Money Stock, Billions of Dollars, Monthly, Seasonally Adjusted]]-B763)/B763</f>
        <v/>
      </c>
      <c r="D764" s="31">
        <f>((1+Table26[[#This Row],[Monthly change]])^12)-1</f>
        <v/>
      </c>
    </row>
    <row r="765">
      <c r="A765" s="55" t="n">
        <v>44652</v>
      </c>
      <c r="B765" s="57">
        <f>VLOOKUP(Table26[[#This Row],[Date]],'DB Money Supply'!$A:$E,5)</f>
        <v/>
      </c>
      <c r="C765" s="30">
        <f>(Table26[[#This Row],[M2 Money Stock, Billions of Dollars, Monthly, Seasonally Adjusted]]-B764)/B764</f>
        <v/>
      </c>
      <c r="D765" s="31">
        <f>((1+Table26[[#This Row],[Monthly change]])^12)-1</f>
        <v/>
      </c>
    </row>
    <row r="766">
      <c r="A766" s="33" t="n">
        <v>44682</v>
      </c>
      <c r="B766" s="57">
        <f>VLOOKUP(Table26[[#This Row],[Date]],'DB Money Supply'!$A:$E,5)</f>
        <v/>
      </c>
      <c r="C766" s="30">
        <f>(Table26[[#This Row],[M2 Money Stock, Billions of Dollars, Monthly, Seasonally Adjusted]]-B765)/B765</f>
        <v/>
      </c>
      <c r="D766" s="31">
        <f>((1+Table26[[#This Row],[Monthly change]])^12)-1</f>
        <v/>
      </c>
    </row>
    <row r="767">
      <c r="A767" s="33" t="n">
        <v>44713</v>
      </c>
      <c r="B767" s="57">
        <f>VLOOKUP(Table26[[#This Row],[Date]],'DB Money Supply'!$A:$E,5)</f>
        <v/>
      </c>
      <c r="C767" s="30">
        <f>(Table26[[#This Row],[M2 Money Stock, Billions of Dollars, Monthly, Seasonally Adjusted]]-B766)/B766</f>
        <v/>
      </c>
      <c r="D767" s="31">
        <f>((1+Table26[[#This Row],[Monthly change]])^12)-1</f>
        <v/>
      </c>
    </row>
    <row r="768">
      <c r="A768" s="33" t="n">
        <v>44743</v>
      </c>
      <c r="B768" s="57">
        <f>VLOOKUP(Table26[[#This Row],[Date]],'DB Money Supply'!$A:$E,5)</f>
        <v/>
      </c>
      <c r="C768" s="30">
        <f>(Table26[[#This Row],[M2 Money Stock, Billions of Dollars, Monthly, Seasonally Adjusted]]-B767)/B767</f>
        <v/>
      </c>
      <c r="D768" s="31">
        <f>((1+Table26[[#This Row],[Monthly change]])^12)-1</f>
        <v/>
      </c>
    </row>
    <row r="769">
      <c r="A769" s="55" t="n">
        <v>44774</v>
      </c>
      <c r="B769" s="57">
        <f>VLOOKUP(Table26[[#This Row],[Date]],'DB Money Supply'!$A:$E,5)</f>
        <v/>
      </c>
      <c r="C769" s="30">
        <f>(Table26[[#This Row],[M2 Money Stock, Billions of Dollars, Monthly, Seasonally Adjusted]]-B768)/B768</f>
        <v/>
      </c>
      <c r="D769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tabSelected="1" zoomScale="130" zoomScaleNormal="130" workbookViewId="0">
      <pane xSplit="4" topLeftCell="E1" activePane="topRight" state="frozen"/>
      <selection activeCell="AB17" sqref="AB17"/>
      <selection pane="topRight" activeCell="D7" sqref="D7:I30"/>
    </sheetView>
  </sheetViews>
  <sheetFormatPr baseColWidth="10" defaultColWidth="9.1640625" defaultRowHeight="15"/>
  <cols>
    <col width="9.1640625" customWidth="1" style="77" min="1" max="3"/>
    <col width="28" customWidth="1" style="16" min="4" max="9"/>
    <col width="9.1640625" customWidth="1" style="77" min="10" max="32"/>
    <col width="9.1640625" customWidth="1" style="77" min="33" max="16384"/>
  </cols>
  <sheetData>
    <row r="2">
      <c r="D2" s="1" t="inlineStr">
        <is>
          <t>https://tradingeconomics.com/country-list/money-supply-m2?continent=g20</t>
        </is>
      </c>
    </row>
    <row r="7">
      <c r="D7" s="80" t="inlineStr">
        <is>
          <t>Country</t>
        </is>
      </c>
      <c r="E7" s="80" t="inlineStr">
        <is>
          <t>Last</t>
        </is>
      </c>
      <c r="F7" s="80" t="inlineStr">
        <is>
          <t>Month</t>
        </is>
      </c>
      <c r="G7" s="80" t="inlineStr">
        <is>
          <t>Previous</t>
        </is>
      </c>
      <c r="H7" s="80" t="inlineStr">
        <is>
          <t>mom annualized</t>
        </is>
      </c>
      <c r="I7" s="80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95"/>
  <sheetViews>
    <sheetView zoomScale="130" zoomScaleNormal="130" workbookViewId="0">
      <pane xSplit="1" ySplit="5" topLeftCell="B79" activePane="bottomRight" state="frozen"/>
      <selection pane="topRight" activeCell="B1" sqref="B1"/>
      <selection pane="bottomLeft" activeCell="A6" sqref="A6"/>
      <selection pane="bottomRight" activeCell="AA103" sqref="AA103"/>
    </sheetView>
  </sheetViews>
  <sheetFormatPr baseColWidth="10" defaultColWidth="8.83203125" defaultRowHeight="15"/>
  <cols>
    <col width="10.6640625" bestFit="1" customWidth="1" style="77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77" min="28" max="28"/>
    <col width="12.33203125" customWidth="1" style="77" min="29" max="29"/>
    <col width="9.1640625" customWidth="1" style="77" min="30" max="30"/>
    <col width="10.6640625" customWidth="1" style="77" min="31" max="31"/>
    <col width="10.6640625" bestFit="1" customWidth="1" style="77" min="32" max="32"/>
    <col width="9.1640625" customWidth="1" style="77" min="33" max="73"/>
  </cols>
  <sheetData>
    <row r="1" customFormat="1" s="77">
      <c r="C1" s="77" t="inlineStr">
        <is>
          <t>OECD</t>
        </is>
      </c>
      <c r="D1" s="77" t="inlineStr">
        <is>
          <t>USA</t>
        </is>
      </c>
      <c r="E1" s="77" t="inlineStr">
        <is>
          <t>CHN</t>
        </is>
      </c>
      <c r="F1" s="77" t="inlineStr">
        <is>
          <t>EA19</t>
        </is>
      </c>
      <c r="G1" s="77" t="inlineStr">
        <is>
          <t>JPN</t>
        </is>
      </c>
      <c r="H1" s="77" t="inlineStr">
        <is>
          <t>GBR</t>
        </is>
      </c>
      <c r="I1" s="77" t="inlineStr">
        <is>
          <t>CHE</t>
        </is>
      </c>
      <c r="J1" s="77" t="inlineStr">
        <is>
          <t>SWE</t>
        </is>
      </c>
      <c r="K1" s="77" t="inlineStr">
        <is>
          <t>NOR</t>
        </is>
      </c>
      <c r="L1" s="77" t="inlineStr">
        <is>
          <t>BRA</t>
        </is>
      </c>
      <c r="M1" s="77" t="inlineStr">
        <is>
          <t>MEX</t>
        </is>
      </c>
      <c r="N1" s="77" t="inlineStr">
        <is>
          <t>RUS</t>
        </is>
      </c>
      <c r="O1" s="77" t="inlineStr">
        <is>
          <t>IND</t>
        </is>
      </c>
      <c r="P1" s="77" t="inlineStr">
        <is>
          <t>CAN</t>
        </is>
      </c>
      <c r="Q1" s="77" t="inlineStr">
        <is>
          <t>AUS</t>
        </is>
      </c>
      <c r="R1" s="77" t="inlineStr">
        <is>
          <t>IDN</t>
        </is>
      </c>
      <c r="S1" s="77" t="inlineStr">
        <is>
          <t>KOR</t>
        </is>
      </c>
      <c r="T1" s="77" t="inlineStr">
        <is>
          <t>CHL</t>
        </is>
      </c>
      <c r="U1" s="77" t="inlineStr">
        <is>
          <t>DNK</t>
        </is>
      </c>
      <c r="V1" s="77" t="inlineStr">
        <is>
          <t>ISR</t>
        </is>
      </c>
      <c r="W1" s="77" t="inlineStr">
        <is>
          <t>TUR</t>
        </is>
      </c>
      <c r="X1" s="77" t="inlineStr">
        <is>
          <t>ZAF</t>
        </is>
      </c>
      <c r="Y1" s="77" t="inlineStr">
        <is>
          <t>NZL</t>
        </is>
      </c>
      <c r="Z1" s="77" t="inlineStr">
        <is>
          <t>CZE</t>
        </is>
      </c>
      <c r="AA1" s="77" t="inlineStr">
        <is>
          <t>POL</t>
        </is>
      </c>
      <c r="AI1" s="77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7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7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7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7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7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7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7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7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7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7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7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7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7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7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7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7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7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7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7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7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7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7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7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7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7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7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7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7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7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7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7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7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7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7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7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7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7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7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7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7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7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7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7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7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7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7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7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7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7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7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7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7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7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7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7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7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7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7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7">
      <c r="A90" s="20">
        <f>DATE(YEAR(B90)-1,MONTH(B90),DAY(B90))</f>
        <v/>
      </c>
      <c r="B90" s="12" t="n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/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/>
      </c>
      <c r="E90" s="14">
        <f>IF(VLOOKUP(B90,Data!$A:$AN,MATCH(yoy!$E$1,Data!$A$1:$AN$1,),)=0,"#N/A",(VLOOKUP(B90,Data!$A:$AN,MATCH(yoy!$E$1,Data!$A$1:$AN$1,),)-VLOOKUP(A90,Data!$A:$AN,MATCH(yoy!$E$1,Data!$A$1:$AN$1,),))/VLOOKUP(A90,Data!$A:$AN,MATCH(yoy!$E$1,Data!$A$1:$AN$1,),))</f>
        <v/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/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/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/>
      </c>
      <c r="I90" s="14">
        <f>IF(VLOOKUP(B90,Data!$A:$AN,MATCH(yoy!$I$1,Data!$A$1:$AN$1,),)=0,"#N/A",(VLOOKUP(B90,Data!$A:$AN,MATCH(yoy!$I$1,Data!$A$1:$AN$1,),)-VLOOKUP(A90,Data!$A:$AN,MATCH(yoy!$I$1,Data!$A$1:$AN$1,),))/VLOOKUP(A90,Data!$A:$AN,MATCH(yoy!$I$1,Data!$A$1:$AN$1,),))</f>
        <v/>
      </c>
      <c r="J90" s="14">
        <f>IF(VLOOKUP(B90,Data!$A:$AN,MATCH(yoy!$J$1,Data!$A$1:$AN$1,),)=0,"#N/A",(VLOOKUP(B90,Data!$A:$AN,MATCH(yoy!$J$1,Data!$A$1:$AN$1,),)-VLOOKUP(A90,Data!$A:$AN,MATCH(yoy!$J$1,Data!$A$1:$AN$1,),))/VLOOKUP(A90,Data!$A:$AN,MATCH(yoy!$J$1,Data!$A$1:$AN$1,),))</f>
        <v/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/>
      </c>
      <c r="L90" s="14">
        <f>IF(VLOOKUP(B90,Data!$A:$AN,MATCH(yoy!$L$1,Data!$A$1:$AN$1,),)=0,"#N/A",(VLOOKUP(B90,Data!$A:$AN,MATCH(yoy!$L$1,Data!$A$1:$AN$1,),)-VLOOKUP(A90,Data!$A:$AN,MATCH(yoy!$L$1,Data!$A$1:$AN$1,),))/VLOOKUP(A90,Data!$A:$AN,MATCH(yoy!$L$1,Data!$A$1:$AN$1,),))</f>
        <v/>
      </c>
      <c r="M90" s="14">
        <f>IF(VLOOKUP(B90,Data!$A:$AN,MATCH(yoy!$M$1,Data!$A$1:$AN$1,),)=0,"#N/A",(VLOOKUP(B90,Data!$A:$AN,MATCH(yoy!$M$1,Data!$A$1:$AN$1,),)-VLOOKUP(A90,Data!$A:$AN,MATCH(yoy!$M$1,Data!$A$1:$AN$1,),))/VLOOKUP(A90,Data!$A:$AN,MATCH(yoy!$M$1,Data!$A$1:$AN$1,),))</f>
        <v/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/>
      </c>
      <c r="O90" s="14">
        <f>IF(VLOOKUP(B90,Data!$A:$AN,MATCH(yoy!$O$1,Data!$A$1:$AN$1,),)=0,"#N/A",(VLOOKUP(B90,Data!$A:$AN,MATCH(yoy!$O$1,Data!$A$1:$AN$1,),)-VLOOKUP(A90,Data!$A:$AN,MATCH(yoy!$O$1,Data!$A$1:$AN$1,),))/VLOOKUP(A90,Data!$A:$AN,MATCH(yoy!$O$1,Data!$A$1:$AN$1,),))</f>
        <v/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/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/>
      </c>
      <c r="R90" s="14">
        <f>IF(VLOOKUP(B90,Data!$A:$AN,MATCH(yoy!$R$1,Data!$A$1:$AN$1,),)=0,"#N/A",(VLOOKUP(B90,Data!$A:$AN,MATCH(yoy!$R$1,Data!$A$1:$AN$1,),)-VLOOKUP(A90,Data!$A:$AN,MATCH(yoy!$R$1,Data!$A$1:$AN$1,),))/VLOOKUP(A90,Data!$A:$AN,MATCH(yoy!$R$1,Data!$A$1:$AN$1,),))</f>
        <v/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/>
      </c>
      <c r="T90" s="14">
        <f>IF(VLOOKUP(B90,Data!$A:$AN,MATCH(yoy!$T$1,Data!$A$1:$AN$1,),)=0,"#N/A",(VLOOKUP(B90,Data!$A:$AN,MATCH(yoy!$T$1,Data!$A$1:$AN$1,),)-VLOOKUP(A90,Data!$A:$AN,MATCH(yoy!$T$1,Data!$A$1:$AN$1,),))/VLOOKUP(A90,Data!$A:$AN,MATCH(yoy!$T$1,Data!$A$1:$AN$1,),))</f>
        <v/>
      </c>
      <c r="U90" s="14">
        <f>IF(VLOOKUP(B90,Data!$A:$AN,MATCH(yoy!$U$1,Data!$A$1:$AN$1,),)=0,"#N/A",(VLOOKUP(B90,Data!$A:$AN,MATCH(yoy!$U$1,Data!$A$1:$AN$1,),)-VLOOKUP(A90,Data!$A:$AN,MATCH(yoy!$U$1,Data!$A$1:$AN$1,),))/VLOOKUP(A90,Data!$A:$AN,MATCH(yoy!$U$1,Data!$A$1:$AN$1,),))</f>
        <v/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/>
      </c>
      <c r="W90" s="14">
        <f>IF(VLOOKUP(B90,Data!$A:$AN,MATCH(yoy!$W$1,Data!$A$1:$AN$1,),)=0,"#N/A",(VLOOKUP(B90,Data!$A:$AN,MATCH(yoy!$W$1,Data!$A$1:$AN$1,),)-VLOOKUP(A90,Data!$A:$AN,MATCH(yoy!$W$1,Data!$A$1:$AN$1,),))/VLOOKUP(A90,Data!$A:$AN,MATCH(yoy!$W$1,Data!$A$1:$AN$1,),))</f>
        <v/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/>
      </c>
      <c r="Y90" s="14">
        <f>IF(VLOOKUP(B90,Data!$A:$AN,MATCH(yoy!$Y$1,Data!$A$1:$AN$1,),)=0,"#N/A",(VLOOKUP(B90,Data!$A:$AN,MATCH(yoy!$Y$1,Data!$A$1:$AN$1,),)-VLOOKUP(A90,Data!$A:$AN,MATCH(yoy!$Y$1,Data!$A$1:$AN$1,),))/VLOOKUP(A90,Data!$A:$AN,MATCH(yoy!$Y$1,Data!$A$1:$AN$1,),))</f>
        <v/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/>
      </c>
      <c r="AA90" s="14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/>
      </c>
    </row>
    <row r="91" customFormat="1" s="77">
      <c r="A91" s="20">
        <f>DATE(YEAR(B91)-1,MONTH(B91),DAY(B91))</f>
        <v/>
      </c>
      <c r="B91" s="12" t="n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/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/>
      </c>
      <c r="E91" s="14">
        <f>IF(VLOOKUP(B91,Data!$A:$AN,MATCH(yoy!$E$1,Data!$A$1:$AN$1,),)=0,"#N/A",(VLOOKUP(B91,Data!$A:$AN,MATCH(yoy!$E$1,Data!$A$1:$AN$1,),)-VLOOKUP(A91,Data!$A:$AN,MATCH(yoy!$E$1,Data!$A$1:$AN$1,),))/VLOOKUP(A91,Data!$A:$AN,MATCH(yoy!$E$1,Data!$A$1:$AN$1,),))</f>
        <v/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/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/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/>
      </c>
      <c r="I91" s="14">
        <f>IF(VLOOKUP(B91,Data!$A:$AN,MATCH(yoy!$I$1,Data!$A$1:$AN$1,),)=0,"#N/A",(VLOOKUP(B91,Data!$A:$AN,MATCH(yoy!$I$1,Data!$A$1:$AN$1,),)-VLOOKUP(A91,Data!$A:$AN,MATCH(yoy!$I$1,Data!$A$1:$AN$1,),))/VLOOKUP(A91,Data!$A:$AN,MATCH(yoy!$I$1,Data!$A$1:$AN$1,),))</f>
        <v/>
      </c>
      <c r="J91" s="14">
        <f>IF(VLOOKUP(B91,Data!$A:$AN,MATCH(yoy!$J$1,Data!$A$1:$AN$1,),)=0,"#N/A",(VLOOKUP(B91,Data!$A:$AN,MATCH(yoy!$J$1,Data!$A$1:$AN$1,),)-VLOOKUP(A91,Data!$A:$AN,MATCH(yoy!$J$1,Data!$A$1:$AN$1,),))/VLOOKUP(A91,Data!$A:$AN,MATCH(yoy!$J$1,Data!$A$1:$AN$1,),))</f>
        <v/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/>
      </c>
      <c r="L91" s="14">
        <f>IF(VLOOKUP(B91,Data!$A:$AN,MATCH(yoy!$L$1,Data!$A$1:$AN$1,),)=0,"#N/A",(VLOOKUP(B91,Data!$A:$AN,MATCH(yoy!$L$1,Data!$A$1:$AN$1,),)-VLOOKUP(A91,Data!$A:$AN,MATCH(yoy!$L$1,Data!$A$1:$AN$1,),))/VLOOKUP(A91,Data!$A:$AN,MATCH(yoy!$L$1,Data!$A$1:$AN$1,),))</f>
        <v/>
      </c>
      <c r="M91" s="14">
        <f>IF(VLOOKUP(B91,Data!$A:$AN,MATCH(yoy!$M$1,Data!$A$1:$AN$1,),)=0,"#N/A",(VLOOKUP(B91,Data!$A:$AN,MATCH(yoy!$M$1,Data!$A$1:$AN$1,),)-VLOOKUP(A91,Data!$A:$AN,MATCH(yoy!$M$1,Data!$A$1:$AN$1,),))/VLOOKUP(A91,Data!$A:$AN,MATCH(yoy!$M$1,Data!$A$1:$AN$1,),))</f>
        <v/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/>
      </c>
      <c r="O91" s="14">
        <f>IF(VLOOKUP(B91,Data!$A:$AN,MATCH(yoy!$O$1,Data!$A$1:$AN$1,),)=0,"#N/A",(VLOOKUP(B91,Data!$A:$AN,MATCH(yoy!$O$1,Data!$A$1:$AN$1,),)-VLOOKUP(A91,Data!$A:$AN,MATCH(yoy!$O$1,Data!$A$1:$AN$1,),))/VLOOKUP(A91,Data!$A:$AN,MATCH(yoy!$O$1,Data!$A$1:$AN$1,),))</f>
        <v/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/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/>
      </c>
      <c r="R91" s="14">
        <f>IF(VLOOKUP(B91,Data!$A:$AN,MATCH(yoy!$R$1,Data!$A$1:$AN$1,),)=0,"#N/A",(VLOOKUP(B91,Data!$A:$AN,MATCH(yoy!$R$1,Data!$A$1:$AN$1,),)-VLOOKUP(A91,Data!$A:$AN,MATCH(yoy!$R$1,Data!$A$1:$AN$1,),))/VLOOKUP(A91,Data!$A:$AN,MATCH(yoy!$R$1,Data!$A$1:$AN$1,),))</f>
        <v/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/>
      </c>
      <c r="T91" s="14">
        <f>IF(VLOOKUP(B91,Data!$A:$AN,MATCH(yoy!$T$1,Data!$A$1:$AN$1,),)=0,"#N/A",(VLOOKUP(B91,Data!$A:$AN,MATCH(yoy!$T$1,Data!$A$1:$AN$1,),)-VLOOKUP(A91,Data!$A:$AN,MATCH(yoy!$T$1,Data!$A$1:$AN$1,),))/VLOOKUP(A91,Data!$A:$AN,MATCH(yoy!$T$1,Data!$A$1:$AN$1,),))</f>
        <v/>
      </c>
      <c r="U91" s="14">
        <f>IF(VLOOKUP(B91,Data!$A:$AN,MATCH(yoy!$U$1,Data!$A$1:$AN$1,),)=0,"#N/A",(VLOOKUP(B91,Data!$A:$AN,MATCH(yoy!$U$1,Data!$A$1:$AN$1,),)-VLOOKUP(A91,Data!$A:$AN,MATCH(yoy!$U$1,Data!$A$1:$AN$1,),))/VLOOKUP(A91,Data!$A:$AN,MATCH(yoy!$U$1,Data!$A$1:$AN$1,),))</f>
        <v/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/>
      </c>
      <c r="W91" s="14">
        <f>IF(VLOOKUP(B91,Data!$A:$AN,MATCH(yoy!$W$1,Data!$A$1:$AN$1,),)=0,"#N/A",(VLOOKUP(B91,Data!$A:$AN,MATCH(yoy!$W$1,Data!$A$1:$AN$1,),)-VLOOKUP(A91,Data!$A:$AN,MATCH(yoy!$W$1,Data!$A$1:$AN$1,),))/VLOOKUP(A91,Data!$A:$AN,MATCH(yoy!$W$1,Data!$A$1:$AN$1,),))</f>
        <v/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/>
      </c>
      <c r="Y91" s="14">
        <f>IF(VLOOKUP(B91,Data!$A:$AN,MATCH(yoy!$Y$1,Data!$A$1:$AN$1,),)=0,"#N/A",(VLOOKUP(B91,Data!$A:$AN,MATCH(yoy!$Y$1,Data!$A$1:$AN$1,),)-VLOOKUP(A91,Data!$A:$AN,MATCH(yoy!$Y$1,Data!$A$1:$AN$1,),))/VLOOKUP(A91,Data!$A:$AN,MATCH(yoy!$Y$1,Data!$A$1:$AN$1,),))</f>
        <v/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/>
      </c>
      <c r="AA91" s="14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/>
      </c>
    </row>
    <row r="92" customFormat="1" s="77">
      <c r="A92" s="20">
        <f>DATE(YEAR(B92)-1,MONTH(B92),DAY(B92))</f>
        <v/>
      </c>
      <c r="B92" s="12" t="n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/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/>
      </c>
      <c r="E92" s="14">
        <f>IF(VLOOKUP(B92,Data!$A:$AN,MATCH(yoy!$E$1,Data!$A$1:$AN$1,),)=0,"#N/A",(VLOOKUP(B92,Data!$A:$AN,MATCH(yoy!$E$1,Data!$A$1:$AN$1,),)-VLOOKUP(A92,Data!$A:$AN,MATCH(yoy!$E$1,Data!$A$1:$AN$1,),))/VLOOKUP(A92,Data!$A:$AN,MATCH(yoy!$E$1,Data!$A$1:$AN$1,),))</f>
        <v/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/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/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/>
      </c>
      <c r="I92" s="14">
        <f>IF(VLOOKUP(B92,Data!$A:$AN,MATCH(yoy!$I$1,Data!$A$1:$AN$1,),)=0,"#N/A",(VLOOKUP(B92,Data!$A:$AN,MATCH(yoy!$I$1,Data!$A$1:$AN$1,),)-VLOOKUP(A92,Data!$A:$AN,MATCH(yoy!$I$1,Data!$A$1:$AN$1,),))/VLOOKUP(A92,Data!$A:$AN,MATCH(yoy!$I$1,Data!$A$1:$AN$1,),))</f>
        <v/>
      </c>
      <c r="J92" s="14">
        <f>IF(VLOOKUP(B92,Data!$A:$AN,MATCH(yoy!$J$1,Data!$A$1:$AN$1,),)=0,"#N/A",(VLOOKUP(B92,Data!$A:$AN,MATCH(yoy!$J$1,Data!$A$1:$AN$1,),)-VLOOKUP(A92,Data!$A:$AN,MATCH(yoy!$J$1,Data!$A$1:$AN$1,),))/VLOOKUP(A92,Data!$A:$AN,MATCH(yoy!$J$1,Data!$A$1:$AN$1,),))</f>
        <v/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/>
      </c>
      <c r="L92" s="14">
        <f>IF(VLOOKUP(B92,Data!$A:$AN,MATCH(yoy!$L$1,Data!$A$1:$AN$1,),)=0,"#N/A",(VLOOKUP(B92,Data!$A:$AN,MATCH(yoy!$L$1,Data!$A$1:$AN$1,),)-VLOOKUP(A92,Data!$A:$AN,MATCH(yoy!$L$1,Data!$A$1:$AN$1,),))/VLOOKUP(A92,Data!$A:$AN,MATCH(yoy!$L$1,Data!$A$1:$AN$1,),))</f>
        <v/>
      </c>
      <c r="M92" s="14">
        <f>IF(VLOOKUP(B92,Data!$A:$AN,MATCH(yoy!$M$1,Data!$A$1:$AN$1,),)=0,"#N/A",(VLOOKUP(B92,Data!$A:$AN,MATCH(yoy!$M$1,Data!$A$1:$AN$1,),)-VLOOKUP(A92,Data!$A:$AN,MATCH(yoy!$M$1,Data!$A$1:$AN$1,),))/VLOOKUP(A92,Data!$A:$AN,MATCH(yoy!$M$1,Data!$A$1:$AN$1,),))</f>
        <v/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/>
      </c>
      <c r="O92" s="14">
        <f>IF(VLOOKUP(B92,Data!$A:$AN,MATCH(yoy!$O$1,Data!$A$1:$AN$1,),)=0,"#N/A",(VLOOKUP(B92,Data!$A:$AN,MATCH(yoy!$O$1,Data!$A$1:$AN$1,),)-VLOOKUP(A92,Data!$A:$AN,MATCH(yoy!$O$1,Data!$A$1:$AN$1,),))/VLOOKUP(A92,Data!$A:$AN,MATCH(yoy!$O$1,Data!$A$1:$AN$1,),))</f>
        <v/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/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/>
      </c>
      <c r="R92" s="14">
        <f>IF(VLOOKUP(B92,Data!$A:$AN,MATCH(yoy!$R$1,Data!$A$1:$AN$1,),)=0,"#N/A",(VLOOKUP(B92,Data!$A:$AN,MATCH(yoy!$R$1,Data!$A$1:$AN$1,),)-VLOOKUP(A92,Data!$A:$AN,MATCH(yoy!$R$1,Data!$A$1:$AN$1,),))/VLOOKUP(A92,Data!$A:$AN,MATCH(yoy!$R$1,Data!$A$1:$AN$1,),))</f>
        <v/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/>
      </c>
      <c r="T92" s="14">
        <f>IF(VLOOKUP(B92,Data!$A:$AN,MATCH(yoy!$T$1,Data!$A$1:$AN$1,),)=0,"#N/A",(VLOOKUP(B92,Data!$A:$AN,MATCH(yoy!$T$1,Data!$A$1:$AN$1,),)-VLOOKUP(A92,Data!$A:$AN,MATCH(yoy!$T$1,Data!$A$1:$AN$1,),))/VLOOKUP(A92,Data!$A:$AN,MATCH(yoy!$T$1,Data!$A$1:$AN$1,),))</f>
        <v/>
      </c>
      <c r="U92" s="14">
        <f>IF(VLOOKUP(B92,Data!$A:$AN,MATCH(yoy!$U$1,Data!$A$1:$AN$1,),)=0,"#N/A",(VLOOKUP(B92,Data!$A:$AN,MATCH(yoy!$U$1,Data!$A$1:$AN$1,),)-VLOOKUP(A92,Data!$A:$AN,MATCH(yoy!$U$1,Data!$A$1:$AN$1,),))/VLOOKUP(A92,Data!$A:$AN,MATCH(yoy!$U$1,Data!$A$1:$AN$1,),))</f>
        <v/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/>
      </c>
      <c r="W92" s="14">
        <f>IF(VLOOKUP(B92,Data!$A:$AN,MATCH(yoy!$W$1,Data!$A$1:$AN$1,),)=0,"#N/A",(VLOOKUP(B92,Data!$A:$AN,MATCH(yoy!$W$1,Data!$A$1:$AN$1,),)-VLOOKUP(A92,Data!$A:$AN,MATCH(yoy!$W$1,Data!$A$1:$AN$1,),))/VLOOKUP(A92,Data!$A:$AN,MATCH(yoy!$W$1,Data!$A$1:$AN$1,),))</f>
        <v/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/>
      </c>
      <c r="Y92" s="14">
        <f>IF(VLOOKUP(B92,Data!$A:$AN,MATCH(yoy!$Y$1,Data!$A$1:$AN$1,),)=0,"#N/A",(VLOOKUP(B92,Data!$A:$AN,MATCH(yoy!$Y$1,Data!$A$1:$AN$1,),)-VLOOKUP(A92,Data!$A:$AN,MATCH(yoy!$Y$1,Data!$A$1:$AN$1,),))/VLOOKUP(A92,Data!$A:$AN,MATCH(yoy!$Y$1,Data!$A$1:$AN$1,),))</f>
        <v/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/>
      </c>
      <c r="AA92" s="14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/>
      </c>
    </row>
    <row r="93" customFormat="1" s="77">
      <c r="A93" s="20">
        <f>DATE(YEAR(B93)-1,MONTH(B93),DAY(B93))</f>
        <v/>
      </c>
      <c r="B93" s="12" t="n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/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/>
      </c>
      <c r="E93" s="14">
        <f>IF(VLOOKUP(B93,Data!$A:$AN,MATCH(yoy!$E$1,Data!$A$1:$AN$1,),)=0,"#N/A",(VLOOKUP(B93,Data!$A:$AN,MATCH(yoy!$E$1,Data!$A$1:$AN$1,),)-VLOOKUP(A93,Data!$A:$AN,MATCH(yoy!$E$1,Data!$A$1:$AN$1,),))/VLOOKUP(A93,Data!$A:$AN,MATCH(yoy!$E$1,Data!$A$1:$AN$1,),))</f>
        <v/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/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/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/>
      </c>
      <c r="I93" s="14">
        <f>IF(VLOOKUP(B93,Data!$A:$AN,MATCH(yoy!$I$1,Data!$A$1:$AN$1,),)=0,"#N/A",(VLOOKUP(B93,Data!$A:$AN,MATCH(yoy!$I$1,Data!$A$1:$AN$1,),)-VLOOKUP(A93,Data!$A:$AN,MATCH(yoy!$I$1,Data!$A$1:$AN$1,),))/VLOOKUP(A93,Data!$A:$AN,MATCH(yoy!$I$1,Data!$A$1:$AN$1,),))</f>
        <v/>
      </c>
      <c r="J93" s="14">
        <f>IF(VLOOKUP(B93,Data!$A:$AN,MATCH(yoy!$J$1,Data!$A$1:$AN$1,),)=0,"#N/A",(VLOOKUP(B93,Data!$A:$AN,MATCH(yoy!$J$1,Data!$A$1:$AN$1,),)-VLOOKUP(A93,Data!$A:$AN,MATCH(yoy!$J$1,Data!$A$1:$AN$1,),))/VLOOKUP(A93,Data!$A:$AN,MATCH(yoy!$J$1,Data!$A$1:$AN$1,),))</f>
        <v/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/>
      </c>
      <c r="L93" s="14">
        <f>IF(VLOOKUP(B93,Data!$A:$AN,MATCH(yoy!$L$1,Data!$A$1:$AN$1,),)=0,"#N/A",(VLOOKUP(B93,Data!$A:$AN,MATCH(yoy!$L$1,Data!$A$1:$AN$1,),)-VLOOKUP(A93,Data!$A:$AN,MATCH(yoy!$L$1,Data!$A$1:$AN$1,),))/VLOOKUP(A93,Data!$A:$AN,MATCH(yoy!$L$1,Data!$A$1:$AN$1,),))</f>
        <v/>
      </c>
      <c r="M93" s="14">
        <f>IF(VLOOKUP(B93,Data!$A:$AN,MATCH(yoy!$M$1,Data!$A$1:$AN$1,),)=0,"#N/A",(VLOOKUP(B93,Data!$A:$AN,MATCH(yoy!$M$1,Data!$A$1:$AN$1,),)-VLOOKUP(A93,Data!$A:$AN,MATCH(yoy!$M$1,Data!$A$1:$AN$1,),))/VLOOKUP(A93,Data!$A:$AN,MATCH(yoy!$M$1,Data!$A$1:$AN$1,),))</f>
        <v/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/>
      </c>
      <c r="O93" s="14">
        <f>IF(VLOOKUP(B93,Data!$A:$AN,MATCH(yoy!$O$1,Data!$A$1:$AN$1,),)=0,"#N/A",(VLOOKUP(B93,Data!$A:$AN,MATCH(yoy!$O$1,Data!$A$1:$AN$1,),)-VLOOKUP(A93,Data!$A:$AN,MATCH(yoy!$O$1,Data!$A$1:$AN$1,),))/VLOOKUP(A93,Data!$A:$AN,MATCH(yoy!$O$1,Data!$A$1:$AN$1,),))</f>
        <v/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/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/>
      </c>
      <c r="R93" s="14">
        <f>IF(VLOOKUP(B93,Data!$A:$AN,MATCH(yoy!$R$1,Data!$A$1:$AN$1,),)=0,"#N/A",(VLOOKUP(B93,Data!$A:$AN,MATCH(yoy!$R$1,Data!$A$1:$AN$1,),)-VLOOKUP(A93,Data!$A:$AN,MATCH(yoy!$R$1,Data!$A$1:$AN$1,),))/VLOOKUP(A93,Data!$A:$AN,MATCH(yoy!$R$1,Data!$A$1:$AN$1,),))</f>
        <v/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/>
      </c>
      <c r="T93" s="14">
        <f>IF(VLOOKUP(B93,Data!$A:$AN,MATCH(yoy!$T$1,Data!$A$1:$AN$1,),)=0,"#N/A",(VLOOKUP(B93,Data!$A:$AN,MATCH(yoy!$T$1,Data!$A$1:$AN$1,),)-VLOOKUP(A93,Data!$A:$AN,MATCH(yoy!$T$1,Data!$A$1:$AN$1,),))/VLOOKUP(A93,Data!$A:$AN,MATCH(yoy!$T$1,Data!$A$1:$AN$1,),))</f>
        <v/>
      </c>
      <c r="U93" s="14">
        <f>IF(VLOOKUP(B93,Data!$A:$AN,MATCH(yoy!$U$1,Data!$A$1:$AN$1,),)=0,"#N/A",(VLOOKUP(B93,Data!$A:$AN,MATCH(yoy!$U$1,Data!$A$1:$AN$1,),)-VLOOKUP(A93,Data!$A:$AN,MATCH(yoy!$U$1,Data!$A$1:$AN$1,),))/VLOOKUP(A93,Data!$A:$AN,MATCH(yoy!$U$1,Data!$A$1:$AN$1,),))</f>
        <v/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/>
      </c>
      <c r="W93" s="14">
        <f>IF(VLOOKUP(B93,Data!$A:$AN,MATCH(yoy!$W$1,Data!$A$1:$AN$1,),)=0,"#N/A",(VLOOKUP(B93,Data!$A:$AN,MATCH(yoy!$W$1,Data!$A$1:$AN$1,),)-VLOOKUP(A93,Data!$A:$AN,MATCH(yoy!$W$1,Data!$A$1:$AN$1,),))/VLOOKUP(A93,Data!$A:$AN,MATCH(yoy!$W$1,Data!$A$1:$AN$1,),))</f>
        <v/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/>
      </c>
      <c r="Y93" s="14">
        <f>IF(VLOOKUP(B93,Data!$A:$AN,MATCH(yoy!$Y$1,Data!$A$1:$AN$1,),)=0,"#N/A",(VLOOKUP(B93,Data!$A:$AN,MATCH(yoy!$Y$1,Data!$A$1:$AN$1,),)-VLOOKUP(A93,Data!$A:$AN,MATCH(yoy!$Y$1,Data!$A$1:$AN$1,),))/VLOOKUP(A93,Data!$A:$AN,MATCH(yoy!$Y$1,Data!$A$1:$AN$1,),))</f>
        <v/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/>
      </c>
      <c r="AA93" s="14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/>
      </c>
    </row>
    <row r="94" customFormat="1" s="77">
      <c r="A94" s="20">
        <f>DATE(YEAR(B94)-1,MONTH(B94),DAY(B94))</f>
        <v/>
      </c>
      <c r="B94" s="12" t="n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/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/>
      </c>
      <c r="E94" s="14">
        <f>IF(VLOOKUP(B94,Data!$A:$AN,MATCH(yoy!$E$1,Data!$A$1:$AN$1,),)=0,"#N/A",(VLOOKUP(B94,Data!$A:$AN,MATCH(yoy!$E$1,Data!$A$1:$AN$1,),)-VLOOKUP(A94,Data!$A:$AN,MATCH(yoy!$E$1,Data!$A$1:$AN$1,),))/VLOOKUP(A94,Data!$A:$AN,MATCH(yoy!$E$1,Data!$A$1:$AN$1,),))</f>
        <v/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/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/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/>
      </c>
      <c r="I94" s="14">
        <f>IF(VLOOKUP(B94,Data!$A:$AN,MATCH(yoy!$I$1,Data!$A$1:$AN$1,),)=0,"#N/A",(VLOOKUP(B94,Data!$A:$AN,MATCH(yoy!$I$1,Data!$A$1:$AN$1,),)-VLOOKUP(A94,Data!$A:$AN,MATCH(yoy!$I$1,Data!$A$1:$AN$1,),))/VLOOKUP(A94,Data!$A:$AN,MATCH(yoy!$I$1,Data!$A$1:$AN$1,),))</f>
        <v/>
      </c>
      <c r="J94" s="14">
        <f>IF(VLOOKUP(B94,Data!$A:$AN,MATCH(yoy!$J$1,Data!$A$1:$AN$1,),)=0,"#N/A",(VLOOKUP(B94,Data!$A:$AN,MATCH(yoy!$J$1,Data!$A$1:$AN$1,),)-VLOOKUP(A94,Data!$A:$AN,MATCH(yoy!$J$1,Data!$A$1:$AN$1,),))/VLOOKUP(A94,Data!$A:$AN,MATCH(yoy!$J$1,Data!$A$1:$AN$1,),))</f>
        <v/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/>
      </c>
      <c r="L94" s="14">
        <f>IF(VLOOKUP(B94,Data!$A:$AN,MATCH(yoy!$L$1,Data!$A$1:$AN$1,),)=0,"#N/A",(VLOOKUP(B94,Data!$A:$AN,MATCH(yoy!$L$1,Data!$A$1:$AN$1,),)-VLOOKUP(A94,Data!$A:$AN,MATCH(yoy!$L$1,Data!$A$1:$AN$1,),))/VLOOKUP(A94,Data!$A:$AN,MATCH(yoy!$L$1,Data!$A$1:$AN$1,),))</f>
        <v/>
      </c>
      <c r="M94" s="14">
        <f>IF(VLOOKUP(B94,Data!$A:$AN,MATCH(yoy!$M$1,Data!$A$1:$AN$1,),)=0,"#N/A",(VLOOKUP(B94,Data!$A:$AN,MATCH(yoy!$M$1,Data!$A$1:$AN$1,),)-VLOOKUP(A94,Data!$A:$AN,MATCH(yoy!$M$1,Data!$A$1:$AN$1,),))/VLOOKUP(A94,Data!$A:$AN,MATCH(yoy!$M$1,Data!$A$1:$AN$1,),))</f>
        <v/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/>
      </c>
      <c r="O94" s="14">
        <f>IF(VLOOKUP(B94,Data!$A:$AN,MATCH(yoy!$O$1,Data!$A$1:$AN$1,),)=0,"#N/A",(VLOOKUP(B94,Data!$A:$AN,MATCH(yoy!$O$1,Data!$A$1:$AN$1,),)-VLOOKUP(A94,Data!$A:$AN,MATCH(yoy!$O$1,Data!$A$1:$AN$1,),))/VLOOKUP(A94,Data!$A:$AN,MATCH(yoy!$O$1,Data!$A$1:$AN$1,),))</f>
        <v/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/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/>
      </c>
      <c r="R94" s="14">
        <f>IF(VLOOKUP(B94,Data!$A:$AN,MATCH(yoy!$R$1,Data!$A$1:$AN$1,),)=0,"#N/A",(VLOOKUP(B94,Data!$A:$AN,MATCH(yoy!$R$1,Data!$A$1:$AN$1,),)-VLOOKUP(A94,Data!$A:$AN,MATCH(yoy!$R$1,Data!$A$1:$AN$1,),))/VLOOKUP(A94,Data!$A:$AN,MATCH(yoy!$R$1,Data!$A$1:$AN$1,),))</f>
        <v/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/>
      </c>
      <c r="T94" s="14">
        <f>IF(VLOOKUP(B94,Data!$A:$AN,MATCH(yoy!$T$1,Data!$A$1:$AN$1,),)=0,"#N/A",(VLOOKUP(B94,Data!$A:$AN,MATCH(yoy!$T$1,Data!$A$1:$AN$1,),)-VLOOKUP(A94,Data!$A:$AN,MATCH(yoy!$T$1,Data!$A$1:$AN$1,),))/VLOOKUP(A94,Data!$A:$AN,MATCH(yoy!$T$1,Data!$A$1:$AN$1,),))</f>
        <v/>
      </c>
      <c r="U94" s="14">
        <f>IF(VLOOKUP(B94,Data!$A:$AN,MATCH(yoy!$U$1,Data!$A$1:$AN$1,),)=0,"#N/A",(VLOOKUP(B94,Data!$A:$AN,MATCH(yoy!$U$1,Data!$A$1:$AN$1,),)-VLOOKUP(A94,Data!$A:$AN,MATCH(yoy!$U$1,Data!$A$1:$AN$1,),))/VLOOKUP(A94,Data!$A:$AN,MATCH(yoy!$U$1,Data!$A$1:$AN$1,),))</f>
        <v/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/>
      </c>
      <c r="W94" s="14">
        <f>IF(VLOOKUP(B94,Data!$A:$AN,MATCH(yoy!$W$1,Data!$A$1:$AN$1,),)=0,"#N/A",(VLOOKUP(B94,Data!$A:$AN,MATCH(yoy!$W$1,Data!$A$1:$AN$1,),)-VLOOKUP(A94,Data!$A:$AN,MATCH(yoy!$W$1,Data!$A$1:$AN$1,),))/VLOOKUP(A94,Data!$A:$AN,MATCH(yoy!$W$1,Data!$A$1:$AN$1,),))</f>
        <v/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/>
      </c>
      <c r="Y94" s="14">
        <f>IF(VLOOKUP(B94,Data!$A:$AN,MATCH(yoy!$Y$1,Data!$A$1:$AN$1,),)=0,"#N/A",(VLOOKUP(B94,Data!$A:$AN,MATCH(yoy!$Y$1,Data!$A$1:$AN$1,),)-VLOOKUP(A94,Data!$A:$AN,MATCH(yoy!$Y$1,Data!$A$1:$AN$1,),))/VLOOKUP(A94,Data!$A:$AN,MATCH(yoy!$Y$1,Data!$A$1:$AN$1,),))</f>
        <v/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/>
      </c>
      <c r="AA94" s="14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/>
      </c>
    </row>
    <row r="95" customFormat="1" s="77">
      <c r="A95" s="20">
        <f>DATE(YEAR(B95)-1,MONTH(B95),DAY(B95))</f>
        <v/>
      </c>
      <c r="B95" s="12" t="n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/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/>
      </c>
      <c r="E95" s="14">
        <f>IF(VLOOKUP(B95,Data!$A:$AN,MATCH(yoy!$E$1,Data!$A$1:$AN$1,),)=0,"#N/A",(VLOOKUP(B95,Data!$A:$AN,MATCH(yoy!$E$1,Data!$A$1:$AN$1,),)-VLOOKUP(A95,Data!$A:$AN,MATCH(yoy!$E$1,Data!$A$1:$AN$1,),))/VLOOKUP(A95,Data!$A:$AN,MATCH(yoy!$E$1,Data!$A$1:$AN$1,),))</f>
        <v/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/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/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/>
      </c>
      <c r="I95" s="14">
        <f>IF(VLOOKUP(B95,Data!$A:$AN,MATCH(yoy!$I$1,Data!$A$1:$AN$1,),)=0,"#N/A",(VLOOKUP(B95,Data!$A:$AN,MATCH(yoy!$I$1,Data!$A$1:$AN$1,),)-VLOOKUP(A95,Data!$A:$AN,MATCH(yoy!$I$1,Data!$A$1:$AN$1,),))/VLOOKUP(A95,Data!$A:$AN,MATCH(yoy!$I$1,Data!$A$1:$AN$1,),))</f>
        <v/>
      </c>
      <c r="J95" s="14">
        <f>IF(VLOOKUP(B95,Data!$A:$AN,MATCH(yoy!$J$1,Data!$A$1:$AN$1,),)=0,"#N/A",(VLOOKUP(B95,Data!$A:$AN,MATCH(yoy!$J$1,Data!$A$1:$AN$1,),)-VLOOKUP(A95,Data!$A:$AN,MATCH(yoy!$J$1,Data!$A$1:$AN$1,),))/VLOOKUP(A95,Data!$A:$AN,MATCH(yoy!$J$1,Data!$A$1:$AN$1,),))</f>
        <v/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/>
      </c>
      <c r="L95" s="14">
        <f>IF(VLOOKUP(B95,Data!$A:$AN,MATCH(yoy!$L$1,Data!$A$1:$AN$1,),)=0,"#N/A",(VLOOKUP(B95,Data!$A:$AN,MATCH(yoy!$L$1,Data!$A$1:$AN$1,),)-VLOOKUP(A95,Data!$A:$AN,MATCH(yoy!$L$1,Data!$A$1:$AN$1,),))/VLOOKUP(A95,Data!$A:$AN,MATCH(yoy!$L$1,Data!$A$1:$AN$1,),))</f>
        <v/>
      </c>
      <c r="M95" s="14">
        <f>IF(VLOOKUP(B95,Data!$A:$AN,MATCH(yoy!$M$1,Data!$A$1:$AN$1,),)=0,"#N/A",(VLOOKUP(B95,Data!$A:$AN,MATCH(yoy!$M$1,Data!$A$1:$AN$1,),)-VLOOKUP(A95,Data!$A:$AN,MATCH(yoy!$M$1,Data!$A$1:$AN$1,),))/VLOOKUP(A95,Data!$A:$AN,MATCH(yoy!$M$1,Data!$A$1:$AN$1,),))</f>
        <v/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/>
      </c>
      <c r="O95" s="14">
        <f>IF(VLOOKUP(B95,Data!$A:$AN,MATCH(yoy!$O$1,Data!$A$1:$AN$1,),)=0,"#N/A",(VLOOKUP(B95,Data!$A:$AN,MATCH(yoy!$O$1,Data!$A$1:$AN$1,),)-VLOOKUP(A95,Data!$A:$AN,MATCH(yoy!$O$1,Data!$A$1:$AN$1,),))/VLOOKUP(A95,Data!$A:$AN,MATCH(yoy!$O$1,Data!$A$1:$AN$1,),))</f>
        <v/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/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/>
      </c>
      <c r="R95" s="14">
        <f>IF(VLOOKUP(B95,Data!$A:$AN,MATCH(yoy!$R$1,Data!$A$1:$AN$1,),)=0,"#N/A",(VLOOKUP(B95,Data!$A:$AN,MATCH(yoy!$R$1,Data!$A$1:$AN$1,),)-VLOOKUP(A95,Data!$A:$AN,MATCH(yoy!$R$1,Data!$A$1:$AN$1,),))/VLOOKUP(A95,Data!$A:$AN,MATCH(yoy!$R$1,Data!$A$1:$AN$1,),))</f>
        <v/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/>
      </c>
      <c r="T95" s="14">
        <f>IF(VLOOKUP(B95,Data!$A:$AN,MATCH(yoy!$T$1,Data!$A$1:$AN$1,),)=0,"#N/A",(VLOOKUP(B95,Data!$A:$AN,MATCH(yoy!$T$1,Data!$A$1:$AN$1,),)-VLOOKUP(A95,Data!$A:$AN,MATCH(yoy!$T$1,Data!$A$1:$AN$1,),))/VLOOKUP(A95,Data!$A:$AN,MATCH(yoy!$T$1,Data!$A$1:$AN$1,),))</f>
        <v/>
      </c>
      <c r="U95" s="14">
        <f>IF(VLOOKUP(B95,Data!$A:$AN,MATCH(yoy!$U$1,Data!$A$1:$AN$1,),)=0,"#N/A",(VLOOKUP(B95,Data!$A:$AN,MATCH(yoy!$U$1,Data!$A$1:$AN$1,),)-VLOOKUP(A95,Data!$A:$AN,MATCH(yoy!$U$1,Data!$A$1:$AN$1,),))/VLOOKUP(A95,Data!$A:$AN,MATCH(yoy!$U$1,Data!$A$1:$AN$1,),))</f>
        <v/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/>
      </c>
      <c r="W95" s="14">
        <f>IF(VLOOKUP(B95,Data!$A:$AN,MATCH(yoy!$W$1,Data!$A$1:$AN$1,),)=0,"#N/A",(VLOOKUP(B95,Data!$A:$AN,MATCH(yoy!$W$1,Data!$A$1:$AN$1,),)-VLOOKUP(A95,Data!$A:$AN,MATCH(yoy!$W$1,Data!$A$1:$AN$1,),))/VLOOKUP(A95,Data!$A:$AN,MATCH(yoy!$W$1,Data!$A$1:$AN$1,),))</f>
        <v/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/>
      </c>
      <c r="Y95" s="14">
        <f>IF(VLOOKUP(B95,Data!$A:$AN,MATCH(yoy!$Y$1,Data!$A$1:$AN$1,),)=0,"#N/A",(VLOOKUP(B95,Data!$A:$AN,MATCH(yoy!$Y$1,Data!$A$1:$AN$1,),)-VLOOKUP(A95,Data!$A:$AN,MATCH(yoy!$Y$1,Data!$A$1:$AN$1,),))/VLOOKUP(A95,Data!$A:$AN,MATCH(yoy!$Y$1,Data!$A$1:$AN$1,),))</f>
        <v/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/>
      </c>
      <c r="AA95" s="14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/>
      </c>
    </row>
    <row r="96" customFormat="1" s="77"/>
    <row r="97" customFormat="1" s="77"/>
    <row r="98" customFormat="1" s="77"/>
    <row r="99" customFormat="1" s="77"/>
    <row r="100" customFormat="1" s="77"/>
    <row r="101" customFormat="1" s="77"/>
    <row r="102" customFormat="1" s="77"/>
    <row r="103" customFormat="1" s="77"/>
    <row r="104" customFormat="1" s="77"/>
    <row r="105" customFormat="1" s="77"/>
    <row r="106" customFormat="1" s="77"/>
    <row r="107" customFormat="1" s="77"/>
    <row r="108" customFormat="1" s="77"/>
    <row r="109" customFormat="1" s="77"/>
    <row r="110" customFormat="1" s="77"/>
    <row r="111" customFormat="1" s="77"/>
    <row r="112" customFormat="1" s="77"/>
    <row r="113" customFormat="1" s="77"/>
    <row r="114" customFormat="1" s="77"/>
    <row r="115" customFormat="1" s="77"/>
    <row r="116" customFormat="1" s="77"/>
    <row r="117" customFormat="1" s="77"/>
    <row r="118" customFormat="1" s="77"/>
    <row r="119" customFormat="1" s="77"/>
    <row r="120" customFormat="1" s="77"/>
    <row r="121" customFormat="1" s="77"/>
    <row r="122" customFormat="1" s="77"/>
    <row r="123" customFormat="1" s="77"/>
    <row r="124" customFormat="1" s="77"/>
    <row r="125" customFormat="1" s="77"/>
    <row r="126" customFormat="1" s="77"/>
    <row r="127" customFormat="1" s="77"/>
    <row r="128" customFormat="1" s="77"/>
    <row r="129" customFormat="1" s="77"/>
    <row r="130" customFormat="1" s="77"/>
    <row r="131" customFormat="1" s="77"/>
    <row r="132" customFormat="1" s="77"/>
    <row r="133" customFormat="1" s="77"/>
    <row r="134" customFormat="1" s="77"/>
    <row r="135" customFormat="1" s="77"/>
    <row r="136" customFormat="1" s="77"/>
    <row r="137" customFormat="1" s="77"/>
    <row r="138" customFormat="1" s="77"/>
    <row r="139" customFormat="1" s="77"/>
    <row r="140" customFormat="1" s="77"/>
    <row r="141" customFormat="1" s="77"/>
    <row r="142" customFormat="1" s="77"/>
    <row r="143" customFormat="1" s="77"/>
    <row r="144" customFormat="1" s="77"/>
    <row r="145" customFormat="1" s="77"/>
    <row r="146" customFormat="1" s="77"/>
    <row r="147" customFormat="1" s="77"/>
    <row r="148" customFormat="1" s="77"/>
    <row r="149" customFormat="1" s="77"/>
    <row r="150" customFormat="1" s="77"/>
    <row r="151" customFormat="1" s="77"/>
    <row r="152" customFormat="1" s="77"/>
    <row r="153" customFormat="1" s="77"/>
    <row r="154" customFormat="1" s="77"/>
    <row r="155" customFormat="1" s="77"/>
    <row r="156" customFormat="1" s="77"/>
    <row r="157" customFormat="1" s="77"/>
    <row r="158" customFormat="1" s="77"/>
    <row r="159" customFormat="1" s="77"/>
    <row r="160" customFormat="1" s="77"/>
    <row r="161" customFormat="1" s="77"/>
    <row r="162" customFormat="1" s="77"/>
    <row r="163" customFormat="1" s="77"/>
    <row r="164" customFormat="1" s="77"/>
    <row r="165" customFormat="1" s="77"/>
    <row r="166" customFormat="1" s="77"/>
    <row r="167" customFormat="1" s="77"/>
    <row r="168" customFormat="1" s="77"/>
    <row r="169" customFormat="1" s="77"/>
    <row r="170" customFormat="1" s="77"/>
    <row r="171" customFormat="1" s="77"/>
    <row r="172" customFormat="1" s="77"/>
    <row r="173" customFormat="1" s="77"/>
    <row r="174" customFormat="1" s="77"/>
    <row r="175" customFormat="1" s="77"/>
    <row r="176" customFormat="1" s="77"/>
    <row r="177" customFormat="1" s="77"/>
    <row r="178" customFormat="1" s="77"/>
    <row r="179" customFormat="1" s="77"/>
    <row r="180" customFormat="1" s="77"/>
    <row r="181" customFormat="1" s="77"/>
    <row r="182" customFormat="1" s="77"/>
    <row r="183" customFormat="1" s="77"/>
    <row r="184" customFormat="1" s="77"/>
    <row r="185" customFormat="1" s="77"/>
    <row r="186" customFormat="1" s="77"/>
    <row r="187" customFormat="1" s="77"/>
    <row r="188" customFormat="1" s="77"/>
    <row r="189" customFormat="1" s="77"/>
    <row r="190" customFormat="1" s="77"/>
    <row r="191" customFormat="1" s="77"/>
    <row r="192" customFormat="1" s="77"/>
    <row r="193" customFormat="1" s="77"/>
    <row r="194" customFormat="1" s="77"/>
    <row r="195" customFormat="1" s="77"/>
    <row r="196" customFormat="1" s="77"/>
    <row r="197" customFormat="1" s="77"/>
    <row r="198" customFormat="1" s="77"/>
    <row r="199" customFormat="1" s="77"/>
    <row r="200" customFormat="1" s="77"/>
    <row r="201" customFormat="1" s="77"/>
    <row r="202" customFormat="1" s="77"/>
    <row r="203" customFormat="1" s="77"/>
    <row r="204" customFormat="1" s="77"/>
    <row r="205" customFormat="1" s="77"/>
    <row r="206" customFormat="1" s="77"/>
    <row r="207" customFormat="1" s="77"/>
    <row r="208" customFormat="1" s="77"/>
    <row r="209" customFormat="1" s="77"/>
    <row r="210" customFormat="1" s="77"/>
    <row r="211" customFormat="1" s="77"/>
    <row r="212" customFormat="1" s="77"/>
    <row r="213" customFormat="1" s="77"/>
    <row r="214" customFormat="1" s="77"/>
    <row r="215" customFormat="1" s="77"/>
    <row r="216" customFormat="1" s="77"/>
    <row r="217" customFormat="1" s="77"/>
    <row r="218" customFormat="1" s="77"/>
    <row r="219" customFormat="1" s="77"/>
    <row r="220" customFormat="1" s="77"/>
    <row r="221" customFormat="1" s="77"/>
    <row r="222" customFormat="1" s="77"/>
    <row r="223" customFormat="1" s="77"/>
    <row r="224" customFormat="1" s="77"/>
    <row r="225" customFormat="1" s="77"/>
    <row r="226" customFormat="1" s="77"/>
    <row r="227" customFormat="1" s="77"/>
    <row r="228" customFormat="1" s="77"/>
    <row r="229" customFormat="1" s="77"/>
    <row r="230" customFormat="1" s="77"/>
    <row r="231" customFormat="1" s="77"/>
    <row r="232" customFormat="1" s="77"/>
    <row r="233" customFormat="1" s="77"/>
    <row r="234" customFormat="1" s="77"/>
    <row r="235" customFormat="1" s="77"/>
    <row r="236" customFormat="1" s="77"/>
    <row r="237" customFormat="1" s="77"/>
    <row r="238" customFormat="1" s="77"/>
    <row r="239" customFormat="1" s="77"/>
    <row r="240" customFormat="1" s="77"/>
    <row r="241" customFormat="1" s="77"/>
    <row r="242" customFormat="1" s="77"/>
    <row r="243" customFormat="1" s="77"/>
    <row r="244" customFormat="1" s="77"/>
    <row r="245" customFormat="1" s="77"/>
    <row r="246" customFormat="1" s="77"/>
    <row r="247" customFormat="1" s="77"/>
    <row r="248" customFormat="1" s="77"/>
    <row r="249" customFormat="1" s="77"/>
    <row r="250" customFormat="1" s="77"/>
    <row r="251" customFormat="1" s="77"/>
    <row r="252" customFormat="1" s="77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95"/>
  <sheetViews>
    <sheetView zoomScale="150" zoomScaleNormal="150" workbookViewId="0">
      <pane xSplit="2" ySplit="5" topLeftCell="C81" activePane="bottomRight" state="frozen"/>
      <selection activeCell="AB17" sqref="AB17"/>
      <selection pane="topRight" activeCell="AB17" sqref="AB17"/>
      <selection pane="bottomLeft" activeCell="AB17" sqref="AB17"/>
      <selection pane="bottomRight" activeCell="W103" sqref="W103:X103"/>
    </sheetView>
  </sheetViews>
  <sheetFormatPr baseColWidth="10" defaultColWidth="8.83203125" defaultRowHeight="15"/>
  <cols>
    <col width="10.6640625" bestFit="1" customWidth="1" style="77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77" min="28" max="28"/>
    <col width="12.33203125" customWidth="1" style="77" min="29" max="29"/>
    <col width="9.1640625" customWidth="1" style="77" min="30" max="30"/>
    <col width="10.6640625" customWidth="1" style="77" min="31" max="31"/>
    <col width="10.6640625" bestFit="1" customWidth="1" style="77" min="32" max="32"/>
    <col width="9.1640625" customWidth="1" style="77" min="33" max="73"/>
  </cols>
  <sheetData>
    <row r="1" customFormat="1" s="77">
      <c r="C1" s="77" t="inlineStr">
        <is>
          <t>OECD</t>
        </is>
      </c>
      <c r="D1" s="77" t="inlineStr">
        <is>
          <t>USA</t>
        </is>
      </c>
      <c r="E1" s="77" t="inlineStr">
        <is>
          <t>CHN</t>
        </is>
      </c>
      <c r="F1" s="77" t="inlineStr">
        <is>
          <t>EA19</t>
        </is>
      </c>
      <c r="G1" s="77" t="inlineStr">
        <is>
          <t>JPN</t>
        </is>
      </c>
      <c r="H1" s="77" t="inlineStr">
        <is>
          <t>GBR</t>
        </is>
      </c>
      <c r="I1" s="77" t="inlineStr">
        <is>
          <t>CHE</t>
        </is>
      </c>
      <c r="J1" s="77" t="inlineStr">
        <is>
          <t>SWE</t>
        </is>
      </c>
      <c r="K1" s="77" t="inlineStr">
        <is>
          <t>NOR</t>
        </is>
      </c>
      <c r="L1" s="77" t="inlineStr">
        <is>
          <t>BRA</t>
        </is>
      </c>
      <c r="M1" s="77" t="inlineStr">
        <is>
          <t>MEX</t>
        </is>
      </c>
      <c r="N1" s="77" t="inlineStr">
        <is>
          <t>RUS</t>
        </is>
      </c>
      <c r="O1" s="77" t="inlineStr">
        <is>
          <t>IND</t>
        </is>
      </c>
      <c r="P1" s="77" t="inlineStr">
        <is>
          <t>CAN</t>
        </is>
      </c>
      <c r="Q1" s="77" t="inlineStr">
        <is>
          <t>AUS</t>
        </is>
      </c>
      <c r="R1" s="77" t="inlineStr">
        <is>
          <t>IDN</t>
        </is>
      </c>
      <c r="S1" s="77" t="inlineStr">
        <is>
          <t>KOR</t>
        </is>
      </c>
      <c r="T1" s="77" t="inlineStr">
        <is>
          <t>CHL</t>
        </is>
      </c>
      <c r="U1" s="77" t="inlineStr">
        <is>
          <t>DNK</t>
        </is>
      </c>
      <c r="V1" s="77" t="inlineStr">
        <is>
          <t>ISR</t>
        </is>
      </c>
      <c r="W1" s="77" t="inlineStr">
        <is>
          <t>TUR</t>
        </is>
      </c>
      <c r="X1" s="77" t="inlineStr">
        <is>
          <t>ZAF</t>
        </is>
      </c>
      <c r="Y1" s="77" t="inlineStr">
        <is>
          <t>NZL</t>
        </is>
      </c>
      <c r="Z1" s="77" t="inlineStr">
        <is>
          <t>CZE</t>
        </is>
      </c>
      <c r="AA1" s="77" t="inlineStr">
        <is>
          <t>POL</t>
        </is>
      </c>
      <c r="AI1" s="77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  <c r="AC5" s="77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7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7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7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7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7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7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7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7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7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7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7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7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7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7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7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7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7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7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7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7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7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7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7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7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7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7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7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7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7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7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7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7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7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7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7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7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7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7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7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7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7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7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7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7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7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77">
      <c r="A90" s="20">
        <f>DATE(YEAR(B90),MONTH(B90)-1,DAY(B90))</f>
        <v/>
      </c>
      <c r="B90" s="12" t="n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/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/>
      </c>
      <c r="E90" s="14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/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/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/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/>
      </c>
      <c r="I90" s="14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/>
      </c>
      <c r="J90" s="14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/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/>
      </c>
      <c r="L90" s="14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/>
      </c>
      <c r="M90" s="14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/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/>
      </c>
      <c r="O90" s="14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/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/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/>
      </c>
      <c r="R90" s="14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/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/>
      </c>
      <c r="T90" s="14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/>
      </c>
      <c r="U90" s="14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/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/>
      </c>
      <c r="W90" s="14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/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/>
      </c>
      <c r="Y90" s="14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/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/>
      </c>
      <c r="AA90" s="14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/>
      </c>
    </row>
    <row r="91" customFormat="1" s="77">
      <c r="A91" s="20">
        <f>DATE(YEAR(B91),MONTH(B91)-1,DAY(B91))</f>
        <v/>
      </c>
      <c r="B91" s="12" t="n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/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/>
      </c>
      <c r="E91" s="14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/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/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/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/>
      </c>
      <c r="I91" s="14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/>
      </c>
      <c r="J91" s="14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/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/>
      </c>
      <c r="L91" s="14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/>
      </c>
      <c r="M91" s="14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/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/>
      </c>
      <c r="O91" s="14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/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/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/>
      </c>
      <c r="R91" s="14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/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/>
      </c>
      <c r="T91" s="14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/>
      </c>
      <c r="U91" s="14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/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/>
      </c>
      <c r="W91" s="14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/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/>
      </c>
      <c r="Y91" s="14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/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/>
      </c>
      <c r="AA91" s="14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/>
      </c>
    </row>
    <row r="92" customFormat="1" s="77">
      <c r="A92" s="20">
        <f>DATE(YEAR(B92),MONTH(B92)-1,DAY(B92))</f>
        <v/>
      </c>
      <c r="B92" s="12" t="n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/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/>
      </c>
      <c r="E92" s="14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/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/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/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/>
      </c>
      <c r="I92" s="14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/>
      </c>
      <c r="J92" s="14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/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/>
      </c>
      <c r="L92" s="14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/>
      </c>
      <c r="M92" s="14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/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/>
      </c>
      <c r="O92" s="14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/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/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/>
      </c>
      <c r="R92" s="14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/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/>
      </c>
      <c r="T92" s="14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/>
      </c>
      <c r="U92" s="14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/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/>
      </c>
      <c r="W92" s="14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/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/>
      </c>
      <c r="Y92" s="14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/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/>
      </c>
      <c r="AA92" s="14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/>
      </c>
    </row>
    <row r="93" customFormat="1" s="77">
      <c r="A93" s="20">
        <f>DATE(YEAR(B93),MONTH(B93)-1,DAY(B93))</f>
        <v/>
      </c>
      <c r="B93" s="12" t="n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/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/>
      </c>
      <c r="E93" s="14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/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/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/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/>
      </c>
      <c r="I93" s="14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/>
      </c>
      <c r="J93" s="14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/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/>
      </c>
      <c r="L93" s="14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/>
      </c>
      <c r="M93" s="14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/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/>
      </c>
      <c r="O93" s="14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/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/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/>
      </c>
      <c r="R93" s="14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/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/>
      </c>
      <c r="T93" s="14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/>
      </c>
      <c r="U93" s="14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/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/>
      </c>
      <c r="W93" s="14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/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/>
      </c>
      <c r="Y93" s="14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/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/>
      </c>
      <c r="AA93" s="14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/>
      </c>
    </row>
    <row r="94" customFormat="1" s="77">
      <c r="A94" s="20">
        <f>DATE(YEAR(B94),MONTH(B94)-1,DAY(B94))</f>
        <v/>
      </c>
      <c r="B94" s="12" t="n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/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/>
      </c>
      <c r="E94" s="14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/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/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/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/>
      </c>
      <c r="I94" s="14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/>
      </c>
      <c r="J94" s="14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/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/>
      </c>
      <c r="L94" s="14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/>
      </c>
      <c r="M94" s="14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/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/>
      </c>
      <c r="O94" s="14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/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/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/>
      </c>
      <c r="R94" s="14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/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/>
      </c>
      <c r="T94" s="14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/>
      </c>
      <c r="U94" s="14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/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/>
      </c>
      <c r="W94" s="14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/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/>
      </c>
      <c r="Y94" s="14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/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/>
      </c>
      <c r="AA94" s="14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/>
      </c>
    </row>
    <row r="95" customFormat="1" s="77">
      <c r="A95" s="20">
        <f>DATE(YEAR(B95),MONTH(B95)-1,DAY(B95))</f>
        <v/>
      </c>
      <c r="B95" s="12" t="n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/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/>
      </c>
      <c r="E95" s="14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/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/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/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/>
      </c>
      <c r="I95" s="14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/>
      </c>
      <c r="J95" s="14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/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/>
      </c>
      <c r="L95" s="14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/>
      </c>
      <c r="M95" s="14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/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/>
      </c>
      <c r="O95" s="14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/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/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/>
      </c>
      <c r="R95" s="14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/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/>
      </c>
      <c r="T95" s="14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/>
      </c>
      <c r="U95" s="14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/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/>
      </c>
      <c r="W95" s="14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/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/>
      </c>
      <c r="Y95" s="14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/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/>
      </c>
      <c r="AA95" s="14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/>
      </c>
    </row>
    <row r="96" customFormat="1" s="77"/>
    <row r="97" customFormat="1" s="77"/>
    <row r="98" customFormat="1" s="77"/>
    <row r="99" customFormat="1" s="77"/>
    <row r="100" customFormat="1" s="77"/>
    <row r="101" customFormat="1" s="77"/>
    <row r="102" customFormat="1" s="77"/>
    <row r="103" customFormat="1" s="77"/>
    <row r="104" customFormat="1" s="77"/>
    <row r="105" customFormat="1" s="77"/>
    <row r="106" customFormat="1" s="77"/>
    <row r="107" customFormat="1" s="77"/>
    <row r="108" customFormat="1" s="77"/>
    <row r="109" customFormat="1" s="77"/>
    <row r="110" customFormat="1" s="77"/>
    <row r="111" customFormat="1" s="77"/>
    <row r="112" customFormat="1" s="77"/>
    <row r="113" customFormat="1" s="77"/>
    <row r="114" customFormat="1" s="77"/>
    <row r="115" customFormat="1" s="77"/>
    <row r="116" customFormat="1" s="77"/>
    <row r="117" customFormat="1" s="77"/>
    <row r="118" customFormat="1" s="77"/>
    <row r="119" customFormat="1" s="77"/>
    <row r="120" customFormat="1" s="77"/>
    <row r="121" customFormat="1" s="77"/>
    <row r="122" customFormat="1" s="77"/>
    <row r="123" customFormat="1" s="77"/>
    <row r="124" customFormat="1" s="77"/>
    <row r="125" customFormat="1" s="77"/>
    <row r="126" customFormat="1" s="77"/>
    <row r="127" customFormat="1" s="77"/>
    <row r="128" customFormat="1" s="77"/>
    <row r="129" customFormat="1" s="77"/>
    <row r="130" customFormat="1" s="77"/>
    <row r="131" customFormat="1" s="77"/>
    <row r="132" customFormat="1" s="77"/>
    <row r="133" customFormat="1" s="77"/>
    <row r="134" customFormat="1" s="77"/>
    <row r="135" customFormat="1" s="77"/>
    <row r="136" customFormat="1" s="77"/>
    <row r="137" customFormat="1" s="77"/>
    <row r="138" customFormat="1" s="77"/>
    <row r="139" customFormat="1" s="77"/>
    <row r="140" customFormat="1" s="77"/>
    <row r="141" customFormat="1" s="77"/>
    <row r="142" customFormat="1" s="77"/>
    <row r="143" customFormat="1" s="77"/>
    <row r="144" customFormat="1" s="77"/>
    <row r="145" customFormat="1" s="77"/>
    <row r="146" customFormat="1" s="77"/>
    <row r="147" customFormat="1" s="77"/>
    <row r="148" customFormat="1" s="77"/>
    <row r="149" customFormat="1" s="77"/>
    <row r="150" customFormat="1" s="77"/>
    <row r="151" customFormat="1" s="77"/>
    <row r="152" customFormat="1" s="77"/>
    <row r="153" customFormat="1" s="77"/>
    <row r="154" customFormat="1" s="77"/>
    <row r="155" customFormat="1" s="77"/>
    <row r="156" customFormat="1" s="77"/>
    <row r="157" customFormat="1" s="77"/>
    <row r="158" customFormat="1" s="77"/>
    <row r="159" customFormat="1" s="77"/>
    <row r="160" customFormat="1" s="77"/>
    <row r="161" customFormat="1" s="77"/>
    <row r="162" customFormat="1" s="77"/>
    <row r="163" customFormat="1" s="77"/>
    <row r="164" customFormat="1" s="77"/>
    <row r="165" customFormat="1" s="77"/>
    <row r="166" customFormat="1" s="77"/>
    <row r="167" customFormat="1" s="77"/>
    <row r="168" customFormat="1" s="77"/>
    <row r="169" customFormat="1" s="77"/>
    <row r="170" customFormat="1" s="77"/>
    <row r="171" customFormat="1" s="77"/>
    <row r="172" customFormat="1" s="77"/>
    <row r="173" customFormat="1" s="77"/>
    <row r="174" customFormat="1" s="77"/>
    <row r="175" customFormat="1" s="77"/>
    <row r="176" customFormat="1" s="77"/>
    <row r="177" customFormat="1" s="77"/>
    <row r="178" customFormat="1" s="77"/>
    <row r="179" customFormat="1" s="77"/>
    <row r="180" customFormat="1" s="77"/>
    <row r="181" customFormat="1" s="77"/>
    <row r="182" customFormat="1" s="77"/>
    <row r="183" customFormat="1" s="77"/>
    <row r="184" customFormat="1" s="77"/>
    <row r="185" customFormat="1" s="77"/>
    <row r="186" customFormat="1" s="77"/>
    <row r="187" customFormat="1" s="77"/>
    <row r="188" customFormat="1" s="77"/>
    <row r="189" customFormat="1" s="77"/>
    <row r="190" customFormat="1" s="77"/>
    <row r="191" customFormat="1" s="77"/>
    <row r="192" customFormat="1" s="77"/>
    <row r="193" customFormat="1" s="77"/>
    <row r="194" customFormat="1" s="77"/>
    <row r="195" customFormat="1" s="77"/>
    <row r="196" customFormat="1" s="77"/>
    <row r="197" customFormat="1" s="77"/>
    <row r="198" customFormat="1" s="77"/>
    <row r="199" customFormat="1" s="77"/>
    <row r="200" customFormat="1" s="77"/>
    <row r="201" customFormat="1" s="77"/>
    <row r="202" customFormat="1" s="77"/>
    <row r="203" customFormat="1" s="77"/>
    <row r="204" customFormat="1" s="77"/>
    <row r="205" customFormat="1" s="77"/>
    <row r="206" customFormat="1" s="77"/>
    <row r="207" customFormat="1" s="77"/>
    <row r="208" customFormat="1" s="77"/>
    <row r="209" customFormat="1" s="77"/>
    <row r="210" customFormat="1" s="77"/>
    <row r="211" customFormat="1" s="77"/>
    <row r="212" customFormat="1" s="77"/>
    <row r="213" customFormat="1" s="77"/>
    <row r="214" customFormat="1" s="77"/>
    <row r="215" customFormat="1" s="77"/>
    <row r="216" customFormat="1" s="77"/>
    <row r="217" customFormat="1" s="77"/>
    <row r="218" customFormat="1" s="77"/>
    <row r="219" customFormat="1" s="77"/>
    <row r="220" customFormat="1" s="77"/>
    <row r="221" customFormat="1" s="77"/>
    <row r="222" customFormat="1" s="77"/>
    <row r="223" customFormat="1" s="77"/>
    <row r="224" customFormat="1" s="77"/>
    <row r="225" customFormat="1" s="77"/>
    <row r="226" customFormat="1" s="77"/>
    <row r="227" customFormat="1" s="77"/>
    <row r="228" customFormat="1" s="77"/>
    <row r="229" customFormat="1" s="77"/>
    <row r="230" customFormat="1" s="77"/>
    <row r="231" customFormat="1" s="77"/>
    <row r="232" customFormat="1" s="77"/>
    <row r="233" customFormat="1" s="77"/>
    <row r="234" customFormat="1" s="77"/>
    <row r="235" customFormat="1" s="77"/>
    <row r="236" customFormat="1" s="77"/>
    <row r="237" customFormat="1" s="77"/>
    <row r="238" customFormat="1" s="77"/>
    <row r="239" customFormat="1" s="77"/>
    <row r="240" customFormat="1" s="77"/>
    <row r="241" customFormat="1" s="77"/>
    <row r="242" customFormat="1" s="77"/>
    <row r="243" customFormat="1" s="77"/>
    <row r="244" customFormat="1" s="77"/>
    <row r="245" customFormat="1" s="77"/>
    <row r="246" customFormat="1" s="77"/>
    <row r="247" customFormat="1" s="77"/>
    <row r="248" customFormat="1" s="77"/>
    <row r="249" customFormat="1" s="77"/>
    <row r="250" customFormat="1" s="77"/>
    <row r="251" customFormat="1" s="77"/>
    <row r="252" customFormat="1" s="77"/>
    <row r="253" customFormat="1" s="77"/>
    <row r="254" customFormat="1" s="77"/>
    <row r="255" customFormat="1" s="77"/>
    <row r="256" customFormat="1" s="77"/>
    <row r="257" customFormat="1" s="77"/>
    <row r="258" customFormat="1" s="77"/>
    <row r="259" customFormat="1" s="77"/>
    <row r="260" customFormat="1" s="77"/>
    <row r="261" customFormat="1" s="77"/>
    <row r="262" customFormat="1" s="77"/>
    <row r="263" customFormat="1" s="77"/>
    <row r="264" customFormat="1" s="77"/>
    <row r="265" customFormat="1" s="77"/>
    <row r="266" customFormat="1" s="77"/>
    <row r="267" customFormat="1" s="77"/>
    <row r="268" customFormat="1" s="77"/>
    <row r="269" customFormat="1" s="77"/>
    <row r="270" customFormat="1" s="77"/>
    <row r="271" customFormat="1" s="77"/>
    <row r="272" customFormat="1" s="77"/>
    <row r="273" customFormat="1" s="77"/>
    <row r="274" customFormat="1" s="77"/>
    <row r="275" customFormat="1" s="77"/>
    <row r="276" customFormat="1" s="77"/>
    <row r="277" customFormat="1" s="77"/>
    <row r="278" customFormat="1" s="77"/>
    <row r="279" customFormat="1" s="77"/>
    <row r="280" customFormat="1" s="77"/>
    <row r="281" customFormat="1" s="77"/>
    <row r="282" customFormat="1" s="77"/>
    <row r="283" customFormat="1" s="77"/>
    <row r="284" customFormat="1" s="77"/>
    <row r="285" customFormat="1" s="77"/>
    <row r="286" customFormat="1" s="77"/>
    <row r="287" customFormat="1" s="77"/>
    <row r="288" customFormat="1" s="77"/>
    <row r="289" customFormat="1" s="77"/>
    <row r="290" customFormat="1" s="77"/>
    <row r="291" customFormat="1" s="77"/>
    <row r="292" customFormat="1" s="77"/>
    <row r="293" customFormat="1" s="77"/>
    <row r="294" customFormat="1" s="77"/>
    <row r="295" customFormat="1" s="77"/>
    <row r="296" customFormat="1" s="77"/>
    <row r="297" customFormat="1" s="77"/>
    <row r="298" customFormat="1" s="77"/>
    <row r="299" customFormat="1" s="77"/>
    <row r="300" customFormat="1" s="77"/>
    <row r="301" customFormat="1" s="77"/>
    <row r="302" customFormat="1" s="77"/>
    <row r="303" customFormat="1" s="77"/>
    <row r="304" customFormat="1" s="77"/>
    <row r="305" customFormat="1" s="77"/>
    <row r="306" customFormat="1" s="77"/>
    <row r="307" customFormat="1" s="77"/>
    <row r="308" customFormat="1" s="77"/>
    <row r="309" customFormat="1" s="77"/>
    <row r="310" customFormat="1" s="77"/>
    <row r="311" customFormat="1" s="77"/>
    <row r="312" customFormat="1" s="77"/>
    <row r="313" customFormat="1" s="77"/>
    <row r="314" customFormat="1" s="77"/>
    <row r="315" customFormat="1" s="77"/>
    <row r="316" customFormat="1" s="77"/>
    <row r="317" customFormat="1" s="77"/>
    <row r="318" customFormat="1" s="77"/>
    <row r="319" customFormat="1" s="77"/>
    <row r="320" customFormat="1" s="77"/>
    <row r="321" customFormat="1" s="77"/>
    <row r="322" customFormat="1" s="77"/>
    <row r="323" customFormat="1" s="77"/>
    <row r="324" customFormat="1" s="77"/>
    <row r="325" customFormat="1" s="77"/>
    <row r="326" customFormat="1" s="77"/>
    <row r="327" customFormat="1" s="77"/>
    <row r="328" customFormat="1" s="77"/>
    <row r="329" customFormat="1" s="77"/>
    <row r="330" customFormat="1" s="77"/>
    <row r="331" customFormat="1" s="77"/>
    <row r="332" customFormat="1" s="77"/>
    <row r="333" customFormat="1" s="77"/>
    <row r="334" customFormat="1" s="77"/>
    <row r="335" customFormat="1" s="77"/>
    <row r="336" customFormat="1" s="77"/>
    <row r="337" customFormat="1" s="77"/>
    <row r="338" customFormat="1" s="77"/>
    <row r="339" customFormat="1" s="77"/>
    <row r="340" customFormat="1" s="77"/>
    <row r="341" customFormat="1" s="77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5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5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5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5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5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44"/>
  <sheetViews>
    <sheetView zoomScale="140" zoomScaleNormal="140" workbookViewId="0">
      <pane ySplit="5" topLeftCell="A746" activePane="bottomLeft" state="frozen"/>
      <selection activeCell="AB17" sqref="AB17"/>
      <selection pane="bottomLeft" activeCell="AB17" sqref="AB17"/>
    </sheetView>
  </sheetViews>
  <sheetFormatPr baseColWidth="10" defaultColWidth="9.1640625" defaultRowHeight="15"/>
  <cols>
    <col width="12" customWidth="1" style="77" min="1" max="1"/>
    <col width="14.33203125" customWidth="1" style="77" min="2" max="2"/>
    <col width="11.1640625" customWidth="1" style="16" min="3" max="4"/>
    <col width="9.1640625" customWidth="1" style="77" min="5" max="5"/>
    <col width="20.33203125" customWidth="1" style="77" min="6" max="6"/>
    <col width="14.6640625" customWidth="1" style="77" min="7" max="7"/>
    <col width="9.1640625" customWidth="1" style="77" min="8" max="30"/>
    <col width="9.1640625" customWidth="1" style="77" min="31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7">
        <f>"Money Supply M3 "&amp;A1</f>
        <v/>
      </c>
      <c r="G1" s="77">
        <f>F1&amp;" mom annualized"</f>
        <v/>
      </c>
    </row>
    <row r="2">
      <c r="F2" s="77" t="inlineStr">
        <is>
          <t>Average last 20 years</t>
        </is>
      </c>
      <c r="G2" s="37">
        <f>AVERAGE(D469:D708)</f>
        <v/>
      </c>
    </row>
    <row r="3">
      <c r="F3" s="77" t="inlineStr">
        <is>
          <t>Minimum last 20 years</t>
        </is>
      </c>
      <c r="G3" s="37">
        <f>MIN(D469:D745)</f>
        <v/>
      </c>
    </row>
    <row r="4" ht="16" customHeight="1" s="67" thickBot="1">
      <c r="F4" s="77" t="inlineStr">
        <is>
          <t>Maximum last 20 years</t>
        </is>
      </c>
      <c r="G4" s="37">
        <f>MAX(D469:D746)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  <row r="738">
      <c r="A738" s="35" t="n">
        <v>44562</v>
      </c>
      <c r="B738" s="36">
        <f>VLOOKUP(A738,Data!$A:$AH,MATCH(Country!$A$1,Data!$A$1:$AH$1,),)</f>
        <v/>
      </c>
      <c r="C738" s="63">
        <f>IF(B726&gt;0,(Table2[[#This Row],[Country]]-B726)/B726,0)</f>
        <v/>
      </c>
      <c r="D738" s="63">
        <f>IF(Table2[[#This Row],[Country]]&gt;0,(((Table2[[#This Row],[Country]]-B737)/B737)+1)^12-1,"")</f>
        <v/>
      </c>
    </row>
    <row r="739">
      <c r="A739" s="35" t="n">
        <v>44593</v>
      </c>
      <c r="B739" s="36">
        <f>VLOOKUP(A739,Data!$A:$AH,MATCH(Country!$A$1,Data!$A$1:$AH$1,),)</f>
        <v/>
      </c>
      <c r="C739" s="63">
        <f>IF(B727&gt;0,(Table2[[#This Row],[Country]]-B727)/B727,0)</f>
        <v/>
      </c>
      <c r="D739" s="63">
        <f>IF(Table2[[#This Row],[Country]]&gt;0,(((Table2[[#This Row],[Country]]-B738)/B738)+1)^12-1,"")</f>
        <v/>
      </c>
    </row>
    <row r="740">
      <c r="A740" s="35" t="n">
        <v>44621</v>
      </c>
      <c r="B740" s="36">
        <f>VLOOKUP(A740,Data!$A:$AH,MATCH(Country!$A$1,Data!$A$1:$AH$1,),)</f>
        <v/>
      </c>
      <c r="C740" s="63">
        <f>IF(B728&gt;0,(Table2[[#This Row],[Country]]-B728)/B728,0)</f>
        <v/>
      </c>
      <c r="D740" s="63">
        <f>IF(Table2[[#This Row],[Country]]&gt;0,(((Table2[[#This Row],[Country]]-B739)/B739)+1)^12-1,"")</f>
        <v/>
      </c>
    </row>
    <row r="741">
      <c r="A741" s="35" t="n">
        <v>44652</v>
      </c>
      <c r="B741" s="36">
        <f>VLOOKUP(A741,Data!$A:$AH,MATCH(Country!$A$1,Data!$A$1:$AH$1,),)</f>
        <v/>
      </c>
      <c r="C741" s="63">
        <f>IF(B729&gt;0,(Table2[[#This Row],[Country]]-B729)/B729,0)</f>
        <v/>
      </c>
      <c r="D741" s="63">
        <f>IF(Table2[[#This Row],[Country]]&gt;0,(((Table2[[#This Row],[Country]]-B740)/B740)+1)^12-1,"")</f>
        <v/>
      </c>
    </row>
    <row r="742">
      <c r="A742" s="35" t="n">
        <v>44682</v>
      </c>
      <c r="B742" s="36">
        <f>VLOOKUP(A742,Data!$A:$AH,MATCH(Country!$A$1,Data!$A$1:$AH$1,),)</f>
        <v/>
      </c>
      <c r="C742" s="63">
        <f>IF(B730&gt;0,(Table2[[#This Row],[Country]]-B730)/B730,0)</f>
        <v/>
      </c>
      <c r="D742" s="63">
        <f>IF(Table2[[#This Row],[Country]]&gt;0,(((Table2[[#This Row],[Country]]-B741)/B741)+1)^12-1,"")</f>
        <v/>
      </c>
    </row>
    <row r="743">
      <c r="A743" s="35" t="n">
        <v>44713</v>
      </c>
      <c r="B743" s="36">
        <f>VLOOKUP(A743,Data!$A:$AH,MATCH(Country!$A$1,Data!$A$1:$AH$1,),)</f>
        <v/>
      </c>
      <c r="C743" s="63">
        <f>IF(B731&gt;0,(Table2[[#This Row],[Country]]-B731)/B731,0)</f>
        <v/>
      </c>
      <c r="D743" s="63">
        <f>IF(Table2[[#This Row],[Country]]&gt;0,(((Table2[[#This Row],[Country]]-B742)/B742)+1)^12-1,"")</f>
        <v/>
      </c>
    </row>
    <row r="744">
      <c r="A744" s="35" t="n">
        <v>44743</v>
      </c>
      <c r="B744" s="36">
        <f>VLOOKUP(A744,Data!$A:$AH,MATCH(Country!$A$1,Data!$A$1:$AH$1,),)</f>
        <v/>
      </c>
      <c r="C744" s="63">
        <f>IF(B732&gt;0,(Table2[[#This Row],[Country]]-B732)/B732,0)</f>
        <v/>
      </c>
      <c r="D744" s="63">
        <f>IF(Table2[[#This Row],[Country]]&gt;0,(((Table2[[#This Row],[Country]]-B743)/B743)+1)^12-1,"")</f>
        <v/>
      </c>
    </row>
  </sheetData>
  <conditionalFormatting sqref="D7:D744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2022-10-23T06:05:10Z</dcterms:modified>
  <cp:lastModifiedBy>Mark Mukherjee</cp:lastModifiedBy>
</cp:coreProperties>
</file>